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Elieser Aguilar\Dev\HIS-Downloader\"/>
    </mc:Choice>
  </mc:AlternateContent>
  <xr:revisionPtr revIDLastSave="0" documentId="13_ncr:1_{6A33450A-8BFB-4570-8323-E0E3C8E74FAE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N24" i="7" l="1"/>
  <c r="DM24" i="7"/>
  <c r="DL24" i="7"/>
  <c r="DK24" i="7"/>
  <c r="DJ24" i="7"/>
  <c r="DI24" i="7"/>
  <c r="DN21" i="7"/>
  <c r="DM21" i="7"/>
  <c r="DL21" i="7"/>
  <c r="DK21" i="7"/>
  <c r="DJ21" i="7"/>
  <c r="DI21" i="7"/>
  <c r="DI10" i="7"/>
  <c r="DO10" i="7" s="1"/>
  <c r="DI11" i="7"/>
  <c r="DO11" i="7" s="1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O18" i="7" s="1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O9" i="7" s="1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N48" i="7" s="1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N35" i="7" s="1"/>
  <c r="CH36" i="7"/>
  <c r="CN36" i="7" s="1"/>
  <c r="CH37" i="7"/>
  <c r="CH38" i="7"/>
  <c r="CH39" i="7"/>
  <c r="CN39" i="7" s="1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H33" i="2" s="1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H5" i="3"/>
  <c r="A3" i="7"/>
  <c r="AJ3" i="6"/>
  <c r="N4" i="3"/>
  <c r="AJ3" i="2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CN43" i="7" l="1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J49" i="6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J28" i="6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B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8" i="3"/>
  <c r="AD208" i="3"/>
  <c r="AC208" i="3"/>
  <c r="AB208" i="3"/>
  <c r="AA208" i="3"/>
  <c r="Z208" i="3"/>
  <c r="V208" i="3"/>
  <c r="U208" i="3"/>
  <c r="T208" i="3"/>
  <c r="S208" i="3"/>
  <c r="R208" i="3"/>
  <c r="Q208" i="3"/>
  <c r="AE207" i="3"/>
  <c r="AD207" i="3"/>
  <c r="AC207" i="3"/>
  <c r="AB207" i="3"/>
  <c r="AA207" i="3"/>
  <c r="Z207" i="3"/>
  <c r="V207" i="3"/>
  <c r="U207" i="3"/>
  <c r="T207" i="3"/>
  <c r="S207" i="3"/>
  <c r="R207" i="3"/>
  <c r="Q207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7" i="3"/>
  <c r="AD197" i="3"/>
  <c r="AC197" i="3"/>
  <c r="AB197" i="3"/>
  <c r="AA197" i="3"/>
  <c r="Z197" i="3"/>
  <c r="V197" i="3"/>
  <c r="U197" i="3"/>
  <c r="T197" i="3"/>
  <c r="S197" i="3"/>
  <c r="R197" i="3"/>
  <c r="Q197" i="3"/>
  <c r="AE196" i="3"/>
  <c r="AD196" i="3"/>
  <c r="AC196" i="3"/>
  <c r="AB196" i="3"/>
  <c r="AA196" i="3"/>
  <c r="Z196" i="3"/>
  <c r="V196" i="3"/>
  <c r="U196" i="3"/>
  <c r="T196" i="3"/>
  <c r="S196" i="3"/>
  <c r="R196" i="3"/>
  <c r="Q196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6" i="3"/>
  <c r="AD186" i="3"/>
  <c r="AC186" i="3"/>
  <c r="AB186" i="3"/>
  <c r="AA186" i="3"/>
  <c r="Z186" i="3"/>
  <c r="V186" i="3"/>
  <c r="U186" i="3"/>
  <c r="T186" i="3"/>
  <c r="S186" i="3"/>
  <c r="R186" i="3"/>
  <c r="Q186" i="3"/>
  <c r="AE185" i="3"/>
  <c r="AD185" i="3"/>
  <c r="AC185" i="3"/>
  <c r="AB185" i="3"/>
  <c r="AA185" i="3"/>
  <c r="Z185" i="3"/>
  <c r="V185" i="3"/>
  <c r="U185" i="3"/>
  <c r="T185" i="3"/>
  <c r="S185" i="3"/>
  <c r="R185" i="3"/>
  <c r="Q185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80" i="3"/>
  <c r="AD180" i="3"/>
  <c r="AC180" i="3"/>
  <c r="AB180" i="3"/>
  <c r="AA180" i="3"/>
  <c r="Z180" i="3"/>
  <c r="V180" i="3"/>
  <c r="U180" i="3"/>
  <c r="T180" i="3"/>
  <c r="S180" i="3"/>
  <c r="R180" i="3"/>
  <c r="Q180" i="3"/>
  <c r="AE179" i="3"/>
  <c r="AD179" i="3"/>
  <c r="AC179" i="3"/>
  <c r="AB179" i="3"/>
  <c r="AA179" i="3"/>
  <c r="Z179" i="3"/>
  <c r="V179" i="3"/>
  <c r="U179" i="3"/>
  <c r="T179" i="3"/>
  <c r="S179" i="3"/>
  <c r="R179" i="3"/>
  <c r="Q179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4" i="3"/>
  <c r="AD174" i="3"/>
  <c r="AC174" i="3"/>
  <c r="AB174" i="3"/>
  <c r="AA174" i="3"/>
  <c r="Z174" i="3"/>
  <c r="V174" i="3"/>
  <c r="U174" i="3"/>
  <c r="T174" i="3"/>
  <c r="S174" i="3"/>
  <c r="R174" i="3"/>
  <c r="Q174" i="3"/>
  <c r="AE173" i="3"/>
  <c r="AD173" i="3"/>
  <c r="AC173" i="3"/>
  <c r="AB173" i="3"/>
  <c r="AA173" i="3"/>
  <c r="Z173" i="3"/>
  <c r="V173" i="3"/>
  <c r="U173" i="3"/>
  <c r="T173" i="3"/>
  <c r="S173" i="3"/>
  <c r="R173" i="3"/>
  <c r="Q173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8" i="3"/>
  <c r="AD168" i="3"/>
  <c r="AC168" i="3"/>
  <c r="AB168" i="3"/>
  <c r="AA168" i="3"/>
  <c r="Z168" i="3"/>
  <c r="V168" i="3"/>
  <c r="U168" i="3"/>
  <c r="T168" i="3"/>
  <c r="S168" i="3"/>
  <c r="R168" i="3"/>
  <c r="Q168" i="3"/>
  <c r="AE167" i="3"/>
  <c r="AD167" i="3"/>
  <c r="AC167" i="3"/>
  <c r="AB167" i="3"/>
  <c r="AA167" i="3"/>
  <c r="Z167" i="3"/>
  <c r="V167" i="3"/>
  <c r="U167" i="3"/>
  <c r="T167" i="3"/>
  <c r="S167" i="3"/>
  <c r="R167" i="3"/>
  <c r="Q167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8" i="3"/>
  <c r="AD158" i="3"/>
  <c r="AC158" i="3"/>
  <c r="AB158" i="3"/>
  <c r="AA158" i="3"/>
  <c r="Z158" i="3"/>
  <c r="V158" i="3"/>
  <c r="U158" i="3"/>
  <c r="T158" i="3"/>
  <c r="S158" i="3"/>
  <c r="R158" i="3"/>
  <c r="Q158" i="3"/>
  <c r="AE157" i="3"/>
  <c r="AD157" i="3"/>
  <c r="AC157" i="3"/>
  <c r="AB157" i="3"/>
  <c r="AA157" i="3"/>
  <c r="Z157" i="3"/>
  <c r="V157" i="3"/>
  <c r="U157" i="3"/>
  <c r="T157" i="3"/>
  <c r="S157" i="3"/>
  <c r="R157" i="3"/>
  <c r="Q157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8" i="3"/>
  <c r="AD148" i="3"/>
  <c r="AC148" i="3"/>
  <c r="AB148" i="3"/>
  <c r="AA148" i="3"/>
  <c r="Z148" i="3"/>
  <c r="V148" i="3"/>
  <c r="U148" i="3"/>
  <c r="T148" i="3"/>
  <c r="S148" i="3"/>
  <c r="R148" i="3"/>
  <c r="Q148" i="3"/>
  <c r="AE147" i="3"/>
  <c r="AD147" i="3"/>
  <c r="AC147" i="3"/>
  <c r="AB147" i="3"/>
  <c r="AA147" i="3"/>
  <c r="Z147" i="3"/>
  <c r="V147" i="3"/>
  <c r="U147" i="3"/>
  <c r="T147" i="3"/>
  <c r="S147" i="3"/>
  <c r="R147" i="3"/>
  <c r="Q147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8" i="3"/>
  <c r="AD138" i="3"/>
  <c r="AC138" i="3"/>
  <c r="AB138" i="3"/>
  <c r="AA138" i="3"/>
  <c r="Z138" i="3"/>
  <c r="V138" i="3"/>
  <c r="U138" i="3"/>
  <c r="T138" i="3"/>
  <c r="S138" i="3"/>
  <c r="R138" i="3"/>
  <c r="Q138" i="3"/>
  <c r="AE137" i="3"/>
  <c r="AD137" i="3"/>
  <c r="AC137" i="3"/>
  <c r="AB137" i="3"/>
  <c r="AA137" i="3"/>
  <c r="Z137" i="3"/>
  <c r="V137" i="3"/>
  <c r="U137" i="3"/>
  <c r="T137" i="3"/>
  <c r="S137" i="3"/>
  <c r="R137" i="3"/>
  <c r="Q137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6" i="3"/>
  <c r="AD126" i="3"/>
  <c r="AC126" i="3"/>
  <c r="AB126" i="3"/>
  <c r="AA126" i="3"/>
  <c r="Z126" i="3"/>
  <c r="V126" i="3"/>
  <c r="U126" i="3"/>
  <c r="T126" i="3"/>
  <c r="S126" i="3"/>
  <c r="R126" i="3"/>
  <c r="Q126" i="3"/>
  <c r="AE125" i="3"/>
  <c r="AD125" i="3"/>
  <c r="AC125" i="3"/>
  <c r="AB125" i="3"/>
  <c r="AA125" i="3"/>
  <c r="Z125" i="3"/>
  <c r="V125" i="3"/>
  <c r="U125" i="3"/>
  <c r="T125" i="3"/>
  <c r="S125" i="3"/>
  <c r="R125" i="3"/>
  <c r="Q125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4" i="3"/>
  <c r="AD114" i="3"/>
  <c r="AC114" i="3"/>
  <c r="AB114" i="3"/>
  <c r="AA114" i="3"/>
  <c r="Z114" i="3"/>
  <c r="V114" i="3"/>
  <c r="U114" i="3"/>
  <c r="T114" i="3"/>
  <c r="S114" i="3"/>
  <c r="R114" i="3"/>
  <c r="Q114" i="3"/>
  <c r="AE113" i="3"/>
  <c r="AD113" i="3"/>
  <c r="AC113" i="3"/>
  <c r="AB113" i="3"/>
  <c r="AA113" i="3"/>
  <c r="Z113" i="3"/>
  <c r="V113" i="3"/>
  <c r="U113" i="3"/>
  <c r="T113" i="3"/>
  <c r="S113" i="3"/>
  <c r="R113" i="3"/>
  <c r="Q113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102" i="3"/>
  <c r="AD102" i="3"/>
  <c r="AC102" i="3"/>
  <c r="AB102" i="3"/>
  <c r="AA102" i="3"/>
  <c r="Z102" i="3"/>
  <c r="V102" i="3"/>
  <c r="U102" i="3"/>
  <c r="T102" i="3"/>
  <c r="S102" i="3"/>
  <c r="R102" i="3"/>
  <c r="Q102" i="3"/>
  <c r="AE101" i="3"/>
  <c r="AD101" i="3"/>
  <c r="AC101" i="3"/>
  <c r="AB101" i="3"/>
  <c r="AA101" i="3"/>
  <c r="Z101" i="3"/>
  <c r="V101" i="3"/>
  <c r="U101" i="3"/>
  <c r="T101" i="3"/>
  <c r="S101" i="3"/>
  <c r="R101" i="3"/>
  <c r="Q101" i="3"/>
  <c r="AE97" i="3"/>
  <c r="AD97" i="3"/>
  <c r="AC97" i="3"/>
  <c r="AB97" i="3"/>
  <c r="AA97" i="3"/>
  <c r="Z97" i="3"/>
  <c r="V97" i="3"/>
  <c r="U97" i="3"/>
  <c r="T97" i="3"/>
  <c r="S97" i="3"/>
  <c r="R97" i="3"/>
  <c r="Q97" i="3"/>
  <c r="AE96" i="3"/>
  <c r="AD96" i="3"/>
  <c r="AC96" i="3"/>
  <c r="AB96" i="3"/>
  <c r="AA96" i="3"/>
  <c r="Z96" i="3"/>
  <c r="V96" i="3"/>
  <c r="U96" i="3"/>
  <c r="T96" i="3"/>
  <c r="S96" i="3"/>
  <c r="R96" i="3"/>
  <c r="Q96" i="3"/>
  <c r="AE95" i="3"/>
  <c r="AD95" i="3"/>
  <c r="AC95" i="3"/>
  <c r="AB95" i="3"/>
  <c r="AA95" i="3"/>
  <c r="Z95" i="3"/>
  <c r="V95" i="3"/>
  <c r="U95" i="3"/>
  <c r="T95" i="3"/>
  <c r="S95" i="3"/>
  <c r="R95" i="3"/>
  <c r="Q95" i="3"/>
  <c r="AE91" i="3"/>
  <c r="AD91" i="3"/>
  <c r="AC91" i="3"/>
  <c r="AB91" i="3"/>
  <c r="AA91" i="3"/>
  <c r="Z91" i="3"/>
  <c r="V91" i="3"/>
  <c r="U91" i="3"/>
  <c r="T91" i="3"/>
  <c r="S91" i="3"/>
  <c r="R91" i="3"/>
  <c r="Q91" i="3"/>
  <c r="AE90" i="3"/>
  <c r="AD90" i="3"/>
  <c r="AC90" i="3"/>
  <c r="AB90" i="3"/>
  <c r="AA90" i="3"/>
  <c r="Z90" i="3"/>
  <c r="V90" i="3"/>
  <c r="U90" i="3"/>
  <c r="T90" i="3"/>
  <c r="S90" i="3"/>
  <c r="R90" i="3"/>
  <c r="Q90" i="3"/>
  <c r="AE89" i="3"/>
  <c r="AD89" i="3"/>
  <c r="AC89" i="3"/>
  <c r="AB89" i="3"/>
  <c r="AA89" i="3"/>
  <c r="Z89" i="3"/>
  <c r="V89" i="3"/>
  <c r="U89" i="3"/>
  <c r="T89" i="3"/>
  <c r="S89" i="3"/>
  <c r="R89" i="3"/>
  <c r="Q89" i="3"/>
  <c r="AE85" i="3"/>
  <c r="AD85" i="3"/>
  <c r="AC85" i="3"/>
  <c r="AB85" i="3"/>
  <c r="AA85" i="3"/>
  <c r="Z85" i="3"/>
  <c r="V85" i="3"/>
  <c r="U85" i="3"/>
  <c r="T85" i="3"/>
  <c r="S85" i="3"/>
  <c r="R85" i="3"/>
  <c r="Q85" i="3"/>
  <c r="AE84" i="3"/>
  <c r="AD84" i="3"/>
  <c r="AC84" i="3"/>
  <c r="AB84" i="3"/>
  <c r="AA84" i="3"/>
  <c r="Z84" i="3"/>
  <c r="V84" i="3"/>
  <c r="U84" i="3"/>
  <c r="T84" i="3"/>
  <c r="S84" i="3"/>
  <c r="R84" i="3"/>
  <c r="Q84" i="3"/>
  <c r="AE83" i="3"/>
  <c r="AD83" i="3"/>
  <c r="AC83" i="3"/>
  <c r="AB83" i="3"/>
  <c r="AA83" i="3"/>
  <c r="Z83" i="3"/>
  <c r="V83" i="3"/>
  <c r="U83" i="3"/>
  <c r="T83" i="3"/>
  <c r="S83" i="3"/>
  <c r="R83" i="3"/>
  <c r="Q83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V18" i="2" l="1"/>
  <c r="J66" i="6"/>
  <c r="AB59" i="6"/>
  <c r="J59" i="6"/>
  <c r="A59" i="6"/>
  <c r="W18" i="2"/>
  <c r="A44" i="6"/>
  <c r="AB38" i="6"/>
  <c r="S38" i="6"/>
  <c r="S32" i="6"/>
  <c r="AB23" i="6"/>
  <c r="S23" i="6"/>
  <c r="S18" i="6"/>
  <c r="U18" i="2"/>
  <c r="A3" i="6"/>
  <c r="J3" i="6"/>
  <c r="AB3" i="6"/>
  <c r="S3" i="6"/>
  <c r="B3" i="2"/>
  <c r="G18" i="2"/>
  <c r="N18" i="2"/>
  <c r="W162" i="3"/>
  <c r="W213" i="3"/>
  <c r="V3" i="2"/>
  <c r="AG3" i="2"/>
  <c r="AF158" i="3"/>
  <c r="AF160" i="3"/>
  <c r="AF214" i="3"/>
  <c r="AF41" i="3"/>
  <c r="F11" i="3" s="1"/>
  <c r="W55" i="3"/>
  <c r="W127" i="3"/>
  <c r="W131" i="3"/>
  <c r="W142" i="3"/>
  <c r="W151" i="3"/>
  <c r="W153" i="3"/>
  <c r="W158" i="3"/>
  <c r="AF3" i="2"/>
  <c r="W91" i="3"/>
  <c r="W105" i="3"/>
  <c r="W120" i="3"/>
  <c r="W210" i="3"/>
  <c r="AI6" i="2"/>
  <c r="D3" i="2"/>
  <c r="AI8" i="2"/>
  <c r="AI10" i="2"/>
  <c r="E29" i="2"/>
  <c r="P29" i="2"/>
  <c r="Q33" i="2"/>
  <c r="Q36" i="2"/>
  <c r="AF69" i="3"/>
  <c r="M19" i="3" s="1"/>
  <c r="W84" i="3"/>
  <c r="W101" i="3"/>
  <c r="W107" i="3"/>
  <c r="W109" i="3"/>
  <c r="W116" i="3"/>
  <c r="AF203" i="3"/>
  <c r="AF208" i="3"/>
  <c r="X18" i="2"/>
  <c r="AF97" i="3"/>
  <c r="W138" i="3"/>
  <c r="W149" i="3"/>
  <c r="W167" i="3"/>
  <c r="W174" i="3"/>
  <c r="W188" i="3"/>
  <c r="W197" i="3"/>
  <c r="W199" i="3"/>
  <c r="W203" i="3"/>
  <c r="M18" i="2"/>
  <c r="D18" i="2"/>
  <c r="AI20" i="2"/>
  <c r="H22" i="2"/>
  <c r="AF85" i="3"/>
  <c r="AF141" i="3"/>
  <c r="W181" i="3"/>
  <c r="W192" i="3"/>
  <c r="N3" i="2"/>
  <c r="Z9" i="2"/>
  <c r="AF73" i="3"/>
  <c r="W83" i="3"/>
  <c r="AF132" i="3"/>
  <c r="AF150" i="3"/>
  <c r="AF187" i="3"/>
  <c r="AH3" i="2"/>
  <c r="F29" i="2"/>
  <c r="W53" i="3"/>
  <c r="W128" i="3"/>
  <c r="W130" i="3"/>
  <c r="AF175" i="3"/>
  <c r="AF211" i="3"/>
  <c r="X3" i="2"/>
  <c r="C29" i="2"/>
  <c r="AF116" i="3"/>
  <c r="AF118" i="3"/>
  <c r="W168" i="3"/>
  <c r="L3" i="2"/>
  <c r="W3" i="2"/>
  <c r="Z6" i="2"/>
  <c r="Z11" i="2"/>
  <c r="AI12" i="2"/>
  <c r="E18" i="2"/>
  <c r="P18" i="2"/>
  <c r="Q24" i="2"/>
  <c r="H32" i="2"/>
  <c r="Q35" i="2"/>
  <c r="W65" i="3"/>
  <c r="M10" i="3" s="1"/>
  <c r="W85" i="3"/>
  <c r="W90" i="3"/>
  <c r="AF95" i="3"/>
  <c r="AF104" i="3"/>
  <c r="W114" i="3"/>
  <c r="AF120" i="3"/>
  <c r="AF125" i="3"/>
  <c r="W132" i="3"/>
  <c r="W137" i="3"/>
  <c r="AF139" i="3"/>
  <c r="AF148" i="3"/>
  <c r="AF162" i="3"/>
  <c r="W173" i="3"/>
  <c r="W175" i="3"/>
  <c r="W180" i="3"/>
  <c r="AF185" i="3"/>
  <c r="AF191" i="3"/>
  <c r="W201" i="3"/>
  <c r="AF210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5" i="3"/>
  <c r="W97" i="3"/>
  <c r="AF102" i="3"/>
  <c r="AF108" i="3"/>
  <c r="W118" i="3"/>
  <c r="AF127" i="3"/>
  <c r="AF129" i="3"/>
  <c r="W139" i="3"/>
  <c r="W141" i="3"/>
  <c r="AF143" i="3"/>
  <c r="AF152" i="3"/>
  <c r="W160" i="3"/>
  <c r="AF167" i="3"/>
  <c r="AF169" i="3"/>
  <c r="W185" i="3"/>
  <c r="W187" i="3"/>
  <c r="AF189" i="3"/>
  <c r="AF198" i="3"/>
  <c r="W208" i="3"/>
  <c r="AF212" i="3"/>
  <c r="C3" i="2"/>
  <c r="Y3" i="2"/>
  <c r="H7" i="2"/>
  <c r="Q23" i="2"/>
  <c r="Q31" i="2"/>
  <c r="W41" i="3"/>
  <c r="F10" i="3" s="1"/>
  <c r="W56" i="3"/>
  <c r="AF61" i="3"/>
  <c r="M9" i="3" s="1"/>
  <c r="AF89" i="3"/>
  <c r="W102" i="3"/>
  <c r="W104" i="3"/>
  <c r="AF106" i="3"/>
  <c r="AF115" i="3"/>
  <c r="W125" i="3"/>
  <c r="AF131" i="3"/>
  <c r="AF133" i="3"/>
  <c r="W143" i="3"/>
  <c r="W148" i="3"/>
  <c r="AF157" i="3"/>
  <c r="AF174" i="3"/>
  <c r="AF179" i="3"/>
  <c r="W189" i="3"/>
  <c r="AF196" i="3"/>
  <c r="AF202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6" i="3"/>
  <c r="W106" i="3"/>
  <c r="W108" i="3"/>
  <c r="AF113" i="3"/>
  <c r="AF119" i="3"/>
  <c r="W129" i="3"/>
  <c r="AF138" i="3"/>
  <c r="AF140" i="3"/>
  <c r="W150" i="3"/>
  <c r="W152" i="3"/>
  <c r="AF161" i="3"/>
  <c r="W169" i="3"/>
  <c r="AF181" i="3"/>
  <c r="AF186" i="3"/>
  <c r="W191" i="3"/>
  <c r="W196" i="3"/>
  <c r="W198" i="3"/>
  <c r="AF200" i="3"/>
  <c r="AF209" i="3"/>
  <c r="W212" i="3"/>
  <c r="W214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4" i="3"/>
  <c r="W89" i="3"/>
  <c r="AF101" i="3"/>
  <c r="AF103" i="3"/>
  <c r="W113" i="3"/>
  <c r="W115" i="3"/>
  <c r="AF117" i="3"/>
  <c r="AF126" i="3"/>
  <c r="W133" i="3"/>
  <c r="AF142" i="3"/>
  <c r="AF147" i="3"/>
  <c r="W157" i="3"/>
  <c r="AF159" i="3"/>
  <c r="W179" i="3"/>
  <c r="AF188" i="3"/>
  <c r="AF190" i="3"/>
  <c r="W200" i="3"/>
  <c r="W202" i="3"/>
  <c r="AF207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3" i="3"/>
  <c r="AF91" i="3"/>
  <c r="W96" i="3"/>
  <c r="AF105" i="3"/>
  <c r="AF107" i="3"/>
  <c r="W117" i="3"/>
  <c r="W119" i="3"/>
  <c r="AF121" i="3"/>
  <c r="AF130" i="3"/>
  <c r="W140" i="3"/>
  <c r="AF149" i="3"/>
  <c r="AF151" i="3"/>
  <c r="W159" i="3"/>
  <c r="W161" i="3"/>
  <c r="AF163" i="3"/>
  <c r="AF173" i="3"/>
  <c r="W186" i="3"/>
  <c r="AF192" i="3"/>
  <c r="AF197" i="3"/>
  <c r="W207" i="3"/>
  <c r="W209" i="3"/>
  <c r="AF213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0" i="3"/>
  <c r="W103" i="3"/>
  <c r="AF109" i="3"/>
  <c r="AF114" i="3"/>
  <c r="W121" i="3"/>
  <c r="W126" i="3"/>
  <c r="AF128" i="3"/>
  <c r="AF137" i="3"/>
  <c r="W147" i="3"/>
  <c r="AF153" i="3"/>
  <c r="W163" i="3"/>
  <c r="AF168" i="3"/>
  <c r="AF180" i="3"/>
  <c r="W190" i="3"/>
  <c r="AF199" i="3"/>
  <c r="AF201" i="3"/>
  <c r="W211" i="3"/>
  <c r="AC18" i="2"/>
  <c r="AB18" i="2" s="1"/>
  <c r="H21" i="2"/>
  <c r="K29" i="2"/>
  <c r="AC3" i="2"/>
  <c r="T18" i="2"/>
  <c r="B29" i="2"/>
  <c r="T3" i="2"/>
  <c r="K3" i="2"/>
  <c r="K18" i="2"/>
  <c r="B18" i="2"/>
  <c r="H26" i="3" l="1"/>
  <c r="F21" i="3"/>
  <c r="L26" i="3"/>
  <c r="I28" i="3"/>
  <c r="G27" i="3"/>
  <c r="G26" i="3"/>
  <c r="J29" i="3"/>
  <c r="L28" i="3"/>
  <c r="I30" i="3"/>
  <c r="G28" i="3"/>
  <c r="J30" i="3"/>
  <c r="A3" i="2"/>
  <c r="L30" i="3"/>
  <c r="K27" i="3"/>
  <c r="S18" i="2"/>
  <c r="M22" i="3"/>
  <c r="K29" i="3"/>
  <c r="G29" i="3"/>
  <c r="AB3" i="2"/>
  <c r="L27" i="3"/>
  <c r="J27" i="3"/>
  <c r="K30" i="3"/>
  <c r="J29" i="2"/>
  <c r="S3" i="2"/>
  <c r="H30" i="3"/>
  <c r="K28" i="3"/>
  <c r="J28" i="3"/>
  <c r="H28" i="3"/>
  <c r="G30" i="3"/>
  <c r="H27" i="3"/>
  <c r="J26" i="3"/>
  <c r="I26" i="3"/>
  <c r="H29" i="3"/>
  <c r="A18" i="2"/>
  <c r="L29" i="3"/>
  <c r="J18" i="2"/>
  <c r="J3" i="2"/>
  <c r="I29" i="3"/>
  <c r="K26" i="3"/>
  <c r="A29" i="2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Otras infecciones víricas caracterizadas por lesiones de la piel y de las membranas mucosas, no clasificadas en otra parte</t>
        </r>
      </text>
    </comment>
    <comment ref="P83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3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4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4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5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5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89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9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0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0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1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1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5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5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6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6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7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7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1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1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2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2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3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3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4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4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5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5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6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6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7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7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08" authorId="0" shapeId="0" xr:uid="{9292CC0B-C5F7-448E-B153-31A254953D81}">
      <text/>
    </comment>
    <comment ref="Y108" authorId="0" shapeId="0" xr:uid="{68FE84D9-FD55-4703-A794-47633D45BE31}">
      <text/>
    </comment>
    <comment ref="P109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09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3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3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4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4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5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5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6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6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7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7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18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18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19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19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0" authorId="0" shapeId="0" xr:uid="{F72C6AEB-6374-4DCB-B26C-97E28F81E751}">
      <text/>
    </comment>
    <comment ref="Y120" authorId="0" shapeId="0" xr:uid="{ED6301BE-C6BE-4339-9B0C-FA2751C07581}">
      <text/>
    </comment>
    <comment ref="P121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1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5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5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6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6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7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7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28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28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29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29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0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0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1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1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2" authorId="0" shapeId="0" xr:uid="{AAB1116D-C743-471D-A281-08B05C776298}">
      <text/>
    </comment>
    <comment ref="Y132" authorId="0" shapeId="0" xr:uid="{9240D04B-D8AD-49B4-AEF5-8CD719F19E10}">
      <text/>
    </comment>
    <comment ref="P133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3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7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7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38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38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9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39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0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0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1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1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2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2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3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3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7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7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8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8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9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9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0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0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1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1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2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2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3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3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7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7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8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8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9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9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0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0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1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1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2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2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3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3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7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7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68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68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69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69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3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3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4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4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5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5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9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9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0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0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1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1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5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5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6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6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7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7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88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88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89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89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0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0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1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1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2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2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6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6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7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7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98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98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9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9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0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0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1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1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2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2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3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3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7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7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08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08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9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9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0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0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1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1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2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2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3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3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4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4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<sst xmlns="http://schemas.openxmlformats.org/spreadsheetml/2006/main" count="3171" uniqueCount="781">
  <si>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</si>
  <si>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</si>
  <si>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</si>
  <si>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</si>
  <si>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</si>
  <si>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</si>
  <si>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</si>
  <si>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</si>
  <si>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</si>
  <si>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</si>
  <si>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</si>
  <si>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</si>
  <si>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</si>
  <si>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</si>
  <si>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</si>
  <si>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</si>
  <si>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</si>
  <si>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</si>
  <si>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</si>
  <si>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</si>
  <si>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</si>
  <si>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</si>
  <si>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</si>
  <si>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</si>
  <si>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</si>
  <si>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</si>
  <si>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</si>
  <si>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</si>
  <si>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</si>
  <si>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</si>
  <si>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</si>
  <si>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</si>
  <si>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</si>
  <si>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</si>
  <si>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</si>
  <si>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</si>
  <si>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</si>
  <si>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</si>
  <si>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</si>
  <si>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</si>
  <si>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</si>
  <si>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</si>
  <si>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</si>
  <si>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</si>
  <si>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</si>
  <si>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</si>
  <si>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</si>
  <si>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</si>
  <si>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</si>
  <si>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</si>
  <si>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</si>
  <si>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</si>
  <si>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</si>
  <si>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</si>
  <si>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</si>
  <si>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</si>
  <si>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</si>
  <si>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</si>
  <si>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</si>
  <si>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</si>
  <si>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</si>
  <si>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</si>
  <si>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</si>
  <si>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</si>
  <si>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</si>
  <si>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</si>
  <si>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</si>
  <si>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</si>
  <si>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</si>
  <si>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</si>
  <si>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</si>
  <si>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</si>
  <si>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</si>
  <si>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</si>
  <si>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</si>
  <si>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</si>
  <si>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</si>
  <si>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</si>
  <si>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</si>
  <si>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</si>
  <si>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</si>
  <si>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</si>
  <si>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</si>
  <si>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</si>
  <si>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</si>
  <si>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</si>
  <si>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</si>
  <si>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</si>
  <si>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</si>
  <si>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</si>
  <si>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</si>
  <si>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</si>
  <si>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</si>
  <si>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</si>
  <si>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</si>
  <si>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</si>
  <si>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</si>
  <si>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</si>
  <si>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</si>
  <si>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</si>
  <si>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</si>
  <si>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</si>
  <si>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</si>
  <si>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</si>
  <si>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</si>
  <si>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</si>
  <si>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</si>
  <si>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</si>
  <si>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</si>
  <si>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</si>
  <si>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</si>
  <si>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</si>
  <si>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</si>
  <si>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</si>
  <si>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</si>
  <si>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</si>
  <si>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</si>
  <si>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</si>
  <si>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</si>
  <si>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</si>
  <si>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</si>
  <si>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</si>
  <si>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</si>
  <si>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</si>
  <si>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</si>
  <si>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</si>
  <si>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</si>
  <si>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</si>
  <si>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</si>
  <si>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</si>
  <si>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</si>
  <si>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</si>
  <si>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</si>
  <si>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</si>
  <si>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</si>
  <si>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</si>
  <si>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</si>
  <si>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</si>
  <si>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</si>
  <si>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</si>
  <si>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</si>
  <si>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</si>
  <si>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</si>
  <si>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</si>
  <si>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</si>
  <si>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</si>
  <si>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</si>
  <si>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</si>
  <si>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</si>
  <si>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</si>
  <si>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</si>
  <si>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</si>
  <si>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</si>
  <si>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</si>
  <si>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</si>
  <si>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</si>
  <si>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</si>
  <si>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</si>
  <si>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</si>
  <si>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</si>
  <si>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</si>
  <si>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</si>
  <si>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</si>
  <si>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</si>
  <si>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</si>
  <si>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</si>
  <si>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</si>
  <si>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</si>
  <si>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</si>
  <si>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</si>
  <si>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</si>
  <si>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</si>
  <si>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</si>
  <si>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</si>
  <si>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</si>
  <si>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</si>
  <si>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</si>
  <si>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</si>
  <si>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</si>
  <si>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</si>
  <si>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</si>
  <si>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</si>
  <si>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</si>
  <si>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</si>
  <si>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</si>
  <si>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</si>
  <si>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</si>
  <si>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</si>
  <si>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</si>
  <si>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</si>
  <si>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</si>
  <si>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</si>
  <si>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</si>
  <si>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</si>
  <si>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</si>
  <si>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</si>
  <si>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</si>
  <si>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</si>
  <si>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</si>
  <si>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</si>
  <si>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</si>
  <si>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</si>
  <si>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</si>
  <si>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</si>
  <si>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</si>
  <si>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</si>
  <si>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</si>
  <si>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</si>
  <si>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</si>
  <si>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</si>
  <si>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</si>
  <si>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</si>
  <si>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</si>
  <si>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</si>
  <si>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</si>
  <si>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</si>
  <si>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</si>
  <si>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</si>
  <si>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</si>
  <si>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</si>
  <si>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</si>
  <si>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</si>
  <si>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</si>
  <si>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</si>
  <si>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</si>
  <si>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</si>
  <si>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</si>
  <si>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</si>
  <si>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</si>
  <si>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</si>
  <si>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</si>
  <si>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</si>
  <si>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</si>
  <si>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</si>
  <si>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</si>
  <si>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</si>
  <si>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</si>
  <si>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</si>
  <si>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</si>
  <si>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</si>
  <si>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</si>
  <si>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</si>
  <si>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</si>
  <si>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</si>
  <si>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</si>
  <si>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</si>
  <si>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</si>
  <si>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</si>
  <si>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</si>
  <si>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</si>
  <si>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</si>
  <si>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</si>
  <si>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</si>
  <si>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</si>
  <si>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</si>
  <si>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</si>
  <si>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</si>
  <si>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</si>
  <si>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</si>
  <si>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</si>
  <si>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</si>
  <si>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</si>
  <si>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</si>
  <si>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</si>
  <si>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</si>
  <si>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</si>
  <si>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</si>
  <si>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</si>
  <si>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</si>
  <si>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B08*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</si>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</sst>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5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FFC7CE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7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11" borderId="0" applyNumberFormat="0" applyBorder="0" applyAlignment="0" applyProtection="0"/>
    <xf numFmtId="0" fontId="34" fillId="0" borderId="1" applyNumberFormat="0" applyFill="0" applyBorder="0" applyAlignment="0" applyProtection="0"/>
  </cellStyleXfs>
  <cellXfs count="162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33" fillId="11" borderId="0" xfId="15" applyBorder="1" applyAlignment="1">
      <alignment horizontal="center"/>
    </xf>
    <xf numFmtId="0" fontId="0" fillId="0" borderId="1" xfId="0" applyAlignment="1">
      <alignment horizontal="center"/>
    </xf>
    <xf numFmtId="0" fontId="22" fillId="2" borderId="1" xfId="1" applyFont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0" fontId="0" fillId="0" borderId="11" xfId="0" applyBorder="1"/>
    <xf numFmtId="164" fontId="9" fillId="7" borderId="1" xfId="8" applyFont="1" applyFill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4" fillId="0" borderId="15" xfId="8" applyFont="1" applyBorder="1" applyAlignment="1">
      <alignment horizontal="left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42" xfId="8" applyFont="1" applyBorder="1" applyAlignment="1">
      <alignment horizontal="center" vertical="center" wrapText="1"/>
    </xf>
    <xf numFmtId="164" fontId="14" fillId="0" borderId="21" xfId="8" applyFont="1" applyBorder="1" applyAlignment="1">
      <alignment horizontal="left" vertical="center" wrapText="1"/>
    </xf>
    <xf numFmtId="0" fontId="0" fillId="0" borderId="18" xfId="0" applyBorder="1"/>
    <xf numFmtId="0" fontId="0" fillId="0" borderId="14" xfId="0" applyBorder="1"/>
    <xf numFmtId="0" fontId="0" fillId="0" borderId="10" xfId="0" applyBorder="1"/>
    <xf numFmtId="0" fontId="0" fillId="0" borderId="27" xfId="0" applyBorder="1"/>
    <xf numFmtId="0" fontId="0" fillId="0" borderId="28" xfId="0" applyBorder="1"/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0" fillId="0" borderId="44" xfId="0" applyBorder="1"/>
    <xf numFmtId="0" fontId="0" fillId="0" borderId="20" xfId="0" applyBorder="1"/>
    <xf numFmtId="0" fontId="0" fillId="0" borderId="13" xfId="0" applyBorder="1"/>
    <xf numFmtId="164" fontId="14" fillId="0" borderId="41" xfId="8" applyFont="1" applyBorder="1" applyAlignment="1">
      <alignment horizontal="left" vertical="center" wrapText="1"/>
    </xf>
    <xf numFmtId="164" fontId="15" fillId="0" borderId="12" xfId="8" applyFont="1" applyBorder="1" applyAlignment="1">
      <alignment horizontal="center" vertical="center"/>
    </xf>
    <xf numFmtId="0" fontId="0" fillId="0" borderId="12" xfId="0" applyBorder="1"/>
    <xf numFmtId="0" fontId="18" fillId="8" borderId="1" xfId="9" applyFont="1" applyFill="1" applyAlignment="1">
      <alignment horizontal="right" wrapText="1"/>
    </xf>
    <xf numFmtId="164" fontId="17" fillId="0" borderId="17" xfId="8" applyFont="1" applyBorder="1" applyAlignment="1">
      <alignment horizontal="center" vertical="center"/>
    </xf>
    <xf numFmtId="0" fontId="0" fillId="0" borderId="26" xfId="0" applyBorder="1"/>
    <xf numFmtId="164" fontId="14" fillId="0" borderId="15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25" xfId="0" applyBorder="1"/>
    <xf numFmtId="164" fontId="14" fillId="0" borderId="42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5" fillId="0" borderId="11" xfId="8" applyFont="1" applyBorder="1" applyAlignment="1">
      <alignment horizontal="center" vertical="center"/>
    </xf>
    <xf numFmtId="164" fontId="14" fillId="0" borderId="9" xfId="8" applyFont="1" applyBorder="1" applyAlignment="1">
      <alignment horizontal="left" vertical="center" wrapText="1"/>
    </xf>
    <xf numFmtId="0" fontId="0" fillId="0" borderId="19" xfId="0" applyBorder="1"/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7" fillId="0" borderId="15" xfId="9" applyBorder="1" applyAlignment="1">
      <alignment horizontal="center" vertical="center"/>
    </xf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0" fillId="7" borderId="1" xfId="8" applyFont="1" applyFill="1" applyAlignment="1">
      <alignment horizontal="center" vertical="center"/>
    </xf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0" fontId="27" fillId="0" borderId="1" xfId="11" applyBorder="1" applyAlignment="1">
      <alignment horizontal="center" wrapText="1"/>
    </xf>
    <xf numFmtId="0" fontId="25" fillId="0" borderId="1" xfId="0" applyFont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28" fillId="0" borderId="2" xfId="3" applyFont="1" applyAlignment="1">
      <alignment horizontal="center"/>
    </xf>
    <xf numFmtId="0" fontId="30" fillId="0" borderId="47" xfId="12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/>
    </xf>
    <xf numFmtId="0" fontId="32" fillId="10" borderId="48" xfId="14" applyAlignment="1">
      <alignment horizontal="center" wrapText="1"/>
    </xf>
    <xf numFmtId="0" fontId="31" fillId="10" borderId="49" xfId="13" applyAlignment="1">
      <alignment horizontal="center" wrapText="1"/>
    </xf>
    <xf numFmtId="0" fontId="25" fillId="0" borderId="0" xfId="0" applyFont="1" applyBorder="1" applyAlignment="1">
      <alignment horizontal="center" vertical="top" wrapText="1"/>
    </xf>
    <xf numFmtId="0" fontId="25" fillId="0" borderId="0" xfId="0" applyFont="1" applyBorder="1" applyAlignment="1">
      <alignment vertical="top" wrapText="1"/>
    </xf>
    <xf numFmtId="0" fontId="34" fillId="0" borderId="0" xfId="16" applyBorder="1" applyAlignment="1">
      <alignment horizontal="center" vertical="top" wrapText="1"/>
    </xf>
    <xf numFmtId="0" fontId="0" fillId="0" borderId="0" xfId="0" applyNumberFormat="1" applyBorder="1" applyAlignment="1">
      <alignment horizontal="center"/>
    </xf>
    <xf numFmtId="0" fontId="4" fillId="5" borderId="1" xfId="6" applyNumberFormat="1" applyAlignment="1">
      <alignment horizontal="center"/>
    </xf>
  </cellXfs>
  <cellStyles count="17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6" builtinId="8"/>
    <cellStyle name="Incorrecto" xfId="15" builtinId="27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lieser Aguilar" refreshedDate="45640.877105439817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2082" headerRowBorderDxfId="2081">
  <autoFilter ref="A2:BX300000" xr:uid="{00000000-0009-0000-0100-000001000000}"/>
  <tableColumns count="76">
    <tableColumn id="1" xr3:uid="{00000000-0010-0000-0000-000001000000}" name="Fecha" dataDxfId="2080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9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8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7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6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5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4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73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72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71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70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9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8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7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6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5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4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63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62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61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60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9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8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7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6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5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4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53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52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51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50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9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8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7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6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5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4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43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42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41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40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9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8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7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6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5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4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33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32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31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30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9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8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7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6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5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4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23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22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21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20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9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8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7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6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5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4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13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12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11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10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9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8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7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6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5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4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2003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2002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2001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2000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9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8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7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6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5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4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93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92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91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90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9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8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7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6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5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4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83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82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81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80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9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8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7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6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5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4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73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72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71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70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9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8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7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6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5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4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63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62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61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60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9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8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7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6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5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4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53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52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51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50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9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8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7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6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5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4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43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42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41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40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9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8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7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6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5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4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33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32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31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30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9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8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7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6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5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4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23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22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21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20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9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8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7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6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5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4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13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12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11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10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9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8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7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6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5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4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903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902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901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900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9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8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7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6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5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4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93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92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91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90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9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8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7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6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5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4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83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82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81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80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9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8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7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6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5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4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73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72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71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70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9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8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7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6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5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4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63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62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61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60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9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8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7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6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79" totalsRowShown="0" headerRowDxfId="1855">
  <autoFilter ref="P78:W79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4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53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52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51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50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9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8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2:W85" totalsRowShown="0" headerRowDxfId="1847">
  <autoFilter ref="P82:W85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6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5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4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43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42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41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40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2:AF85" totalsRowShown="0" headerRowDxfId="1839">
  <autoFilter ref="Y82:AF85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8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7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6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5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4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33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32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88:W91" totalsRowShown="0" headerRowDxfId="1831">
  <autoFilter ref="P88:W91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30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9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8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7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6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5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4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88:AF91" totalsRowShown="0" headerRowDxfId="1823">
  <autoFilter ref="Y88:AF91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22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21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20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9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8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7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6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4:W97" totalsRowShown="0" headerRowDxfId="1815">
  <autoFilter ref="P94:W97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4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13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12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11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10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9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8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4:AF97" totalsRowShown="0" headerRowDxfId="1807">
  <autoFilter ref="Y94:AF97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6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5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4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803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802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801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800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0:W109" totalsRowShown="0" headerRowDxfId="1799">
  <autoFilter ref="P100:W109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8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7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6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5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4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93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92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0:AF109" totalsRowShown="0" headerRowDxfId="1791">
  <autoFilter ref="Y100:AF109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90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9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8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7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6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5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4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2:W121" totalsRowShown="0" headerRowDxfId="1783">
  <autoFilter ref="P112:W121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82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81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80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9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8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7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6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2:AF121" totalsRowShown="0" headerRowDxfId="1775">
  <autoFilter ref="Y112:AF121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4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73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72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71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70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9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8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4:W133" totalsRowShown="0" headerRowDxfId="1767">
  <autoFilter ref="P124:W133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6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5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4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63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62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61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60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4:AF133" totalsRowShown="0" headerRowDxfId="1759">
  <autoFilter ref="Y124:AF133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8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7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6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5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4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53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52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6:W143" totalsRowShown="0" headerRowDxfId="1751">
  <autoFilter ref="P136:W143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50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9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8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7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6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5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4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6:AF143" totalsRowShown="0" headerRowDxfId="1743">
  <autoFilter ref="Y136:AF143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42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41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40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9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8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7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6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6:W153" totalsRowShown="0" headerRowDxfId="1735">
  <autoFilter ref="P146:W153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4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33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32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31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30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9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8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6:AF153" totalsRowShown="0" headerRowDxfId="1727">
  <autoFilter ref="Y146:AF153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6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5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4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23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22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21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20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6:W163" totalsRowShown="0" headerRowDxfId="1719">
  <autoFilter ref="P156:W163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8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7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6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5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4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13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12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6:AF163" totalsRowShown="0" headerRowDxfId="1711">
  <autoFilter ref="Y156:AF163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10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9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8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7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6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5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4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6:W169" totalsRowShown="0" headerRowDxfId="1703">
  <autoFilter ref="P166:W169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702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701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700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9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8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7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6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6:AF169" totalsRowShown="0" headerRowDxfId="1695">
  <autoFilter ref="Y166:AF169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4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93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92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91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90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9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8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2:W175" totalsRowShown="0" headerRowDxfId="1687">
  <autoFilter ref="P172:W175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6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5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4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83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82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81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80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2:AF175" totalsRowShown="0" headerRowDxfId="1679">
  <autoFilter ref="Y172:AF175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8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7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6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5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4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73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72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78:W181" totalsRowShown="0" headerRowDxfId="1671">
  <autoFilter ref="P178:W181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70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9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8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7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6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5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4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78:AF181" totalsRowShown="0" headerRowDxfId="1663">
  <autoFilter ref="Y178:AF181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62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61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60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9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8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7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6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4:W192" totalsRowShown="0" headerRowDxfId="1655">
  <autoFilter ref="P184:W192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4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53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52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51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50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9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8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4:AF192" totalsRowShown="0" headerRowDxfId="1647">
  <autoFilter ref="Y184:AF192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6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5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4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43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42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41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40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5:W203" totalsRowShown="0" headerRowDxfId="1639">
  <autoFilter ref="P195:W203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8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7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6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5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4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33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32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5:AF203" totalsRowShown="0" headerRowDxfId="1631">
  <autoFilter ref="Y195:AF203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30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9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8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7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6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5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4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6:W214" totalsRowShown="0" headerRowDxfId="1623">
  <autoFilter ref="P206:W214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22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21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20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9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8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7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6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6:AF214" totalsRowShown="0" headerRowDxfId="1615">
  <autoFilter ref="Y206:AF214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4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13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12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11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10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9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8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7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6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5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4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603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602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601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600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9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8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7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6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5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4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93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92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91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90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9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8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7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6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5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4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83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82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81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80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9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8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7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6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5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4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73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72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71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70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9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8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7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6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5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4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63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62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61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60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9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8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7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6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5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4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53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52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51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50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9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8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7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6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5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4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43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42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41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40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9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8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7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6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5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4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33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32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31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30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9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8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7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6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5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4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23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22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21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20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9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8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7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6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5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4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13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12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11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10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9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8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7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6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5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4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503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502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501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500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9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8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7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6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5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4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93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92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91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90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9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8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7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6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5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4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83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82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81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80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9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8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7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6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5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4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73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72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71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70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9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8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7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6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5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4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63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62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61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60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9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8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7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6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5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4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53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52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51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50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9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8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7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6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5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4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43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42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41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40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9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8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7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6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5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4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33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32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31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30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9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8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7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6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5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4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23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22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21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20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9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8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7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6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5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4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13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12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11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10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9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8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7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6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5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4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403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402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401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400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9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8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7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6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5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4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93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92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91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90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9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8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7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6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5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4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83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82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81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80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9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8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7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6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5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4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73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72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71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70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9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8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7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6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5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4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63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62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61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60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9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8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7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6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5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4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53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52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51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50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9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8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7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6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5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4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43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42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41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40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9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8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7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6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5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4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33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32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31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30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9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8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7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6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5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4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23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22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21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20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9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8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7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6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5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4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13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12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11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10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9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8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7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6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5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4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303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302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301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300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9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8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7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6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5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4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93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92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91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90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9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8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7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6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5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4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83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82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81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80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9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8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7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6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5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4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73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72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71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70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9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8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7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6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5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4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63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62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61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60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9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8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7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6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5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4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53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52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51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50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9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8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7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6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5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4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43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42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41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40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9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8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7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6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5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4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33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32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31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30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9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8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7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6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5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4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23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22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21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20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9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8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7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6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5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4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13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12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11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10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9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8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7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6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5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4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203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202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201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200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9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8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7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6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5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4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93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92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91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90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9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8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7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6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5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4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83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82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81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80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9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8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7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6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5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4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73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72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71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70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9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8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7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6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5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4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63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62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61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60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9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8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7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6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5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4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53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52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51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50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9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8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7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6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5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4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43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42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41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40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9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8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7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6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5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4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33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32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31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30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9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8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7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6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5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4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23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22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21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20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9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8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7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6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5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4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13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12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11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10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9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8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7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6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5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4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103">
  <tableColumns count="8">
    <tableColumn id="1" xr3:uid="{6C000DDB-1222-4878-9DEC-AFE57A380D8F}" name="CIE-10" dataCellStyle="20% - Énfasis4"/>
    <tableColumn id="2" xr3:uid="{11BFF063-84CD-4C06-B884-CF42FBC10B3E}" name="D1" dataDxfId="1102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101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100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9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8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7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6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5">
  <tableColumns count="8">
    <tableColumn id="1" xr3:uid="{6EA4F35A-E808-408B-859E-1FDCFB690D57}" name="CIE-10" dataCellStyle="20% - Énfasis4"/>
    <tableColumn id="2" xr3:uid="{77EC5C26-0D73-46F5-BDA1-822594DFFADB}" name="D1" dataDxfId="1094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93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92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91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90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9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8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7">
  <tableColumns count="8">
    <tableColumn id="1" xr3:uid="{2809381C-CFE0-4FA3-9100-0AA10CEEB457}" name="CIE-10" dataCellStyle="20% - Énfasis4"/>
    <tableColumn id="2" xr3:uid="{284C0F9B-B43D-452F-813C-2FE19A8E16BF}" name="D1" dataDxfId="1086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5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4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83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82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81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80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9">
  <tableColumns count="8">
    <tableColumn id="1" xr3:uid="{6743B90F-E67E-4EDD-861F-DBE7821435FF}" name="CIE-10" dataCellStyle="20% - Énfasis4"/>
    <tableColumn id="2" xr3:uid="{7A1FD372-E9B2-44EB-8C0D-8B6ACE7D772E}" name="D1" dataDxfId="1078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7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6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5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4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73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72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71">
  <tableColumns count="8">
    <tableColumn id="1" xr3:uid="{3B90A657-A3FD-4334-A8BD-67CFBADE17CF}" name="CIE-10" dataCellStyle="20% - Énfasis4"/>
    <tableColumn id="2" xr3:uid="{49C6E7F2-A2EB-48DA-BB48-34D39EF589A7}" name="D1" dataDxfId="1070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9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8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7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6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5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4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63">
  <tableColumns count="8">
    <tableColumn id="1" xr3:uid="{F5F29B47-2361-4C95-8215-40408148D3AC}" name="CIE-10" dataCellStyle="20% - Énfasis4"/>
    <tableColumn id="2" xr3:uid="{D64F5C68-7319-40F7-9267-AE4FAB43A1B3}" name="D1" dataDxfId="1062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61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60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9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8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7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6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5">
  <tableColumns count="8">
    <tableColumn id="1" xr3:uid="{0978FF8D-467C-49EB-8BE3-211E0D49D649}" name="CIE-10" dataCellStyle="20% - Énfasis4"/>
    <tableColumn id="2" xr3:uid="{BAB19BA6-4B71-47EE-9247-2AC0972406E1}" name="D1" dataDxfId="1054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53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52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51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50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9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8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7">
  <tableColumns count="8">
    <tableColumn id="1" xr3:uid="{262F80D6-0F30-4DC1-B0C6-354B77B7971D}" name="CIE-10" dataCellStyle="20% - Énfasis4"/>
    <tableColumn id="2" xr3:uid="{0F97F99E-F506-47FA-9579-FE92A09CDC88}" name="D1" dataDxfId="1046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5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4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43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42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41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40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9">
  <tableColumns count="8">
    <tableColumn id="1" xr3:uid="{7BA20F6D-9B73-4C8D-8652-031522A38EF0}" name="CIE-10" dataCellStyle="20% - Énfasis4"/>
    <tableColumn id="2" xr3:uid="{6901F791-6018-4A02-A5EF-C9A5001633B6}" name="D1" dataDxfId="1038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7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6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5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4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33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32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31">
  <tableColumns count="8">
    <tableColumn id="1" xr3:uid="{A03F71A6-8A29-4F52-B084-27FBD5FDA933}" name="CIE-10" dataCellStyle="20% - Énfasis4"/>
    <tableColumn id="2" xr3:uid="{30ED9D73-5B62-4966-BEDD-5CE62ABD885D}" name="D1" dataDxfId="1030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9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8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7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6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5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4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23">
  <tableColumns count="8">
    <tableColumn id="1" xr3:uid="{2836B450-0267-4263-B314-35AF11D46D4B}" name="CIE-10" dataCellStyle="20% - Énfasis4"/>
    <tableColumn id="2" xr3:uid="{A14D9CD1-A028-4CCE-9F26-04652A3B200D}" name="D1" dataDxfId="1022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21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20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9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8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7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6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5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4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13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12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11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10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9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8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7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6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5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4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1003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1002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1001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1000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9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8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7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6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5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4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93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92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91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90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9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8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7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6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5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4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83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82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81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80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9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8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7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6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5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4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73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72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71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70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9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8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7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6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5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4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63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62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61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60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9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8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7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6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5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4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53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52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51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50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9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8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7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6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5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4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43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42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41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40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9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8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7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6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5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4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33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32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31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30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9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8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7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6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5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4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23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22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21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20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9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8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7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6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5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4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13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12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11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10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9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8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7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6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5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4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903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902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901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900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9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8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7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6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5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4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93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92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91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90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9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8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7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6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5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4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83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82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81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80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9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8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7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6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5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4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73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72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71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70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9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8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7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6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5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4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63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62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61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60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9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8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7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6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5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4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53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52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51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50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9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8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7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6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5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4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43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42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41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40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9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8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7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6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5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4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33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32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31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30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9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8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7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6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5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4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23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22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21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20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9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8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7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6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5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4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13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12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11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10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9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8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7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6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5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4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803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802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801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800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9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8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7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6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5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4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93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92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91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90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9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8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7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6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5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4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83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82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81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80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9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8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7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6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5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4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73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72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71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70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9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8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7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6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5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4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63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62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61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60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9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8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7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6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5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4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53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52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51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50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9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8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7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6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5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4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43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42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41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40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9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8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7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6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5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4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33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32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31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30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9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8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7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6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5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4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23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22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21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20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9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8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7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6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5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4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13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12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11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10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9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8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7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6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5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4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703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702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701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700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9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8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7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6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5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4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93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92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91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90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9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8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7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6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5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4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83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82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81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80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9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8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7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6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5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4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73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72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71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70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9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8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7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6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5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4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63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62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61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60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9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8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7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6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5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4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53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52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51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50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9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8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7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6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5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4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43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42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41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40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9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8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7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6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5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4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33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32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31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30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9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8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7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6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5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4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23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22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21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20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9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8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7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6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5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4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13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12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11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10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9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8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7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6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5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4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603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602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601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600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9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8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7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6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5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4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93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92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91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90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9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8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7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6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5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4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83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82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81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80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9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8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7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6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5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4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73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72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71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70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9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8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7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6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5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4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63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62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61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60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9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8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7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6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5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4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53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52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51">
  <tableColumns count="8">
    <tableColumn id="1" xr3:uid="{485F194B-50E7-4EB0-AFA1-A1A8E51CB2CF}" name="CIE-10" dataCellStyle="20% - Énfasis4"/>
    <tableColumn id="2" xr3:uid="{36314886-388C-4F91-96F1-C0758381A961}" name="D1" dataDxfId="550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9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8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7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6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5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4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43">
  <tableColumns count="8">
    <tableColumn id="1" xr3:uid="{FFDA94AE-A371-4F16-9093-5FF9394511DB}" name="CIE-10" dataCellStyle="20% - Énfasis4"/>
    <tableColumn id="2" xr3:uid="{1D68D946-4CCA-4F64-9B48-2E43DDF353AC}" name="D1" dataDxfId="542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41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40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9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8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7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6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5">
  <tableColumns count="8">
    <tableColumn id="1" xr3:uid="{07D5ED23-3A0C-4FBD-A509-98CD7932F04C}" name="CIE-10" dataCellStyle="20% - Énfasis4"/>
    <tableColumn id="2" xr3:uid="{D6E153FA-65E9-4920-9413-7B5A72703DA7}" name="D1" dataDxfId="534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33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32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31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30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9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8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7">
  <tableColumns count="8">
    <tableColumn id="1" xr3:uid="{B7EDA159-4D7A-40F9-9F16-407EECB20701}" name="CIE-10" dataCellStyle="20% - Énfasis4"/>
    <tableColumn id="2" xr3:uid="{62C3A344-E81C-4C9C-9D32-37068148C558}" name="D1" dataDxfId="526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5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4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23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22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21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20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9">
  <tableColumns count="8">
    <tableColumn id="1" xr3:uid="{0A53E7E0-58BB-48FD-9BBE-74C67AEEECDC}" name="CIE-10" dataCellStyle="20% - Énfasis4"/>
    <tableColumn id="2" xr3:uid="{E0E63266-E7E9-43B4-BFD5-669E5DC454B4}" name="D1" dataDxfId="518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7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6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5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4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13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12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11">
  <tableColumns count="8">
    <tableColumn id="1" xr3:uid="{ECC097B9-67AC-4293-B12C-FFE8F8F26A6B}" name="CIE-10" dataCellStyle="20% - Énfasis4"/>
    <tableColumn id="2" xr3:uid="{E32ABAC2-FFDC-465F-8166-06A248A93DED}" name="D1" dataDxfId="510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9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8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7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6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5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4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503">
  <tableColumns count="8">
    <tableColumn id="1" xr3:uid="{0788223D-7D62-46C8-B35C-6AD5D828343D}" name="CIE-10" dataCellStyle="20% - Énfasis4"/>
    <tableColumn id="2" xr3:uid="{09444313-D407-4675-9FE5-B4AC5B5CB06A}" name="D1" dataDxfId="502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501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500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9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8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7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6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5">
  <tableColumns count="8">
    <tableColumn id="1" xr3:uid="{94B4EBA3-4AFA-4367-96D9-B15AC6BB8F02}" name="CIE-10" dataCellStyle="20% - Énfasis4"/>
    <tableColumn id="2" xr3:uid="{3EE32E28-17A4-4924-8CA1-CE334B89BFC2}" name="D1" dataDxfId="494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93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92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91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90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9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8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7">
  <tableColumns count="8">
    <tableColumn id="1" xr3:uid="{F21731D5-B024-4A92-9EAA-5B7E60B386CC}" name="CIE-10" dataCellStyle="20% - Énfasis4"/>
    <tableColumn id="2" xr3:uid="{F5AC9A93-B268-4C06-9B3D-765E78C7D31D}" name="D1" dataDxfId="486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5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4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83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82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81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80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9">
  <tableColumns count="8">
    <tableColumn id="1" xr3:uid="{B23C6EF0-6A7C-4DFA-AAB4-88B958A9D0B8}" name="CIE-10" dataCellStyle="20% - Énfasis4"/>
    <tableColumn id="2" xr3:uid="{BAFFF443-879B-4129-8878-20153FD6CBAF}" name="D1" dataDxfId="478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7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6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5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4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73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72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71">
  <tableColumns count="8">
    <tableColumn id="1" xr3:uid="{4876A47A-3A7B-4100-AC69-9308AFAAA8B3}" name="CIE-10" dataCellStyle="20% - Énfasis4"/>
    <tableColumn id="2" xr3:uid="{82217324-5F8B-430A-A3B2-1D4DED663968}" name="D1" dataDxfId="470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9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8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7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6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5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4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63">
  <tableColumns count="8">
    <tableColumn id="1" xr3:uid="{8A4FAB83-430C-4C83-B8C6-67F894AB0932}" name="CIE-10" dataCellStyle="20% - Énfasis4"/>
    <tableColumn id="2" xr3:uid="{ADE2F350-064D-4BCA-A236-FEC666D0995A}" name="D1" dataDxfId="462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61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60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9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8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7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6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5">
  <tableColumns count="8">
    <tableColumn id="1" xr3:uid="{661B6F5E-5039-4402-A857-1D0D85673CF1}" name="CIE-10" dataCellStyle="20% - Énfasis4"/>
    <tableColumn id="2" xr3:uid="{579F30F0-6206-4C0F-A699-227864E6B1AD}" name="D1" dataDxfId="454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53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52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51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50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9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8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7">
  <tableColumns count="8">
    <tableColumn id="1" xr3:uid="{9B9D0452-848B-48DB-A0C0-042F2014A69D}" name="CIE-10" dataCellStyle="20% - Énfasis4"/>
    <tableColumn id="2" xr3:uid="{D1EE73A2-BB95-4D5B-B245-027DC738A513}" name="D1" dataDxfId="446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5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4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43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42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41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40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9">
  <tableColumns count="8">
    <tableColumn id="1" xr3:uid="{5BCC715D-AC73-4C2D-8E7E-7955668E7CCF}" name="CIE-10" dataCellStyle="20% - Énfasis4"/>
    <tableColumn id="2" xr3:uid="{AC248224-CE59-4C9C-AC30-83E6492BC28D}" name="D1" dataDxfId="438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7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6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5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4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33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32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31">
  <tableColumns count="8">
    <tableColumn id="1" xr3:uid="{7AA3C4BC-6F1A-4715-AB51-FB6A4EB9AE6C}" name="CIE-10" dataCellStyle="20% - Énfasis4"/>
    <tableColumn id="2" xr3:uid="{D84E5A8E-A6CD-47BE-96F8-BEF0805CD000}" name="D1" dataDxfId="430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9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8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7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6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5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4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23">
  <tableColumns count="8">
    <tableColumn id="1" xr3:uid="{594E9755-D854-4433-B7FB-F8CCD2D87A83}" name="CIE-10" dataCellStyle="20% - Énfasis4"/>
    <tableColumn id="2" xr3:uid="{00BBECBD-793C-493C-99D2-280A2119A94A}" name="D1" dataDxfId="422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21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20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9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8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7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6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5">
  <tableColumns count="8">
    <tableColumn id="1" xr3:uid="{FAD4996F-3DBF-43F3-A14A-6B9BA3EA4E0B}" name="CIE-10" dataCellStyle="20% - Énfasis4"/>
    <tableColumn id="2" xr3:uid="{86174468-3825-459C-826E-333C922F74FD}" name="D1" dataDxfId="414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13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12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11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10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9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8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7">
  <tableColumns count="8">
    <tableColumn id="1" xr3:uid="{DF670D0C-4464-4F12-9785-24E14A529F59}" name="CIE-10" dataCellStyle="20% - Énfasis4"/>
    <tableColumn id="2" xr3:uid="{1D8A52CB-C017-4593-B95F-568A53509F27}" name="D1" dataDxfId="406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5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4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403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402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401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400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9">
  <tableColumns count="8">
    <tableColumn id="1" xr3:uid="{F0E5135E-B9DE-4890-91E0-21B3EDCD9248}" name="CIE-10" dataCellStyle="20% - Énfasis4"/>
    <tableColumn id="2" xr3:uid="{D2E58B5A-F4F4-42DB-B678-0ABE50BA4AA6}" name="D1" dataDxfId="398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7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6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5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4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93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92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91">
  <tableColumns count="8">
    <tableColumn id="1" xr3:uid="{28E6AF65-4E98-4E80-A86F-1B9B49A6F108}" name="CIE-10" dataCellStyle="20% - Énfasis4"/>
    <tableColumn id="2" xr3:uid="{337D3BEF-5DE9-49CC-89E7-E0987B9055DE}" name="D1" dataDxfId="390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9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8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7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6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5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4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83">
  <tableColumns count="8">
    <tableColumn id="1" xr3:uid="{DC14A9AF-F8FA-4F85-8C5C-150D54BD65F9}" name="CIE-10" dataCellStyle="20% - Énfasis4"/>
    <tableColumn id="2" xr3:uid="{1831DAF1-C15B-4B6C-B69C-6BA5EF587B3A}" name="D1" dataDxfId="382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81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80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9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8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7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6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5">
  <tableColumns count="8">
    <tableColumn id="1" xr3:uid="{7D65BBE1-5B33-488E-9779-A3A01EA2C8CA}" name="CIE-10" dataCellStyle="20% - Énfasis4"/>
    <tableColumn id="2" xr3:uid="{5B6A21AF-A8C1-47D2-A944-9E4E0C89CB52}" name="D1" dataDxfId="374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73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72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71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70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9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8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7">
  <tableColumns count="8">
    <tableColumn id="1" xr3:uid="{991F1851-EDDA-433A-92FC-06CB7549AB22}" name="CIE-10" dataCellStyle="20% - Énfasis4"/>
    <tableColumn id="2" xr3:uid="{554C24BB-2A25-4698-A896-454D4418C516}" name="D1" dataDxfId="366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5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4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63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62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61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60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9">
  <tableColumns count="8">
    <tableColumn id="1" xr3:uid="{F85589BF-2C94-42E6-9D26-A0981E7610A9}" name="CIE-10" dataCellStyle="20% - Énfasis4"/>
    <tableColumn id="2" xr3:uid="{852D2A7C-F8B2-48C1-9E0F-3F4D7D79E9A5}" name="D1" dataDxfId="358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7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6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5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4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53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52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51">
  <tableColumns count="8">
    <tableColumn id="1" xr3:uid="{A14620F2-FE0B-4932-8A1D-78E1B0FE085E}" name="CIE-10" dataCellStyle="20% - Énfasis4"/>
    <tableColumn id="2" xr3:uid="{170F70CC-B632-4DE5-90B4-A733B5DEF1E3}" name="D1" dataDxfId="350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9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8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7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6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5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4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43">
  <tableColumns count="8">
    <tableColumn id="1" xr3:uid="{4CA884E9-22A7-4EB4-8ABE-B9DDB69817E6}" name="CIE-10" dataCellStyle="20% - Énfasis4"/>
    <tableColumn id="2" xr3:uid="{07FC41BC-9CA0-496C-96C0-1BB34E33B7C4}" name="D1" dataDxfId="342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41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40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9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8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7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6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5">
  <tableColumns count="8">
    <tableColumn id="1" xr3:uid="{EC18A1D7-C07F-46A5-BF3E-5DAC54503B29}" name="CIE-10" dataCellStyle="20% - Énfasis4"/>
    <tableColumn id="2" xr3:uid="{B50E2205-E0D0-4BA8-A055-390A0CB35D11}" name="D1" dataDxfId="334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33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32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31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30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9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8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7">
  <tableColumns count="8">
    <tableColumn id="1" xr3:uid="{D56E0F40-7970-4D19-9C11-9BA97085C37F}" name="CIE-10" dataCellStyle="20% - Énfasis4"/>
    <tableColumn id="2" xr3:uid="{42E778BD-7B47-449E-9AA3-8340859C38E1}" name="D1" dataDxfId="326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5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4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23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22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21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20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9">
  <tableColumns count="8">
    <tableColumn id="1" xr3:uid="{B1AA5655-9F13-4D9F-8811-EC78EFE52700}" name="CIE-10" dataCellStyle="20% - Énfasis4"/>
    <tableColumn id="2" xr3:uid="{B000D996-DC6D-4401-B3FD-24816456560B}" name="D1" dataDxfId="318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7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6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5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4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13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12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11">
  <tableColumns count="8">
    <tableColumn id="1" xr3:uid="{8C8975C2-8AD7-4456-980D-AAAD64347CFB}" name="CIE-10" dataCellStyle="20% - Énfasis4"/>
    <tableColumn id="2" xr3:uid="{88419812-E88B-4905-85A2-32F17895F471}" name="D1" dataDxfId="310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9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8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7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6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5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4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303">
  <tableColumns count="8">
    <tableColumn id="1" xr3:uid="{B2D9A653-61A7-4544-BB0E-133676EBCDDE}" name="CIE-10" dataCellStyle="20% - Énfasis4"/>
    <tableColumn id="2" xr3:uid="{49658863-7264-4FDE-B797-A1ECAF4BF609}" name="D1" dataDxfId="302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301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300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9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8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7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6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5">
  <tableColumns count="8">
    <tableColumn id="1" xr3:uid="{FF0BDB1E-7BA5-4E6C-9836-EF219F19A2CC}" name="CIE-10" dataCellStyle="20% - Énfasis4"/>
    <tableColumn id="2" xr3:uid="{2284D742-F25F-49C9-9CC3-E9CB37A07D61}" name="D1" dataDxfId="294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93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92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91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90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9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8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7">
  <tableColumns count="8">
    <tableColumn id="1" xr3:uid="{7A8A1C5C-B47F-4366-98A0-200B3BC445F4}" name="CIE-10" dataCellStyle="20% - Énfasis4"/>
    <tableColumn id="2" xr3:uid="{3FDD53D7-F4EC-4074-8E7D-05EB20140876}" name="D1" dataDxfId="286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5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4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83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82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81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80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9">
  <tableColumns count="8">
    <tableColumn id="1" xr3:uid="{0C82E2D5-11BD-4A0D-A560-E155A1BE7B69}" name="CIE-10" dataCellStyle="20% - Énfasis4"/>
    <tableColumn id="2" xr3:uid="{49B280B8-9DDF-4F3D-98F1-0EB1EF3E19CA}" name="D1" dataDxfId="278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7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6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5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4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73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72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71">
  <tableColumns count="8">
    <tableColumn id="1" xr3:uid="{066779C6-11AE-47BE-9AD8-17218BA9446B}" name="CIE-10" dataCellStyle="20% - Énfasis4"/>
    <tableColumn id="2" xr3:uid="{7A52FDC6-9BA3-4CE5-B833-29A19C582E97}" name="D1" dataDxfId="270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9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8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7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6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5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4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63">
  <tableColumns count="8">
    <tableColumn id="1" xr3:uid="{7C0659D3-8C52-4928-84E9-E2B209CDE5FE}" name="CIE-10" dataCellStyle="20% - Énfasis4"/>
    <tableColumn id="2" xr3:uid="{269253D5-7E96-48B9-ADE1-89B8B7E78243}" name="D1" dataDxfId="262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61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60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9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8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7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6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5">
  <tableColumns count="8">
    <tableColumn id="1" xr3:uid="{D43E2FCC-83B2-47C0-B20E-BE9F72ABF6CB}" name="CIE-10" dataCellStyle="20% - Énfasis4"/>
    <tableColumn id="2" xr3:uid="{33109BB2-0C0C-4436-A5EC-D69B3A224DE5}" name="D1" dataDxfId="254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53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52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51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50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9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8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7">
  <tableColumns count="8">
    <tableColumn id="1" xr3:uid="{E50E8BCC-1751-479B-8A06-AAAA838AD3A4}" name="CIE-10" dataCellStyle="20% - Énfasis4"/>
    <tableColumn id="2" xr3:uid="{F593A6F5-13F0-4CBD-8E9C-AEA9ED745225}" name="D1" dataDxfId="246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5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4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43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42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41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40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9">
  <tableColumns count="8">
    <tableColumn id="1" xr3:uid="{D31497DD-C1D2-4F46-BFC8-DDF08417D8FF}" name="CIE-10" dataCellStyle="20% - Énfasis4"/>
    <tableColumn id="2" xr3:uid="{D93A934F-23C7-47C1-BB3C-0F38B61859B5}" name="D1" dataDxfId="238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7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6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5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4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33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32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31">
  <tableColumns count="8">
    <tableColumn id="1" xr3:uid="{1AB8B76E-51B4-4C8B-8EE6-84E200FEF3BE}" name="CIE-10" dataCellStyle="20% - Énfasis4"/>
    <tableColumn id="2" xr3:uid="{DAAA6E9E-4C69-44A7-BE74-7AFEC821CE89}" name="D1" dataDxfId="230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9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8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7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6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5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4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23">
  <tableColumns count="8">
    <tableColumn id="1" xr3:uid="{54EE5AEA-623E-4C57-B6A3-06E723A7EAEC}" name="CIE-10" dataCellStyle="20% - Énfasis4"/>
    <tableColumn id="2" xr3:uid="{B138ED00-AE14-462B-A7E5-6C5137B7B4F1}" name="D1" dataDxfId="222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21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20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9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8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7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6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5">
  <tableColumns count="8">
    <tableColumn id="1" xr3:uid="{7429D245-5CA9-4903-BEB5-DA479D08C7C0}" name="CIE-10" dataCellStyle="20% - Énfasis4"/>
    <tableColumn id="2" xr3:uid="{D9774041-46ED-4AE5-9FB1-3FDCD913804F}" name="D1" dataDxfId="214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13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12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11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10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9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8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7">
  <tableColumns count="8">
    <tableColumn id="1" xr3:uid="{5FFDCB52-0E81-450E-B3EF-F510452C9840}" name="CIE-10" dataCellStyle="20% - Énfasis4"/>
    <tableColumn id="2" xr3:uid="{3089415D-B803-44DB-AAF6-CC32949B6005}" name="D1" dataDxfId="206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5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4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203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202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201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200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9">
  <tableColumns count="8">
    <tableColumn id="1" xr3:uid="{15C30AFA-1E70-428C-949F-4633E8B6CE50}" name="CIE-10" dataCellStyle="20% - Énfasis4"/>
    <tableColumn id="2" xr3:uid="{53C6A50A-A9A3-4C7A-ADA1-BE3EF7AA2B17}" name="D1" dataDxfId="198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7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6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5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4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93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92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91">
  <tableColumns count="8">
    <tableColumn id="1" xr3:uid="{F8D1601E-E9F5-4790-8AB4-BD609A048596}" name="CIE-10" dataCellStyle="20% - Énfasis4"/>
    <tableColumn id="2" xr3:uid="{5B15F200-6D7D-46ED-B74A-F434B1F60C2B}" name="D1" dataDxfId="190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9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8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7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6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5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4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83">
  <tableColumns count="8">
    <tableColumn id="1" xr3:uid="{84398776-0BCB-41FF-BCF1-6B03D626C2A9}" name="CIE-10" dataCellStyle="20% - Énfasis4"/>
    <tableColumn id="2" xr3:uid="{4439E683-86E6-4B94-8053-30431DEDD8B9}" name="D1" dataDxfId="182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81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80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9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8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7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6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5">
  <tableColumns count="8">
    <tableColumn id="1" xr3:uid="{6AFDA0B4-8007-41DF-85DB-ACA0EF4A443A}" name="CIE-10" dataCellStyle="20% - Énfasis4"/>
    <tableColumn id="2" xr3:uid="{238736BA-6DBE-42F3-AA97-8F9A546DD393}" name="D1" dataDxfId="174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73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72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71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70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9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8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7">
  <tableColumns count="8">
    <tableColumn id="1" xr3:uid="{4A881AE3-CDF9-4E38-902E-F07FA47FE646}" name="CIE-10" dataCellStyle="20% - Énfasis4"/>
    <tableColumn id="2" xr3:uid="{25F6A45E-7B32-4EE2-954D-0D77A5856265}" name="D1" dataDxfId="166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5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4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63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62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61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60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9">
  <tableColumns count="8">
    <tableColumn id="1" xr3:uid="{33A471A1-152B-4D7B-8C30-3C6307A4273F}" name="CIE-10" dataCellStyle="20% - Énfasis4"/>
    <tableColumn id="2" xr3:uid="{9BCB888C-B90D-4C44-9BEA-7F3E77A6C430}" name="D1" dataDxfId="158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7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6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5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4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53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52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51">
  <tableColumns count="8">
    <tableColumn id="1" xr3:uid="{BC2CD186-0BB6-4392-B3FC-07D185BCC7E9}" name="CIE-10" dataCellStyle="20% - Énfasis4"/>
    <tableColumn id="2" xr3:uid="{6FA63126-D8A6-4C7B-BBA1-1CAFB713A760}" name="D1" dataDxfId="150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9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8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7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6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5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4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43">
  <tableColumns count="8">
    <tableColumn id="1" xr3:uid="{3106C332-43B0-465A-8D62-CCF1073959F6}" name="CIE-10" dataCellStyle="20% - Énfasis4"/>
    <tableColumn id="2" xr3:uid="{55B24048-6433-4616-BB97-7A2123CD1CB6}" name="D1" dataDxfId="142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41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40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9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8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7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6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4">
  <tableColumns count="8">
    <tableColumn id="1" xr3:uid="{9D9791F5-E526-4518-B909-1B86466588F3}" name="CIE-10" dataCellStyle="20% - Énfasis4"/>
    <tableColumn id="2" xr3:uid="{0A8399F0-FE12-49FE-9B81-D150A7340DA2}" name="D1" dataDxfId="133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32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31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30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9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8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7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6">
  <tableColumns count="8">
    <tableColumn id="1" xr3:uid="{C4245619-90C1-42AB-A7AB-3E551B6EDCE0}" name="CIE-10" dataCellStyle="20% - Énfasis4"/>
    <tableColumn id="2" xr3:uid="{5A0AE592-1CD9-488B-B08D-C500B68EAC32}" name="D1" dataDxfId="125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4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3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22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21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20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9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8">
  <tableColumns count="8">
    <tableColumn id="1" xr3:uid="{5D2F212D-C943-45FA-BC31-5CADABF5D27B}" name="CIE-10" dataCellStyle="20% - Énfasis4"/>
    <tableColumn id="2" xr3:uid="{0CE0B35C-9F29-4547-B17B-D1E581ACE9F4}" name="D1" dataDxfId="117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6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5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4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3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12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11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10">
  <tableColumns count="8">
    <tableColumn id="1" xr3:uid="{5C0900A8-BAFE-46A6-BFAA-DD2FE9072A82}" name="CIE-10" dataCellStyle="20% - Énfasis4"/>
    <tableColumn id="2" xr3:uid="{4E00524A-3F9A-4873-A92E-F83525DFA3E9}" name="D1" dataDxfId="109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8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7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6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5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4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3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100">
  <tableColumns count="8">
    <tableColumn id="1" xr3:uid="{A82C0F40-E720-4AE0-8F87-32E2986C5251}" name="CIE-10" dataCellStyle="20% - Énfasis4"/>
    <tableColumn id="2" xr3:uid="{D60A0F84-E64D-4879-8C26-B5195D9B47ED}" name="D1" dataDxfId="99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8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7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6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5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4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3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2">
  <tableColumns count="8">
    <tableColumn id="1" xr3:uid="{C2E43ADD-9952-48ED-883D-308E54072DC4}" name="CIE-10" dataCellStyle="20% - Énfasis4"/>
    <tableColumn id="2" xr3:uid="{9A4A916C-8F95-4938-BC2A-0F8B12197664}" name="D1" dataDxfId="91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90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9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8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7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6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5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4" t="s">
        <v>0</v>
      </c>
      <c r="B1" s="76"/>
      <c r="C1" s="76"/>
      <c r="D1" s="76"/>
      <c r="E1" s="76"/>
      <c r="F1" s="76"/>
      <c r="G1" s="75"/>
      <c r="H1" s="74" t="s">
        <v>1</v>
      </c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5"/>
      <c r="U1" s="74" t="s">
        <v>2</v>
      </c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5"/>
      <c r="AO1" s="74" t="s">
        <v>3</v>
      </c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5"/>
      <c r="BC1" s="74" t="s">
        <v>4</v>
      </c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5"/>
      <c r="BU1" s="74" t="s">
        <v>5</v>
      </c>
      <c r="BV1" s="75"/>
      <c r="BW1" s="74" t="s">
        <v>6</v>
      </c>
      <c r="BX1" s="75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1" bestFit="1" customWidth="1"/>
    <col min="37" max="37" width="11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2" t="s">
        <v>85</v>
      </c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J1" s="77" t="s">
        <v>86</v>
      </c>
      <c r="AK1" s="78"/>
    </row>
    <row r="2" spans="1:37" ht="18" customHeight="1" thickBot="1">
      <c r="A2" s="79" t="s">
        <v>87</v>
      </c>
      <c r="B2" s="80"/>
      <c r="C2" s="80"/>
      <c r="D2" s="80"/>
      <c r="E2" s="80"/>
      <c r="F2" s="80"/>
      <c r="G2" s="80"/>
      <c r="H2" s="80"/>
      <c r="J2" s="81" t="s">
        <v>88</v>
      </c>
      <c r="K2" s="80"/>
      <c r="L2" s="80"/>
      <c r="M2" s="80"/>
      <c r="N2" s="80"/>
      <c r="O2" s="85" t="s">
        <v>89</v>
      </c>
      <c r="P2" s="84"/>
      <c r="Q2" s="78"/>
      <c r="R2" s="84"/>
      <c r="S2" s="84"/>
      <c r="T2" s="84"/>
      <c r="U2" s="86" t="s">
        <v>90</v>
      </c>
      <c r="V2" s="80"/>
      <c r="W2" s="80"/>
      <c r="X2" s="80"/>
      <c r="Y2" s="80"/>
      <c r="Z2" s="80"/>
      <c r="AB2" s="79" t="s">
        <v>91</v>
      </c>
      <c r="AC2" s="80"/>
      <c r="AD2" s="80"/>
      <c r="AE2" s="80"/>
      <c r="AF2" s="80"/>
      <c r="AG2" s="80"/>
      <c r="AH2" s="80"/>
      <c r="AI2" s="80"/>
      <c r="AJ2" s="1" t="s">
        <v>10</v>
      </c>
      <c r="AK2" t="s">
        <v>92</v>
      </c>
    </row>
    <row r="3" spans="1:37" ht="15.75" customHeight="1" thickTop="1">
      <c r="A3" s="6" t="str">
        <f>_xlfn.CONCAT("TOTAL: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_xlfn.CONCAT("TOTAL: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_xlfn.CONCAT("TOTAL: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_xlfn.CONCAT("TOTAL: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7" t="str">
        <f>IF(COUNTA(BASE[Fecha])&gt;0,_xlfn.CONCAT(TEXT(MIN(BASE[Fecha]),"DD-MM-YYYY")," - ",TEXT(MAX(BASE[Fecha]),"DD-MM-YYYY"))," - ")</f>
        <v xml:space="preserve"> - </v>
      </c>
      <c r="AK3" s="87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306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307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308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79" t="s">
        <v>125</v>
      </c>
      <c r="B17" s="80"/>
      <c r="C17" s="80"/>
      <c r="D17" s="80"/>
      <c r="E17" s="80"/>
      <c r="F17" s="80"/>
      <c r="G17" s="80"/>
      <c r="H17" s="80"/>
      <c r="J17" s="79" t="s">
        <v>126</v>
      </c>
      <c r="K17" s="80"/>
      <c r="L17" s="80"/>
      <c r="M17" s="80"/>
      <c r="N17" s="80"/>
      <c r="O17" s="80"/>
      <c r="P17" s="80"/>
      <c r="Q17" s="80"/>
      <c r="S17" s="79" t="s">
        <v>127</v>
      </c>
      <c r="T17" s="80"/>
      <c r="U17" s="80"/>
      <c r="V17" s="80"/>
      <c r="W17" s="80"/>
      <c r="X17" s="80"/>
      <c r="Y17" s="80"/>
      <c r="Z17" s="80"/>
      <c r="AB17" s="79" t="s">
        <v>128</v>
      </c>
      <c r="AC17" s="80"/>
      <c r="AD17" s="80"/>
      <c r="AE17" s="80"/>
      <c r="AF17" s="80"/>
      <c r="AG17" s="80"/>
      <c r="AH17" s="80"/>
      <c r="AI17" s="80"/>
    </row>
    <row r="18" spans="1:35" ht="15.75" customHeight="1" thickTop="1">
      <c r="A18" s="6" t="str">
        <f>_xlfn.CONCAT("TOTAL: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_xlfn.CONCAT("TOTAL: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_xlfn.CONCAT("TOTAL: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_xlfn.CONCAT("TOTAL: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3" t="s">
        <v>142</v>
      </c>
      <c r="T25" s="84"/>
      <c r="U25" s="84"/>
      <c r="V25" s="84"/>
      <c r="W25" s="84"/>
      <c r="X25" s="84"/>
      <c r="Y25" s="84"/>
      <c r="Z25" s="78"/>
      <c r="AA25" s="84"/>
      <c r="AB25" s="84"/>
      <c r="AC25" s="84"/>
      <c r="AD25" s="84"/>
      <c r="AE25" s="84"/>
      <c r="AF25" s="84"/>
      <c r="AG25" s="84"/>
      <c r="AH25" s="84"/>
      <c r="AI25" s="78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</row>
    <row r="27" spans="1:35">
      <c r="S27" s="84"/>
      <c r="T27" s="84"/>
      <c r="U27" s="84"/>
      <c r="V27" s="84"/>
      <c r="W27" s="84"/>
      <c r="X27" s="84"/>
      <c r="Y27" s="84"/>
      <c r="Z27" s="78"/>
      <c r="AA27" s="84"/>
      <c r="AB27" s="84"/>
      <c r="AC27" s="84"/>
      <c r="AD27" s="84"/>
      <c r="AE27" s="84"/>
      <c r="AF27" s="84"/>
      <c r="AG27" s="84"/>
      <c r="AH27" s="84"/>
      <c r="AI27" s="78"/>
    </row>
    <row r="28" spans="1:35" ht="18" customHeight="1" thickBot="1">
      <c r="A28" s="79" t="s">
        <v>144</v>
      </c>
      <c r="B28" s="80"/>
      <c r="C28" s="80"/>
      <c r="D28" s="80"/>
      <c r="E28" s="80"/>
      <c r="F28" s="80"/>
      <c r="G28" s="80"/>
      <c r="H28" s="80"/>
      <c r="J28" s="79" t="s">
        <v>145</v>
      </c>
      <c r="K28" s="80"/>
      <c r="L28" s="80"/>
      <c r="M28" s="80"/>
      <c r="N28" s="80"/>
      <c r="O28" s="80"/>
      <c r="P28" s="80"/>
      <c r="Q28" s="80"/>
      <c r="S28" s="84"/>
      <c r="T28" s="84"/>
      <c r="U28" s="84"/>
      <c r="V28" s="84"/>
      <c r="W28" s="84"/>
      <c r="X28" s="84"/>
      <c r="Y28" s="84"/>
      <c r="Z28" s="78"/>
      <c r="AA28" s="84"/>
      <c r="AB28" s="84"/>
      <c r="AC28" s="84"/>
      <c r="AD28" s="84"/>
      <c r="AE28" s="84"/>
      <c r="AF28" s="84"/>
      <c r="AG28" s="84"/>
      <c r="AH28" s="84"/>
      <c r="AI28" s="78"/>
    </row>
    <row r="29" spans="1:35" ht="15.75" customHeight="1" thickTop="1">
      <c r="A29" s="6" t="str">
        <f>_xlfn.CONCAT("TOTAL: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_xlfn.CONCAT("TOTAL: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4"/>
      <c r="T29" s="84"/>
      <c r="U29" s="84"/>
      <c r="V29" s="84"/>
      <c r="W29" s="84"/>
      <c r="X29" s="84"/>
      <c r="Y29" s="84"/>
      <c r="Z29" s="78"/>
      <c r="AA29" s="84"/>
      <c r="AB29" s="84"/>
      <c r="AC29" s="84"/>
      <c r="AD29" s="84"/>
      <c r="AE29" s="84"/>
      <c r="AF29" s="84"/>
      <c r="AG29" s="84"/>
      <c r="AH29" s="84"/>
      <c r="AI29" s="78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4"/>
      <c r="T30" s="84"/>
      <c r="U30" s="84"/>
      <c r="V30" s="84"/>
      <c r="W30" s="84"/>
      <c r="X30" s="84"/>
      <c r="Y30" s="84"/>
      <c r="Z30" s="78"/>
      <c r="AA30" s="84"/>
      <c r="AB30" s="84"/>
      <c r="AC30" s="84"/>
      <c r="AD30" s="84"/>
      <c r="AE30" s="84"/>
      <c r="AF30" s="84"/>
      <c r="AG30" s="84"/>
      <c r="AH30" s="84"/>
      <c r="AI30" s="78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329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614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4" priority="4" operator="greaterThan">
      <formula>0</formula>
    </cfRule>
  </conditionalFormatting>
  <conditionalFormatting sqref="K5:Q15">
    <cfRule type="cellIs" dxfId="83" priority="3" operator="greaterThan">
      <formula>0</formula>
    </cfRule>
  </conditionalFormatting>
  <conditionalFormatting sqref="T5:Z13">
    <cfRule type="cellIs" dxfId="82" priority="2" operator="greaterThan">
      <formula>0</formula>
    </cfRule>
  </conditionalFormatting>
  <conditionalFormatting sqref="AC5:AI13 AC20:AI20 T20:Z21 B20:H23 K20:Q26 B31:H33 K31:Q37">
    <cfRule type="cellIs" dxfId="81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2"/>
  <sheetViews>
    <sheetView showGridLines="0" zoomScale="85" zoomScaleNormal="85" workbookViewId="0">
      <selection activeCell="O5" sqref="O5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2" t="s">
        <v>154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92" t="s">
        <v>155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9" t="s">
        <v>86</v>
      </c>
      <c r="O2" s="84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134" t="s">
        <v>156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88" t="str">
        <f>IF(COUNTA(BASE[Fecha])&gt;0,_xlfn.CONCAT(TEXT(MIN(BASE[Fecha]),"DD-MM-YYYY")," - ",TEXT(MAX(BASE[Fecha]),"DD-MM-YYYY"))," - ")</f>
        <v xml:space="preserve"> - </v>
      </c>
      <c r="O4" s="8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_xlfn.CONCAT("Establecimiento: ",$O$3)</f>
        <v>Establecimiento: (Todas)</v>
      </c>
      <c r="C5" s="13"/>
      <c r="D5" s="13"/>
      <c r="E5" s="13"/>
      <c r="F5" s="17"/>
      <c r="G5" s="17"/>
      <c r="H5" s="19" t="str">
        <f>_xlfn.CONCAT("N°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21" t="s">
        <v>159</v>
      </c>
      <c r="C6" s="122"/>
      <c r="D6" s="122"/>
      <c r="E6" s="122"/>
      <c r="F6" s="122"/>
      <c r="G6" s="123"/>
      <c r="H6" s="121" t="s">
        <v>160</v>
      </c>
      <c r="I6" s="122"/>
      <c r="J6" s="122"/>
      <c r="K6" s="122"/>
      <c r="L6" s="122"/>
      <c r="M6" s="12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125" t="s">
        <v>161</v>
      </c>
      <c r="C7" s="101"/>
      <c r="D7" s="23" t="s">
        <v>162</v>
      </c>
      <c r="E7" s="24" t="s">
        <v>163</v>
      </c>
      <c r="F7" s="24" t="s">
        <v>164</v>
      </c>
      <c r="G7" s="25" t="s">
        <v>165</v>
      </c>
      <c r="H7" s="125" t="s">
        <v>166</v>
      </c>
      <c r="I7" s="101"/>
      <c r="J7" s="124" t="s">
        <v>162</v>
      </c>
      <c r="K7" s="108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100"/>
      <c r="C8" s="101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100"/>
      <c r="I8" s="101"/>
      <c r="J8" s="93" t="s">
        <v>170</v>
      </c>
      <c r="K8" s="94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100"/>
      <c r="C9" s="101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100"/>
      <c r="I9" s="101"/>
      <c r="J9" s="93" t="s">
        <v>174</v>
      </c>
      <c r="K9" s="94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100"/>
      <c r="C10" s="101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100"/>
      <c r="I10" s="101"/>
      <c r="J10" s="93" t="s">
        <v>178</v>
      </c>
      <c r="K10" s="94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100"/>
      <c r="C11" s="101"/>
      <c r="D11" s="93" t="s">
        <v>180</v>
      </c>
      <c r="E11" s="115" t="s">
        <v>181</v>
      </c>
      <c r="F11" s="90">
        <f>SUM(ENOS_G1_POLIOMIELITIS_AGUDA[TOT])</f>
        <v>0</v>
      </c>
      <c r="G11" s="90">
        <v>0</v>
      </c>
      <c r="H11" s="100"/>
      <c r="I11" s="101"/>
      <c r="J11" s="116" t="s">
        <v>182</v>
      </c>
      <c r="K11" s="99"/>
      <c r="L11" s="115" t="s">
        <v>183</v>
      </c>
      <c r="M11" s="113">
        <f>SUM(ENOS_G2_HEPATITIS_VIRAL_SIN_OTRA_ESPECIFIACION[TOT])</f>
        <v>0</v>
      </c>
      <c r="N11" s="2"/>
      <c r="O11" s="2"/>
    </row>
    <row r="12" spans="1:32" ht="15.75" customHeight="1">
      <c r="A12" s="2"/>
      <c r="B12" s="126"/>
      <c r="C12" s="108"/>
      <c r="D12" s="91"/>
      <c r="E12" s="91"/>
      <c r="F12" s="91"/>
      <c r="G12" s="91"/>
      <c r="H12" s="100"/>
      <c r="I12" s="101"/>
      <c r="J12" s="107"/>
      <c r="K12" s="108"/>
      <c r="L12" s="91"/>
      <c r="M12" s="111"/>
      <c r="N12" s="2"/>
      <c r="O12" s="2"/>
    </row>
    <row r="13" spans="1:32" ht="22.5" customHeight="1" thickBot="1">
      <c r="A13" s="2"/>
      <c r="B13" s="98" t="s">
        <v>184</v>
      </c>
      <c r="C13" s="99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100"/>
      <c r="I13" s="101"/>
      <c r="J13" s="93" t="s">
        <v>187</v>
      </c>
      <c r="K13" s="94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100"/>
      <c r="C14" s="101"/>
      <c r="D14" s="93" t="s">
        <v>189</v>
      </c>
      <c r="E14" s="115" t="s">
        <v>124</v>
      </c>
      <c r="F14" s="90">
        <f>SUM(ENOS_G1_SINDROME_DE_RUBEOLA_CONGENITA[TOT])</f>
        <v>0</v>
      </c>
      <c r="G14" s="90">
        <v>0</v>
      </c>
      <c r="H14" s="100"/>
      <c r="I14" s="101"/>
      <c r="J14" s="93" t="s">
        <v>190</v>
      </c>
      <c r="K14" s="99"/>
      <c r="L14" s="96" t="s">
        <v>191</v>
      </c>
      <c r="M14" s="113">
        <f>SUM(ENOS_G2_CONJUNTIVITIS_VIRAL[TOT])</f>
        <v>0</v>
      </c>
      <c r="N14" s="2"/>
      <c r="O14" s="2"/>
    </row>
    <row r="15" spans="1:32" ht="18" customHeight="1">
      <c r="A15" s="2"/>
      <c r="B15" s="100"/>
      <c r="C15" s="101"/>
      <c r="D15" s="91"/>
      <c r="E15" s="91"/>
      <c r="F15" s="91"/>
      <c r="G15" s="91"/>
      <c r="H15" s="100"/>
      <c r="I15" s="101"/>
      <c r="J15" s="107"/>
      <c r="K15" s="108"/>
      <c r="L15" s="91"/>
      <c r="M15" s="111"/>
      <c r="N15" s="2"/>
      <c r="O15" s="2"/>
    </row>
    <row r="16" spans="1:32" ht="15.75" customHeight="1">
      <c r="A16" s="2"/>
      <c r="B16" s="100"/>
      <c r="C16" s="101"/>
      <c r="D16" s="95" t="s">
        <v>192</v>
      </c>
      <c r="E16" s="115" t="s">
        <v>193</v>
      </c>
      <c r="F16" s="90">
        <f>SUM(ENOS_G1_SARAMPION[TOT])</f>
        <v>0</v>
      </c>
      <c r="G16" s="90">
        <v>0</v>
      </c>
      <c r="H16" s="100"/>
      <c r="I16" s="101"/>
      <c r="J16" s="116" t="s">
        <v>194</v>
      </c>
      <c r="K16" s="99"/>
      <c r="L16" s="96" t="s">
        <v>195</v>
      </c>
      <c r="M16" s="113">
        <f>SUM(ENOS_G2_ENF_VIRICAS_LESIONES_PIEL_Y_MEMB_MUCOSAS[TOT])</f>
        <v>0</v>
      </c>
      <c r="N16" s="2"/>
      <c r="O16" s="2"/>
    </row>
    <row r="17" spans="1:32">
      <c r="A17" s="2"/>
      <c r="B17" s="100"/>
      <c r="C17" s="101"/>
      <c r="D17" s="91"/>
      <c r="E17" s="91"/>
      <c r="F17" s="91"/>
      <c r="G17" s="91"/>
      <c r="H17" s="100"/>
      <c r="I17" s="101"/>
      <c r="J17" s="117"/>
      <c r="K17" s="101"/>
      <c r="L17" s="119"/>
      <c r="M17" s="114"/>
      <c r="N17" s="2"/>
      <c r="O17" s="2"/>
    </row>
    <row r="18" spans="1:32">
      <c r="A18" s="2"/>
      <c r="B18" s="100"/>
      <c r="C18" s="101"/>
      <c r="D18" s="93" t="s">
        <v>196</v>
      </c>
      <c r="E18" s="115" t="s">
        <v>197</v>
      </c>
      <c r="F18" s="90">
        <f>SUM(ENOS_G1_TETANOS_NEONATAL[TOT])</f>
        <v>0</v>
      </c>
      <c r="G18" s="90">
        <v>0</v>
      </c>
      <c r="H18" s="126"/>
      <c r="I18" s="108"/>
      <c r="J18" s="107"/>
      <c r="K18" s="108"/>
      <c r="L18" s="91"/>
      <c r="M18" s="111"/>
      <c r="N18" s="2"/>
      <c r="O18" s="2"/>
    </row>
    <row r="19" spans="1:32" ht="18" customHeight="1" thickBot="1">
      <c r="A19" s="2"/>
      <c r="B19" s="100"/>
      <c r="C19" s="101"/>
      <c r="D19" s="119"/>
      <c r="E19" s="119"/>
      <c r="F19" s="119"/>
      <c r="G19" s="119"/>
      <c r="H19" s="98" t="s">
        <v>198</v>
      </c>
      <c r="I19" s="99"/>
      <c r="J19" s="95" t="s">
        <v>199</v>
      </c>
      <c r="K19" s="99"/>
      <c r="L19" s="115" t="s">
        <v>200</v>
      </c>
      <c r="M19" s="113">
        <f>SUM(ENOS_G2_SIFILIS_CONGENITA[TOT])</f>
        <v>0</v>
      </c>
      <c r="N19" s="2"/>
      <c r="O19" s="2"/>
    </row>
    <row r="20" spans="1:32">
      <c r="A20" s="2"/>
      <c r="B20" s="100"/>
      <c r="C20" s="101"/>
      <c r="D20" s="91"/>
      <c r="E20" s="91"/>
      <c r="F20" s="91"/>
      <c r="G20" s="91"/>
      <c r="H20" s="100"/>
      <c r="I20" s="101"/>
      <c r="J20" s="107"/>
      <c r="K20" s="108"/>
      <c r="L20" s="91"/>
      <c r="M20" s="111"/>
      <c r="N20" s="2"/>
      <c r="O20" s="2"/>
    </row>
    <row r="21" spans="1:32">
      <c r="A21" s="2"/>
      <c r="B21" s="100"/>
      <c r="C21" s="101"/>
      <c r="D21" s="95" t="s">
        <v>201</v>
      </c>
      <c r="E21" s="96" t="s">
        <v>202</v>
      </c>
      <c r="F21" s="131">
        <f>SUM(ENOS_G1_PALUDISMO[TOT])</f>
        <v>0</v>
      </c>
      <c r="G21" s="131">
        <v>0</v>
      </c>
      <c r="H21" s="100"/>
      <c r="I21" s="101"/>
      <c r="J21" s="93" t="s">
        <v>203</v>
      </c>
      <c r="K21" s="94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02"/>
      <c r="C22" s="103"/>
      <c r="D22" s="91"/>
      <c r="E22" s="91"/>
      <c r="F22" s="91"/>
      <c r="G22" s="91"/>
      <c r="H22" s="102"/>
      <c r="I22" s="103"/>
      <c r="J22" s="140" t="s">
        <v>205</v>
      </c>
      <c r="K22" s="141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27" t="s">
        <v>207</v>
      </c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3"/>
      <c r="N23" s="2"/>
      <c r="O23" s="2"/>
    </row>
    <row r="24" spans="1:32">
      <c r="A24" s="2"/>
      <c r="B24" s="128" t="s">
        <v>208</v>
      </c>
      <c r="C24" s="101"/>
      <c r="D24" s="135" t="s">
        <v>163</v>
      </c>
      <c r="E24" s="84"/>
      <c r="F24" s="136"/>
      <c r="G24" s="132" t="s">
        <v>209</v>
      </c>
      <c r="H24" s="133"/>
      <c r="I24" s="133"/>
      <c r="J24" s="133"/>
      <c r="K24" s="133"/>
      <c r="L24" s="108"/>
      <c r="M24" s="110" t="s">
        <v>210</v>
      </c>
      <c r="N24" s="2"/>
      <c r="O24" s="2"/>
    </row>
    <row r="25" spans="1:32" ht="22.5" customHeight="1">
      <c r="A25" s="2"/>
      <c r="B25" s="129"/>
      <c r="C25" s="130"/>
      <c r="D25" s="137"/>
      <c r="E25" s="138"/>
      <c r="F25" s="139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111"/>
      <c r="N25" s="2"/>
      <c r="O25" s="2"/>
    </row>
    <row r="26" spans="1:32">
      <c r="A26" s="2"/>
      <c r="B26" s="109" t="s">
        <v>217</v>
      </c>
      <c r="C26" s="75"/>
      <c r="D26" s="120" t="s">
        <v>218</v>
      </c>
      <c r="E26" s="76"/>
      <c r="F26" s="75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9" t="s">
        <v>219</v>
      </c>
      <c r="C27" s="75"/>
      <c r="D27" s="97" t="s">
        <v>220</v>
      </c>
      <c r="E27" s="76"/>
      <c r="F27" s="75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9" t="s">
        <v>221</v>
      </c>
      <c r="C28" s="75"/>
      <c r="D28" s="97" t="s">
        <v>222</v>
      </c>
      <c r="E28" s="76"/>
      <c r="F28" s="75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9" t="s">
        <v>223</v>
      </c>
      <c r="C29" s="75"/>
      <c r="D29" s="120" t="s">
        <v>224</v>
      </c>
      <c r="E29" s="76"/>
      <c r="F29" s="75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3" t="s">
        <v>142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</row>
    <row r="30" spans="1:32" ht="15.75" customHeight="1" thickBot="1">
      <c r="A30" s="2"/>
      <c r="B30" s="118" t="s">
        <v>225</v>
      </c>
      <c r="C30" s="106"/>
      <c r="D30" s="104" t="s">
        <v>226</v>
      </c>
      <c r="E30" s="105"/>
      <c r="F30" s="106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12" t="s">
        <v>231</v>
      </c>
      <c r="K33" s="84"/>
      <c r="L33" s="84"/>
      <c r="M33" s="55"/>
      <c r="N33" s="2"/>
      <c r="O33" s="2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79" t="s">
        <v>234</v>
      </c>
      <c r="Q35" s="80"/>
      <c r="R35" s="80"/>
      <c r="S35" s="80"/>
      <c r="T35" s="80"/>
      <c r="U35" s="80"/>
      <c r="V35" s="80"/>
      <c r="W35" s="80"/>
      <c r="X35" s="2"/>
      <c r="Y35" s="79" t="s">
        <v>235</v>
      </c>
      <c r="Z35" s="80"/>
      <c r="AA35" s="80"/>
      <c r="AB35" s="80"/>
      <c r="AC35" s="80"/>
      <c r="AD35" s="80"/>
      <c r="AE35" s="80"/>
      <c r="AF35" s="80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79" t="s">
        <v>238</v>
      </c>
      <c r="Q39" s="80"/>
      <c r="R39" s="80"/>
      <c r="S39" s="80"/>
      <c r="T39" s="80"/>
      <c r="U39" s="80"/>
      <c r="V39" s="80"/>
      <c r="W39" s="80"/>
      <c r="Y39" s="79" t="s">
        <v>239</v>
      </c>
      <c r="Z39" s="80"/>
      <c r="AA39" s="80"/>
      <c r="AB39" s="80"/>
      <c r="AC39" s="80"/>
      <c r="AD39" s="80"/>
      <c r="AE39" s="80"/>
      <c r="AF39" s="80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79" t="s">
        <v>241</v>
      </c>
      <c r="Q43" s="80"/>
      <c r="R43" s="80"/>
      <c r="S43" s="80"/>
      <c r="T43" s="80"/>
      <c r="U43" s="80"/>
      <c r="V43" s="80"/>
      <c r="W43" s="80"/>
      <c r="X43" s="2"/>
      <c r="Y43" s="79" t="s">
        <v>242</v>
      </c>
      <c r="Z43" s="80"/>
      <c r="AA43" s="80"/>
      <c r="AB43" s="80"/>
      <c r="AC43" s="80"/>
      <c r="AD43" s="80"/>
      <c r="AE43" s="80"/>
      <c r="AF43" s="80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79" t="s">
        <v>243</v>
      </c>
      <c r="Q47" s="80"/>
      <c r="R47" s="80"/>
      <c r="S47" s="80"/>
      <c r="T47" s="80"/>
      <c r="U47" s="80"/>
      <c r="V47" s="80"/>
      <c r="W47" s="80"/>
      <c r="Y47" s="79" t="s">
        <v>244</v>
      </c>
      <c r="Z47" s="80"/>
      <c r="AA47" s="80"/>
      <c r="AB47" s="80"/>
      <c r="AC47" s="80"/>
      <c r="AD47" s="80"/>
      <c r="AE47" s="80"/>
      <c r="AF47" s="80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79" t="s">
        <v>245</v>
      </c>
      <c r="Q51" s="80"/>
      <c r="R51" s="80"/>
      <c r="S51" s="80"/>
      <c r="T51" s="80"/>
      <c r="U51" s="80"/>
      <c r="V51" s="80"/>
      <c r="W51" s="80"/>
      <c r="X51" s="2"/>
      <c r="Y51" s="79" t="s">
        <v>246</v>
      </c>
      <c r="Z51" s="80"/>
      <c r="AA51" s="80"/>
      <c r="AB51" s="80"/>
      <c r="AC51" s="80"/>
      <c r="AD51" s="80"/>
      <c r="AE51" s="80"/>
      <c r="AF51" s="80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79" t="s">
        <v>253</v>
      </c>
      <c r="Q59" s="80"/>
      <c r="R59" s="80"/>
      <c r="S59" s="80"/>
      <c r="T59" s="80"/>
      <c r="U59" s="80"/>
      <c r="V59" s="80"/>
      <c r="W59" s="80"/>
      <c r="X59" s="2"/>
      <c r="Y59" s="79" t="s">
        <v>254</v>
      </c>
      <c r="Z59" s="80"/>
      <c r="AA59" s="80"/>
      <c r="AB59" s="80"/>
      <c r="AC59" s="80"/>
      <c r="AD59" s="80"/>
      <c r="AE59" s="80"/>
      <c r="AF59" s="80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79" t="s">
        <v>255</v>
      </c>
      <c r="Q63" s="80"/>
      <c r="R63" s="80"/>
      <c r="S63" s="80"/>
      <c r="T63" s="80"/>
      <c r="U63" s="80"/>
      <c r="V63" s="80"/>
      <c r="W63" s="80"/>
      <c r="X63" s="2"/>
      <c r="Y63" s="79" t="s">
        <v>256</v>
      </c>
      <c r="Z63" s="80"/>
      <c r="AA63" s="80"/>
      <c r="AB63" s="80"/>
      <c r="AC63" s="80"/>
      <c r="AD63" s="80"/>
      <c r="AE63" s="80"/>
      <c r="AF63" s="80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79" t="s">
        <v>259</v>
      </c>
      <c r="Q67" s="80"/>
      <c r="R67" s="80"/>
      <c r="S67" s="80"/>
      <c r="T67" s="80"/>
      <c r="U67" s="80"/>
      <c r="V67" s="80"/>
      <c r="W67" s="80"/>
      <c r="X67" s="2"/>
      <c r="Y67" s="79" t="s">
        <v>260</v>
      </c>
      <c r="Z67" s="80"/>
      <c r="AA67" s="80"/>
      <c r="AB67" s="80"/>
      <c r="AC67" s="80"/>
      <c r="AD67" s="80"/>
      <c r="AE67" s="80"/>
      <c r="AF67" s="80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79" t="s">
        <v>263</v>
      </c>
      <c r="Q71" s="80"/>
      <c r="R71" s="80"/>
      <c r="S71" s="80"/>
      <c r="T71" s="80"/>
      <c r="U71" s="80"/>
      <c r="V71" s="80"/>
      <c r="W71" s="80"/>
      <c r="Y71" s="79" t="s">
        <v>264</v>
      </c>
      <c r="Z71" s="80"/>
      <c r="AA71" s="80"/>
      <c r="AB71" s="80"/>
      <c r="AC71" s="80"/>
      <c r="AD71" s="80"/>
      <c r="AE71" s="80"/>
      <c r="AF71" s="80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79" t="s">
        <v>268</v>
      </c>
      <c r="Q77" s="80"/>
      <c r="R77" s="80"/>
      <c r="S77" s="80"/>
      <c r="T77" s="80"/>
      <c r="U77" s="80"/>
      <c r="V77" s="80"/>
      <c r="W77" s="80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269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ht="18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15.75" customHeight="1" thickBo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79" t="s">
        <v>270</v>
      </c>
      <c r="Q81" s="80"/>
      <c r="R81" s="80"/>
      <c r="S81" s="80"/>
      <c r="T81" s="80"/>
      <c r="U81" s="80"/>
      <c r="V81" s="80"/>
      <c r="W81" s="80"/>
      <c r="X81" s="2"/>
      <c r="Y81" s="79" t="s">
        <v>271</v>
      </c>
      <c r="Z81" s="80"/>
      <c r="AA81" s="80"/>
      <c r="AB81" s="80"/>
      <c r="AC81" s="80"/>
      <c r="AD81" s="80"/>
      <c r="AE81" s="80"/>
      <c r="AF81" s="80"/>
    </row>
    <row r="82" spans="1:32" ht="15.75" customHeight="1" thickTop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 t="s">
        <v>93</v>
      </c>
      <c r="Q82" s="8" t="s">
        <v>94</v>
      </c>
      <c r="R82" s="8" t="s">
        <v>95</v>
      </c>
      <c r="S82" s="8" t="s">
        <v>96</v>
      </c>
      <c r="T82" s="8" t="s">
        <v>97</v>
      </c>
      <c r="U82" s="8" t="s">
        <v>98</v>
      </c>
      <c r="V82" s="8" t="s">
        <v>99</v>
      </c>
      <c r="W82" s="10" t="s">
        <v>100</v>
      </c>
      <c r="X82" s="2"/>
      <c r="Y82" s="2" t="s">
        <v>93</v>
      </c>
      <c r="Z82" s="8" t="s">
        <v>94</v>
      </c>
      <c r="AA82" s="8" t="s">
        <v>95</v>
      </c>
      <c r="AB82" s="8" t="s">
        <v>96</v>
      </c>
      <c r="AC82" s="8" t="s">
        <v>97</v>
      </c>
      <c r="AD82" s="8" t="s">
        <v>98</v>
      </c>
      <c r="AE82" s="8" t="s">
        <v>99</v>
      </c>
      <c r="AF82" s="10" t="s">
        <v>100</v>
      </c>
    </row>
    <row r="83" spans="1:32" ht="18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32" t="s">
        <v>272</v>
      </c>
      <c r="Q83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3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3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3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3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3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3" s="9">
        <f>SUM(ENOS_G3_ETI_MENOR_QUE_1_AÑO[[#This Row],[D1]:[D6]])</f>
        <v>0</v>
      </c>
      <c r="X83" s="2"/>
      <c r="Y83" s="32" t="s">
        <v>272</v>
      </c>
      <c r="Z83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3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3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3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3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3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3" s="9">
        <f>SUM(ENOS_G3_ETI_1_4_AÑOS[[#This Row],[D1]:[D6]])</f>
        <v>0</v>
      </c>
    </row>
    <row r="84" spans="1:3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32" t="s">
        <v>273</v>
      </c>
      <c r="Q84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4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4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4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4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4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4" s="9">
        <f>SUM(ENOS_G3_ETI_MENOR_QUE_1_AÑO[[#This Row],[D1]:[D6]])</f>
        <v>0</v>
      </c>
      <c r="X84" s="2"/>
      <c r="Y84" s="32" t="s">
        <v>273</v>
      </c>
      <c r="Z84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4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4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4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4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4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4" s="9">
        <f>SUM(ENOS_G3_ETI_1_4_AÑOS[[#This Row],[D1]:[D6]])</f>
        <v>0</v>
      </c>
    </row>
    <row r="85" spans="1:3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274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274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32" ht="18" customHeight="1" thickBo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79" t="s">
        <v>275</v>
      </c>
      <c r="Q87" s="80"/>
      <c r="R87" s="80"/>
      <c r="S87" s="80"/>
      <c r="T87" s="80"/>
      <c r="U87" s="80"/>
      <c r="V87" s="80"/>
      <c r="W87" s="80"/>
      <c r="X87" s="2"/>
      <c r="Y87" s="79" t="s">
        <v>276</v>
      </c>
      <c r="Z87" s="80"/>
      <c r="AA87" s="80"/>
      <c r="AB87" s="80"/>
      <c r="AC87" s="80"/>
      <c r="AD87" s="80"/>
      <c r="AE87" s="80"/>
      <c r="AF87" s="80"/>
    </row>
    <row r="88" spans="1:32" ht="18" customHeight="1" thickTop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 t="s">
        <v>93</v>
      </c>
      <c r="Q88" s="8" t="s">
        <v>94</v>
      </c>
      <c r="R88" s="8" t="s">
        <v>95</v>
      </c>
      <c r="S88" s="8" t="s">
        <v>96</v>
      </c>
      <c r="T88" s="8" t="s">
        <v>97</v>
      </c>
      <c r="U88" s="8" t="s">
        <v>98</v>
      </c>
      <c r="V88" s="8" t="s">
        <v>99</v>
      </c>
      <c r="W88" s="10" t="s">
        <v>100</v>
      </c>
      <c r="X88" s="2"/>
      <c r="Y88" s="2" t="s">
        <v>93</v>
      </c>
      <c r="Z88" s="8" t="s">
        <v>94</v>
      </c>
      <c r="AA88" s="8" t="s">
        <v>95</v>
      </c>
      <c r="AB88" s="8" t="s">
        <v>96</v>
      </c>
      <c r="AC88" s="8" t="s">
        <v>97</v>
      </c>
      <c r="AD88" s="8" t="s">
        <v>98</v>
      </c>
      <c r="AE88" s="8" t="s">
        <v>99</v>
      </c>
      <c r="AF88" s="10" t="s">
        <v>100</v>
      </c>
    </row>
    <row r="89" spans="1:32" ht="18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32" t="s">
        <v>272</v>
      </c>
      <c r="Q89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89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89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89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89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89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89" s="9">
        <f>SUM(ENOS_G3_ETI_5_19_AÑOS[[#This Row],[D1]:[D6]])</f>
        <v>0</v>
      </c>
      <c r="X89" s="2"/>
      <c r="Y89" s="32" t="s">
        <v>272</v>
      </c>
      <c r="Z89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89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89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89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89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89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89" s="9">
        <f>SUM(ENOS_G3_ETI_20_59_AÑOS[[#This Row],[D1]:[D6]])</f>
        <v>0</v>
      </c>
    </row>
    <row r="90" spans="1:3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32" t="s">
        <v>273</v>
      </c>
      <c r="Q90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0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0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0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0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0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0" s="9">
        <f>SUM(ENOS_G3_ETI_5_19_AÑOS[[#This Row],[D1]:[D6]])</f>
        <v>0</v>
      </c>
      <c r="X90" s="2"/>
      <c r="Y90" s="32" t="s">
        <v>273</v>
      </c>
      <c r="Z90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0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0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0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0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0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0" s="9">
        <f>SUM(ENOS_G3_ETI_20_59_AÑOS[[#This Row],[D1]:[D6]])</f>
        <v>0</v>
      </c>
    </row>
    <row r="91" spans="1:3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274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274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8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32" ht="15.75" customHeight="1" thickBo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79" t="s">
        <v>277</v>
      </c>
      <c r="Q93" s="80"/>
      <c r="R93" s="80"/>
      <c r="S93" s="80"/>
      <c r="T93" s="80"/>
      <c r="U93" s="80"/>
      <c r="V93" s="80"/>
      <c r="W93" s="80"/>
      <c r="X93" s="2"/>
      <c r="Y93" s="79" t="s">
        <v>278</v>
      </c>
      <c r="Z93" s="80"/>
      <c r="AA93" s="80"/>
      <c r="AB93" s="80"/>
      <c r="AC93" s="80"/>
      <c r="AD93" s="80"/>
      <c r="AE93" s="80"/>
      <c r="AF93" s="80"/>
    </row>
    <row r="94" spans="1:32" ht="15.75" customHeight="1" thickTop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 t="s">
        <v>93</v>
      </c>
      <c r="Q94" s="8" t="s">
        <v>94</v>
      </c>
      <c r="R94" s="8" t="s">
        <v>95</v>
      </c>
      <c r="S94" s="8" t="s">
        <v>96</v>
      </c>
      <c r="T94" s="8" t="s">
        <v>97</v>
      </c>
      <c r="U94" s="8" t="s">
        <v>98</v>
      </c>
      <c r="V94" s="8" t="s">
        <v>99</v>
      </c>
      <c r="W94" s="10" t="s">
        <v>100</v>
      </c>
      <c r="X94" s="2"/>
      <c r="Y94" s="2" t="s">
        <v>93</v>
      </c>
      <c r="Z94" s="8" t="s">
        <v>94</v>
      </c>
      <c r="AA94" s="8" t="s">
        <v>95</v>
      </c>
      <c r="AB94" s="8" t="s">
        <v>96</v>
      </c>
      <c r="AC94" s="8" t="s">
        <v>97</v>
      </c>
      <c r="AD94" s="8" t="s">
        <v>98</v>
      </c>
      <c r="AE94" s="8" t="s">
        <v>99</v>
      </c>
      <c r="AF94" s="10" t="s">
        <v>100</v>
      </c>
    </row>
    <row r="95" spans="1:32" ht="18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32" t="s">
        <v>272</v>
      </c>
      <c r="Q95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5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5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5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5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5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5" s="9">
        <f>SUM(ENOS_G3_ETI_60_MAS_AÑOS[[#This Row],[D1]:[D6]])</f>
        <v>0</v>
      </c>
      <c r="X95" s="2"/>
      <c r="Y95" s="32" t="s">
        <v>272</v>
      </c>
      <c r="Z95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5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5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5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5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5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5" s="9">
        <f>SUM(ENOS_G3_ETI_SD_AÑOS[[#This Row],[D1]:[D6]])</f>
        <v>0</v>
      </c>
    </row>
    <row r="96" spans="1:3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32" t="s">
        <v>273</v>
      </c>
      <c r="Q96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6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6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6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6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6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6" s="9">
        <f>SUM(ENOS_G3_ETI_60_MAS_AÑOS[[#This Row],[D1]:[D6]])</f>
        <v>0</v>
      </c>
      <c r="X96" s="2"/>
      <c r="Y96" s="32" t="s">
        <v>273</v>
      </c>
      <c r="Z96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6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6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6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6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6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6" s="9">
        <f>SUM(ENOS_G3_ETI_SD_AÑOS[[#This Row],[D1]:[D6]])</f>
        <v>0</v>
      </c>
    </row>
    <row r="97" spans="1:3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274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274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8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15.75" customHeight="1" thickBo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79" t="s">
        <v>279</v>
      </c>
      <c r="Q99" s="80"/>
      <c r="R99" s="80"/>
      <c r="S99" s="80"/>
      <c r="T99" s="80"/>
      <c r="U99" s="80"/>
      <c r="V99" s="80"/>
      <c r="W99" s="80"/>
      <c r="X99" s="2"/>
      <c r="Y99" s="79" t="s">
        <v>280</v>
      </c>
      <c r="Z99" s="80"/>
      <c r="AA99" s="80"/>
      <c r="AB99" s="80"/>
      <c r="AC99" s="80"/>
      <c r="AD99" s="80"/>
      <c r="AE99" s="80"/>
      <c r="AF99" s="80"/>
    </row>
    <row r="100" spans="1:32" ht="15.75" customHeight="1" thickTop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 t="s">
        <v>93</v>
      </c>
      <c r="Q100" s="8" t="s">
        <v>94</v>
      </c>
      <c r="R100" s="8" t="s">
        <v>95</v>
      </c>
      <c r="S100" s="8" t="s">
        <v>96</v>
      </c>
      <c r="T100" s="8" t="s">
        <v>97</v>
      </c>
      <c r="U100" s="8" t="s">
        <v>98</v>
      </c>
      <c r="V100" s="8" t="s">
        <v>99</v>
      </c>
      <c r="W100" s="10" t="s">
        <v>100</v>
      </c>
      <c r="X100" s="2"/>
      <c r="Y100" s="2" t="s">
        <v>93</v>
      </c>
      <c r="Z100" s="8" t="s">
        <v>94</v>
      </c>
      <c r="AA100" s="8" t="s">
        <v>95</v>
      </c>
      <c r="AB100" s="8" t="s">
        <v>96</v>
      </c>
      <c r="AC100" s="8" t="s">
        <v>97</v>
      </c>
      <c r="AD100" s="8" t="s">
        <v>98</v>
      </c>
      <c r="AE100" s="8" t="s">
        <v>99</v>
      </c>
      <c r="AF100" s="10" t="s">
        <v>100</v>
      </c>
    </row>
    <row r="101" spans="1:3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32" t="s">
        <v>305</v>
      </c>
      <c r="Q10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1" s="9">
        <f>SUM(ENOS_G3_IRANN_MENOR_QUE_1_AÑO[[#This Row],[D1]:[D6]])</f>
        <v>0</v>
      </c>
      <c r="X101" s="2"/>
      <c r="Y101" s="32" t="s">
        <v>305</v>
      </c>
      <c r="Z10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1" s="9">
        <f>SUM(ENOS_G3_IRANN_1_4_AÑOS[[#This Row],[D1]:[D6]])</f>
        <v>0</v>
      </c>
    </row>
    <row r="102" spans="1:3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32" t="s">
        <v>306</v>
      </c>
      <c r="Q102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2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2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2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2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2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2" s="9">
        <f>SUM(ENOS_G3_IRANN_MENOR_QUE_1_AÑO[[#This Row],[D1]:[D6]])</f>
        <v>0</v>
      </c>
      <c r="X102" s="2"/>
      <c r="Y102" s="32" t="s">
        <v>306</v>
      </c>
      <c r="Z102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2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2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2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2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2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2" s="9">
        <f>SUM(ENOS_G3_IRANN_1_4_AÑOS[[#This Row],[D1]:[D6]])</f>
        <v>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307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307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308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308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 ht="18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309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309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310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310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311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311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312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312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313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313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1:32" ht="18" customHeight="1" thickBo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79" t="s">
        <v>281</v>
      </c>
      <c r="Q111" s="80"/>
      <c r="R111" s="80"/>
      <c r="S111" s="80"/>
      <c r="T111" s="80"/>
      <c r="U111" s="80"/>
      <c r="V111" s="80"/>
      <c r="W111" s="80"/>
      <c r="X111" s="2"/>
      <c r="Y111" s="79" t="s">
        <v>282</v>
      </c>
      <c r="Z111" s="80"/>
      <c r="AA111" s="80"/>
      <c r="AB111" s="80"/>
      <c r="AC111" s="80"/>
      <c r="AD111" s="80"/>
      <c r="AE111" s="80"/>
      <c r="AF111" s="80"/>
    </row>
    <row r="112" spans="1:32" ht="15.75" customHeight="1" thickTop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 t="s">
        <v>93</v>
      </c>
      <c r="Q112" s="8" t="s">
        <v>94</v>
      </c>
      <c r="R112" s="8" t="s">
        <v>95</v>
      </c>
      <c r="S112" s="8" t="s">
        <v>96</v>
      </c>
      <c r="T112" s="8" t="s">
        <v>97</v>
      </c>
      <c r="U112" s="8" t="s">
        <v>98</v>
      </c>
      <c r="V112" s="8" t="s">
        <v>99</v>
      </c>
      <c r="W112" s="10" t="s">
        <v>100</v>
      </c>
      <c r="X112" s="2"/>
      <c r="Y112" s="2" t="s">
        <v>93</v>
      </c>
      <c r="Z112" s="8" t="s">
        <v>94</v>
      </c>
      <c r="AA112" s="8" t="s">
        <v>95</v>
      </c>
      <c r="AB112" s="8" t="s">
        <v>96</v>
      </c>
      <c r="AC112" s="8" t="s">
        <v>97</v>
      </c>
      <c r="AD112" s="8" t="s">
        <v>98</v>
      </c>
      <c r="AE112" s="8" t="s">
        <v>99</v>
      </c>
      <c r="AF112" s="10" t="s">
        <v>100</v>
      </c>
    </row>
    <row r="113" spans="1:3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32" t="s">
        <v>305</v>
      </c>
      <c r="Q11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3" s="9">
        <f>SUM(ENOS_G3_IRANN_5_19_AÑOS[[#This Row],[D1]:[D6]])</f>
        <v>0</v>
      </c>
      <c r="X113" s="2"/>
      <c r="Y113" s="32" t="s">
        <v>305</v>
      </c>
      <c r="Z11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3" s="9">
        <f>SUM(ENOS_G3_IRANN_20_59_AÑOS[[#This Row],[D1]:[D6]])</f>
        <v>0</v>
      </c>
    </row>
    <row r="114" spans="1:3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32" t="s">
        <v>306</v>
      </c>
      <c r="Q114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4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4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4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4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4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4" s="9">
        <f>SUM(ENOS_G3_IRANN_5_19_AÑOS[[#This Row],[D1]:[D6]])</f>
        <v>0</v>
      </c>
      <c r="X114" s="2"/>
      <c r="Y114" s="32" t="s">
        <v>306</v>
      </c>
      <c r="Z114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4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4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4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4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4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4" s="9">
        <f>SUM(ENOS_G3_IRANN_20_59_AÑOS[[#This Row],[D1]:[D6]])</f>
        <v>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307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307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308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308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 ht="18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309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309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310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310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311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311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312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312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313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313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1:32" ht="18" customHeight="1" thickBo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79" t="s">
        <v>283</v>
      </c>
      <c r="Q123" s="80"/>
      <c r="R123" s="80"/>
      <c r="S123" s="80"/>
      <c r="T123" s="80"/>
      <c r="U123" s="80"/>
      <c r="V123" s="80"/>
      <c r="W123" s="80"/>
      <c r="X123" s="2"/>
      <c r="Y123" s="79" t="s">
        <v>284</v>
      </c>
      <c r="Z123" s="80"/>
      <c r="AA123" s="80"/>
      <c r="AB123" s="80"/>
      <c r="AC123" s="80"/>
      <c r="AD123" s="80"/>
      <c r="AE123" s="80"/>
      <c r="AF123" s="80"/>
    </row>
    <row r="124" spans="1:32" ht="15.75" customHeight="1" thickTop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 t="s">
        <v>93</v>
      </c>
      <c r="Q124" s="8" t="s">
        <v>94</v>
      </c>
      <c r="R124" s="8" t="s">
        <v>95</v>
      </c>
      <c r="S124" s="8" t="s">
        <v>96</v>
      </c>
      <c r="T124" s="8" t="s">
        <v>97</v>
      </c>
      <c r="U124" s="8" t="s">
        <v>98</v>
      </c>
      <c r="V124" s="8" t="s">
        <v>99</v>
      </c>
      <c r="W124" s="10" t="s">
        <v>100</v>
      </c>
      <c r="X124" s="2"/>
      <c r="Y124" s="2" t="s">
        <v>93</v>
      </c>
      <c r="Z124" s="8" t="s">
        <v>94</v>
      </c>
      <c r="AA124" s="8" t="s">
        <v>95</v>
      </c>
      <c r="AB124" s="8" t="s">
        <v>96</v>
      </c>
      <c r="AC124" s="8" t="s">
        <v>97</v>
      </c>
      <c r="AD124" s="8" t="s">
        <v>98</v>
      </c>
      <c r="AE124" s="8" t="s">
        <v>99</v>
      </c>
      <c r="AF124" s="10" t="s">
        <v>100</v>
      </c>
    </row>
    <row r="125" spans="1:3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32" t="s">
        <v>305</v>
      </c>
      <c r="Q12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5" s="9">
        <f>SUM(ENOS_G3_IRANN_60_MAS_AÑOS[[#This Row],[D1]:[D6]])</f>
        <v>0</v>
      </c>
      <c r="X125" s="2"/>
      <c r="Y125" s="32" t="s">
        <v>305</v>
      </c>
      <c r="Z12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5" s="9">
        <f>SUM(ENOS_G3_IRANN_SD_AÑOS[[#This Row],[D1]:[D6]])</f>
        <v>0</v>
      </c>
    </row>
    <row r="126" spans="1:3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32" t="s">
        <v>306</v>
      </c>
      <c r="Q126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6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6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6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6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6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6" s="9">
        <f>SUM(ENOS_G3_IRANN_60_MAS_AÑOS[[#This Row],[D1]:[D6]])</f>
        <v>0</v>
      </c>
      <c r="X126" s="2"/>
      <c r="Y126" s="32" t="s">
        <v>306</v>
      </c>
      <c r="Z126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6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6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6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6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6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6" s="9">
        <f>SUM(ENOS_G3_IRANN_SD_AÑOS[[#This Row],[D1]:[D6]])</f>
        <v>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307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307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308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308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309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309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310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310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 ht="18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311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311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312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312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313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313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1:32" ht="18" customHeight="1" thickBo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79" t="s">
        <v>285</v>
      </c>
      <c r="Q135" s="80"/>
      <c r="R135" s="80"/>
      <c r="S135" s="80"/>
      <c r="T135" s="80"/>
      <c r="U135" s="80"/>
      <c r="V135" s="80"/>
      <c r="W135" s="80"/>
      <c r="X135" s="2"/>
      <c r="Y135" s="79" t="s">
        <v>286</v>
      </c>
      <c r="Z135" s="80"/>
      <c r="AA135" s="80"/>
      <c r="AB135" s="80"/>
      <c r="AC135" s="80"/>
      <c r="AD135" s="80"/>
      <c r="AE135" s="80"/>
      <c r="AF135" s="80"/>
    </row>
    <row r="136" spans="1:32" ht="15.75" customHeight="1" thickTop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93</v>
      </c>
      <c r="Q136" s="8" t="s">
        <v>94</v>
      </c>
      <c r="R136" s="8" t="s">
        <v>95</v>
      </c>
      <c r="S136" s="8" t="s">
        <v>96</v>
      </c>
      <c r="T136" s="8" t="s">
        <v>97</v>
      </c>
      <c r="U136" s="8" t="s">
        <v>98</v>
      </c>
      <c r="V136" s="8" t="s">
        <v>99</v>
      </c>
      <c r="W136" s="10" t="s">
        <v>100</v>
      </c>
      <c r="X136" s="2"/>
      <c r="Y136" s="2" t="s">
        <v>93</v>
      </c>
      <c r="Z136" s="8" t="s">
        <v>94</v>
      </c>
      <c r="AA136" s="8" t="s">
        <v>95</v>
      </c>
      <c r="AB136" s="8" t="s">
        <v>96</v>
      </c>
      <c r="AC136" s="8" t="s">
        <v>97</v>
      </c>
      <c r="AD136" s="8" t="s">
        <v>98</v>
      </c>
      <c r="AE136" s="8" t="s">
        <v>99</v>
      </c>
      <c r="AF136" s="10" t="s">
        <v>100</v>
      </c>
    </row>
    <row r="137" spans="1:3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32" t="s">
        <v>314</v>
      </c>
      <c r="Q137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7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7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7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7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7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7" s="9">
        <f>SUM(ENOS_G3_NEU_MENOR_QUE_1_AÑO[[#This Row],[D1]:[D6]])</f>
        <v>0</v>
      </c>
      <c r="X137" s="2"/>
      <c r="Y137" s="32" t="s">
        <v>314</v>
      </c>
      <c r="Z137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7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7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7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7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7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7" s="9">
        <f>SUM(ENOS_G3_NEU_1_4_AÑOS[[#This Row],[D1]:[D6]])</f>
        <v>0</v>
      </c>
    </row>
    <row r="138" spans="1:3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32" t="s">
        <v>315</v>
      </c>
      <c r="Q138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8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8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8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8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8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8" s="9">
        <f>SUM(ENOS_G3_NEU_MENOR_QUE_1_AÑO[[#This Row],[D1]:[D6]])</f>
        <v>0</v>
      </c>
      <c r="X138" s="2"/>
      <c r="Y138" s="32" t="s">
        <v>315</v>
      </c>
      <c r="Z138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8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8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8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8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8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8" s="9">
        <f>SUM(ENOS_G3_NEU_1_4_AÑOS[[#This Row],[D1]:[D6]])</f>
        <v>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316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316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317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317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 ht="18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318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318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319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319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320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320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1:32" ht="18" customHeight="1" thickBo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79" t="s">
        <v>287</v>
      </c>
      <c r="Q145" s="80"/>
      <c r="R145" s="80"/>
      <c r="S145" s="80"/>
      <c r="T145" s="80"/>
      <c r="U145" s="80"/>
      <c r="V145" s="80"/>
      <c r="W145" s="80"/>
      <c r="X145" s="2"/>
      <c r="Y145" s="79" t="s">
        <v>288</v>
      </c>
      <c r="Z145" s="80"/>
      <c r="AA145" s="80"/>
      <c r="AB145" s="80"/>
      <c r="AC145" s="80"/>
      <c r="AD145" s="80"/>
      <c r="AE145" s="80"/>
      <c r="AF145" s="80"/>
    </row>
    <row r="146" spans="1:32" ht="15.75" customHeight="1" thickTop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 t="s">
        <v>93</v>
      </c>
      <c r="Q146" s="8" t="s">
        <v>94</v>
      </c>
      <c r="R146" s="8" t="s">
        <v>95</v>
      </c>
      <c r="S146" s="8" t="s">
        <v>96</v>
      </c>
      <c r="T146" s="8" t="s">
        <v>97</v>
      </c>
      <c r="U146" s="8" t="s">
        <v>98</v>
      </c>
      <c r="V146" s="8" t="s">
        <v>99</v>
      </c>
      <c r="W146" s="10" t="s">
        <v>100</v>
      </c>
      <c r="X146" s="2"/>
      <c r="Y146" s="2" t="s">
        <v>93</v>
      </c>
      <c r="Z146" s="8" t="s">
        <v>94</v>
      </c>
      <c r="AA146" s="8" t="s">
        <v>95</v>
      </c>
      <c r="AB146" s="8" t="s">
        <v>96</v>
      </c>
      <c r="AC146" s="8" t="s">
        <v>97</v>
      </c>
      <c r="AD146" s="8" t="s">
        <v>98</v>
      </c>
      <c r="AE146" s="8" t="s">
        <v>99</v>
      </c>
      <c r="AF146" s="10" t="s">
        <v>100</v>
      </c>
    </row>
    <row r="147" spans="1:32" ht="18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32" t="s">
        <v>314</v>
      </c>
      <c r="Q147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7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7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7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7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7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7" s="9">
        <f>SUM(ENOS_G3_NEU_5_19_AÑOS[[#This Row],[D1]:[D6]])</f>
        <v>0</v>
      </c>
      <c r="X147" s="2"/>
      <c r="Y147" s="32" t="s">
        <v>314</v>
      </c>
      <c r="Z147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7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7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7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7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7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7" s="9">
        <f>SUM(ENOS_G3_NEU_20_59_AÑOS[[#This Row],[D1]:[D6]])</f>
        <v>0</v>
      </c>
    </row>
    <row r="148" spans="1:32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32" t="s">
        <v>315</v>
      </c>
      <c r="Q148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8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8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8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8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8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8" s="9">
        <f>SUM(ENOS_G3_NEU_5_19_AÑOS[[#This Row],[D1]:[D6]])</f>
        <v>0</v>
      </c>
      <c r="X148" s="2"/>
      <c r="Y148" s="32" t="s">
        <v>315</v>
      </c>
      <c r="Z148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8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8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8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8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8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8" s="9">
        <f>SUM(ENOS_G3_NEU_20_59_AÑOS[[#This Row],[D1]:[D6]])</f>
        <v>0</v>
      </c>
    </row>
    <row r="149" spans="1:3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316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316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317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317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318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318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319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319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 ht="18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320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320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1:32" ht="18" thickBo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79" t="s">
        <v>289</v>
      </c>
      <c r="Q155" s="80"/>
      <c r="R155" s="80"/>
      <c r="S155" s="80"/>
      <c r="T155" s="80"/>
      <c r="U155" s="80"/>
      <c r="V155" s="80"/>
      <c r="W155" s="80"/>
      <c r="X155" s="2"/>
      <c r="Y155" s="79" t="s">
        <v>290</v>
      </c>
      <c r="Z155" s="80"/>
      <c r="AA155" s="80"/>
      <c r="AB155" s="80"/>
      <c r="AC155" s="80"/>
      <c r="AD155" s="80"/>
      <c r="AE155" s="80"/>
      <c r="AF155" s="80"/>
    </row>
    <row r="156" spans="1:32" ht="15.75" thickTop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 t="s">
        <v>93</v>
      </c>
      <c r="Q156" s="8" t="s">
        <v>94</v>
      </c>
      <c r="R156" s="8" t="s">
        <v>95</v>
      </c>
      <c r="S156" s="8" t="s">
        <v>96</v>
      </c>
      <c r="T156" s="8" t="s">
        <v>97</v>
      </c>
      <c r="U156" s="8" t="s">
        <v>98</v>
      </c>
      <c r="V156" s="8" t="s">
        <v>99</v>
      </c>
      <c r="W156" s="10" t="s">
        <v>100</v>
      </c>
      <c r="X156" s="2"/>
      <c r="Y156" s="2" t="s">
        <v>93</v>
      </c>
      <c r="Z156" s="8" t="s">
        <v>94</v>
      </c>
      <c r="AA156" s="8" t="s">
        <v>95</v>
      </c>
      <c r="AB156" s="8" t="s">
        <v>96</v>
      </c>
      <c r="AC156" s="8" t="s">
        <v>97</v>
      </c>
      <c r="AD156" s="8" t="s">
        <v>98</v>
      </c>
      <c r="AE156" s="8" t="s">
        <v>99</v>
      </c>
      <c r="AF156" s="10" t="s">
        <v>100</v>
      </c>
    </row>
    <row r="157" spans="1:32" ht="18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32" t="s">
        <v>314</v>
      </c>
      <c r="Q157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7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7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7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7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7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7" s="9">
        <f>SUM(ENOS_G3_NEU_60_MAS_AÑOS[[#This Row],[D1]:[D6]])</f>
        <v>0</v>
      </c>
      <c r="X157" s="2"/>
      <c r="Y157" s="32" t="s">
        <v>314</v>
      </c>
      <c r="Z157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7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7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7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7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7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7" s="9">
        <f>SUM(ENOS_G3_NEU_SD_AÑOS[[#This Row],[D1]:[D6]])</f>
        <v>0</v>
      </c>
    </row>
    <row r="158" spans="1:32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32" t="s">
        <v>315</v>
      </c>
      <c r="Q158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8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8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8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8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8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8" s="9">
        <f>SUM(ENOS_G3_NEU_60_MAS_AÑOS[[#This Row],[D1]:[D6]])</f>
        <v>0</v>
      </c>
      <c r="X158" s="2"/>
      <c r="Y158" s="32" t="s">
        <v>315</v>
      </c>
      <c r="Z158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8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8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8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8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8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8" s="9">
        <f>SUM(ENOS_G3_NEU_SD_AÑOS[[#This Row],[D1]:[D6]])</f>
        <v>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316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316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317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317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318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318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319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319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320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320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1:32" ht="18" customHeight="1" thickBot="1">
      <c r="A165" s="2"/>
      <c r="B165" s="2"/>
      <c r="C165" s="2"/>
      <c r="D165" s="2"/>
      <c r="E165" s="2"/>
      <c r="F165" s="2"/>
      <c r="G165" s="2"/>
      <c r="H165" s="2"/>
      <c r="I165" s="2"/>
      <c r="J165" s="78"/>
      <c r="K165" s="84"/>
      <c r="L165" s="78"/>
      <c r="M165" s="84"/>
      <c r="N165" s="84"/>
      <c r="O165" s="2"/>
      <c r="P165" s="79" t="s">
        <v>291</v>
      </c>
      <c r="Q165" s="80"/>
      <c r="R165" s="80"/>
      <c r="S165" s="80"/>
      <c r="T165" s="80"/>
      <c r="U165" s="80"/>
      <c r="V165" s="80"/>
      <c r="W165" s="80"/>
      <c r="X165" s="2"/>
      <c r="Y165" s="79" t="s">
        <v>292</v>
      </c>
      <c r="Z165" s="80"/>
      <c r="AA165" s="80"/>
      <c r="AB165" s="80"/>
      <c r="AC165" s="80"/>
      <c r="AD165" s="80"/>
      <c r="AE165" s="80"/>
      <c r="AF165" s="80"/>
    </row>
    <row r="166" spans="1:32" ht="15.75" customHeight="1" thickTop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 t="s">
        <v>93</v>
      </c>
      <c r="Q166" s="8" t="s">
        <v>94</v>
      </c>
      <c r="R166" s="8" t="s">
        <v>95</v>
      </c>
      <c r="S166" s="8" t="s">
        <v>96</v>
      </c>
      <c r="T166" s="8" t="s">
        <v>97</v>
      </c>
      <c r="U166" s="8" t="s">
        <v>98</v>
      </c>
      <c r="V166" s="8" t="s">
        <v>99</v>
      </c>
      <c r="W166" s="10" t="s">
        <v>100</v>
      </c>
      <c r="X166" s="2"/>
      <c r="Y166" s="2" t="s">
        <v>93</v>
      </c>
      <c r="Z166" s="8" t="s">
        <v>94</v>
      </c>
      <c r="AA166" s="8" t="s">
        <v>95</v>
      </c>
      <c r="AB166" s="8" t="s">
        <v>96</v>
      </c>
      <c r="AC166" s="8" t="s">
        <v>97</v>
      </c>
      <c r="AD166" s="8" t="s">
        <v>98</v>
      </c>
      <c r="AE166" s="8" t="s">
        <v>99</v>
      </c>
      <c r="AF166" s="10" t="s">
        <v>100</v>
      </c>
    </row>
    <row r="167" spans="1:3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32" t="s">
        <v>321</v>
      </c>
      <c r="Q167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7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7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7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7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7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7" s="9">
        <f>SUM(ENOS_G3_IRAGNG_MENOR_QUE_1_AÑO[[#This Row],[D1]:[D6]])</f>
        <v>0</v>
      </c>
      <c r="X167" s="2"/>
      <c r="Y167" s="32" t="s">
        <v>321</v>
      </c>
      <c r="Z167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7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7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7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7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7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7" s="9">
        <f>SUM(ENOS_G3_IRAGNG_1_4_AÑOS[[#This Row],[D1]:[D6]])</f>
        <v>0</v>
      </c>
    </row>
    <row r="168" spans="1:3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32" t="s">
        <v>322</v>
      </c>
      <c r="Q168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8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8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8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8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8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8" s="9">
        <f>SUM(ENOS_G3_IRAGNG_MENOR_QUE_1_AÑO[[#This Row],[D1]:[D6]])</f>
        <v>0</v>
      </c>
      <c r="X168" s="2"/>
      <c r="Y168" s="32" t="s">
        <v>322</v>
      </c>
      <c r="Z168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8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8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8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8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8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8" s="9">
        <f>SUM(ENOS_G3_IRAGNG_1_4_AÑOS[[#This Row],[D1]:[D6]])</f>
        <v>0</v>
      </c>
    </row>
    <row r="169" spans="1:32" ht="18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323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323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1:32" ht="18" customHeight="1" thickBo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79" t="s">
        <v>293</v>
      </c>
      <c r="Q171" s="80"/>
      <c r="R171" s="80"/>
      <c r="S171" s="80"/>
      <c r="T171" s="80"/>
      <c r="U171" s="80"/>
      <c r="V171" s="80"/>
      <c r="W171" s="80"/>
      <c r="X171" s="2"/>
      <c r="Y171" s="79" t="s">
        <v>294</v>
      </c>
      <c r="Z171" s="80"/>
      <c r="AA171" s="80"/>
      <c r="AB171" s="80"/>
      <c r="AC171" s="80"/>
      <c r="AD171" s="80"/>
      <c r="AE171" s="80"/>
      <c r="AF171" s="80"/>
    </row>
    <row r="172" spans="1:32" ht="15.75" customHeight="1" thickTop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 t="s">
        <v>93</v>
      </c>
      <c r="Q172" s="8" t="s">
        <v>94</v>
      </c>
      <c r="R172" s="8" t="s">
        <v>95</v>
      </c>
      <c r="S172" s="8" t="s">
        <v>96</v>
      </c>
      <c r="T172" s="8" t="s">
        <v>97</v>
      </c>
      <c r="U172" s="8" t="s">
        <v>98</v>
      </c>
      <c r="V172" s="8" t="s">
        <v>99</v>
      </c>
      <c r="W172" s="10" t="s">
        <v>100</v>
      </c>
      <c r="X172" s="2"/>
      <c r="Y172" s="2" t="s">
        <v>93</v>
      </c>
      <c r="Z172" s="8" t="s">
        <v>94</v>
      </c>
      <c r="AA172" s="8" t="s">
        <v>95</v>
      </c>
      <c r="AB172" s="8" t="s">
        <v>96</v>
      </c>
      <c r="AC172" s="8" t="s">
        <v>97</v>
      </c>
      <c r="AD172" s="8" t="s">
        <v>98</v>
      </c>
      <c r="AE172" s="8" t="s">
        <v>99</v>
      </c>
      <c r="AF172" s="10" t="s">
        <v>100</v>
      </c>
    </row>
    <row r="173" spans="1:3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32" t="s">
        <v>321</v>
      </c>
      <c r="Q173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3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3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3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3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3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3" s="9">
        <f>SUM(ENOS_G3_IRAGNG_5_19_AÑOS[[#This Row],[D1]:[D6]])</f>
        <v>0</v>
      </c>
      <c r="X173" s="2"/>
      <c r="Y173" s="32" t="s">
        <v>321</v>
      </c>
      <c r="Z173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3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3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3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3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3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3" s="9">
        <f>SUM(ENOS_G3_IRAGNG_20_59_AÑOS[[#This Row],[D1]:[D6]])</f>
        <v>0</v>
      </c>
    </row>
    <row r="174" spans="1:3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32" t="s">
        <v>322</v>
      </c>
      <c r="Q174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4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4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4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4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4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4" s="9">
        <f>SUM(ENOS_G3_IRAGNG_5_19_AÑOS[[#This Row],[D1]:[D6]])</f>
        <v>0</v>
      </c>
      <c r="X174" s="2"/>
      <c r="Y174" s="32" t="s">
        <v>322</v>
      </c>
      <c r="Z174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4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4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4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4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4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4" s="9">
        <f>SUM(ENOS_G3_IRAGNG_20_59_AÑOS[[#This Row],[D1]:[D6]])</f>
        <v>0</v>
      </c>
    </row>
    <row r="175" spans="1:32" ht="18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323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323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1:32" ht="18" customHeight="1" thickBo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79" t="s">
        <v>295</v>
      </c>
      <c r="Q177" s="80"/>
      <c r="R177" s="80"/>
      <c r="S177" s="80"/>
      <c r="T177" s="80"/>
      <c r="U177" s="80"/>
      <c r="V177" s="80"/>
      <c r="W177" s="80"/>
      <c r="X177" s="2"/>
      <c r="Y177" s="79" t="s">
        <v>296</v>
      </c>
      <c r="Z177" s="80"/>
      <c r="AA177" s="80"/>
      <c r="AB177" s="80"/>
      <c r="AC177" s="80"/>
      <c r="AD177" s="80"/>
      <c r="AE177" s="80"/>
      <c r="AF177" s="80"/>
    </row>
    <row r="178" spans="1:32" ht="15.75" customHeight="1" thickTop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 t="s">
        <v>93</v>
      </c>
      <c r="Q178" s="8" t="s">
        <v>94</v>
      </c>
      <c r="R178" s="8" t="s">
        <v>95</v>
      </c>
      <c r="S178" s="8" t="s">
        <v>96</v>
      </c>
      <c r="T178" s="8" t="s">
        <v>97</v>
      </c>
      <c r="U178" s="8" t="s">
        <v>98</v>
      </c>
      <c r="V178" s="8" t="s">
        <v>99</v>
      </c>
      <c r="W178" s="10" t="s">
        <v>100</v>
      </c>
      <c r="X178" s="2"/>
      <c r="Y178" s="2" t="s">
        <v>93</v>
      </c>
      <c r="Z178" s="8" t="s">
        <v>94</v>
      </c>
      <c r="AA178" s="8" t="s">
        <v>95</v>
      </c>
      <c r="AB178" s="8" t="s">
        <v>96</v>
      </c>
      <c r="AC178" s="8" t="s">
        <v>97</v>
      </c>
      <c r="AD178" s="8" t="s">
        <v>98</v>
      </c>
      <c r="AE178" s="8" t="s">
        <v>99</v>
      </c>
      <c r="AF178" s="10" t="s">
        <v>100</v>
      </c>
    </row>
    <row r="179" spans="1:3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32" t="s">
        <v>321</v>
      </c>
      <c r="Q179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79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79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79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79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79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79" s="9">
        <f>SUM(ENOS_G3_IRAGNG_60_MAS_AÑOS[[#This Row],[D1]:[D6]])</f>
        <v>0</v>
      </c>
      <c r="X179" s="2"/>
      <c r="Y179" s="32" t="s">
        <v>321</v>
      </c>
      <c r="Z179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79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79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79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79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79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79" s="9">
        <f>SUM(ENOS_G3_IRAGNG_SD_AÑOS[[#This Row],[D1]:[D6]])</f>
        <v>0</v>
      </c>
    </row>
    <row r="180" spans="1:3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32" t="s">
        <v>322</v>
      </c>
      <c r="Q180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0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0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0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0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0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0" s="9">
        <f>SUM(ENOS_G3_IRAGNG_60_MAS_AÑOS[[#This Row],[D1]:[D6]])</f>
        <v>0</v>
      </c>
      <c r="X180" s="2"/>
      <c r="Y180" s="32" t="s">
        <v>322</v>
      </c>
      <c r="Z180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0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0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0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0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0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0" s="9">
        <f>SUM(ENOS_G3_IRAGNG_SD_AÑOS[[#This Row],[D1]:[D6]])</f>
        <v>0</v>
      </c>
    </row>
    <row r="181" spans="1:32" ht="18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323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323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1:32" ht="18" customHeight="1" thickBo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79" t="s">
        <v>297</v>
      </c>
      <c r="Q183" s="80"/>
      <c r="R183" s="80"/>
      <c r="S183" s="80"/>
      <c r="T183" s="80"/>
      <c r="U183" s="80"/>
      <c r="V183" s="80"/>
      <c r="W183" s="80"/>
      <c r="X183" s="2"/>
      <c r="Y183" s="79" t="s">
        <v>298</v>
      </c>
      <c r="Z183" s="80"/>
      <c r="AA183" s="80"/>
      <c r="AB183" s="80"/>
      <c r="AC183" s="80"/>
      <c r="AD183" s="80"/>
      <c r="AE183" s="80"/>
      <c r="AF183" s="80"/>
    </row>
    <row r="184" spans="1:32" ht="15.75" customHeight="1" thickTop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 t="s">
        <v>93</v>
      </c>
      <c r="Q184" s="8" t="s">
        <v>94</v>
      </c>
      <c r="R184" s="8" t="s">
        <v>95</v>
      </c>
      <c r="S184" s="8" t="s">
        <v>96</v>
      </c>
      <c r="T184" s="8" t="s">
        <v>97</v>
      </c>
      <c r="U184" s="8" t="s">
        <v>98</v>
      </c>
      <c r="V184" s="8" t="s">
        <v>99</v>
      </c>
      <c r="W184" s="10" t="s">
        <v>100</v>
      </c>
      <c r="X184" s="2"/>
      <c r="Y184" s="2" t="s">
        <v>93</v>
      </c>
      <c r="Z184" s="8" t="s">
        <v>94</v>
      </c>
      <c r="AA184" s="8" t="s">
        <v>95</v>
      </c>
      <c r="AB184" s="8" t="s">
        <v>96</v>
      </c>
      <c r="AC184" s="8" t="s">
        <v>97</v>
      </c>
      <c r="AD184" s="8" t="s">
        <v>98</v>
      </c>
      <c r="AE184" s="8" t="s">
        <v>99</v>
      </c>
      <c r="AF184" s="10" t="s">
        <v>100</v>
      </c>
    </row>
    <row r="185" spans="1:3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32" t="s">
        <v>299</v>
      </c>
      <c r="Q185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5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5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5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5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5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5" s="9">
        <f>SUM(ENOS_G3_DA_MENOR_QUE_1_AÑO[[#This Row],[D1]:[D6]])</f>
        <v>0</v>
      </c>
      <c r="X185" s="2"/>
      <c r="Y185" s="32" t="s">
        <v>299</v>
      </c>
      <c r="Z185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5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5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5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5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5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5" s="9">
        <f>SUM(ENOS_G3_DA_1_4_AÑOS[[#This Row],[D1]:[D6]])</f>
        <v>0</v>
      </c>
    </row>
    <row r="186" spans="1:3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32" t="s">
        <v>324</v>
      </c>
      <c r="Q186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6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6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6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6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6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6" s="9">
        <f>SUM(ENOS_G3_DA_MENOR_QUE_1_AÑO[[#This Row],[D1]:[D6]])</f>
        <v>0</v>
      </c>
      <c r="X186" s="2"/>
      <c r="Y186" s="32" t="s">
        <v>324</v>
      </c>
      <c r="Z186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6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6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6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6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6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6" s="9">
        <f>SUM(ENOS_G3_DA_1_4_AÑOS[[#This Row],[D1]:[D6]])</f>
        <v>0</v>
      </c>
    </row>
    <row r="187" spans="1:32" ht="18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325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325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261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261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300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300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326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326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327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327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328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328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 ht="18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1:32" ht="18" customHeight="1" thickBo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79" t="s">
        <v>301</v>
      </c>
      <c r="Q194" s="80"/>
      <c r="R194" s="80"/>
      <c r="S194" s="80"/>
      <c r="T194" s="80"/>
      <c r="U194" s="80"/>
      <c r="V194" s="80"/>
      <c r="W194" s="80"/>
      <c r="X194" s="2"/>
      <c r="Y194" s="79" t="s">
        <v>302</v>
      </c>
      <c r="Z194" s="80"/>
      <c r="AA194" s="80"/>
      <c r="AB194" s="80"/>
      <c r="AC194" s="80"/>
      <c r="AD194" s="80"/>
      <c r="AE194" s="80"/>
      <c r="AF194" s="80"/>
    </row>
    <row r="195" spans="1:32" ht="15.75" customHeight="1" thickTop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 t="s">
        <v>93</v>
      </c>
      <c r="Q195" s="8" t="s">
        <v>94</v>
      </c>
      <c r="R195" s="8" t="s">
        <v>95</v>
      </c>
      <c r="S195" s="8" t="s">
        <v>96</v>
      </c>
      <c r="T195" s="8" t="s">
        <v>97</v>
      </c>
      <c r="U195" s="8" t="s">
        <v>98</v>
      </c>
      <c r="V195" s="8" t="s">
        <v>99</v>
      </c>
      <c r="W195" s="10" t="s">
        <v>100</v>
      </c>
      <c r="X195" s="2"/>
      <c r="Y195" s="2" t="s">
        <v>93</v>
      </c>
      <c r="Z195" s="8" t="s">
        <v>94</v>
      </c>
      <c r="AA195" s="8" t="s">
        <v>95</v>
      </c>
      <c r="AB195" s="8" t="s">
        <v>96</v>
      </c>
      <c r="AC195" s="8" t="s">
        <v>97</v>
      </c>
      <c r="AD195" s="8" t="s">
        <v>98</v>
      </c>
      <c r="AE195" s="8" t="s">
        <v>99</v>
      </c>
      <c r="AF195" s="10" t="s">
        <v>100</v>
      </c>
    </row>
    <row r="196" spans="1:3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32" t="s">
        <v>299</v>
      </c>
      <c r="Q196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6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6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6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6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6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6" s="9">
        <f>SUM(ENOS_G3_DA_5_19_AÑOS[[#This Row],[D1]:[D6]])</f>
        <v>0</v>
      </c>
      <c r="X196" s="2"/>
      <c r="Y196" s="32" t="s">
        <v>299</v>
      </c>
      <c r="Z196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6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6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6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6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6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6" s="9">
        <f>SUM(ENOS_G3_DA_20_59_AÑOS[[#This Row],[D1]:[D6]])</f>
        <v>0</v>
      </c>
    </row>
    <row r="197" spans="1:3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32" t="s">
        <v>324</v>
      </c>
      <c r="Q197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7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7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7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7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7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7" s="9">
        <f>SUM(ENOS_G3_DA_5_19_AÑOS[[#This Row],[D1]:[D6]])</f>
        <v>0</v>
      </c>
      <c r="X197" s="2"/>
      <c r="Y197" s="32" t="s">
        <v>324</v>
      </c>
      <c r="Z197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7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7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7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7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7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7" s="9">
        <f>SUM(ENOS_G3_DA_20_59_AÑOS[[#This Row],[D1]:[D6]])</f>
        <v>0</v>
      </c>
    </row>
    <row r="198" spans="1:32" ht="18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325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325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 ht="18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261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261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300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300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326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326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327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327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328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328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1:32" ht="18" customHeight="1" thickBo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79" t="s">
        <v>303</v>
      </c>
      <c r="Q205" s="80"/>
      <c r="R205" s="80"/>
      <c r="S205" s="80"/>
      <c r="T205" s="80"/>
      <c r="U205" s="80"/>
      <c r="V205" s="80"/>
      <c r="W205" s="80"/>
      <c r="X205" s="2"/>
      <c r="Y205" s="79" t="s">
        <v>304</v>
      </c>
      <c r="Z205" s="80"/>
      <c r="AA205" s="80"/>
      <c r="AB205" s="80"/>
      <c r="AC205" s="80"/>
      <c r="AD205" s="80"/>
      <c r="AE205" s="80"/>
      <c r="AF205" s="80"/>
    </row>
    <row r="206" spans="1:32" ht="15.75" customHeight="1" thickTop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 t="s">
        <v>93</v>
      </c>
      <c r="Q206" s="8" t="s">
        <v>94</v>
      </c>
      <c r="R206" s="8" t="s">
        <v>95</v>
      </c>
      <c r="S206" s="8" t="s">
        <v>96</v>
      </c>
      <c r="T206" s="8" t="s">
        <v>97</v>
      </c>
      <c r="U206" s="8" t="s">
        <v>98</v>
      </c>
      <c r="V206" s="8" t="s">
        <v>99</v>
      </c>
      <c r="W206" s="10" t="s">
        <v>100</v>
      </c>
      <c r="X206" s="2"/>
      <c r="Y206" s="2" t="s">
        <v>93</v>
      </c>
      <c r="Z206" s="8" t="s">
        <v>94</v>
      </c>
      <c r="AA206" s="8" t="s">
        <v>95</v>
      </c>
      <c r="AB206" s="8" t="s">
        <v>96</v>
      </c>
      <c r="AC206" s="8" t="s">
        <v>97</v>
      </c>
      <c r="AD206" s="8" t="s">
        <v>98</v>
      </c>
      <c r="AE206" s="8" t="s">
        <v>99</v>
      </c>
      <c r="AF206" s="10" t="s">
        <v>100</v>
      </c>
    </row>
    <row r="207" spans="1:3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32" t="s">
        <v>299</v>
      </c>
      <c r="Q207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7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7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7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7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7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7" s="9">
        <f>SUM(ENOS_G3_DA_60_MAS_AÑOS[[#This Row],[D1]:[D6]])</f>
        <v>0</v>
      </c>
      <c r="X207" s="2"/>
      <c r="Y207" s="32" t="s">
        <v>299</v>
      </c>
      <c r="Z207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7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7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7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7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7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7" s="9">
        <f>SUM(ENOS_G3_DA_SD_AÑOS[[#This Row],[D1]:[D6]])</f>
        <v>0</v>
      </c>
    </row>
    <row r="208" spans="1:3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32" t="s">
        <v>324</v>
      </c>
      <c r="Q208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8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8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8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8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8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8" s="9">
        <f>SUM(ENOS_G3_DA_60_MAS_AÑOS[[#This Row],[D1]:[D6]])</f>
        <v>0</v>
      </c>
      <c r="X208" s="2"/>
      <c r="Y208" s="32" t="s">
        <v>324</v>
      </c>
      <c r="Z208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8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8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8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8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8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8" s="9">
        <f>SUM(ENOS_G3_DA_SD_AÑOS[[#This Row],[D1]:[D6]])</f>
        <v>0</v>
      </c>
    </row>
    <row r="209" spans="1:32" ht="18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325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325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261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261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300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300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326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326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327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327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>
      <c r="A214" s="2"/>
      <c r="B214" s="2"/>
      <c r="C214" s="2"/>
      <c r="D214" s="2"/>
      <c r="E214" s="2"/>
      <c r="F214" s="2"/>
      <c r="G214" s="2"/>
      <c r="H214" s="2"/>
      <c r="I214" s="2"/>
      <c r="J214" s="78"/>
      <c r="K214" s="84"/>
      <c r="L214" s="78"/>
      <c r="M214" s="84"/>
      <c r="N214" s="84"/>
      <c r="O214" s="2"/>
      <c r="P214" s="32" t="s">
        <v>328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328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X215" s="2"/>
    </row>
    <row r="216" spans="1:32">
      <c r="X216" s="2"/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 ht="18" customHeight="1">
      <c r="X222" s="2"/>
    </row>
    <row r="223" spans="1:32" ht="15.75" customHeight="1">
      <c r="X223" s="2"/>
    </row>
    <row r="224" spans="1:32">
      <c r="X224" s="2"/>
    </row>
    <row r="225" spans="24:24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 ht="18" customHeight="1">
      <c r="X233" s="2"/>
    </row>
    <row r="234" spans="24:24" ht="15.75" customHeight="1">
      <c r="X234" s="2"/>
    </row>
    <row r="235" spans="24:24">
      <c r="X235" s="2"/>
    </row>
    <row r="236" spans="24:24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</sheetData>
  <mergeCells count="120">
    <mergeCell ref="J214:K214"/>
    <mergeCell ref="B7:C12"/>
    <mergeCell ref="B3:M3"/>
    <mergeCell ref="M19:M20"/>
    <mergeCell ref="L214:N214"/>
    <mergeCell ref="J8:K8"/>
    <mergeCell ref="H6:M6"/>
    <mergeCell ref="P194:W194"/>
    <mergeCell ref="L19:L20"/>
    <mergeCell ref="P205:W205"/>
    <mergeCell ref="B26:C26"/>
    <mergeCell ref="L16:L18"/>
    <mergeCell ref="P39:W39"/>
    <mergeCell ref="J21:K21"/>
    <mergeCell ref="P171:W171"/>
    <mergeCell ref="E21:E22"/>
    <mergeCell ref="D24:F25"/>
    <mergeCell ref="G21:G22"/>
    <mergeCell ref="P123:W123"/>
    <mergeCell ref="F16:F17"/>
    <mergeCell ref="E14:E15"/>
    <mergeCell ref="D11:D12"/>
    <mergeCell ref="J22:K22"/>
    <mergeCell ref="D27:F27"/>
    <mergeCell ref="B6:G6"/>
    <mergeCell ref="J7:K7"/>
    <mergeCell ref="H7:I18"/>
    <mergeCell ref="Y47:AF47"/>
    <mergeCell ref="G11:G12"/>
    <mergeCell ref="L165:N165"/>
    <mergeCell ref="P35:W35"/>
    <mergeCell ref="B23:M23"/>
    <mergeCell ref="Y87:AF87"/>
    <mergeCell ref="M11:M12"/>
    <mergeCell ref="B24:C25"/>
    <mergeCell ref="Y71:AF71"/>
    <mergeCell ref="D18:D20"/>
    <mergeCell ref="F21:F22"/>
    <mergeCell ref="P59:W59"/>
    <mergeCell ref="Y51:AF51"/>
    <mergeCell ref="P111:W111"/>
    <mergeCell ref="Y135:AF135"/>
    <mergeCell ref="P63:W63"/>
    <mergeCell ref="J13:K13"/>
    <mergeCell ref="Y39:AF39"/>
    <mergeCell ref="G24:L24"/>
    <mergeCell ref="P99:W99"/>
    <mergeCell ref="Y165:AF165"/>
    <mergeCell ref="B28:C28"/>
    <mergeCell ref="Y99:AF99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7:W87"/>
    <mergeCell ref="P29:AF34"/>
    <mergeCell ref="P71:W71"/>
    <mergeCell ref="J11:K12"/>
    <mergeCell ref="G18:G20"/>
    <mergeCell ref="P51:W51"/>
    <mergeCell ref="E11:E12"/>
    <mergeCell ref="D29:F29"/>
    <mergeCell ref="P67:W67"/>
    <mergeCell ref="Y81:AF81"/>
    <mergeCell ref="E18:E20"/>
    <mergeCell ref="D26:F26"/>
    <mergeCell ref="J14:K15"/>
    <mergeCell ref="Y145:AF145"/>
    <mergeCell ref="F11:F12"/>
    <mergeCell ref="Y205:AF205"/>
    <mergeCell ref="J165:K165"/>
    <mergeCell ref="Y43:AF43"/>
    <mergeCell ref="B27:C27"/>
    <mergeCell ref="B13:C22"/>
    <mergeCell ref="Y35:AF35"/>
    <mergeCell ref="Y123:AF123"/>
    <mergeCell ref="Y59:AF59"/>
    <mergeCell ref="M24:M25"/>
    <mergeCell ref="J33:L33"/>
    <mergeCell ref="B29:C29"/>
    <mergeCell ref="Y183:AF183"/>
    <mergeCell ref="Y194:AF194"/>
    <mergeCell ref="Y111:AF111"/>
    <mergeCell ref="P43:W43"/>
    <mergeCell ref="M16:M18"/>
    <mergeCell ref="P93:W93"/>
    <mergeCell ref="P183:W183"/>
    <mergeCell ref="P177:W177"/>
    <mergeCell ref="Y171:AF171"/>
    <mergeCell ref="M14:M15"/>
    <mergeCell ref="N4:O4"/>
    <mergeCell ref="B1:M1"/>
    <mergeCell ref="N2:O2"/>
    <mergeCell ref="Y177:AF177"/>
    <mergeCell ref="G14:G15"/>
    <mergeCell ref="P77:W77"/>
    <mergeCell ref="P155:W155"/>
    <mergeCell ref="B2:M2"/>
    <mergeCell ref="P135:W135"/>
    <mergeCell ref="J10:K10"/>
    <mergeCell ref="D21:D22"/>
    <mergeCell ref="P165:W165"/>
    <mergeCell ref="Y63:AF63"/>
    <mergeCell ref="Y93:AF93"/>
    <mergeCell ref="J9:K9"/>
    <mergeCell ref="L14:L15"/>
    <mergeCell ref="D28:F28"/>
    <mergeCell ref="Y155:AF155"/>
    <mergeCell ref="P81:W81"/>
    <mergeCell ref="H19:I22"/>
    <mergeCell ref="Y67:AF67"/>
    <mergeCell ref="D16:D17"/>
    <mergeCell ref="D30:F30"/>
    <mergeCell ref="P145:W145"/>
  </mergeCells>
  <conditionalFormatting sqref="N4 F8:G22 M8:M22 G26:M30">
    <cfRule type="cellIs" dxfId="80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79 Q83:W85 Z83:AF85 Q89:W91 Z89:AF91 Q95:W97 Z95:AF97 Q101:W109 Z101:AF109 Q113:W121 Z113:AF121 Q125:W133 Z125:AF133 Q137:W143 Z137:AF143">
    <cfRule type="cellIs" dxfId="79" priority="2" operator="greaterThan">
      <formula>0</formula>
    </cfRule>
  </conditionalFormatting>
  <conditionalFormatting sqref="Q147:W153 Z147:AF153 Q157:W163 Z157:AF163 Q167:W169 Z167:AF169 Q173:W175 Z173:AF175 Q179:W181 Z179:AF181 Q185:W192 Z185:AF192 Q196:W203 Z196:AF203 Q207:W214 Z207:AF214">
    <cfRule type="cellIs" dxfId="78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1" bestFit="1" customWidth="1"/>
    <col min="37" max="37" width="11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2" t="s">
        <v>347</v>
      </c>
      <c r="G1" s="142"/>
      <c r="H1" s="142"/>
      <c r="I1" s="142"/>
      <c r="J1" s="142"/>
      <c r="K1" s="142"/>
      <c r="M1" s="69" t="s">
        <v>362</v>
      </c>
      <c r="AJ1" s="77" t="s">
        <v>86</v>
      </c>
      <c r="AK1" s="78"/>
    </row>
    <row r="2" spans="1:41" ht="18" customHeight="1" thickBot="1">
      <c r="A2" s="79" t="s">
        <v>330</v>
      </c>
      <c r="B2" s="80"/>
      <c r="C2" s="80"/>
      <c r="D2" s="80"/>
      <c r="E2" s="80"/>
      <c r="F2" s="80"/>
      <c r="G2" s="80"/>
      <c r="H2" s="80"/>
      <c r="J2" s="79" t="s">
        <v>331</v>
      </c>
      <c r="K2" s="79"/>
      <c r="L2" s="79"/>
      <c r="M2" s="79"/>
      <c r="N2" s="79"/>
      <c r="O2" s="79"/>
      <c r="P2" s="79"/>
      <c r="Q2" s="79"/>
      <c r="R2" s="2"/>
      <c r="S2" s="79" t="s">
        <v>348</v>
      </c>
      <c r="T2" s="79"/>
      <c r="U2" s="79"/>
      <c r="V2" s="79"/>
      <c r="W2" s="79"/>
      <c r="X2" s="79"/>
      <c r="Y2" s="79"/>
      <c r="Z2" s="79"/>
      <c r="AB2" s="79" t="s">
        <v>350</v>
      </c>
      <c r="AC2" s="80"/>
      <c r="AD2" s="80"/>
      <c r="AE2" s="80"/>
      <c r="AF2" s="80"/>
      <c r="AG2" s="80"/>
      <c r="AH2" s="80"/>
      <c r="AI2" s="80"/>
      <c r="AJ2" s="1" t="s">
        <v>10</v>
      </c>
      <c r="AK2" t="s">
        <v>92</v>
      </c>
    </row>
    <row r="3" spans="1:41" ht="15.75" customHeight="1" thickTop="1">
      <c r="A3" s="6" t="str">
        <f>_xlfn.CONCAT("TOTAL: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_xlfn.CONCAT("TOTAL: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_xlfn.CONCAT("TOTAL: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_xlfn.CONCAT("TOTAL: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144" t="str">
        <f>IF(COUNTA(BASE[Fecha])&gt;0,_xlfn.CONCAT(TEXT(MIN(BASE[Fecha]),"DD-MM-YYYY")," - ",TEXT(MAX(BASE[Fecha]),"DD-MM-YYYY"))," - ")</f>
        <v xml:space="preserve"> - </v>
      </c>
      <c r="AK3" s="144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332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349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336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57" t="s">
        <v>142</v>
      </c>
      <c r="AK5" s="157"/>
    </row>
    <row r="6" spans="1:41">
      <c r="A6" s="4" t="s">
        <v>333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345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57"/>
      <c r="AK6" s="157"/>
    </row>
    <row r="7" spans="1:41" ht="18" customHeight="1" thickBot="1">
      <c r="A7" s="4" t="s">
        <v>324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346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79" t="s">
        <v>351</v>
      </c>
      <c r="T7" s="79"/>
      <c r="U7" s="79"/>
      <c r="V7" s="79"/>
      <c r="W7" s="79"/>
      <c r="X7" s="79"/>
      <c r="Y7" s="79"/>
      <c r="Z7" s="79"/>
      <c r="AB7" s="79" t="s">
        <v>352</v>
      </c>
      <c r="AC7" s="79"/>
      <c r="AD7" s="79"/>
      <c r="AE7" s="79"/>
      <c r="AF7" s="79"/>
      <c r="AG7" s="79"/>
      <c r="AH7" s="79"/>
      <c r="AI7" s="79"/>
      <c r="AJ7" s="157"/>
      <c r="AK7" s="157"/>
      <c r="AL7" s="70"/>
      <c r="AM7" s="70"/>
      <c r="AN7" s="70"/>
      <c r="AO7" s="70"/>
    </row>
    <row r="8" spans="1:41" ht="15.75" customHeight="1" thickTop="1">
      <c r="A8" s="4" t="s">
        <v>325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_xlfn.CONCAT("TOTAL: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_xlfn.CONCAT("TOTAL: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57"/>
      <c r="AK8" s="157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57"/>
      <c r="AK9" s="157"/>
      <c r="AL9" s="70"/>
      <c r="AM9" s="70"/>
      <c r="AN9" s="70"/>
      <c r="AO9" s="70"/>
    </row>
    <row r="10" spans="1:41" ht="15" customHeight="1">
      <c r="A10" s="4" t="s">
        <v>334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335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353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57"/>
      <c r="AK10" s="157"/>
      <c r="AL10" s="70"/>
      <c r="AM10" s="70"/>
      <c r="AN10" s="70"/>
      <c r="AO10" s="70"/>
    </row>
    <row r="11" spans="1:41" ht="15" customHeight="1">
      <c r="A11" s="4" t="s">
        <v>326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57"/>
      <c r="AK11" s="157"/>
      <c r="AL11" s="70"/>
      <c r="AM11" s="70"/>
      <c r="AN11" s="70"/>
      <c r="AO11" s="70"/>
    </row>
    <row r="12" spans="1:41" ht="18" customHeight="1" thickBot="1">
      <c r="A12" s="32" t="s">
        <v>327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79" t="s">
        <v>354</v>
      </c>
      <c r="K12" s="79"/>
      <c r="L12" s="79"/>
      <c r="M12" s="79"/>
      <c r="N12" s="79"/>
      <c r="O12" s="79"/>
      <c r="P12" s="79"/>
      <c r="Q12" s="79"/>
      <c r="S12" s="79" t="s">
        <v>356</v>
      </c>
      <c r="T12" s="79"/>
      <c r="U12" s="79"/>
      <c r="V12" s="79"/>
      <c r="W12" s="79"/>
      <c r="X12" s="79"/>
      <c r="Y12" s="79"/>
      <c r="Z12" s="79"/>
      <c r="AB12" s="79" t="s">
        <v>357</v>
      </c>
      <c r="AC12" s="79"/>
      <c r="AD12" s="79"/>
      <c r="AE12" s="79"/>
      <c r="AF12" s="79"/>
      <c r="AG12" s="79"/>
      <c r="AH12" s="79"/>
      <c r="AI12" s="79"/>
      <c r="AJ12" s="157"/>
      <c r="AK12" s="157"/>
      <c r="AL12" s="70"/>
      <c r="AM12" s="70"/>
      <c r="AN12" s="70"/>
      <c r="AO12" s="70"/>
    </row>
    <row r="13" spans="1:41" ht="15.75" customHeight="1" thickTop="1">
      <c r="A13" s="32" t="s">
        <v>328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_xlfn.CONCAT("TOTAL: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_xlfn.CONCAT("TOTAL: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_xlfn.CONCAT("TOTAL: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57"/>
      <c r="AK13" s="157"/>
      <c r="AL13" s="70"/>
      <c r="AM13" s="70"/>
      <c r="AN13" s="70"/>
      <c r="AO13" s="70"/>
    </row>
    <row r="14" spans="1:41" ht="15" customHeight="1">
      <c r="A14" s="32" t="s">
        <v>335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57"/>
      <c r="AK14" s="157"/>
      <c r="AL14" s="70"/>
      <c r="AM14" s="70"/>
      <c r="AN14" s="70"/>
      <c r="AO14" s="70"/>
    </row>
    <row r="15" spans="1:41" ht="15" customHeight="1">
      <c r="A15" s="32" t="s">
        <v>336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355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57"/>
      <c r="AK15" s="157"/>
      <c r="AL15" s="70"/>
      <c r="AM15" s="70"/>
      <c r="AN15" s="70"/>
      <c r="AO15" s="70"/>
    </row>
    <row r="16" spans="1:41" ht="15" customHeight="1">
      <c r="A16" s="32" t="s">
        <v>337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57"/>
      <c r="AK16" s="157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79" t="s">
        <v>358</v>
      </c>
      <c r="K17" s="79"/>
      <c r="L17" s="79"/>
      <c r="M17" s="79"/>
      <c r="N17" s="79"/>
      <c r="O17" s="79"/>
      <c r="P17" s="79"/>
      <c r="Q17" s="79"/>
      <c r="S17" s="79" t="s">
        <v>91</v>
      </c>
      <c r="T17" s="79"/>
      <c r="U17" s="79"/>
      <c r="V17" s="79"/>
      <c r="W17" s="79"/>
      <c r="X17" s="79"/>
      <c r="Y17" s="79"/>
      <c r="Z17" s="79"/>
      <c r="AB17" s="79" t="s">
        <v>364</v>
      </c>
      <c r="AC17" s="79"/>
      <c r="AD17" s="79"/>
      <c r="AE17" s="79"/>
      <c r="AF17" s="79"/>
      <c r="AG17" s="79"/>
      <c r="AH17" s="79"/>
      <c r="AI17" s="79"/>
      <c r="AJ17" s="157"/>
      <c r="AK17" s="157"/>
      <c r="AL17" s="70"/>
      <c r="AM17" s="70"/>
      <c r="AN17" s="70"/>
      <c r="AO17" s="70"/>
    </row>
    <row r="18" spans="1:41" s="2" customFormat="1" ht="15.75" customHeight="1" thickTop="1">
      <c r="A18" s="32" t="s">
        <v>338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_xlfn.CONCAT("TOTAL: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_xlfn.CONCAT("TOTAL: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_xlfn.CONCAT("TOTAL: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57"/>
      <c r="AK18" s="157"/>
      <c r="AL18" s="70"/>
      <c r="AM18" s="70"/>
      <c r="AN18" s="70"/>
      <c r="AO18" s="70"/>
    </row>
    <row r="19" spans="1:41" s="2" customFormat="1" ht="15" customHeight="1">
      <c r="A19" s="32" t="s">
        <v>339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57"/>
      <c r="AK19" s="157"/>
      <c r="AL19" s="70"/>
      <c r="AM19" s="70"/>
      <c r="AN19" s="70"/>
      <c r="AO19" s="70"/>
    </row>
    <row r="20" spans="1:41" s="2" customFormat="1" ht="15" customHeight="1">
      <c r="A20" s="32" t="s">
        <v>340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359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363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365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57"/>
      <c r="AK20" s="157"/>
      <c r="AL20" s="70"/>
      <c r="AM20" s="70"/>
      <c r="AN20" s="70"/>
      <c r="AO20" s="70"/>
    </row>
    <row r="21" spans="1:41" s="2" customFormat="1" ht="15" customHeight="1">
      <c r="A21" s="32" t="s">
        <v>341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57"/>
      <c r="AK21" s="157"/>
      <c r="AL21" s="70"/>
      <c r="AM21" s="70"/>
      <c r="AN21" s="70"/>
      <c r="AO21" s="70"/>
    </row>
    <row r="22" spans="1:41" s="2" customFormat="1" ht="18" customHeight="1" thickBot="1">
      <c r="A22" s="32" t="s">
        <v>342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79" t="s">
        <v>361</v>
      </c>
      <c r="K22" s="79"/>
      <c r="L22" s="79"/>
      <c r="M22" s="79"/>
      <c r="N22" s="79"/>
      <c r="O22" s="79"/>
      <c r="P22" s="79"/>
      <c r="Q22" s="79"/>
      <c r="S22" s="79" t="s">
        <v>366</v>
      </c>
      <c r="T22" s="79"/>
      <c r="U22" s="79"/>
      <c r="V22" s="79"/>
      <c r="W22" s="79"/>
      <c r="X22" s="79"/>
      <c r="Y22" s="79"/>
      <c r="Z22" s="79"/>
      <c r="AB22" s="79" t="s">
        <v>370</v>
      </c>
      <c r="AC22" s="79"/>
      <c r="AD22" s="79"/>
      <c r="AE22" s="79"/>
      <c r="AF22" s="79"/>
      <c r="AG22" s="79"/>
      <c r="AH22" s="79"/>
      <c r="AI22" s="79"/>
      <c r="AJ22" s="157"/>
      <c r="AK22" s="157"/>
      <c r="AL22" s="70"/>
      <c r="AM22" s="70"/>
      <c r="AN22" s="70"/>
      <c r="AO22" s="70"/>
    </row>
    <row r="23" spans="1:41" s="2" customFormat="1" ht="15.75" customHeight="1" thickTop="1">
      <c r="A23" s="32" t="s">
        <v>343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_xlfn.CONCAT("TOTAL: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_xlfn.CONCAT("TOTAL: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_xlfn.CONCAT("TOTAL: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57"/>
      <c r="AK23" s="157"/>
      <c r="AL23" s="70"/>
      <c r="AM23" s="70"/>
      <c r="AN23" s="70"/>
      <c r="AO23" s="70"/>
    </row>
    <row r="24" spans="1:41" s="2" customFormat="1" ht="15" customHeight="1">
      <c r="A24" s="32" t="s">
        <v>344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57"/>
      <c r="AK24" s="157"/>
      <c r="AL24" s="70"/>
      <c r="AM24" s="70"/>
      <c r="AN24" s="70"/>
      <c r="AO24" s="70"/>
    </row>
    <row r="25" spans="1:41" ht="15" customHeight="1">
      <c r="J25" s="4" t="s">
        <v>360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367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371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57"/>
      <c r="AK25" s="157"/>
      <c r="AL25" s="70"/>
      <c r="AM25" s="70"/>
      <c r="AN25" s="70"/>
      <c r="AO25" s="70"/>
    </row>
    <row r="26" spans="1:41" ht="15" customHeight="1">
      <c r="S26" s="32" t="s">
        <v>368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372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57"/>
      <c r="AK26" s="157"/>
      <c r="AL26" s="70"/>
      <c r="AM26" s="70"/>
      <c r="AN26" s="70"/>
      <c r="AO26" s="70"/>
    </row>
    <row r="27" spans="1:41" ht="15" customHeight="1" thickBot="1">
      <c r="A27" s="79" t="s">
        <v>378</v>
      </c>
      <c r="B27" s="79"/>
      <c r="C27" s="79"/>
      <c r="D27" s="79"/>
      <c r="E27" s="79"/>
      <c r="F27" s="79"/>
      <c r="G27" s="79"/>
      <c r="H27" s="79"/>
      <c r="J27" s="79" t="s">
        <v>377</v>
      </c>
      <c r="K27" s="79"/>
      <c r="L27" s="79"/>
      <c r="M27" s="79"/>
      <c r="N27" s="79"/>
      <c r="O27" s="79"/>
      <c r="P27" s="79"/>
      <c r="Q27" s="79"/>
      <c r="S27" s="32" t="s">
        <v>369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373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3" t="s">
        <v>780</v>
      </c>
      <c r="AK27" s="143"/>
      <c r="AL27" s="70"/>
      <c r="AM27" s="70"/>
      <c r="AN27" s="70"/>
      <c r="AO27" s="70"/>
    </row>
    <row r="28" spans="1:41" ht="15.75" customHeight="1" thickTop="1">
      <c r="A28" s="6" t="str">
        <f>_xlfn.CONCAT("TOTAL: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_xlfn.CONCAT("TOTAL: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374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3"/>
      <c r="AK28" s="143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375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3"/>
      <c r="AK29" s="143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376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3"/>
      <c r="AK30" s="143"/>
    </row>
    <row r="31" spans="1:41" ht="18" customHeight="1" thickBot="1">
      <c r="S31" s="79" t="s">
        <v>384</v>
      </c>
      <c r="T31" s="79"/>
      <c r="U31" s="79"/>
      <c r="V31" s="79"/>
      <c r="W31" s="79"/>
      <c r="X31" s="79"/>
      <c r="Y31" s="79"/>
      <c r="Z31" s="79"/>
      <c r="AJ31" s="143"/>
      <c r="AK31" s="143"/>
    </row>
    <row r="32" spans="1:41" ht="18.75" customHeight="1" thickTop="1" thickBot="1">
      <c r="A32" s="79" t="s">
        <v>379</v>
      </c>
      <c r="B32" s="79"/>
      <c r="C32" s="79"/>
      <c r="D32" s="79"/>
      <c r="E32" s="79"/>
      <c r="F32" s="79"/>
      <c r="G32" s="79"/>
      <c r="H32" s="79"/>
      <c r="J32" s="79" t="s">
        <v>381</v>
      </c>
      <c r="K32" s="79"/>
      <c r="L32" s="79"/>
      <c r="M32" s="79"/>
      <c r="N32" s="79"/>
      <c r="O32" s="79"/>
      <c r="P32" s="79"/>
      <c r="Q32" s="79"/>
      <c r="S32" s="6" t="str">
        <f>_xlfn.CONCAT("TOTAL: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79" t="s">
        <v>386</v>
      </c>
      <c r="AC32" s="79"/>
      <c r="AD32" s="79"/>
      <c r="AE32" s="79"/>
      <c r="AF32" s="79"/>
      <c r="AG32" s="79"/>
      <c r="AH32" s="79"/>
      <c r="AI32" s="79"/>
      <c r="AJ32" s="143"/>
      <c r="AK32" s="143"/>
    </row>
    <row r="33" spans="1:37" ht="15.75" customHeight="1" thickTop="1">
      <c r="A33" s="6" t="str">
        <f>_xlfn.CONCAT("TOTAL: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_xlfn.CONCAT("TOTAL: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_xlfn.CONCAT("TOTAL: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3"/>
      <c r="AK33" s="143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383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59" t="s">
        <v>616</v>
      </c>
      <c r="AK34" s="157"/>
    </row>
    <row r="35" spans="1:37" ht="15" customHeight="1">
      <c r="A35" s="4" t="s">
        <v>380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382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385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387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57"/>
      <c r="AK35" s="157"/>
    </row>
    <row r="36" spans="1:37" ht="15" customHeight="1">
      <c r="AJ36" s="157"/>
      <c r="AK36" s="157"/>
    </row>
    <row r="37" spans="1:37" ht="18" customHeight="1" thickBot="1">
      <c r="A37" s="79" t="s">
        <v>388</v>
      </c>
      <c r="B37" s="79"/>
      <c r="C37" s="79"/>
      <c r="D37" s="79"/>
      <c r="E37" s="79"/>
      <c r="F37" s="79"/>
      <c r="G37" s="79"/>
      <c r="H37" s="79"/>
      <c r="J37" s="79" t="s">
        <v>390</v>
      </c>
      <c r="K37" s="79"/>
      <c r="L37" s="79"/>
      <c r="M37" s="79"/>
      <c r="N37" s="79"/>
      <c r="O37" s="79"/>
      <c r="P37" s="79"/>
      <c r="Q37" s="79"/>
      <c r="S37" s="145" t="s">
        <v>397</v>
      </c>
      <c r="T37" s="145"/>
      <c r="U37" s="145"/>
      <c r="V37" s="145"/>
      <c r="W37" s="145"/>
      <c r="X37" s="145"/>
      <c r="Y37" s="145"/>
      <c r="Z37" s="145"/>
      <c r="AB37" s="79" t="s">
        <v>394</v>
      </c>
      <c r="AC37" s="79"/>
      <c r="AD37" s="79"/>
      <c r="AE37" s="79"/>
      <c r="AF37" s="79"/>
      <c r="AG37" s="79"/>
      <c r="AH37" s="79"/>
      <c r="AI37" s="79"/>
    </row>
    <row r="38" spans="1:37" ht="15.75" customHeight="1" thickTop="1">
      <c r="A38" s="6" t="str">
        <f>_xlfn.CONCAT("TOTAL: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_xlfn.CONCAT("TOTAL: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_xlfn.CONCAT("TOTAL: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_xlfn.CONCAT("TOTAL: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389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391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392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395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393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396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79" t="s">
        <v>398</v>
      </c>
      <c r="B43" s="79"/>
      <c r="C43" s="79"/>
      <c r="D43" s="79"/>
      <c r="E43" s="79"/>
      <c r="F43" s="79"/>
      <c r="G43" s="79"/>
      <c r="H43" s="79"/>
      <c r="J43" s="79" t="s">
        <v>126</v>
      </c>
      <c r="K43" s="79"/>
      <c r="L43" s="79"/>
      <c r="M43" s="79"/>
      <c r="N43" s="79"/>
      <c r="O43" s="79"/>
      <c r="P43" s="79"/>
      <c r="Q43" s="79"/>
      <c r="S43" s="79" t="s">
        <v>399</v>
      </c>
      <c r="T43" s="79"/>
      <c r="U43" s="79"/>
      <c r="V43" s="79"/>
      <c r="W43" s="79"/>
      <c r="X43" s="79"/>
      <c r="Y43" s="79"/>
      <c r="Z43" s="79"/>
      <c r="AA43" s="68"/>
      <c r="AB43" s="79" t="s">
        <v>400</v>
      </c>
      <c r="AC43" s="79"/>
      <c r="AD43" s="79"/>
      <c r="AE43" s="79"/>
      <c r="AF43" s="79"/>
      <c r="AG43" s="79"/>
      <c r="AH43" s="79"/>
      <c r="AI43" s="79"/>
    </row>
    <row r="44" spans="1:37" ht="15" customHeight="1" thickTop="1">
      <c r="A44" s="6" t="str">
        <f>_xlfn.CONCAT("TOTAL: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_xlfn.CONCAT("TOTAL: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_xlfn.CONCAT("TOTAL: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_xlfn.CONCAT("TOTAL: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158"/>
      <c r="AK45" s="158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158"/>
      <c r="AK46" s="158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79" t="s">
        <v>401</v>
      </c>
      <c r="K48" s="79"/>
      <c r="L48" s="79"/>
      <c r="M48" s="79"/>
      <c r="N48" s="79"/>
      <c r="O48" s="79"/>
      <c r="P48" s="79"/>
      <c r="Q48" s="79"/>
      <c r="S48" s="79" t="s">
        <v>403</v>
      </c>
      <c r="T48" s="79"/>
      <c r="U48" s="79"/>
      <c r="V48" s="79"/>
      <c r="W48" s="79"/>
      <c r="X48" s="79"/>
      <c r="Y48" s="79"/>
      <c r="Z48" s="79"/>
      <c r="AB48" s="79" t="s">
        <v>405</v>
      </c>
      <c r="AC48" s="79"/>
      <c r="AD48" s="79"/>
      <c r="AE48" s="79"/>
      <c r="AF48" s="79"/>
      <c r="AG48" s="79"/>
      <c r="AH48" s="79"/>
      <c r="AI48" s="79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_xlfn.CONCAT("TOTAL: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_xlfn.CONCAT("TOTAL: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_xlfn.CONCAT("TOTAL: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402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404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406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79" t="s">
        <v>88</v>
      </c>
      <c r="B53" s="79"/>
      <c r="C53" s="79"/>
      <c r="D53" s="79"/>
      <c r="E53" s="79"/>
      <c r="F53" s="79"/>
      <c r="G53" s="79"/>
      <c r="H53" s="79"/>
      <c r="J53" s="79" t="s">
        <v>407</v>
      </c>
      <c r="K53" s="79"/>
      <c r="L53" s="79"/>
      <c r="M53" s="79"/>
      <c r="N53" s="79"/>
      <c r="O53" s="79"/>
      <c r="P53" s="79"/>
      <c r="Q53" s="79"/>
      <c r="S53" s="79" t="s">
        <v>90</v>
      </c>
      <c r="T53" s="79"/>
      <c r="U53" s="79"/>
      <c r="V53" s="79"/>
      <c r="W53" s="79"/>
      <c r="X53" s="79"/>
      <c r="Y53" s="79"/>
      <c r="Z53" s="79"/>
      <c r="AB53" s="79" t="s">
        <v>412</v>
      </c>
      <c r="AC53" s="79"/>
      <c r="AD53" s="79"/>
      <c r="AE53" s="79"/>
      <c r="AF53" s="79"/>
      <c r="AG53" s="79"/>
      <c r="AH53" s="79"/>
      <c r="AI53" s="79"/>
    </row>
    <row r="54" spans="1:35" ht="15" customHeight="1" thickTop="1">
      <c r="A54" s="6" t="str">
        <f>_xlfn.CONCAT("TOTAL: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_xlfn.CONCAT("TOTAL: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_xlfn.CONCAT("TOTAL: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_xlfn.CONCAT("TOTAL: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413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79" t="s">
        <v>408</v>
      </c>
      <c r="B58" s="79"/>
      <c r="C58" s="79"/>
      <c r="D58" s="79"/>
      <c r="E58" s="79"/>
      <c r="F58" s="79"/>
      <c r="G58" s="79"/>
      <c r="H58" s="79"/>
      <c r="J58" s="79" t="s">
        <v>409</v>
      </c>
      <c r="K58" s="79"/>
      <c r="L58" s="79"/>
      <c r="M58" s="79"/>
      <c r="N58" s="79"/>
      <c r="O58" s="79"/>
      <c r="P58" s="79"/>
      <c r="Q58" s="79"/>
      <c r="S58" s="79" t="s">
        <v>128</v>
      </c>
      <c r="T58" s="79"/>
      <c r="U58" s="79"/>
      <c r="V58" s="79"/>
      <c r="W58" s="79"/>
      <c r="X58" s="79"/>
      <c r="Y58" s="79"/>
      <c r="Z58" s="79"/>
      <c r="AB58" s="79" t="s">
        <v>414</v>
      </c>
      <c r="AC58" s="79"/>
      <c r="AD58" s="79"/>
      <c r="AE58" s="79"/>
      <c r="AF58" s="79"/>
      <c r="AG58" s="79"/>
      <c r="AH58" s="79"/>
      <c r="AI58" s="79"/>
    </row>
    <row r="59" spans="1:35" ht="15" customHeight="1" thickTop="1">
      <c r="A59" s="6" t="str">
        <f>_xlfn.CONCAT("TOTAL: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_xlfn.CONCAT("TOTAL: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_xlfn.CONCAT("TOTAL: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_xlfn.CONCAT("TOTAL: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411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416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410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417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415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418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419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79" t="s">
        <v>144</v>
      </c>
      <c r="B65" s="79"/>
      <c r="C65" s="79"/>
      <c r="D65" s="79"/>
      <c r="E65" s="79"/>
      <c r="F65" s="79"/>
      <c r="G65" s="79"/>
      <c r="H65" s="79"/>
      <c r="J65" s="79" t="s">
        <v>421</v>
      </c>
      <c r="K65" s="79"/>
      <c r="L65" s="79"/>
      <c r="M65" s="79"/>
      <c r="N65" s="79"/>
      <c r="O65" s="79"/>
      <c r="P65" s="79"/>
      <c r="Q65" s="79"/>
      <c r="AB65" s="32" t="s">
        <v>420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_xlfn.CONCAT("TOTAL: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_xlfn.CONCAT("TOTAL: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422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423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424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425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426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S37:Z37"/>
    <mergeCell ref="AB37:AI37"/>
    <mergeCell ref="S31:Z31"/>
    <mergeCell ref="AB32:AI32"/>
    <mergeCell ref="J22:Q22"/>
    <mergeCell ref="S22:Z22"/>
    <mergeCell ref="AB22:AI22"/>
    <mergeCell ref="A37:H37"/>
    <mergeCell ref="J27:Q27"/>
    <mergeCell ref="A27:H27"/>
    <mergeCell ref="A32:H32"/>
    <mergeCell ref="J32:Q32"/>
    <mergeCell ref="J37:Q37"/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</mergeCells>
  <phoneticPr fontId="29" type="noConversion"/>
  <conditionalFormatting sqref="K5:Q8">
    <cfRule type="cellIs" dxfId="77" priority="12" operator="greaterThan">
      <formula>0</formula>
    </cfRule>
  </conditionalFormatting>
  <conditionalFormatting sqref="K56:Q56 T56:Z56 AC56:AI56 T61:Z61 B61:H63 K61:Q63 AC61:AI65 B68:H68 K68:Q72">
    <cfRule type="cellIs" dxfId="76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5" priority="11" operator="greaterThan">
      <formula>0</formula>
    </cfRule>
  </conditionalFormatting>
  <conditionalFormatting sqref="AJ3 B5:H24">
    <cfRule type="cellIs" dxfId="74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zoomScale="85" zoomScaleNormal="85" workbookViewId="0">
      <selection activeCell="B4" sqref="B4"/>
    </sheetView>
  </sheetViews>
  <sheetFormatPr baseColWidth="10" defaultRowHeight="15"/>
  <cols>
    <col min="1" max="1" width="21" bestFit="1" customWidth="1"/>
    <col min="2" max="2" width="11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7" t="s">
        <v>86</v>
      </c>
      <c r="B1" s="78"/>
      <c r="D1" s="146" t="s">
        <v>427</v>
      </c>
      <c r="E1" s="146"/>
      <c r="F1" s="146"/>
      <c r="G1" s="146"/>
      <c r="H1" s="146"/>
      <c r="I1" s="146"/>
      <c r="J1" s="146"/>
      <c r="K1" s="146"/>
      <c r="M1" s="146" t="s">
        <v>468</v>
      </c>
      <c r="N1" s="146"/>
      <c r="O1" s="146"/>
      <c r="P1" s="146"/>
      <c r="Q1" s="146"/>
      <c r="R1" s="146"/>
      <c r="S1" s="146"/>
      <c r="T1" s="146"/>
      <c r="V1" s="146" t="s">
        <v>470</v>
      </c>
      <c r="W1" s="146"/>
      <c r="X1" s="146"/>
      <c r="Y1" s="146"/>
      <c r="Z1" s="146"/>
      <c r="AA1" s="146"/>
      <c r="AB1" s="146"/>
      <c r="AC1" s="146"/>
      <c r="AE1" s="146" t="s">
        <v>473</v>
      </c>
      <c r="AF1" s="146"/>
      <c r="AG1" s="146"/>
      <c r="AH1" s="146"/>
      <c r="AI1" s="146"/>
      <c r="AJ1" s="146"/>
      <c r="AK1" s="146"/>
      <c r="AL1" s="146"/>
      <c r="AN1" s="146" t="s">
        <v>477</v>
      </c>
      <c r="AO1" s="146"/>
      <c r="AP1" s="146"/>
      <c r="AQ1" s="146"/>
      <c r="AR1" s="146"/>
      <c r="AS1" s="146"/>
      <c r="AT1" s="146"/>
      <c r="AU1" s="146"/>
      <c r="AW1" s="146" t="s">
        <v>480</v>
      </c>
      <c r="AX1" s="146"/>
      <c r="AY1" s="146"/>
      <c r="AZ1" s="146"/>
      <c r="BA1" s="146"/>
      <c r="BB1" s="146"/>
      <c r="BC1" s="146"/>
      <c r="BD1" s="146"/>
      <c r="BF1" s="146" t="s">
        <v>486</v>
      </c>
      <c r="BG1" s="146"/>
      <c r="BH1" s="146"/>
      <c r="BI1" s="146"/>
      <c r="BJ1" s="146"/>
      <c r="BK1" s="146"/>
      <c r="BL1" s="146"/>
      <c r="BM1" s="146"/>
      <c r="BO1" s="146" t="s">
        <v>490</v>
      </c>
      <c r="BP1" s="146"/>
      <c r="BQ1" s="146"/>
      <c r="BR1" s="146"/>
      <c r="BS1" s="146"/>
      <c r="BT1" s="146"/>
      <c r="BU1" s="146"/>
      <c r="BV1" s="146"/>
      <c r="BX1" s="146" t="s">
        <v>494</v>
      </c>
      <c r="BY1" s="146"/>
      <c r="BZ1" s="146"/>
      <c r="CA1" s="146"/>
      <c r="CB1" s="146"/>
      <c r="CC1" s="146"/>
      <c r="CD1" s="146"/>
      <c r="CE1" s="146"/>
      <c r="CG1" s="146" t="s">
        <v>498</v>
      </c>
      <c r="CH1" s="146"/>
      <c r="CI1" s="146"/>
      <c r="CJ1" s="146"/>
      <c r="CK1" s="146"/>
      <c r="CL1" s="146"/>
      <c r="CM1" s="146"/>
      <c r="CN1" s="146"/>
      <c r="CP1" s="146" t="s">
        <v>501</v>
      </c>
      <c r="CQ1" s="146"/>
      <c r="CR1" s="146"/>
      <c r="CS1" s="146"/>
      <c r="CT1" s="146"/>
      <c r="CU1" s="146"/>
      <c r="CV1" s="146"/>
      <c r="CW1" s="146"/>
      <c r="CY1" s="146" t="s">
        <v>505</v>
      </c>
      <c r="CZ1" s="146"/>
      <c r="DA1" s="146"/>
      <c r="DB1" s="146"/>
      <c r="DC1" s="146"/>
      <c r="DD1" s="146"/>
      <c r="DE1" s="146"/>
      <c r="DF1" s="146"/>
      <c r="DH1" s="146" t="s">
        <v>507</v>
      </c>
      <c r="DI1" s="146"/>
      <c r="DJ1" s="146"/>
      <c r="DK1" s="146"/>
      <c r="DL1" s="146"/>
      <c r="DM1" s="146"/>
      <c r="DN1" s="146"/>
      <c r="DO1" s="146"/>
      <c r="DQ1" s="146" t="s">
        <v>510</v>
      </c>
      <c r="DR1" s="146"/>
      <c r="DS1" s="146"/>
      <c r="DT1" s="146"/>
      <c r="DU1" s="146"/>
      <c r="DV1" s="146"/>
      <c r="DW1" s="146"/>
      <c r="DX1" s="146"/>
      <c r="DZ1" s="146" t="s">
        <v>513</v>
      </c>
      <c r="EA1" s="146"/>
      <c r="EB1" s="146"/>
      <c r="EC1" s="146"/>
      <c r="ED1" s="146"/>
      <c r="EE1" s="146"/>
      <c r="EF1" s="146"/>
      <c r="EG1" s="146"/>
    </row>
    <row r="2" spans="1:137" ht="15.75" thickTop="1">
      <c r="A2" s="1" t="s">
        <v>10</v>
      </c>
      <c r="B2" t="s">
        <v>92</v>
      </c>
      <c r="D2" s="153" t="s">
        <v>428</v>
      </c>
      <c r="E2" s="153"/>
      <c r="F2" s="153"/>
      <c r="G2" s="153"/>
      <c r="H2" s="153"/>
      <c r="I2" s="153"/>
      <c r="J2" s="153"/>
      <c r="K2" s="153"/>
      <c r="M2" s="153" t="s">
        <v>469</v>
      </c>
      <c r="N2" s="153"/>
      <c r="O2" s="153"/>
      <c r="P2" s="153"/>
      <c r="Q2" s="153"/>
      <c r="R2" s="153"/>
      <c r="S2" s="153"/>
      <c r="T2" s="153"/>
      <c r="V2" s="153" t="s">
        <v>471</v>
      </c>
      <c r="W2" s="153"/>
      <c r="X2" s="153"/>
      <c r="Y2" s="153"/>
      <c r="Z2" s="153"/>
      <c r="AA2" s="153"/>
      <c r="AB2" s="153"/>
      <c r="AC2" s="153"/>
      <c r="AE2" s="153" t="s">
        <v>474</v>
      </c>
      <c r="AF2" s="153"/>
      <c r="AG2" s="153"/>
      <c r="AH2" s="153"/>
      <c r="AI2" s="153"/>
      <c r="AJ2" s="153"/>
      <c r="AK2" s="153"/>
      <c r="AL2" s="153"/>
      <c r="AN2" s="153" t="s">
        <v>478</v>
      </c>
      <c r="AO2" s="153"/>
      <c r="AP2" s="153"/>
      <c r="AQ2" s="153"/>
      <c r="AR2" s="153"/>
      <c r="AS2" s="153"/>
      <c r="AT2" s="153"/>
      <c r="AU2" s="153"/>
      <c r="AW2" s="153" t="s">
        <v>481</v>
      </c>
      <c r="AX2" s="153"/>
      <c r="AY2" s="153"/>
      <c r="AZ2" s="153"/>
      <c r="BA2" s="153"/>
      <c r="BB2" s="153"/>
      <c r="BC2" s="153"/>
      <c r="BD2" s="153"/>
      <c r="BF2" s="153" t="s">
        <v>487</v>
      </c>
      <c r="BG2" s="153"/>
      <c r="BH2" s="153"/>
      <c r="BI2" s="153"/>
      <c r="BJ2" s="153"/>
      <c r="BK2" s="153"/>
      <c r="BL2" s="153"/>
      <c r="BM2" s="153"/>
      <c r="BO2" s="153" t="s">
        <v>491</v>
      </c>
      <c r="BP2" s="153"/>
      <c r="BQ2" s="153"/>
      <c r="BR2" s="153"/>
      <c r="BS2" s="153"/>
      <c r="BT2" s="153"/>
      <c r="BU2" s="153"/>
      <c r="BV2" s="153"/>
      <c r="BX2" s="147" t="s">
        <v>495</v>
      </c>
      <c r="BY2" s="148"/>
      <c r="BZ2" s="148"/>
      <c r="CA2" s="148"/>
      <c r="CB2" s="148"/>
      <c r="CC2" s="148"/>
      <c r="CD2" s="148"/>
      <c r="CE2" s="149"/>
      <c r="CG2" s="147" t="s">
        <v>499</v>
      </c>
      <c r="CH2" s="148"/>
      <c r="CI2" s="148"/>
      <c r="CJ2" s="148"/>
      <c r="CK2" s="148"/>
      <c r="CL2" s="148"/>
      <c r="CM2" s="148"/>
      <c r="CN2" s="149"/>
      <c r="CP2" s="147" t="s">
        <v>502</v>
      </c>
      <c r="CQ2" s="148"/>
      <c r="CR2" s="148"/>
      <c r="CS2" s="148"/>
      <c r="CT2" s="148"/>
      <c r="CU2" s="148"/>
      <c r="CV2" s="148"/>
      <c r="CW2" s="149"/>
      <c r="CY2" s="147" t="s">
        <v>506</v>
      </c>
      <c r="CZ2" s="148"/>
      <c r="DA2" s="148"/>
      <c r="DB2" s="148"/>
      <c r="DC2" s="148"/>
      <c r="DD2" s="148"/>
      <c r="DE2" s="148"/>
      <c r="DF2" s="149"/>
      <c r="DH2" s="147" t="s">
        <v>508</v>
      </c>
      <c r="DI2" s="148"/>
      <c r="DJ2" s="148"/>
      <c r="DK2" s="148"/>
      <c r="DL2" s="148"/>
      <c r="DM2" s="148"/>
      <c r="DN2" s="148"/>
      <c r="DO2" s="149"/>
      <c r="DQ2" s="147" t="s">
        <v>511</v>
      </c>
      <c r="DR2" s="148"/>
      <c r="DS2" s="148"/>
      <c r="DT2" s="148"/>
      <c r="DU2" s="148"/>
      <c r="DV2" s="148"/>
      <c r="DW2" s="148"/>
      <c r="DX2" s="149"/>
      <c r="DZ2" s="147" t="s">
        <v>514</v>
      </c>
      <c r="EA2" s="148"/>
      <c r="EB2" s="148"/>
      <c r="EC2" s="148"/>
      <c r="ED2" s="148"/>
      <c r="EE2" s="148"/>
      <c r="EF2" s="148"/>
      <c r="EG2" s="149"/>
    </row>
    <row r="3" spans="1:137">
      <c r="A3" s="144" t="str">
        <f>IF(COUNTA(BASE[Fecha])&gt;0,_xlfn.CONCAT(TEXT(MIN(BASE[Fecha]),"DD-MM-YYYY")," - ",TEXT(MAX(BASE[Fecha]),"DD-MM-YYYY"))," - ")</f>
        <v xml:space="preserve"> - </v>
      </c>
      <c r="B3" s="144"/>
      <c r="D3" s="154" t="s">
        <v>429</v>
      </c>
      <c r="E3" s="154"/>
      <c r="F3" s="154"/>
      <c r="G3" s="154"/>
      <c r="H3" s="154"/>
      <c r="I3" s="154"/>
      <c r="J3" s="154"/>
      <c r="K3" s="154"/>
      <c r="M3" s="154" t="s">
        <v>464</v>
      </c>
      <c r="N3" s="154"/>
      <c r="O3" s="154"/>
      <c r="P3" s="154"/>
      <c r="Q3" s="154"/>
      <c r="R3" s="154"/>
      <c r="S3" s="154"/>
      <c r="T3" s="154"/>
      <c r="V3" s="154" t="s">
        <v>472</v>
      </c>
      <c r="W3" s="154"/>
      <c r="X3" s="154"/>
      <c r="Y3" s="154"/>
      <c r="Z3" s="154"/>
      <c r="AA3" s="154"/>
      <c r="AB3" s="154"/>
      <c r="AC3" s="154"/>
      <c r="AE3" s="154" t="s">
        <v>475</v>
      </c>
      <c r="AF3" s="154"/>
      <c r="AG3" s="154"/>
      <c r="AH3" s="154"/>
      <c r="AI3" s="154"/>
      <c r="AJ3" s="154"/>
      <c r="AK3" s="154"/>
      <c r="AL3" s="154"/>
      <c r="AN3" s="154" t="s">
        <v>479</v>
      </c>
      <c r="AO3" s="154"/>
      <c r="AP3" s="154"/>
      <c r="AQ3" s="154"/>
      <c r="AR3" s="154"/>
      <c r="AS3" s="154"/>
      <c r="AT3" s="154"/>
      <c r="AU3" s="154"/>
      <c r="AW3" s="154" t="s">
        <v>482</v>
      </c>
      <c r="AX3" s="154"/>
      <c r="AY3" s="154"/>
      <c r="AZ3" s="154"/>
      <c r="BA3" s="154"/>
      <c r="BB3" s="154"/>
      <c r="BC3" s="154"/>
      <c r="BD3" s="154"/>
      <c r="BF3" s="154" t="s">
        <v>488</v>
      </c>
      <c r="BG3" s="154"/>
      <c r="BH3" s="154"/>
      <c r="BI3" s="154"/>
      <c r="BJ3" s="154"/>
      <c r="BK3" s="154"/>
      <c r="BL3" s="154"/>
      <c r="BM3" s="154"/>
      <c r="BO3" s="154" t="s">
        <v>492</v>
      </c>
      <c r="BP3" s="154"/>
      <c r="BQ3" s="154"/>
      <c r="BR3" s="154"/>
      <c r="BS3" s="154"/>
      <c r="BT3" s="154"/>
      <c r="BU3" s="154"/>
      <c r="BV3" s="154"/>
      <c r="BX3" s="150" t="s">
        <v>496</v>
      </c>
      <c r="BY3" s="151"/>
      <c r="BZ3" s="151"/>
      <c r="CA3" s="151"/>
      <c r="CB3" s="151"/>
      <c r="CC3" s="151"/>
      <c r="CD3" s="151"/>
      <c r="CE3" s="152"/>
      <c r="CG3" s="150" t="s">
        <v>500</v>
      </c>
      <c r="CH3" s="151"/>
      <c r="CI3" s="151"/>
      <c r="CJ3" s="151"/>
      <c r="CK3" s="151"/>
      <c r="CL3" s="151"/>
      <c r="CM3" s="151"/>
      <c r="CN3" s="152"/>
      <c r="CP3" s="150" t="s">
        <v>503</v>
      </c>
      <c r="CQ3" s="151"/>
      <c r="CR3" s="151"/>
      <c r="CS3" s="151"/>
      <c r="CT3" s="151"/>
      <c r="CU3" s="151"/>
      <c r="CV3" s="151"/>
      <c r="CW3" s="152"/>
      <c r="CY3" s="150" t="s">
        <v>506</v>
      </c>
      <c r="CZ3" s="151"/>
      <c r="DA3" s="151"/>
      <c r="DB3" s="151"/>
      <c r="DC3" s="151"/>
      <c r="DD3" s="151"/>
      <c r="DE3" s="151"/>
      <c r="DF3" s="152"/>
      <c r="DH3" s="150" t="s">
        <v>509</v>
      </c>
      <c r="DI3" s="151"/>
      <c r="DJ3" s="151"/>
      <c r="DK3" s="151"/>
      <c r="DL3" s="151"/>
      <c r="DM3" s="151"/>
      <c r="DN3" s="151"/>
      <c r="DO3" s="152"/>
      <c r="DQ3" s="150" t="s">
        <v>512</v>
      </c>
      <c r="DR3" s="151"/>
      <c r="DS3" s="151"/>
      <c r="DT3" s="151"/>
      <c r="DU3" s="151"/>
      <c r="DV3" s="151"/>
      <c r="DW3" s="151"/>
      <c r="DX3" s="152"/>
      <c r="DZ3" s="150" t="s">
        <v>145</v>
      </c>
      <c r="EA3" s="151"/>
      <c r="EB3" s="151"/>
      <c r="EC3" s="151"/>
      <c r="ED3" s="151"/>
      <c r="EE3" s="151"/>
      <c r="EF3" s="151"/>
      <c r="EG3" s="152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57" t="s">
        <v>142</v>
      </c>
      <c r="B5" s="157"/>
      <c r="D5" s="4" t="s">
        <v>272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465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476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336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483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489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493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497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716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504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365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57"/>
      <c r="B6" s="157"/>
      <c r="D6" s="32" t="s">
        <v>430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395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4" t="s">
        <v>531</v>
      </c>
      <c r="W6" s="154"/>
      <c r="X6" s="154"/>
      <c r="Y6" s="154"/>
      <c r="Z6" s="154"/>
      <c r="AA6" s="154"/>
      <c r="AB6" s="154"/>
      <c r="AC6" s="154"/>
      <c r="AE6" s="154" t="s">
        <v>557</v>
      </c>
      <c r="AF6" s="154"/>
      <c r="AG6" s="154"/>
      <c r="AH6" s="154"/>
      <c r="AI6" s="154"/>
      <c r="AJ6" s="154"/>
      <c r="AK6" s="154"/>
      <c r="AL6" s="154"/>
      <c r="AN6" s="153" t="s">
        <v>617</v>
      </c>
      <c r="AO6" s="153"/>
      <c r="AP6" s="153"/>
      <c r="AQ6" s="153"/>
      <c r="AR6" s="153"/>
      <c r="AS6" s="153"/>
      <c r="AT6" s="153"/>
      <c r="AU6" s="153"/>
      <c r="AW6" s="32" t="s">
        <v>484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5" t="s">
        <v>649</v>
      </c>
      <c r="BG6" s="154"/>
      <c r="BH6" s="154"/>
      <c r="BI6" s="154"/>
      <c r="BJ6" s="154"/>
      <c r="BK6" s="154"/>
      <c r="BL6" s="154"/>
      <c r="BM6" s="154"/>
      <c r="BO6" s="155" t="s">
        <v>690</v>
      </c>
      <c r="BP6" s="154"/>
      <c r="BQ6" s="154"/>
      <c r="BR6" s="154"/>
      <c r="BS6" s="154"/>
      <c r="BT6" s="154"/>
      <c r="BU6" s="154"/>
      <c r="BV6" s="154"/>
      <c r="BX6" s="150" t="s">
        <v>712</v>
      </c>
      <c r="BY6" s="151"/>
      <c r="BZ6" s="151"/>
      <c r="CA6" s="151"/>
      <c r="CB6" s="151"/>
      <c r="CC6" s="151"/>
      <c r="CD6" s="151"/>
      <c r="CE6" s="152"/>
      <c r="CG6" s="4" t="s">
        <v>717</v>
      </c>
      <c r="CH6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161">
        <f>SUM(GUIA_NACIONAL_2022_1106128105107111115129130[[#This Row],[D1]:[D6]])</f>
        <v>0</v>
      </c>
      <c r="CP6" s="150" t="s">
        <v>760</v>
      </c>
      <c r="CQ6" s="151"/>
      <c r="CR6" s="151"/>
      <c r="CS6" s="151"/>
      <c r="CT6" s="151"/>
      <c r="CU6" s="151"/>
      <c r="CV6" s="151"/>
      <c r="CW6" s="152"/>
      <c r="DH6" s="150" t="s">
        <v>764</v>
      </c>
      <c r="DI6" s="151"/>
      <c r="DJ6" s="151"/>
      <c r="DK6" s="151"/>
      <c r="DL6" s="151"/>
      <c r="DM6" s="151"/>
      <c r="DN6" s="151"/>
      <c r="DO6" s="152"/>
    </row>
    <row r="7" spans="1:137" ht="15" customHeight="1">
      <c r="A7" s="157"/>
      <c r="B7" s="157"/>
      <c r="D7" s="32" t="s">
        <v>308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4" t="s">
        <v>467</v>
      </c>
      <c r="N7" s="154"/>
      <c r="O7" s="154"/>
      <c r="P7" s="154"/>
      <c r="Q7" s="154"/>
      <c r="R7" s="154"/>
      <c r="S7" s="154"/>
      <c r="T7" s="154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4" t="s">
        <v>618</v>
      </c>
      <c r="AO7" s="154"/>
      <c r="AP7" s="154"/>
      <c r="AQ7" s="154"/>
      <c r="AR7" s="154"/>
      <c r="AS7" s="154"/>
      <c r="AT7" s="154"/>
      <c r="AU7" s="154"/>
      <c r="AW7" s="32" t="s">
        <v>485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718</v>
      </c>
      <c r="CH7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161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57"/>
      <c r="B8" s="157"/>
      <c r="D8" s="32" t="s">
        <v>310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558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4" t="s">
        <v>638</v>
      </c>
      <c r="AX8" s="154"/>
      <c r="AY8" s="154"/>
      <c r="AZ8" s="154"/>
      <c r="BA8" s="154"/>
      <c r="BB8" s="154"/>
      <c r="BC8" s="154"/>
      <c r="BD8" s="154"/>
      <c r="BF8" s="4" t="s">
        <v>380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691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713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719</v>
      </c>
      <c r="CH8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161">
        <f>SUM(GUIA_NACIONAL_2022_1106128105107111115129130[[#This Row],[D1]:[D6]])</f>
        <v>0</v>
      </c>
      <c r="CP8" s="4" t="s">
        <v>761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57"/>
      <c r="B9" s="157"/>
      <c r="D9" s="32" t="s">
        <v>431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465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4" t="s">
        <v>532</v>
      </c>
      <c r="W9" s="154"/>
      <c r="X9" s="154"/>
      <c r="Y9" s="154"/>
      <c r="Z9" s="154"/>
      <c r="AA9" s="154"/>
      <c r="AB9" s="154"/>
      <c r="AC9" s="154"/>
      <c r="AE9" s="32" t="s">
        <v>559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619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5" t="s">
        <v>650</v>
      </c>
      <c r="BG9" s="154"/>
      <c r="BH9" s="154"/>
      <c r="BI9" s="154"/>
      <c r="BJ9" s="154"/>
      <c r="BK9" s="154"/>
      <c r="BL9" s="154"/>
      <c r="BM9" s="154"/>
      <c r="BO9" s="155" t="s">
        <v>692</v>
      </c>
      <c r="BP9" s="154"/>
      <c r="BQ9" s="154"/>
      <c r="BR9" s="154"/>
      <c r="BS9" s="154"/>
      <c r="BT9" s="154"/>
      <c r="BU9" s="154"/>
      <c r="BV9" s="154"/>
      <c r="BX9" s="150" t="s">
        <v>714</v>
      </c>
      <c r="BY9" s="151"/>
      <c r="BZ9" s="151"/>
      <c r="CA9" s="151"/>
      <c r="CB9" s="151"/>
      <c r="CC9" s="151"/>
      <c r="CD9" s="151"/>
      <c r="CE9" s="152"/>
      <c r="CG9" s="4" t="s">
        <v>720</v>
      </c>
      <c r="CH9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161">
        <f>SUM(GUIA_NACIONAL_2022_1106128105107111115129130[[#This Row],[D1]:[D6]])</f>
        <v>0</v>
      </c>
      <c r="CP9" s="150" t="s">
        <v>762</v>
      </c>
      <c r="CQ9" s="151"/>
      <c r="CR9" s="151"/>
      <c r="CS9" s="151"/>
      <c r="CT9" s="151"/>
      <c r="CU9" s="151"/>
      <c r="CV9" s="151"/>
      <c r="CW9" s="152"/>
      <c r="DH9" s="32" t="s">
        <v>765</v>
      </c>
      <c r="DI9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161">
        <f>SUM(GUIA_NACIONAL_2022_1106128105107111115129130131132133256[[#This Row],[D1]:[D6]])</f>
        <v>0</v>
      </c>
    </row>
    <row r="10" spans="1:137" ht="15" customHeight="1">
      <c r="A10" s="157"/>
      <c r="B10" s="157"/>
      <c r="D10" s="32" t="s">
        <v>432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466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3" t="s">
        <v>560</v>
      </c>
      <c r="AF10" s="153"/>
      <c r="AG10" s="153"/>
      <c r="AH10" s="153"/>
      <c r="AI10" s="153"/>
      <c r="AJ10" s="153"/>
      <c r="AK10" s="153"/>
      <c r="AL10" s="153"/>
      <c r="AN10" s="154" t="s">
        <v>620</v>
      </c>
      <c r="AO10" s="154"/>
      <c r="AP10" s="154"/>
      <c r="AQ10" s="154"/>
      <c r="AR10" s="154"/>
      <c r="AS10" s="154"/>
      <c r="AT10" s="154"/>
      <c r="AU10" s="154"/>
      <c r="AW10" s="4" t="s">
        <v>639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721</v>
      </c>
      <c r="CH10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161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766</v>
      </c>
      <c r="DI10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161">
        <f>SUM(GUIA_NACIONAL_2022_1106128105107111115129130131132133256[[#This Row],[D1]:[D6]])</f>
        <v>0</v>
      </c>
    </row>
    <row r="11" spans="1:137" ht="15" customHeight="1">
      <c r="A11" s="157"/>
      <c r="B11" s="157"/>
      <c r="D11" s="154" t="s">
        <v>439</v>
      </c>
      <c r="E11" s="154"/>
      <c r="F11" s="154"/>
      <c r="G11" s="154"/>
      <c r="H11" s="154"/>
      <c r="I11" s="154"/>
      <c r="J11" s="154"/>
      <c r="K11" s="154"/>
      <c r="M11" s="155" t="s">
        <v>516</v>
      </c>
      <c r="N11" s="154"/>
      <c r="O11" s="154"/>
      <c r="P11" s="154"/>
      <c r="Q11" s="154"/>
      <c r="R11" s="154"/>
      <c r="S11" s="154"/>
      <c r="T11" s="154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4" t="s">
        <v>561</v>
      </c>
      <c r="AF11" s="154"/>
      <c r="AG11" s="154"/>
      <c r="AH11" s="154"/>
      <c r="AI11" s="154"/>
      <c r="AJ11" s="154"/>
      <c r="AK11" s="154"/>
      <c r="AL11" s="154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4" t="s">
        <v>640</v>
      </c>
      <c r="AX11" s="154"/>
      <c r="AY11" s="154"/>
      <c r="AZ11" s="154"/>
      <c r="BA11" s="154"/>
      <c r="BB11" s="154"/>
      <c r="BC11" s="154"/>
      <c r="BD11" s="154"/>
      <c r="BF11" s="4" t="s">
        <v>651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693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715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722</v>
      </c>
      <c r="CH11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161">
        <f>SUM(GUIA_NACIONAL_2022_1106128105107111115129130[[#This Row],[D1]:[D6]])</f>
        <v>0</v>
      </c>
      <c r="CP11" s="4" t="s">
        <v>763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767</v>
      </c>
      <c r="DI11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161">
        <f>SUM(GUIA_NACIONAL_2022_1106128105107111115129130131132133256[[#This Row],[D1]:[D6]])</f>
        <v>0</v>
      </c>
    </row>
    <row r="12" spans="1:137" ht="15" customHeight="1">
      <c r="A12" s="157"/>
      <c r="B12" s="157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621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5" t="s">
        <v>652</v>
      </c>
      <c r="BG12" s="154"/>
      <c r="BH12" s="154"/>
      <c r="BI12" s="154"/>
      <c r="BJ12" s="154"/>
      <c r="BK12" s="154"/>
      <c r="BL12" s="154"/>
      <c r="BM12" s="154"/>
      <c r="BO12" s="153" t="s">
        <v>694</v>
      </c>
      <c r="BP12" s="153"/>
      <c r="BQ12" s="153"/>
      <c r="BR12" s="153"/>
      <c r="BS12" s="153"/>
      <c r="BT12" s="153"/>
      <c r="BU12" s="153"/>
      <c r="BV12" s="153"/>
      <c r="CG12" s="4" t="s">
        <v>723</v>
      </c>
      <c r="CH12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161">
        <f>SUM(GUIA_NACIONAL_2022_1106128105107111115129130[[#This Row],[D1]:[D6]])</f>
        <v>0</v>
      </c>
      <c r="DH12" s="32" t="s">
        <v>768</v>
      </c>
      <c r="DI12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161">
        <f>SUM(GUIA_NACIONAL_2022_1106128105107111115129130131132133256[[#This Row],[D1]:[D6]])</f>
        <v>0</v>
      </c>
    </row>
    <row r="13" spans="1:137" ht="15" customHeight="1">
      <c r="A13" s="157"/>
      <c r="B13" s="157"/>
      <c r="D13" s="4" t="s">
        <v>433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515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355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4" t="s">
        <v>624</v>
      </c>
      <c r="AO13" s="154"/>
      <c r="AP13" s="154"/>
      <c r="AQ13" s="154"/>
      <c r="AR13" s="154"/>
      <c r="AS13" s="154"/>
      <c r="AT13" s="154"/>
      <c r="AU13" s="154"/>
      <c r="AW13" s="4" t="s">
        <v>641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5" t="s">
        <v>695</v>
      </c>
      <c r="BP13" s="154"/>
      <c r="BQ13" s="154"/>
      <c r="BR13" s="154"/>
      <c r="BS13" s="154"/>
      <c r="BT13" s="154"/>
      <c r="BU13" s="154"/>
      <c r="BV13" s="154"/>
      <c r="CG13" s="4" t="s">
        <v>724</v>
      </c>
      <c r="CH13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161">
        <f>SUM(GUIA_NACIONAL_2022_1106128105107111115129130[[#This Row],[D1]:[D6]])</f>
        <v>0</v>
      </c>
      <c r="DH13" s="32" t="s">
        <v>769</v>
      </c>
      <c r="DI13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161">
        <f>SUM(GUIA_NACIONAL_2022_1106128105107111115129130131132133256[[#This Row],[D1]:[D6]])</f>
        <v>0</v>
      </c>
    </row>
    <row r="14" spans="1:137" ht="15" customHeight="1">
      <c r="A14" s="157"/>
      <c r="B14" s="157"/>
      <c r="D14" s="32" t="s">
        <v>434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5" t="s">
        <v>517</v>
      </c>
      <c r="N14" s="154"/>
      <c r="O14" s="154"/>
      <c r="P14" s="154"/>
      <c r="Q14" s="154"/>
      <c r="R14" s="154"/>
      <c r="S14" s="154"/>
      <c r="T14" s="154"/>
      <c r="V14" s="153" t="s">
        <v>534</v>
      </c>
      <c r="W14" s="153"/>
      <c r="X14" s="153"/>
      <c r="Y14" s="153"/>
      <c r="Z14" s="153"/>
      <c r="AA14" s="153"/>
      <c r="AB14" s="153"/>
      <c r="AC14" s="153"/>
      <c r="AE14" s="153" t="s">
        <v>562</v>
      </c>
      <c r="AF14" s="153"/>
      <c r="AG14" s="153"/>
      <c r="AH14" s="153"/>
      <c r="AI14" s="153"/>
      <c r="AJ14" s="153"/>
      <c r="AK14" s="153"/>
      <c r="AL14" s="153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642</v>
      </c>
      <c r="AX14" s="160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160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160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160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160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160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161">
        <f>SUM(GUIA_NACIONAL_2022_1106128105107110207208[[#This Row],[D1]:[D6]])</f>
        <v>0</v>
      </c>
      <c r="BF14" s="4" t="s">
        <v>653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725</v>
      </c>
      <c r="CH14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161">
        <f>SUM(GUIA_NACIONAL_2022_1106128105107111115129130[[#This Row],[D1]:[D6]])</f>
        <v>0</v>
      </c>
      <c r="DH14" s="32" t="s">
        <v>770</v>
      </c>
      <c r="DI14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161">
        <f>SUM(GUIA_NACIONAL_2022_1106128105107111115129130131132133256[[#This Row],[D1]:[D6]])</f>
        <v>0</v>
      </c>
    </row>
    <row r="15" spans="1:137" ht="15" customHeight="1">
      <c r="A15" s="157"/>
      <c r="B15" s="157"/>
      <c r="D15" s="32" t="s">
        <v>435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5" t="s">
        <v>533</v>
      </c>
      <c r="W15" s="154"/>
      <c r="X15" s="154"/>
      <c r="Y15" s="154"/>
      <c r="Z15" s="154"/>
      <c r="AA15" s="154"/>
      <c r="AB15" s="154"/>
      <c r="AC15" s="154"/>
      <c r="AE15" s="154" t="s">
        <v>563</v>
      </c>
      <c r="AF15" s="154"/>
      <c r="AG15" s="154"/>
      <c r="AH15" s="154"/>
      <c r="AI15" s="154"/>
      <c r="AJ15" s="154"/>
      <c r="AK15" s="154"/>
      <c r="AL15" s="154"/>
      <c r="AN15" s="4" t="s">
        <v>622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643</v>
      </c>
      <c r="AX15" s="160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160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160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160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160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160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161">
        <f>SUM(GUIA_NACIONAL_2022_1106128105107110207208[[#This Row],[D1]:[D6]])</f>
        <v>0</v>
      </c>
      <c r="BF15" s="153" t="s">
        <v>654</v>
      </c>
      <c r="BG15" s="153"/>
      <c r="BH15" s="153"/>
      <c r="BI15" s="153"/>
      <c r="BJ15" s="153"/>
      <c r="BK15" s="153"/>
      <c r="BL15" s="153"/>
      <c r="BM15" s="153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726</v>
      </c>
      <c r="CH15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161">
        <f>SUM(GUIA_NACIONAL_2022_1106128105107111115129130[[#This Row],[D1]:[D6]])</f>
        <v>0</v>
      </c>
      <c r="DH15" s="32" t="s">
        <v>771</v>
      </c>
      <c r="DI15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161">
        <f>SUM(GUIA_NACIONAL_2022_1106128105107111115129130131132133256[[#This Row],[D1]:[D6]])</f>
        <v>0</v>
      </c>
    </row>
    <row r="16" spans="1:137" ht="15" customHeight="1">
      <c r="A16" s="157"/>
      <c r="B16" s="157"/>
      <c r="D16" s="32" t="s">
        <v>314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518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623</v>
      </c>
      <c r="AO16" s="160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160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160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160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160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160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161">
        <f>SUM(GUIA_NACIONAL_2022_1106128105168162195196[[#This Row],[D1]:[D6]])</f>
        <v>0</v>
      </c>
      <c r="AW16" s="4" t="s">
        <v>644</v>
      </c>
      <c r="AX16" s="160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160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160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160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160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160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161">
        <f>SUM(GUIA_NACIONAL_2022_1106128105107110207208[[#This Row],[D1]:[D6]])</f>
        <v>0</v>
      </c>
      <c r="BF16" s="154" t="s">
        <v>655</v>
      </c>
      <c r="BG16" s="154"/>
      <c r="BH16" s="154"/>
      <c r="BI16" s="154"/>
      <c r="BJ16" s="154"/>
      <c r="BK16" s="154"/>
      <c r="BL16" s="154"/>
      <c r="BM16" s="154"/>
      <c r="BO16" s="4" t="s">
        <v>332</v>
      </c>
      <c r="BP16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161">
        <f>SUM(GUIA_NACIONAL_2022_1106128105107110207210231232234[[#This Row],[D1]:[D6]])</f>
        <v>0</v>
      </c>
      <c r="CG16" s="4" t="s">
        <v>727</v>
      </c>
      <c r="CH16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161">
        <f>SUM(GUIA_NACIONAL_2022_1106128105107111115129130[[#This Row],[D1]:[D6]])</f>
        <v>0</v>
      </c>
      <c r="DH16" s="32" t="s">
        <v>772</v>
      </c>
      <c r="DI16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161">
        <f>SUM(GUIA_NACIONAL_2022_1106128105107111115129130131132133256[[#This Row],[D1]:[D6]])</f>
        <v>0</v>
      </c>
    </row>
    <row r="17" spans="1:119" ht="15" customHeight="1">
      <c r="A17" s="157"/>
      <c r="B17" s="157"/>
      <c r="D17" s="32" t="s">
        <v>315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5" t="s">
        <v>519</v>
      </c>
      <c r="N17" s="154"/>
      <c r="O17" s="154"/>
      <c r="P17" s="154"/>
      <c r="Q17" s="154"/>
      <c r="R17" s="154"/>
      <c r="S17" s="154"/>
      <c r="T17" s="154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564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619</v>
      </c>
      <c r="AO17" s="160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160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160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160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160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160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161">
        <f>SUM(GUIA_NACIONAL_2022_1106128105168162195196[[#This Row],[D1]:[D6]])</f>
        <v>0</v>
      </c>
      <c r="AW17" s="4" t="s">
        <v>645</v>
      </c>
      <c r="AX17" s="160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160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160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160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160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160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161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333</v>
      </c>
      <c r="BP17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161">
        <f>SUM(GUIA_NACIONAL_2022_1106128105107110207210231232234[[#This Row],[D1]:[D6]])</f>
        <v>0</v>
      </c>
      <c r="CG17" s="4" t="s">
        <v>728</v>
      </c>
      <c r="CH17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161">
        <f>SUM(GUIA_NACIONAL_2022_1106128105107111115129130[[#This Row],[D1]:[D6]])</f>
        <v>0</v>
      </c>
      <c r="DH17" s="32" t="s">
        <v>773</v>
      </c>
      <c r="DI17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161">
        <f>SUM(GUIA_NACIONAL_2022_1106128105107111115129130131132133256[[#This Row],[D1]:[D6]])</f>
        <v>0</v>
      </c>
    </row>
    <row r="18" spans="1:119" ht="15" customHeight="1">
      <c r="A18" s="157"/>
      <c r="B18" s="157"/>
      <c r="D18" s="32" t="s">
        <v>316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5" t="s">
        <v>535</v>
      </c>
      <c r="W18" s="154"/>
      <c r="X18" s="154"/>
      <c r="Y18" s="154"/>
      <c r="Z18" s="154"/>
      <c r="AA18" s="154"/>
      <c r="AB18" s="154"/>
      <c r="AC18" s="154"/>
      <c r="AE18" s="154" t="s">
        <v>565</v>
      </c>
      <c r="AF18" s="154"/>
      <c r="AG18" s="154"/>
      <c r="AH18" s="154"/>
      <c r="AI18" s="154"/>
      <c r="AJ18" s="154"/>
      <c r="AK18" s="154"/>
      <c r="AL18" s="154"/>
      <c r="AN18" s="153" t="s">
        <v>625</v>
      </c>
      <c r="AO18" s="153"/>
      <c r="AP18" s="153"/>
      <c r="AQ18" s="153"/>
      <c r="AR18" s="153"/>
      <c r="AS18" s="153"/>
      <c r="AT18" s="153"/>
      <c r="AU18" s="153"/>
      <c r="AW18" s="4" t="s">
        <v>646</v>
      </c>
      <c r="AX18" s="160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160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160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160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160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160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161">
        <f>SUM(GUIA_NACIONAL_2022_1106128105107110207208[[#This Row],[D1]:[D6]])</f>
        <v>0</v>
      </c>
      <c r="BF18" s="4" t="s">
        <v>382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324</v>
      </c>
      <c r="BP18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161">
        <f>SUM(GUIA_NACIONAL_2022_1106128105107110207210231232234[[#This Row],[D1]:[D6]])</f>
        <v>0</v>
      </c>
      <c r="CG18" s="4" t="s">
        <v>730</v>
      </c>
      <c r="CH18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161">
        <f>SUM(GUIA_NACIONAL_2022_1106128105107111115129130[[#This Row],[D1]:[D6]])</f>
        <v>0</v>
      </c>
      <c r="DH18" s="32" t="s">
        <v>774</v>
      </c>
      <c r="DI18" s="160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160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160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160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160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160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161">
        <f>SUM(GUIA_NACIONAL_2022_1106128105107111115129130131132133256[[#This Row],[D1]:[D6]])</f>
        <v>0</v>
      </c>
    </row>
    <row r="19" spans="1:119" ht="15" customHeight="1">
      <c r="A19" s="157"/>
      <c r="B19" s="157"/>
      <c r="D19" s="32" t="s">
        <v>317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392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4" t="s">
        <v>557</v>
      </c>
      <c r="AO19" s="154"/>
      <c r="AP19" s="154"/>
      <c r="AQ19" s="154"/>
      <c r="AR19" s="154"/>
      <c r="AS19" s="154"/>
      <c r="AT19" s="154"/>
      <c r="AU19" s="154"/>
      <c r="AW19" s="154" t="s">
        <v>647</v>
      </c>
      <c r="AX19" s="154"/>
      <c r="AY19" s="154"/>
      <c r="AZ19" s="154"/>
      <c r="BA19" s="154"/>
      <c r="BB19" s="154"/>
      <c r="BC19" s="154"/>
      <c r="BD19" s="154"/>
      <c r="BF19" s="154" t="s">
        <v>656</v>
      </c>
      <c r="BG19" s="154"/>
      <c r="BH19" s="154"/>
      <c r="BI19" s="154"/>
      <c r="BJ19" s="154"/>
      <c r="BK19" s="154"/>
      <c r="BL19" s="154"/>
      <c r="BM19" s="154"/>
      <c r="BO19" s="4" t="s">
        <v>325</v>
      </c>
      <c r="BP19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161">
        <f>SUM(GUIA_NACIONAL_2022_1106128105107110207210231232234[[#This Row],[D1]:[D6]])</f>
        <v>0</v>
      </c>
      <c r="CG19" s="4" t="s">
        <v>729</v>
      </c>
      <c r="CH19" s="160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160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160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160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160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160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161">
        <f>SUM(GUIA_NACIONAL_2022_1106128105107111115129130[[#This Row],[D1]:[D6]])</f>
        <v>0</v>
      </c>
      <c r="DH19" s="155" t="s">
        <v>775</v>
      </c>
      <c r="DI19" s="154"/>
      <c r="DJ19" s="154"/>
      <c r="DK19" s="154"/>
      <c r="DL19" s="154"/>
      <c r="DM19" s="154"/>
      <c r="DN19" s="154"/>
      <c r="DO19" s="154"/>
    </row>
    <row r="20" spans="1:119" ht="15" customHeight="1">
      <c r="A20" s="157"/>
      <c r="B20" s="157"/>
      <c r="D20" s="32" t="s">
        <v>318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5" t="s">
        <v>520</v>
      </c>
      <c r="N20" s="154"/>
      <c r="O20" s="154"/>
      <c r="P20" s="154"/>
      <c r="Q20" s="154"/>
      <c r="R20" s="154"/>
      <c r="S20" s="154"/>
      <c r="T20" s="154"/>
      <c r="V20" s="4" t="s">
        <v>306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566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161">
        <f>SUM(GUIA_NACIONAL_2022_1106128105107110207210231232234[[#This Row],[D1]:[D6]])</f>
        <v>0</v>
      </c>
      <c r="CG20" s="150" t="s">
        <v>731</v>
      </c>
      <c r="CH20" s="151"/>
      <c r="CI20" s="151"/>
      <c r="CJ20" s="151"/>
      <c r="CK20" s="151"/>
      <c r="CL20" s="151"/>
      <c r="CM20" s="151"/>
      <c r="CN20" s="152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57"/>
      <c r="B21" s="157"/>
      <c r="D21" s="32" t="s">
        <v>319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307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4" t="s">
        <v>567</v>
      </c>
      <c r="AF21" s="154"/>
      <c r="AG21" s="154"/>
      <c r="AH21" s="154"/>
      <c r="AI21" s="154"/>
      <c r="AJ21" s="154"/>
      <c r="AK21" s="154"/>
      <c r="AL21" s="154"/>
      <c r="AN21" s="4" t="s">
        <v>558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648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657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334</v>
      </c>
      <c r="BP21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161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776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57"/>
      <c r="B22" s="157"/>
      <c r="D22" s="32" t="s">
        <v>320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521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308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559</v>
      </c>
      <c r="AO22" s="160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160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160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160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160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160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161">
        <f>SUM(GUIA_NACIONAL_2022_1106128105168162197[[#This Row],[D1]:[D6]])</f>
        <v>0</v>
      </c>
      <c r="BF22" s="153" t="s">
        <v>658</v>
      </c>
      <c r="BG22" s="153"/>
      <c r="BH22" s="153"/>
      <c r="BI22" s="153"/>
      <c r="BJ22" s="153"/>
      <c r="BK22" s="153"/>
      <c r="BL22" s="153"/>
      <c r="BM22" s="153"/>
      <c r="BO22" s="4" t="s">
        <v>326</v>
      </c>
      <c r="BP22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161">
        <f>SUM(GUIA_NACIONAL_2022_1106128105107110207210231232234[[#This Row],[D1]:[D6]])</f>
        <v>0</v>
      </c>
      <c r="CG22" s="4" t="s">
        <v>345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50" t="s">
        <v>777</v>
      </c>
      <c r="DI22" s="151"/>
      <c r="DJ22" s="151"/>
      <c r="DK22" s="151"/>
      <c r="DL22" s="151"/>
      <c r="DM22" s="151"/>
      <c r="DN22" s="151"/>
      <c r="DO22" s="152"/>
    </row>
    <row r="23" spans="1:119" ht="15" customHeight="1">
      <c r="A23" s="157"/>
      <c r="B23" s="157"/>
      <c r="D23" s="32" t="s">
        <v>436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5" t="s">
        <v>524</v>
      </c>
      <c r="N23" s="154"/>
      <c r="O23" s="154"/>
      <c r="P23" s="154"/>
      <c r="Q23" s="154"/>
      <c r="R23" s="154"/>
      <c r="S23" s="154"/>
      <c r="T23" s="154"/>
      <c r="V23" s="155" t="s">
        <v>536</v>
      </c>
      <c r="W23" s="154"/>
      <c r="X23" s="154"/>
      <c r="Y23" s="154"/>
      <c r="Z23" s="154"/>
      <c r="AA23" s="154"/>
      <c r="AB23" s="154"/>
      <c r="AC23" s="154"/>
      <c r="AE23" s="4" t="s">
        <v>568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4" t="s">
        <v>626</v>
      </c>
      <c r="AO23" s="154"/>
      <c r="AP23" s="154"/>
      <c r="AQ23" s="154"/>
      <c r="AR23" s="154"/>
      <c r="AS23" s="154"/>
      <c r="AT23" s="154"/>
      <c r="AU23" s="154"/>
      <c r="BF23" s="154" t="s">
        <v>661</v>
      </c>
      <c r="BG23" s="154"/>
      <c r="BH23" s="154"/>
      <c r="BI23" s="154"/>
      <c r="BJ23" s="154"/>
      <c r="BK23" s="154"/>
      <c r="BL23" s="154"/>
      <c r="BM23" s="154"/>
      <c r="BO23" s="4" t="s">
        <v>327</v>
      </c>
      <c r="BP23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161">
        <f>SUM(GUIA_NACIONAL_2022_1106128105107110207210231232234[[#This Row],[D1]:[D6]])</f>
        <v>0</v>
      </c>
      <c r="CG23" s="4" t="s">
        <v>734</v>
      </c>
      <c r="CH23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161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57"/>
      <c r="B24" s="157"/>
      <c r="D24" s="32" t="s">
        <v>311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4" t="s">
        <v>570</v>
      </c>
      <c r="AF24" s="154"/>
      <c r="AG24" s="154"/>
      <c r="AH24" s="154"/>
      <c r="AI24" s="154"/>
      <c r="AJ24" s="154"/>
      <c r="AK24" s="154"/>
      <c r="AL24" s="154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328</v>
      </c>
      <c r="BP24" s="160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160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160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160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160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160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161">
        <f>SUM(GUIA_NACIONAL_2022_1106128105107110207210231232234[[#This Row],[D1]:[D6]])</f>
        <v>0</v>
      </c>
      <c r="CG24" s="4" t="s">
        <v>735</v>
      </c>
      <c r="CH24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161">
        <f>SUM(GUIA_NACIONAL_2022_1106128105107111115129130250[[#This Row],[D1]:[D6]])</f>
        <v>0</v>
      </c>
      <c r="DH24" s="4" t="s">
        <v>778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57"/>
      <c r="B25" s="157"/>
      <c r="D25" s="32" t="s">
        <v>312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522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376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659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5" t="s">
        <v>696</v>
      </c>
      <c r="BP25" s="154"/>
      <c r="BQ25" s="154"/>
      <c r="BR25" s="154"/>
      <c r="BS25" s="154"/>
      <c r="BT25" s="154"/>
      <c r="BU25" s="154"/>
      <c r="BV25" s="154"/>
      <c r="CG25" s="4" t="s">
        <v>736</v>
      </c>
      <c r="CH25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161">
        <f>SUM(GUIA_NACIONAL_2022_1106128105107111115129130250[[#This Row],[D1]:[D6]])</f>
        <v>0</v>
      </c>
    </row>
    <row r="26" spans="1:119" ht="15" customHeight="1">
      <c r="A26" s="157"/>
      <c r="B26" s="157"/>
      <c r="D26" s="32" t="s">
        <v>313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523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569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3" t="s">
        <v>627</v>
      </c>
      <c r="AO26" s="153"/>
      <c r="AP26" s="153"/>
      <c r="AQ26" s="153"/>
      <c r="AR26" s="153"/>
      <c r="AS26" s="153"/>
      <c r="AT26" s="153"/>
      <c r="AU26" s="153"/>
      <c r="BF26" s="154" t="s">
        <v>660</v>
      </c>
      <c r="BG26" s="154"/>
      <c r="BH26" s="154"/>
      <c r="BI26" s="154"/>
      <c r="BJ26" s="154"/>
      <c r="BK26" s="154"/>
      <c r="BL26" s="154"/>
      <c r="BM26" s="154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737</v>
      </c>
      <c r="CH26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161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437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395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3" t="s">
        <v>172</v>
      </c>
      <c r="AF27" s="153"/>
      <c r="AG27" s="153"/>
      <c r="AH27" s="153"/>
      <c r="AI27" s="153"/>
      <c r="AJ27" s="153"/>
      <c r="AK27" s="153"/>
      <c r="AL27" s="153"/>
      <c r="AN27" s="154" t="s">
        <v>557</v>
      </c>
      <c r="AO27" s="154"/>
      <c r="AP27" s="154"/>
      <c r="AQ27" s="154"/>
      <c r="AR27" s="154"/>
      <c r="AS27" s="154"/>
      <c r="AT27" s="154"/>
      <c r="AU27" s="154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406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346</v>
      </c>
      <c r="CH27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161">
        <f>SUM(GUIA_NACIONAL_2022_1106128105107111115129130250[[#This Row],[D1]:[D6]])</f>
        <v>0</v>
      </c>
    </row>
    <row r="28" spans="1:119" ht="15" customHeight="1">
      <c r="A28" s="157" t="s">
        <v>779</v>
      </c>
      <c r="B28" s="157"/>
      <c r="D28" s="154" t="s">
        <v>438</v>
      </c>
      <c r="E28" s="154"/>
      <c r="F28" s="154"/>
      <c r="G28" s="154"/>
      <c r="H28" s="154"/>
      <c r="I28" s="154"/>
      <c r="J28" s="154"/>
      <c r="K28" s="154"/>
      <c r="M28" s="155" t="s">
        <v>525</v>
      </c>
      <c r="N28" s="154"/>
      <c r="O28" s="154"/>
      <c r="P28" s="154"/>
      <c r="Q28" s="154"/>
      <c r="R28" s="154"/>
      <c r="S28" s="154"/>
      <c r="T28" s="154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5" t="s">
        <v>572</v>
      </c>
      <c r="AF28" s="154"/>
      <c r="AG28" s="154"/>
      <c r="AH28" s="154"/>
      <c r="AI28" s="154"/>
      <c r="AJ28" s="154"/>
      <c r="AK28" s="154"/>
      <c r="AL28" s="154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662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161">
        <f>SUM(GUIA_NACIONAL_2022_1106128105107110207210231232234235[[#This Row],[D1]:[D6]])</f>
        <v>0</v>
      </c>
      <c r="CG28" s="4" t="s">
        <v>738</v>
      </c>
      <c r="CH28" s="160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160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160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160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160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160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161">
        <f>SUM(GUIA_NACIONAL_2022_1106128105107111115129130250[[#This Row],[D1]:[D6]])</f>
        <v>0</v>
      </c>
    </row>
    <row r="29" spans="1:119" ht="15" customHeight="1">
      <c r="A29" s="157"/>
      <c r="B29" s="157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558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4" t="s">
        <v>666</v>
      </c>
      <c r="BG29" s="154"/>
      <c r="BH29" s="154"/>
      <c r="BI29" s="154"/>
      <c r="BJ29" s="154"/>
      <c r="BK29" s="154"/>
      <c r="BL29" s="154"/>
      <c r="BM29" s="154"/>
      <c r="BO29" s="4" t="s">
        <v>332</v>
      </c>
      <c r="BP29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161">
        <f>SUM(GUIA_NACIONAL_2022_1106128105107110207210231232234235[[#This Row],[D1]:[D6]])</f>
        <v>0</v>
      </c>
      <c r="CG29" s="150" t="s">
        <v>732</v>
      </c>
      <c r="CH29" s="151"/>
      <c r="CI29" s="151"/>
      <c r="CJ29" s="151"/>
      <c r="CK29" s="151"/>
      <c r="CL29" s="151"/>
      <c r="CM29" s="151"/>
      <c r="CN29" s="152"/>
    </row>
    <row r="30" spans="1:119" ht="15" customHeight="1">
      <c r="A30" s="157"/>
      <c r="B30" s="157"/>
      <c r="D30" s="4" t="s">
        <v>272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526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5" t="s">
        <v>537</v>
      </c>
      <c r="W30" s="154"/>
      <c r="X30" s="154"/>
      <c r="Y30" s="154"/>
      <c r="Z30" s="154"/>
      <c r="AA30" s="154"/>
      <c r="AB30" s="154"/>
      <c r="AC30" s="154"/>
      <c r="AE30" s="4" t="s">
        <v>571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559</v>
      </c>
      <c r="AO30" s="160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160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160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160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160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160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161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333</v>
      </c>
      <c r="BP30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161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57"/>
      <c r="B31" s="157"/>
      <c r="D31" s="32" t="s">
        <v>430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527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4" t="s">
        <v>573</v>
      </c>
      <c r="AF31" s="154"/>
      <c r="AG31" s="154"/>
      <c r="AH31" s="154"/>
      <c r="AI31" s="154"/>
      <c r="AJ31" s="154"/>
      <c r="AK31" s="154"/>
      <c r="AL31" s="154"/>
      <c r="AN31" s="154" t="s">
        <v>628</v>
      </c>
      <c r="AO31" s="154"/>
      <c r="AP31" s="154"/>
      <c r="AQ31" s="154"/>
      <c r="AR31" s="154"/>
      <c r="AS31" s="154"/>
      <c r="AT31" s="154"/>
      <c r="AU31" s="154"/>
      <c r="BF31" s="4" t="s">
        <v>663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324</v>
      </c>
      <c r="BP31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161">
        <f>SUM(GUIA_NACIONAL_2022_1106128105107110207210231232234235[[#This Row],[D1]:[D6]])</f>
        <v>0</v>
      </c>
      <c r="CG31" s="4" t="s">
        <v>733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57"/>
      <c r="B32" s="157"/>
      <c r="D32" s="32" t="s">
        <v>308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528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664</v>
      </c>
      <c r="BG32" s="160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160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160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160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160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160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161">
        <f>SUM(GUIA_NACIONAL_2022_1106128105107110207214216217218[[#This Row],[D1]:[D6]])</f>
        <v>0</v>
      </c>
      <c r="BO32" s="4" t="s">
        <v>325</v>
      </c>
      <c r="BP32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161">
        <f>SUM(GUIA_NACIONAL_2022_1106128105107110207210231232234235[[#This Row],[D1]:[D6]])</f>
        <v>0</v>
      </c>
      <c r="CG32" s="150" t="s">
        <v>739</v>
      </c>
      <c r="CH32" s="151"/>
      <c r="CI32" s="151"/>
      <c r="CJ32" s="151"/>
      <c r="CK32" s="151"/>
      <c r="CL32" s="151"/>
      <c r="CM32" s="151"/>
      <c r="CN32" s="152"/>
    </row>
    <row r="33" spans="1:92" ht="15" customHeight="1">
      <c r="A33" s="157"/>
      <c r="B33" s="157"/>
      <c r="D33" s="32" t="s">
        <v>310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396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3" t="s">
        <v>538</v>
      </c>
      <c r="W33" s="153"/>
      <c r="X33" s="153"/>
      <c r="Y33" s="153"/>
      <c r="Z33" s="153"/>
      <c r="AA33" s="153"/>
      <c r="AB33" s="153"/>
      <c r="AC33" s="153"/>
      <c r="AE33" s="4" t="s">
        <v>367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571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665</v>
      </c>
      <c r="BG33" s="160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160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160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160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160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160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161">
        <f>SUM(GUIA_NACIONAL_2022_1106128105107110207214216217218[[#This Row],[D1]:[D6]])</f>
        <v>0</v>
      </c>
      <c r="BO33" s="4" t="s">
        <v>261</v>
      </c>
      <c r="BP33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161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57"/>
      <c r="B34" s="157"/>
      <c r="D34" s="32" t="s">
        <v>431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5" t="s">
        <v>529</v>
      </c>
      <c r="N34" s="154"/>
      <c r="O34" s="154"/>
      <c r="P34" s="154"/>
      <c r="Q34" s="154"/>
      <c r="R34" s="154"/>
      <c r="S34" s="154"/>
      <c r="T34" s="154"/>
      <c r="V34" s="155" t="s">
        <v>539</v>
      </c>
      <c r="W34" s="154"/>
      <c r="X34" s="154"/>
      <c r="Y34" s="154"/>
      <c r="Z34" s="154"/>
      <c r="AA34" s="154"/>
      <c r="AB34" s="154"/>
      <c r="AC34" s="154"/>
      <c r="AE34" s="32" t="s">
        <v>368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4" t="s">
        <v>626</v>
      </c>
      <c r="AO34" s="154"/>
      <c r="AP34" s="154"/>
      <c r="AQ34" s="154"/>
      <c r="AR34" s="154"/>
      <c r="AS34" s="154"/>
      <c r="AT34" s="154"/>
      <c r="AU34" s="154"/>
      <c r="BF34" s="155" t="s">
        <v>667</v>
      </c>
      <c r="BG34" s="154"/>
      <c r="BH34" s="154"/>
      <c r="BI34" s="154"/>
      <c r="BJ34" s="154"/>
      <c r="BK34" s="154"/>
      <c r="BL34" s="154"/>
      <c r="BM34" s="154"/>
      <c r="BO34" s="4" t="s">
        <v>334</v>
      </c>
      <c r="BP34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161">
        <f>SUM(GUIA_NACIONAL_2022_1106128105107110207210231232234235[[#This Row],[D1]:[D6]])</f>
        <v>0</v>
      </c>
      <c r="CG34" s="4" t="s">
        <v>740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59" t="s">
        <v>615</v>
      </c>
      <c r="B35" s="157"/>
      <c r="D35" s="32" t="s">
        <v>432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369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326</v>
      </c>
      <c r="BP35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161">
        <f>SUM(GUIA_NACIONAL_2022_1106128105107110207210231232234235[[#This Row],[D1]:[D6]])</f>
        <v>0</v>
      </c>
      <c r="CG35" s="4" t="s">
        <v>741</v>
      </c>
      <c r="CH35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161">
        <f>SUM(GUIA_NACIONAL_2022_1106128105107111115129130250251252[[#This Row],[D1]:[D6]])</f>
        <v>0</v>
      </c>
    </row>
    <row r="36" spans="1:92" ht="15" customHeight="1">
      <c r="A36" s="157"/>
      <c r="B36" s="157"/>
      <c r="D36" s="154" t="s">
        <v>440</v>
      </c>
      <c r="E36" s="154"/>
      <c r="F36" s="154"/>
      <c r="G36" s="154"/>
      <c r="H36" s="154"/>
      <c r="I36" s="154"/>
      <c r="J36" s="154"/>
      <c r="K36" s="154"/>
      <c r="M36" s="4" t="s">
        <v>530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3" t="s">
        <v>574</v>
      </c>
      <c r="AF36" s="153"/>
      <c r="AG36" s="153"/>
      <c r="AH36" s="153"/>
      <c r="AI36" s="153"/>
      <c r="AJ36" s="153"/>
      <c r="AK36" s="153"/>
      <c r="AL36" s="153"/>
      <c r="AN36" s="4" t="s">
        <v>391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668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327</v>
      </c>
      <c r="BP36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161">
        <f>SUM(GUIA_NACIONAL_2022_1106128105107110207210231232234235[[#This Row],[D1]:[D6]])</f>
        <v>0</v>
      </c>
      <c r="CG36" s="4" t="s">
        <v>742</v>
      </c>
      <c r="CH36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161">
        <f>SUM(GUIA_NACIONAL_2022_1106128105107111115129130250251252[[#This Row],[D1]:[D6]])</f>
        <v>0</v>
      </c>
    </row>
    <row r="37" spans="1:92" ht="15" customHeight="1">
      <c r="A37" s="157"/>
      <c r="B37" s="157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5" t="s">
        <v>540</v>
      </c>
      <c r="W37" s="154"/>
      <c r="X37" s="154"/>
      <c r="Y37" s="154"/>
      <c r="Z37" s="154"/>
      <c r="AA37" s="154"/>
      <c r="AB37" s="154"/>
      <c r="AC37" s="154"/>
      <c r="AE37" s="154" t="s">
        <v>575</v>
      </c>
      <c r="AF37" s="154"/>
      <c r="AG37" s="154"/>
      <c r="AH37" s="154"/>
      <c r="AI37" s="154"/>
      <c r="AJ37" s="154"/>
      <c r="AK37" s="154"/>
      <c r="AL37" s="154"/>
      <c r="AN37" s="153" t="s">
        <v>629</v>
      </c>
      <c r="AO37" s="153"/>
      <c r="AP37" s="153"/>
      <c r="AQ37" s="153"/>
      <c r="AR37" s="153"/>
      <c r="AS37" s="153"/>
      <c r="AT37" s="153"/>
      <c r="AU37" s="153"/>
      <c r="BF37" s="4" t="s">
        <v>669</v>
      </c>
      <c r="BG37" s="160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160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160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160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160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160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161">
        <f>SUM(GUIA_NACIONAL_2022_1106128105107110207214216217218219[[#This Row],[D1]:[D6]])</f>
        <v>0</v>
      </c>
      <c r="BO37" s="4" t="s">
        <v>328</v>
      </c>
      <c r="BP37" s="160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160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160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160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160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160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161">
        <f>SUM(GUIA_NACIONAL_2022_1106128105107110207210231232234235[[#This Row],[D1]:[D6]])</f>
        <v>0</v>
      </c>
      <c r="CG37" s="4" t="s">
        <v>743</v>
      </c>
      <c r="CH37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161">
        <f>SUM(GUIA_NACIONAL_2022_1106128105107111115129130250251252[[#This Row],[D1]:[D6]])</f>
        <v>0</v>
      </c>
    </row>
    <row r="38" spans="1:92" ht="15" customHeight="1">
      <c r="A38" s="157"/>
      <c r="B38" s="157"/>
      <c r="D38" s="4" t="s">
        <v>410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4" t="s">
        <v>630</v>
      </c>
      <c r="AO38" s="154"/>
      <c r="AP38" s="154"/>
      <c r="AQ38" s="154"/>
      <c r="AR38" s="154"/>
      <c r="AS38" s="154"/>
      <c r="AT38" s="154"/>
      <c r="AU38" s="154"/>
      <c r="BF38" s="155" t="s">
        <v>670</v>
      </c>
      <c r="BG38" s="154"/>
      <c r="BH38" s="154"/>
      <c r="BI38" s="154"/>
      <c r="BJ38" s="154"/>
      <c r="BK38" s="154"/>
      <c r="BL38" s="154"/>
      <c r="BM38" s="154"/>
      <c r="BO38" s="153" t="s">
        <v>178</v>
      </c>
      <c r="BP38" s="153"/>
      <c r="BQ38" s="153"/>
      <c r="BR38" s="153"/>
      <c r="BS38" s="153"/>
      <c r="BT38" s="153"/>
      <c r="BU38" s="153"/>
      <c r="BV38" s="153"/>
      <c r="CG38" s="4" t="s">
        <v>744</v>
      </c>
      <c r="CH38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161">
        <f>SUM(GUIA_NACIONAL_2022_1106128105107111115129130250251252[[#This Row],[D1]:[D6]])</f>
        <v>0</v>
      </c>
    </row>
    <row r="39" spans="1:92" ht="15" customHeight="1">
      <c r="D39" s="154" t="s">
        <v>441</v>
      </c>
      <c r="E39" s="154"/>
      <c r="F39" s="154"/>
      <c r="G39" s="154"/>
      <c r="H39" s="154"/>
      <c r="I39" s="154"/>
      <c r="J39" s="154"/>
      <c r="K39" s="154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576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4" t="s">
        <v>697</v>
      </c>
      <c r="BP39" s="154"/>
      <c r="BQ39" s="154"/>
      <c r="BR39" s="154"/>
      <c r="BS39" s="154"/>
      <c r="BT39" s="154"/>
      <c r="BU39" s="154"/>
      <c r="BV39" s="154"/>
      <c r="CG39" s="4" t="s">
        <v>745</v>
      </c>
      <c r="CH39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161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577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631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671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746</v>
      </c>
      <c r="CH40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161">
        <f>SUM(GUIA_NACIONAL_2022_1106128105107111115129130250251252[[#This Row],[D1]:[D6]])</f>
        <v>0</v>
      </c>
    </row>
    <row r="41" spans="1:92" ht="15" customHeight="1">
      <c r="D41" s="4" t="s">
        <v>442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4" t="s">
        <v>578</v>
      </c>
      <c r="AF41" s="154"/>
      <c r="AG41" s="154"/>
      <c r="AH41" s="154"/>
      <c r="AI41" s="154"/>
      <c r="AJ41" s="154"/>
      <c r="AK41" s="154"/>
      <c r="AL41" s="154"/>
      <c r="AN41" s="154" t="s">
        <v>632</v>
      </c>
      <c r="AO41" s="154"/>
      <c r="AP41" s="154"/>
      <c r="AQ41" s="154"/>
      <c r="AR41" s="154"/>
      <c r="AS41" s="154"/>
      <c r="AT41" s="154"/>
      <c r="AU41" s="154"/>
      <c r="BF41" s="4" t="s">
        <v>672</v>
      </c>
      <c r="BG41" s="160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160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160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160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160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160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161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747</v>
      </c>
      <c r="CH41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161">
        <f>SUM(GUIA_NACIONAL_2022_1106128105107111115129130250251252[[#This Row],[D1]:[D6]])</f>
        <v>0</v>
      </c>
    </row>
    <row r="42" spans="1:92" ht="15" customHeight="1">
      <c r="D42" s="154" t="s">
        <v>443</v>
      </c>
      <c r="E42" s="154"/>
      <c r="F42" s="154"/>
      <c r="G42" s="154"/>
      <c r="H42" s="154"/>
      <c r="I42" s="154"/>
      <c r="J42" s="154"/>
      <c r="K42" s="154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4" t="s">
        <v>673</v>
      </c>
      <c r="BG42" s="154"/>
      <c r="BH42" s="154"/>
      <c r="BI42" s="154"/>
      <c r="BJ42" s="154"/>
      <c r="BK42" s="154"/>
      <c r="BL42" s="154"/>
      <c r="BM42" s="154"/>
      <c r="BO42" s="153" t="s">
        <v>698</v>
      </c>
      <c r="BP42" s="153"/>
      <c r="BQ42" s="153"/>
      <c r="BR42" s="153"/>
      <c r="BS42" s="153"/>
      <c r="BT42" s="153"/>
      <c r="BU42" s="153"/>
      <c r="BV42" s="153"/>
      <c r="CG42" s="4" t="s">
        <v>748</v>
      </c>
      <c r="CH42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161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633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4" t="s">
        <v>699</v>
      </c>
      <c r="BP43" s="154"/>
      <c r="BQ43" s="154"/>
      <c r="BR43" s="154"/>
      <c r="BS43" s="154"/>
      <c r="BT43" s="154"/>
      <c r="BU43" s="154"/>
      <c r="BV43" s="154"/>
      <c r="CG43" s="4" t="s">
        <v>749</v>
      </c>
      <c r="CH43" s="160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160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160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160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160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160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161">
        <f>SUM(GUIA_NACIONAL_2022_1106128105107111115129130250251252[[#This Row],[D1]:[D6]])</f>
        <v>0</v>
      </c>
    </row>
    <row r="44" spans="1:92" ht="15" customHeight="1">
      <c r="D44" s="4" t="s">
        <v>444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3" t="s">
        <v>541</v>
      </c>
      <c r="W44" s="153"/>
      <c r="X44" s="153"/>
      <c r="Y44" s="153"/>
      <c r="Z44" s="153"/>
      <c r="AA44" s="153"/>
      <c r="AB44" s="153"/>
      <c r="AC44" s="153"/>
      <c r="AE44" s="32" t="s">
        <v>579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4" t="s">
        <v>634</v>
      </c>
      <c r="AO44" s="154"/>
      <c r="AP44" s="154"/>
      <c r="AQ44" s="154"/>
      <c r="AR44" s="154"/>
      <c r="AS44" s="154"/>
      <c r="AT44" s="154"/>
      <c r="AU44" s="154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50" t="s">
        <v>750</v>
      </c>
      <c r="CH44" s="151"/>
      <c r="CI44" s="151"/>
      <c r="CJ44" s="151"/>
      <c r="CK44" s="151"/>
      <c r="CL44" s="151"/>
      <c r="CM44" s="151"/>
      <c r="CN44" s="152"/>
    </row>
    <row r="45" spans="1:92" ht="15" customHeight="1">
      <c r="D45" s="32" t="s">
        <v>445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5" t="s">
        <v>542</v>
      </c>
      <c r="W45" s="154"/>
      <c r="X45" s="154"/>
      <c r="Y45" s="154"/>
      <c r="Z45" s="154"/>
      <c r="AA45" s="154"/>
      <c r="AB45" s="154"/>
      <c r="AC45" s="154"/>
      <c r="AE45" s="32" t="s">
        <v>581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4" t="s">
        <v>674</v>
      </c>
      <c r="BG45" s="154"/>
      <c r="BH45" s="154"/>
      <c r="BI45" s="154"/>
      <c r="BJ45" s="154"/>
      <c r="BK45" s="154"/>
      <c r="BL45" s="154"/>
      <c r="BM45" s="154"/>
      <c r="BO45" s="4" t="s">
        <v>700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446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580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635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4" t="s">
        <v>701</v>
      </c>
      <c r="BP46" s="154"/>
      <c r="BQ46" s="154"/>
      <c r="BR46" s="154"/>
      <c r="BS46" s="154"/>
      <c r="BT46" s="154"/>
      <c r="BU46" s="154"/>
      <c r="BV46" s="154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158"/>
      <c r="B47" s="158"/>
      <c r="D47" s="154" t="s">
        <v>447</v>
      </c>
      <c r="E47" s="154"/>
      <c r="F47" s="154"/>
      <c r="G47" s="154"/>
      <c r="H47" s="154"/>
      <c r="I47" s="154"/>
      <c r="J47" s="154"/>
      <c r="K47" s="154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582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4" t="s">
        <v>636</v>
      </c>
      <c r="AO47" s="154"/>
      <c r="AP47" s="154"/>
      <c r="AQ47" s="154"/>
      <c r="AR47" s="154"/>
      <c r="AS47" s="154"/>
      <c r="AT47" s="154"/>
      <c r="AU47" s="154"/>
      <c r="BF47" s="4" t="s">
        <v>675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751</v>
      </c>
      <c r="CH47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161">
        <f>SUM(GUIA_NACIONAL_2022_1106128105107111115129130250251252253[[#This Row],[D1]:[D6]])</f>
        <v>0</v>
      </c>
    </row>
    <row r="48" spans="1:92" ht="15" customHeight="1">
      <c r="A48" s="158"/>
      <c r="B48" s="158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583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4" t="s">
        <v>676</v>
      </c>
      <c r="BG48" s="154"/>
      <c r="BH48" s="154"/>
      <c r="BI48" s="154"/>
      <c r="BJ48" s="154"/>
      <c r="BK48" s="154"/>
      <c r="BL48" s="154"/>
      <c r="BM48" s="154"/>
      <c r="BO48" s="4" t="s">
        <v>700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752</v>
      </c>
      <c r="CH48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161">
        <f>SUM(GUIA_NACIONAL_2022_1106128105107111115129130250251252253[[#This Row],[D1]:[D6]])</f>
        <v>0</v>
      </c>
    </row>
    <row r="49" spans="1:92" ht="15" customHeight="1">
      <c r="A49" s="158"/>
      <c r="B49" s="158"/>
      <c r="D49" s="4" t="s">
        <v>448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4" t="s">
        <v>584</v>
      </c>
      <c r="AF49" s="154"/>
      <c r="AG49" s="154"/>
      <c r="AH49" s="154"/>
      <c r="AI49" s="154"/>
      <c r="AJ49" s="154"/>
      <c r="AK49" s="154"/>
      <c r="AL49" s="154"/>
      <c r="AN49" s="4" t="s">
        <v>637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3" t="s">
        <v>702</v>
      </c>
      <c r="BP49" s="153"/>
      <c r="BQ49" s="153"/>
      <c r="BR49" s="153"/>
      <c r="BS49" s="153"/>
      <c r="BT49" s="153"/>
      <c r="BU49" s="153"/>
      <c r="BV49" s="153"/>
      <c r="CG49" s="4" t="s">
        <v>753</v>
      </c>
      <c r="CH49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161">
        <f>SUM(GUIA_NACIONAL_2022_1106128105107111115129130250251252253[[#This Row],[D1]:[D6]])</f>
        <v>0</v>
      </c>
    </row>
    <row r="50" spans="1:92" ht="15" customHeight="1">
      <c r="A50" s="158"/>
      <c r="B50" s="158"/>
      <c r="D50" s="154" t="s">
        <v>449</v>
      </c>
      <c r="E50" s="154"/>
      <c r="F50" s="154"/>
      <c r="G50" s="154"/>
      <c r="H50" s="154"/>
      <c r="I50" s="154"/>
      <c r="J50" s="154"/>
      <c r="K50" s="154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677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4" t="s">
        <v>708</v>
      </c>
      <c r="BP50" s="154"/>
      <c r="BQ50" s="154"/>
      <c r="BR50" s="154"/>
      <c r="BS50" s="154"/>
      <c r="BT50" s="154"/>
      <c r="BU50" s="154"/>
      <c r="BV50" s="154"/>
      <c r="CG50" s="4" t="s">
        <v>754</v>
      </c>
      <c r="CH50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161">
        <f>SUM(GUIA_NACIONAL_2022_1106128105107111115129130250251252253[[#This Row],[D1]:[D6]])</f>
        <v>0</v>
      </c>
    </row>
    <row r="51" spans="1:92" ht="15" customHeight="1">
      <c r="A51" s="158"/>
      <c r="B51" s="158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585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4" t="s">
        <v>678</v>
      </c>
      <c r="BG51" s="154"/>
      <c r="BH51" s="154"/>
      <c r="BI51" s="154"/>
      <c r="BJ51" s="154"/>
      <c r="BK51" s="154"/>
      <c r="BL51" s="154"/>
      <c r="BM51" s="154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755</v>
      </c>
      <c r="CH51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161">
        <f>SUM(GUIA_NACIONAL_2022_1106128105107111115129130250251252253[[#This Row],[D1]:[D6]])</f>
        <v>0</v>
      </c>
    </row>
    <row r="52" spans="1:92" ht="15" customHeight="1">
      <c r="A52" s="158"/>
      <c r="B52" s="158"/>
      <c r="D52" s="4" t="s">
        <v>450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4" t="s">
        <v>586</v>
      </c>
      <c r="AF52" s="154"/>
      <c r="AG52" s="154"/>
      <c r="AH52" s="154"/>
      <c r="AI52" s="154"/>
      <c r="AJ52" s="154"/>
      <c r="AK52" s="154"/>
      <c r="AL52" s="154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349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756</v>
      </c>
      <c r="CH52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161">
        <f>SUM(GUIA_NACIONAL_2022_1106128105107111115129130250251252253[[#This Row],[D1]:[D6]])</f>
        <v>0</v>
      </c>
    </row>
    <row r="53" spans="1:92" ht="15" customHeight="1">
      <c r="A53" s="158"/>
      <c r="B53" s="158"/>
      <c r="D53" s="154" t="s">
        <v>451</v>
      </c>
      <c r="E53" s="154"/>
      <c r="F53" s="154"/>
      <c r="G53" s="154"/>
      <c r="H53" s="154"/>
      <c r="I53" s="154"/>
      <c r="J53" s="154"/>
      <c r="K53" s="154"/>
      <c r="V53" s="155" t="s">
        <v>543</v>
      </c>
      <c r="W53" s="154"/>
      <c r="X53" s="154"/>
      <c r="Y53" s="154"/>
      <c r="Z53" s="154"/>
      <c r="AA53" s="154"/>
      <c r="AB53" s="154"/>
      <c r="AC53" s="154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4" t="s">
        <v>707</v>
      </c>
      <c r="BP53" s="154"/>
      <c r="BQ53" s="154"/>
      <c r="BR53" s="154"/>
      <c r="BS53" s="154"/>
      <c r="BT53" s="154"/>
      <c r="BU53" s="154"/>
      <c r="BV53" s="154"/>
      <c r="CG53" s="4" t="s">
        <v>757</v>
      </c>
      <c r="CH53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161">
        <f>SUM(GUIA_NACIONAL_2022_1106128105107111115129130250251252253[[#This Row],[D1]:[D6]])</f>
        <v>0</v>
      </c>
    </row>
    <row r="54" spans="1:92" ht="15" customHeight="1">
      <c r="A54" s="158"/>
      <c r="B54" s="158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587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3" t="s">
        <v>421</v>
      </c>
      <c r="BG54" s="153"/>
      <c r="BH54" s="153"/>
      <c r="BI54" s="153"/>
      <c r="BJ54" s="153"/>
      <c r="BK54" s="153"/>
      <c r="BL54" s="153"/>
      <c r="BM54" s="153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758</v>
      </c>
      <c r="CH54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161">
        <f>SUM(GUIA_NACIONAL_2022_1106128105107111115129130250251252253[[#This Row],[D1]:[D6]])</f>
        <v>0</v>
      </c>
    </row>
    <row r="55" spans="1:92" ht="15" customHeight="1">
      <c r="A55" s="158"/>
      <c r="B55" s="158"/>
      <c r="D55" s="4" t="s">
        <v>416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4" t="s">
        <v>589</v>
      </c>
      <c r="AF55" s="154"/>
      <c r="AG55" s="154"/>
      <c r="AH55" s="154"/>
      <c r="AI55" s="154"/>
      <c r="AJ55" s="154"/>
      <c r="AK55" s="154"/>
      <c r="AL55" s="154"/>
      <c r="BF55" s="154" t="s">
        <v>679</v>
      </c>
      <c r="BG55" s="154"/>
      <c r="BH55" s="154"/>
      <c r="BI55" s="154"/>
      <c r="BJ55" s="154"/>
      <c r="BK55" s="154"/>
      <c r="BL55" s="154"/>
      <c r="BM55" s="154"/>
      <c r="BO55" s="4" t="s">
        <v>332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759</v>
      </c>
      <c r="CH55" s="160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160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160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160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160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160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161">
        <f>SUM(GUIA_NACIONAL_2022_1106128105107111115129130250251252253[[#This Row],[D1]:[D6]])</f>
        <v>0</v>
      </c>
    </row>
    <row r="56" spans="1:92" ht="15" customHeight="1">
      <c r="A56" s="158"/>
      <c r="B56" s="158"/>
      <c r="D56" s="154" t="s">
        <v>452</v>
      </c>
      <c r="E56" s="154"/>
      <c r="F56" s="154"/>
      <c r="G56" s="154"/>
      <c r="H56" s="154"/>
      <c r="I56" s="154"/>
      <c r="J56" s="154"/>
      <c r="K56" s="154"/>
      <c r="V56" s="153" t="s">
        <v>544</v>
      </c>
      <c r="W56" s="153"/>
      <c r="X56" s="153"/>
      <c r="Y56" s="153"/>
      <c r="Z56" s="153"/>
      <c r="AA56" s="153"/>
      <c r="AB56" s="153"/>
      <c r="AC56" s="153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4" t="s">
        <v>706</v>
      </c>
      <c r="BP56" s="154"/>
      <c r="BQ56" s="154"/>
      <c r="BR56" s="154"/>
      <c r="BS56" s="154"/>
      <c r="BT56" s="154"/>
      <c r="BU56" s="154"/>
      <c r="BV56" s="154"/>
    </row>
    <row r="57" spans="1:92" ht="15" customHeight="1">
      <c r="A57" s="158"/>
      <c r="B57" s="158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5" t="s">
        <v>545</v>
      </c>
      <c r="W57" s="154"/>
      <c r="X57" s="154"/>
      <c r="Y57" s="154"/>
      <c r="Z57" s="154"/>
      <c r="AA57" s="154"/>
      <c r="AB57" s="154"/>
      <c r="AC57" s="154"/>
      <c r="AE57" s="4" t="s">
        <v>588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680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158"/>
      <c r="B58" s="158"/>
      <c r="D58" s="4" t="s">
        <v>417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3" t="s">
        <v>590</v>
      </c>
      <c r="AF58" s="153"/>
      <c r="AG58" s="153"/>
      <c r="AH58" s="153"/>
      <c r="AI58" s="153"/>
      <c r="AJ58" s="153"/>
      <c r="AK58" s="153"/>
      <c r="AL58" s="153"/>
      <c r="BF58" s="154" t="s">
        <v>681</v>
      </c>
      <c r="BG58" s="154"/>
      <c r="BH58" s="154"/>
      <c r="BI58" s="154"/>
      <c r="BJ58" s="154"/>
      <c r="BK58" s="154"/>
      <c r="BL58" s="154"/>
      <c r="BM58" s="154"/>
      <c r="BO58" s="4" t="s">
        <v>343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158"/>
      <c r="B59" s="158"/>
      <c r="D59" s="154" t="s">
        <v>453</v>
      </c>
      <c r="E59" s="154"/>
      <c r="F59" s="154"/>
      <c r="G59" s="154"/>
      <c r="H59" s="154"/>
      <c r="I59" s="154"/>
      <c r="J59" s="154"/>
      <c r="K59" s="154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4" t="s">
        <v>591</v>
      </c>
      <c r="AF59" s="154"/>
      <c r="AG59" s="154"/>
      <c r="AH59" s="154"/>
      <c r="AI59" s="154"/>
      <c r="AJ59" s="154"/>
      <c r="AK59" s="154"/>
      <c r="AL59" s="154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4" t="s">
        <v>705</v>
      </c>
      <c r="BP59" s="154"/>
      <c r="BQ59" s="154"/>
      <c r="BR59" s="154"/>
      <c r="BS59" s="154"/>
      <c r="BT59" s="154"/>
      <c r="BU59" s="154"/>
      <c r="BV59" s="154"/>
    </row>
    <row r="60" spans="1:92" ht="15" customHeight="1">
      <c r="A60" s="158"/>
      <c r="B60" s="158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682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158"/>
      <c r="B61" s="158"/>
      <c r="D61" s="4" t="s">
        <v>418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592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4" t="s">
        <v>683</v>
      </c>
      <c r="BG61" s="154"/>
      <c r="BH61" s="154"/>
      <c r="BI61" s="154"/>
      <c r="BJ61" s="154"/>
      <c r="BK61" s="154"/>
      <c r="BL61" s="154"/>
      <c r="BM61" s="154"/>
      <c r="BO61" s="4" t="s">
        <v>333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158"/>
      <c r="B62" s="158"/>
      <c r="D62" s="154" t="s">
        <v>454</v>
      </c>
      <c r="E62" s="154"/>
      <c r="F62" s="154"/>
      <c r="G62" s="154"/>
      <c r="H62" s="154"/>
      <c r="I62" s="154"/>
      <c r="J62" s="154"/>
      <c r="K62" s="154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4" t="s">
        <v>593</v>
      </c>
      <c r="AF62" s="154"/>
      <c r="AG62" s="154"/>
      <c r="AH62" s="154"/>
      <c r="AI62" s="154"/>
      <c r="AJ62" s="154"/>
      <c r="AK62" s="154"/>
      <c r="AL62" s="154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324</v>
      </c>
      <c r="BP62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161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422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325</v>
      </c>
      <c r="BP63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161">
        <f>SUM(GUIA_NACIONAL_2022_1106128105107110207214216217236241244246[[#This Row],[D1]:[D6]])</f>
        <v>0</v>
      </c>
    </row>
    <row r="64" spans="1:92">
      <c r="D64" s="4" t="s">
        <v>419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585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423</v>
      </c>
      <c r="BG64" s="160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160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160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160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160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160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161">
        <f>SUM(GUIA_NACIONAL_2022_1106128105107110207214216221222223224226227[[#This Row],[D1]:[D6]])</f>
        <v>0</v>
      </c>
      <c r="BO64" s="32" t="s">
        <v>327</v>
      </c>
      <c r="BP64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161">
        <f>SUM(GUIA_NACIONAL_2022_1106128105107110207214216217236241244246[[#This Row],[D1]:[D6]])</f>
        <v>0</v>
      </c>
    </row>
    <row r="65" spans="4:74">
      <c r="D65" s="154" t="s">
        <v>455</v>
      </c>
      <c r="E65" s="154"/>
      <c r="F65" s="154"/>
      <c r="G65" s="154"/>
      <c r="H65" s="154"/>
      <c r="I65" s="154"/>
      <c r="J65" s="154"/>
      <c r="K65" s="154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4" t="s">
        <v>594</v>
      </c>
      <c r="AF65" s="154"/>
      <c r="AG65" s="154"/>
      <c r="AH65" s="154"/>
      <c r="AI65" s="154"/>
      <c r="AJ65" s="154"/>
      <c r="AK65" s="154"/>
      <c r="AL65" s="154"/>
      <c r="BF65" s="4" t="s">
        <v>424</v>
      </c>
      <c r="BG65" s="160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160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160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160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160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160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161">
        <f>SUM(GUIA_NACIONAL_2022_1106128105107110207214216221222223224226227[[#This Row],[D1]:[D6]])</f>
        <v>0</v>
      </c>
      <c r="BO65" s="32" t="s">
        <v>336</v>
      </c>
      <c r="BP65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161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425</v>
      </c>
      <c r="BG66" s="160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160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160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160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160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160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161">
        <f>SUM(GUIA_NACIONAL_2022_1106128105107110207214216221222223224226227[[#This Row],[D1]:[D6]])</f>
        <v>0</v>
      </c>
      <c r="BO66" s="32" t="s">
        <v>337</v>
      </c>
      <c r="BP66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161">
        <f>SUM(GUIA_NACIONAL_2022_1106128105107110207214216217236241244246[[#This Row],[D1]:[D6]])</f>
        <v>0</v>
      </c>
    </row>
    <row r="67" spans="4:74">
      <c r="D67" s="4" t="s">
        <v>420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5" t="s">
        <v>546</v>
      </c>
      <c r="W67" s="154"/>
      <c r="X67" s="154"/>
      <c r="Y67" s="154"/>
      <c r="Z67" s="154"/>
      <c r="AA67" s="154"/>
      <c r="AB67" s="154"/>
      <c r="AC67" s="154"/>
      <c r="AE67" s="4" t="s">
        <v>595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684</v>
      </c>
      <c r="BG67" s="160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160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160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160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160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160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161">
        <f>SUM(GUIA_NACIONAL_2022_1106128105107110207214216221222223224226227[[#This Row],[D1]:[D6]])</f>
        <v>0</v>
      </c>
      <c r="BO67" s="32" t="s">
        <v>257</v>
      </c>
      <c r="BP67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161">
        <f>SUM(GUIA_NACIONAL_2022_1106128105107110207214216217236241244246[[#This Row],[D1]:[D6]])</f>
        <v>0</v>
      </c>
    </row>
    <row r="68" spans="4:74">
      <c r="D68" s="154" t="s">
        <v>456</v>
      </c>
      <c r="E68" s="154"/>
      <c r="F68" s="154"/>
      <c r="G68" s="154"/>
      <c r="H68" s="154"/>
      <c r="I68" s="154"/>
      <c r="J68" s="154"/>
      <c r="K68" s="154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596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4" t="s">
        <v>685</v>
      </c>
      <c r="BG68" s="154"/>
      <c r="BH68" s="154"/>
      <c r="BI68" s="154"/>
      <c r="BJ68" s="154"/>
      <c r="BK68" s="154"/>
      <c r="BL68" s="154"/>
      <c r="BM68" s="154"/>
      <c r="BO68" s="32" t="s">
        <v>343</v>
      </c>
      <c r="BP68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161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4" t="s">
        <v>597</v>
      </c>
      <c r="AF69" s="154"/>
      <c r="AG69" s="154"/>
      <c r="AH69" s="154"/>
      <c r="AI69" s="154"/>
      <c r="AJ69" s="154"/>
      <c r="AK69" s="154"/>
      <c r="AL69" s="154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703</v>
      </c>
      <c r="BP69" s="160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160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160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160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160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160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161">
        <f>SUM(GUIA_NACIONAL_2022_1106128105107110207214216217236241244246[[#This Row],[D1]:[D6]])</f>
        <v>0</v>
      </c>
    </row>
    <row r="70" spans="4:74">
      <c r="D70" s="4" t="s">
        <v>457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5" t="s">
        <v>547</v>
      </c>
      <c r="W70" s="154"/>
      <c r="X70" s="154"/>
      <c r="Y70" s="154"/>
      <c r="Z70" s="154"/>
      <c r="AA70" s="154"/>
      <c r="AB70" s="154"/>
      <c r="AC70" s="154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686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4" t="s">
        <v>704</v>
      </c>
      <c r="BP70" s="154"/>
      <c r="BQ70" s="154"/>
      <c r="BR70" s="154"/>
      <c r="BS70" s="154"/>
      <c r="BT70" s="154"/>
      <c r="BU70" s="154"/>
      <c r="BV70" s="154"/>
    </row>
    <row r="71" spans="4:74">
      <c r="D71" s="154" t="s">
        <v>458</v>
      </c>
      <c r="E71" s="154"/>
      <c r="F71" s="154"/>
      <c r="G71" s="154"/>
      <c r="H71" s="154"/>
      <c r="I71" s="154"/>
      <c r="J71" s="154"/>
      <c r="K71" s="154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595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4" t="s">
        <v>687</v>
      </c>
      <c r="BG71" s="154"/>
      <c r="BH71" s="154"/>
      <c r="BI71" s="154"/>
      <c r="BJ71" s="154"/>
      <c r="BK71" s="154"/>
      <c r="BL71" s="154"/>
      <c r="BM71" s="154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596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459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5" t="s">
        <v>548</v>
      </c>
      <c r="W73" s="154"/>
      <c r="X73" s="154"/>
      <c r="Y73" s="154"/>
      <c r="Z73" s="154"/>
      <c r="AA73" s="154"/>
      <c r="AB73" s="154"/>
      <c r="AC73" s="154"/>
      <c r="AE73" s="154" t="s">
        <v>598</v>
      </c>
      <c r="AF73" s="154"/>
      <c r="AG73" s="154"/>
      <c r="AH73" s="154"/>
      <c r="AI73" s="154"/>
      <c r="AJ73" s="154"/>
      <c r="AK73" s="154"/>
      <c r="AL73" s="154"/>
      <c r="BF73" s="4" t="s">
        <v>688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345</v>
      </c>
      <c r="BP73" s="160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160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160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160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160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160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161">
        <f>SUM(GUIA_NACIONAL_2022_1106128105107110207214216217236241244246247[[#This Row],[D1]:[D6]])</f>
        <v>0</v>
      </c>
    </row>
    <row r="74" spans="4:74">
      <c r="D74" s="154" t="s">
        <v>460</v>
      </c>
      <c r="E74" s="154"/>
      <c r="F74" s="154"/>
      <c r="G74" s="154"/>
      <c r="H74" s="154"/>
      <c r="I74" s="154"/>
      <c r="J74" s="154"/>
      <c r="K74" s="154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4" t="s">
        <v>689</v>
      </c>
      <c r="BG74" s="154"/>
      <c r="BH74" s="154"/>
      <c r="BI74" s="154"/>
      <c r="BJ74" s="154"/>
      <c r="BK74" s="154"/>
      <c r="BL74" s="154"/>
      <c r="BM74" s="154"/>
      <c r="BO74" s="32" t="s">
        <v>346</v>
      </c>
      <c r="BP74" s="160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160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160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160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160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160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161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595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709</v>
      </c>
      <c r="BP75" s="160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160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160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160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160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160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161">
        <f>SUM(GUIA_NACIONAL_2022_1106128105107110207214216217236241244246247[[#This Row],[D1]:[D6]])</f>
        <v>0</v>
      </c>
    </row>
    <row r="76" spans="4:74">
      <c r="D76" s="4" t="s">
        <v>461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5" t="s">
        <v>549</v>
      </c>
      <c r="W76" s="154"/>
      <c r="X76" s="154"/>
      <c r="Y76" s="154"/>
      <c r="Z76" s="154"/>
      <c r="AA76" s="154"/>
      <c r="AB76" s="154"/>
      <c r="AC76" s="154"/>
      <c r="AE76" s="32" t="s">
        <v>596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688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710</v>
      </c>
      <c r="BP76" s="160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160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160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160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160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160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161">
        <f>SUM(GUIA_NACIONAL_2022_1106128105107110207214216217236241244246247[[#This Row],[D1]:[D6]])</f>
        <v>0</v>
      </c>
    </row>
    <row r="77" spans="4:74">
      <c r="D77" s="154" t="s">
        <v>462</v>
      </c>
      <c r="E77" s="154"/>
      <c r="F77" s="154"/>
      <c r="G77" s="154"/>
      <c r="H77" s="154"/>
      <c r="I77" s="154"/>
      <c r="J77" s="154"/>
      <c r="K77" s="154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4" t="s">
        <v>599</v>
      </c>
      <c r="AF77" s="154"/>
      <c r="AG77" s="154"/>
      <c r="AH77" s="154"/>
      <c r="AI77" s="154"/>
      <c r="AJ77" s="154"/>
      <c r="AK77" s="154"/>
      <c r="AL77" s="154"/>
      <c r="BO77" s="32" t="s">
        <v>711</v>
      </c>
      <c r="BP77" s="160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160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160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160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160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160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161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463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5" t="s">
        <v>547</v>
      </c>
      <c r="W79" s="154"/>
      <c r="X79" s="154"/>
      <c r="Y79" s="154"/>
      <c r="Z79" s="154"/>
      <c r="AA79" s="154"/>
      <c r="AB79" s="154"/>
      <c r="AC79" s="154"/>
      <c r="AE79" s="4" t="s">
        <v>595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596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4" t="s">
        <v>599</v>
      </c>
      <c r="AF81" s="154"/>
      <c r="AG81" s="154"/>
      <c r="AH81" s="154"/>
      <c r="AI81" s="154"/>
      <c r="AJ81" s="154"/>
      <c r="AK81" s="154"/>
      <c r="AL81" s="154"/>
    </row>
    <row r="82" spans="22:38">
      <c r="V82" s="153" t="s">
        <v>192</v>
      </c>
      <c r="W82" s="153"/>
      <c r="X82" s="153"/>
      <c r="Y82" s="153"/>
      <c r="Z82" s="153"/>
      <c r="AA82" s="153"/>
      <c r="AB82" s="153"/>
      <c r="AC82" s="153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5" t="s">
        <v>545</v>
      </c>
      <c r="W83" s="154"/>
      <c r="X83" s="154"/>
      <c r="Y83" s="154"/>
      <c r="Z83" s="154"/>
      <c r="AA83" s="154"/>
      <c r="AB83" s="154"/>
      <c r="AC83" s="154"/>
      <c r="AE83" s="4" t="s">
        <v>600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601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602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603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3" t="s">
        <v>604</v>
      </c>
      <c r="AF87" s="153"/>
      <c r="AG87" s="153"/>
      <c r="AH87" s="153"/>
      <c r="AI87" s="153"/>
      <c r="AJ87" s="153"/>
      <c r="AK87" s="153"/>
      <c r="AL87" s="153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4" t="s">
        <v>605</v>
      </c>
      <c r="AF88" s="154"/>
      <c r="AG88" s="154"/>
      <c r="AH88" s="154"/>
      <c r="AI88" s="154"/>
      <c r="AJ88" s="154"/>
      <c r="AK88" s="154"/>
      <c r="AL88" s="154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383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4" t="s">
        <v>606</v>
      </c>
      <c r="AF91" s="154"/>
      <c r="AG91" s="154"/>
      <c r="AH91" s="154"/>
      <c r="AI91" s="154"/>
      <c r="AJ91" s="154"/>
      <c r="AK91" s="154"/>
      <c r="AL91" s="154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5" t="s">
        <v>550</v>
      </c>
      <c r="W93" s="154"/>
      <c r="X93" s="154"/>
      <c r="Y93" s="154"/>
      <c r="Z93" s="154"/>
      <c r="AA93" s="154"/>
      <c r="AB93" s="154"/>
      <c r="AC93" s="154"/>
      <c r="AE93" s="4" t="s">
        <v>385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4" t="s">
        <v>607</v>
      </c>
      <c r="AF94" s="154"/>
      <c r="AG94" s="154"/>
      <c r="AH94" s="154"/>
      <c r="AI94" s="154"/>
      <c r="AJ94" s="154"/>
      <c r="AK94" s="154"/>
      <c r="AL94" s="154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5" t="s">
        <v>551</v>
      </c>
      <c r="W96" s="154"/>
      <c r="X96" s="154"/>
      <c r="Y96" s="154"/>
      <c r="Z96" s="154"/>
      <c r="AA96" s="154"/>
      <c r="AB96" s="154"/>
      <c r="AC96" s="154"/>
      <c r="AE96" s="4" t="s">
        <v>387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4" t="s">
        <v>609</v>
      </c>
      <c r="AF97" s="154"/>
      <c r="AG97" s="154"/>
      <c r="AH97" s="154"/>
      <c r="AI97" s="154"/>
      <c r="AJ97" s="154"/>
      <c r="AK97" s="154"/>
      <c r="AL97" s="154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3" t="s">
        <v>552</v>
      </c>
      <c r="W99" s="153"/>
      <c r="X99" s="153"/>
      <c r="Y99" s="153"/>
      <c r="Z99" s="153"/>
      <c r="AA99" s="153"/>
      <c r="AB99" s="153"/>
      <c r="AC99" s="153"/>
      <c r="AE99" s="4" t="s">
        <v>608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5" t="s">
        <v>553</v>
      </c>
      <c r="W100" s="154"/>
      <c r="X100" s="154"/>
      <c r="Y100" s="154"/>
      <c r="Z100" s="154"/>
      <c r="AA100" s="154"/>
      <c r="AB100" s="154"/>
      <c r="AC100" s="154"/>
      <c r="AE100" s="153" t="s">
        <v>610</v>
      </c>
      <c r="AF100" s="153"/>
      <c r="AG100" s="153"/>
      <c r="AH100" s="153"/>
      <c r="AI100" s="153"/>
      <c r="AJ100" s="153"/>
      <c r="AK100" s="153"/>
      <c r="AL100" s="153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4" t="s">
        <v>611</v>
      </c>
      <c r="AF101" s="154"/>
      <c r="AG101" s="154"/>
      <c r="AH101" s="154"/>
      <c r="AI101" s="154"/>
      <c r="AJ101" s="154"/>
      <c r="AK101" s="154"/>
      <c r="AL101" s="154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558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5" t="s">
        <v>554</v>
      </c>
      <c r="W104" s="154"/>
      <c r="X104" s="154"/>
      <c r="Y104" s="154"/>
      <c r="Z104" s="154"/>
      <c r="AA104" s="154"/>
      <c r="AB104" s="154"/>
      <c r="AC104" s="154"/>
      <c r="AE104" s="32" t="s">
        <v>559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4" t="s">
        <v>557</v>
      </c>
      <c r="AF105" s="154"/>
      <c r="AG105" s="154"/>
      <c r="AH105" s="154"/>
      <c r="AI105" s="154"/>
      <c r="AJ105" s="154"/>
      <c r="AK105" s="154"/>
      <c r="AL105" s="154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3" t="s">
        <v>174</v>
      </c>
      <c r="W107" s="153"/>
      <c r="X107" s="153"/>
      <c r="Y107" s="153"/>
      <c r="Z107" s="153"/>
      <c r="AA107" s="153"/>
      <c r="AB107" s="153"/>
      <c r="AC107" s="153"/>
      <c r="AE107" s="4" t="s">
        <v>558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5" t="s">
        <v>556</v>
      </c>
      <c r="W108" s="154"/>
      <c r="X108" s="154"/>
      <c r="Y108" s="154"/>
      <c r="Z108" s="154"/>
      <c r="AA108" s="154"/>
      <c r="AB108" s="154"/>
      <c r="AC108" s="154"/>
      <c r="AE108" s="32" t="s">
        <v>559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4" t="s">
        <v>612</v>
      </c>
      <c r="AF109" s="154"/>
      <c r="AG109" s="154"/>
      <c r="AH109" s="154"/>
      <c r="AI109" s="154"/>
      <c r="AJ109" s="154"/>
      <c r="AK109" s="154"/>
      <c r="AL109" s="154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5" t="s">
        <v>555</v>
      </c>
      <c r="W111" s="154"/>
      <c r="X111" s="154"/>
      <c r="Y111" s="154"/>
      <c r="Z111" s="154"/>
      <c r="AA111" s="154"/>
      <c r="AB111" s="154"/>
      <c r="AC111" s="154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4" t="s">
        <v>613</v>
      </c>
      <c r="AF115" s="154"/>
      <c r="AG115" s="154"/>
      <c r="AH115" s="154"/>
      <c r="AI115" s="154"/>
      <c r="AJ115" s="154"/>
      <c r="AK115" s="154"/>
      <c r="AL115" s="154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BF29:BM29"/>
    <mergeCell ref="BF34:BM34"/>
    <mergeCell ref="BF38:BM38"/>
    <mergeCell ref="BF42:BM42"/>
    <mergeCell ref="BF45:BM45"/>
    <mergeCell ref="A35:B38"/>
    <mergeCell ref="A28:B34"/>
    <mergeCell ref="A5:B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N31:AU31"/>
    <mergeCell ref="AN34:AU34"/>
    <mergeCell ref="AN37:AU37"/>
    <mergeCell ref="AN38:AU38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</mergeCells>
  <phoneticPr fontId="29" type="noConversion"/>
  <conditionalFormatting sqref="A3">
    <cfRule type="cellIs" dxfId="73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2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1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70" priority="59" operator="greaterThan">
      <formula>0</formula>
    </cfRule>
  </conditionalFormatting>
  <conditionalFormatting sqref="AO5:AU5">
    <cfRule type="cellIs" dxfId="69" priority="130" operator="greaterThan">
      <formula>0</formula>
    </cfRule>
  </conditionalFormatting>
  <conditionalFormatting sqref="AX5:BD7">
    <cfRule type="cellIs" dxfId="68" priority="129" operator="greaterThan">
      <formula>0</formula>
    </cfRule>
  </conditionalFormatting>
  <conditionalFormatting sqref="BG5:BM5">
    <cfRule type="cellIs" dxfId="67" priority="128" operator="greaterThan">
      <formula>0</formula>
    </cfRule>
  </conditionalFormatting>
  <conditionalFormatting sqref="BP5:BV5">
    <cfRule type="cellIs" dxfId="66" priority="127" operator="greaterThan">
      <formula>0</formula>
    </cfRule>
  </conditionalFormatting>
  <conditionalFormatting sqref="BY5:CE5">
    <cfRule type="cellIs" dxfId="65" priority="126" operator="greaterThan">
      <formula>0</formula>
    </cfRule>
  </conditionalFormatting>
  <conditionalFormatting sqref="CH5:CN19">
    <cfRule type="cellIs" dxfId="64" priority="125" operator="greaterThan">
      <formula>0</formula>
    </cfRule>
  </conditionalFormatting>
  <conditionalFormatting sqref="CQ5:CW5">
    <cfRule type="cellIs" dxfId="63" priority="124" operator="greaterThan">
      <formula>0</formula>
    </cfRule>
  </conditionalFormatting>
  <conditionalFormatting sqref="CZ5:DF5">
    <cfRule type="cellIs" dxfId="62" priority="123" operator="greaterThan">
      <formula>0</formula>
    </cfRule>
  </conditionalFormatting>
  <conditionalFormatting sqref="DI5:DO5">
    <cfRule type="cellIs" dxfId="61" priority="122" operator="greaterThan">
      <formula>0</formula>
    </cfRule>
  </conditionalFormatting>
  <conditionalFormatting sqref="DR5:DX5">
    <cfRule type="cellIs" dxfId="60" priority="121" operator="greaterThan">
      <formula>0</formula>
    </cfRule>
  </conditionalFormatting>
  <conditionalFormatting sqref="EA5:EG5">
    <cfRule type="cellIs" dxfId="59" priority="120" operator="greaterThan">
      <formula>0</formula>
    </cfRule>
  </conditionalFormatting>
  <conditionalFormatting sqref="AO9:AU9">
    <cfRule type="cellIs" dxfId="58" priority="58" operator="greaterThan">
      <formula>0</formula>
    </cfRule>
  </conditionalFormatting>
  <conditionalFormatting sqref="AO12:AU12">
    <cfRule type="cellIs" dxfId="57" priority="57" operator="greaterThan">
      <formula>0</formula>
    </cfRule>
  </conditionalFormatting>
  <conditionalFormatting sqref="AO15:AU17">
    <cfRule type="cellIs" dxfId="56" priority="56" operator="greaterThan">
      <formula>0</formula>
    </cfRule>
  </conditionalFormatting>
  <conditionalFormatting sqref="AO21:AU22">
    <cfRule type="cellIs" dxfId="55" priority="55" operator="greaterThan">
      <formula>0</formula>
    </cfRule>
  </conditionalFormatting>
  <conditionalFormatting sqref="AO25:AU25">
    <cfRule type="cellIs" dxfId="54" priority="54" operator="greaterThan">
      <formula>0</formula>
    </cfRule>
  </conditionalFormatting>
  <conditionalFormatting sqref="AO29:AU30">
    <cfRule type="cellIs" dxfId="53" priority="53" operator="greaterThan">
      <formula>0</formula>
    </cfRule>
  </conditionalFormatting>
  <conditionalFormatting sqref="AO33:AU33">
    <cfRule type="cellIs" dxfId="52" priority="52" operator="greaterThan">
      <formula>0</formula>
    </cfRule>
  </conditionalFormatting>
  <conditionalFormatting sqref="AO36:AU36">
    <cfRule type="cellIs" dxfId="51" priority="51" operator="greaterThan">
      <formula>0</formula>
    </cfRule>
  </conditionalFormatting>
  <conditionalFormatting sqref="AO40:AU40">
    <cfRule type="cellIs" dxfId="50" priority="50" operator="greaterThan">
      <formula>0</formula>
    </cfRule>
  </conditionalFormatting>
  <conditionalFormatting sqref="AO43:AU43">
    <cfRule type="cellIs" dxfId="49" priority="49" operator="greaterThan">
      <formula>0</formula>
    </cfRule>
  </conditionalFormatting>
  <conditionalFormatting sqref="AO46:AU46">
    <cfRule type="cellIs" dxfId="48" priority="48" operator="greaterThan">
      <formula>0</formula>
    </cfRule>
  </conditionalFormatting>
  <conditionalFormatting sqref="AO49:AU49">
    <cfRule type="cellIs" dxfId="47" priority="47" operator="greaterThan">
      <formula>0</formula>
    </cfRule>
  </conditionalFormatting>
  <conditionalFormatting sqref="AX10:BD10">
    <cfRule type="cellIs" dxfId="46" priority="46" operator="greaterThan">
      <formula>0</formula>
    </cfRule>
  </conditionalFormatting>
  <conditionalFormatting sqref="AX13:BD18">
    <cfRule type="cellIs" dxfId="45" priority="45" operator="greaterThan">
      <formula>0</formula>
    </cfRule>
  </conditionalFormatting>
  <conditionalFormatting sqref="AX21:BD21">
    <cfRule type="cellIs" dxfId="44" priority="44" operator="greaterThan">
      <formula>0</formula>
    </cfRule>
  </conditionalFormatting>
  <conditionalFormatting sqref="BG8:BM8">
    <cfRule type="cellIs" dxfId="43" priority="43" operator="greaterThan">
      <formula>0</formula>
    </cfRule>
  </conditionalFormatting>
  <conditionalFormatting sqref="BG11:BM11">
    <cfRule type="cellIs" dxfId="42" priority="42" operator="greaterThan">
      <formula>0</formula>
    </cfRule>
  </conditionalFormatting>
  <conditionalFormatting sqref="BG14:BM14">
    <cfRule type="cellIs" dxfId="41" priority="41" operator="greaterThan">
      <formula>0</formula>
    </cfRule>
  </conditionalFormatting>
  <conditionalFormatting sqref="BG18:BM18">
    <cfRule type="cellIs" dxfId="40" priority="40" operator="greaterThan">
      <formula>0</formula>
    </cfRule>
  </conditionalFormatting>
  <conditionalFormatting sqref="BG21:BM21">
    <cfRule type="cellIs" dxfId="39" priority="39" operator="greaterThan">
      <formula>0</formula>
    </cfRule>
  </conditionalFormatting>
  <conditionalFormatting sqref="BG25:BM25">
    <cfRule type="cellIs" dxfId="38" priority="38" operator="greaterThan">
      <formula>0</formula>
    </cfRule>
  </conditionalFormatting>
  <conditionalFormatting sqref="BG28:BM28">
    <cfRule type="cellIs" dxfId="37" priority="37" operator="greaterThan">
      <formula>0</formula>
    </cfRule>
  </conditionalFormatting>
  <conditionalFormatting sqref="BG31:BM33">
    <cfRule type="cellIs" dxfId="36" priority="36" operator="greaterThan">
      <formula>0</formula>
    </cfRule>
  </conditionalFormatting>
  <conditionalFormatting sqref="BG36:BM37">
    <cfRule type="cellIs" dxfId="35" priority="35" operator="greaterThan">
      <formula>0</formula>
    </cfRule>
  </conditionalFormatting>
  <conditionalFormatting sqref="BG40:BM41">
    <cfRule type="cellIs" dxfId="34" priority="34" operator="greaterThan">
      <formula>0</formula>
    </cfRule>
  </conditionalFormatting>
  <conditionalFormatting sqref="BG44:BM44">
    <cfRule type="cellIs" dxfId="33" priority="33" operator="greaterThan">
      <formula>0</formula>
    </cfRule>
  </conditionalFormatting>
  <conditionalFormatting sqref="BG47:BM47">
    <cfRule type="cellIs" dxfId="32" priority="32" operator="greaterThan">
      <formula>0</formula>
    </cfRule>
  </conditionalFormatting>
  <conditionalFormatting sqref="BG50:BM50">
    <cfRule type="cellIs" dxfId="31" priority="31" operator="greaterThan">
      <formula>0</formula>
    </cfRule>
  </conditionalFormatting>
  <conditionalFormatting sqref="BG53:BM53">
    <cfRule type="cellIs" dxfId="30" priority="30" operator="greaterThan">
      <formula>0</formula>
    </cfRule>
  </conditionalFormatting>
  <conditionalFormatting sqref="BG57:BM57">
    <cfRule type="cellIs" dxfId="29" priority="29" operator="greaterThan">
      <formula>0</formula>
    </cfRule>
  </conditionalFormatting>
  <conditionalFormatting sqref="BG60:BM60">
    <cfRule type="cellIs" dxfId="28" priority="28" operator="greaterThan">
      <formula>0</formula>
    </cfRule>
  </conditionalFormatting>
  <conditionalFormatting sqref="BG63:BM67">
    <cfRule type="cellIs" dxfId="27" priority="27" operator="greaterThan">
      <formula>0</formula>
    </cfRule>
  </conditionalFormatting>
  <conditionalFormatting sqref="BG70:BM70">
    <cfRule type="cellIs" dxfId="26" priority="26" operator="greaterThan">
      <formula>0</formula>
    </cfRule>
  </conditionalFormatting>
  <conditionalFormatting sqref="BG73:BM73">
    <cfRule type="cellIs" dxfId="25" priority="25" operator="greaterThan">
      <formula>0</formula>
    </cfRule>
  </conditionalFormatting>
  <conditionalFormatting sqref="BG76:BM76">
    <cfRule type="cellIs" dxfId="24" priority="24" operator="greaterThan">
      <formula>0</formula>
    </cfRule>
  </conditionalFormatting>
  <conditionalFormatting sqref="BP8:BV8">
    <cfRule type="cellIs" dxfId="23" priority="23" operator="greaterThan">
      <formula>0</formula>
    </cfRule>
  </conditionalFormatting>
  <conditionalFormatting sqref="BP11:BV11">
    <cfRule type="cellIs" dxfId="22" priority="22" operator="greaterThan">
      <formula>0</formula>
    </cfRule>
  </conditionalFormatting>
  <conditionalFormatting sqref="BP15:BV24">
    <cfRule type="cellIs" dxfId="21" priority="21" operator="greaterThan">
      <formula>0</formula>
    </cfRule>
  </conditionalFormatting>
  <conditionalFormatting sqref="BP27:BV37">
    <cfRule type="cellIs" dxfId="20" priority="20" operator="greaterThan">
      <formula>0</formula>
    </cfRule>
  </conditionalFormatting>
  <conditionalFormatting sqref="BP41:BV41">
    <cfRule type="cellIs" dxfId="19" priority="19" operator="greaterThan">
      <formula>0</formula>
    </cfRule>
  </conditionalFormatting>
  <conditionalFormatting sqref="BP45:BV45">
    <cfRule type="cellIs" dxfId="17" priority="18" operator="greaterThan">
      <formula>0</formula>
    </cfRule>
  </conditionalFormatting>
  <conditionalFormatting sqref="BP48:BV48">
    <cfRule type="cellIs" dxfId="16" priority="17" operator="greaterThan">
      <formula>0</formula>
    </cfRule>
  </conditionalFormatting>
  <conditionalFormatting sqref="BP52:BV52">
    <cfRule type="cellIs" dxfId="15" priority="16" operator="greaterThan">
      <formula>0</formula>
    </cfRule>
  </conditionalFormatting>
  <conditionalFormatting sqref="BP55:BV55">
    <cfRule type="cellIs" dxfId="14" priority="15" operator="greaterThan">
      <formula>0</formula>
    </cfRule>
  </conditionalFormatting>
  <conditionalFormatting sqref="BP58:BV58">
    <cfRule type="cellIs" dxfId="13" priority="14" operator="greaterThan">
      <formula>0</formula>
    </cfRule>
  </conditionalFormatting>
  <conditionalFormatting sqref="BP61:BV69">
    <cfRule type="cellIs" dxfId="12" priority="13" operator="greaterThan">
      <formula>0</formula>
    </cfRule>
  </conditionalFormatting>
  <conditionalFormatting sqref="BP72:BV77">
    <cfRule type="cellIs" dxfId="11" priority="12" operator="greaterThan">
      <formula>0</formula>
    </cfRule>
  </conditionalFormatting>
  <conditionalFormatting sqref="BY8:CE8">
    <cfRule type="cellIs" dxfId="10" priority="11" operator="greaterThan">
      <formula>0</formula>
    </cfRule>
  </conditionalFormatting>
  <conditionalFormatting sqref="BY11:CE11">
    <cfRule type="cellIs" dxfId="9" priority="10" operator="greaterThan">
      <formula>0</formula>
    </cfRule>
  </conditionalFormatting>
  <conditionalFormatting sqref="CH22:CN28">
    <cfRule type="cellIs" dxfId="8" priority="9" operator="greaterThan">
      <formula>0</formula>
    </cfRule>
  </conditionalFormatting>
  <conditionalFormatting sqref="CH31:CN31">
    <cfRule type="cellIs" dxfId="7" priority="8" operator="greaterThan">
      <formula>0</formula>
    </cfRule>
  </conditionalFormatting>
  <conditionalFormatting sqref="CH34:CN43">
    <cfRule type="cellIs" dxfId="6" priority="7" operator="greaterThan">
      <formula>0</formula>
    </cfRule>
  </conditionalFormatting>
  <conditionalFormatting sqref="CH46:CN55">
    <cfRule type="cellIs" dxfId="5" priority="6" operator="greaterThan">
      <formula>0</formula>
    </cfRule>
  </conditionalFormatting>
  <conditionalFormatting sqref="CQ8:CW8">
    <cfRule type="cellIs" dxfId="4" priority="5" operator="greaterThan">
      <formula>0</formula>
    </cfRule>
  </conditionalFormatting>
  <conditionalFormatting sqref="CQ11:CW11">
    <cfRule type="cellIs" dxfId="3" priority="4" operator="greaterThan">
      <formula>0</formula>
    </cfRule>
  </conditionalFormatting>
  <conditionalFormatting sqref="DI8:DO18">
    <cfRule type="cellIs" dxfId="2" priority="3" operator="greaterThan">
      <formula>0</formula>
    </cfRule>
  </conditionalFormatting>
  <conditionalFormatting sqref="DI21:DO21">
    <cfRule type="cellIs" dxfId="1" priority="2" operator="greaterThan">
      <formula>0</formula>
    </cfRule>
  </conditionalFormatting>
  <conditionalFormatting sqref="DI24:DO24">
    <cfRule type="cellIs" dxfId="0" priority="1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Elieser Aguilar</cp:lastModifiedBy>
  <dcterms:created xsi:type="dcterms:W3CDTF">2024-02-09T13:22:46Z</dcterms:created>
  <dcterms:modified xsi:type="dcterms:W3CDTF">2024-12-15T01:56:11Z</dcterms:modified>
</cp:coreProperties>
</file>