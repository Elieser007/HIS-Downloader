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AFDFDC30-7467-428E-B4A5-748F51BCB6F7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B5" i="3"/>
  <c r="Q81" i="3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J28" i="6" l="1"/>
  <c r="W81" i="3"/>
  <c r="J49" i="6"/>
  <c r="W80" i="3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AB38" i="6" l="1"/>
  <c r="A59" i="6"/>
  <c r="AB23" i="6"/>
  <c r="AB59" i="6"/>
  <c r="J66" i="6"/>
  <c r="J59" i="6"/>
  <c r="J3" i="6"/>
  <c r="A3" i="6"/>
  <c r="S3" i="6"/>
  <c r="S38" i="6"/>
  <c r="S18" i="6"/>
  <c r="AB3" i="6"/>
  <c r="S23" i="6"/>
  <c r="S32" i="6"/>
  <c r="A44" i="6"/>
  <c r="V18" i="2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B29" i="2"/>
  <c r="T3" i="2"/>
  <c r="K3" i="2"/>
  <c r="K18" i="2"/>
  <c r="B18" i="2"/>
  <c r="A18" i="2" l="1"/>
  <c r="S3" i="2"/>
  <c r="S18" i="2"/>
  <c r="J18" i="2"/>
  <c r="J3" i="2"/>
  <c r="A29" i="2"/>
  <c r="A3" i="2"/>
  <c r="AB3" i="2"/>
  <c r="J29" i="2"/>
  <c r="H26" i="3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<sst xmlns="http://schemas.openxmlformats.org/spreadsheetml/2006/main" count="3175" uniqueCount="783">
  <si>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</si>
  <si>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</si>
  <si>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</si>
  <si>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</si>
  <si>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</si>
  <si>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</si>
  <si>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</si>
  <si>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</si>
  <si>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</si>
  <si>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</si>
  <si>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</si>
  <si>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</si>
  <si>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</si>
  <si>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</si>
  <si>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</si>
  <si>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</si>
  <si>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</si>
  <si>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</si>
  <si>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</si>
  <si>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</si>
  <si>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</si>
  <si>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</si>
  <si>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</si>
  <si>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</si>
  <si>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</si>
  <si>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</si>
  <si>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</si>
  <si>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</si>
  <si>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</si>
  <si>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</si>
  <si>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</si>
  <si>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</si>
  <si>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</si>
  <si>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</si>
  <si>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</si>
  <si>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</si>
  <si>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</si>
  <si>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</si>
  <si>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</si>
  <si>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</si>
  <si>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</si>
  <si>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</si>
  <si>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</si>
  <si>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</si>
  <si>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</si>
  <si>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</si>
  <si>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</si>
  <si>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</si>
  <si>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</si>
  <si>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</si>
  <si>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</si>
  <si>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</si>
  <si>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</si>
  <si>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</si>
  <si>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</si>
  <si>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</si>
  <si>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</si>
  <si>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</si>
  <si>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</si>
  <si>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</si>
  <si>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</si>
  <si>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</si>
  <si>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</si>
  <si>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</si>
  <si>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</si>
  <si>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</si>
  <si>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</si>
  <si>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</si>
  <si>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</si>
  <si>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</si>
  <si>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</si>
  <si>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</si>
  <si>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</si>
  <si>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</si>
  <si>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</si>
  <si>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</si>
  <si>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</si>
  <si>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</si>
  <si>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</si>
  <si>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</si>
  <si>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</si>
  <si>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</si>
  <si>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</si>
  <si>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</si>
  <si>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</si>
  <si>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</si>
  <si>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</si>
  <si>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</si>
  <si>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</si>
  <si>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</si>
  <si>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</si>
  <si>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</si>
  <si>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</si>
  <si>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</si>
  <si>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</si>
  <si>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</si>
  <si>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</si>
  <si>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</si>
  <si>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</si>
  <si>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</si>
  <si>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</si>
  <si>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</si>
  <si>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</si>
  <si>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</si>
  <si>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</si>
  <si>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</si>
  <si>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</si>
  <si>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</si>
  <si>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</si>
  <si>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</si>
  <si>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</si>
  <si>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</si>
  <si>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</si>
  <si>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</si>
  <si>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</si>
  <si>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</si>
  <si>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</si>
  <si>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</si>
  <si>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</si>
  <si>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</si>
  <si>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</si>
  <si>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</si>
  <si>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</si>
  <si>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</si>
  <si>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</si>
  <si>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</si>
  <si>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</si>
  <si>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</si>
  <si>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</si>
  <si>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</si>
  <si>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</si>
  <si>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</si>
  <si>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</si>
  <si>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</si>
  <si>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</si>
  <si>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</si>
  <si>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</si>
  <si>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</si>
  <si>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</si>
  <si>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</si>
  <si>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</si>
  <si>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</si>
  <si>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</si>
  <si>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</si>
  <si>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</si>
  <si>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</si>
  <si>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</si>
  <si>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</si>
  <si>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</si>
  <si>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</si>
  <si>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</si>
  <si>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</si>
  <si>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</si>
  <si>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</si>
  <si>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</si>
  <si>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</si>
  <si>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</si>
  <si>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</si>
  <si>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</si>
  <si>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</si>
  <si>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</si>
  <si>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</si>
  <si>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</si>
  <si>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</si>
  <si>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</si>
  <si>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</si>
  <si>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</si>
  <si>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</si>
  <si>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</si>
  <si>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</si>
  <si>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</si>
  <si>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</si>
  <si>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</si>
  <si>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</si>
  <si>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</si>
  <si>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</si>
  <si>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</si>
  <si>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</si>
  <si>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</si>
  <si>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</si>
  <si>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</si>
  <si>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</si>
  <si>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</si>
  <si>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</si>
  <si>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</si>
  <si>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</si>
  <si>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</si>
  <si>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</si>
  <si>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</si>
  <si>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</si>
  <si>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</si>
  <si>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</si>
  <si>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</si>
  <si>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</si>
  <si>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</si>
  <si>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</si>
  <si>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</si>
  <si>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</si>
  <si>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</si>
  <si>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</si>
  <si>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</si>
  <si>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</si>
  <si>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</si>
  <si>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</si>
  <si>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</si>
  <si>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</si>
  <si>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</si>
  <si>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</si>
  <si>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</si>
  <si>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</si>
  <si>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</si>
  <si>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</si>
  <si>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</si>
  <si>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</si>
  <si>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</si>
  <si>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</si>
  <si>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</si>
  <si>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</si>
  <si>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</si>
  <si>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</si>
  <si>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</si>
  <si>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</si>
  <si>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</si>
  <si>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</si>
  <si>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</si>
  <si>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</si>
  <si>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</si>
  <si>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</si>
  <si>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</si>
  <si>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</si>
  <si>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</si>
  <si>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</si>
  <si>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</si>
  <si>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</si>
  <si>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</si>
  <si>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</si>
  <si>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</si>
  <si>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</si>
  <si>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</si>
  <si>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</si>
  <si>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</si>
  <si>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</si>
  <si>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</si>
  <si>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</si>
  <si>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</si>
  <si>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</si>
  <si>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</si>
  <si>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</si>
  <si>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</si>
  <si>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</si>
  <si>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</si>
  <si>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</si>
  <si>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</si>
  <si>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</si>
  <si>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</si>
  <si>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</si>
  <si>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</si>
  <si>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</si>
  <si>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</si>
  <si>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</si>
  <si>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</si>
  <si>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</si>
  <si>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</si>
  <si>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</si>
  <si>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</si>
  <si>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</si>
  <si>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</si>
  <si>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</si>
  <si>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</si>
  <si>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</si>
  <si>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</si>
  <si>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</si>
  <si>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</si>
  <si>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</si>
  <si>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</si>
  <si>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</si>
  <si>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</si>
  <si>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</si>
  <si>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</si>
  <si>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</si>
  <si>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</si>
  <si>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</si>
  <si>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</si>
  <si>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</si>
  <si>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</si>
  <si>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</si>
  <si>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</si>
  <si>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</si>
  <si>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</si>
  <si>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</si>
  <si>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</si>
  <si>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</si>
  <si>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</si>
  <si>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</si>
  <si>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</si>
  <si>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</si>
  <si>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</si>
  <si>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</si>
  <si>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</si>
  <si>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</si>
  <si>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</si>
  <si>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</si>
  <si>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</si>
  <si>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</si>
  <si>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</si>
  <si>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</si>
  <si>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</si>
  <si>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</si>
  <si>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</si>
  <si>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</si>
  <si>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</si>
  <si>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</si>
  <si>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</si>
  <si>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</si>
  <si>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</si>
  <si>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</si>
  <si>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</si>
  <si>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</si>
  <si>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</si>
  <si>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</si>
  <si>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</si>
  <si>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</si>
  <si>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</si>
  <si>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</si>
  <si>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</si>
  <si>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</si>
  <si>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</si>
  <si>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</si>
  <si>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</si>
  <si>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</si>
  <si>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</si>
  <si>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</si>
  <si>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</si>
  <si>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</si>
  <si>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</si>
  <si>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</si>
  <si>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</si>
  <si>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</si>
  <si>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</si>
  <si>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</si>
  <si>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</si>
  <si>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</si>
  <si>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</si>
  <si>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</si>
  <si>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</si>
  <si>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</si>
  <si>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</si>
  <si>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</si>
  <si>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</si>
  <si>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</si>
  <si>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</si>
  <si>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</si>
  <si>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</si>
  <si>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</si>
  <si>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</si>
  <si>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</si>
  <si>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</si>
  <si>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</si>
  <si>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</si>
  <si>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</si>
  <si>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</si>
  <si>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</si>
  <si>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</si>
  <si>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</si>
  <si>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</si>
  <si>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</si>
  <si>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</si>
  <si>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</si>
  <si>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</si>
  <si>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</si>
  <si>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</si>
  <si>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</si>
  <si>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</si>
  <si>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</si>
  <si>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</si>
  <si>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</si>
  <si>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</si>
  <si>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</si>
  <si>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</si>
  <si>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</si>
  <si>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</si>
  <si>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</si>
  <si>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</si>
  <si>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</si>
  <si>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</si>
  <si>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</si>
  <si>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</si>
  <si>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</si>
  <si>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</si>
  <si>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</si>
  <si>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</si>
  <si>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</si>
  <si>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</si>
  <si>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</si>
  <si>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</si>
  <si>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</si>
  <si>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</si>
  <si>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</si>
  <si>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</si>
  <si>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</si>
  <si>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</si>
  <si>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</si>
  <si>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</si>
  <si>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</si>
  <si>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</si>
  <si>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</si>
  <si>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</si>
  <si>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</si>
  <si>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</si>
  <si>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</si>
  <si>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</si>
  <si>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</si>
  <si>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</si>
  <si>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</si>
  <si>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</si>
  <si>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</si>
  <si>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</si>
  <si>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</si>
  <si>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</si>
  <si>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</si>
  <si>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</si>
  <si>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</si>
  <si>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</si>
  <si>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</si>
  <si>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</si>
  <si>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</si>
  <si>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</si>
  <si>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</si>
  <si>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</si>
  <si>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</si>
  <si>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</si>
  <si>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</si>
  <si>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</si>
  <si>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</si>
  <si>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</si>
  <si>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</si>
  <si>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</si>
  <si>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</si>
  <si>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</si>
  <si>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</si>
  <si>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</si>
  <si>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</si>
  <si>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</si>
  <si>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</si>
  <si>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</si>
  <si>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</si>
  <si>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</si>
  <si>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</si>
  <si>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</si>
  <si>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</si>
  <si>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</si>
  <si>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</si>
  <si>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</si>
  <si>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</si>
  <si>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</si>
  <si>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</si>
  <si>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</si>
  <si>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</si>
  <si>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</si>
  <si>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</si>
  <si>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</si>
  <si>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</si>
  <si>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</si>
  <si>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</si>
  <si>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</si>
  <si>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</si>
  <si>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</si>
  <si>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</si>
  <si>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</si>
  <si>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</si>
  <si>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</si>
  <si>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</si>
  <si>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</si>
  <si>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</si>
  <si>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</si>
  <si>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</si>
  <si>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</si>
  <si>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</si>
  <si>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</si>
  <si>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</si>
  <si>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</si>
  <si>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</si>
  <si>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</si>
  <si>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</si>
  <si>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</si>
  <si>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</si>
  <si>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</si>
  <si>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</si>
  <si>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</si>
  <si>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</si>
  <si>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</si>
  <si>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</si>
  <si>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</si>
  <si>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</si>
  <si>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</si>
  <si>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</si>
  <si>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</si>
  <si>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</si>
  <si>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</si>
  <si>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</si>
  <si>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</si>
  <si>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</si>
  <si>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</si>
  <si>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</si>
  <si>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</si>
  <si>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</si>
  <si>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</si>
  <si>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</si>
  <si>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</si>
  <si>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</si>
  <si>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</si>
  <si>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</si>
  <si>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</si>
  <si>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</si>
  <si>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</si>
  <si>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</si>
  <si>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</si>
  <si>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</si>
  <si>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</si>
  <si>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</si>
  <si>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</si>
  <si>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</si>
  <si>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</si>
  <si>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</si>
  <si>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</si>
  <si>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</si>
  <si>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</si>
  <si>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</si>
  <si>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</si>
  <si>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</si>
  <si>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</si>
  <si>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</si>
  <si>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</si>
  <si>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</si>
  <si>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</si>
  <si>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</si>
  <si>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</si>
  <si>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</si>
  <si>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</si>
  <si>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</si>
  <si>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</si>
  <si>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</si>
  <si>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</si>
  <si>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</si>
  <si>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</si>
  <si>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</si>
  <si>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</si>
  <si>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</si>
  <si>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</si>
  <si>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</si>
  <si>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</si>
  <si>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</si>
  <si>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</si>
  <si>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</si>
  <si>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</si>
  <si>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</si>
  <si>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</si>
  <si>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</si>
  <si>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</si>
  <si>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</si>
  <si>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</si>
  <si>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</si>
  <si>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</si>
  <si>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</si>
  <si>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</si>
  <si>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</si>
  <si>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</si>
  <si>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</si>
  <si>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</si>
  <si>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</si>
  <si>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</si>
  <si>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</si>
  <si>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</si>
  <si>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</si>
  <si>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</si>
  <si>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</si>
  <si>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</si>
  <si>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</si>
  <si>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</si>
  <si>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</si>
  <si>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</si>
  <si>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</si>
  <si>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</si>
  <si>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</si>
  <si>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</si>
  <si>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</si>
  <si>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</si>
  <si>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</si>
  <si>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</si>
  <si>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</si>
  <si>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</si>
  <si>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</si>
  <si>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</si>
  <si>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</si>
  <si>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</si>
  <si>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</si>
  <si>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</si>
  <si>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</si>
  <si>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</si>
  <si>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</si>
  <si>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</si>
  <si>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</si>
  <si>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</si>
  <si>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</si>
  <si>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</si>
  <si>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</si>
  <si>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</si>
  <si>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</si>
  <si>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</si>
  <si>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</si>
  <si>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</si>
  <si>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</si>
  <si>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</si>
  <si>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</si>
  <si>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</si>
  <si>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</si>
  <si>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</si>
  <si>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</si>
  <si>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</si>
  <si>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</si>
  <si>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</si>
  <si>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</si>
  <si>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</si>
  <si>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</si>
  <si>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</si>
  <si>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</si>
  <si>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</si>
  <si>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</si>
  <si>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</si>
  <si>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</si>
  <si>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</si>
  <si>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</si>
  <si>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</si>
  <si>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</si>
  <si>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</si>
  <si>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</si>
  <si>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</si>
  <si>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</si>
  <si>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</si>
  <si>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</si>
  <si>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</si>
  <si>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</si>
  <si>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</si>
  <si>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</si>
  <si>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</si>
  <si>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</si>
  <si>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</si>
  <si>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</si>
  <si>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</si>
  <si>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</si>
  <si>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</si>
  <si>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</si>
  <si>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</si>
  <si>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</si>
  <si>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</si>
  <si>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</si>
  <si>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</si>
  <si>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</si>
  <si>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</si>
  <si>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</si>
  <si>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</si>
  <si>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</si>
  <si>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</si>
  <si>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</si>
  <si>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</si>
  <si>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</si>
  <si>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</si>
  <si>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</si>
  <si>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</si>
  <si>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</si>
  <si>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</si>
  <si>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</si>
  <si>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</si>
  <si>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</si>
  <si>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</si>
  <si>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</si>
  <si>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</si>
  <si>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</si>
  <si>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</si>
  <si>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</si>
  <si>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</si>
  <si>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</si>
  <si>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</si>
  <si>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</si>
  <si>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</si>
  <si>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</si>
  <si>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</si>
  <si>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</si>
  <si>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</si>
  <si>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</si>
  <si>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</si>
  <si>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</si>
  <si>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</si>
  <si>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</si>
  <si>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</si>
  <si>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</si>
  <si>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</si>
  <si>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</si>
  <si>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</si>
  <si>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</si>
  <si>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</si>
  <si>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</si>
  <si>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</si>
  <si>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</si>
  <si>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</si>
  <si>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</si>
  <si>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</si>
  <si>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</si>
  <si>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</si>
  <si>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</si>
  <si>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</si>
  <si>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</si>
  <si>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</si>
  <si>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</si>
  <si>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</si>
  <si>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</si>
  <si>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</si>
  <si>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</si>
  <si>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</si>
  <si>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</si>
  <si>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</si>
  <si>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</si>
  <si>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</si>
  <si>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</si>
  <si>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</si>
  <si>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</si>
  <si>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</si>
  <si>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</si>
  <si>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</si>
  <si>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</si>
  <si>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</si>
  <si>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</si>
  <si>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</si>
  <si>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</si>
  <si>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</si>
  <si>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</si>
  <si>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</si>
  <si>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</si>
  <si>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</si>
  <si>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</si>
  <si>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</si>
  <si>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</si>
  <si>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</si>
  <si>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</si>
  <si>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</si>
  <si>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</si>
  <si>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</si>
  <si>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</si>
  <si>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</si>
  <si>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</si>
  <si>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</si>
  <si>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</si>
  <si>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</si>
  <si>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</si>
  <si>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</si>
  <si>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</si>
  <si>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</si>
  <si>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</si>
  <si>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</si>
  <si>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</si>
  <si>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</si>
  <si>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</si>
  <si>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</si>
  <si>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</si>
  <si>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</si>
  <si>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</si>
  <si>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</si>
  <si>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</si>
  <si>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</si>
  <si>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</si>
  <si>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</si>
  <si>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</si>
  <si>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</si>
  <si>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</si>
  <si>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</si>
  <si>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</si>
  <si>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</si>
  <si>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</si>
  <si>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</si>
  <si>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</si>
  <si>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</si>
  <si>
    <t>Nivel de Urgencia</t>
  </si>
  <si>
    <t>Destino del Paciente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</si>
</sst>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4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0" borderId="1" applyNumberFormat="0" applyFill="0" applyBorder="0" applyAlignment="0" applyProtection="0"/>
  </cellStyleXfs>
  <cellXfs count="160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1" fillId="0" borderId="5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164" fontId="14" fillId="0" borderId="9" xfId="8" applyFont="1" applyBorder="1" applyAlignment="1">
      <alignment horizontal="left" vertical="center" wrapText="1"/>
    </xf>
    <xf numFmtId="0" fontId="0" fillId="0" borderId="10" xfId="0" applyBorder="1"/>
    <xf numFmtId="0" fontId="0" fillId="0" borderId="14" xfId="0" applyBorder="1"/>
    <xf numFmtId="0" fontId="0" fillId="0" borderId="19" xfId="0" applyBorder="1"/>
    <xf numFmtId="0" fontId="0" fillId="0" borderId="13" xfId="0" applyBorder="1"/>
    <xf numFmtId="164" fontId="10" fillId="7" borderId="1" xfId="8" applyFont="1" applyFill="1" applyAlignment="1">
      <alignment horizontal="center" vertical="center"/>
    </xf>
    <xf numFmtId="164" fontId="17" fillId="0" borderId="17" xfId="8" applyFont="1" applyBorder="1" applyAlignment="1">
      <alignment horizontal="center" vertical="center"/>
    </xf>
    <xf numFmtId="0" fontId="0" fillId="0" borderId="12" xfId="0" applyBorder="1"/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4" fillId="0" borderId="15" xfId="8" applyFont="1" applyBorder="1" applyAlignment="1">
      <alignment horizontal="center" vertical="center"/>
    </xf>
    <xf numFmtId="0" fontId="0" fillId="0" borderId="11" xfId="0" applyBorder="1"/>
    <xf numFmtId="164" fontId="14" fillId="0" borderId="41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 wrapText="1"/>
    </xf>
    <xf numFmtId="0" fontId="0" fillId="0" borderId="25" xfId="0" applyBorder="1"/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17" fillId="0" borderId="15" xfId="9" applyBorder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164" fontId="14" fillId="0" borderId="4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4" fillId="0" borderId="15" xfId="8" applyFont="1" applyBorder="1" applyAlignment="1">
      <alignment horizontal="left" vertical="center"/>
    </xf>
    <xf numFmtId="0" fontId="0" fillId="0" borderId="18" xfId="0" applyBorder="1"/>
    <xf numFmtId="0" fontId="0" fillId="0" borderId="20" xfId="0" applyBorder="1"/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44" xfId="0" applyBorder="1"/>
    <xf numFmtId="164" fontId="14" fillId="0" borderId="42" xfId="8" applyFont="1" applyBorder="1" applyAlignment="1">
      <alignment horizontal="center" vertical="center"/>
    </xf>
    <xf numFmtId="164" fontId="14" fillId="0" borderId="21" xfId="8" applyFont="1" applyBorder="1" applyAlignment="1">
      <alignment horizontal="left" vertical="center" wrapText="1"/>
    </xf>
    <xf numFmtId="0" fontId="0" fillId="0" borderId="27" xfId="0" applyBorder="1"/>
    <xf numFmtId="0" fontId="0" fillId="0" borderId="28" xfId="0" applyBorder="1"/>
    <xf numFmtId="164" fontId="15" fillId="0" borderId="12" xfId="8" applyFont="1" applyBorder="1" applyAlignment="1">
      <alignment horizontal="center" vertical="center"/>
    </xf>
    <xf numFmtId="0" fontId="18" fillId="8" borderId="1" xfId="9" applyFont="1" applyFill="1" applyAlignment="1">
      <alignment horizontal="right" wrapText="1"/>
    </xf>
    <xf numFmtId="0" fontId="0" fillId="0" borderId="26" xfId="0" applyBorder="1"/>
    <xf numFmtId="0" fontId="22" fillId="2" borderId="1" xfId="1" applyFont="1" applyAlignment="1">
      <alignment horizontal="center" vertical="center"/>
    </xf>
    <xf numFmtId="164" fontId="9" fillId="7" borderId="1" xfId="8" applyFont="1" applyFill="1" applyAlignment="1">
      <alignment horizontal="center" vertical="center"/>
    </xf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33" fillId="0" borderId="0" xfId="15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28" fillId="0" borderId="2" xfId="3" applyFont="1" applyAlignment="1">
      <alignment horizontal="center"/>
    </xf>
    <xf numFmtId="0" fontId="27" fillId="0" borderId="1" xfId="11" applyBorder="1" applyAlignment="1">
      <alignment horizontal="center" wrapText="1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2" fillId="10" borderId="48" xfId="14" applyAlignment="1">
      <alignment horizontal="center" wrapText="1"/>
    </xf>
    <xf numFmtId="0" fontId="32" fillId="10" borderId="48" xfId="14" applyAlignment="1">
      <alignment horizontal="center"/>
    </xf>
    <xf numFmtId="0" fontId="31" fillId="10" borderId="49" xfId="13" applyAlignment="1">
      <alignment horizontal="center"/>
    </xf>
    <xf numFmtId="0" fontId="30" fillId="0" borderId="47" xfId="12" applyAlignment="1">
      <alignment horizontal="center"/>
    </xf>
    <xf numFmtId="0" fontId="31" fillId="10" borderId="49" xfId="13" applyAlignment="1">
      <alignment horizontal="center" wrapText="1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</cellXfs>
  <cellStyles count="16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5" builtinId="8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819.382908680556" createdVersion="8" refreshedVersion="8" minRefreshableVersion="3" recordCount="299998" xr:uid="{00000000-000A-0000-FFFF-FFFF04000000}">
  <cacheSource type="worksheet">
    <worksheetSource name="BASE"/>
  </cacheSource>
  <cacheFields count="78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Nivel de Urgenci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Destino del Paciente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8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8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8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8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Z300000" totalsRowShown="0" headerRowDxfId="2078" headerRowBorderDxfId="2077">
  <autoFilter ref="A2:BZ300000" xr:uid="{00000000-0009-0000-0100-000001000000}"/>
  <tableColumns count="78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79" xr3:uid="{2E2332AF-73E5-4D05-BE9E-BA9834A25D6D}" name="Nivel de Urgenci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80" xr3:uid="{D2AD4D86-BAC2-4547-8031-E3DAFDFEC6D1}" name="Destino del Paciente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Z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6" width="17.85546875" style="2" customWidth="1"/>
    <col min="7" max="7" width="35.140625" style="2" bestFit="1" customWidth="1"/>
    <col min="8" max="8" width="19.5703125" style="2" bestFit="1" customWidth="1"/>
    <col min="9" max="9" width="18.28515625" style="2" customWidth="1"/>
    <col min="10" max="10" width="35.140625" style="2" bestFit="1" customWidth="1"/>
    <col min="11" max="11" width="9.7109375" style="2" bestFit="1" customWidth="1"/>
    <col min="12" max="12" width="7.85546875" style="2" bestFit="1" customWidth="1"/>
    <col min="13" max="13" width="16.42578125" style="2" customWidth="1"/>
    <col min="14" max="14" width="11.7109375" style="2" bestFit="1" customWidth="1"/>
    <col min="15" max="15" width="28.28515625" style="2" customWidth="1"/>
    <col min="16" max="16" width="22" style="2" customWidth="1"/>
    <col min="17" max="17" width="20.7109375" style="2" customWidth="1"/>
    <col min="18" max="18" width="19.5703125" style="2" bestFit="1" customWidth="1"/>
    <col min="19" max="19" width="17.85546875" style="2" customWidth="1"/>
    <col min="20" max="20" width="12.5703125" style="2" customWidth="1"/>
    <col min="21" max="21" width="12.5703125" style="2" bestFit="1" customWidth="1"/>
    <col min="22" max="22" width="16.5703125" style="2" customWidth="1"/>
    <col min="23" max="23" width="35.140625" style="2" bestFit="1" customWidth="1"/>
    <col min="24" max="24" width="11.7109375" style="2" customWidth="1"/>
    <col min="25" max="25" width="27.28515625" style="2" bestFit="1" customWidth="1"/>
    <col min="26" max="26" width="17.5703125" style="2" customWidth="1"/>
    <col min="27" max="27" width="12.7109375" style="2" customWidth="1"/>
    <col min="28" max="28" width="27.28515625" style="2" bestFit="1" customWidth="1"/>
    <col min="29" max="29" width="18.5703125" style="2" customWidth="1"/>
    <col min="30" max="30" width="12.7109375" style="2" customWidth="1"/>
    <col min="31" max="31" width="27.28515625" style="2" bestFit="1" customWidth="1"/>
    <col min="32" max="32" width="18.5703125" style="2" customWidth="1"/>
    <col min="33" max="33" width="12.7109375" style="2" customWidth="1"/>
    <col min="34" max="34" width="27.28515625" style="2" bestFit="1" customWidth="1"/>
    <col min="35" max="35" width="18.5703125" style="2" customWidth="1"/>
    <col min="36" max="36" width="12.7109375" style="2" customWidth="1"/>
    <col min="37" max="37" width="27.28515625" style="2" bestFit="1" customWidth="1"/>
    <col min="38" max="38" width="18.5703125" style="2" customWidth="1"/>
    <col min="39" max="39" width="13.7109375" style="2" customWidth="1"/>
    <col min="40" max="40" width="27.28515625" style="2" bestFit="1" customWidth="1"/>
    <col min="41" max="42" width="19.5703125" style="2" customWidth="1"/>
    <col min="43" max="43" width="13.7109375" style="2" customWidth="1"/>
    <col min="44" max="44" width="23" style="2" customWidth="1"/>
    <col min="45" max="45" width="11.85546875" style="2" customWidth="1"/>
    <col min="46" max="46" width="12.140625" style="2" customWidth="1"/>
    <col min="47" max="47" width="54.7109375" style="2" bestFit="1" customWidth="1"/>
    <col min="48" max="50" width="31.28515625" style="2" bestFit="1" customWidth="1"/>
    <col min="51" max="51" width="11.7109375" style="2" bestFit="1" customWidth="1"/>
    <col min="52" max="52" width="10.85546875" style="2" customWidth="1"/>
    <col min="53" max="53" width="11.7109375" style="2" bestFit="1" customWidth="1"/>
    <col min="54" max="54" width="30.5703125" style="2" customWidth="1"/>
    <col min="55" max="55" width="15.5703125" style="2" bestFit="1" customWidth="1"/>
    <col min="56" max="56" width="15" style="2" customWidth="1"/>
    <col min="57" max="57" width="12.140625" style="2" customWidth="1"/>
    <col min="58" max="58" width="23.42578125" style="2" bestFit="1" customWidth="1"/>
    <col min="59" max="59" width="9" style="2" bestFit="1" customWidth="1"/>
    <col min="60" max="61" width="23.42578125" style="2" bestFit="1" customWidth="1"/>
    <col min="62" max="62" width="11" style="2" customWidth="1"/>
    <col min="63" max="64" width="23.42578125" style="2" bestFit="1" customWidth="1"/>
    <col min="65" max="65" width="11" style="2" customWidth="1"/>
    <col min="66" max="67" width="23.42578125" style="2" bestFit="1" customWidth="1"/>
    <col min="68" max="68" width="11" style="2" customWidth="1"/>
    <col min="69" max="70" width="23.42578125" style="2" bestFit="1" customWidth="1"/>
    <col min="71" max="71" width="11" style="2" customWidth="1"/>
    <col min="72" max="73" width="23.42578125" style="2" bestFit="1" customWidth="1"/>
    <col min="74" max="74" width="11" style="2" customWidth="1"/>
    <col min="75" max="75" width="23.7109375" style="2" customWidth="1"/>
    <col min="76" max="76" width="46.85546875" style="2" bestFit="1" customWidth="1"/>
    <col min="77" max="77" width="23.42578125" style="2" bestFit="1" customWidth="1"/>
    <col min="78" max="78" width="46.85546875" style="2" bestFit="1" customWidth="1"/>
    <col min="79" max="16384" width="9.140625" style="2"/>
  </cols>
  <sheetData>
    <row r="1" spans="1:78" ht="19.5" customHeight="1">
      <c r="A1" s="75" t="s">
        <v>0</v>
      </c>
      <c r="B1" s="77"/>
      <c r="C1" s="77"/>
      <c r="D1" s="77"/>
      <c r="E1" s="77"/>
      <c r="F1" s="77"/>
      <c r="G1" s="77"/>
      <c r="H1" s="76"/>
      <c r="I1" s="75" t="s">
        <v>1</v>
      </c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6"/>
      <c r="V1" s="78" t="s">
        <v>2</v>
      </c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80"/>
      <c r="AQ1" s="75" t="s">
        <v>3</v>
      </c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6"/>
      <c r="BE1" s="75" t="s">
        <v>4</v>
      </c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7"/>
      <c r="BU1" s="77"/>
      <c r="BV1" s="76"/>
      <c r="BW1" s="75" t="s">
        <v>5</v>
      </c>
      <c r="BX1" s="76"/>
      <c r="BY1" s="75" t="s">
        <v>6</v>
      </c>
      <c r="BZ1" s="76"/>
    </row>
    <row r="2" spans="1:78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781</v>
      </c>
      <c r="G2" s="11" t="s">
        <v>12</v>
      </c>
      <c r="H2" s="11" t="s">
        <v>13</v>
      </c>
      <c r="I2" s="11" t="s">
        <v>14</v>
      </c>
      <c r="J2" s="11" t="s">
        <v>15</v>
      </c>
      <c r="K2" s="11" t="s">
        <v>16</v>
      </c>
      <c r="L2" s="11" t="s">
        <v>17</v>
      </c>
      <c r="M2" s="11" t="s">
        <v>18</v>
      </c>
      <c r="N2" s="11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1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1" t="s">
        <v>34</v>
      </c>
      <c r="AD2" s="11" t="s">
        <v>35</v>
      </c>
      <c r="AE2" s="11" t="s">
        <v>36</v>
      </c>
      <c r="AF2" s="11" t="s">
        <v>37</v>
      </c>
      <c r="AG2" s="11" t="s">
        <v>38</v>
      </c>
      <c r="AH2" s="11" t="s">
        <v>39</v>
      </c>
      <c r="AI2" s="11" t="s">
        <v>40</v>
      </c>
      <c r="AJ2" s="11" t="s">
        <v>41</v>
      </c>
      <c r="AK2" s="11" t="s">
        <v>42</v>
      </c>
      <c r="AL2" s="11" t="s">
        <v>43</v>
      </c>
      <c r="AM2" s="11" t="s">
        <v>44</v>
      </c>
      <c r="AN2" s="11" t="s">
        <v>45</v>
      </c>
      <c r="AO2" s="11" t="s">
        <v>46</v>
      </c>
      <c r="AP2" s="11" t="s">
        <v>782</v>
      </c>
      <c r="AQ2" s="11" t="s">
        <v>47</v>
      </c>
      <c r="AR2" s="11" t="s">
        <v>48</v>
      </c>
      <c r="AS2" s="11" t="s">
        <v>49</v>
      </c>
      <c r="AT2" s="11" t="s">
        <v>50</v>
      </c>
      <c r="AU2" s="11" t="s">
        <v>51</v>
      </c>
      <c r="AV2" s="11" t="s">
        <v>52</v>
      </c>
      <c r="AW2" s="11" t="s">
        <v>53</v>
      </c>
      <c r="AX2" s="11" t="s">
        <v>54</v>
      </c>
      <c r="AY2" s="11" t="s">
        <v>55</v>
      </c>
      <c r="AZ2" s="11" t="s">
        <v>56</v>
      </c>
      <c r="BA2" s="11" t="s">
        <v>57</v>
      </c>
      <c r="BB2" s="11" t="s">
        <v>58</v>
      </c>
      <c r="BC2" s="11" t="s">
        <v>59</v>
      </c>
      <c r="BD2" s="11" t="s">
        <v>60</v>
      </c>
      <c r="BE2" s="11" t="s">
        <v>61</v>
      </c>
      <c r="BF2" s="11" t="s">
        <v>62</v>
      </c>
      <c r="BG2" s="11" t="s">
        <v>63</v>
      </c>
      <c r="BH2" s="11" t="s">
        <v>64</v>
      </c>
      <c r="BI2" s="11" t="s">
        <v>65</v>
      </c>
      <c r="BJ2" s="11" t="s">
        <v>66</v>
      </c>
      <c r="BK2" s="11" t="s">
        <v>67</v>
      </c>
      <c r="BL2" s="11" t="s">
        <v>68</v>
      </c>
      <c r="BM2" s="11" t="s">
        <v>69</v>
      </c>
      <c r="BN2" s="11" t="s">
        <v>70</v>
      </c>
      <c r="BO2" s="11" t="s">
        <v>71</v>
      </c>
      <c r="BP2" s="11" t="s">
        <v>72</v>
      </c>
      <c r="BQ2" s="11" t="s">
        <v>73</v>
      </c>
      <c r="BR2" s="11" t="s">
        <v>74</v>
      </c>
      <c r="BS2" s="11" t="s">
        <v>75</v>
      </c>
      <c r="BT2" s="11" t="s">
        <v>76</v>
      </c>
      <c r="BU2" s="11" t="s">
        <v>77</v>
      </c>
      <c r="BV2" s="11" t="s">
        <v>78</v>
      </c>
      <c r="BW2" s="11" t="s">
        <v>79</v>
      </c>
      <c r="BX2" s="11" t="s">
        <v>80</v>
      </c>
      <c r="BY2" s="11" t="s">
        <v>81</v>
      </c>
      <c r="BZ2" s="11" t="s">
        <v>82</v>
      </c>
    </row>
    <row r="3" spans="1:78" ht="19.5" customHeight="1">
      <c r="A3" s="72"/>
      <c r="B3"/>
      <c r="C3"/>
      <c r="D3"/>
      <c r="E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</row>
    <row r="4" spans="1:78">
      <c r="A4" s="72"/>
      <c r="B4"/>
      <c r="C4"/>
      <c r="D4"/>
      <c r="E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</row>
    <row r="5" spans="1:78">
      <c r="A5" s="72"/>
      <c r="B5"/>
      <c r="C5"/>
      <c r="D5"/>
      <c r="E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</row>
    <row r="6" spans="1:78">
      <c r="A6" s="72"/>
      <c r="B6"/>
      <c r="C6"/>
      <c r="D6"/>
      <c r="E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</row>
    <row r="7" spans="1:78">
      <c r="A7" s="72"/>
      <c r="B7"/>
      <c r="C7"/>
      <c r="D7"/>
      <c r="E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</row>
    <row r="8" spans="1:78">
      <c r="A8" s="72"/>
      <c r="B8"/>
      <c r="C8"/>
      <c r="D8"/>
      <c r="E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</row>
    <row r="9" spans="1:78">
      <c r="A9" s="72"/>
      <c r="B9"/>
      <c r="C9"/>
      <c r="D9"/>
      <c r="E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</row>
    <row r="10" spans="1:78">
      <c r="A10" s="72"/>
      <c r="B10"/>
      <c r="C10"/>
      <c r="D10"/>
      <c r="E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</row>
    <row r="11" spans="1:78">
      <c r="A11" s="72"/>
      <c r="B11"/>
      <c r="C11"/>
      <c r="D11"/>
      <c r="E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</row>
    <row r="12" spans="1:78">
      <c r="A12" s="72"/>
      <c r="B12"/>
      <c r="C12"/>
      <c r="D12"/>
      <c r="E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</row>
    <row r="13" spans="1:78">
      <c r="A13" s="72"/>
      <c r="B13"/>
      <c r="C13"/>
      <c r="D13"/>
      <c r="E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</row>
    <row r="14" spans="1:78">
      <c r="A14" s="72"/>
      <c r="B14"/>
      <c r="C14"/>
      <c r="D14"/>
      <c r="E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</row>
    <row r="15" spans="1:78">
      <c r="A15" s="72"/>
      <c r="B15"/>
      <c r="C15"/>
      <c r="D15"/>
      <c r="E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</row>
    <row r="16" spans="1:78">
      <c r="A16" s="72"/>
      <c r="B16"/>
      <c r="C16"/>
      <c r="D16"/>
      <c r="E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</row>
    <row r="17" spans="1:78">
      <c r="A17" s="72"/>
      <c r="B17"/>
      <c r="C17"/>
      <c r="D17"/>
      <c r="E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</row>
    <row r="18" spans="1:78">
      <c r="A18" s="72"/>
      <c r="B18"/>
      <c r="C18"/>
      <c r="D18"/>
      <c r="E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</row>
    <row r="19" spans="1:78">
      <c r="A19" s="72"/>
      <c r="B19"/>
      <c r="C19"/>
      <c r="D19"/>
      <c r="E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</row>
    <row r="20" spans="1:78">
      <c r="A20" s="72"/>
      <c r="B20"/>
      <c r="C20"/>
      <c r="D20"/>
      <c r="E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</row>
    <row r="21" spans="1:78">
      <c r="A21" s="72"/>
      <c r="B21"/>
      <c r="C21"/>
      <c r="D21"/>
      <c r="E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</row>
    <row r="22" spans="1:78">
      <c r="A22" s="72"/>
      <c r="B22"/>
      <c r="C22"/>
      <c r="D22"/>
      <c r="E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</row>
    <row r="23" spans="1:78">
      <c r="A23" s="72"/>
      <c r="B23"/>
      <c r="C23"/>
      <c r="D23"/>
      <c r="E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</row>
    <row r="24" spans="1:78">
      <c r="A24" s="72"/>
      <c r="B24"/>
      <c r="C24"/>
      <c r="D24"/>
      <c r="E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</row>
    <row r="25" spans="1:78">
      <c r="A25" s="72"/>
      <c r="B25"/>
      <c r="C25"/>
      <c r="D25"/>
      <c r="E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</row>
    <row r="26" spans="1:78">
      <c r="A26" s="72"/>
      <c r="B26"/>
      <c r="C26"/>
      <c r="D26"/>
      <c r="E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</row>
    <row r="27" spans="1:78">
      <c r="A27" s="72"/>
      <c r="B27"/>
      <c r="C27"/>
      <c r="D27"/>
      <c r="E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</row>
    <row r="28" spans="1:78">
      <c r="A28" s="72"/>
      <c r="B28"/>
      <c r="C28"/>
      <c r="D28"/>
      <c r="E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</row>
    <row r="29" spans="1:78">
      <c r="A29" s="72"/>
      <c r="B29"/>
      <c r="C29"/>
      <c r="D29"/>
      <c r="E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</row>
    <row r="30" spans="1:78">
      <c r="A30" s="72"/>
      <c r="B30"/>
      <c r="C30"/>
      <c r="D30"/>
      <c r="E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</row>
    <row r="31" spans="1:78">
      <c r="A31" s="72"/>
      <c r="B31"/>
      <c r="C31"/>
      <c r="D31"/>
      <c r="E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</row>
    <row r="32" spans="1:78">
      <c r="A32" s="72"/>
      <c r="B32"/>
      <c r="C32"/>
      <c r="D32"/>
      <c r="E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</row>
    <row r="33" spans="1:78">
      <c r="A33" s="72"/>
      <c r="B33"/>
      <c r="C33"/>
      <c r="D33"/>
      <c r="E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</row>
    <row r="34" spans="1:78">
      <c r="A34" s="72"/>
      <c r="B34"/>
      <c r="C34"/>
      <c r="D34"/>
      <c r="E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</row>
    <row r="35" spans="1:78">
      <c r="A35" s="72"/>
      <c r="B35"/>
      <c r="C35"/>
      <c r="D35"/>
      <c r="E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</row>
    <row r="36" spans="1:78">
      <c r="A36" s="72"/>
      <c r="B36"/>
      <c r="C36"/>
      <c r="D36"/>
      <c r="E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</row>
    <row r="37" spans="1:78">
      <c r="A37" s="72"/>
      <c r="B37"/>
      <c r="C37"/>
      <c r="D37"/>
      <c r="E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</row>
    <row r="38" spans="1:78">
      <c r="A38" s="72"/>
      <c r="B38"/>
      <c r="C38"/>
      <c r="D38"/>
      <c r="E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</row>
    <row r="39" spans="1:78">
      <c r="A39" s="72"/>
      <c r="B39"/>
      <c r="C39"/>
      <c r="D39"/>
      <c r="E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</row>
    <row r="40" spans="1:78">
      <c r="A40" s="72"/>
      <c r="B40"/>
      <c r="C40"/>
      <c r="D40"/>
      <c r="E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</row>
    <row r="41" spans="1:78">
      <c r="A41" s="72"/>
      <c r="B41"/>
      <c r="C41"/>
      <c r="D41"/>
      <c r="E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</row>
    <row r="42" spans="1:78">
      <c r="A42" s="72"/>
      <c r="B42"/>
      <c r="C42"/>
      <c r="D42"/>
      <c r="E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</row>
    <row r="43" spans="1:78">
      <c r="A43" s="72"/>
      <c r="B43"/>
      <c r="C43"/>
      <c r="D43"/>
      <c r="E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</row>
    <row r="44" spans="1:78">
      <c r="A44" s="72"/>
      <c r="B44"/>
      <c r="C44"/>
      <c r="D44"/>
      <c r="E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</row>
    <row r="45" spans="1:78">
      <c r="A45" s="72"/>
      <c r="B45"/>
      <c r="C45"/>
      <c r="D45"/>
      <c r="E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</row>
    <row r="46" spans="1:78">
      <c r="A46" s="72"/>
      <c r="B46"/>
      <c r="C46"/>
      <c r="D46"/>
      <c r="E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</row>
    <row r="47" spans="1:78">
      <c r="A47" s="72"/>
      <c r="B47"/>
      <c r="C47"/>
      <c r="D47"/>
      <c r="E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</row>
    <row r="48" spans="1:78">
      <c r="A48" s="72"/>
      <c r="B48"/>
      <c r="C48"/>
      <c r="D48"/>
      <c r="E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</row>
    <row r="49" spans="1:78">
      <c r="A49" s="72"/>
      <c r="B49"/>
      <c r="C49"/>
      <c r="D49"/>
      <c r="E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</row>
    <row r="50" spans="1:78">
      <c r="A50" s="72"/>
      <c r="B50"/>
      <c r="C50"/>
      <c r="D50"/>
      <c r="E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</row>
    <row r="51" spans="1:78">
      <c r="A51" s="72"/>
      <c r="B51"/>
      <c r="C51"/>
      <c r="D51"/>
      <c r="E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</row>
    <row r="52" spans="1:78">
      <c r="A52" s="72"/>
      <c r="B52"/>
      <c r="C52"/>
      <c r="D52"/>
      <c r="E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</row>
    <row r="53" spans="1:78">
      <c r="A53" s="72"/>
      <c r="B53"/>
      <c r="C53"/>
      <c r="D53"/>
      <c r="E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</row>
    <row r="54" spans="1:78">
      <c r="A54" s="72"/>
      <c r="B54"/>
      <c r="C54"/>
      <c r="D54"/>
      <c r="E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</row>
    <row r="55" spans="1:78">
      <c r="A55" s="72"/>
      <c r="B55"/>
      <c r="C55"/>
      <c r="D55"/>
      <c r="E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</row>
    <row r="56" spans="1:78">
      <c r="A56" s="72"/>
      <c r="B56"/>
      <c r="C56"/>
      <c r="D56"/>
      <c r="E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</row>
    <row r="57" spans="1:78">
      <c r="A57" s="72"/>
      <c r="B57"/>
      <c r="C57"/>
      <c r="D57"/>
      <c r="E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</row>
    <row r="58" spans="1:78">
      <c r="A58" s="72"/>
      <c r="B58"/>
      <c r="C58"/>
      <c r="D58"/>
      <c r="E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</row>
    <row r="59" spans="1:78">
      <c r="A59" s="72"/>
      <c r="B59"/>
      <c r="C59"/>
      <c r="D59"/>
      <c r="E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</row>
    <row r="60" spans="1:78">
      <c r="A60" s="72"/>
      <c r="B60"/>
      <c r="C60"/>
      <c r="D60"/>
      <c r="E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</row>
    <row r="61" spans="1:78">
      <c r="A61" s="72"/>
      <c r="B61"/>
      <c r="C61"/>
      <c r="D61"/>
      <c r="E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</row>
    <row r="62" spans="1:78">
      <c r="A62" s="72"/>
      <c r="B62"/>
      <c r="C62"/>
      <c r="D62"/>
      <c r="E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</row>
    <row r="63" spans="1:78">
      <c r="A63" s="72"/>
      <c r="B63"/>
      <c r="C63"/>
      <c r="D63"/>
      <c r="E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</row>
    <row r="64" spans="1:78">
      <c r="A64" s="72"/>
      <c r="B64"/>
      <c r="C64"/>
      <c r="D64"/>
      <c r="E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</row>
    <row r="65" spans="1:78">
      <c r="A65" s="72"/>
      <c r="B65"/>
      <c r="C65"/>
      <c r="D65"/>
      <c r="E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</row>
    <row r="66" spans="1:78">
      <c r="A66" s="72"/>
      <c r="B66"/>
      <c r="C66"/>
      <c r="D66"/>
      <c r="E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</row>
    <row r="67" spans="1:78">
      <c r="A67" s="72"/>
      <c r="B67"/>
      <c r="C67"/>
      <c r="D67"/>
      <c r="E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</row>
    <row r="68" spans="1:78">
      <c r="A68" s="72"/>
      <c r="B68"/>
      <c r="C68"/>
      <c r="D68"/>
      <c r="E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</row>
    <row r="69" spans="1:78">
      <c r="A69" s="72"/>
      <c r="B69"/>
      <c r="C69"/>
      <c r="D69"/>
      <c r="E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</row>
    <row r="70" spans="1:78">
      <c r="A70" s="72"/>
      <c r="B70"/>
      <c r="C70"/>
      <c r="D70"/>
      <c r="E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</row>
    <row r="71" spans="1:78">
      <c r="A71" s="72"/>
      <c r="B71"/>
      <c r="C71"/>
      <c r="D71"/>
      <c r="E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</row>
    <row r="72" spans="1:78">
      <c r="A72" s="72"/>
      <c r="B72"/>
      <c r="C72"/>
      <c r="D72"/>
      <c r="E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</row>
    <row r="73" spans="1:78">
      <c r="A73" s="72"/>
      <c r="B73"/>
      <c r="C73"/>
      <c r="D73"/>
      <c r="E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</row>
    <row r="74" spans="1:78">
      <c r="A74" s="72"/>
      <c r="B74"/>
      <c r="C74"/>
      <c r="D74"/>
      <c r="E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</row>
    <row r="75" spans="1:78">
      <c r="A75" s="72"/>
      <c r="B75"/>
      <c r="C75"/>
      <c r="D75"/>
      <c r="E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</row>
    <row r="76" spans="1:78">
      <c r="A76" s="72"/>
      <c r="B76"/>
      <c r="C76"/>
      <c r="D76"/>
      <c r="E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</row>
    <row r="77" spans="1:78">
      <c r="A77" s="72"/>
      <c r="B77"/>
      <c r="C77"/>
      <c r="D77"/>
      <c r="E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</row>
    <row r="78" spans="1:78">
      <c r="A78" s="72"/>
      <c r="B78"/>
      <c r="C78"/>
      <c r="D78"/>
      <c r="E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</row>
    <row r="79" spans="1:78">
      <c r="A79" s="72"/>
      <c r="B79"/>
      <c r="C79"/>
      <c r="D79"/>
      <c r="E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</row>
    <row r="80" spans="1:78">
      <c r="A80" s="72"/>
      <c r="B80"/>
      <c r="C80"/>
      <c r="D80"/>
      <c r="E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</row>
    <row r="81" spans="1:78">
      <c r="A81" s="72"/>
      <c r="B81"/>
      <c r="C81"/>
      <c r="D81"/>
      <c r="E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</row>
    <row r="82" spans="1:78">
      <c r="A82" s="72"/>
      <c r="B82"/>
      <c r="C82"/>
      <c r="D82"/>
      <c r="E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</row>
    <row r="83" spans="1:78">
      <c r="A83" s="72"/>
      <c r="B83"/>
      <c r="C83"/>
      <c r="D83"/>
      <c r="E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</row>
    <row r="84" spans="1:78">
      <c r="A84" s="72"/>
      <c r="B84"/>
      <c r="C84"/>
      <c r="D84"/>
      <c r="E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</row>
    <row r="85" spans="1:78">
      <c r="A85" s="72"/>
      <c r="B85"/>
      <c r="C85"/>
      <c r="D85"/>
      <c r="E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</row>
    <row r="86" spans="1:78">
      <c r="A86" s="72"/>
      <c r="B86"/>
      <c r="C86"/>
      <c r="D86"/>
      <c r="E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</row>
    <row r="87" spans="1:78">
      <c r="A87" s="72"/>
      <c r="B87"/>
      <c r="C87"/>
      <c r="D87"/>
      <c r="E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</row>
    <row r="88" spans="1:78">
      <c r="A88" s="72"/>
      <c r="B88"/>
      <c r="C88"/>
      <c r="D88"/>
      <c r="E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</row>
    <row r="89" spans="1:78">
      <c r="A89" s="72"/>
      <c r="B89"/>
      <c r="C89"/>
      <c r="D89"/>
      <c r="E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</row>
    <row r="90" spans="1:78">
      <c r="A90" s="72"/>
      <c r="B90"/>
      <c r="C90"/>
      <c r="D90"/>
      <c r="E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</row>
    <row r="91" spans="1:78">
      <c r="A91" s="72"/>
      <c r="B91"/>
      <c r="C91"/>
      <c r="D91"/>
      <c r="E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</row>
    <row r="92" spans="1:78">
      <c r="A92" s="72"/>
      <c r="B92"/>
      <c r="C92"/>
      <c r="D92"/>
      <c r="E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</row>
    <row r="93" spans="1:78">
      <c r="A93" s="72"/>
      <c r="B93"/>
      <c r="C93"/>
      <c r="D93"/>
      <c r="E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</row>
    <row r="94" spans="1:78">
      <c r="A94" s="72"/>
      <c r="B94"/>
      <c r="C94"/>
      <c r="D94"/>
      <c r="E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</row>
    <row r="95" spans="1:78">
      <c r="A95" s="72"/>
      <c r="B95"/>
      <c r="C95"/>
      <c r="D95"/>
      <c r="E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</row>
    <row r="96" spans="1:78">
      <c r="A96" s="72"/>
      <c r="B96"/>
      <c r="C96"/>
      <c r="D96"/>
      <c r="E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</row>
    <row r="97" spans="1:78">
      <c r="A97" s="72"/>
      <c r="B97"/>
      <c r="C97"/>
      <c r="D97"/>
      <c r="E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</row>
    <row r="98" spans="1:78">
      <c r="A98" s="72"/>
      <c r="B98"/>
      <c r="C98"/>
      <c r="D98"/>
      <c r="E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</row>
    <row r="99" spans="1:78">
      <c r="A99" s="72"/>
      <c r="B99"/>
      <c r="C99"/>
      <c r="D99"/>
      <c r="E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</row>
    <row r="100" spans="1:78">
      <c r="A100" s="72"/>
      <c r="B100"/>
      <c r="C100"/>
      <c r="D100"/>
      <c r="E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</row>
    <row r="101" spans="1:78">
      <c r="A101" s="72"/>
      <c r="B101"/>
      <c r="C101"/>
      <c r="D101"/>
      <c r="E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</row>
    <row r="102" spans="1:78">
      <c r="A102" s="72"/>
      <c r="B102"/>
      <c r="C102"/>
      <c r="D102"/>
      <c r="E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</row>
    <row r="103" spans="1:78">
      <c r="A103" s="72"/>
      <c r="B103"/>
      <c r="C103"/>
      <c r="D103"/>
      <c r="E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</row>
    <row r="104" spans="1:78">
      <c r="A104" s="72"/>
      <c r="B104"/>
      <c r="C104"/>
      <c r="D104"/>
      <c r="E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</row>
    <row r="105" spans="1:78">
      <c r="A105" s="72"/>
      <c r="B105"/>
      <c r="C105"/>
      <c r="D105"/>
      <c r="E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</row>
    <row r="106" spans="1:78">
      <c r="A106" s="72"/>
      <c r="B106"/>
      <c r="C106"/>
      <c r="D106"/>
      <c r="E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</row>
    <row r="107" spans="1:78">
      <c r="A107" s="72"/>
      <c r="B107"/>
      <c r="C107"/>
      <c r="D107"/>
      <c r="E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</row>
    <row r="108" spans="1:78">
      <c r="A108" s="72"/>
      <c r="B108"/>
      <c r="C108"/>
      <c r="D108"/>
      <c r="E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</row>
    <row r="109" spans="1:78">
      <c r="A109" s="72"/>
      <c r="B109"/>
      <c r="C109"/>
      <c r="D109"/>
      <c r="E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</row>
    <row r="110" spans="1:78">
      <c r="A110" s="72"/>
      <c r="B110"/>
      <c r="C110"/>
      <c r="D110"/>
      <c r="E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</row>
    <row r="111" spans="1:78">
      <c r="A111" s="72"/>
      <c r="B111"/>
      <c r="C111"/>
      <c r="D111"/>
      <c r="E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</row>
    <row r="112" spans="1:78">
      <c r="A112" s="72"/>
      <c r="B112"/>
      <c r="C112"/>
      <c r="D112"/>
      <c r="E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</row>
    <row r="113" spans="1:78">
      <c r="A113" s="72"/>
      <c r="B113"/>
      <c r="C113"/>
      <c r="D113"/>
      <c r="E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</row>
    <row r="114" spans="1:78">
      <c r="A114" s="72"/>
      <c r="B114"/>
      <c r="C114"/>
      <c r="D114"/>
      <c r="E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</row>
    <row r="115" spans="1:78">
      <c r="A115" s="72"/>
      <c r="B115"/>
      <c r="C115"/>
      <c r="D115"/>
      <c r="E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</row>
    <row r="116" spans="1:78">
      <c r="A116" s="72"/>
      <c r="B116"/>
      <c r="C116"/>
      <c r="D116"/>
      <c r="E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</row>
    <row r="117" spans="1:78">
      <c r="A117" s="72"/>
      <c r="B117"/>
      <c r="C117"/>
      <c r="D117"/>
      <c r="E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</row>
    <row r="118" spans="1:78">
      <c r="A118" s="72"/>
      <c r="B118"/>
      <c r="C118"/>
      <c r="D118"/>
      <c r="E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</row>
    <row r="119" spans="1:78">
      <c r="A119" s="72"/>
      <c r="B119"/>
      <c r="C119"/>
      <c r="D119"/>
      <c r="E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</row>
    <row r="120" spans="1:78">
      <c r="A120" s="72"/>
      <c r="B120"/>
      <c r="C120"/>
      <c r="D120"/>
      <c r="E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</row>
    <row r="121" spans="1:78">
      <c r="A121" s="72"/>
      <c r="B121"/>
      <c r="C121"/>
      <c r="D121"/>
      <c r="E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</row>
    <row r="122" spans="1:78">
      <c r="A122" s="72"/>
      <c r="B122"/>
      <c r="C122"/>
      <c r="D122"/>
      <c r="E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</row>
    <row r="123" spans="1:78">
      <c r="A123" s="72"/>
      <c r="B123"/>
      <c r="C123"/>
      <c r="D123"/>
      <c r="E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</row>
    <row r="124" spans="1:78">
      <c r="A124" s="72"/>
      <c r="B124"/>
      <c r="C124"/>
      <c r="D124"/>
      <c r="E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</row>
    <row r="125" spans="1:78">
      <c r="A125" s="72"/>
      <c r="B125"/>
      <c r="C125"/>
      <c r="D125"/>
      <c r="E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</row>
    <row r="126" spans="1:78">
      <c r="A126" s="72"/>
      <c r="B126"/>
      <c r="C126"/>
      <c r="D126"/>
      <c r="E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</row>
    <row r="127" spans="1:78">
      <c r="A127" s="72"/>
      <c r="B127"/>
      <c r="C127"/>
      <c r="D127"/>
      <c r="E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</row>
    <row r="128" spans="1:78">
      <c r="A128" s="72"/>
      <c r="B128"/>
      <c r="C128"/>
      <c r="D128"/>
      <c r="E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</row>
    <row r="129" spans="1:78">
      <c r="A129" s="72"/>
      <c r="B129"/>
      <c r="C129"/>
      <c r="D129"/>
      <c r="E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</row>
    <row r="130" spans="1:78">
      <c r="A130" s="72"/>
      <c r="B130"/>
      <c r="C130"/>
      <c r="D130"/>
      <c r="E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</row>
    <row r="131" spans="1:78">
      <c r="A131" s="72"/>
      <c r="B131"/>
      <c r="C131"/>
      <c r="D131"/>
      <c r="E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</row>
    <row r="132" spans="1:78">
      <c r="A132" s="72"/>
      <c r="B132"/>
      <c r="C132"/>
      <c r="D132"/>
      <c r="E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</row>
    <row r="133" spans="1:78">
      <c r="A133" s="72"/>
      <c r="B133"/>
      <c r="C133"/>
      <c r="D133"/>
      <c r="E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</row>
    <row r="134" spans="1:78">
      <c r="A134" s="72"/>
      <c r="B134"/>
      <c r="C134"/>
      <c r="D134"/>
      <c r="E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</row>
    <row r="135" spans="1:78">
      <c r="A135" s="72"/>
      <c r="B135"/>
      <c r="C135"/>
      <c r="D135"/>
      <c r="E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</row>
    <row r="136" spans="1:78">
      <c r="A136" s="72"/>
      <c r="B136"/>
      <c r="C136"/>
      <c r="D136"/>
      <c r="E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</row>
    <row r="137" spans="1:78">
      <c r="A137" s="72"/>
      <c r="B137"/>
      <c r="C137"/>
      <c r="D137"/>
      <c r="E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</row>
    <row r="138" spans="1:78">
      <c r="A138" s="72"/>
      <c r="B138"/>
      <c r="C138"/>
      <c r="D138"/>
      <c r="E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</row>
    <row r="139" spans="1:78">
      <c r="A139" s="72"/>
      <c r="B139"/>
      <c r="C139"/>
      <c r="D139"/>
      <c r="E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</row>
    <row r="140" spans="1:78">
      <c r="A140" s="72"/>
      <c r="B140"/>
      <c r="C140"/>
      <c r="D140"/>
      <c r="E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</row>
    <row r="141" spans="1:78">
      <c r="A141" s="72"/>
      <c r="B141"/>
      <c r="C141"/>
      <c r="D141"/>
      <c r="E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</row>
    <row r="142" spans="1:78">
      <c r="A142" s="72"/>
      <c r="B142"/>
      <c r="C142"/>
      <c r="D142"/>
      <c r="E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</row>
    <row r="143" spans="1:78">
      <c r="A143" s="72"/>
      <c r="B143"/>
      <c r="C143"/>
      <c r="D143"/>
      <c r="E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</row>
    <row r="144" spans="1:78">
      <c r="A144" s="72"/>
      <c r="B144"/>
      <c r="C144"/>
      <c r="D144"/>
      <c r="E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</row>
    <row r="145" spans="1:78">
      <c r="A145" s="72"/>
      <c r="B145"/>
      <c r="C145"/>
      <c r="D145"/>
      <c r="E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</row>
    <row r="146" spans="1:78">
      <c r="A146" s="72"/>
      <c r="B146"/>
      <c r="C146"/>
      <c r="D146"/>
      <c r="E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</row>
    <row r="147" spans="1:78">
      <c r="A147" s="72"/>
      <c r="B147"/>
      <c r="C147"/>
      <c r="D147"/>
      <c r="E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</row>
    <row r="148" spans="1:78">
      <c r="A148" s="72"/>
      <c r="B148"/>
      <c r="C148"/>
      <c r="D148"/>
      <c r="E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</row>
    <row r="149" spans="1:78">
      <c r="A149" s="72"/>
      <c r="B149"/>
      <c r="C149"/>
      <c r="D149"/>
      <c r="E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</row>
    <row r="150" spans="1:78">
      <c r="A150" s="72"/>
      <c r="B150"/>
      <c r="C150"/>
      <c r="D150"/>
      <c r="E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</row>
    <row r="151" spans="1:78">
      <c r="A151" s="72"/>
      <c r="B151"/>
      <c r="C151"/>
      <c r="D151"/>
      <c r="E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</row>
    <row r="152" spans="1:78">
      <c r="A152" s="72"/>
      <c r="B152"/>
      <c r="C152"/>
      <c r="D152"/>
      <c r="E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</row>
    <row r="153" spans="1:78">
      <c r="A153" s="72"/>
      <c r="B153"/>
      <c r="C153"/>
      <c r="D153"/>
      <c r="E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</row>
    <row r="154" spans="1:78">
      <c r="A154" s="72"/>
      <c r="B154"/>
      <c r="C154"/>
      <c r="D154"/>
      <c r="E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</row>
    <row r="155" spans="1:78">
      <c r="A155" s="72"/>
      <c r="B155"/>
      <c r="C155"/>
      <c r="D155"/>
      <c r="E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</row>
    <row r="156" spans="1:78">
      <c r="A156" s="72"/>
      <c r="B156"/>
      <c r="C156"/>
      <c r="D156"/>
      <c r="E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</row>
    <row r="157" spans="1:78">
      <c r="A157" s="72"/>
      <c r="B157"/>
      <c r="C157"/>
      <c r="D157"/>
      <c r="E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</row>
    <row r="158" spans="1:78">
      <c r="A158" s="72"/>
      <c r="B158"/>
      <c r="C158"/>
      <c r="D158"/>
      <c r="E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</row>
    <row r="159" spans="1:78">
      <c r="A159" s="72"/>
      <c r="B159"/>
      <c r="C159"/>
      <c r="D159"/>
      <c r="E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</row>
    <row r="160" spans="1:78">
      <c r="A160" s="72"/>
      <c r="B160"/>
      <c r="C160"/>
      <c r="D160"/>
      <c r="E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</row>
    <row r="161" spans="1:78">
      <c r="A161" s="72"/>
      <c r="B161"/>
      <c r="C161"/>
      <c r="D161"/>
      <c r="E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</row>
    <row r="162" spans="1:78">
      <c r="A162" s="72"/>
      <c r="B162"/>
      <c r="C162"/>
      <c r="D162"/>
      <c r="E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</row>
    <row r="163" spans="1:78">
      <c r="A163" s="72"/>
      <c r="B163"/>
      <c r="C163"/>
      <c r="D163"/>
      <c r="E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</row>
    <row r="164" spans="1:78">
      <c r="A164" s="72"/>
      <c r="B164"/>
      <c r="C164"/>
      <c r="D164"/>
      <c r="E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</row>
    <row r="165" spans="1:78">
      <c r="A165" s="72"/>
      <c r="B165"/>
      <c r="C165"/>
      <c r="D165"/>
      <c r="E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</row>
    <row r="166" spans="1:78">
      <c r="A166" s="72"/>
      <c r="B166"/>
      <c r="C166"/>
      <c r="D166"/>
      <c r="E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</row>
    <row r="167" spans="1:78">
      <c r="A167" s="72"/>
      <c r="B167"/>
      <c r="C167"/>
      <c r="D167"/>
      <c r="E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</row>
    <row r="168" spans="1:78">
      <c r="A168" s="72"/>
      <c r="B168"/>
      <c r="C168"/>
      <c r="D168"/>
      <c r="E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</row>
    <row r="169" spans="1:78">
      <c r="A169" s="72"/>
      <c r="B169"/>
      <c r="C169"/>
      <c r="D169"/>
      <c r="E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</row>
    <row r="170" spans="1:78">
      <c r="A170" s="72"/>
      <c r="B170"/>
      <c r="C170"/>
      <c r="D170"/>
      <c r="E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</row>
    <row r="171" spans="1:78">
      <c r="A171" s="72"/>
      <c r="B171"/>
      <c r="C171"/>
      <c r="D171"/>
      <c r="E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</row>
    <row r="172" spans="1:78">
      <c r="A172" s="72"/>
      <c r="B172"/>
      <c r="C172"/>
      <c r="D172"/>
      <c r="E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</row>
    <row r="173" spans="1:78">
      <c r="A173" s="72"/>
      <c r="B173"/>
      <c r="C173"/>
      <c r="D173"/>
      <c r="E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</row>
    <row r="174" spans="1:78">
      <c r="A174" s="72"/>
      <c r="B174"/>
      <c r="C174"/>
      <c r="D174"/>
      <c r="E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</row>
    <row r="175" spans="1:78">
      <c r="A175" s="72"/>
      <c r="B175"/>
      <c r="C175"/>
      <c r="D175"/>
      <c r="E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</row>
    <row r="176" spans="1:78">
      <c r="A176" s="72"/>
      <c r="B176"/>
      <c r="C176"/>
      <c r="D176"/>
      <c r="E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</row>
    <row r="177" spans="1:78">
      <c r="A177" s="72"/>
      <c r="B177"/>
      <c r="C177"/>
      <c r="D177"/>
      <c r="E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</row>
    <row r="178" spans="1:78">
      <c r="A178" s="72"/>
      <c r="B178"/>
      <c r="C178"/>
      <c r="D178"/>
      <c r="E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</row>
    <row r="179" spans="1:78">
      <c r="A179" s="72"/>
      <c r="B179"/>
      <c r="C179"/>
      <c r="D179"/>
      <c r="E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</row>
    <row r="180" spans="1:78">
      <c r="A180" s="72"/>
      <c r="B180"/>
      <c r="C180"/>
      <c r="D180"/>
      <c r="E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</row>
    <row r="181" spans="1:78">
      <c r="A181" s="72"/>
      <c r="B181"/>
      <c r="C181"/>
      <c r="D181"/>
      <c r="E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</row>
    <row r="182" spans="1:78">
      <c r="A182" s="72"/>
      <c r="B182"/>
      <c r="C182"/>
      <c r="D182"/>
      <c r="E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</row>
    <row r="183" spans="1:78">
      <c r="A183" s="72"/>
      <c r="B183"/>
      <c r="C183"/>
      <c r="D183"/>
      <c r="E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</row>
    <row r="184" spans="1:78">
      <c r="A184" s="72"/>
      <c r="B184"/>
      <c r="C184"/>
      <c r="D184"/>
      <c r="E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</row>
    <row r="185" spans="1:78">
      <c r="A185" s="72"/>
      <c r="B185"/>
      <c r="C185"/>
      <c r="D185"/>
      <c r="E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</row>
    <row r="186" spans="1:78">
      <c r="A186" s="72"/>
      <c r="B186"/>
      <c r="C186"/>
      <c r="D186"/>
      <c r="E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</row>
    <row r="187" spans="1:78">
      <c r="A187" s="72"/>
      <c r="B187"/>
      <c r="C187"/>
      <c r="D187"/>
      <c r="E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</row>
    <row r="188" spans="1:78">
      <c r="A188" s="72"/>
      <c r="B188"/>
      <c r="C188"/>
      <c r="D188"/>
      <c r="E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</row>
    <row r="189" spans="1:78">
      <c r="A189" s="72"/>
      <c r="B189"/>
      <c r="C189"/>
      <c r="D189"/>
      <c r="E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</row>
    <row r="190" spans="1:78">
      <c r="A190" s="72"/>
      <c r="B190"/>
      <c r="C190"/>
      <c r="D190"/>
      <c r="E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</row>
    <row r="191" spans="1:78">
      <c r="A191" s="72"/>
      <c r="B191"/>
      <c r="C191"/>
      <c r="D191"/>
      <c r="E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</row>
    <row r="192" spans="1:78">
      <c r="A192" s="72"/>
      <c r="B192"/>
      <c r="C192"/>
      <c r="D192"/>
      <c r="E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</row>
    <row r="193" spans="1:78">
      <c r="A193" s="72"/>
      <c r="B193"/>
      <c r="C193"/>
      <c r="D193"/>
      <c r="E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</row>
    <row r="194" spans="1:78">
      <c r="A194" s="72"/>
      <c r="B194"/>
      <c r="C194"/>
      <c r="D194"/>
      <c r="E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</row>
    <row r="195" spans="1:78">
      <c r="A195" s="72"/>
      <c r="B195"/>
      <c r="C195"/>
      <c r="D195"/>
      <c r="E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</row>
    <row r="196" spans="1:78">
      <c r="A196" s="72"/>
      <c r="B196"/>
      <c r="C196"/>
      <c r="D196"/>
      <c r="E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</row>
    <row r="197" spans="1:78">
      <c r="A197" s="72"/>
      <c r="B197"/>
      <c r="C197"/>
      <c r="D197"/>
      <c r="E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</row>
    <row r="198" spans="1:78">
      <c r="A198" s="72"/>
      <c r="B198"/>
      <c r="C198"/>
      <c r="D198"/>
      <c r="E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</row>
    <row r="199" spans="1:78">
      <c r="A199" s="72"/>
      <c r="B199"/>
      <c r="C199"/>
      <c r="D199"/>
      <c r="E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</row>
    <row r="200" spans="1:78">
      <c r="A200" s="72"/>
      <c r="B200"/>
      <c r="C200"/>
      <c r="D200"/>
      <c r="E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</row>
    <row r="201" spans="1:78">
      <c r="A201" s="72"/>
      <c r="B201"/>
      <c r="C201"/>
      <c r="D201"/>
      <c r="E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</row>
    <row r="202" spans="1:78">
      <c r="A202" s="72"/>
      <c r="B202"/>
      <c r="C202"/>
      <c r="D202"/>
      <c r="E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</row>
    <row r="203" spans="1:78">
      <c r="A203" s="72"/>
      <c r="B203"/>
      <c r="C203"/>
      <c r="D203"/>
      <c r="E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</row>
    <row r="204" spans="1:78">
      <c r="A204" s="72"/>
      <c r="B204"/>
      <c r="C204"/>
      <c r="D204"/>
      <c r="E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</row>
    <row r="205" spans="1:78">
      <c r="A205" s="72"/>
      <c r="B205"/>
      <c r="C205"/>
      <c r="D205"/>
      <c r="E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</row>
    <row r="206" spans="1:78">
      <c r="A206" s="72"/>
      <c r="B206"/>
      <c r="C206"/>
      <c r="D206"/>
      <c r="E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</row>
    <row r="207" spans="1:78">
      <c r="A207" s="72"/>
      <c r="B207"/>
      <c r="C207"/>
      <c r="D207"/>
      <c r="E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</row>
    <row r="208" spans="1:78">
      <c r="A208" s="72"/>
      <c r="B208"/>
      <c r="C208"/>
      <c r="D208"/>
      <c r="E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</row>
    <row r="209" spans="1:78">
      <c r="A209" s="72"/>
      <c r="B209"/>
      <c r="C209"/>
      <c r="D209"/>
      <c r="E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</row>
    <row r="210" spans="1:78">
      <c r="A210" s="72"/>
      <c r="B210"/>
      <c r="C210"/>
      <c r="D210"/>
      <c r="E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</row>
    <row r="211" spans="1:78">
      <c r="A211" s="72"/>
      <c r="B211"/>
      <c r="C211"/>
      <c r="D211"/>
      <c r="E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</row>
    <row r="212" spans="1:78">
      <c r="A212" s="72"/>
      <c r="B212"/>
      <c r="C212"/>
      <c r="D212"/>
      <c r="E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</row>
    <row r="213" spans="1:78">
      <c r="A213" s="72"/>
      <c r="B213"/>
      <c r="C213"/>
      <c r="D213"/>
      <c r="E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</row>
    <row r="214" spans="1:78">
      <c r="A214" s="72"/>
      <c r="B214"/>
      <c r="C214"/>
      <c r="D214"/>
      <c r="E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</row>
    <row r="215" spans="1:78">
      <c r="A215" s="72"/>
      <c r="B215"/>
      <c r="C215"/>
      <c r="D215"/>
      <c r="E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</row>
    <row r="216" spans="1:78">
      <c r="A216" s="72"/>
      <c r="B216"/>
      <c r="C216"/>
      <c r="D216"/>
      <c r="E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</row>
    <row r="217" spans="1:78">
      <c r="A217" s="72"/>
      <c r="B217"/>
      <c r="C217"/>
      <c r="D217"/>
      <c r="E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</row>
    <row r="218" spans="1:78">
      <c r="A218" s="72"/>
      <c r="B218"/>
      <c r="C218"/>
      <c r="D218"/>
      <c r="E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</row>
    <row r="219" spans="1:78">
      <c r="A219" s="72"/>
      <c r="B219"/>
      <c r="C219"/>
      <c r="D219"/>
      <c r="E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</row>
    <row r="220" spans="1:78">
      <c r="A220" s="72"/>
      <c r="B220"/>
      <c r="C220"/>
      <c r="D220"/>
      <c r="E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</row>
    <row r="221" spans="1:78">
      <c r="A221" s="72"/>
      <c r="B221"/>
      <c r="C221"/>
      <c r="D221"/>
      <c r="E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</row>
    <row r="222" spans="1:78">
      <c r="A222" s="72"/>
      <c r="B222"/>
      <c r="C222"/>
      <c r="D222"/>
      <c r="E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</row>
    <row r="223" spans="1:78">
      <c r="A223" s="72"/>
      <c r="B223"/>
      <c r="C223"/>
      <c r="D223"/>
      <c r="E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</row>
    <row r="224" spans="1:78">
      <c r="A224" s="72"/>
      <c r="B224"/>
      <c r="C224"/>
      <c r="D224"/>
      <c r="E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</row>
    <row r="225" spans="1:78">
      <c r="A225" s="72"/>
      <c r="B225"/>
      <c r="C225"/>
      <c r="D225"/>
      <c r="E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</row>
    <row r="226" spans="1:78">
      <c r="A226" s="72"/>
      <c r="B226"/>
      <c r="C226"/>
      <c r="D226"/>
      <c r="E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</row>
    <row r="227" spans="1:78">
      <c r="A227" s="72"/>
      <c r="B227"/>
      <c r="C227"/>
      <c r="D227"/>
      <c r="E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</row>
    <row r="228" spans="1:78">
      <c r="A228" s="72"/>
      <c r="B228"/>
      <c r="C228"/>
      <c r="D228"/>
      <c r="E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</row>
    <row r="229" spans="1:78">
      <c r="A229" s="72"/>
      <c r="B229"/>
      <c r="C229"/>
      <c r="D229"/>
      <c r="E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</row>
    <row r="230" spans="1:78">
      <c r="A230" s="72"/>
      <c r="B230"/>
      <c r="C230"/>
      <c r="D230"/>
      <c r="E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</row>
    <row r="231" spans="1:78">
      <c r="A231" s="72"/>
      <c r="B231"/>
      <c r="C231"/>
      <c r="D231"/>
      <c r="E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</row>
    <row r="232" spans="1:78">
      <c r="A232" s="72"/>
      <c r="B232"/>
      <c r="C232"/>
      <c r="D232"/>
      <c r="E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</row>
    <row r="233" spans="1:78">
      <c r="A233" s="72"/>
      <c r="B233"/>
      <c r="C233"/>
      <c r="D233"/>
      <c r="E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</row>
    <row r="234" spans="1:78">
      <c r="A234" s="72"/>
      <c r="B234"/>
      <c r="C234"/>
      <c r="D234"/>
      <c r="E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</row>
    <row r="235" spans="1:78">
      <c r="A235" s="72"/>
      <c r="B235"/>
      <c r="C235"/>
      <c r="D235"/>
      <c r="E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</row>
    <row r="236" spans="1:78">
      <c r="A236" s="72"/>
      <c r="B236"/>
      <c r="C236"/>
      <c r="D236"/>
      <c r="E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</row>
    <row r="237" spans="1:78">
      <c r="A237" s="72"/>
      <c r="B237"/>
      <c r="C237"/>
      <c r="D237"/>
      <c r="E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</row>
    <row r="238" spans="1:78">
      <c r="A238" s="72"/>
      <c r="B238"/>
      <c r="C238"/>
      <c r="D238"/>
      <c r="E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</row>
    <row r="239" spans="1:78">
      <c r="A239" s="72"/>
      <c r="B239"/>
      <c r="C239"/>
      <c r="D239"/>
      <c r="E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</row>
    <row r="240" spans="1:78">
      <c r="A240" s="72"/>
      <c r="B240"/>
      <c r="C240"/>
      <c r="D240"/>
      <c r="E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</row>
    <row r="241" spans="1:78">
      <c r="A241" s="72"/>
      <c r="B241"/>
      <c r="C241"/>
      <c r="D241"/>
      <c r="E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</row>
    <row r="242" spans="1:78">
      <c r="A242" s="72"/>
      <c r="B242"/>
      <c r="C242"/>
      <c r="D242"/>
      <c r="E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</row>
    <row r="243" spans="1:78">
      <c r="A243" s="72"/>
      <c r="B243"/>
      <c r="C243"/>
      <c r="D243"/>
      <c r="E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</row>
    <row r="244" spans="1:78">
      <c r="A244" s="72"/>
      <c r="B244"/>
      <c r="C244"/>
      <c r="D244"/>
      <c r="E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</row>
    <row r="245" spans="1:78">
      <c r="A245" s="72"/>
      <c r="B245"/>
      <c r="C245"/>
      <c r="D245"/>
      <c r="E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</row>
    <row r="246" spans="1:78">
      <c r="A246" s="72"/>
      <c r="B246"/>
      <c r="C246"/>
      <c r="D246"/>
      <c r="E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</row>
    <row r="247" spans="1:78">
      <c r="A247" s="72"/>
      <c r="B247"/>
      <c r="C247"/>
      <c r="D247"/>
      <c r="E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</row>
    <row r="248" spans="1:78">
      <c r="A248" s="72"/>
      <c r="B248"/>
      <c r="C248"/>
      <c r="D248"/>
      <c r="E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</row>
    <row r="249" spans="1:78">
      <c r="A249" s="72"/>
      <c r="B249"/>
      <c r="C249"/>
      <c r="D249"/>
      <c r="E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</row>
    <row r="250" spans="1:78">
      <c r="A250" s="72"/>
      <c r="B250"/>
      <c r="C250"/>
      <c r="D250"/>
      <c r="E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</row>
    <row r="251" spans="1:78">
      <c r="A251" s="72"/>
      <c r="B251"/>
      <c r="C251"/>
      <c r="D251"/>
      <c r="E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</row>
    <row r="252" spans="1:78">
      <c r="A252" s="72"/>
      <c r="B252"/>
      <c r="C252"/>
      <c r="D252"/>
      <c r="E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</row>
    <row r="253" spans="1:78">
      <c r="A253" s="72"/>
      <c r="B253"/>
      <c r="C253"/>
      <c r="D253"/>
      <c r="E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</row>
    <row r="254" spans="1:78">
      <c r="A254" s="72"/>
      <c r="B254"/>
      <c r="C254"/>
      <c r="D254"/>
      <c r="E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</row>
    <row r="255" spans="1:78">
      <c r="A255" s="72"/>
      <c r="B255"/>
      <c r="C255"/>
      <c r="D255"/>
      <c r="E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</row>
    <row r="256" spans="1:78">
      <c r="A256" s="72"/>
      <c r="B256"/>
      <c r="C256"/>
      <c r="D256"/>
      <c r="E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</row>
    <row r="257" spans="1:78">
      <c r="A257" s="72"/>
      <c r="B257"/>
      <c r="C257"/>
      <c r="D257"/>
      <c r="E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</row>
    <row r="258" spans="1:78">
      <c r="A258" s="72"/>
      <c r="B258"/>
      <c r="C258"/>
      <c r="D258"/>
      <c r="E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</row>
    <row r="259" spans="1:78">
      <c r="A259" s="72"/>
      <c r="B259"/>
      <c r="C259"/>
      <c r="D259"/>
      <c r="E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</row>
    <row r="260" spans="1:78">
      <c r="A260" s="72"/>
      <c r="B260"/>
      <c r="C260"/>
      <c r="D260"/>
      <c r="E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</row>
    <row r="261" spans="1:78">
      <c r="A261" s="72"/>
      <c r="B261"/>
      <c r="C261"/>
      <c r="D261"/>
      <c r="E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</row>
    <row r="262" spans="1:78">
      <c r="A262" s="72"/>
      <c r="B262"/>
      <c r="C262"/>
      <c r="D262"/>
      <c r="E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</row>
    <row r="263" spans="1:78">
      <c r="A263" s="72"/>
      <c r="B263"/>
      <c r="C263"/>
      <c r="D263"/>
      <c r="E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</row>
    <row r="264" spans="1:78">
      <c r="A264" s="72"/>
      <c r="B264"/>
      <c r="C264"/>
      <c r="D264"/>
      <c r="E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</row>
    <row r="265" spans="1:78">
      <c r="A265" s="72"/>
      <c r="B265"/>
      <c r="C265"/>
      <c r="D265"/>
      <c r="E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</row>
    <row r="266" spans="1:78">
      <c r="A266" s="72"/>
      <c r="B266"/>
      <c r="C266"/>
      <c r="D266"/>
      <c r="E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</row>
    <row r="267" spans="1:78">
      <c r="A267" s="72"/>
      <c r="B267"/>
      <c r="C267"/>
      <c r="D267"/>
      <c r="E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</row>
    <row r="268" spans="1:78">
      <c r="A268" s="72"/>
      <c r="B268"/>
      <c r="C268"/>
      <c r="D268"/>
      <c r="E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</row>
    <row r="269" spans="1:78">
      <c r="A269" s="72"/>
      <c r="B269"/>
      <c r="C269"/>
      <c r="D269"/>
      <c r="E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</row>
    <row r="270" spans="1:78">
      <c r="A270" s="72"/>
      <c r="B270"/>
      <c r="C270"/>
      <c r="D270"/>
      <c r="E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</row>
    <row r="271" spans="1:78">
      <c r="A271" s="72"/>
      <c r="B271"/>
      <c r="C271"/>
      <c r="D271"/>
      <c r="E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</row>
    <row r="272" spans="1:78">
      <c r="A272" s="72"/>
      <c r="B272"/>
      <c r="C272"/>
      <c r="D272"/>
      <c r="E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</row>
    <row r="273" spans="1:78">
      <c r="A273" s="72"/>
      <c r="B273"/>
      <c r="C273"/>
      <c r="D273"/>
      <c r="E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</row>
    <row r="274" spans="1:78">
      <c r="A274" s="72"/>
      <c r="B274"/>
      <c r="C274"/>
      <c r="D274"/>
      <c r="E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</row>
    <row r="275" spans="1:78">
      <c r="A275" s="72"/>
      <c r="B275"/>
      <c r="C275"/>
      <c r="D275"/>
      <c r="E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</row>
    <row r="276" spans="1:78">
      <c r="A276" s="72"/>
      <c r="B276"/>
      <c r="C276"/>
      <c r="D276"/>
      <c r="E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</row>
    <row r="277" spans="1:78">
      <c r="A277" s="72"/>
      <c r="B277"/>
      <c r="C277"/>
      <c r="D277"/>
      <c r="E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</row>
    <row r="278" spans="1:78">
      <c r="A278" s="72"/>
      <c r="B278"/>
      <c r="C278"/>
      <c r="D278"/>
      <c r="E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</row>
    <row r="279" spans="1:78">
      <c r="A279" s="72"/>
      <c r="B279"/>
      <c r="C279"/>
      <c r="D279"/>
      <c r="E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</row>
    <row r="280" spans="1:78">
      <c r="A280" s="72"/>
      <c r="B280"/>
      <c r="C280"/>
      <c r="D280"/>
      <c r="E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</row>
    <row r="281" spans="1:78">
      <c r="A281" s="72"/>
      <c r="B281"/>
      <c r="C281"/>
      <c r="D281"/>
      <c r="E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</row>
    <row r="282" spans="1:78">
      <c r="A282" s="72"/>
      <c r="B282"/>
      <c r="C282"/>
      <c r="D282"/>
      <c r="E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</row>
    <row r="283" spans="1:78">
      <c r="A283" s="72"/>
      <c r="B283"/>
      <c r="C283"/>
      <c r="D283"/>
      <c r="E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</row>
    <row r="284" spans="1:78">
      <c r="A284" s="72"/>
      <c r="B284"/>
      <c r="C284"/>
      <c r="D284"/>
      <c r="E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</row>
    <row r="285" spans="1:78">
      <c r="A285" s="72"/>
      <c r="B285"/>
      <c r="C285"/>
      <c r="D285"/>
      <c r="E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</row>
    <row r="286" spans="1:78">
      <c r="A286" s="72"/>
      <c r="B286"/>
      <c r="C286"/>
      <c r="D286"/>
      <c r="E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</row>
    <row r="287" spans="1:78">
      <c r="A287" s="72"/>
      <c r="B287"/>
      <c r="C287"/>
      <c r="D287"/>
      <c r="E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</row>
    <row r="288" spans="1:78">
      <c r="A288" s="72"/>
      <c r="B288"/>
      <c r="C288"/>
      <c r="D288"/>
      <c r="E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</row>
    <row r="289" spans="1:78">
      <c r="A289" s="72"/>
      <c r="B289"/>
      <c r="C289"/>
      <c r="D289"/>
      <c r="E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</row>
    <row r="290" spans="1:78">
      <c r="A290" s="72"/>
      <c r="B290"/>
      <c r="C290"/>
      <c r="D290"/>
      <c r="E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</row>
    <row r="291" spans="1:78">
      <c r="A291" s="72"/>
      <c r="B291"/>
      <c r="C291"/>
      <c r="D291"/>
      <c r="E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</row>
    <row r="292" spans="1:78">
      <c r="A292" s="72"/>
      <c r="B292"/>
      <c r="C292"/>
      <c r="D292"/>
      <c r="E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</row>
    <row r="293" spans="1:78">
      <c r="A293" s="72"/>
      <c r="B293"/>
      <c r="C293"/>
      <c r="D293"/>
      <c r="E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</row>
    <row r="294" spans="1:78">
      <c r="A294" s="72"/>
      <c r="B294"/>
      <c r="C294"/>
      <c r="D294"/>
      <c r="E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</row>
    <row r="295" spans="1:78">
      <c r="A295" s="72"/>
      <c r="B295"/>
      <c r="C295"/>
      <c r="D295"/>
      <c r="E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</row>
    <row r="296" spans="1:78">
      <c r="A296" s="72"/>
      <c r="B296"/>
      <c r="C296"/>
      <c r="D296"/>
      <c r="E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</row>
    <row r="297" spans="1:78">
      <c r="A297" s="72"/>
      <c r="B297"/>
      <c r="C297"/>
      <c r="D297"/>
      <c r="E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</row>
    <row r="298" spans="1:78">
      <c r="A298" s="72"/>
      <c r="B298"/>
      <c r="C298"/>
      <c r="D298"/>
      <c r="E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</row>
    <row r="299" spans="1:78">
      <c r="A299" s="72"/>
      <c r="B299"/>
      <c r="C299"/>
      <c r="D299"/>
      <c r="E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</row>
    <row r="300" spans="1:78">
      <c r="A300" s="72"/>
      <c r="B300"/>
      <c r="C300"/>
      <c r="D300"/>
      <c r="E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</row>
    <row r="301" spans="1:78">
      <c r="A301" s="72"/>
      <c r="B301"/>
      <c r="C301"/>
      <c r="D301"/>
      <c r="E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</row>
    <row r="302" spans="1:78">
      <c r="A302" s="72"/>
      <c r="B302"/>
      <c r="C302"/>
      <c r="D302"/>
      <c r="E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</row>
    <row r="303" spans="1:78">
      <c r="A303" s="72"/>
      <c r="B303"/>
      <c r="C303"/>
      <c r="D303"/>
      <c r="E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</row>
    <row r="304" spans="1:78">
      <c r="A304" s="72"/>
      <c r="B304"/>
      <c r="C304"/>
      <c r="D304"/>
      <c r="E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</row>
    <row r="305" spans="1:78">
      <c r="A305" s="72"/>
      <c r="B305"/>
      <c r="C305"/>
      <c r="D305"/>
      <c r="E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</row>
    <row r="306" spans="1:78">
      <c r="A306" s="72"/>
      <c r="B306"/>
      <c r="C306"/>
      <c r="D306"/>
      <c r="E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</row>
    <row r="307" spans="1:78">
      <c r="A307" s="72"/>
      <c r="B307"/>
      <c r="C307"/>
      <c r="D307"/>
      <c r="E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</row>
    <row r="308" spans="1:78">
      <c r="A308" s="72"/>
      <c r="B308"/>
      <c r="C308"/>
      <c r="D308"/>
      <c r="E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</row>
    <row r="309" spans="1:78">
      <c r="A309" s="72"/>
      <c r="B309"/>
      <c r="C309"/>
      <c r="D309"/>
      <c r="E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</row>
    <row r="310" spans="1:78">
      <c r="A310" s="72"/>
      <c r="B310"/>
      <c r="C310"/>
      <c r="D310"/>
      <c r="E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</row>
    <row r="311" spans="1:78">
      <c r="A311" s="72"/>
      <c r="B311"/>
      <c r="C311"/>
      <c r="D311"/>
      <c r="E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</row>
    <row r="312" spans="1:78">
      <c r="A312" s="72"/>
      <c r="B312"/>
      <c r="C312"/>
      <c r="D312"/>
      <c r="E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</row>
    <row r="313" spans="1:78">
      <c r="A313" s="72"/>
      <c r="B313"/>
      <c r="C313"/>
      <c r="D313"/>
      <c r="E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</row>
    <row r="314" spans="1:78">
      <c r="A314" s="72"/>
      <c r="B314"/>
      <c r="C314"/>
      <c r="D314"/>
      <c r="E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</row>
    <row r="315" spans="1:78">
      <c r="A315" s="72"/>
      <c r="B315"/>
      <c r="C315"/>
      <c r="D315"/>
      <c r="E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</row>
    <row r="316" spans="1:78">
      <c r="A316" s="72"/>
      <c r="B316"/>
      <c r="C316"/>
      <c r="D316"/>
      <c r="E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</row>
    <row r="317" spans="1:78">
      <c r="A317" s="72"/>
      <c r="B317"/>
      <c r="C317"/>
      <c r="D317"/>
      <c r="E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</row>
    <row r="318" spans="1:78">
      <c r="A318" s="72"/>
      <c r="B318"/>
      <c r="C318"/>
      <c r="D318"/>
      <c r="E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</row>
    <row r="319" spans="1:78">
      <c r="A319" s="72"/>
      <c r="B319"/>
      <c r="C319"/>
      <c r="D319"/>
      <c r="E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</row>
    <row r="320" spans="1:78">
      <c r="A320" s="72"/>
      <c r="B320"/>
      <c r="C320"/>
      <c r="D320"/>
      <c r="E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</row>
    <row r="321" spans="1:78">
      <c r="A321" s="72"/>
      <c r="B321"/>
      <c r="C321"/>
      <c r="D321"/>
      <c r="E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</row>
    <row r="322" spans="1:78">
      <c r="A322" s="72"/>
      <c r="B322"/>
      <c r="C322"/>
      <c r="D322"/>
      <c r="E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</row>
    <row r="323" spans="1:78">
      <c r="A323" s="72"/>
      <c r="B323"/>
      <c r="C323"/>
      <c r="D323"/>
      <c r="E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</row>
    <row r="324" spans="1:78">
      <c r="A324" s="72"/>
      <c r="B324"/>
      <c r="C324"/>
      <c r="D324"/>
      <c r="E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</row>
    <row r="325" spans="1:78">
      <c r="A325" s="72"/>
      <c r="B325"/>
      <c r="C325"/>
      <c r="D325"/>
      <c r="E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</row>
    <row r="326" spans="1:78">
      <c r="A326" s="72"/>
      <c r="B326"/>
      <c r="C326"/>
      <c r="D326"/>
      <c r="E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</row>
    <row r="327" spans="1:78">
      <c r="A327" s="72"/>
      <c r="B327"/>
      <c r="C327"/>
      <c r="D327"/>
      <c r="E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</row>
    <row r="328" spans="1:78">
      <c r="A328" s="72"/>
      <c r="B328"/>
      <c r="C328"/>
      <c r="D328"/>
      <c r="E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</row>
    <row r="329" spans="1:78">
      <c r="A329" s="72"/>
      <c r="B329"/>
      <c r="C329"/>
      <c r="D329"/>
      <c r="E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</row>
    <row r="330" spans="1:78">
      <c r="A330" s="72"/>
      <c r="B330"/>
      <c r="C330"/>
      <c r="D330"/>
      <c r="E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</row>
    <row r="331" spans="1:78">
      <c r="A331" s="72"/>
      <c r="B331"/>
      <c r="C331"/>
      <c r="D331"/>
      <c r="E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</row>
    <row r="332" spans="1:78">
      <c r="A332" s="72"/>
      <c r="B332"/>
      <c r="C332"/>
      <c r="D332"/>
      <c r="E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</row>
    <row r="333" spans="1:78">
      <c r="A333" s="72"/>
      <c r="B333"/>
      <c r="C333"/>
      <c r="D333"/>
      <c r="E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</row>
    <row r="334" spans="1:78">
      <c r="A334" s="72"/>
      <c r="B334"/>
      <c r="C334"/>
      <c r="D334"/>
      <c r="E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</row>
    <row r="335" spans="1:78">
      <c r="A335" s="72"/>
      <c r="B335"/>
      <c r="C335"/>
      <c r="D335"/>
      <c r="E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</row>
    <row r="336" spans="1:78">
      <c r="A336" s="72"/>
      <c r="B336"/>
      <c r="C336"/>
      <c r="D336"/>
      <c r="E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</row>
    <row r="337" spans="1:78">
      <c r="A337" s="72"/>
      <c r="B337"/>
      <c r="C337"/>
      <c r="D337"/>
      <c r="E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</row>
    <row r="338" spans="1:78">
      <c r="A338" s="72"/>
      <c r="B338"/>
      <c r="C338"/>
      <c r="D338"/>
      <c r="E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</row>
    <row r="339" spans="1:78">
      <c r="A339" s="72"/>
      <c r="B339"/>
      <c r="C339"/>
      <c r="D339"/>
      <c r="E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</row>
    <row r="340" spans="1:78">
      <c r="A340" s="72"/>
      <c r="B340"/>
      <c r="C340"/>
      <c r="D340"/>
      <c r="E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</row>
    <row r="341" spans="1:78">
      <c r="A341" s="72"/>
      <c r="B341"/>
      <c r="C341"/>
      <c r="D341"/>
      <c r="E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</row>
    <row r="342" spans="1:78">
      <c r="A342" s="72"/>
      <c r="B342"/>
      <c r="C342"/>
      <c r="D342"/>
      <c r="E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</row>
    <row r="343" spans="1:78">
      <c r="A343" s="72"/>
      <c r="B343"/>
      <c r="C343"/>
      <c r="D343"/>
      <c r="E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</row>
    <row r="344" spans="1:78">
      <c r="A344" s="72"/>
      <c r="B344"/>
      <c r="C344"/>
      <c r="D344"/>
      <c r="E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</row>
    <row r="345" spans="1:78">
      <c r="A345" s="72"/>
      <c r="B345"/>
      <c r="C345"/>
      <c r="D345"/>
      <c r="E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</row>
    <row r="346" spans="1:78">
      <c r="A346" s="72"/>
      <c r="B346"/>
      <c r="C346"/>
      <c r="D346"/>
      <c r="E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</row>
    <row r="347" spans="1:78">
      <c r="A347" s="72"/>
      <c r="B347"/>
      <c r="C347"/>
      <c r="D347"/>
      <c r="E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</row>
    <row r="348" spans="1:78">
      <c r="A348" s="72"/>
      <c r="B348"/>
      <c r="C348"/>
      <c r="D348"/>
      <c r="E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</row>
    <row r="349" spans="1:78">
      <c r="A349" s="72"/>
      <c r="B349"/>
      <c r="C349"/>
      <c r="D349"/>
      <c r="E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</row>
    <row r="350" spans="1:78">
      <c r="A350" s="72"/>
      <c r="B350"/>
      <c r="C350"/>
      <c r="D350"/>
      <c r="E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</row>
    <row r="351" spans="1:78">
      <c r="A351" s="72"/>
      <c r="B351"/>
      <c r="C351"/>
      <c r="D351"/>
      <c r="E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</row>
    <row r="352" spans="1:78">
      <c r="A352" s="72"/>
      <c r="B352"/>
      <c r="C352"/>
      <c r="D352"/>
      <c r="E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</row>
    <row r="353" spans="1:78">
      <c r="A353" s="72"/>
      <c r="B353"/>
      <c r="C353"/>
      <c r="D353"/>
      <c r="E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</row>
    <row r="354" spans="1:78">
      <c r="A354" s="72"/>
      <c r="B354"/>
      <c r="C354"/>
      <c r="D354"/>
      <c r="E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</row>
    <row r="355" spans="1:78">
      <c r="A355" s="72"/>
      <c r="B355"/>
      <c r="C355"/>
      <c r="D355"/>
      <c r="E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</row>
    <row r="356" spans="1:78">
      <c r="A356" s="72"/>
      <c r="B356"/>
      <c r="C356"/>
      <c r="D356"/>
      <c r="E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</row>
    <row r="357" spans="1:78">
      <c r="A357" s="72"/>
      <c r="B357"/>
      <c r="C357"/>
      <c r="D357"/>
      <c r="E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</row>
    <row r="358" spans="1:78">
      <c r="A358" s="72"/>
      <c r="B358"/>
      <c r="C358"/>
      <c r="D358"/>
      <c r="E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</row>
    <row r="359" spans="1:78">
      <c r="A359" s="72"/>
      <c r="B359"/>
      <c r="C359"/>
      <c r="D359"/>
      <c r="E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</row>
    <row r="360" spans="1:78">
      <c r="A360" s="72"/>
      <c r="B360"/>
      <c r="C360"/>
      <c r="D360"/>
      <c r="E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</row>
    <row r="361" spans="1:78">
      <c r="A361" s="72"/>
      <c r="B361"/>
      <c r="C361"/>
      <c r="D361"/>
      <c r="E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</row>
    <row r="362" spans="1:78">
      <c r="A362" s="72"/>
      <c r="B362"/>
      <c r="C362"/>
      <c r="D362"/>
      <c r="E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</row>
    <row r="363" spans="1:78">
      <c r="A363" s="72"/>
      <c r="B363"/>
      <c r="C363"/>
      <c r="D363"/>
      <c r="E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</row>
    <row r="364" spans="1:78">
      <c r="A364" s="72"/>
      <c r="B364"/>
      <c r="C364"/>
      <c r="D364"/>
      <c r="E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</row>
    <row r="365" spans="1:78">
      <c r="A365" s="72"/>
      <c r="B365"/>
      <c r="C365"/>
      <c r="D365"/>
      <c r="E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</row>
    <row r="366" spans="1:78">
      <c r="A366" s="72"/>
      <c r="B366"/>
      <c r="C366"/>
      <c r="D366"/>
      <c r="E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</row>
    <row r="367" spans="1:78">
      <c r="A367" s="72"/>
      <c r="B367"/>
      <c r="C367"/>
      <c r="D367"/>
      <c r="E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</row>
    <row r="368" spans="1:78">
      <c r="A368" s="72"/>
      <c r="B368"/>
      <c r="C368"/>
      <c r="D368"/>
      <c r="E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</row>
    <row r="369" spans="1:78">
      <c r="A369" s="72"/>
      <c r="B369"/>
      <c r="C369"/>
      <c r="D369"/>
      <c r="E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</row>
    <row r="370" spans="1:78">
      <c r="A370" s="72"/>
      <c r="B370"/>
      <c r="C370"/>
      <c r="D370"/>
      <c r="E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</row>
    <row r="371" spans="1:78">
      <c r="A371" s="72"/>
      <c r="B371"/>
      <c r="C371"/>
      <c r="D371"/>
      <c r="E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</row>
    <row r="372" spans="1:78">
      <c r="A372" s="72"/>
      <c r="B372"/>
      <c r="C372"/>
      <c r="D372"/>
      <c r="E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</row>
    <row r="373" spans="1:78">
      <c r="A373" s="72"/>
      <c r="B373"/>
      <c r="C373"/>
      <c r="D373"/>
      <c r="E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</row>
    <row r="374" spans="1:78">
      <c r="A374" s="72"/>
      <c r="B374"/>
      <c r="C374"/>
      <c r="D374"/>
      <c r="E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</row>
    <row r="375" spans="1:78">
      <c r="A375" s="72"/>
      <c r="B375"/>
      <c r="C375"/>
      <c r="D375"/>
      <c r="E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</row>
    <row r="376" spans="1:78">
      <c r="A376" s="72"/>
      <c r="B376"/>
      <c r="C376"/>
      <c r="D376"/>
      <c r="E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</row>
    <row r="377" spans="1:78">
      <c r="A377" s="72"/>
      <c r="B377"/>
      <c r="C377"/>
      <c r="D377"/>
      <c r="E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</row>
    <row r="378" spans="1:78">
      <c r="A378" s="72"/>
      <c r="B378"/>
      <c r="C378"/>
      <c r="D378"/>
      <c r="E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</row>
    <row r="379" spans="1:78">
      <c r="A379" s="72"/>
      <c r="B379"/>
      <c r="C379"/>
      <c r="D379"/>
      <c r="E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</row>
    <row r="380" spans="1:78">
      <c r="A380" s="72"/>
      <c r="B380"/>
      <c r="C380"/>
      <c r="D380"/>
      <c r="E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</row>
    <row r="381" spans="1:78">
      <c r="A381" s="72"/>
      <c r="B381"/>
      <c r="C381"/>
      <c r="D381"/>
      <c r="E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</row>
    <row r="382" spans="1:78">
      <c r="A382" s="72"/>
      <c r="B382"/>
      <c r="C382"/>
      <c r="D382"/>
      <c r="E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</row>
    <row r="383" spans="1:78">
      <c r="A383" s="72"/>
      <c r="B383"/>
      <c r="C383"/>
      <c r="D383"/>
      <c r="E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</row>
    <row r="384" spans="1:78">
      <c r="A384" s="72"/>
      <c r="B384"/>
      <c r="C384"/>
      <c r="D384"/>
      <c r="E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</row>
    <row r="385" spans="1:78">
      <c r="A385" s="72"/>
      <c r="B385"/>
      <c r="C385"/>
      <c r="D385"/>
      <c r="E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</row>
    <row r="386" spans="1:78">
      <c r="A386" s="72"/>
      <c r="B386"/>
      <c r="C386"/>
      <c r="D386"/>
      <c r="E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</row>
    <row r="387" spans="1:78">
      <c r="A387" s="72"/>
      <c r="B387"/>
      <c r="C387"/>
      <c r="D387"/>
      <c r="E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</row>
    <row r="388" spans="1:78">
      <c r="A388" s="72"/>
      <c r="B388"/>
      <c r="C388"/>
      <c r="D388"/>
      <c r="E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</row>
    <row r="389" spans="1:78">
      <c r="A389" s="72"/>
      <c r="B389"/>
      <c r="C389"/>
      <c r="D389"/>
      <c r="E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</row>
    <row r="390" spans="1:78">
      <c r="A390" s="72"/>
      <c r="B390"/>
      <c r="C390"/>
      <c r="D390"/>
      <c r="E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</row>
    <row r="391" spans="1:78">
      <c r="A391" s="72"/>
      <c r="B391"/>
      <c r="C391"/>
      <c r="D391"/>
      <c r="E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</row>
    <row r="392" spans="1:78">
      <c r="A392" s="72"/>
      <c r="B392"/>
      <c r="C392"/>
      <c r="D392"/>
      <c r="E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</row>
    <row r="393" spans="1:78">
      <c r="A393" s="72"/>
      <c r="B393"/>
      <c r="C393"/>
      <c r="D393"/>
      <c r="E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</row>
    <row r="394" spans="1:78">
      <c r="A394" s="72"/>
      <c r="B394"/>
      <c r="C394"/>
      <c r="D394"/>
      <c r="E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</row>
    <row r="395" spans="1:78">
      <c r="A395" s="72"/>
      <c r="B395"/>
      <c r="C395"/>
      <c r="D395"/>
      <c r="E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</row>
    <row r="396" spans="1:78">
      <c r="A396" s="72"/>
      <c r="B396"/>
      <c r="C396"/>
      <c r="D396"/>
      <c r="E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</row>
    <row r="397" spans="1:78">
      <c r="A397" s="72"/>
      <c r="B397"/>
      <c r="C397"/>
      <c r="D397"/>
      <c r="E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</row>
    <row r="398" spans="1:78">
      <c r="A398" s="72"/>
      <c r="B398"/>
      <c r="C398"/>
      <c r="D398"/>
      <c r="E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</row>
    <row r="399" spans="1:78">
      <c r="A399" s="72"/>
      <c r="B399"/>
      <c r="C399"/>
      <c r="D399"/>
      <c r="E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</row>
    <row r="400" spans="1:78">
      <c r="A400" s="72"/>
      <c r="B400"/>
      <c r="C400"/>
      <c r="D400"/>
      <c r="E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</row>
    <row r="401" spans="1:78">
      <c r="A401" s="72"/>
      <c r="B401"/>
      <c r="C401"/>
      <c r="D401"/>
      <c r="E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</row>
    <row r="402" spans="1:78">
      <c r="A402" s="72"/>
      <c r="B402"/>
      <c r="C402"/>
      <c r="D402"/>
      <c r="E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</row>
    <row r="403" spans="1:78">
      <c r="A403" s="72"/>
      <c r="B403"/>
      <c r="C403"/>
      <c r="D403"/>
      <c r="E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</row>
    <row r="404" spans="1:78">
      <c r="A404" s="72"/>
      <c r="B404"/>
      <c r="C404"/>
      <c r="D404"/>
      <c r="E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</row>
    <row r="405" spans="1:78">
      <c r="A405" s="72"/>
      <c r="B405"/>
      <c r="C405"/>
      <c r="D405"/>
      <c r="E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</row>
    <row r="406" spans="1:78">
      <c r="A406" s="72"/>
      <c r="B406"/>
      <c r="C406"/>
      <c r="D406"/>
      <c r="E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</row>
    <row r="407" spans="1:78">
      <c r="A407" s="72"/>
      <c r="B407"/>
      <c r="C407"/>
      <c r="D407"/>
      <c r="E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</row>
    <row r="408" spans="1:78">
      <c r="A408" s="72"/>
      <c r="B408"/>
      <c r="C408"/>
      <c r="D408"/>
      <c r="E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</row>
    <row r="409" spans="1:78">
      <c r="A409" s="72"/>
      <c r="B409"/>
      <c r="C409"/>
      <c r="D409"/>
      <c r="E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</row>
    <row r="410" spans="1:78">
      <c r="A410" s="72"/>
      <c r="B410"/>
      <c r="C410"/>
      <c r="D410"/>
      <c r="E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</row>
    <row r="411" spans="1:78">
      <c r="A411" s="72"/>
      <c r="B411"/>
      <c r="C411"/>
      <c r="D411"/>
      <c r="E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</row>
    <row r="412" spans="1:78">
      <c r="A412" s="72"/>
      <c r="B412"/>
      <c r="C412"/>
      <c r="D412"/>
      <c r="E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</row>
    <row r="413" spans="1:78">
      <c r="A413" s="72"/>
      <c r="B413"/>
      <c r="C413"/>
      <c r="D413"/>
      <c r="E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</row>
    <row r="414" spans="1:78">
      <c r="A414" s="72"/>
      <c r="B414"/>
      <c r="C414"/>
      <c r="D414"/>
      <c r="E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</row>
    <row r="415" spans="1:78">
      <c r="A415" s="72"/>
      <c r="B415"/>
      <c r="C415"/>
      <c r="D415"/>
      <c r="E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</row>
    <row r="416" spans="1:78">
      <c r="A416" s="72"/>
      <c r="B416"/>
      <c r="C416"/>
      <c r="D416"/>
      <c r="E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</row>
    <row r="417" spans="1:78">
      <c r="A417" s="72"/>
      <c r="B417"/>
      <c r="C417"/>
      <c r="D417"/>
      <c r="E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</row>
    <row r="418" spans="1:78">
      <c r="A418" s="72"/>
      <c r="B418"/>
      <c r="C418"/>
      <c r="D418"/>
      <c r="E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</row>
    <row r="419" spans="1:78">
      <c r="A419" s="72"/>
      <c r="B419"/>
      <c r="C419"/>
      <c r="D419"/>
      <c r="E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</row>
    <row r="420" spans="1:78">
      <c r="A420" s="72"/>
      <c r="B420"/>
      <c r="C420"/>
      <c r="D420"/>
      <c r="E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</row>
    <row r="421" spans="1:78">
      <c r="A421" s="72"/>
      <c r="B421"/>
      <c r="C421"/>
      <c r="D421"/>
      <c r="E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</row>
    <row r="422" spans="1:78">
      <c r="A422" s="72"/>
      <c r="B422"/>
      <c r="C422"/>
      <c r="D422"/>
      <c r="E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</row>
    <row r="423" spans="1:78">
      <c r="A423" s="72"/>
      <c r="B423"/>
      <c r="C423"/>
      <c r="D423"/>
      <c r="E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</row>
    <row r="424" spans="1:78">
      <c r="A424" s="72"/>
      <c r="B424"/>
      <c r="C424"/>
      <c r="D424"/>
      <c r="E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</row>
    <row r="425" spans="1:78">
      <c r="A425" s="72"/>
      <c r="B425"/>
      <c r="C425"/>
      <c r="D425"/>
      <c r="E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</row>
    <row r="426" spans="1:78">
      <c r="A426" s="72"/>
      <c r="B426"/>
      <c r="C426"/>
      <c r="D426"/>
      <c r="E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</row>
    <row r="427" spans="1:78">
      <c r="A427" s="72"/>
      <c r="B427"/>
      <c r="C427"/>
      <c r="D427"/>
      <c r="E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</row>
    <row r="428" spans="1:78">
      <c r="A428" s="72"/>
      <c r="B428"/>
      <c r="C428"/>
      <c r="D428"/>
      <c r="E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</row>
    <row r="429" spans="1:78">
      <c r="A429" s="72"/>
      <c r="B429"/>
      <c r="C429"/>
      <c r="D429"/>
      <c r="E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</row>
    <row r="430" spans="1:78">
      <c r="A430" s="72"/>
      <c r="B430"/>
      <c r="C430"/>
      <c r="D430"/>
      <c r="E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</row>
    <row r="431" spans="1:78">
      <c r="A431" s="72"/>
      <c r="B431"/>
      <c r="C431"/>
      <c r="D431"/>
      <c r="E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</row>
    <row r="432" spans="1:78">
      <c r="A432" s="72"/>
      <c r="B432"/>
      <c r="C432"/>
      <c r="D432"/>
      <c r="E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</row>
    <row r="433" spans="1:78">
      <c r="A433" s="72"/>
      <c r="B433"/>
      <c r="C433"/>
      <c r="D433"/>
      <c r="E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</row>
    <row r="434" spans="1:78">
      <c r="A434" s="72"/>
      <c r="B434"/>
      <c r="C434"/>
      <c r="D434"/>
      <c r="E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</row>
    <row r="435" spans="1:78">
      <c r="A435" s="72"/>
      <c r="B435"/>
      <c r="C435"/>
      <c r="D435"/>
      <c r="E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</row>
    <row r="436" spans="1:78">
      <c r="A436" s="72"/>
      <c r="B436"/>
      <c r="C436"/>
      <c r="D436"/>
      <c r="E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</row>
    <row r="437" spans="1:78">
      <c r="A437" s="72"/>
      <c r="B437"/>
      <c r="C437"/>
      <c r="D437"/>
      <c r="E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</row>
    <row r="438" spans="1:78">
      <c r="A438" s="72"/>
      <c r="B438"/>
      <c r="C438"/>
      <c r="D438"/>
      <c r="E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</row>
    <row r="439" spans="1:78">
      <c r="A439" s="72"/>
      <c r="B439"/>
      <c r="C439"/>
      <c r="D439"/>
      <c r="E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</row>
    <row r="440" spans="1:78">
      <c r="A440" s="72"/>
      <c r="B440"/>
      <c r="C440"/>
      <c r="D440"/>
      <c r="E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</row>
    <row r="441" spans="1:78">
      <c r="A441" s="72"/>
      <c r="B441"/>
      <c r="C441"/>
      <c r="D441"/>
      <c r="E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</row>
    <row r="442" spans="1:78">
      <c r="A442" s="72"/>
      <c r="B442"/>
      <c r="C442"/>
      <c r="D442"/>
      <c r="E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</row>
    <row r="443" spans="1:78">
      <c r="A443" s="72"/>
      <c r="B443"/>
      <c r="C443"/>
      <c r="D443"/>
      <c r="E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</row>
    <row r="444" spans="1:78">
      <c r="A444" s="72"/>
      <c r="B444"/>
      <c r="C444"/>
      <c r="D444"/>
      <c r="E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</row>
    <row r="445" spans="1:78">
      <c r="A445" s="72"/>
      <c r="B445"/>
      <c r="C445"/>
      <c r="D445"/>
      <c r="E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</row>
    <row r="446" spans="1:78">
      <c r="A446" s="72"/>
      <c r="B446"/>
      <c r="C446"/>
      <c r="D446"/>
      <c r="E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</row>
    <row r="447" spans="1:78">
      <c r="A447" s="72"/>
      <c r="B447"/>
      <c r="C447"/>
      <c r="D447"/>
      <c r="E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</row>
    <row r="448" spans="1:78">
      <c r="A448" s="72"/>
      <c r="B448"/>
      <c r="C448"/>
      <c r="D448"/>
      <c r="E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</row>
    <row r="449" spans="1:78">
      <c r="A449" s="72"/>
      <c r="B449"/>
      <c r="C449"/>
      <c r="D449"/>
      <c r="E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</row>
    <row r="450" spans="1:78">
      <c r="A450" s="72"/>
      <c r="B450"/>
      <c r="C450"/>
      <c r="D450"/>
      <c r="E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</row>
    <row r="451" spans="1:78">
      <c r="A451" s="72"/>
      <c r="B451"/>
      <c r="C451"/>
      <c r="D451"/>
      <c r="E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</row>
    <row r="452" spans="1:78">
      <c r="A452" s="72"/>
      <c r="B452"/>
      <c r="C452"/>
      <c r="D452"/>
      <c r="E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</row>
    <row r="453" spans="1:78">
      <c r="A453" s="72"/>
      <c r="B453"/>
      <c r="C453"/>
      <c r="D453"/>
      <c r="E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</row>
    <row r="454" spans="1:78">
      <c r="A454" s="72"/>
      <c r="B454"/>
      <c r="C454"/>
      <c r="D454"/>
      <c r="E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</row>
    <row r="455" spans="1:78">
      <c r="A455" s="72"/>
      <c r="B455"/>
      <c r="C455"/>
      <c r="D455"/>
      <c r="E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</row>
    <row r="456" spans="1:78">
      <c r="A456" s="72"/>
      <c r="B456"/>
      <c r="C456"/>
      <c r="D456"/>
      <c r="E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</row>
    <row r="457" spans="1:78">
      <c r="A457" s="72"/>
      <c r="B457"/>
      <c r="C457"/>
      <c r="D457"/>
      <c r="E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</row>
    <row r="458" spans="1:78">
      <c r="A458" s="72"/>
      <c r="B458"/>
      <c r="C458"/>
      <c r="D458"/>
      <c r="E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</row>
    <row r="459" spans="1:78">
      <c r="A459" s="72"/>
      <c r="B459"/>
      <c r="C459"/>
      <c r="D459"/>
      <c r="E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</row>
    <row r="460" spans="1:78">
      <c r="A460" s="72"/>
      <c r="B460"/>
      <c r="C460"/>
      <c r="D460"/>
      <c r="E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</row>
    <row r="461" spans="1:78">
      <c r="A461" s="72"/>
      <c r="B461"/>
      <c r="C461"/>
      <c r="D461"/>
      <c r="E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</row>
    <row r="462" spans="1:78">
      <c r="A462" s="72"/>
      <c r="B462"/>
      <c r="C462"/>
      <c r="D462"/>
      <c r="E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</row>
    <row r="463" spans="1:78">
      <c r="A463" s="72"/>
      <c r="B463"/>
      <c r="C463"/>
      <c r="D463"/>
      <c r="E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</row>
    <row r="464" spans="1:78">
      <c r="A464" s="72"/>
      <c r="B464"/>
      <c r="C464"/>
      <c r="D464"/>
      <c r="E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</row>
    <row r="465" spans="1:78">
      <c r="A465" s="72"/>
      <c r="B465"/>
      <c r="C465"/>
      <c r="D465"/>
      <c r="E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</row>
    <row r="466" spans="1:78">
      <c r="A466" s="72"/>
      <c r="B466"/>
      <c r="C466"/>
      <c r="D466"/>
      <c r="E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</row>
    <row r="467" spans="1:78">
      <c r="A467" s="72"/>
      <c r="B467"/>
      <c r="C467"/>
      <c r="D467"/>
      <c r="E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</row>
    <row r="468" spans="1:78">
      <c r="A468" s="72"/>
      <c r="B468"/>
      <c r="C468"/>
      <c r="D468"/>
      <c r="E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</row>
    <row r="469" spans="1:78">
      <c r="A469" s="72"/>
      <c r="B469"/>
      <c r="C469"/>
      <c r="D469"/>
      <c r="E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</row>
    <row r="470" spans="1:78">
      <c r="A470" s="72"/>
      <c r="B470"/>
      <c r="C470"/>
      <c r="D470"/>
      <c r="E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</row>
    <row r="471" spans="1:78">
      <c r="A471" s="72"/>
      <c r="B471"/>
      <c r="C471"/>
      <c r="D471"/>
      <c r="E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</row>
    <row r="472" spans="1:78">
      <c r="A472" s="72"/>
      <c r="B472"/>
      <c r="C472"/>
      <c r="D472"/>
      <c r="E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</row>
    <row r="473" spans="1:78">
      <c r="A473" s="72"/>
      <c r="B473"/>
      <c r="C473"/>
      <c r="D473"/>
      <c r="E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</row>
    <row r="474" spans="1:78">
      <c r="A474" s="72"/>
      <c r="B474"/>
      <c r="C474"/>
      <c r="D474"/>
      <c r="E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</row>
    <row r="475" spans="1:78">
      <c r="A475" s="72"/>
      <c r="B475"/>
      <c r="C475"/>
      <c r="D475"/>
      <c r="E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</row>
    <row r="476" spans="1:78">
      <c r="A476" s="72"/>
      <c r="B476"/>
      <c r="C476"/>
      <c r="D476"/>
      <c r="E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</row>
    <row r="477" spans="1:78">
      <c r="A477" s="72"/>
      <c r="B477"/>
      <c r="C477"/>
      <c r="D477"/>
      <c r="E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</row>
    <row r="478" spans="1:78">
      <c r="A478" s="72"/>
      <c r="B478"/>
      <c r="C478"/>
      <c r="D478"/>
      <c r="E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</row>
    <row r="479" spans="1:78">
      <c r="A479" s="72"/>
      <c r="B479"/>
      <c r="C479"/>
      <c r="D479"/>
      <c r="E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</row>
    <row r="480" spans="1:78">
      <c r="A480" s="72"/>
      <c r="B480"/>
      <c r="C480"/>
      <c r="D480"/>
      <c r="E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</row>
    <row r="481" spans="1:78">
      <c r="A481" s="72"/>
      <c r="B481"/>
      <c r="C481"/>
      <c r="D481"/>
      <c r="E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</row>
    <row r="482" spans="1:78">
      <c r="A482" s="72"/>
      <c r="B482"/>
      <c r="C482"/>
      <c r="D482"/>
      <c r="E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</row>
    <row r="483" spans="1:78">
      <c r="A483" s="72"/>
      <c r="B483"/>
      <c r="C483"/>
      <c r="D483"/>
      <c r="E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</row>
    <row r="484" spans="1:78">
      <c r="A484" s="72"/>
      <c r="B484"/>
      <c r="C484"/>
      <c r="D484"/>
      <c r="E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</row>
    <row r="485" spans="1:78">
      <c r="A485" s="72"/>
      <c r="B485"/>
      <c r="C485"/>
      <c r="D485"/>
      <c r="E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</row>
    <row r="486" spans="1:78">
      <c r="A486" s="72"/>
      <c r="B486"/>
      <c r="C486"/>
      <c r="D486"/>
      <c r="E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</row>
    <row r="487" spans="1:78">
      <c r="A487" s="72"/>
      <c r="B487"/>
      <c r="C487"/>
      <c r="D487"/>
      <c r="E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</row>
    <row r="488" spans="1:78">
      <c r="A488" s="72"/>
      <c r="B488"/>
      <c r="C488"/>
      <c r="D488"/>
      <c r="E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</row>
    <row r="489" spans="1:78">
      <c r="A489" s="72"/>
      <c r="B489"/>
      <c r="C489"/>
      <c r="D489"/>
      <c r="E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</row>
    <row r="490" spans="1:78">
      <c r="A490" s="72"/>
      <c r="B490"/>
      <c r="C490"/>
      <c r="D490"/>
      <c r="E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</row>
    <row r="491" spans="1:78">
      <c r="A491" s="72"/>
      <c r="B491"/>
      <c r="C491"/>
      <c r="D491"/>
      <c r="E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</row>
    <row r="492" spans="1:78">
      <c r="A492" s="72"/>
      <c r="B492"/>
      <c r="C492"/>
      <c r="D492"/>
      <c r="E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</row>
    <row r="493" spans="1:78">
      <c r="A493" s="72"/>
      <c r="B493"/>
      <c r="C493"/>
      <c r="D493"/>
      <c r="E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</row>
    <row r="494" spans="1:78">
      <c r="A494" s="72"/>
      <c r="B494"/>
      <c r="C494"/>
      <c r="D494"/>
      <c r="E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</row>
    <row r="495" spans="1:78">
      <c r="A495" s="72"/>
      <c r="B495"/>
      <c r="C495"/>
      <c r="D495"/>
      <c r="E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</row>
    <row r="496" spans="1:78">
      <c r="A496" s="72"/>
      <c r="B496"/>
      <c r="C496"/>
      <c r="D496"/>
      <c r="E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</row>
    <row r="497" spans="1:78">
      <c r="A497" s="72"/>
      <c r="B497"/>
      <c r="C497"/>
      <c r="D497"/>
      <c r="E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</row>
    <row r="498" spans="1:78">
      <c r="A498" s="72"/>
      <c r="B498"/>
      <c r="C498"/>
      <c r="D498"/>
      <c r="E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</row>
    <row r="499" spans="1:78">
      <c r="A499" s="72"/>
      <c r="B499"/>
      <c r="C499"/>
      <c r="D499"/>
      <c r="E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</row>
    <row r="500" spans="1:78">
      <c r="A500" s="72"/>
      <c r="B500"/>
      <c r="C500"/>
      <c r="D500"/>
      <c r="E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</row>
    <row r="501" spans="1:78">
      <c r="A501" s="72"/>
      <c r="B501"/>
      <c r="C501"/>
      <c r="D501"/>
      <c r="E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</row>
    <row r="502" spans="1:78">
      <c r="A502" s="72"/>
      <c r="B502"/>
      <c r="C502"/>
      <c r="D502"/>
      <c r="E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  <c r="BY502"/>
      <c r="BZ502"/>
    </row>
    <row r="503" spans="1:78">
      <c r="A503" s="72"/>
      <c r="B503"/>
      <c r="C503"/>
      <c r="D503"/>
      <c r="E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</row>
    <row r="504" spans="1:78">
      <c r="A504" s="72"/>
      <c r="B504"/>
      <c r="C504"/>
      <c r="D504"/>
      <c r="E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</row>
    <row r="505" spans="1:78">
      <c r="A505" s="72"/>
      <c r="B505"/>
      <c r="C505"/>
      <c r="D505"/>
      <c r="E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</row>
    <row r="506" spans="1:78">
      <c r="A506" s="72"/>
      <c r="B506"/>
      <c r="C506"/>
      <c r="D506"/>
      <c r="E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  <c r="BY506"/>
      <c r="BZ506"/>
    </row>
    <row r="507" spans="1:78">
      <c r="A507" s="72"/>
      <c r="B507"/>
      <c r="C507"/>
      <c r="D507"/>
      <c r="E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</row>
    <row r="508" spans="1:78">
      <c r="A508" s="72"/>
      <c r="B508"/>
      <c r="C508"/>
      <c r="D508"/>
      <c r="E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</row>
    <row r="509" spans="1:78">
      <c r="A509" s="72"/>
      <c r="B509"/>
      <c r="C509"/>
      <c r="D509"/>
      <c r="E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  <c r="BY509"/>
      <c r="BZ509"/>
    </row>
    <row r="510" spans="1:78">
      <c r="A510" s="72"/>
      <c r="B510"/>
      <c r="C510"/>
      <c r="D510"/>
      <c r="E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</row>
    <row r="511" spans="1:78">
      <c r="A511" s="72"/>
      <c r="B511"/>
      <c r="C511"/>
      <c r="D511"/>
      <c r="E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</row>
    <row r="512" spans="1:78">
      <c r="A512" s="72"/>
      <c r="B512"/>
      <c r="C512"/>
      <c r="D512"/>
      <c r="E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</row>
    <row r="513" spans="1:78">
      <c r="A513" s="72"/>
      <c r="B513"/>
      <c r="C513"/>
      <c r="D513"/>
      <c r="E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  <c r="BY513"/>
      <c r="BZ513"/>
    </row>
    <row r="514" spans="1:78">
      <c r="A514" s="72"/>
      <c r="B514"/>
      <c r="C514"/>
      <c r="D514"/>
      <c r="E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</row>
    <row r="515" spans="1:78">
      <c r="A515" s="72"/>
      <c r="B515"/>
      <c r="C515"/>
      <c r="D515"/>
      <c r="E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  <c r="BY515"/>
      <c r="BZ515"/>
    </row>
    <row r="516" spans="1:78">
      <c r="A516" s="72"/>
      <c r="B516"/>
      <c r="C516"/>
      <c r="D516"/>
      <c r="E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  <c r="BY516"/>
      <c r="BZ516"/>
    </row>
    <row r="517" spans="1:78">
      <c r="A517" s="72"/>
      <c r="B517"/>
      <c r="C517"/>
      <c r="D517"/>
      <c r="E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</row>
    <row r="518" spans="1:78">
      <c r="A518" s="72"/>
      <c r="B518"/>
      <c r="C518"/>
      <c r="D518"/>
      <c r="E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  <c r="BY518"/>
      <c r="BZ518"/>
    </row>
    <row r="519" spans="1:78">
      <c r="A519" s="72"/>
      <c r="B519"/>
      <c r="C519"/>
      <c r="D519"/>
      <c r="E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  <c r="BY519"/>
      <c r="BZ519"/>
    </row>
    <row r="520" spans="1:78">
      <c r="A520" s="72"/>
      <c r="B520"/>
      <c r="C520"/>
      <c r="D520"/>
      <c r="E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  <c r="BY520"/>
      <c r="BZ520"/>
    </row>
    <row r="521" spans="1:78">
      <c r="A521" s="72"/>
      <c r="B521"/>
      <c r="C521"/>
      <c r="D521"/>
      <c r="E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</row>
    <row r="522" spans="1:78">
      <c r="A522" s="72"/>
      <c r="B522"/>
      <c r="C522"/>
      <c r="D522"/>
      <c r="E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  <c r="BY522"/>
      <c r="BZ522"/>
    </row>
    <row r="523" spans="1:78">
      <c r="A523" s="72"/>
      <c r="B523"/>
      <c r="C523"/>
      <c r="D523"/>
      <c r="E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</row>
    <row r="524" spans="1:78">
      <c r="A524" s="72"/>
      <c r="B524"/>
      <c r="C524"/>
      <c r="D524"/>
      <c r="E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  <c r="BY524"/>
      <c r="BZ524"/>
    </row>
    <row r="525" spans="1:78">
      <c r="A525" s="72"/>
      <c r="B525"/>
      <c r="C525"/>
      <c r="D525"/>
      <c r="E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</row>
    <row r="526" spans="1:78">
      <c r="A526" s="72"/>
      <c r="B526"/>
      <c r="C526"/>
      <c r="D526"/>
      <c r="E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  <c r="BY526"/>
      <c r="BZ526"/>
    </row>
    <row r="527" spans="1:78">
      <c r="A527" s="72"/>
      <c r="B527"/>
      <c r="C527"/>
      <c r="D527"/>
      <c r="E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</row>
    <row r="528" spans="1:78">
      <c r="A528" s="72"/>
      <c r="B528"/>
      <c r="C528"/>
      <c r="D528"/>
      <c r="E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  <c r="BY528"/>
      <c r="BZ528"/>
    </row>
    <row r="529" spans="1:78">
      <c r="A529" s="72"/>
      <c r="B529"/>
      <c r="C529"/>
      <c r="D529"/>
      <c r="E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  <c r="BY529"/>
      <c r="BZ529"/>
    </row>
    <row r="530" spans="1:78">
      <c r="A530" s="72"/>
      <c r="B530"/>
      <c r="C530"/>
      <c r="D530"/>
      <c r="E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</row>
    <row r="531" spans="1:78">
      <c r="A531" s="72"/>
      <c r="B531"/>
      <c r="C531"/>
      <c r="D531"/>
      <c r="E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  <c r="BY531"/>
      <c r="BZ531"/>
    </row>
    <row r="532" spans="1:78">
      <c r="A532" s="72"/>
      <c r="B532"/>
      <c r="C532"/>
      <c r="D532"/>
      <c r="E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  <c r="BY532"/>
      <c r="BZ532"/>
    </row>
    <row r="533" spans="1:78">
      <c r="A533" s="72"/>
      <c r="B533"/>
      <c r="C533"/>
      <c r="D533"/>
      <c r="E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</row>
    <row r="534" spans="1:78">
      <c r="A534" s="72"/>
      <c r="B534"/>
      <c r="C534"/>
      <c r="D534"/>
      <c r="E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  <c r="BY534"/>
      <c r="BZ534"/>
    </row>
    <row r="535" spans="1:78">
      <c r="A535" s="72"/>
      <c r="B535"/>
      <c r="C535"/>
      <c r="D535"/>
      <c r="E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</row>
    <row r="536" spans="1:78">
      <c r="A536" s="72"/>
      <c r="B536"/>
      <c r="C536"/>
      <c r="D536"/>
      <c r="E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  <c r="BY536"/>
      <c r="BZ536"/>
    </row>
    <row r="537" spans="1:78">
      <c r="A537" s="72"/>
      <c r="B537"/>
      <c r="C537"/>
      <c r="D537"/>
      <c r="E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</row>
    <row r="538" spans="1:78">
      <c r="A538" s="72"/>
      <c r="B538"/>
      <c r="C538"/>
      <c r="D538"/>
      <c r="E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  <c r="BY538"/>
      <c r="BZ538"/>
    </row>
    <row r="539" spans="1:78">
      <c r="A539" s="72"/>
      <c r="B539"/>
      <c r="C539"/>
      <c r="D539"/>
      <c r="E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</row>
    <row r="540" spans="1:78">
      <c r="A540" s="72"/>
      <c r="B540"/>
      <c r="C540"/>
      <c r="D540"/>
      <c r="E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</row>
    <row r="541" spans="1:78">
      <c r="A541" s="72"/>
      <c r="B541"/>
      <c r="C541"/>
      <c r="D541"/>
      <c r="E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</row>
    <row r="542" spans="1:78">
      <c r="A542" s="72"/>
      <c r="B542"/>
      <c r="C542"/>
      <c r="D542"/>
      <c r="E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  <c r="BY542"/>
      <c r="BZ542"/>
    </row>
    <row r="543" spans="1:78">
      <c r="A543" s="72"/>
      <c r="B543"/>
      <c r="C543"/>
      <c r="D543"/>
      <c r="E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  <c r="BY543"/>
      <c r="BZ543"/>
    </row>
    <row r="544" spans="1:78">
      <c r="A544" s="72"/>
      <c r="B544"/>
      <c r="C544"/>
      <c r="D544"/>
      <c r="E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</row>
    <row r="545" spans="1:78">
      <c r="A545" s="72"/>
      <c r="B545"/>
      <c r="C545"/>
      <c r="D545"/>
      <c r="E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  <c r="BY545"/>
      <c r="BZ545"/>
    </row>
    <row r="546" spans="1:78">
      <c r="A546" s="72"/>
      <c r="B546"/>
      <c r="C546"/>
      <c r="D546"/>
      <c r="E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</row>
    <row r="547" spans="1:78">
      <c r="A547" s="72"/>
      <c r="B547"/>
      <c r="C547"/>
      <c r="D547"/>
      <c r="E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  <c r="BY547"/>
      <c r="BZ547"/>
    </row>
    <row r="548" spans="1:78">
      <c r="A548" s="72"/>
      <c r="B548"/>
      <c r="C548"/>
      <c r="D548"/>
      <c r="E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</row>
    <row r="549" spans="1:78">
      <c r="A549" s="72"/>
      <c r="B549"/>
      <c r="C549"/>
      <c r="D549"/>
      <c r="E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</row>
    <row r="550" spans="1:78">
      <c r="A550" s="72"/>
      <c r="B550"/>
      <c r="C550"/>
      <c r="D550"/>
      <c r="E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  <c r="BY550"/>
      <c r="BZ550"/>
    </row>
    <row r="551" spans="1:78">
      <c r="A551" s="72"/>
      <c r="B551"/>
      <c r="C551"/>
      <c r="D551"/>
      <c r="E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</row>
    <row r="552" spans="1:78">
      <c r="A552" s="72"/>
      <c r="B552"/>
      <c r="C552"/>
      <c r="D552"/>
      <c r="E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  <c r="BY552"/>
      <c r="BZ552"/>
    </row>
    <row r="553" spans="1:78">
      <c r="A553" s="72"/>
      <c r="B553"/>
      <c r="C553"/>
      <c r="D553"/>
      <c r="E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</row>
    <row r="554" spans="1:78">
      <c r="A554" s="72"/>
      <c r="B554"/>
      <c r="C554"/>
      <c r="D554"/>
      <c r="E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  <c r="BY554"/>
      <c r="BZ554"/>
    </row>
    <row r="555" spans="1:78">
      <c r="A555" s="72"/>
      <c r="B555"/>
      <c r="C555"/>
      <c r="D555"/>
      <c r="E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  <c r="BY555"/>
      <c r="BZ555"/>
    </row>
    <row r="556" spans="1:78">
      <c r="A556" s="72"/>
      <c r="B556"/>
      <c r="C556"/>
      <c r="D556"/>
      <c r="E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</row>
    <row r="557" spans="1:78">
      <c r="A557" s="72"/>
      <c r="B557"/>
      <c r="C557"/>
      <c r="D557"/>
      <c r="E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</row>
    <row r="558" spans="1:78">
      <c r="A558" s="72"/>
      <c r="B558"/>
      <c r="C558"/>
      <c r="D558"/>
      <c r="E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  <c r="BY558"/>
      <c r="BZ558"/>
    </row>
    <row r="559" spans="1:78">
      <c r="A559" s="72"/>
      <c r="B559"/>
      <c r="C559"/>
      <c r="D559"/>
      <c r="E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</row>
    <row r="560" spans="1:78">
      <c r="A560" s="72"/>
      <c r="B560"/>
      <c r="C560"/>
      <c r="D560"/>
      <c r="E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  <c r="BY560"/>
      <c r="BZ560"/>
    </row>
    <row r="561" spans="1:78">
      <c r="A561" s="72"/>
      <c r="B561"/>
      <c r="C561"/>
      <c r="D561"/>
      <c r="E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  <c r="BY561"/>
      <c r="BZ561"/>
    </row>
    <row r="562" spans="1:78">
      <c r="A562" s="72"/>
      <c r="B562"/>
      <c r="C562"/>
      <c r="D562"/>
      <c r="E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</row>
    <row r="563" spans="1:78">
      <c r="A563" s="72"/>
      <c r="B563"/>
      <c r="C563"/>
      <c r="D563"/>
      <c r="E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  <c r="BY563"/>
      <c r="BZ563"/>
    </row>
    <row r="564" spans="1:78">
      <c r="A564" s="72"/>
      <c r="B564"/>
      <c r="C564"/>
      <c r="D564"/>
      <c r="E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  <c r="BY564"/>
      <c r="BZ564"/>
    </row>
    <row r="565" spans="1:78">
      <c r="A565" s="72"/>
      <c r="B565"/>
      <c r="C565"/>
      <c r="D565"/>
      <c r="E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</row>
    <row r="566" spans="1:78">
      <c r="A566" s="72"/>
      <c r="B566"/>
      <c r="C566"/>
      <c r="D566"/>
      <c r="E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  <c r="BY566"/>
      <c r="BZ566"/>
    </row>
    <row r="567" spans="1:78">
      <c r="A567" s="72"/>
      <c r="B567"/>
      <c r="C567"/>
      <c r="D567"/>
      <c r="E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</row>
    <row r="568" spans="1:78">
      <c r="A568" s="72"/>
      <c r="B568"/>
      <c r="C568"/>
      <c r="D568"/>
      <c r="E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</row>
    <row r="569" spans="1:78">
      <c r="A569" s="72"/>
      <c r="B569"/>
      <c r="C569"/>
      <c r="D569"/>
      <c r="E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</row>
    <row r="570" spans="1:78">
      <c r="A570" s="72"/>
      <c r="B570"/>
      <c r="C570"/>
      <c r="D570"/>
      <c r="E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</row>
    <row r="571" spans="1:78">
      <c r="A571" s="72"/>
      <c r="B571"/>
      <c r="C571"/>
      <c r="D571"/>
      <c r="E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  <c r="BY571"/>
      <c r="BZ571"/>
    </row>
    <row r="572" spans="1:78">
      <c r="A572" s="72"/>
      <c r="B572"/>
      <c r="C572"/>
      <c r="D572"/>
      <c r="E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</row>
    <row r="573" spans="1:78">
      <c r="A573" s="72"/>
      <c r="B573"/>
      <c r="C573"/>
      <c r="D573"/>
      <c r="E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  <c r="BY573"/>
      <c r="BZ573"/>
    </row>
    <row r="574" spans="1:78">
      <c r="A574" s="72"/>
      <c r="B574"/>
      <c r="C574"/>
      <c r="D574"/>
      <c r="E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</row>
    <row r="575" spans="1:78">
      <c r="A575" s="72"/>
      <c r="B575"/>
      <c r="C575"/>
      <c r="D575"/>
      <c r="E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  <c r="BY575"/>
      <c r="BZ575"/>
    </row>
    <row r="576" spans="1:78">
      <c r="A576" s="72"/>
      <c r="B576"/>
      <c r="C576"/>
      <c r="D576"/>
      <c r="E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</row>
    <row r="577" spans="1:78">
      <c r="A577" s="72"/>
      <c r="B577"/>
      <c r="C577"/>
      <c r="D577"/>
      <c r="E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</row>
    <row r="578" spans="1:78">
      <c r="A578" s="72"/>
      <c r="B578"/>
      <c r="C578"/>
      <c r="D578"/>
      <c r="E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  <c r="BY578"/>
      <c r="BZ578"/>
    </row>
    <row r="579" spans="1:78">
      <c r="A579" s="72"/>
      <c r="B579"/>
      <c r="C579"/>
      <c r="D579"/>
      <c r="E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  <c r="BY579"/>
      <c r="BZ579"/>
    </row>
    <row r="580" spans="1:78">
      <c r="A580" s="72"/>
      <c r="B580"/>
      <c r="C580"/>
      <c r="D580"/>
      <c r="E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</row>
    <row r="581" spans="1:78">
      <c r="A581" s="72"/>
      <c r="B581"/>
      <c r="C581"/>
      <c r="D581"/>
      <c r="E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</row>
    <row r="582" spans="1:78">
      <c r="A582" s="72"/>
      <c r="B582"/>
      <c r="C582"/>
      <c r="D582"/>
      <c r="E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</row>
    <row r="583" spans="1:78">
      <c r="A583" s="72"/>
      <c r="B583"/>
      <c r="C583"/>
      <c r="D583"/>
      <c r="E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  <c r="BY583"/>
      <c r="BZ583"/>
    </row>
    <row r="584" spans="1:78">
      <c r="A584" s="72"/>
      <c r="B584"/>
      <c r="C584"/>
      <c r="D584"/>
      <c r="E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</row>
    <row r="585" spans="1:78">
      <c r="A585" s="72"/>
      <c r="B585"/>
      <c r="C585"/>
      <c r="D585"/>
      <c r="E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  <c r="BY585"/>
      <c r="BZ585"/>
    </row>
    <row r="586" spans="1:78">
      <c r="A586" s="72"/>
      <c r="B586"/>
      <c r="C586"/>
      <c r="D586"/>
      <c r="E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</row>
    <row r="587" spans="1:78">
      <c r="A587" s="72"/>
      <c r="B587"/>
      <c r="C587"/>
      <c r="D587"/>
      <c r="E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  <c r="BY587"/>
      <c r="BZ587"/>
    </row>
    <row r="588" spans="1:78">
      <c r="A588" s="72"/>
      <c r="B588"/>
      <c r="C588"/>
      <c r="D588"/>
      <c r="E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</row>
    <row r="589" spans="1:78">
      <c r="A589" s="72"/>
      <c r="B589"/>
      <c r="C589"/>
      <c r="D589"/>
      <c r="E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  <c r="BY589"/>
      <c r="BZ589"/>
    </row>
    <row r="590" spans="1:78">
      <c r="A590" s="72"/>
      <c r="B590"/>
      <c r="C590"/>
      <c r="D590"/>
      <c r="E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  <c r="BY590"/>
      <c r="BZ590"/>
    </row>
    <row r="591" spans="1:78">
      <c r="A591" s="72"/>
      <c r="B591"/>
      <c r="C591"/>
      <c r="D591"/>
      <c r="E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</row>
    <row r="592" spans="1:78">
      <c r="A592" s="72"/>
      <c r="B592"/>
      <c r="C592"/>
      <c r="D592"/>
      <c r="E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  <c r="BY592"/>
      <c r="BZ592"/>
    </row>
    <row r="593" spans="1:78">
      <c r="A593" s="72"/>
      <c r="B593"/>
      <c r="C593"/>
      <c r="D593"/>
      <c r="E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  <c r="BY593"/>
      <c r="BZ593"/>
    </row>
    <row r="594" spans="1:78">
      <c r="A594" s="72"/>
      <c r="B594"/>
      <c r="C594"/>
      <c r="D594"/>
      <c r="E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</row>
    <row r="595" spans="1:78">
      <c r="A595" s="72"/>
      <c r="B595"/>
      <c r="C595"/>
      <c r="D595"/>
      <c r="E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  <c r="BY595"/>
      <c r="BZ595"/>
    </row>
    <row r="596" spans="1:78">
      <c r="A596" s="72"/>
      <c r="B596"/>
      <c r="C596"/>
      <c r="D596"/>
      <c r="E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</row>
    <row r="597" spans="1:78">
      <c r="A597" s="72"/>
      <c r="B597"/>
      <c r="C597"/>
      <c r="D597"/>
      <c r="E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  <c r="BY597"/>
      <c r="BZ597"/>
    </row>
    <row r="598" spans="1:78">
      <c r="A598" s="72"/>
      <c r="B598"/>
      <c r="C598"/>
      <c r="D598"/>
      <c r="E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  <c r="BY598"/>
      <c r="BZ598"/>
    </row>
    <row r="599" spans="1:78">
      <c r="A599" s="72"/>
      <c r="B599"/>
      <c r="C599"/>
      <c r="D599"/>
      <c r="E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</row>
    <row r="600" spans="1:78">
      <c r="A600" s="72"/>
      <c r="B600"/>
      <c r="C600"/>
      <c r="D600"/>
      <c r="E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  <c r="BY600"/>
      <c r="BZ600"/>
    </row>
    <row r="601" spans="1:78">
      <c r="A601" s="72"/>
      <c r="B601"/>
      <c r="C601"/>
      <c r="D601"/>
      <c r="E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</row>
    <row r="602" spans="1:78">
      <c r="A602" s="72"/>
      <c r="B602"/>
      <c r="C602"/>
      <c r="D602"/>
      <c r="E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  <c r="BY602"/>
      <c r="BZ602"/>
    </row>
    <row r="603" spans="1:78">
      <c r="A603" s="72"/>
      <c r="B603"/>
      <c r="C603"/>
      <c r="D603"/>
      <c r="E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</row>
    <row r="604" spans="1:78">
      <c r="A604" s="72"/>
      <c r="B604"/>
      <c r="C604"/>
      <c r="D604"/>
      <c r="E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  <c r="BY604"/>
      <c r="BZ604"/>
    </row>
    <row r="605" spans="1:78">
      <c r="A605" s="72"/>
      <c r="B605"/>
      <c r="C605"/>
      <c r="D605"/>
      <c r="E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</row>
    <row r="606" spans="1:78">
      <c r="A606" s="72"/>
      <c r="B606"/>
      <c r="C606"/>
      <c r="D606"/>
      <c r="E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</row>
    <row r="607" spans="1:78">
      <c r="A607" s="72"/>
      <c r="B607"/>
      <c r="C607"/>
      <c r="D607"/>
      <c r="E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  <c r="BY607"/>
      <c r="BZ607"/>
    </row>
    <row r="608" spans="1:78">
      <c r="A608" s="72"/>
      <c r="B608"/>
      <c r="C608"/>
      <c r="D608"/>
      <c r="E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</row>
    <row r="609" spans="1:78">
      <c r="A609" s="72"/>
      <c r="B609"/>
      <c r="C609"/>
      <c r="D609"/>
      <c r="E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</row>
    <row r="610" spans="1:78">
      <c r="A610" s="72"/>
      <c r="B610"/>
      <c r="C610"/>
      <c r="D610"/>
      <c r="E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</row>
    <row r="611" spans="1:78">
      <c r="A611" s="72"/>
      <c r="B611"/>
      <c r="C611"/>
      <c r="D611"/>
      <c r="E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  <c r="BY611"/>
      <c r="BZ611"/>
    </row>
    <row r="612" spans="1:78">
      <c r="A612" s="72"/>
      <c r="B612"/>
      <c r="C612"/>
      <c r="D612"/>
      <c r="E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</row>
    <row r="613" spans="1:78">
      <c r="A613" s="72"/>
      <c r="B613"/>
      <c r="C613"/>
      <c r="D613"/>
      <c r="E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  <c r="BY613"/>
      <c r="BZ613"/>
    </row>
    <row r="614" spans="1:78">
      <c r="A614" s="72"/>
      <c r="B614"/>
      <c r="C614"/>
      <c r="D614"/>
      <c r="E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</row>
    <row r="615" spans="1:78">
      <c r="A615" s="72"/>
      <c r="B615"/>
      <c r="C615"/>
      <c r="D615"/>
      <c r="E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</row>
    <row r="616" spans="1:78">
      <c r="A616" s="72"/>
      <c r="B616"/>
      <c r="C616"/>
      <c r="D616"/>
      <c r="E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  <c r="BY616"/>
      <c r="BZ616"/>
    </row>
    <row r="617" spans="1:78">
      <c r="A617" s="72"/>
      <c r="B617"/>
      <c r="C617"/>
      <c r="D617"/>
      <c r="E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</row>
    <row r="618" spans="1:78">
      <c r="A618" s="72"/>
      <c r="B618"/>
      <c r="C618"/>
      <c r="D618"/>
      <c r="E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</row>
    <row r="619" spans="1:78">
      <c r="A619" s="72"/>
      <c r="B619"/>
      <c r="C619"/>
      <c r="D619"/>
      <c r="E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</row>
    <row r="620" spans="1:78">
      <c r="A620" s="72"/>
      <c r="B620"/>
      <c r="C620"/>
      <c r="D620"/>
      <c r="E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</row>
    <row r="621" spans="1:78">
      <c r="A621" s="72"/>
      <c r="B621"/>
      <c r="C621"/>
      <c r="D621"/>
      <c r="E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  <c r="BY621"/>
      <c r="BZ621"/>
    </row>
    <row r="622" spans="1:78">
      <c r="A622" s="72"/>
      <c r="B622"/>
      <c r="C622"/>
      <c r="D622"/>
      <c r="E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</row>
    <row r="623" spans="1:78">
      <c r="A623" s="72"/>
      <c r="B623"/>
      <c r="C623"/>
      <c r="D623"/>
      <c r="E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  <c r="BY623"/>
      <c r="BZ623"/>
    </row>
    <row r="624" spans="1:78">
      <c r="A624" s="72"/>
      <c r="B624"/>
      <c r="C624"/>
      <c r="D624"/>
      <c r="E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</row>
    <row r="625" spans="1:78">
      <c r="A625" s="72"/>
      <c r="B625"/>
      <c r="C625"/>
      <c r="D625"/>
      <c r="E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</row>
    <row r="626" spans="1:78">
      <c r="A626" s="72"/>
      <c r="B626"/>
      <c r="C626"/>
      <c r="D626"/>
      <c r="E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  <c r="BY626"/>
      <c r="BZ626"/>
    </row>
    <row r="627" spans="1:78">
      <c r="A627" s="72"/>
      <c r="B627"/>
      <c r="C627"/>
      <c r="D627"/>
      <c r="E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</row>
    <row r="628" spans="1:78">
      <c r="A628" s="72"/>
      <c r="B628"/>
      <c r="C628"/>
      <c r="D628"/>
      <c r="E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  <c r="BY628"/>
      <c r="BZ628"/>
    </row>
    <row r="629" spans="1:78">
      <c r="A629" s="72"/>
      <c r="B629"/>
      <c r="C629"/>
      <c r="D629"/>
      <c r="E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  <c r="BY629"/>
      <c r="BZ629"/>
    </row>
    <row r="630" spans="1:78">
      <c r="A630" s="72"/>
      <c r="B630"/>
      <c r="C630"/>
      <c r="D630"/>
      <c r="E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</row>
    <row r="631" spans="1:78">
      <c r="A631" s="72"/>
      <c r="B631"/>
      <c r="C631"/>
      <c r="D631"/>
      <c r="E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</row>
    <row r="632" spans="1:78">
      <c r="A632" s="72"/>
      <c r="B632"/>
      <c r="C632"/>
      <c r="D632"/>
      <c r="E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</row>
    <row r="633" spans="1:78">
      <c r="A633" s="72"/>
      <c r="B633"/>
      <c r="C633"/>
      <c r="D633"/>
      <c r="E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</row>
    <row r="634" spans="1:78">
      <c r="A634" s="72"/>
      <c r="B634"/>
      <c r="C634"/>
      <c r="D634"/>
      <c r="E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</row>
    <row r="635" spans="1:78">
      <c r="A635" s="72"/>
      <c r="B635"/>
      <c r="C635"/>
      <c r="D635"/>
      <c r="E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  <c r="BY635"/>
      <c r="BZ635"/>
    </row>
    <row r="636" spans="1:78">
      <c r="A636" s="72"/>
      <c r="B636"/>
      <c r="C636"/>
      <c r="D636"/>
      <c r="E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</row>
    <row r="637" spans="1:78">
      <c r="A637" s="72"/>
      <c r="B637"/>
      <c r="C637"/>
      <c r="D637"/>
      <c r="E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</row>
    <row r="638" spans="1:78">
      <c r="A638" s="72"/>
      <c r="B638"/>
      <c r="C638"/>
      <c r="D638"/>
      <c r="E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  <c r="BY638"/>
      <c r="BZ638"/>
    </row>
    <row r="639" spans="1:78">
      <c r="A639" s="72"/>
      <c r="B639"/>
      <c r="C639"/>
      <c r="D639"/>
      <c r="E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  <c r="BY639"/>
      <c r="BZ639"/>
    </row>
    <row r="640" spans="1:78">
      <c r="A640" s="72"/>
      <c r="B640"/>
      <c r="C640"/>
      <c r="D640"/>
      <c r="E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</row>
    <row r="641" spans="1:78">
      <c r="A641" s="72"/>
      <c r="B641"/>
      <c r="C641"/>
      <c r="D641"/>
      <c r="E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</row>
    <row r="642" spans="1:78">
      <c r="A642" s="72"/>
      <c r="B642"/>
      <c r="C642"/>
      <c r="D642"/>
      <c r="E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  <c r="BY642"/>
      <c r="BZ642"/>
    </row>
    <row r="643" spans="1:78">
      <c r="A643" s="72"/>
      <c r="B643"/>
      <c r="C643"/>
      <c r="D643"/>
      <c r="E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  <c r="BY643"/>
      <c r="BZ643"/>
    </row>
    <row r="644" spans="1:78">
      <c r="A644" s="72"/>
      <c r="B644"/>
      <c r="C644"/>
      <c r="D644"/>
      <c r="E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</row>
    <row r="645" spans="1:78">
      <c r="A645" s="72"/>
      <c r="B645"/>
      <c r="C645"/>
      <c r="D645"/>
      <c r="E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</row>
    <row r="646" spans="1:78">
      <c r="A646" s="72"/>
      <c r="B646"/>
      <c r="C646"/>
      <c r="D646"/>
      <c r="E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  <c r="BY646"/>
      <c r="BZ646"/>
    </row>
    <row r="647" spans="1:78">
      <c r="A647" s="72"/>
      <c r="B647"/>
      <c r="C647"/>
      <c r="D647"/>
      <c r="E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  <c r="BY647"/>
      <c r="BZ647"/>
    </row>
    <row r="648" spans="1:78">
      <c r="A648" s="72"/>
      <c r="B648"/>
      <c r="C648"/>
      <c r="D648"/>
      <c r="E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</row>
    <row r="649" spans="1:78">
      <c r="A649" s="72"/>
      <c r="B649"/>
      <c r="C649"/>
      <c r="D649"/>
      <c r="E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</row>
    <row r="650" spans="1:78">
      <c r="A650" s="72"/>
      <c r="B650"/>
      <c r="C650"/>
      <c r="D650"/>
      <c r="E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  <c r="BY650"/>
      <c r="BZ650"/>
    </row>
    <row r="651" spans="1:78">
      <c r="A651" s="72"/>
      <c r="B651"/>
      <c r="C651"/>
      <c r="D651"/>
      <c r="E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</row>
    <row r="652" spans="1:78">
      <c r="A652" s="72"/>
      <c r="B652"/>
      <c r="C652"/>
      <c r="D652"/>
      <c r="E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  <c r="BY652"/>
      <c r="BZ652"/>
    </row>
    <row r="653" spans="1:78">
      <c r="A653" s="72"/>
      <c r="B653"/>
      <c r="C653"/>
      <c r="D653"/>
      <c r="E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  <c r="BY653"/>
      <c r="BZ653"/>
    </row>
    <row r="654" spans="1:78">
      <c r="A654" s="72"/>
      <c r="B654"/>
      <c r="C654"/>
      <c r="D654"/>
      <c r="E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  <c r="BY654"/>
      <c r="BZ654"/>
    </row>
    <row r="655" spans="1:78">
      <c r="A655" s="72"/>
      <c r="B655"/>
      <c r="C655"/>
      <c r="D655"/>
      <c r="E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</row>
    <row r="656" spans="1:78">
      <c r="A656" s="72"/>
      <c r="B656"/>
      <c r="C656"/>
      <c r="D656"/>
      <c r="E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</row>
    <row r="657" spans="1:78">
      <c r="A657" s="72"/>
      <c r="B657"/>
      <c r="C657"/>
      <c r="D657"/>
      <c r="E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  <c r="BY657"/>
      <c r="BZ657"/>
    </row>
    <row r="658" spans="1:78">
      <c r="A658" s="72"/>
      <c r="B658"/>
      <c r="C658"/>
      <c r="D658"/>
      <c r="E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</row>
    <row r="659" spans="1:78">
      <c r="A659" s="72"/>
      <c r="B659"/>
      <c r="C659"/>
      <c r="D659"/>
      <c r="E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  <c r="BY659"/>
      <c r="BZ659"/>
    </row>
    <row r="660" spans="1:78">
      <c r="A660" s="72"/>
      <c r="B660"/>
      <c r="C660"/>
      <c r="D660"/>
      <c r="E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  <c r="BY660"/>
      <c r="BZ660"/>
    </row>
    <row r="661" spans="1:78">
      <c r="A661" s="72"/>
      <c r="B661"/>
      <c r="C661"/>
      <c r="D661"/>
      <c r="E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</row>
    <row r="662" spans="1:78">
      <c r="A662" s="72"/>
      <c r="B662"/>
      <c r="C662"/>
      <c r="D662"/>
      <c r="E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  <c r="BY662"/>
      <c r="BZ662"/>
    </row>
    <row r="663" spans="1:78">
      <c r="A663" s="72"/>
      <c r="B663"/>
      <c r="C663"/>
      <c r="D663"/>
      <c r="E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  <c r="BY663"/>
      <c r="BZ663"/>
    </row>
    <row r="664" spans="1:78">
      <c r="A664" s="72"/>
      <c r="B664"/>
      <c r="C664"/>
      <c r="D664"/>
      <c r="E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</row>
    <row r="665" spans="1:78">
      <c r="A665" s="72"/>
      <c r="B665"/>
      <c r="C665"/>
      <c r="D665"/>
      <c r="E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</row>
    <row r="666" spans="1:78">
      <c r="A666" s="72"/>
      <c r="B666"/>
      <c r="C666"/>
      <c r="D666"/>
      <c r="E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</row>
    <row r="667" spans="1:78">
      <c r="A667" s="72"/>
      <c r="B667"/>
      <c r="C667"/>
      <c r="D667"/>
      <c r="E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</row>
    <row r="668" spans="1:78">
      <c r="A668" s="72"/>
      <c r="B668"/>
      <c r="C668"/>
      <c r="D668"/>
      <c r="E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</row>
    <row r="669" spans="1:78">
      <c r="A669" s="72"/>
      <c r="B669"/>
      <c r="C669"/>
      <c r="D669"/>
      <c r="E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  <c r="BY669"/>
      <c r="BZ669"/>
    </row>
    <row r="670" spans="1:78">
      <c r="A670" s="72"/>
      <c r="B670"/>
      <c r="C670"/>
      <c r="D670"/>
      <c r="E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</row>
    <row r="671" spans="1:78">
      <c r="A671" s="72"/>
      <c r="B671"/>
      <c r="C671"/>
      <c r="D671"/>
      <c r="E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</row>
    <row r="672" spans="1:78">
      <c r="A672" s="72"/>
      <c r="B672"/>
      <c r="C672"/>
      <c r="D672"/>
      <c r="E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  <c r="BY672"/>
      <c r="BZ672"/>
    </row>
    <row r="673" spans="1:78">
      <c r="A673" s="72"/>
      <c r="B673"/>
      <c r="C673"/>
      <c r="D673"/>
      <c r="E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</row>
    <row r="674" spans="1:78">
      <c r="A674" s="72"/>
      <c r="B674"/>
      <c r="C674"/>
      <c r="D674"/>
      <c r="E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  <c r="BY674"/>
      <c r="BZ674"/>
    </row>
    <row r="675" spans="1:78">
      <c r="A675" s="72"/>
      <c r="B675"/>
      <c r="C675"/>
      <c r="D675"/>
      <c r="E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  <c r="BY675"/>
      <c r="BZ675"/>
    </row>
    <row r="676" spans="1:78">
      <c r="A676" s="72"/>
      <c r="B676"/>
      <c r="C676"/>
      <c r="D676"/>
      <c r="E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</row>
    <row r="677" spans="1:78">
      <c r="A677" s="72"/>
      <c r="B677"/>
      <c r="C677"/>
      <c r="D677"/>
      <c r="E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</row>
    <row r="678" spans="1:78">
      <c r="A678" s="72"/>
      <c r="B678"/>
      <c r="C678"/>
      <c r="D678"/>
      <c r="E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  <c r="BY678"/>
      <c r="BZ678"/>
    </row>
    <row r="679" spans="1:78">
      <c r="A679" s="72"/>
      <c r="B679"/>
      <c r="C679"/>
      <c r="D679"/>
      <c r="E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</row>
    <row r="680" spans="1:78">
      <c r="A680" s="72"/>
      <c r="B680"/>
      <c r="C680"/>
      <c r="D680"/>
      <c r="E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  <c r="BY680"/>
      <c r="BZ680"/>
    </row>
    <row r="681" spans="1:78">
      <c r="A681" s="72"/>
      <c r="B681"/>
      <c r="C681"/>
      <c r="D681"/>
      <c r="E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</row>
    <row r="682" spans="1:78">
      <c r="A682" s="72"/>
      <c r="B682"/>
      <c r="C682"/>
      <c r="D682"/>
      <c r="E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  <c r="BY682"/>
      <c r="BZ682"/>
    </row>
    <row r="683" spans="1:78">
      <c r="A683" s="72"/>
      <c r="B683"/>
      <c r="C683"/>
      <c r="D683"/>
      <c r="E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</row>
    <row r="684" spans="1:78">
      <c r="A684" s="72"/>
      <c r="B684"/>
      <c r="C684"/>
      <c r="D684"/>
      <c r="E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  <c r="BY684"/>
      <c r="BZ684"/>
    </row>
    <row r="685" spans="1:78">
      <c r="A685" s="72"/>
      <c r="B685"/>
      <c r="C685"/>
      <c r="D685"/>
      <c r="E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  <c r="BY685"/>
      <c r="BZ685"/>
    </row>
    <row r="686" spans="1:78">
      <c r="A686" s="72"/>
      <c r="B686"/>
      <c r="C686"/>
      <c r="D686"/>
      <c r="E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</row>
    <row r="687" spans="1:78">
      <c r="A687" s="72"/>
      <c r="B687"/>
      <c r="C687"/>
      <c r="D687"/>
      <c r="E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  <c r="BY687"/>
      <c r="BZ687"/>
    </row>
    <row r="688" spans="1:78">
      <c r="A688" s="72"/>
      <c r="B688"/>
      <c r="C688"/>
      <c r="D688"/>
      <c r="E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  <c r="BY688"/>
      <c r="BZ688"/>
    </row>
    <row r="689" spans="1:78">
      <c r="A689" s="72"/>
      <c r="B689"/>
      <c r="C689"/>
      <c r="D689"/>
      <c r="E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</row>
    <row r="690" spans="1:78">
      <c r="A690" s="72"/>
      <c r="B690"/>
      <c r="C690"/>
      <c r="D690"/>
      <c r="E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  <c r="BY690"/>
      <c r="BZ690"/>
    </row>
    <row r="691" spans="1:78">
      <c r="A691" s="72"/>
      <c r="B691"/>
      <c r="C691"/>
      <c r="D691"/>
      <c r="E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</row>
    <row r="692" spans="1:78">
      <c r="A692" s="72"/>
      <c r="B692"/>
      <c r="C692"/>
      <c r="D692"/>
      <c r="E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</row>
    <row r="693" spans="1:78">
      <c r="A693" s="72"/>
      <c r="B693"/>
      <c r="C693"/>
      <c r="D693"/>
      <c r="E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</row>
    <row r="694" spans="1:78">
      <c r="A694" s="72"/>
      <c r="B694"/>
      <c r="C694"/>
      <c r="D694"/>
      <c r="E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</row>
    <row r="695" spans="1:78">
      <c r="A695" s="72"/>
      <c r="B695"/>
      <c r="C695"/>
      <c r="D695"/>
      <c r="E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</row>
    <row r="696" spans="1:78">
      <c r="A696" s="72"/>
      <c r="B696"/>
      <c r="C696"/>
      <c r="D696"/>
      <c r="E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</row>
    <row r="697" spans="1:78">
      <c r="A697" s="72"/>
      <c r="B697"/>
      <c r="C697"/>
      <c r="D697"/>
      <c r="E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</row>
    <row r="698" spans="1:78">
      <c r="A698" s="72"/>
      <c r="B698"/>
      <c r="C698"/>
      <c r="D698"/>
      <c r="E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</row>
    <row r="699" spans="1:78">
      <c r="A699" s="72"/>
      <c r="B699"/>
      <c r="C699"/>
      <c r="D699"/>
      <c r="E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</row>
    <row r="700" spans="1:78">
      <c r="A700" s="72"/>
      <c r="B700"/>
      <c r="C700"/>
      <c r="D700"/>
      <c r="E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</row>
    <row r="701" spans="1:78">
      <c r="A701" s="72"/>
      <c r="B701"/>
      <c r="C701"/>
      <c r="D701"/>
      <c r="E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</row>
    <row r="702" spans="1:78">
      <c r="A702" s="72"/>
      <c r="B702"/>
      <c r="C702"/>
      <c r="D702"/>
      <c r="E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</row>
    <row r="703" spans="1:78">
      <c r="A703" s="72"/>
      <c r="B703"/>
      <c r="C703"/>
      <c r="D703"/>
      <c r="E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</row>
    <row r="704" spans="1:78">
      <c r="A704" s="72"/>
      <c r="B704"/>
      <c r="C704"/>
      <c r="D704"/>
      <c r="E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</row>
    <row r="705" spans="1:78">
      <c r="A705" s="72"/>
      <c r="B705"/>
      <c r="C705"/>
      <c r="D705"/>
      <c r="E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</row>
    <row r="706" spans="1:78">
      <c r="A706" s="72"/>
      <c r="B706"/>
      <c r="C706"/>
      <c r="D706"/>
      <c r="E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</row>
    <row r="707" spans="1:78">
      <c r="A707" s="72"/>
      <c r="B707"/>
      <c r="C707"/>
      <c r="D707"/>
      <c r="E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</row>
    <row r="708" spans="1:78">
      <c r="A708" s="72"/>
      <c r="B708"/>
      <c r="C708"/>
      <c r="D708"/>
      <c r="E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</row>
    <row r="709" spans="1:78">
      <c r="A709" s="72"/>
      <c r="B709"/>
      <c r="C709"/>
      <c r="D709"/>
      <c r="E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</row>
    <row r="710" spans="1:78">
      <c r="A710" s="72"/>
      <c r="B710"/>
      <c r="C710"/>
      <c r="D710"/>
      <c r="E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</row>
    <row r="711" spans="1:78">
      <c r="A711" s="72"/>
      <c r="B711"/>
      <c r="C711"/>
      <c r="D711"/>
      <c r="E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</row>
    <row r="712" spans="1:78">
      <c r="A712" s="72"/>
      <c r="B712"/>
      <c r="C712"/>
      <c r="D712"/>
      <c r="E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</row>
    <row r="713" spans="1:78">
      <c r="A713" s="72"/>
      <c r="B713"/>
      <c r="C713"/>
      <c r="D713"/>
      <c r="E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</row>
    <row r="714" spans="1:78">
      <c r="A714" s="72"/>
      <c r="B714"/>
      <c r="C714"/>
      <c r="D714"/>
      <c r="E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</row>
    <row r="715" spans="1:78">
      <c r="A715" s="72"/>
      <c r="B715"/>
      <c r="C715"/>
      <c r="D715"/>
      <c r="E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</row>
    <row r="716" spans="1:78">
      <c r="A716" s="72"/>
      <c r="B716"/>
      <c r="C716"/>
      <c r="D716"/>
      <c r="E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</row>
    <row r="717" spans="1:78">
      <c r="A717" s="72"/>
      <c r="B717"/>
      <c r="C717"/>
      <c r="D717"/>
      <c r="E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</row>
    <row r="718" spans="1:78">
      <c r="A718" s="72"/>
      <c r="B718"/>
      <c r="C718"/>
      <c r="D718"/>
      <c r="E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</row>
    <row r="719" spans="1:78">
      <c r="A719" s="72"/>
      <c r="B719"/>
      <c r="C719"/>
      <c r="D719"/>
      <c r="E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</row>
    <row r="720" spans="1:78">
      <c r="A720" s="72"/>
      <c r="B720"/>
      <c r="C720"/>
      <c r="D720"/>
      <c r="E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</row>
    <row r="721" spans="1:78">
      <c r="A721" s="72"/>
      <c r="B721"/>
      <c r="C721"/>
      <c r="D721"/>
      <c r="E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</row>
    <row r="722" spans="1:78">
      <c r="A722" s="72"/>
      <c r="B722"/>
      <c r="C722"/>
      <c r="D722"/>
      <c r="E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</row>
    <row r="723" spans="1:78">
      <c r="A723" s="72"/>
      <c r="B723"/>
      <c r="C723"/>
      <c r="D723"/>
      <c r="E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</row>
    <row r="724" spans="1:78">
      <c r="A724" s="72"/>
      <c r="B724"/>
      <c r="C724"/>
      <c r="D724"/>
      <c r="E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</row>
    <row r="725" spans="1:78">
      <c r="A725" s="72"/>
      <c r="B725"/>
      <c r="C725"/>
      <c r="D725"/>
      <c r="E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</row>
    <row r="726" spans="1:78">
      <c r="A726" s="72"/>
      <c r="B726"/>
      <c r="C726"/>
      <c r="D726"/>
      <c r="E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</row>
    <row r="727" spans="1:78">
      <c r="A727" s="72"/>
      <c r="B727"/>
      <c r="C727"/>
      <c r="D727"/>
      <c r="E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</row>
    <row r="728" spans="1:78">
      <c r="A728" s="72"/>
      <c r="B728"/>
      <c r="C728"/>
      <c r="D728"/>
      <c r="E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</row>
    <row r="729" spans="1:78">
      <c r="A729" s="72"/>
      <c r="B729"/>
      <c r="C729"/>
      <c r="D729"/>
      <c r="E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</row>
    <row r="730" spans="1:78">
      <c r="A730" s="72"/>
      <c r="B730"/>
      <c r="C730"/>
      <c r="D730"/>
      <c r="E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</row>
    <row r="731" spans="1:78">
      <c r="A731" s="72"/>
      <c r="B731"/>
      <c r="C731"/>
      <c r="D731"/>
      <c r="E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</row>
    <row r="732" spans="1:78">
      <c r="A732" s="72"/>
      <c r="B732"/>
      <c r="C732"/>
      <c r="D732"/>
      <c r="E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</row>
    <row r="733" spans="1:78">
      <c r="A733" s="72"/>
      <c r="B733"/>
      <c r="C733"/>
      <c r="D733"/>
      <c r="E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</row>
    <row r="734" spans="1:78">
      <c r="A734" s="72"/>
      <c r="B734"/>
      <c r="C734"/>
      <c r="D734"/>
      <c r="E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</row>
    <row r="735" spans="1:78">
      <c r="A735" s="72"/>
      <c r="B735"/>
      <c r="C735"/>
      <c r="D735"/>
      <c r="E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</row>
    <row r="736" spans="1:78">
      <c r="A736" s="72"/>
      <c r="B736"/>
      <c r="C736"/>
      <c r="D736"/>
      <c r="E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</row>
    <row r="737" spans="1:78">
      <c r="A737" s="72"/>
      <c r="B737"/>
      <c r="C737"/>
      <c r="D737"/>
      <c r="E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</row>
    <row r="738" spans="1:78">
      <c r="A738" s="72"/>
      <c r="B738"/>
      <c r="C738"/>
      <c r="D738"/>
      <c r="E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</row>
    <row r="739" spans="1:78">
      <c r="A739" s="72"/>
      <c r="B739"/>
      <c r="C739"/>
      <c r="D739"/>
      <c r="E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</row>
    <row r="740" spans="1:78">
      <c r="A740" s="72"/>
      <c r="B740"/>
      <c r="C740"/>
      <c r="D740"/>
      <c r="E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  <c r="BY740"/>
      <c r="BZ740"/>
    </row>
    <row r="741" spans="1:78">
      <c r="A741" s="72"/>
      <c r="B741"/>
      <c r="C741"/>
      <c r="D741"/>
      <c r="E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  <c r="BY741"/>
      <c r="BZ741"/>
    </row>
    <row r="742" spans="1:78">
      <c r="A742" s="72"/>
      <c r="B742"/>
      <c r="C742"/>
      <c r="D742"/>
      <c r="E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</row>
    <row r="743" spans="1:78">
      <c r="A743" s="72"/>
      <c r="B743"/>
      <c r="C743"/>
      <c r="D743"/>
      <c r="E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  <c r="BY743"/>
      <c r="BZ743"/>
    </row>
    <row r="744" spans="1:78">
      <c r="A744" s="72"/>
      <c r="B744"/>
      <c r="C744"/>
      <c r="D744"/>
      <c r="E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</row>
    <row r="745" spans="1:78">
      <c r="A745" s="72"/>
      <c r="B745"/>
      <c r="C745"/>
      <c r="D745"/>
      <c r="E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  <c r="BY745"/>
      <c r="BZ745"/>
    </row>
    <row r="746" spans="1:78">
      <c r="A746" s="72"/>
      <c r="B746"/>
      <c r="C746"/>
      <c r="D746"/>
      <c r="E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</row>
    <row r="747" spans="1:78">
      <c r="A747" s="72"/>
      <c r="B747"/>
      <c r="C747"/>
      <c r="D747"/>
      <c r="E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</row>
    <row r="748" spans="1:78">
      <c r="A748" s="72"/>
      <c r="B748"/>
      <c r="C748"/>
      <c r="D748"/>
      <c r="E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  <c r="BY748"/>
      <c r="BZ748"/>
    </row>
    <row r="749" spans="1:78">
      <c r="A749" s="72"/>
      <c r="B749"/>
      <c r="C749"/>
      <c r="D749"/>
      <c r="E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</row>
    <row r="750" spans="1:78">
      <c r="A750" s="72"/>
      <c r="B750"/>
      <c r="C750"/>
      <c r="D750"/>
      <c r="E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</row>
    <row r="751" spans="1:78">
      <c r="A751" s="72"/>
      <c r="B751"/>
      <c r="C751"/>
      <c r="D751"/>
      <c r="E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</row>
    <row r="752" spans="1:78">
      <c r="A752" s="72"/>
      <c r="B752"/>
      <c r="C752"/>
      <c r="D752"/>
      <c r="E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  <c r="BY752"/>
      <c r="BZ752"/>
    </row>
    <row r="753" spans="1:78">
      <c r="A753" s="72"/>
      <c r="B753"/>
      <c r="C753"/>
      <c r="D753"/>
      <c r="E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</row>
    <row r="754" spans="1:78">
      <c r="A754" s="72"/>
      <c r="B754"/>
      <c r="C754"/>
      <c r="D754"/>
      <c r="E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  <c r="BY754"/>
      <c r="BZ754"/>
    </row>
    <row r="755" spans="1:78">
      <c r="A755" s="72"/>
      <c r="B755"/>
      <c r="C755"/>
      <c r="D755"/>
      <c r="E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</row>
    <row r="756" spans="1:78">
      <c r="A756" s="72"/>
      <c r="B756"/>
      <c r="C756"/>
      <c r="D756"/>
      <c r="E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  <c r="BY756"/>
      <c r="BZ756"/>
    </row>
    <row r="757" spans="1:78">
      <c r="A757" s="72"/>
      <c r="B757"/>
      <c r="C757"/>
      <c r="D757"/>
      <c r="E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  <c r="BY757"/>
      <c r="BZ757"/>
    </row>
    <row r="758" spans="1:78">
      <c r="A758" s="72"/>
      <c r="B758"/>
      <c r="C758"/>
      <c r="D758"/>
      <c r="E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</row>
    <row r="759" spans="1:78">
      <c r="A759" s="72"/>
      <c r="B759"/>
      <c r="C759"/>
      <c r="D759"/>
      <c r="E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</row>
    <row r="760" spans="1:78">
      <c r="A760" s="72"/>
      <c r="B760"/>
      <c r="C760"/>
      <c r="D760"/>
      <c r="E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  <c r="BY760"/>
      <c r="BZ760"/>
    </row>
    <row r="761" spans="1:78">
      <c r="A761" s="72"/>
      <c r="B761"/>
      <c r="C761"/>
      <c r="D761"/>
      <c r="E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</row>
    <row r="762" spans="1:78">
      <c r="A762" s="72"/>
      <c r="B762"/>
      <c r="C762"/>
      <c r="D762"/>
      <c r="E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</row>
    <row r="763" spans="1:78">
      <c r="A763" s="72"/>
      <c r="B763"/>
      <c r="C763"/>
      <c r="D763"/>
      <c r="E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  <c r="BY763"/>
      <c r="BZ763"/>
    </row>
    <row r="764" spans="1:78">
      <c r="A764" s="72"/>
      <c r="B764"/>
      <c r="C764"/>
      <c r="D764"/>
      <c r="E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  <c r="BY764"/>
      <c r="BZ764"/>
    </row>
    <row r="765" spans="1:78">
      <c r="A765" s="72"/>
      <c r="B765"/>
      <c r="C765"/>
      <c r="D765"/>
      <c r="E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</row>
    <row r="766" spans="1:78">
      <c r="A766" s="72"/>
      <c r="B766"/>
      <c r="C766"/>
      <c r="D766"/>
      <c r="E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</row>
    <row r="767" spans="1:78">
      <c r="A767" s="72"/>
      <c r="B767"/>
      <c r="C767"/>
      <c r="D767"/>
      <c r="E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</row>
    <row r="768" spans="1:78">
      <c r="A768" s="72"/>
      <c r="B768"/>
      <c r="C768"/>
      <c r="D768"/>
      <c r="E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  <c r="BY768"/>
      <c r="BZ768"/>
    </row>
    <row r="769" spans="1:78">
      <c r="A769" s="72"/>
      <c r="B769"/>
      <c r="C769"/>
      <c r="D769"/>
      <c r="E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</row>
    <row r="770" spans="1:78">
      <c r="A770" s="72"/>
      <c r="B770"/>
      <c r="C770"/>
      <c r="D770"/>
      <c r="E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</row>
    <row r="771" spans="1:78">
      <c r="A771" s="72"/>
      <c r="B771"/>
      <c r="C771"/>
      <c r="D771"/>
      <c r="E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</row>
    <row r="772" spans="1:78">
      <c r="A772" s="72"/>
      <c r="B772"/>
      <c r="C772"/>
      <c r="D772"/>
      <c r="E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</row>
    <row r="773" spans="1:78">
      <c r="A773" s="72"/>
      <c r="B773"/>
      <c r="C773"/>
      <c r="D773"/>
      <c r="E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</row>
    <row r="774" spans="1:78">
      <c r="A774" s="72"/>
      <c r="B774"/>
      <c r="C774"/>
      <c r="D774"/>
      <c r="E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</row>
    <row r="775" spans="1:78">
      <c r="A775" s="72"/>
      <c r="B775"/>
      <c r="C775"/>
      <c r="D775"/>
      <c r="E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</row>
    <row r="776" spans="1:78">
      <c r="A776" s="72"/>
      <c r="B776"/>
      <c r="C776"/>
      <c r="D776"/>
      <c r="E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</row>
    <row r="777" spans="1:78">
      <c r="A777" s="72"/>
      <c r="B777"/>
      <c r="C777"/>
      <c r="D777"/>
      <c r="E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</row>
    <row r="778" spans="1:78">
      <c r="A778" s="72"/>
      <c r="B778"/>
      <c r="C778"/>
      <c r="D778"/>
      <c r="E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</row>
    <row r="779" spans="1:78">
      <c r="A779" s="72"/>
      <c r="B779"/>
      <c r="C779"/>
      <c r="D779"/>
      <c r="E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</row>
    <row r="780" spans="1:78">
      <c r="A780" s="72"/>
      <c r="B780"/>
      <c r="C780"/>
      <c r="D780"/>
      <c r="E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</row>
    <row r="781" spans="1:78">
      <c r="A781" s="72"/>
      <c r="B781"/>
      <c r="C781"/>
      <c r="D781"/>
      <c r="E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</row>
    <row r="782" spans="1:78">
      <c r="A782" s="72"/>
      <c r="B782"/>
      <c r="C782"/>
      <c r="D782"/>
      <c r="E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</row>
    <row r="783" spans="1:78">
      <c r="A783" s="72"/>
      <c r="B783"/>
      <c r="C783"/>
      <c r="D783"/>
      <c r="E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</row>
    <row r="784" spans="1:78">
      <c r="A784" s="72"/>
      <c r="B784"/>
      <c r="C784"/>
      <c r="D784"/>
      <c r="E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</row>
    <row r="785" spans="1:78">
      <c r="A785" s="72"/>
      <c r="B785"/>
      <c r="C785"/>
      <c r="D785"/>
      <c r="E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</row>
    <row r="786" spans="1:78">
      <c r="A786" s="72"/>
      <c r="B786"/>
      <c r="C786"/>
      <c r="D786"/>
      <c r="E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</row>
    <row r="787" spans="1:78">
      <c r="A787" s="72"/>
      <c r="B787"/>
      <c r="C787"/>
      <c r="D787"/>
      <c r="E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</row>
    <row r="788" spans="1:78">
      <c r="A788" s="72"/>
      <c r="B788"/>
      <c r="C788"/>
      <c r="D788"/>
      <c r="E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</row>
    <row r="789" spans="1:78">
      <c r="A789" s="72"/>
      <c r="B789"/>
      <c r="C789"/>
      <c r="D789"/>
      <c r="E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</row>
    <row r="790" spans="1:78">
      <c r="A790" s="72"/>
      <c r="B790"/>
      <c r="C790"/>
      <c r="D790"/>
      <c r="E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</row>
    <row r="791" spans="1:78">
      <c r="A791" s="72"/>
      <c r="B791"/>
      <c r="C791"/>
      <c r="D791"/>
      <c r="E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</row>
    <row r="792" spans="1:78">
      <c r="A792" s="72"/>
      <c r="B792"/>
      <c r="C792"/>
      <c r="D792"/>
      <c r="E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</row>
    <row r="793" spans="1:78">
      <c r="A793" s="72"/>
      <c r="B793"/>
      <c r="C793"/>
      <c r="D793"/>
      <c r="E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</row>
    <row r="794" spans="1:78">
      <c r="A794" s="72"/>
      <c r="B794"/>
      <c r="C794"/>
      <c r="D794"/>
      <c r="E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</row>
    <row r="795" spans="1:78">
      <c r="A795" s="72"/>
      <c r="B795"/>
      <c r="C795"/>
      <c r="D795"/>
      <c r="E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</row>
    <row r="796" spans="1:78">
      <c r="A796" s="72"/>
      <c r="B796"/>
      <c r="C796"/>
      <c r="D796"/>
      <c r="E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</row>
    <row r="797" spans="1:78">
      <c r="A797" s="72"/>
      <c r="B797"/>
      <c r="C797"/>
      <c r="D797"/>
      <c r="E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</row>
    <row r="798" spans="1:78">
      <c r="A798" s="72"/>
      <c r="B798"/>
      <c r="C798"/>
      <c r="D798"/>
      <c r="E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</row>
    <row r="799" spans="1:78">
      <c r="A799" s="72"/>
      <c r="B799"/>
      <c r="C799"/>
      <c r="D799"/>
      <c r="E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</row>
    <row r="800" spans="1:78">
      <c r="A800" s="72"/>
      <c r="B800"/>
      <c r="C800"/>
      <c r="D800"/>
      <c r="E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</row>
    <row r="801" spans="1:78">
      <c r="A801" s="72"/>
      <c r="B801"/>
      <c r="C801"/>
      <c r="D801"/>
      <c r="E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</row>
    <row r="802" spans="1:78">
      <c r="A802" s="72"/>
      <c r="B802"/>
      <c r="C802"/>
      <c r="D802"/>
      <c r="E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</row>
    <row r="803" spans="1:78">
      <c r="A803" s="72"/>
      <c r="B803"/>
      <c r="C803"/>
      <c r="D803"/>
      <c r="E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</row>
    <row r="804" spans="1:78">
      <c r="A804" s="72"/>
      <c r="B804"/>
      <c r="C804"/>
      <c r="D804"/>
      <c r="E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</row>
    <row r="805" spans="1:78">
      <c r="A805" s="72"/>
      <c r="B805"/>
      <c r="C805"/>
      <c r="D805"/>
      <c r="E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</row>
    <row r="806" spans="1:78">
      <c r="A806" s="72"/>
      <c r="B806"/>
      <c r="C806"/>
      <c r="D806"/>
      <c r="E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</row>
    <row r="807" spans="1:78">
      <c r="A807" s="72"/>
      <c r="B807"/>
      <c r="C807"/>
      <c r="D807"/>
      <c r="E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</row>
    <row r="808" spans="1:78">
      <c r="A808" s="72"/>
      <c r="B808"/>
      <c r="C808"/>
      <c r="D808"/>
      <c r="E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</row>
    <row r="809" spans="1:78">
      <c r="A809" s="72"/>
      <c r="B809"/>
      <c r="C809"/>
      <c r="D809"/>
      <c r="E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</row>
    <row r="810" spans="1:78">
      <c r="A810" s="72"/>
      <c r="B810"/>
      <c r="C810"/>
      <c r="D810"/>
      <c r="E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</row>
    <row r="811" spans="1:78">
      <c r="A811" s="72"/>
      <c r="B811"/>
      <c r="C811"/>
      <c r="D811"/>
      <c r="E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</row>
    <row r="812" spans="1:78">
      <c r="A812" s="72"/>
      <c r="B812"/>
      <c r="C812"/>
      <c r="D812"/>
      <c r="E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</row>
    <row r="813" spans="1:78">
      <c r="A813" s="72"/>
      <c r="B813"/>
      <c r="C813"/>
      <c r="D813"/>
      <c r="E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</row>
    <row r="814" spans="1:78">
      <c r="A814" s="72"/>
      <c r="B814"/>
      <c r="C814"/>
      <c r="D814"/>
      <c r="E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</row>
    <row r="815" spans="1:78">
      <c r="A815" s="72"/>
      <c r="B815"/>
      <c r="C815"/>
      <c r="D815"/>
      <c r="E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</row>
    <row r="816" spans="1:78">
      <c r="A816" s="72"/>
      <c r="B816"/>
      <c r="C816"/>
      <c r="D816"/>
      <c r="E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</row>
    <row r="817" spans="1:78">
      <c r="A817" s="72"/>
      <c r="B817"/>
      <c r="C817"/>
      <c r="D817"/>
      <c r="E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</row>
    <row r="818" spans="1:78">
      <c r="A818" s="72"/>
      <c r="B818"/>
      <c r="C818"/>
      <c r="D818"/>
      <c r="E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</row>
    <row r="819" spans="1:78">
      <c r="A819" s="72"/>
      <c r="B819"/>
      <c r="C819"/>
      <c r="D819"/>
      <c r="E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</row>
    <row r="820" spans="1:78">
      <c r="A820" s="72"/>
      <c r="B820"/>
      <c r="C820"/>
      <c r="D820"/>
      <c r="E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</row>
    <row r="821" spans="1:78">
      <c r="A821" s="72"/>
      <c r="B821"/>
      <c r="C821"/>
      <c r="D821"/>
      <c r="E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</row>
    <row r="822" spans="1:78">
      <c r="A822" s="72"/>
      <c r="B822"/>
      <c r="C822"/>
      <c r="D822"/>
      <c r="E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</row>
    <row r="823" spans="1:78">
      <c r="A823" s="72"/>
      <c r="B823"/>
      <c r="C823"/>
      <c r="D823"/>
      <c r="E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</row>
    <row r="824" spans="1:78">
      <c r="A824" s="72"/>
      <c r="B824"/>
      <c r="C824"/>
      <c r="D824"/>
      <c r="E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</row>
    <row r="825" spans="1:78">
      <c r="A825" s="72"/>
      <c r="B825"/>
      <c r="C825"/>
      <c r="D825"/>
      <c r="E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</row>
    <row r="826" spans="1:78">
      <c r="A826" s="72"/>
      <c r="B826"/>
      <c r="C826"/>
      <c r="D826"/>
      <c r="E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</row>
    <row r="827" spans="1:78">
      <c r="A827" s="72"/>
      <c r="B827"/>
      <c r="C827"/>
      <c r="D827"/>
      <c r="E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</row>
    <row r="828" spans="1:78">
      <c r="A828" s="72"/>
      <c r="B828"/>
      <c r="C828"/>
      <c r="D828"/>
      <c r="E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</row>
    <row r="829" spans="1:78">
      <c r="A829" s="72"/>
      <c r="B829"/>
      <c r="C829"/>
      <c r="D829"/>
      <c r="E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</row>
    <row r="830" spans="1:78">
      <c r="A830" s="72"/>
      <c r="B830"/>
      <c r="C830"/>
      <c r="D830"/>
      <c r="E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</row>
    <row r="831" spans="1:78">
      <c r="A831" s="72"/>
      <c r="B831"/>
      <c r="C831"/>
      <c r="D831"/>
      <c r="E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</row>
    <row r="832" spans="1:78">
      <c r="A832" s="72"/>
      <c r="B832"/>
      <c r="C832"/>
      <c r="D832"/>
      <c r="E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</row>
    <row r="833" spans="1:78">
      <c r="A833" s="72"/>
      <c r="B833"/>
      <c r="C833"/>
      <c r="D833"/>
      <c r="E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</row>
    <row r="834" spans="1:78">
      <c r="A834" s="72"/>
      <c r="B834"/>
      <c r="C834"/>
      <c r="D834"/>
      <c r="E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</row>
    <row r="835" spans="1:78">
      <c r="A835" s="72"/>
      <c r="B835"/>
      <c r="C835"/>
      <c r="D835"/>
      <c r="E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</row>
    <row r="836" spans="1:78">
      <c r="A836" s="72"/>
      <c r="B836"/>
      <c r="C836"/>
      <c r="D836"/>
      <c r="E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</row>
    <row r="837" spans="1:78">
      <c r="A837" s="72"/>
      <c r="B837"/>
      <c r="C837"/>
      <c r="D837"/>
      <c r="E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</row>
    <row r="838" spans="1:78">
      <c r="A838" s="72"/>
      <c r="B838"/>
      <c r="C838"/>
      <c r="D838"/>
      <c r="E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</row>
    <row r="839" spans="1:78">
      <c r="A839" s="72"/>
      <c r="B839"/>
      <c r="C839"/>
      <c r="D839"/>
      <c r="E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</row>
    <row r="840" spans="1:78">
      <c r="A840" s="72"/>
      <c r="B840"/>
      <c r="C840"/>
      <c r="D840"/>
      <c r="E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</row>
    <row r="841" spans="1:78">
      <c r="A841" s="72"/>
      <c r="B841"/>
      <c r="C841"/>
      <c r="D841"/>
      <c r="E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</row>
    <row r="842" spans="1:78">
      <c r="A842" s="72"/>
      <c r="B842"/>
      <c r="C842"/>
      <c r="D842"/>
      <c r="E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</row>
    <row r="843" spans="1:78">
      <c r="A843" s="72"/>
      <c r="B843"/>
      <c r="C843"/>
      <c r="D843"/>
      <c r="E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</row>
    <row r="844" spans="1:78">
      <c r="A844" s="72"/>
      <c r="B844"/>
      <c r="C844"/>
      <c r="D844"/>
      <c r="E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</row>
    <row r="845" spans="1:78">
      <c r="A845" s="72"/>
      <c r="B845"/>
      <c r="C845"/>
      <c r="D845"/>
      <c r="E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</row>
    <row r="846" spans="1:78">
      <c r="A846" s="72"/>
      <c r="B846"/>
      <c r="C846"/>
      <c r="D846"/>
      <c r="E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</row>
    <row r="847" spans="1:78">
      <c r="A847" s="72"/>
      <c r="B847"/>
      <c r="C847"/>
      <c r="D847"/>
      <c r="E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</row>
    <row r="848" spans="1:78">
      <c r="A848" s="72"/>
      <c r="B848"/>
      <c r="C848"/>
      <c r="D848"/>
      <c r="E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</row>
    <row r="849" spans="1:78">
      <c r="A849" s="72"/>
      <c r="B849"/>
      <c r="C849"/>
      <c r="D849"/>
      <c r="E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</row>
    <row r="850" spans="1:78">
      <c r="A850" s="72"/>
      <c r="B850"/>
      <c r="C850"/>
      <c r="D850"/>
      <c r="E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</row>
    <row r="851" spans="1:78">
      <c r="A851" s="72"/>
      <c r="B851"/>
      <c r="C851"/>
      <c r="D851"/>
      <c r="E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</row>
    <row r="852" spans="1:78">
      <c r="A852" s="72"/>
      <c r="B852"/>
      <c r="C852"/>
      <c r="D852"/>
      <c r="E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</row>
    <row r="853" spans="1:78">
      <c r="A853" s="72"/>
      <c r="B853"/>
      <c r="C853"/>
      <c r="D853"/>
      <c r="E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</row>
    <row r="854" spans="1:78">
      <c r="A854" s="72"/>
      <c r="B854"/>
      <c r="C854"/>
      <c r="D854"/>
      <c r="E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</row>
    <row r="855" spans="1:78">
      <c r="A855" s="72"/>
      <c r="B855"/>
      <c r="C855"/>
      <c r="D855"/>
      <c r="E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</row>
    <row r="856" spans="1:78">
      <c r="A856" s="72"/>
      <c r="B856"/>
      <c r="C856"/>
      <c r="D856"/>
      <c r="E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</row>
    <row r="857" spans="1:78">
      <c r="A857" s="72"/>
      <c r="B857"/>
      <c r="C857"/>
      <c r="D857"/>
      <c r="E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</row>
    <row r="858" spans="1:78">
      <c r="A858" s="72"/>
      <c r="B858"/>
      <c r="C858"/>
      <c r="D858"/>
      <c r="E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</row>
    <row r="859" spans="1:78">
      <c r="A859" s="72"/>
      <c r="B859"/>
      <c r="C859"/>
      <c r="D859"/>
      <c r="E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</row>
    <row r="860" spans="1:78">
      <c r="A860" s="72"/>
      <c r="B860"/>
      <c r="C860"/>
      <c r="D860"/>
      <c r="E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</row>
    <row r="861" spans="1:78">
      <c r="A861" s="72"/>
      <c r="B861"/>
      <c r="C861"/>
      <c r="D861"/>
      <c r="E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</row>
    <row r="862" spans="1:78">
      <c r="A862" s="72"/>
      <c r="B862"/>
      <c r="C862"/>
      <c r="D862"/>
      <c r="E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</row>
    <row r="863" spans="1:78">
      <c r="A863" s="72"/>
      <c r="B863"/>
      <c r="C863"/>
      <c r="D863"/>
      <c r="E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</row>
    <row r="864" spans="1:78">
      <c r="A864" s="72"/>
      <c r="B864"/>
      <c r="C864"/>
      <c r="D864"/>
      <c r="E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</row>
    <row r="865" spans="1:78">
      <c r="A865" s="72"/>
      <c r="B865"/>
      <c r="C865"/>
      <c r="D865"/>
      <c r="E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</row>
    <row r="866" spans="1:78">
      <c r="A866" s="72"/>
      <c r="B866"/>
      <c r="C866"/>
      <c r="D866"/>
      <c r="E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</row>
    <row r="867" spans="1:78">
      <c r="A867" s="72"/>
      <c r="B867"/>
      <c r="C867"/>
      <c r="D867"/>
      <c r="E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</row>
    <row r="868" spans="1:78">
      <c r="A868" s="72"/>
      <c r="B868"/>
      <c r="C868"/>
      <c r="D868"/>
      <c r="E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</row>
    <row r="869" spans="1:78">
      <c r="A869" s="72"/>
      <c r="B869"/>
      <c r="C869"/>
      <c r="D869"/>
      <c r="E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</row>
    <row r="870" spans="1:78">
      <c r="A870" s="72"/>
      <c r="B870"/>
      <c r="C870"/>
      <c r="D870"/>
      <c r="E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</row>
    <row r="871" spans="1:78">
      <c r="A871" s="72"/>
      <c r="B871"/>
      <c r="C871"/>
      <c r="D871"/>
      <c r="E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</row>
    <row r="872" spans="1:78">
      <c r="A872" s="72"/>
      <c r="B872"/>
      <c r="C872"/>
      <c r="D872"/>
      <c r="E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</row>
    <row r="873" spans="1:78">
      <c r="A873" s="72"/>
      <c r="B873"/>
      <c r="C873"/>
      <c r="D873"/>
      <c r="E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</row>
    <row r="874" spans="1:78">
      <c r="A874" s="72"/>
      <c r="B874"/>
      <c r="C874"/>
      <c r="D874"/>
      <c r="E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</row>
    <row r="875" spans="1:78">
      <c r="A875" s="72"/>
      <c r="B875"/>
      <c r="C875"/>
      <c r="D875"/>
      <c r="E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</row>
    <row r="876" spans="1:78">
      <c r="A876" s="72"/>
      <c r="B876"/>
      <c r="C876"/>
      <c r="D876"/>
      <c r="E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</row>
    <row r="877" spans="1:78">
      <c r="A877" s="72"/>
      <c r="B877"/>
      <c r="C877"/>
      <c r="D877"/>
      <c r="E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</row>
    <row r="878" spans="1:78">
      <c r="A878" s="72"/>
      <c r="B878"/>
      <c r="C878"/>
      <c r="D878"/>
      <c r="E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</row>
    <row r="879" spans="1:78">
      <c r="A879" s="72"/>
      <c r="B879"/>
      <c r="C879"/>
      <c r="D879"/>
      <c r="E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</row>
    <row r="880" spans="1:78">
      <c r="A880" s="72"/>
      <c r="B880"/>
      <c r="C880"/>
      <c r="D880"/>
      <c r="E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</row>
    <row r="881" spans="1:78">
      <c r="A881" s="72"/>
      <c r="B881"/>
      <c r="C881"/>
      <c r="D881"/>
      <c r="E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</row>
    <row r="882" spans="1:78">
      <c r="A882" s="72"/>
      <c r="B882"/>
      <c r="C882"/>
      <c r="D882"/>
      <c r="E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</row>
    <row r="883" spans="1:78">
      <c r="A883" s="72"/>
      <c r="B883"/>
      <c r="C883"/>
      <c r="D883"/>
      <c r="E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</row>
    <row r="884" spans="1:78">
      <c r="A884" s="72"/>
      <c r="B884"/>
      <c r="C884"/>
      <c r="D884"/>
      <c r="E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</row>
    <row r="885" spans="1:78">
      <c r="A885" s="72"/>
      <c r="B885"/>
      <c r="C885"/>
      <c r="D885"/>
      <c r="E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</row>
    <row r="886" spans="1:78">
      <c r="A886" s="72"/>
      <c r="B886"/>
      <c r="C886"/>
      <c r="D886"/>
      <c r="E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</row>
    <row r="887" spans="1:78">
      <c r="A887" s="72"/>
      <c r="B887"/>
      <c r="C887"/>
      <c r="D887"/>
      <c r="E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</row>
    <row r="888" spans="1:78">
      <c r="A888" s="72"/>
      <c r="B888"/>
      <c r="C888"/>
      <c r="D888"/>
      <c r="E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</row>
    <row r="889" spans="1:78">
      <c r="A889" s="72"/>
      <c r="B889"/>
      <c r="C889"/>
      <c r="D889"/>
      <c r="E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</row>
    <row r="890" spans="1:78">
      <c r="A890" s="72"/>
      <c r="B890"/>
      <c r="C890"/>
      <c r="D890"/>
      <c r="E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</row>
    <row r="891" spans="1:78">
      <c r="A891" s="72"/>
      <c r="B891"/>
      <c r="C891"/>
      <c r="D891"/>
      <c r="E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</row>
    <row r="892" spans="1:78">
      <c r="A892" s="72"/>
      <c r="B892"/>
      <c r="C892"/>
      <c r="D892"/>
      <c r="E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</row>
    <row r="893" spans="1:78">
      <c r="A893" s="72"/>
      <c r="B893"/>
      <c r="C893"/>
      <c r="D893"/>
      <c r="E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</row>
    <row r="894" spans="1:78">
      <c r="A894" s="72"/>
      <c r="B894"/>
      <c r="C894"/>
      <c r="D894"/>
      <c r="E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</row>
    <row r="895" spans="1:78">
      <c r="A895" s="72"/>
      <c r="B895"/>
      <c r="C895"/>
      <c r="D895"/>
      <c r="E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</row>
    <row r="896" spans="1:78">
      <c r="A896" s="72"/>
      <c r="B896"/>
      <c r="C896"/>
      <c r="D896"/>
      <c r="E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</row>
    <row r="897" spans="1:78">
      <c r="A897" s="72"/>
      <c r="B897"/>
      <c r="C897"/>
      <c r="D897"/>
      <c r="E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</row>
    <row r="898" spans="1:78">
      <c r="A898" s="72"/>
      <c r="B898"/>
      <c r="C898"/>
      <c r="D898"/>
      <c r="E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</row>
    <row r="899" spans="1:78">
      <c r="A899" s="72"/>
      <c r="B899"/>
      <c r="C899"/>
      <c r="D899"/>
      <c r="E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</row>
    <row r="900" spans="1:78">
      <c r="A900" s="72"/>
      <c r="B900"/>
      <c r="C900"/>
      <c r="D900"/>
      <c r="E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</row>
    <row r="901" spans="1:78">
      <c r="A901" s="72"/>
      <c r="B901"/>
      <c r="C901"/>
      <c r="D901"/>
      <c r="E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  <c r="BY901"/>
      <c r="BZ901"/>
    </row>
    <row r="902" spans="1:78">
      <c r="A902" s="72"/>
      <c r="B902"/>
      <c r="C902"/>
      <c r="D902"/>
      <c r="E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  <c r="BY902"/>
      <c r="BZ902"/>
    </row>
    <row r="903" spans="1:78">
      <c r="A903" s="72"/>
      <c r="B903"/>
      <c r="C903"/>
      <c r="D903"/>
      <c r="E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</row>
    <row r="904" spans="1:78">
      <c r="A904" s="72"/>
      <c r="B904"/>
      <c r="C904"/>
      <c r="D904"/>
      <c r="E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  <c r="BY904"/>
      <c r="BZ904"/>
    </row>
    <row r="905" spans="1:78">
      <c r="A905" s="72"/>
      <c r="B905"/>
      <c r="C905"/>
      <c r="D905"/>
      <c r="E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</row>
    <row r="906" spans="1:78">
      <c r="A906" s="72"/>
      <c r="B906"/>
      <c r="C906"/>
      <c r="D906"/>
      <c r="E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</row>
    <row r="907" spans="1:78">
      <c r="A907" s="72"/>
      <c r="B907"/>
      <c r="C907"/>
      <c r="D907"/>
      <c r="E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</row>
    <row r="908" spans="1:78">
      <c r="A908" s="72"/>
      <c r="B908"/>
      <c r="C908"/>
      <c r="D908"/>
      <c r="E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</row>
    <row r="909" spans="1:78">
      <c r="A909" s="72"/>
      <c r="B909"/>
      <c r="C909"/>
      <c r="D909"/>
      <c r="E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</row>
    <row r="910" spans="1:78">
      <c r="A910" s="72"/>
      <c r="B910"/>
      <c r="C910"/>
      <c r="D910"/>
      <c r="E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</row>
    <row r="911" spans="1:78">
      <c r="A911" s="72"/>
      <c r="B911"/>
      <c r="C911"/>
      <c r="D911"/>
      <c r="E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</row>
    <row r="912" spans="1:78">
      <c r="A912" s="72"/>
      <c r="B912"/>
      <c r="C912"/>
      <c r="D912"/>
      <c r="E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</row>
    <row r="913" spans="1:78">
      <c r="A913" s="72"/>
      <c r="B913"/>
      <c r="C913"/>
      <c r="D913"/>
      <c r="E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</row>
    <row r="914" spans="1:78">
      <c r="A914" s="72"/>
      <c r="B914"/>
      <c r="C914"/>
      <c r="D914"/>
      <c r="E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</row>
    <row r="915" spans="1:78">
      <c r="A915" s="72"/>
      <c r="B915"/>
      <c r="C915"/>
      <c r="D915"/>
      <c r="E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</row>
    <row r="916" spans="1:78">
      <c r="A916" s="72"/>
      <c r="B916"/>
      <c r="C916"/>
      <c r="D916"/>
      <c r="E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</row>
    <row r="917" spans="1:78">
      <c r="A917" s="72"/>
      <c r="B917"/>
      <c r="C917"/>
      <c r="D917"/>
      <c r="E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</row>
    <row r="918" spans="1:78">
      <c r="A918" s="72"/>
      <c r="B918"/>
      <c r="C918"/>
      <c r="D918"/>
      <c r="E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</row>
    <row r="919" spans="1:78">
      <c r="A919" s="72"/>
      <c r="B919"/>
      <c r="C919"/>
      <c r="D919"/>
      <c r="E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</row>
    <row r="920" spans="1:78">
      <c r="A920" s="72"/>
      <c r="B920"/>
      <c r="C920"/>
      <c r="D920"/>
      <c r="E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</row>
    <row r="921" spans="1:78">
      <c r="A921" s="72"/>
      <c r="B921"/>
      <c r="C921"/>
      <c r="D921"/>
      <c r="E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</row>
    <row r="922" spans="1:78">
      <c r="A922" s="72"/>
      <c r="B922"/>
      <c r="C922"/>
      <c r="D922"/>
      <c r="E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</row>
    <row r="923" spans="1:78">
      <c r="A923" s="72"/>
      <c r="B923"/>
      <c r="C923"/>
      <c r="D923"/>
      <c r="E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</row>
    <row r="924" spans="1:78">
      <c r="A924" s="72"/>
      <c r="B924"/>
      <c r="C924"/>
      <c r="D924"/>
      <c r="E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</row>
    <row r="925" spans="1:78">
      <c r="A925" s="72"/>
      <c r="B925"/>
      <c r="C925"/>
      <c r="D925"/>
      <c r="E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</row>
    <row r="926" spans="1:78">
      <c r="A926" s="72"/>
      <c r="B926"/>
      <c r="C926"/>
      <c r="D926"/>
      <c r="E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</row>
    <row r="927" spans="1:78">
      <c r="A927" s="72"/>
      <c r="B927"/>
      <c r="C927"/>
      <c r="D927"/>
      <c r="E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</row>
    <row r="928" spans="1:78">
      <c r="A928" s="72"/>
      <c r="B928"/>
      <c r="C928"/>
      <c r="D928"/>
      <c r="E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</row>
    <row r="929" spans="1:78">
      <c r="A929" s="72"/>
      <c r="B929"/>
      <c r="C929"/>
      <c r="D929"/>
      <c r="E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</row>
    <row r="930" spans="1:78">
      <c r="A930" s="72"/>
      <c r="B930"/>
      <c r="C930"/>
      <c r="D930"/>
      <c r="E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</row>
    <row r="931" spans="1:78">
      <c r="A931" s="72"/>
      <c r="B931"/>
      <c r="C931"/>
      <c r="D931"/>
      <c r="E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</row>
    <row r="932" spans="1:78">
      <c r="A932" s="72"/>
      <c r="B932"/>
      <c r="C932"/>
      <c r="D932"/>
      <c r="E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</row>
    <row r="933" spans="1:78">
      <c r="A933" s="72"/>
      <c r="B933"/>
      <c r="C933"/>
      <c r="D933"/>
      <c r="E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  <c r="BY933"/>
      <c r="BZ933"/>
    </row>
    <row r="934" spans="1:78">
      <c r="A934" s="72"/>
      <c r="B934"/>
      <c r="C934"/>
      <c r="D934"/>
      <c r="E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  <c r="BY934"/>
      <c r="BZ934"/>
    </row>
    <row r="935" spans="1:78">
      <c r="A935" s="72"/>
      <c r="B935"/>
      <c r="C935"/>
      <c r="D935"/>
      <c r="E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  <c r="BY935"/>
      <c r="BZ935"/>
    </row>
    <row r="936" spans="1:78">
      <c r="A936" s="72"/>
      <c r="B936"/>
      <c r="C936"/>
      <c r="D936"/>
      <c r="E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</row>
    <row r="937" spans="1:78">
      <c r="A937" s="72"/>
      <c r="B937"/>
      <c r="C937"/>
      <c r="D937"/>
      <c r="E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</row>
    <row r="938" spans="1:78">
      <c r="A938" s="72"/>
      <c r="B938"/>
      <c r="C938"/>
      <c r="D938"/>
      <c r="E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78">
      <c r="A939" s="72"/>
      <c r="B939"/>
      <c r="C939"/>
      <c r="D939"/>
      <c r="E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</row>
    <row r="940" spans="1:78">
      <c r="A940" s="72"/>
      <c r="B940"/>
      <c r="C940"/>
      <c r="D940"/>
      <c r="E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</row>
    <row r="941" spans="1:78">
      <c r="A941" s="72"/>
      <c r="B941"/>
      <c r="C941"/>
      <c r="D941"/>
      <c r="E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</row>
    <row r="942" spans="1:78">
      <c r="A942" s="72"/>
      <c r="B942"/>
      <c r="C942"/>
      <c r="D942"/>
      <c r="E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</row>
    <row r="943" spans="1:78">
      <c r="A943" s="72"/>
      <c r="B943"/>
      <c r="C943"/>
      <c r="D943"/>
      <c r="E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</row>
    <row r="944" spans="1:78">
      <c r="A944" s="72"/>
      <c r="B944"/>
      <c r="C944"/>
      <c r="D944"/>
      <c r="E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</row>
    <row r="945" spans="1:78">
      <c r="A945" s="72"/>
      <c r="B945"/>
      <c r="C945"/>
      <c r="D945"/>
      <c r="E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</row>
    <row r="946" spans="1:78">
      <c r="A946" s="72"/>
      <c r="B946"/>
      <c r="C946"/>
      <c r="D946"/>
      <c r="E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</row>
    <row r="947" spans="1:78">
      <c r="A947" s="72"/>
      <c r="B947"/>
      <c r="C947"/>
      <c r="D947"/>
      <c r="E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</row>
    <row r="948" spans="1:78">
      <c r="A948" s="72"/>
      <c r="B948"/>
      <c r="C948"/>
      <c r="D948"/>
      <c r="E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  <c r="BY948"/>
      <c r="BZ948"/>
    </row>
    <row r="949" spans="1:78">
      <c r="A949" s="72"/>
      <c r="B949"/>
      <c r="C949"/>
      <c r="D949"/>
      <c r="E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  <c r="BY949"/>
      <c r="BZ949"/>
    </row>
    <row r="950" spans="1:78">
      <c r="A950" s="72"/>
      <c r="B950"/>
      <c r="C950"/>
      <c r="D950"/>
      <c r="E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</row>
    <row r="951" spans="1:78">
      <c r="A951" s="72"/>
      <c r="B951"/>
      <c r="C951"/>
      <c r="D951"/>
      <c r="E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</row>
    <row r="952" spans="1:78">
      <c r="A952" s="72"/>
      <c r="B952"/>
      <c r="C952"/>
      <c r="D952"/>
      <c r="E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  <c r="BY952"/>
      <c r="BZ952"/>
    </row>
    <row r="953" spans="1:78">
      <c r="A953" s="72"/>
      <c r="B953"/>
      <c r="C953"/>
      <c r="D953"/>
      <c r="E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  <c r="BY953"/>
      <c r="BZ953"/>
    </row>
    <row r="954" spans="1:78">
      <c r="A954" s="72"/>
      <c r="B954"/>
      <c r="C954"/>
      <c r="D954"/>
      <c r="E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</row>
    <row r="955" spans="1:78">
      <c r="A955" s="72"/>
      <c r="B955"/>
      <c r="C955"/>
      <c r="D955"/>
      <c r="E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</row>
    <row r="956" spans="1:78">
      <c r="A956" s="72"/>
      <c r="B956"/>
      <c r="C956"/>
      <c r="D956"/>
      <c r="E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</row>
    <row r="957" spans="1:78">
      <c r="A957" s="72"/>
      <c r="B957"/>
      <c r="C957"/>
      <c r="D957"/>
      <c r="E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</row>
    <row r="958" spans="1:78">
      <c r="A958" s="72"/>
      <c r="B958"/>
      <c r="C958"/>
      <c r="D958"/>
      <c r="E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</row>
    <row r="959" spans="1:78">
      <c r="A959" s="72"/>
      <c r="B959"/>
      <c r="C959"/>
      <c r="D959"/>
      <c r="E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</row>
    <row r="960" spans="1:78">
      <c r="A960" s="72"/>
      <c r="B960"/>
      <c r="C960"/>
      <c r="D960"/>
      <c r="E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</row>
    <row r="961" spans="1:78">
      <c r="A961" s="72"/>
      <c r="B961"/>
      <c r="C961"/>
      <c r="D961"/>
      <c r="E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  <c r="BY961"/>
      <c r="BZ961"/>
    </row>
    <row r="962" spans="1:78">
      <c r="A962" s="72"/>
      <c r="B962"/>
      <c r="C962"/>
      <c r="D962"/>
      <c r="E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  <c r="BY962"/>
      <c r="BZ962"/>
    </row>
    <row r="963" spans="1:78">
      <c r="A963" s="72"/>
      <c r="B963"/>
      <c r="C963"/>
      <c r="D963"/>
      <c r="E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  <c r="BY963"/>
      <c r="BZ963"/>
    </row>
    <row r="964" spans="1:78">
      <c r="A964" s="72"/>
      <c r="B964"/>
      <c r="C964"/>
      <c r="D964"/>
      <c r="E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  <c r="BY964"/>
      <c r="BZ964"/>
    </row>
    <row r="965" spans="1:78">
      <c r="A965" s="72"/>
      <c r="B965"/>
      <c r="C965"/>
      <c r="D965"/>
      <c r="E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  <c r="BY965"/>
      <c r="BZ965"/>
    </row>
    <row r="966" spans="1:78">
      <c r="A966" s="72"/>
      <c r="B966"/>
      <c r="C966"/>
      <c r="D966"/>
      <c r="E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</row>
    <row r="967" spans="1:78">
      <c r="A967" s="72"/>
      <c r="B967"/>
      <c r="C967"/>
      <c r="D967"/>
      <c r="E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</row>
    <row r="968" spans="1:78">
      <c r="A968" s="72"/>
      <c r="B968"/>
      <c r="C968"/>
      <c r="D968"/>
      <c r="E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</row>
    <row r="969" spans="1:78">
      <c r="A969" s="72"/>
      <c r="B969"/>
      <c r="C969"/>
      <c r="D969"/>
      <c r="E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</row>
    <row r="970" spans="1:78">
      <c r="A970" s="72"/>
      <c r="B970"/>
      <c r="C970"/>
      <c r="D970"/>
      <c r="E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</row>
    <row r="971" spans="1:78">
      <c r="A971" s="72"/>
      <c r="B971"/>
      <c r="C971"/>
      <c r="D971"/>
      <c r="E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</row>
    <row r="972" spans="1:78">
      <c r="A972" s="72"/>
      <c r="B972"/>
      <c r="C972"/>
      <c r="D972"/>
      <c r="E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</row>
    <row r="973" spans="1:78">
      <c r="A973" s="72"/>
      <c r="B973"/>
      <c r="C973"/>
      <c r="D973"/>
      <c r="E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</row>
    <row r="974" spans="1:78">
      <c r="A974" s="72"/>
      <c r="B974"/>
      <c r="C974"/>
      <c r="D974"/>
      <c r="E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  <c r="BY974"/>
      <c r="BZ974"/>
    </row>
    <row r="975" spans="1:78">
      <c r="A975" s="72"/>
      <c r="B975"/>
      <c r="C975"/>
      <c r="D975"/>
      <c r="E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  <c r="BY975"/>
      <c r="BZ975"/>
    </row>
    <row r="976" spans="1:78">
      <c r="A976" s="72"/>
      <c r="B976"/>
      <c r="C976"/>
      <c r="D976"/>
      <c r="E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  <c r="BY976"/>
      <c r="BZ976"/>
    </row>
    <row r="977" spans="1:78">
      <c r="A977" s="72"/>
      <c r="B977"/>
      <c r="C977"/>
      <c r="D977"/>
      <c r="E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  <c r="BY977"/>
      <c r="BZ977"/>
    </row>
    <row r="978" spans="1:78">
      <c r="A978" s="72"/>
      <c r="B978"/>
      <c r="C978"/>
      <c r="D978"/>
      <c r="E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  <c r="BY978"/>
      <c r="BZ978"/>
    </row>
    <row r="979" spans="1:78">
      <c r="A979" s="72"/>
      <c r="B979"/>
      <c r="C979"/>
      <c r="D979"/>
      <c r="E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  <c r="BY979"/>
      <c r="BZ979"/>
    </row>
    <row r="980" spans="1:78">
      <c r="A980" s="72"/>
      <c r="B980"/>
      <c r="C980"/>
      <c r="D980"/>
      <c r="E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  <c r="BY980"/>
      <c r="BZ980"/>
    </row>
    <row r="981" spans="1:78">
      <c r="A981" s="72"/>
      <c r="B981"/>
      <c r="C981"/>
      <c r="D981"/>
      <c r="E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  <c r="BY981"/>
      <c r="BZ981"/>
    </row>
    <row r="982" spans="1:78">
      <c r="A982" s="72"/>
      <c r="B982"/>
      <c r="C982"/>
      <c r="D982"/>
      <c r="E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  <c r="BY982"/>
      <c r="BZ982"/>
    </row>
    <row r="983" spans="1:78">
      <c r="A983" s="72"/>
      <c r="B983"/>
      <c r="C983"/>
      <c r="D983"/>
      <c r="E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  <c r="BY983"/>
      <c r="BZ983"/>
    </row>
    <row r="984" spans="1:78">
      <c r="A984" s="72"/>
      <c r="B984"/>
      <c r="C984"/>
      <c r="D984"/>
      <c r="E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  <c r="BY984"/>
      <c r="BZ984"/>
    </row>
    <row r="985" spans="1:78">
      <c r="A985" s="72"/>
      <c r="B985"/>
      <c r="C985"/>
      <c r="D985"/>
      <c r="E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  <c r="BY985"/>
      <c r="BZ985"/>
    </row>
    <row r="986" spans="1:78">
      <c r="A986" s="72"/>
      <c r="B986"/>
      <c r="C986"/>
      <c r="D986"/>
      <c r="E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  <c r="BY986"/>
      <c r="BZ986"/>
    </row>
    <row r="987" spans="1:78">
      <c r="A987" s="72"/>
      <c r="B987"/>
      <c r="C987"/>
      <c r="D987"/>
      <c r="E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  <c r="BY987"/>
      <c r="BZ987"/>
    </row>
    <row r="988" spans="1:78">
      <c r="A988" s="72"/>
      <c r="B988"/>
      <c r="C988"/>
      <c r="D988"/>
      <c r="E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  <c r="BY988"/>
      <c r="BZ988"/>
    </row>
    <row r="989" spans="1:78">
      <c r="A989" s="72"/>
      <c r="B989"/>
      <c r="C989"/>
      <c r="D989"/>
      <c r="E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  <c r="BY989"/>
      <c r="BZ989"/>
    </row>
    <row r="990" spans="1:78">
      <c r="A990" s="72"/>
      <c r="B990"/>
      <c r="C990"/>
      <c r="D990"/>
      <c r="E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  <c r="BY990"/>
      <c r="BZ990"/>
    </row>
    <row r="991" spans="1:78">
      <c r="A991" s="72"/>
      <c r="B991"/>
      <c r="C991"/>
      <c r="D991"/>
      <c r="E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  <c r="BY991"/>
      <c r="BZ991"/>
    </row>
    <row r="992" spans="1:78">
      <c r="A992" s="72"/>
      <c r="B992"/>
      <c r="C992"/>
      <c r="D992"/>
      <c r="E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  <c r="BY992"/>
      <c r="BZ992"/>
    </row>
    <row r="993" spans="1:78">
      <c r="A993" s="72"/>
      <c r="B993"/>
      <c r="C993"/>
      <c r="D993"/>
      <c r="E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  <c r="BY993"/>
      <c r="BZ993"/>
    </row>
    <row r="994" spans="1:78">
      <c r="A994" s="72"/>
      <c r="B994"/>
      <c r="C994"/>
      <c r="D994"/>
      <c r="E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  <c r="BY994"/>
      <c r="BZ994"/>
    </row>
    <row r="995" spans="1:78">
      <c r="A995" s="72"/>
      <c r="B995"/>
      <c r="C995"/>
      <c r="D995"/>
      <c r="E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  <c r="BY995"/>
      <c r="BZ995"/>
    </row>
    <row r="996" spans="1:78">
      <c r="A996" s="72"/>
      <c r="B996"/>
      <c r="C996"/>
      <c r="D996"/>
      <c r="E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  <c r="BY996"/>
      <c r="BZ996"/>
    </row>
    <row r="997" spans="1:78">
      <c r="A997" s="72"/>
      <c r="B997"/>
      <c r="C997"/>
      <c r="D997"/>
      <c r="E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  <c r="BY997"/>
      <c r="BZ997"/>
    </row>
    <row r="998" spans="1:78">
      <c r="A998" s="72"/>
      <c r="B998"/>
      <c r="C998"/>
      <c r="D998"/>
      <c r="E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  <c r="BY998"/>
      <c r="BZ998"/>
    </row>
    <row r="999" spans="1:78">
      <c r="A999" s="72"/>
      <c r="B999"/>
      <c r="C999"/>
      <c r="D999"/>
      <c r="E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  <c r="BY999"/>
      <c r="BZ999"/>
    </row>
    <row r="1000" spans="1:78">
      <c r="A1000" s="72"/>
      <c r="B1000"/>
      <c r="C1000"/>
      <c r="D1000"/>
      <c r="E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  <c r="BY1000"/>
      <c r="BZ1000"/>
    </row>
    <row r="1001" spans="1:78">
      <c r="A1001" s="72"/>
      <c r="B1001"/>
      <c r="C1001"/>
      <c r="D1001"/>
      <c r="E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  <c r="BY1001"/>
      <c r="BZ1001"/>
    </row>
    <row r="1002" spans="1:78">
      <c r="A1002" s="72"/>
      <c r="B1002"/>
      <c r="C1002"/>
      <c r="D1002"/>
      <c r="E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  <c r="BY1002"/>
      <c r="BZ1002"/>
    </row>
    <row r="1003" spans="1:78">
      <c r="A1003" s="72"/>
      <c r="B1003"/>
      <c r="C1003"/>
      <c r="D1003"/>
      <c r="E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  <c r="BY1003"/>
      <c r="BZ1003"/>
    </row>
    <row r="1004" spans="1:78">
      <c r="A1004" s="72"/>
      <c r="B1004"/>
      <c r="C1004"/>
      <c r="D1004"/>
      <c r="E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  <c r="BY1004"/>
      <c r="BZ1004"/>
    </row>
    <row r="1005" spans="1:78">
      <c r="A1005" s="72"/>
      <c r="B1005"/>
      <c r="C1005"/>
      <c r="D1005"/>
      <c r="E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  <c r="BY1005"/>
      <c r="BZ1005"/>
    </row>
    <row r="1006" spans="1:78">
      <c r="A1006" s="72"/>
      <c r="B1006"/>
      <c r="C1006"/>
      <c r="D1006"/>
      <c r="E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  <c r="BY1006"/>
      <c r="BZ1006"/>
    </row>
    <row r="1007" spans="1:78">
      <c r="A1007" s="72"/>
      <c r="B1007"/>
      <c r="C1007"/>
      <c r="D1007"/>
      <c r="E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  <c r="BY1007"/>
      <c r="BZ1007"/>
    </row>
    <row r="1008" spans="1:78">
      <c r="A1008" s="72"/>
      <c r="B1008"/>
      <c r="C1008"/>
      <c r="D1008"/>
      <c r="E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  <c r="BY1008"/>
      <c r="BZ1008"/>
    </row>
    <row r="1009" spans="1:78">
      <c r="A1009" s="72"/>
      <c r="B1009"/>
      <c r="C1009"/>
      <c r="D1009"/>
      <c r="E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  <c r="BY1009"/>
      <c r="BZ1009"/>
    </row>
    <row r="1010" spans="1:78">
      <c r="A1010" s="72"/>
      <c r="B1010"/>
      <c r="C1010"/>
      <c r="D1010"/>
      <c r="E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  <c r="BY1010"/>
      <c r="BZ1010"/>
    </row>
    <row r="1011" spans="1:78">
      <c r="A1011" s="72"/>
      <c r="B1011"/>
      <c r="C1011"/>
      <c r="D1011"/>
      <c r="E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  <c r="BY1011"/>
      <c r="BZ1011"/>
    </row>
    <row r="1012" spans="1:78">
      <c r="A1012" s="72"/>
      <c r="B1012"/>
      <c r="C1012"/>
      <c r="D1012"/>
      <c r="E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  <c r="BY1012"/>
      <c r="BZ1012"/>
    </row>
    <row r="1013" spans="1:78">
      <c r="A1013" s="72"/>
      <c r="B1013"/>
      <c r="C1013"/>
      <c r="D1013"/>
      <c r="E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  <c r="BY1013"/>
      <c r="BZ1013"/>
    </row>
    <row r="1014" spans="1:78">
      <c r="A1014" s="72"/>
      <c r="B1014"/>
      <c r="C1014"/>
      <c r="D1014"/>
      <c r="E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  <c r="BY1014"/>
      <c r="BZ1014"/>
    </row>
    <row r="1015" spans="1:78">
      <c r="A1015" s="72"/>
      <c r="B1015"/>
      <c r="C1015"/>
      <c r="D1015"/>
      <c r="E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  <c r="BY1015"/>
      <c r="BZ1015"/>
    </row>
    <row r="1016" spans="1:78">
      <c r="A1016" s="72"/>
      <c r="B1016"/>
      <c r="C1016"/>
      <c r="D1016"/>
      <c r="E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  <c r="BY1016"/>
      <c r="BZ1016"/>
    </row>
    <row r="1017" spans="1:78">
      <c r="A1017" s="72"/>
      <c r="B1017"/>
      <c r="C1017"/>
      <c r="D1017"/>
      <c r="E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  <c r="BY1017"/>
      <c r="BZ1017"/>
    </row>
    <row r="1018" spans="1:78">
      <c r="A1018" s="72"/>
      <c r="B1018"/>
      <c r="C1018"/>
      <c r="D1018"/>
      <c r="E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  <c r="BY1018"/>
      <c r="BZ1018"/>
    </row>
    <row r="1019" spans="1:78">
      <c r="A1019" s="72"/>
      <c r="B1019"/>
      <c r="C1019"/>
      <c r="D1019"/>
      <c r="E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  <c r="BY1019"/>
      <c r="BZ1019"/>
    </row>
    <row r="1020" spans="1:78">
      <c r="A1020" s="72"/>
      <c r="B1020"/>
      <c r="C1020"/>
      <c r="D1020"/>
      <c r="E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  <c r="BY1020"/>
      <c r="BZ1020"/>
    </row>
    <row r="1021" spans="1:78">
      <c r="A1021" s="72"/>
      <c r="B1021"/>
      <c r="C1021"/>
      <c r="D1021"/>
      <c r="E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  <c r="BY1021"/>
      <c r="BZ1021"/>
    </row>
    <row r="1022" spans="1:78">
      <c r="A1022" s="72"/>
      <c r="B1022"/>
      <c r="C1022"/>
      <c r="D1022"/>
      <c r="E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  <c r="BY1022"/>
      <c r="BZ1022"/>
    </row>
    <row r="1023" spans="1:78">
      <c r="A1023" s="72"/>
      <c r="B1023"/>
      <c r="C1023"/>
      <c r="D1023"/>
      <c r="E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  <c r="BY1023"/>
      <c r="BZ1023"/>
    </row>
    <row r="1024" spans="1:78">
      <c r="A1024" s="72"/>
      <c r="B1024"/>
      <c r="C1024"/>
      <c r="D1024"/>
      <c r="E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</row>
    <row r="1025" spans="1:78">
      <c r="A1025" s="72"/>
      <c r="B1025"/>
      <c r="C1025"/>
      <c r="D1025"/>
      <c r="E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</row>
    <row r="1026" spans="1:78">
      <c r="A1026" s="72"/>
      <c r="B1026"/>
      <c r="C1026"/>
      <c r="D1026"/>
      <c r="E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</row>
    <row r="1027" spans="1:78">
      <c r="A1027" s="72"/>
      <c r="B1027"/>
      <c r="C1027"/>
      <c r="D1027"/>
      <c r="E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</row>
    <row r="1028" spans="1:78">
      <c r="A1028" s="72"/>
      <c r="B1028"/>
      <c r="C1028"/>
      <c r="D1028"/>
      <c r="E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</row>
    <row r="1029" spans="1:78">
      <c r="A1029" s="72"/>
      <c r="B1029"/>
      <c r="C1029"/>
      <c r="D1029"/>
      <c r="E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</row>
    <row r="1030" spans="1:78">
      <c r="A1030" s="72"/>
      <c r="B1030"/>
      <c r="C1030"/>
      <c r="D1030"/>
      <c r="E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</row>
    <row r="1031" spans="1:78">
      <c r="A1031" s="72"/>
      <c r="B1031"/>
      <c r="C1031"/>
      <c r="D1031"/>
      <c r="E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</row>
    <row r="1032" spans="1:78">
      <c r="A1032" s="72"/>
      <c r="B1032"/>
      <c r="C1032"/>
      <c r="D1032"/>
      <c r="E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</row>
    <row r="1033" spans="1:78">
      <c r="A1033" s="72"/>
      <c r="B1033"/>
      <c r="C1033"/>
      <c r="D1033"/>
      <c r="E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</row>
    <row r="1034" spans="1:78">
      <c r="A1034" s="72"/>
      <c r="B1034"/>
      <c r="C1034"/>
      <c r="D1034"/>
      <c r="E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</row>
    <row r="1035" spans="1:78">
      <c r="A1035" s="72"/>
      <c r="B1035"/>
      <c r="C1035"/>
      <c r="D1035"/>
      <c r="E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</row>
    <row r="1036" spans="1:78">
      <c r="A1036" s="72"/>
      <c r="B1036"/>
      <c r="C1036"/>
      <c r="D1036"/>
      <c r="E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</row>
    <row r="1037" spans="1:78">
      <c r="A1037" s="72"/>
      <c r="B1037"/>
      <c r="C1037"/>
      <c r="D1037"/>
      <c r="E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</row>
    <row r="1038" spans="1:78">
      <c r="A1038" s="72"/>
      <c r="B1038"/>
      <c r="C1038"/>
      <c r="D1038"/>
      <c r="E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</row>
    <row r="1039" spans="1:78">
      <c r="A1039" s="72"/>
      <c r="B1039"/>
      <c r="C1039"/>
      <c r="D1039"/>
      <c r="E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</row>
    <row r="1040" spans="1:78">
      <c r="A1040" s="72"/>
      <c r="B1040"/>
      <c r="C1040"/>
      <c r="D1040"/>
      <c r="E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</row>
    <row r="1041" spans="1:78">
      <c r="A1041" s="72"/>
      <c r="B1041"/>
      <c r="C1041"/>
      <c r="D1041"/>
      <c r="E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</row>
    <row r="1042" spans="1:78">
      <c r="A1042" s="72"/>
      <c r="B1042"/>
      <c r="C1042"/>
      <c r="D1042"/>
      <c r="E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</row>
    <row r="1043" spans="1:78">
      <c r="A1043" s="72"/>
      <c r="B1043"/>
      <c r="C1043"/>
      <c r="D1043"/>
      <c r="E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</row>
    <row r="1044" spans="1:78">
      <c r="A1044" s="72"/>
      <c r="B1044"/>
      <c r="C1044"/>
      <c r="D1044"/>
      <c r="E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</row>
    <row r="1045" spans="1:78">
      <c r="A1045" s="72"/>
      <c r="B1045"/>
      <c r="C1045"/>
      <c r="D1045"/>
      <c r="E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</row>
    <row r="1046" spans="1:78">
      <c r="A1046" s="72"/>
      <c r="B1046"/>
      <c r="C1046"/>
      <c r="D1046"/>
      <c r="E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</row>
    <row r="1047" spans="1:78">
      <c r="A1047" s="72"/>
      <c r="B1047"/>
      <c r="C1047"/>
      <c r="D1047"/>
      <c r="E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</row>
    <row r="1048" spans="1:78">
      <c r="A1048" s="72"/>
      <c r="B1048"/>
      <c r="C1048"/>
      <c r="D1048"/>
      <c r="E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</row>
    <row r="1049" spans="1:78">
      <c r="A1049" s="72"/>
      <c r="B1049"/>
      <c r="C1049"/>
      <c r="D1049"/>
      <c r="E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</row>
    <row r="1050" spans="1:78">
      <c r="A1050" s="72"/>
      <c r="B1050"/>
      <c r="C1050"/>
      <c r="D1050"/>
      <c r="E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</row>
    <row r="1051" spans="1:78">
      <c r="A1051" s="72"/>
      <c r="B1051"/>
      <c r="C1051"/>
      <c r="D1051"/>
      <c r="E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</row>
    <row r="1052" spans="1:78">
      <c r="A1052" s="72"/>
      <c r="B1052"/>
      <c r="C1052"/>
      <c r="D1052"/>
      <c r="E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</row>
    <row r="1053" spans="1:78">
      <c r="A1053" s="72"/>
      <c r="B1053"/>
      <c r="C1053"/>
      <c r="D1053"/>
      <c r="E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</row>
    <row r="1054" spans="1:78">
      <c r="A1054" s="72"/>
      <c r="B1054"/>
      <c r="C1054"/>
      <c r="D1054"/>
      <c r="E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</row>
    <row r="1055" spans="1:78">
      <c r="A1055" s="72"/>
      <c r="B1055"/>
      <c r="C1055"/>
      <c r="D1055"/>
      <c r="E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</row>
  </sheetData>
  <mergeCells count="7">
    <mergeCell ref="BY1:BZ1"/>
    <mergeCell ref="I1:U1"/>
    <mergeCell ref="A1:H1"/>
    <mergeCell ref="BW1:BX1"/>
    <mergeCell ref="BE1:BV1"/>
    <mergeCell ref="AQ1:BD1"/>
    <mergeCell ref="V1:AP1"/>
  </mergeCells>
  <phoneticPr fontId="29" type="noConversion"/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topLeftCell="C1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6" t="s">
        <v>85</v>
      </c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J1" s="81" t="s">
        <v>86</v>
      </c>
      <c r="AK1" s="82"/>
    </row>
    <row r="2" spans="1:37" ht="18" customHeight="1" thickBot="1">
      <c r="A2" s="83" t="s">
        <v>87</v>
      </c>
      <c r="B2" s="84"/>
      <c r="C2" s="84"/>
      <c r="D2" s="84"/>
      <c r="E2" s="84"/>
      <c r="F2" s="84"/>
      <c r="G2" s="84"/>
      <c r="H2" s="84"/>
      <c r="J2" s="85" t="s">
        <v>88</v>
      </c>
      <c r="K2" s="84"/>
      <c r="L2" s="84"/>
      <c r="M2" s="84"/>
      <c r="N2" s="84"/>
      <c r="O2" s="89" t="s">
        <v>89</v>
      </c>
      <c r="P2" s="88"/>
      <c r="Q2" s="82"/>
      <c r="R2" s="88"/>
      <c r="S2" s="88"/>
      <c r="T2" s="88"/>
      <c r="U2" s="90" t="s">
        <v>90</v>
      </c>
      <c r="V2" s="84"/>
      <c r="W2" s="84"/>
      <c r="X2" s="84"/>
      <c r="Y2" s="84"/>
      <c r="Z2" s="84"/>
      <c r="AB2" s="83" t="s">
        <v>91</v>
      </c>
      <c r="AC2" s="84"/>
      <c r="AD2" s="84"/>
      <c r="AE2" s="84"/>
      <c r="AF2" s="84"/>
      <c r="AG2" s="84"/>
      <c r="AH2" s="84"/>
      <c r="AI2" s="84"/>
      <c r="AJ2" s="1" t="s">
        <v>10</v>
      </c>
      <c r="AK2" t="s">
        <v>92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2"/>
      <c r="AK3" s="82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3" t="s">
        <v>125</v>
      </c>
      <c r="B17" s="84"/>
      <c r="C17" s="84"/>
      <c r="D17" s="84"/>
      <c r="E17" s="84"/>
      <c r="F17" s="84"/>
      <c r="G17" s="84"/>
      <c r="H17" s="84"/>
      <c r="J17" s="83" t="s">
        <v>126</v>
      </c>
      <c r="K17" s="84"/>
      <c r="L17" s="84"/>
      <c r="M17" s="84"/>
      <c r="N17" s="84"/>
      <c r="O17" s="84"/>
      <c r="P17" s="84"/>
      <c r="Q17" s="84"/>
      <c r="S17" s="83" t="s">
        <v>127</v>
      </c>
      <c r="T17" s="84"/>
      <c r="U17" s="84"/>
      <c r="V17" s="84"/>
      <c r="W17" s="84"/>
      <c r="X17" s="84"/>
      <c r="Y17" s="84"/>
      <c r="Z17" s="84"/>
      <c r="AB17" s="83" t="s">
        <v>128</v>
      </c>
      <c r="AC17" s="84"/>
      <c r="AD17" s="84"/>
      <c r="AE17" s="84"/>
      <c r="AF17" s="84"/>
      <c r="AG17" s="84"/>
      <c r="AH17" s="84"/>
      <c r="AI17" s="84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7" t="s">
        <v>142</v>
      </c>
      <c r="T25" s="88"/>
      <c r="U25" s="88"/>
      <c r="V25" s="88"/>
      <c r="W25" s="88"/>
      <c r="X25" s="88"/>
      <c r="Y25" s="88"/>
      <c r="Z25" s="82"/>
      <c r="AA25" s="88"/>
      <c r="AB25" s="88"/>
      <c r="AC25" s="88"/>
      <c r="AD25" s="88"/>
      <c r="AE25" s="88"/>
      <c r="AF25" s="88"/>
      <c r="AG25" s="88"/>
      <c r="AH25" s="88"/>
      <c r="AI25" s="82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</row>
    <row r="27" spans="1:35">
      <c r="S27" s="88"/>
      <c r="T27" s="88"/>
      <c r="U27" s="88"/>
      <c r="V27" s="88"/>
      <c r="W27" s="88"/>
      <c r="X27" s="88"/>
      <c r="Y27" s="88"/>
      <c r="Z27" s="82"/>
      <c r="AA27" s="88"/>
      <c r="AB27" s="88"/>
      <c r="AC27" s="88"/>
      <c r="AD27" s="88"/>
      <c r="AE27" s="88"/>
      <c r="AF27" s="88"/>
      <c r="AG27" s="88"/>
      <c r="AH27" s="88"/>
      <c r="AI27" s="82"/>
    </row>
    <row r="28" spans="1:35" ht="18" customHeight="1" thickBot="1">
      <c r="A28" s="83" t="s">
        <v>144</v>
      </c>
      <c r="B28" s="84"/>
      <c r="C28" s="84"/>
      <c r="D28" s="84"/>
      <c r="E28" s="84"/>
      <c r="F28" s="84"/>
      <c r="G28" s="84"/>
      <c r="H28" s="84"/>
      <c r="J28" s="83" t="s">
        <v>145</v>
      </c>
      <c r="K28" s="84"/>
      <c r="L28" s="84"/>
      <c r="M28" s="84"/>
      <c r="N28" s="84"/>
      <c r="O28" s="84"/>
      <c r="P28" s="84"/>
      <c r="Q28" s="84"/>
      <c r="S28" s="88"/>
      <c r="T28" s="88"/>
      <c r="U28" s="88"/>
      <c r="V28" s="88"/>
      <c r="W28" s="88"/>
      <c r="X28" s="88"/>
      <c r="Y28" s="88"/>
      <c r="Z28" s="82"/>
      <c r="AA28" s="88"/>
      <c r="AB28" s="88"/>
      <c r="AC28" s="88"/>
      <c r="AD28" s="88"/>
      <c r="AE28" s="88"/>
      <c r="AF28" s="88"/>
      <c r="AG28" s="88"/>
      <c r="AH28" s="88"/>
      <c r="AI28" s="82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8"/>
      <c r="T29" s="88"/>
      <c r="U29" s="88"/>
      <c r="V29" s="88"/>
      <c r="W29" s="88"/>
      <c r="X29" s="88"/>
      <c r="Y29" s="88"/>
      <c r="Z29" s="82"/>
      <c r="AA29" s="88"/>
      <c r="AB29" s="88"/>
      <c r="AC29" s="88"/>
      <c r="AD29" s="88"/>
      <c r="AE29" s="88"/>
      <c r="AF29" s="88"/>
      <c r="AG29" s="88"/>
      <c r="AH29" s="88"/>
      <c r="AI29" s="82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8"/>
      <c r="T30" s="88"/>
      <c r="U30" s="88"/>
      <c r="V30" s="88"/>
      <c r="W30" s="88"/>
      <c r="X30" s="88"/>
      <c r="Y30" s="88"/>
      <c r="Z30" s="82"/>
      <c r="AA30" s="88"/>
      <c r="AB30" s="88"/>
      <c r="AC30" s="88"/>
      <c r="AD30" s="88"/>
      <c r="AE30" s="88"/>
      <c r="AF30" s="88"/>
      <c r="AG30" s="88"/>
      <c r="AH30" s="88"/>
      <c r="AI30" s="82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N4" sqref="N4:O4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6" t="s">
        <v>154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141" t="s">
        <v>155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140" t="s">
        <v>86</v>
      </c>
      <c r="O2" s="88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96" t="s">
        <v>156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2025</v>
      </c>
      <c r="J4" s="17"/>
      <c r="K4" s="18"/>
      <c r="N4" s="82"/>
      <c r="O4" s="8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CONCATENATE("Establecimiento: ",$O$3)</f>
        <v>Establecimiento: (Todas)</v>
      </c>
      <c r="C5" s="13"/>
      <c r="D5" s="13"/>
      <c r="E5" s="13"/>
      <c r="F5" s="17"/>
      <c r="G5" s="17"/>
      <c r="H5" s="19" t="str">
        <f>CONCATENATE("N° total de consultas NUEVOS: ",IF($O$3="(Todas)",COUNT(BASE[Fecha]),COUNTIFS(BASE[Cod.Establecimiento],$O$3))," (Ambulatorios: ",IF($O$3="(Todas)",COUNTIFS(BASE[Se interna],"NO"),COUNTIFS(BASE[Cod.Establecimiento],$O$3,BASE[Se interna],"NO")),", Internados: ",IF($O$3="(Todas)",COUNTIFS(BASE[Se interna],"SI"),COUNTIFS(BASE[Cod.Establecimiento],$O$3,BASE[Se interna],"SI")),")")</f>
        <v>N° total de consultas NUEVOS: 0 (Ambulatorios: 0, Internados: 0)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01" t="s">
        <v>159</v>
      </c>
      <c r="C6" s="102"/>
      <c r="D6" s="102"/>
      <c r="E6" s="102"/>
      <c r="F6" s="102"/>
      <c r="G6" s="103"/>
      <c r="H6" s="101" t="s">
        <v>160</v>
      </c>
      <c r="I6" s="102"/>
      <c r="J6" s="102"/>
      <c r="K6" s="102"/>
      <c r="L6" s="102"/>
      <c r="M6" s="10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91" t="s">
        <v>161</v>
      </c>
      <c r="C7" s="92"/>
      <c r="D7" s="23" t="s">
        <v>162</v>
      </c>
      <c r="E7" s="24" t="s">
        <v>163</v>
      </c>
      <c r="F7" s="24" t="s">
        <v>164</v>
      </c>
      <c r="G7" s="25" t="s">
        <v>165</v>
      </c>
      <c r="H7" s="91" t="s">
        <v>166</v>
      </c>
      <c r="I7" s="92"/>
      <c r="J7" s="119" t="s">
        <v>162</v>
      </c>
      <c r="K7" s="95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3"/>
      <c r="C8" s="92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3"/>
      <c r="I8" s="92"/>
      <c r="J8" s="99" t="s">
        <v>170</v>
      </c>
      <c r="K8" s="100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3"/>
      <c r="C9" s="92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3"/>
      <c r="I9" s="92"/>
      <c r="J9" s="99" t="s">
        <v>174</v>
      </c>
      <c r="K9" s="100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3"/>
      <c r="C10" s="92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3"/>
      <c r="I10" s="92"/>
      <c r="J10" s="99" t="s">
        <v>178</v>
      </c>
      <c r="K10" s="100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3"/>
      <c r="C11" s="92"/>
      <c r="D11" s="99" t="s">
        <v>180</v>
      </c>
      <c r="E11" s="104" t="s">
        <v>181</v>
      </c>
      <c r="F11" s="115">
        <f>SUM(ENOS_G1_POLIOMIELITIS_AGUDA[TOT])</f>
        <v>0</v>
      </c>
      <c r="G11" s="115">
        <v>0</v>
      </c>
      <c r="H11" s="93"/>
      <c r="I11" s="92"/>
      <c r="J11" s="129" t="s">
        <v>182</v>
      </c>
      <c r="K11" s="127"/>
      <c r="L11" s="104" t="s">
        <v>183</v>
      </c>
      <c r="M11" s="97">
        <f>SUM(ENOS_G2_HEPATITIS_VIRAL_SIN_OTRA_ESPECIFIACION[TOT])</f>
        <v>0</v>
      </c>
      <c r="N11" s="2"/>
      <c r="O11" s="2"/>
    </row>
    <row r="12" spans="1:32" ht="15.75" customHeight="1">
      <c r="A12" s="2"/>
      <c r="B12" s="94"/>
      <c r="C12" s="95"/>
      <c r="D12" s="105"/>
      <c r="E12" s="105"/>
      <c r="F12" s="105"/>
      <c r="G12" s="105"/>
      <c r="H12" s="93"/>
      <c r="I12" s="92"/>
      <c r="J12" s="128"/>
      <c r="K12" s="95"/>
      <c r="L12" s="105"/>
      <c r="M12" s="98"/>
      <c r="N12" s="2"/>
      <c r="O12" s="2"/>
    </row>
    <row r="13" spans="1:32" ht="22.5" customHeight="1" thickBot="1">
      <c r="A13" s="2"/>
      <c r="B13" s="134" t="s">
        <v>184</v>
      </c>
      <c r="C13" s="127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3"/>
      <c r="I13" s="92"/>
      <c r="J13" s="99" t="s">
        <v>187</v>
      </c>
      <c r="K13" s="100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3"/>
      <c r="C14" s="92"/>
      <c r="D14" s="99" t="s">
        <v>189</v>
      </c>
      <c r="E14" s="104" t="s">
        <v>124</v>
      </c>
      <c r="F14" s="115">
        <f>SUM(ENOS_G1_SINDROME_DE_RUBEOLA_CONGENITA[TOT])</f>
        <v>0</v>
      </c>
      <c r="G14" s="115">
        <v>0</v>
      </c>
      <c r="H14" s="93"/>
      <c r="I14" s="92"/>
      <c r="J14" s="99" t="s">
        <v>190</v>
      </c>
      <c r="K14" s="127"/>
      <c r="L14" s="107" t="s">
        <v>191</v>
      </c>
      <c r="M14" s="97">
        <f>SUM(ENOS_G2_CONJUNTIVITIS_VIRAL[TOT])</f>
        <v>0</v>
      </c>
      <c r="N14" s="2"/>
      <c r="O14" s="2"/>
    </row>
    <row r="15" spans="1:32" ht="18" customHeight="1">
      <c r="A15" s="2"/>
      <c r="B15" s="93"/>
      <c r="C15" s="92"/>
      <c r="D15" s="105"/>
      <c r="E15" s="105"/>
      <c r="F15" s="105"/>
      <c r="G15" s="105"/>
      <c r="H15" s="93"/>
      <c r="I15" s="92"/>
      <c r="J15" s="128"/>
      <c r="K15" s="95"/>
      <c r="L15" s="105"/>
      <c r="M15" s="98"/>
      <c r="N15" s="2"/>
      <c r="O15" s="2"/>
    </row>
    <row r="16" spans="1:32" ht="15.75" customHeight="1">
      <c r="A16" s="2"/>
      <c r="B16" s="93"/>
      <c r="C16" s="92"/>
      <c r="D16" s="126" t="s">
        <v>192</v>
      </c>
      <c r="E16" s="104" t="s">
        <v>193</v>
      </c>
      <c r="F16" s="115">
        <f>SUM(ENOS_G1_SARAMPION[TOT])</f>
        <v>0</v>
      </c>
      <c r="G16" s="115">
        <v>0</v>
      </c>
      <c r="H16" s="93"/>
      <c r="I16" s="92"/>
      <c r="J16" s="129" t="s">
        <v>194</v>
      </c>
      <c r="K16" s="127"/>
      <c r="L16" s="107" t="s">
        <v>195</v>
      </c>
      <c r="M16" s="97">
        <f>SUM(ENOS_G2_ENF_VIRICAS_LESIONES_PIEL_Y_MEMB_MUCOSAS[TOT])</f>
        <v>0</v>
      </c>
      <c r="N16" s="2"/>
      <c r="O16" s="2"/>
    </row>
    <row r="17" spans="1:32">
      <c r="A17" s="2"/>
      <c r="B17" s="93"/>
      <c r="C17" s="92"/>
      <c r="D17" s="105"/>
      <c r="E17" s="105"/>
      <c r="F17" s="105"/>
      <c r="G17" s="105"/>
      <c r="H17" s="93"/>
      <c r="I17" s="92"/>
      <c r="J17" s="130"/>
      <c r="K17" s="92"/>
      <c r="L17" s="108"/>
      <c r="M17" s="139"/>
      <c r="N17" s="2"/>
      <c r="O17" s="2"/>
    </row>
    <row r="18" spans="1:32">
      <c r="A18" s="2"/>
      <c r="B18" s="93"/>
      <c r="C18" s="92"/>
      <c r="D18" s="99" t="s">
        <v>196</v>
      </c>
      <c r="E18" s="104" t="s">
        <v>197</v>
      </c>
      <c r="F18" s="115">
        <f>SUM(ENOS_G1_TETANOS_NEONATAL[TOT])</f>
        <v>0</v>
      </c>
      <c r="G18" s="115">
        <v>0</v>
      </c>
      <c r="H18" s="94"/>
      <c r="I18" s="95"/>
      <c r="J18" s="128"/>
      <c r="K18" s="95"/>
      <c r="L18" s="105"/>
      <c r="M18" s="98"/>
      <c r="N18" s="2"/>
      <c r="O18" s="2"/>
    </row>
    <row r="19" spans="1:32" ht="18" customHeight="1" thickBot="1">
      <c r="A19" s="2"/>
      <c r="B19" s="93"/>
      <c r="C19" s="92"/>
      <c r="D19" s="108"/>
      <c r="E19" s="108"/>
      <c r="F19" s="108"/>
      <c r="G19" s="108"/>
      <c r="H19" s="134" t="s">
        <v>198</v>
      </c>
      <c r="I19" s="127"/>
      <c r="J19" s="126" t="s">
        <v>199</v>
      </c>
      <c r="K19" s="127"/>
      <c r="L19" s="104" t="s">
        <v>200</v>
      </c>
      <c r="M19" s="97">
        <f>SUM(ENOS_G2_SIFILIS_CONGENITA[TOT])</f>
        <v>0</v>
      </c>
      <c r="N19" s="2"/>
      <c r="O19" s="2"/>
    </row>
    <row r="20" spans="1:32">
      <c r="A20" s="2"/>
      <c r="B20" s="93"/>
      <c r="C20" s="92"/>
      <c r="D20" s="105"/>
      <c r="E20" s="105"/>
      <c r="F20" s="105"/>
      <c r="G20" s="105"/>
      <c r="H20" s="93"/>
      <c r="I20" s="92"/>
      <c r="J20" s="128"/>
      <c r="K20" s="95"/>
      <c r="L20" s="105"/>
      <c r="M20" s="98"/>
      <c r="N20" s="2"/>
      <c r="O20" s="2"/>
    </row>
    <row r="21" spans="1:32">
      <c r="A21" s="2"/>
      <c r="B21" s="93"/>
      <c r="C21" s="92"/>
      <c r="D21" s="126" t="s">
        <v>201</v>
      </c>
      <c r="E21" s="107" t="s">
        <v>202</v>
      </c>
      <c r="F21" s="114">
        <f>SUM(ENOS_G1_PALUDISMO[TOT])</f>
        <v>0</v>
      </c>
      <c r="G21" s="114">
        <v>0</v>
      </c>
      <c r="H21" s="93"/>
      <c r="I21" s="92"/>
      <c r="J21" s="99" t="s">
        <v>203</v>
      </c>
      <c r="K21" s="100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35"/>
      <c r="C22" s="136"/>
      <c r="D22" s="105"/>
      <c r="E22" s="105"/>
      <c r="F22" s="105"/>
      <c r="G22" s="105"/>
      <c r="H22" s="135"/>
      <c r="I22" s="136"/>
      <c r="J22" s="116" t="s">
        <v>205</v>
      </c>
      <c r="K22" s="117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20" t="s">
        <v>207</v>
      </c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3"/>
      <c r="N23" s="2"/>
      <c r="O23" s="2"/>
    </row>
    <row r="24" spans="1:32">
      <c r="A24" s="2"/>
      <c r="B24" s="121" t="s">
        <v>208</v>
      </c>
      <c r="C24" s="92"/>
      <c r="D24" s="109" t="s">
        <v>163</v>
      </c>
      <c r="E24" s="88"/>
      <c r="F24" s="110"/>
      <c r="G24" s="124" t="s">
        <v>209</v>
      </c>
      <c r="H24" s="125"/>
      <c r="I24" s="125"/>
      <c r="J24" s="125"/>
      <c r="K24" s="125"/>
      <c r="L24" s="95"/>
      <c r="M24" s="137" t="s">
        <v>210</v>
      </c>
      <c r="N24" s="2"/>
      <c r="O24" s="2"/>
    </row>
    <row r="25" spans="1:32" ht="22.5" customHeight="1">
      <c r="A25" s="2"/>
      <c r="B25" s="122"/>
      <c r="C25" s="123"/>
      <c r="D25" s="111"/>
      <c r="E25" s="112"/>
      <c r="F25" s="113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98"/>
      <c r="N25" s="2"/>
      <c r="O25" s="2"/>
    </row>
    <row r="26" spans="1:32">
      <c r="A26" s="2"/>
      <c r="B26" s="106" t="s">
        <v>217</v>
      </c>
      <c r="C26" s="76"/>
      <c r="D26" s="133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6" t="s">
        <v>219</v>
      </c>
      <c r="C27" s="76"/>
      <c r="D27" s="118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6" t="s">
        <v>221</v>
      </c>
      <c r="C28" s="76"/>
      <c r="D28" s="118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6" t="s">
        <v>223</v>
      </c>
      <c r="C29" s="76"/>
      <c r="D29" s="133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7" t="s">
        <v>142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</row>
    <row r="30" spans="1:32" ht="15.75" customHeight="1" thickBot="1">
      <c r="A30" s="2"/>
      <c r="B30" s="131" t="s">
        <v>225</v>
      </c>
      <c r="C30" s="132"/>
      <c r="D30" s="142" t="s">
        <v>226</v>
      </c>
      <c r="E30" s="143"/>
      <c r="F30" s="132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38" t="s">
        <v>231</v>
      </c>
      <c r="K33" s="88"/>
      <c r="L33" s="88"/>
      <c r="M33" s="55"/>
      <c r="N33" s="2"/>
      <c r="O33" s="2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3" t="s">
        <v>234</v>
      </c>
      <c r="Q35" s="84"/>
      <c r="R35" s="84"/>
      <c r="S35" s="84"/>
      <c r="T35" s="84"/>
      <c r="U35" s="84"/>
      <c r="V35" s="84"/>
      <c r="W35" s="84"/>
      <c r="X35" s="2"/>
      <c r="Y35" s="83" t="s">
        <v>235</v>
      </c>
      <c r="Z35" s="84"/>
      <c r="AA35" s="84"/>
      <c r="AB35" s="84"/>
      <c r="AC35" s="84"/>
      <c r="AD35" s="84"/>
      <c r="AE35" s="84"/>
      <c r="AF35" s="84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3" t="s">
        <v>238</v>
      </c>
      <c r="Q39" s="84"/>
      <c r="R39" s="84"/>
      <c r="S39" s="84"/>
      <c r="T39" s="84"/>
      <c r="U39" s="84"/>
      <c r="V39" s="84"/>
      <c r="W39" s="84"/>
      <c r="Y39" s="83" t="s">
        <v>239</v>
      </c>
      <c r="Z39" s="84"/>
      <c r="AA39" s="84"/>
      <c r="AB39" s="84"/>
      <c r="AC39" s="84"/>
      <c r="AD39" s="84"/>
      <c r="AE39" s="84"/>
      <c r="AF39" s="84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3" t="s">
        <v>241</v>
      </c>
      <c r="Q43" s="84"/>
      <c r="R43" s="84"/>
      <c r="S43" s="84"/>
      <c r="T43" s="84"/>
      <c r="U43" s="84"/>
      <c r="V43" s="84"/>
      <c r="W43" s="84"/>
      <c r="X43" s="2"/>
      <c r="Y43" s="83" t="s">
        <v>242</v>
      </c>
      <c r="Z43" s="84"/>
      <c r="AA43" s="84"/>
      <c r="AB43" s="84"/>
      <c r="AC43" s="84"/>
      <c r="AD43" s="84"/>
      <c r="AE43" s="84"/>
      <c r="AF43" s="84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3" t="s">
        <v>243</v>
      </c>
      <c r="Q47" s="84"/>
      <c r="R47" s="84"/>
      <c r="S47" s="84"/>
      <c r="T47" s="84"/>
      <c r="U47" s="84"/>
      <c r="V47" s="84"/>
      <c r="W47" s="84"/>
      <c r="Y47" s="83" t="s">
        <v>244</v>
      </c>
      <c r="Z47" s="84"/>
      <c r="AA47" s="84"/>
      <c r="AB47" s="84"/>
      <c r="AC47" s="84"/>
      <c r="AD47" s="84"/>
      <c r="AE47" s="84"/>
      <c r="AF47" s="84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3" t="s">
        <v>245</v>
      </c>
      <c r="Q51" s="84"/>
      <c r="R51" s="84"/>
      <c r="S51" s="84"/>
      <c r="T51" s="84"/>
      <c r="U51" s="84"/>
      <c r="V51" s="84"/>
      <c r="W51" s="84"/>
      <c r="X51" s="2"/>
      <c r="Y51" s="83" t="s">
        <v>246</v>
      </c>
      <c r="Z51" s="84"/>
      <c r="AA51" s="84"/>
      <c r="AB51" s="84"/>
      <c r="AC51" s="84"/>
      <c r="AD51" s="84"/>
      <c r="AE51" s="84"/>
      <c r="AF51" s="84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3" t="s">
        <v>253</v>
      </c>
      <c r="Q59" s="84"/>
      <c r="R59" s="84"/>
      <c r="S59" s="84"/>
      <c r="T59" s="84"/>
      <c r="U59" s="84"/>
      <c r="V59" s="84"/>
      <c r="W59" s="84"/>
      <c r="X59" s="2"/>
      <c r="Y59" s="83" t="s">
        <v>254</v>
      </c>
      <c r="Z59" s="84"/>
      <c r="AA59" s="84"/>
      <c r="AB59" s="84"/>
      <c r="AC59" s="84"/>
      <c r="AD59" s="84"/>
      <c r="AE59" s="84"/>
      <c r="AF59" s="84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3" t="s">
        <v>255</v>
      </c>
      <c r="Q63" s="84"/>
      <c r="R63" s="84"/>
      <c r="S63" s="84"/>
      <c r="T63" s="84"/>
      <c r="U63" s="84"/>
      <c r="V63" s="84"/>
      <c r="W63" s="84"/>
      <c r="X63" s="2"/>
      <c r="Y63" s="83" t="s">
        <v>256</v>
      </c>
      <c r="Z63" s="84"/>
      <c r="AA63" s="84"/>
      <c r="AB63" s="84"/>
      <c r="AC63" s="84"/>
      <c r="AD63" s="84"/>
      <c r="AE63" s="84"/>
      <c r="AF63" s="84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3" t="s">
        <v>259</v>
      </c>
      <c r="Q67" s="84"/>
      <c r="R67" s="84"/>
      <c r="S67" s="84"/>
      <c r="T67" s="84"/>
      <c r="U67" s="84"/>
      <c r="V67" s="84"/>
      <c r="W67" s="84"/>
      <c r="X67" s="2"/>
      <c r="Y67" s="83" t="s">
        <v>260</v>
      </c>
      <c r="Z67" s="84"/>
      <c r="AA67" s="84"/>
      <c r="AB67" s="84"/>
      <c r="AC67" s="84"/>
      <c r="AD67" s="84"/>
      <c r="AE67" s="84"/>
      <c r="AF67" s="84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3" t="s">
        <v>263</v>
      </c>
      <c r="Q71" s="84"/>
      <c r="R71" s="84"/>
      <c r="S71" s="84"/>
      <c r="T71" s="84"/>
      <c r="U71" s="84"/>
      <c r="V71" s="84"/>
      <c r="W71" s="84"/>
      <c r="Y71" s="83" t="s">
        <v>264</v>
      </c>
      <c r="Z71" s="84"/>
      <c r="AA71" s="84"/>
      <c r="AB71" s="84"/>
      <c r="AC71" s="84"/>
      <c r="AD71" s="84"/>
      <c r="AE71" s="84"/>
      <c r="AF71" s="84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3" t="s">
        <v>268</v>
      </c>
      <c r="Q77" s="84"/>
      <c r="R77" s="84"/>
      <c r="S77" s="84"/>
      <c r="T77" s="84"/>
      <c r="U77" s="84"/>
      <c r="V77" s="84"/>
      <c r="W77" s="84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3" t="s">
        <v>269</v>
      </c>
      <c r="Q83" s="84"/>
      <c r="R83" s="84"/>
      <c r="S83" s="84"/>
      <c r="T83" s="84"/>
      <c r="U83" s="84"/>
      <c r="V83" s="84"/>
      <c r="W83" s="84"/>
      <c r="X83" s="2"/>
      <c r="Y83" s="83" t="s">
        <v>270</v>
      </c>
      <c r="Z83" s="84"/>
      <c r="AA83" s="84"/>
      <c r="AB83" s="84"/>
      <c r="AC83" s="84"/>
      <c r="AD83" s="84"/>
      <c r="AE83" s="84"/>
      <c r="AF83" s="84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3" t="s">
        <v>274</v>
      </c>
      <c r="Q89" s="84"/>
      <c r="R89" s="84"/>
      <c r="S89" s="84"/>
      <c r="T89" s="84"/>
      <c r="U89" s="84"/>
      <c r="V89" s="84"/>
      <c r="W89" s="84"/>
      <c r="X89" s="2"/>
      <c r="Y89" s="83" t="s">
        <v>275</v>
      </c>
      <c r="Z89" s="84"/>
      <c r="AA89" s="84"/>
      <c r="AB89" s="84"/>
      <c r="AC89" s="84"/>
      <c r="AD89" s="84"/>
      <c r="AE89" s="84"/>
      <c r="AF89" s="84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3" t="s">
        <v>276</v>
      </c>
      <c r="Q95" s="84"/>
      <c r="R95" s="84"/>
      <c r="S95" s="84"/>
      <c r="T95" s="84"/>
      <c r="U95" s="84"/>
      <c r="V95" s="84"/>
      <c r="W95" s="84"/>
      <c r="X95" s="2"/>
      <c r="Y95" s="83" t="s">
        <v>277</v>
      </c>
      <c r="Z95" s="84"/>
      <c r="AA95" s="84"/>
      <c r="AB95" s="84"/>
      <c r="AC95" s="84"/>
      <c r="AD95" s="84"/>
      <c r="AE95" s="84"/>
      <c r="AF95" s="84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3" t="s">
        <v>278</v>
      </c>
      <c r="Q101" s="84"/>
      <c r="R101" s="84"/>
      <c r="S101" s="84"/>
      <c r="T101" s="84"/>
      <c r="U101" s="84"/>
      <c r="V101" s="84"/>
      <c r="W101" s="84"/>
      <c r="X101" s="2"/>
      <c r="Y101" s="83" t="s">
        <v>279</v>
      </c>
      <c r="Z101" s="84"/>
      <c r="AA101" s="84"/>
      <c r="AB101" s="84"/>
      <c r="AC101" s="84"/>
      <c r="AD101" s="84"/>
      <c r="AE101" s="84"/>
      <c r="AF101" s="84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3" t="s">
        <v>280</v>
      </c>
      <c r="Q113" s="84"/>
      <c r="R113" s="84"/>
      <c r="S113" s="84"/>
      <c r="T113" s="84"/>
      <c r="U113" s="84"/>
      <c r="V113" s="84"/>
      <c r="W113" s="84"/>
      <c r="X113" s="2"/>
      <c r="Y113" s="83" t="s">
        <v>281</v>
      </c>
      <c r="Z113" s="84"/>
      <c r="AA113" s="84"/>
      <c r="AB113" s="84"/>
      <c r="AC113" s="84"/>
      <c r="AD113" s="84"/>
      <c r="AE113" s="84"/>
      <c r="AF113" s="84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3" t="s">
        <v>282</v>
      </c>
      <c r="Q125" s="84"/>
      <c r="R125" s="84"/>
      <c r="S125" s="84"/>
      <c r="T125" s="84"/>
      <c r="U125" s="84"/>
      <c r="V125" s="84"/>
      <c r="W125" s="84"/>
      <c r="X125" s="2"/>
      <c r="Y125" s="83" t="s">
        <v>283</v>
      </c>
      <c r="Z125" s="84"/>
      <c r="AA125" s="84"/>
      <c r="AB125" s="84"/>
      <c r="AC125" s="84"/>
      <c r="AD125" s="84"/>
      <c r="AE125" s="84"/>
      <c r="AF125" s="84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3" t="s">
        <v>284</v>
      </c>
      <c r="Q137" s="84"/>
      <c r="R137" s="84"/>
      <c r="S137" s="84"/>
      <c r="T137" s="84"/>
      <c r="U137" s="84"/>
      <c r="V137" s="84"/>
      <c r="W137" s="84"/>
      <c r="X137" s="2"/>
      <c r="Y137" s="83" t="s">
        <v>285</v>
      </c>
      <c r="Z137" s="84"/>
      <c r="AA137" s="84"/>
      <c r="AB137" s="84"/>
      <c r="AC137" s="84"/>
      <c r="AD137" s="84"/>
      <c r="AE137" s="84"/>
      <c r="AF137" s="84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3" t="s">
        <v>286</v>
      </c>
      <c r="Q147" s="84"/>
      <c r="R147" s="84"/>
      <c r="S147" s="84"/>
      <c r="T147" s="84"/>
      <c r="U147" s="84"/>
      <c r="V147" s="84"/>
      <c r="W147" s="84"/>
      <c r="X147" s="2"/>
      <c r="Y147" s="83" t="s">
        <v>287</v>
      </c>
      <c r="Z147" s="84"/>
      <c r="AA147" s="84"/>
      <c r="AB147" s="84"/>
      <c r="AC147" s="84"/>
      <c r="AD147" s="84"/>
      <c r="AE147" s="84"/>
      <c r="AF147" s="84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3" t="s">
        <v>288</v>
      </c>
      <c r="Q157" s="84"/>
      <c r="R157" s="84"/>
      <c r="S157" s="84"/>
      <c r="T157" s="84"/>
      <c r="U157" s="84"/>
      <c r="V157" s="84"/>
      <c r="W157" s="84"/>
      <c r="X157" s="2"/>
      <c r="Y157" s="83" t="s">
        <v>289</v>
      </c>
      <c r="Z157" s="84"/>
      <c r="AA157" s="84"/>
      <c r="AB157" s="84"/>
      <c r="AC157" s="84"/>
      <c r="AD157" s="84"/>
      <c r="AE157" s="84"/>
      <c r="AF157" s="84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82"/>
      <c r="K167" s="88"/>
      <c r="L167" s="82"/>
      <c r="M167" s="88"/>
      <c r="N167" s="88"/>
      <c r="O167" s="2"/>
      <c r="P167" s="83" t="s">
        <v>290</v>
      </c>
      <c r="Q167" s="84"/>
      <c r="R167" s="84"/>
      <c r="S167" s="84"/>
      <c r="T167" s="84"/>
      <c r="U167" s="84"/>
      <c r="V167" s="84"/>
      <c r="W167" s="84"/>
      <c r="X167" s="2"/>
      <c r="Y167" s="83" t="s">
        <v>291</v>
      </c>
      <c r="Z167" s="84"/>
      <c r="AA167" s="84"/>
      <c r="AB167" s="84"/>
      <c r="AC167" s="84"/>
      <c r="AD167" s="84"/>
      <c r="AE167" s="84"/>
      <c r="AF167" s="84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3" t="s">
        <v>292</v>
      </c>
      <c r="Q173" s="84"/>
      <c r="R173" s="84"/>
      <c r="S173" s="84"/>
      <c r="T173" s="84"/>
      <c r="U173" s="84"/>
      <c r="V173" s="84"/>
      <c r="W173" s="84"/>
      <c r="X173" s="2"/>
      <c r="Y173" s="83" t="s">
        <v>293</v>
      </c>
      <c r="Z173" s="84"/>
      <c r="AA173" s="84"/>
      <c r="AB173" s="84"/>
      <c r="AC173" s="84"/>
      <c r="AD173" s="84"/>
      <c r="AE173" s="84"/>
      <c r="AF173" s="84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3" t="s">
        <v>294</v>
      </c>
      <c r="Q179" s="84"/>
      <c r="R179" s="84"/>
      <c r="S179" s="84"/>
      <c r="T179" s="84"/>
      <c r="U179" s="84"/>
      <c r="V179" s="84"/>
      <c r="W179" s="84"/>
      <c r="X179" s="2"/>
      <c r="Y179" s="83" t="s">
        <v>295</v>
      </c>
      <c r="Z179" s="84"/>
      <c r="AA179" s="84"/>
      <c r="AB179" s="84"/>
      <c r="AC179" s="84"/>
      <c r="AD179" s="84"/>
      <c r="AE179" s="84"/>
      <c r="AF179" s="84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3" t="s">
        <v>296</v>
      </c>
      <c r="Q185" s="84"/>
      <c r="R185" s="84"/>
      <c r="S185" s="84"/>
      <c r="T185" s="84"/>
      <c r="U185" s="84"/>
      <c r="V185" s="84"/>
      <c r="W185" s="84"/>
      <c r="X185" s="2"/>
      <c r="Y185" s="83" t="s">
        <v>297</v>
      </c>
      <c r="Z185" s="84"/>
      <c r="AA185" s="84"/>
      <c r="AB185" s="84"/>
      <c r="AC185" s="84"/>
      <c r="AD185" s="84"/>
      <c r="AE185" s="84"/>
      <c r="AF185" s="84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3" t="s">
        <v>300</v>
      </c>
      <c r="Q196" s="84"/>
      <c r="R196" s="84"/>
      <c r="S196" s="84"/>
      <c r="T196" s="84"/>
      <c r="U196" s="84"/>
      <c r="V196" s="84"/>
      <c r="W196" s="84"/>
      <c r="X196" s="2"/>
      <c r="Y196" s="83" t="s">
        <v>301</v>
      </c>
      <c r="Z196" s="84"/>
      <c r="AA196" s="84"/>
      <c r="AB196" s="84"/>
      <c r="AC196" s="84"/>
      <c r="AD196" s="84"/>
      <c r="AE196" s="84"/>
      <c r="AF196" s="84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3" t="s">
        <v>302</v>
      </c>
      <c r="Q207" s="84"/>
      <c r="R207" s="84"/>
      <c r="S207" s="84"/>
      <c r="T207" s="84"/>
      <c r="U207" s="84"/>
      <c r="V207" s="84"/>
      <c r="W207" s="84"/>
      <c r="X207" s="2"/>
      <c r="Y207" s="83" t="s">
        <v>303</v>
      </c>
      <c r="Z207" s="84"/>
      <c r="AA207" s="84"/>
      <c r="AB207" s="84"/>
      <c r="AC207" s="84"/>
      <c r="AD207" s="84"/>
      <c r="AE207" s="84"/>
      <c r="AF207" s="84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82"/>
      <c r="K216" s="88"/>
      <c r="L216" s="82"/>
      <c r="M216" s="88"/>
      <c r="N216" s="88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8" t="s">
        <v>346</v>
      </c>
      <c r="G1" s="148"/>
      <c r="H1" s="148"/>
      <c r="I1" s="148"/>
      <c r="J1" s="148"/>
      <c r="K1" s="148"/>
      <c r="M1" s="69" t="s">
        <v>361</v>
      </c>
      <c r="AJ1" s="81" t="s">
        <v>86</v>
      </c>
      <c r="AK1" s="82"/>
    </row>
    <row r="2" spans="1:41" ht="18" customHeight="1" thickBot="1">
      <c r="A2" s="83" t="s">
        <v>329</v>
      </c>
      <c r="B2" s="84"/>
      <c r="C2" s="84"/>
      <c r="D2" s="84"/>
      <c r="E2" s="84"/>
      <c r="F2" s="84"/>
      <c r="G2" s="84"/>
      <c r="H2" s="84"/>
      <c r="J2" s="83" t="s">
        <v>330</v>
      </c>
      <c r="K2" s="83"/>
      <c r="L2" s="83"/>
      <c r="M2" s="83"/>
      <c r="N2" s="83"/>
      <c r="O2" s="83"/>
      <c r="P2" s="83"/>
      <c r="Q2" s="83"/>
      <c r="R2" s="2"/>
      <c r="S2" s="83" t="s">
        <v>347</v>
      </c>
      <c r="T2" s="83"/>
      <c r="U2" s="83"/>
      <c r="V2" s="83"/>
      <c r="W2" s="83"/>
      <c r="X2" s="83"/>
      <c r="Y2" s="83"/>
      <c r="Z2" s="83"/>
      <c r="AB2" s="83" t="s">
        <v>349</v>
      </c>
      <c r="AC2" s="84"/>
      <c r="AD2" s="84"/>
      <c r="AE2" s="84"/>
      <c r="AF2" s="84"/>
      <c r="AG2" s="84"/>
      <c r="AH2" s="84"/>
      <c r="AI2" s="84"/>
      <c r="AJ2" s="1" t="s">
        <v>10</v>
      </c>
      <c r="AK2" t="s">
        <v>92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82"/>
      <c r="AK3" s="82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5" t="s">
        <v>142</v>
      </c>
      <c r="AK5" s="145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5"/>
      <c r="AK6" s="145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3" t="s">
        <v>350</v>
      </c>
      <c r="T7" s="83"/>
      <c r="U7" s="83"/>
      <c r="V7" s="83"/>
      <c r="W7" s="83"/>
      <c r="X7" s="83"/>
      <c r="Y7" s="83"/>
      <c r="Z7" s="83"/>
      <c r="AB7" s="83" t="s">
        <v>351</v>
      </c>
      <c r="AC7" s="83"/>
      <c r="AD7" s="83"/>
      <c r="AE7" s="83"/>
      <c r="AF7" s="83"/>
      <c r="AG7" s="83"/>
      <c r="AH7" s="83"/>
      <c r="AI7" s="83"/>
      <c r="AJ7" s="145"/>
      <c r="AK7" s="145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5"/>
      <c r="AK8" s="145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5"/>
      <c r="AK9" s="145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5"/>
      <c r="AK10" s="145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5"/>
      <c r="AK11" s="145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3" t="s">
        <v>353</v>
      </c>
      <c r="K12" s="83"/>
      <c r="L12" s="83"/>
      <c r="M12" s="83"/>
      <c r="N12" s="83"/>
      <c r="O12" s="83"/>
      <c r="P12" s="83"/>
      <c r="Q12" s="83"/>
      <c r="S12" s="83" t="s">
        <v>355</v>
      </c>
      <c r="T12" s="83"/>
      <c r="U12" s="83"/>
      <c r="V12" s="83"/>
      <c r="W12" s="83"/>
      <c r="X12" s="83"/>
      <c r="Y12" s="83"/>
      <c r="Z12" s="83"/>
      <c r="AB12" s="83" t="s">
        <v>356</v>
      </c>
      <c r="AC12" s="83"/>
      <c r="AD12" s="83"/>
      <c r="AE12" s="83"/>
      <c r="AF12" s="83"/>
      <c r="AG12" s="83"/>
      <c r="AH12" s="83"/>
      <c r="AI12" s="83"/>
      <c r="AJ12" s="145"/>
      <c r="AK12" s="145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5"/>
      <c r="AK13" s="145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5"/>
      <c r="AK14" s="145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5"/>
      <c r="AK15" s="145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5"/>
      <c r="AK16" s="145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3" t="s">
        <v>357</v>
      </c>
      <c r="K17" s="83"/>
      <c r="L17" s="83"/>
      <c r="M17" s="83"/>
      <c r="N17" s="83"/>
      <c r="O17" s="83"/>
      <c r="P17" s="83"/>
      <c r="Q17" s="83"/>
      <c r="S17" s="83" t="s">
        <v>91</v>
      </c>
      <c r="T17" s="83"/>
      <c r="U17" s="83"/>
      <c r="V17" s="83"/>
      <c r="W17" s="83"/>
      <c r="X17" s="83"/>
      <c r="Y17" s="83"/>
      <c r="Z17" s="83"/>
      <c r="AB17" s="83" t="s">
        <v>363</v>
      </c>
      <c r="AC17" s="83"/>
      <c r="AD17" s="83"/>
      <c r="AE17" s="83"/>
      <c r="AF17" s="83"/>
      <c r="AG17" s="83"/>
      <c r="AH17" s="83"/>
      <c r="AI17" s="83"/>
      <c r="AJ17" s="145"/>
      <c r="AK17" s="145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5"/>
      <c r="AK18" s="145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5"/>
      <c r="AK19" s="145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5"/>
      <c r="AK20" s="145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5"/>
      <c r="AK21" s="145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3" t="s">
        <v>360</v>
      </c>
      <c r="K22" s="83"/>
      <c r="L22" s="83"/>
      <c r="M22" s="83"/>
      <c r="N22" s="83"/>
      <c r="O22" s="83"/>
      <c r="P22" s="83"/>
      <c r="Q22" s="83"/>
      <c r="S22" s="83" t="s">
        <v>365</v>
      </c>
      <c r="T22" s="83"/>
      <c r="U22" s="83"/>
      <c r="V22" s="83"/>
      <c r="W22" s="83"/>
      <c r="X22" s="83"/>
      <c r="Y22" s="83"/>
      <c r="Z22" s="83"/>
      <c r="AB22" s="83" t="s">
        <v>369</v>
      </c>
      <c r="AC22" s="83"/>
      <c r="AD22" s="83"/>
      <c r="AE22" s="83"/>
      <c r="AF22" s="83"/>
      <c r="AG22" s="83"/>
      <c r="AH22" s="83"/>
      <c r="AI22" s="83"/>
      <c r="AJ22" s="145"/>
      <c r="AK22" s="145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5"/>
      <c r="AK23" s="145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5"/>
      <c r="AK24" s="145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5"/>
      <c r="AK25" s="145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5"/>
      <c r="AK26" s="145"/>
      <c r="AL26" s="70"/>
      <c r="AM26" s="70"/>
      <c r="AN26" s="70"/>
      <c r="AO26" s="70"/>
    </row>
    <row r="27" spans="1:41" ht="15" customHeight="1" thickBot="1">
      <c r="A27" s="83" t="s">
        <v>377</v>
      </c>
      <c r="B27" s="83"/>
      <c r="C27" s="83"/>
      <c r="D27" s="83"/>
      <c r="E27" s="83"/>
      <c r="F27" s="83"/>
      <c r="G27" s="83"/>
      <c r="H27" s="83"/>
      <c r="J27" s="83" t="s">
        <v>376</v>
      </c>
      <c r="K27" s="83"/>
      <c r="L27" s="83"/>
      <c r="M27" s="83"/>
      <c r="N27" s="83"/>
      <c r="O27" s="83"/>
      <c r="P27" s="83"/>
      <c r="Q27" s="83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6" t="s">
        <v>779</v>
      </c>
      <c r="AK27" s="146"/>
      <c r="AL27" s="70"/>
      <c r="AM27" s="70"/>
      <c r="AN27" s="70"/>
      <c r="AO27" s="70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6"/>
      <c r="AK28" s="146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6"/>
      <c r="AK29" s="146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6"/>
      <c r="AK30" s="146"/>
    </row>
    <row r="31" spans="1:41" ht="18" customHeight="1" thickBot="1">
      <c r="S31" s="83" t="s">
        <v>383</v>
      </c>
      <c r="T31" s="83"/>
      <c r="U31" s="83"/>
      <c r="V31" s="83"/>
      <c r="W31" s="83"/>
      <c r="X31" s="83"/>
      <c r="Y31" s="83"/>
      <c r="Z31" s="83"/>
      <c r="AJ31" s="146"/>
      <c r="AK31" s="146"/>
    </row>
    <row r="32" spans="1:41" ht="18.75" customHeight="1" thickTop="1" thickBot="1">
      <c r="A32" s="83" t="s">
        <v>378</v>
      </c>
      <c r="B32" s="83"/>
      <c r="C32" s="83"/>
      <c r="D32" s="83"/>
      <c r="E32" s="83"/>
      <c r="F32" s="83"/>
      <c r="G32" s="83"/>
      <c r="H32" s="83"/>
      <c r="J32" s="83" t="s">
        <v>380</v>
      </c>
      <c r="K32" s="83"/>
      <c r="L32" s="83"/>
      <c r="M32" s="83"/>
      <c r="N32" s="83"/>
      <c r="O32" s="83"/>
      <c r="P32" s="83"/>
      <c r="Q32" s="83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3" t="s">
        <v>385</v>
      </c>
      <c r="AC32" s="83"/>
      <c r="AD32" s="83"/>
      <c r="AE32" s="83"/>
      <c r="AF32" s="83"/>
      <c r="AG32" s="83"/>
      <c r="AH32" s="83"/>
      <c r="AI32" s="83"/>
      <c r="AJ32" s="146"/>
      <c r="AK32" s="146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6"/>
      <c r="AK33" s="146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4" t="s">
        <v>615</v>
      </c>
      <c r="AK34" s="145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5"/>
      <c r="AK35" s="145"/>
    </row>
    <row r="36" spans="1:37" ht="15" customHeight="1">
      <c r="AJ36" s="145"/>
      <c r="AK36" s="145"/>
    </row>
    <row r="37" spans="1:37" ht="18" customHeight="1" thickBot="1">
      <c r="A37" s="83" t="s">
        <v>387</v>
      </c>
      <c r="B37" s="83"/>
      <c r="C37" s="83"/>
      <c r="D37" s="83"/>
      <c r="E37" s="83"/>
      <c r="F37" s="83"/>
      <c r="G37" s="83"/>
      <c r="H37" s="83"/>
      <c r="J37" s="83" t="s">
        <v>389</v>
      </c>
      <c r="K37" s="83"/>
      <c r="L37" s="83"/>
      <c r="M37" s="83"/>
      <c r="N37" s="83"/>
      <c r="O37" s="83"/>
      <c r="P37" s="83"/>
      <c r="Q37" s="83"/>
      <c r="S37" s="147" t="s">
        <v>396</v>
      </c>
      <c r="T37" s="147"/>
      <c r="U37" s="147"/>
      <c r="V37" s="147"/>
      <c r="W37" s="147"/>
      <c r="X37" s="147"/>
      <c r="Y37" s="147"/>
      <c r="Z37" s="147"/>
      <c r="AB37" s="83" t="s">
        <v>393</v>
      </c>
      <c r="AC37" s="83"/>
      <c r="AD37" s="83"/>
      <c r="AE37" s="83"/>
      <c r="AF37" s="83"/>
      <c r="AG37" s="83"/>
      <c r="AH37" s="83"/>
      <c r="AI37" s="83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3" t="s">
        <v>397</v>
      </c>
      <c r="B43" s="83"/>
      <c r="C43" s="83"/>
      <c r="D43" s="83"/>
      <c r="E43" s="83"/>
      <c r="F43" s="83"/>
      <c r="G43" s="83"/>
      <c r="H43" s="83"/>
      <c r="J43" s="83" t="s">
        <v>126</v>
      </c>
      <c r="K43" s="83"/>
      <c r="L43" s="83"/>
      <c r="M43" s="83"/>
      <c r="N43" s="83"/>
      <c r="O43" s="83"/>
      <c r="P43" s="83"/>
      <c r="Q43" s="83"/>
      <c r="S43" s="83" t="s">
        <v>398</v>
      </c>
      <c r="T43" s="83"/>
      <c r="U43" s="83"/>
      <c r="V43" s="83"/>
      <c r="W43" s="83"/>
      <c r="X43" s="83"/>
      <c r="Y43" s="83"/>
      <c r="Z43" s="83"/>
      <c r="AA43" s="68"/>
      <c r="AB43" s="83" t="s">
        <v>399</v>
      </c>
      <c r="AC43" s="83"/>
      <c r="AD43" s="83"/>
      <c r="AE43" s="83"/>
      <c r="AF43" s="83"/>
      <c r="AG43" s="83"/>
      <c r="AH43" s="83"/>
      <c r="AI43" s="83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3" t="s">
        <v>400</v>
      </c>
      <c r="K48" s="83"/>
      <c r="L48" s="83"/>
      <c r="M48" s="83"/>
      <c r="N48" s="83"/>
      <c r="O48" s="83"/>
      <c r="P48" s="83"/>
      <c r="Q48" s="83"/>
      <c r="S48" s="83" t="s">
        <v>402</v>
      </c>
      <c r="T48" s="83"/>
      <c r="U48" s="83"/>
      <c r="V48" s="83"/>
      <c r="W48" s="83"/>
      <c r="X48" s="83"/>
      <c r="Y48" s="83"/>
      <c r="Z48" s="83"/>
      <c r="AB48" s="83" t="s">
        <v>404</v>
      </c>
      <c r="AC48" s="83"/>
      <c r="AD48" s="83"/>
      <c r="AE48" s="83"/>
      <c r="AF48" s="83"/>
      <c r="AG48" s="83"/>
      <c r="AH48" s="83"/>
      <c r="AI48" s="83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3" t="s">
        <v>88</v>
      </c>
      <c r="B53" s="83"/>
      <c r="C53" s="83"/>
      <c r="D53" s="83"/>
      <c r="E53" s="83"/>
      <c r="F53" s="83"/>
      <c r="G53" s="83"/>
      <c r="H53" s="83"/>
      <c r="J53" s="83" t="s">
        <v>406</v>
      </c>
      <c r="K53" s="83"/>
      <c r="L53" s="83"/>
      <c r="M53" s="83"/>
      <c r="N53" s="83"/>
      <c r="O53" s="83"/>
      <c r="P53" s="83"/>
      <c r="Q53" s="83"/>
      <c r="S53" s="83" t="s">
        <v>90</v>
      </c>
      <c r="T53" s="83"/>
      <c r="U53" s="83"/>
      <c r="V53" s="83"/>
      <c r="W53" s="83"/>
      <c r="X53" s="83"/>
      <c r="Y53" s="83"/>
      <c r="Z53" s="83"/>
      <c r="AB53" s="83" t="s">
        <v>411</v>
      </c>
      <c r="AC53" s="83"/>
      <c r="AD53" s="83"/>
      <c r="AE53" s="83"/>
      <c r="AF53" s="83"/>
      <c r="AG53" s="83"/>
      <c r="AH53" s="83"/>
      <c r="AI53" s="83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3" t="s">
        <v>407</v>
      </c>
      <c r="B58" s="83"/>
      <c r="C58" s="83"/>
      <c r="D58" s="83"/>
      <c r="E58" s="83"/>
      <c r="F58" s="83"/>
      <c r="G58" s="83"/>
      <c r="H58" s="83"/>
      <c r="J58" s="83" t="s">
        <v>408</v>
      </c>
      <c r="K58" s="83"/>
      <c r="L58" s="83"/>
      <c r="M58" s="83"/>
      <c r="N58" s="83"/>
      <c r="O58" s="83"/>
      <c r="P58" s="83"/>
      <c r="Q58" s="83"/>
      <c r="S58" s="83" t="s">
        <v>128</v>
      </c>
      <c r="T58" s="83"/>
      <c r="U58" s="83"/>
      <c r="V58" s="83"/>
      <c r="W58" s="83"/>
      <c r="X58" s="83"/>
      <c r="Y58" s="83"/>
      <c r="Z58" s="83"/>
      <c r="AB58" s="83" t="s">
        <v>413</v>
      </c>
      <c r="AC58" s="83"/>
      <c r="AD58" s="83"/>
      <c r="AE58" s="83"/>
      <c r="AF58" s="83"/>
      <c r="AG58" s="83"/>
      <c r="AH58" s="83"/>
      <c r="AI58" s="83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3" t="s">
        <v>144</v>
      </c>
      <c r="B65" s="83"/>
      <c r="C65" s="83"/>
      <c r="D65" s="83"/>
      <c r="E65" s="83"/>
      <c r="F65" s="83"/>
      <c r="G65" s="83"/>
      <c r="H65" s="83"/>
      <c r="J65" s="83" t="s">
        <v>420</v>
      </c>
      <c r="K65" s="83"/>
      <c r="L65" s="83"/>
      <c r="M65" s="83"/>
      <c r="N65" s="83"/>
      <c r="O65" s="83"/>
      <c r="P65" s="83"/>
      <c r="Q65" s="83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  <mergeCell ref="A37:H37"/>
    <mergeCell ref="J27:Q27"/>
    <mergeCell ref="A27:H27"/>
    <mergeCell ref="A32:H32"/>
    <mergeCell ref="J32:Q32"/>
    <mergeCell ref="J37:Q37"/>
    <mergeCell ref="AB37:AI37"/>
    <mergeCell ref="S31:Z31"/>
    <mergeCell ref="AB32:AI32"/>
    <mergeCell ref="J22:Q22"/>
    <mergeCell ref="S22:Z22"/>
    <mergeCell ref="AB22:AI22"/>
    <mergeCell ref="J48:Q48"/>
    <mergeCell ref="S43:Z43"/>
    <mergeCell ref="J53:Q53"/>
    <mergeCell ref="S53:Z53"/>
    <mergeCell ref="S37:Z37"/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A3" sqref="A3:B3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81" t="s">
        <v>86</v>
      </c>
      <c r="B1" s="82"/>
      <c r="D1" s="155" t="s">
        <v>426</v>
      </c>
      <c r="E1" s="155"/>
      <c r="F1" s="155"/>
      <c r="G1" s="155"/>
      <c r="H1" s="155"/>
      <c r="I1" s="155"/>
      <c r="J1" s="155"/>
      <c r="K1" s="155"/>
      <c r="M1" s="155" t="s">
        <v>467</v>
      </c>
      <c r="N1" s="155"/>
      <c r="O1" s="155"/>
      <c r="P1" s="155"/>
      <c r="Q1" s="155"/>
      <c r="R1" s="155"/>
      <c r="S1" s="155"/>
      <c r="T1" s="155"/>
      <c r="V1" s="155" t="s">
        <v>469</v>
      </c>
      <c r="W1" s="155"/>
      <c r="X1" s="155"/>
      <c r="Y1" s="155"/>
      <c r="Z1" s="155"/>
      <c r="AA1" s="155"/>
      <c r="AB1" s="155"/>
      <c r="AC1" s="155"/>
      <c r="AE1" s="155" t="s">
        <v>472</v>
      </c>
      <c r="AF1" s="155"/>
      <c r="AG1" s="155"/>
      <c r="AH1" s="155"/>
      <c r="AI1" s="155"/>
      <c r="AJ1" s="155"/>
      <c r="AK1" s="155"/>
      <c r="AL1" s="155"/>
      <c r="AN1" s="155" t="s">
        <v>476</v>
      </c>
      <c r="AO1" s="155"/>
      <c r="AP1" s="155"/>
      <c r="AQ1" s="155"/>
      <c r="AR1" s="155"/>
      <c r="AS1" s="155"/>
      <c r="AT1" s="155"/>
      <c r="AU1" s="155"/>
      <c r="AW1" s="155" t="s">
        <v>479</v>
      </c>
      <c r="AX1" s="155"/>
      <c r="AY1" s="155"/>
      <c r="AZ1" s="155"/>
      <c r="BA1" s="155"/>
      <c r="BB1" s="155"/>
      <c r="BC1" s="155"/>
      <c r="BD1" s="155"/>
      <c r="BF1" s="155" t="s">
        <v>485</v>
      </c>
      <c r="BG1" s="155"/>
      <c r="BH1" s="155"/>
      <c r="BI1" s="155"/>
      <c r="BJ1" s="155"/>
      <c r="BK1" s="155"/>
      <c r="BL1" s="155"/>
      <c r="BM1" s="155"/>
      <c r="BO1" s="155" t="s">
        <v>489</v>
      </c>
      <c r="BP1" s="155"/>
      <c r="BQ1" s="155"/>
      <c r="BR1" s="155"/>
      <c r="BS1" s="155"/>
      <c r="BT1" s="155"/>
      <c r="BU1" s="155"/>
      <c r="BV1" s="155"/>
      <c r="BX1" s="155" t="s">
        <v>493</v>
      </c>
      <c r="BY1" s="155"/>
      <c r="BZ1" s="155"/>
      <c r="CA1" s="155"/>
      <c r="CB1" s="155"/>
      <c r="CC1" s="155"/>
      <c r="CD1" s="155"/>
      <c r="CE1" s="155"/>
      <c r="CG1" s="155" t="s">
        <v>497</v>
      </c>
      <c r="CH1" s="155"/>
      <c r="CI1" s="155"/>
      <c r="CJ1" s="155"/>
      <c r="CK1" s="155"/>
      <c r="CL1" s="155"/>
      <c r="CM1" s="155"/>
      <c r="CN1" s="155"/>
      <c r="CP1" s="155" t="s">
        <v>500</v>
      </c>
      <c r="CQ1" s="155"/>
      <c r="CR1" s="155"/>
      <c r="CS1" s="155"/>
      <c r="CT1" s="155"/>
      <c r="CU1" s="155"/>
      <c r="CV1" s="155"/>
      <c r="CW1" s="155"/>
      <c r="CY1" s="155" t="s">
        <v>504</v>
      </c>
      <c r="CZ1" s="155"/>
      <c r="DA1" s="155"/>
      <c r="DB1" s="155"/>
      <c r="DC1" s="155"/>
      <c r="DD1" s="155"/>
      <c r="DE1" s="155"/>
      <c r="DF1" s="155"/>
      <c r="DH1" s="155" t="s">
        <v>506</v>
      </c>
      <c r="DI1" s="155"/>
      <c r="DJ1" s="155"/>
      <c r="DK1" s="155"/>
      <c r="DL1" s="155"/>
      <c r="DM1" s="155"/>
      <c r="DN1" s="155"/>
      <c r="DO1" s="155"/>
      <c r="DQ1" s="155" t="s">
        <v>509</v>
      </c>
      <c r="DR1" s="155"/>
      <c r="DS1" s="155"/>
      <c r="DT1" s="155"/>
      <c r="DU1" s="155"/>
      <c r="DV1" s="155"/>
      <c r="DW1" s="155"/>
      <c r="DX1" s="155"/>
      <c r="DZ1" s="155" t="s">
        <v>512</v>
      </c>
      <c r="EA1" s="155"/>
      <c r="EB1" s="155"/>
      <c r="EC1" s="155"/>
      <c r="ED1" s="155"/>
      <c r="EE1" s="155"/>
      <c r="EF1" s="155"/>
      <c r="EG1" s="155"/>
    </row>
    <row r="2" spans="1:137" ht="15.75" thickTop="1">
      <c r="A2" s="1" t="s">
        <v>10</v>
      </c>
      <c r="B2" t="s">
        <v>92</v>
      </c>
      <c r="D2" s="154" t="s">
        <v>427</v>
      </c>
      <c r="E2" s="154"/>
      <c r="F2" s="154"/>
      <c r="G2" s="154"/>
      <c r="H2" s="154"/>
      <c r="I2" s="154"/>
      <c r="J2" s="154"/>
      <c r="K2" s="154"/>
      <c r="M2" s="154" t="s">
        <v>468</v>
      </c>
      <c r="N2" s="154"/>
      <c r="O2" s="154"/>
      <c r="P2" s="154"/>
      <c r="Q2" s="154"/>
      <c r="R2" s="154"/>
      <c r="S2" s="154"/>
      <c r="T2" s="154"/>
      <c r="V2" s="154" t="s">
        <v>470</v>
      </c>
      <c r="W2" s="154"/>
      <c r="X2" s="154"/>
      <c r="Y2" s="154"/>
      <c r="Z2" s="154"/>
      <c r="AA2" s="154"/>
      <c r="AB2" s="154"/>
      <c r="AC2" s="154"/>
      <c r="AE2" s="154" t="s">
        <v>473</v>
      </c>
      <c r="AF2" s="154"/>
      <c r="AG2" s="154"/>
      <c r="AH2" s="154"/>
      <c r="AI2" s="154"/>
      <c r="AJ2" s="154"/>
      <c r="AK2" s="154"/>
      <c r="AL2" s="154"/>
      <c r="AN2" s="154" t="s">
        <v>477</v>
      </c>
      <c r="AO2" s="154"/>
      <c r="AP2" s="154"/>
      <c r="AQ2" s="154"/>
      <c r="AR2" s="154"/>
      <c r="AS2" s="154"/>
      <c r="AT2" s="154"/>
      <c r="AU2" s="154"/>
      <c r="AW2" s="154" t="s">
        <v>480</v>
      </c>
      <c r="AX2" s="154"/>
      <c r="AY2" s="154"/>
      <c r="AZ2" s="154"/>
      <c r="BA2" s="154"/>
      <c r="BB2" s="154"/>
      <c r="BC2" s="154"/>
      <c r="BD2" s="154"/>
      <c r="BF2" s="154" t="s">
        <v>486</v>
      </c>
      <c r="BG2" s="154"/>
      <c r="BH2" s="154"/>
      <c r="BI2" s="154"/>
      <c r="BJ2" s="154"/>
      <c r="BK2" s="154"/>
      <c r="BL2" s="154"/>
      <c r="BM2" s="154"/>
      <c r="BO2" s="154" t="s">
        <v>490</v>
      </c>
      <c r="BP2" s="154"/>
      <c r="BQ2" s="154"/>
      <c r="BR2" s="154"/>
      <c r="BS2" s="154"/>
      <c r="BT2" s="154"/>
      <c r="BU2" s="154"/>
      <c r="BV2" s="154"/>
      <c r="BX2" s="157" t="s">
        <v>494</v>
      </c>
      <c r="BY2" s="158"/>
      <c r="BZ2" s="158"/>
      <c r="CA2" s="158"/>
      <c r="CB2" s="158"/>
      <c r="CC2" s="158"/>
      <c r="CD2" s="158"/>
      <c r="CE2" s="159"/>
      <c r="CG2" s="157" t="s">
        <v>498</v>
      </c>
      <c r="CH2" s="158"/>
      <c r="CI2" s="158"/>
      <c r="CJ2" s="158"/>
      <c r="CK2" s="158"/>
      <c r="CL2" s="158"/>
      <c r="CM2" s="158"/>
      <c r="CN2" s="159"/>
      <c r="CP2" s="157" t="s">
        <v>501</v>
      </c>
      <c r="CQ2" s="158"/>
      <c r="CR2" s="158"/>
      <c r="CS2" s="158"/>
      <c r="CT2" s="158"/>
      <c r="CU2" s="158"/>
      <c r="CV2" s="158"/>
      <c r="CW2" s="159"/>
      <c r="CY2" s="157" t="s">
        <v>505</v>
      </c>
      <c r="CZ2" s="158"/>
      <c r="DA2" s="158"/>
      <c r="DB2" s="158"/>
      <c r="DC2" s="158"/>
      <c r="DD2" s="158"/>
      <c r="DE2" s="158"/>
      <c r="DF2" s="159"/>
      <c r="DH2" s="157" t="s">
        <v>507</v>
      </c>
      <c r="DI2" s="158"/>
      <c r="DJ2" s="158"/>
      <c r="DK2" s="158"/>
      <c r="DL2" s="158"/>
      <c r="DM2" s="158"/>
      <c r="DN2" s="158"/>
      <c r="DO2" s="159"/>
      <c r="DQ2" s="157" t="s">
        <v>510</v>
      </c>
      <c r="DR2" s="158"/>
      <c r="DS2" s="158"/>
      <c r="DT2" s="158"/>
      <c r="DU2" s="158"/>
      <c r="DV2" s="158"/>
      <c r="DW2" s="158"/>
      <c r="DX2" s="159"/>
      <c r="DZ2" s="157" t="s">
        <v>513</v>
      </c>
      <c r="EA2" s="158"/>
      <c r="EB2" s="158"/>
      <c r="EC2" s="158"/>
      <c r="ED2" s="158"/>
      <c r="EE2" s="158"/>
      <c r="EF2" s="158"/>
      <c r="EG2" s="159"/>
    </row>
    <row r="3" spans="1:137">
      <c r="A3" s="82"/>
      <c r="B3" s="82"/>
      <c r="D3" s="153" t="s">
        <v>428</v>
      </c>
      <c r="E3" s="153"/>
      <c r="F3" s="153"/>
      <c r="G3" s="153"/>
      <c r="H3" s="153"/>
      <c r="I3" s="153"/>
      <c r="J3" s="153"/>
      <c r="K3" s="153"/>
      <c r="M3" s="153" t="s">
        <v>463</v>
      </c>
      <c r="N3" s="153"/>
      <c r="O3" s="153"/>
      <c r="P3" s="153"/>
      <c r="Q3" s="153"/>
      <c r="R3" s="153"/>
      <c r="S3" s="153"/>
      <c r="T3" s="153"/>
      <c r="V3" s="153" t="s">
        <v>471</v>
      </c>
      <c r="W3" s="153"/>
      <c r="X3" s="153"/>
      <c r="Y3" s="153"/>
      <c r="Z3" s="153"/>
      <c r="AA3" s="153"/>
      <c r="AB3" s="153"/>
      <c r="AC3" s="153"/>
      <c r="AE3" s="153" t="s">
        <v>474</v>
      </c>
      <c r="AF3" s="153"/>
      <c r="AG3" s="153"/>
      <c r="AH3" s="153"/>
      <c r="AI3" s="153"/>
      <c r="AJ3" s="153"/>
      <c r="AK3" s="153"/>
      <c r="AL3" s="153"/>
      <c r="AN3" s="153" t="s">
        <v>478</v>
      </c>
      <c r="AO3" s="153"/>
      <c r="AP3" s="153"/>
      <c r="AQ3" s="153"/>
      <c r="AR3" s="153"/>
      <c r="AS3" s="153"/>
      <c r="AT3" s="153"/>
      <c r="AU3" s="153"/>
      <c r="AW3" s="153" t="s">
        <v>481</v>
      </c>
      <c r="AX3" s="153"/>
      <c r="AY3" s="153"/>
      <c r="AZ3" s="153"/>
      <c r="BA3" s="153"/>
      <c r="BB3" s="153"/>
      <c r="BC3" s="153"/>
      <c r="BD3" s="153"/>
      <c r="BF3" s="153" t="s">
        <v>487</v>
      </c>
      <c r="BG3" s="153"/>
      <c r="BH3" s="153"/>
      <c r="BI3" s="153"/>
      <c r="BJ3" s="153"/>
      <c r="BK3" s="153"/>
      <c r="BL3" s="153"/>
      <c r="BM3" s="153"/>
      <c r="BO3" s="153" t="s">
        <v>491</v>
      </c>
      <c r="BP3" s="153"/>
      <c r="BQ3" s="153"/>
      <c r="BR3" s="153"/>
      <c r="BS3" s="153"/>
      <c r="BT3" s="153"/>
      <c r="BU3" s="153"/>
      <c r="BV3" s="153"/>
      <c r="BX3" s="149" t="s">
        <v>495</v>
      </c>
      <c r="BY3" s="150"/>
      <c r="BZ3" s="150"/>
      <c r="CA3" s="150"/>
      <c r="CB3" s="150"/>
      <c r="CC3" s="150"/>
      <c r="CD3" s="150"/>
      <c r="CE3" s="151"/>
      <c r="CG3" s="149" t="s">
        <v>499</v>
      </c>
      <c r="CH3" s="150"/>
      <c r="CI3" s="150"/>
      <c r="CJ3" s="150"/>
      <c r="CK3" s="150"/>
      <c r="CL3" s="150"/>
      <c r="CM3" s="150"/>
      <c r="CN3" s="151"/>
      <c r="CP3" s="149" t="s">
        <v>502</v>
      </c>
      <c r="CQ3" s="150"/>
      <c r="CR3" s="150"/>
      <c r="CS3" s="150"/>
      <c r="CT3" s="150"/>
      <c r="CU3" s="150"/>
      <c r="CV3" s="150"/>
      <c r="CW3" s="151"/>
      <c r="CY3" s="149" t="s">
        <v>505</v>
      </c>
      <c r="CZ3" s="150"/>
      <c r="DA3" s="150"/>
      <c r="DB3" s="150"/>
      <c r="DC3" s="150"/>
      <c r="DD3" s="150"/>
      <c r="DE3" s="150"/>
      <c r="DF3" s="151"/>
      <c r="DH3" s="149" t="s">
        <v>508</v>
      </c>
      <c r="DI3" s="150"/>
      <c r="DJ3" s="150"/>
      <c r="DK3" s="150"/>
      <c r="DL3" s="150"/>
      <c r="DM3" s="150"/>
      <c r="DN3" s="150"/>
      <c r="DO3" s="151"/>
      <c r="DQ3" s="149" t="s">
        <v>511</v>
      </c>
      <c r="DR3" s="150"/>
      <c r="DS3" s="150"/>
      <c r="DT3" s="150"/>
      <c r="DU3" s="150"/>
      <c r="DV3" s="150"/>
      <c r="DW3" s="150"/>
      <c r="DX3" s="151"/>
      <c r="DZ3" s="149" t="s">
        <v>145</v>
      </c>
      <c r="EA3" s="150"/>
      <c r="EB3" s="150"/>
      <c r="EC3" s="150"/>
      <c r="ED3" s="150"/>
      <c r="EE3" s="150"/>
      <c r="EF3" s="150"/>
      <c r="EG3" s="151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5" t="s">
        <v>142</v>
      </c>
      <c r="B5" s="145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5"/>
      <c r="B6" s="145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3" t="s">
        <v>530</v>
      </c>
      <c r="W6" s="153"/>
      <c r="X6" s="153"/>
      <c r="Y6" s="153"/>
      <c r="Z6" s="153"/>
      <c r="AA6" s="153"/>
      <c r="AB6" s="153"/>
      <c r="AC6" s="153"/>
      <c r="AE6" s="153" t="s">
        <v>556</v>
      </c>
      <c r="AF6" s="153"/>
      <c r="AG6" s="153"/>
      <c r="AH6" s="153"/>
      <c r="AI6" s="153"/>
      <c r="AJ6" s="153"/>
      <c r="AK6" s="153"/>
      <c r="AL6" s="153"/>
      <c r="AN6" s="154" t="s">
        <v>616</v>
      </c>
      <c r="AO6" s="154"/>
      <c r="AP6" s="154"/>
      <c r="AQ6" s="154"/>
      <c r="AR6" s="154"/>
      <c r="AS6" s="154"/>
      <c r="AT6" s="154"/>
      <c r="AU6" s="154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2" t="s">
        <v>648</v>
      </c>
      <c r="BG6" s="153"/>
      <c r="BH6" s="153"/>
      <c r="BI6" s="153"/>
      <c r="BJ6" s="153"/>
      <c r="BK6" s="153"/>
      <c r="BL6" s="153"/>
      <c r="BM6" s="153"/>
      <c r="BO6" s="152" t="s">
        <v>689</v>
      </c>
      <c r="BP6" s="153"/>
      <c r="BQ6" s="153"/>
      <c r="BR6" s="153"/>
      <c r="BS6" s="153"/>
      <c r="BT6" s="153"/>
      <c r="BU6" s="153"/>
      <c r="BV6" s="153"/>
      <c r="BX6" s="149" t="s">
        <v>711</v>
      </c>
      <c r="BY6" s="150"/>
      <c r="BZ6" s="150"/>
      <c r="CA6" s="150"/>
      <c r="CB6" s="150"/>
      <c r="CC6" s="150"/>
      <c r="CD6" s="150"/>
      <c r="CE6" s="151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49" t="s">
        <v>759</v>
      </c>
      <c r="CQ6" s="150"/>
      <c r="CR6" s="150"/>
      <c r="CS6" s="150"/>
      <c r="CT6" s="150"/>
      <c r="CU6" s="150"/>
      <c r="CV6" s="150"/>
      <c r="CW6" s="151"/>
      <c r="DH6" s="149" t="s">
        <v>763</v>
      </c>
      <c r="DI6" s="150"/>
      <c r="DJ6" s="150"/>
      <c r="DK6" s="150"/>
      <c r="DL6" s="150"/>
      <c r="DM6" s="150"/>
      <c r="DN6" s="150"/>
      <c r="DO6" s="151"/>
    </row>
    <row r="7" spans="1:137" ht="15" customHeight="1">
      <c r="A7" s="145"/>
      <c r="B7" s="145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3" t="s">
        <v>466</v>
      </c>
      <c r="N7" s="153"/>
      <c r="O7" s="153"/>
      <c r="P7" s="153"/>
      <c r="Q7" s="153"/>
      <c r="R7" s="153"/>
      <c r="S7" s="153"/>
      <c r="T7" s="153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3" t="s">
        <v>617</v>
      </c>
      <c r="AO7" s="153"/>
      <c r="AP7" s="153"/>
      <c r="AQ7" s="153"/>
      <c r="AR7" s="153"/>
      <c r="AS7" s="153"/>
      <c r="AT7" s="153"/>
      <c r="AU7" s="153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5"/>
      <c r="B8" s="145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3" t="s">
        <v>637</v>
      </c>
      <c r="AX8" s="153"/>
      <c r="AY8" s="153"/>
      <c r="AZ8" s="153"/>
      <c r="BA8" s="153"/>
      <c r="BB8" s="153"/>
      <c r="BC8" s="153"/>
      <c r="BD8" s="153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5"/>
      <c r="B9" s="145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3" t="s">
        <v>531</v>
      </c>
      <c r="W9" s="153"/>
      <c r="X9" s="153"/>
      <c r="Y9" s="153"/>
      <c r="Z9" s="153"/>
      <c r="AA9" s="153"/>
      <c r="AB9" s="153"/>
      <c r="AC9" s="153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2" t="s">
        <v>649</v>
      </c>
      <c r="BG9" s="153"/>
      <c r="BH9" s="153"/>
      <c r="BI9" s="153"/>
      <c r="BJ9" s="153"/>
      <c r="BK9" s="153"/>
      <c r="BL9" s="153"/>
      <c r="BM9" s="153"/>
      <c r="BO9" s="152" t="s">
        <v>691</v>
      </c>
      <c r="BP9" s="153"/>
      <c r="BQ9" s="153"/>
      <c r="BR9" s="153"/>
      <c r="BS9" s="153"/>
      <c r="BT9" s="153"/>
      <c r="BU9" s="153"/>
      <c r="BV9" s="153"/>
      <c r="BX9" s="149" t="s">
        <v>713</v>
      </c>
      <c r="BY9" s="150"/>
      <c r="BZ9" s="150"/>
      <c r="CA9" s="150"/>
      <c r="CB9" s="150"/>
      <c r="CC9" s="150"/>
      <c r="CD9" s="150"/>
      <c r="CE9" s="151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49" t="s">
        <v>761</v>
      </c>
      <c r="CQ9" s="150"/>
      <c r="CR9" s="150"/>
      <c r="CS9" s="150"/>
      <c r="CT9" s="150"/>
      <c r="CU9" s="150"/>
      <c r="CV9" s="150"/>
      <c r="CW9" s="151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5"/>
      <c r="B10" s="145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4" t="s">
        <v>559</v>
      </c>
      <c r="AF10" s="154"/>
      <c r="AG10" s="154"/>
      <c r="AH10" s="154"/>
      <c r="AI10" s="154"/>
      <c r="AJ10" s="154"/>
      <c r="AK10" s="154"/>
      <c r="AL10" s="154"/>
      <c r="AN10" s="153" t="s">
        <v>619</v>
      </c>
      <c r="AO10" s="153"/>
      <c r="AP10" s="153"/>
      <c r="AQ10" s="153"/>
      <c r="AR10" s="153"/>
      <c r="AS10" s="153"/>
      <c r="AT10" s="153"/>
      <c r="AU10" s="153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5"/>
      <c r="B11" s="145"/>
      <c r="D11" s="153" t="s">
        <v>438</v>
      </c>
      <c r="E11" s="153"/>
      <c r="F11" s="153"/>
      <c r="G11" s="153"/>
      <c r="H11" s="153"/>
      <c r="I11" s="153"/>
      <c r="J11" s="153"/>
      <c r="K11" s="153"/>
      <c r="M11" s="152" t="s">
        <v>515</v>
      </c>
      <c r="N11" s="153"/>
      <c r="O11" s="153"/>
      <c r="P11" s="153"/>
      <c r="Q11" s="153"/>
      <c r="R11" s="153"/>
      <c r="S11" s="153"/>
      <c r="T11" s="153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3" t="s">
        <v>560</v>
      </c>
      <c r="AF11" s="153"/>
      <c r="AG11" s="153"/>
      <c r="AH11" s="153"/>
      <c r="AI11" s="153"/>
      <c r="AJ11" s="153"/>
      <c r="AK11" s="153"/>
      <c r="AL11" s="153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3" t="s">
        <v>639</v>
      </c>
      <c r="AX11" s="153"/>
      <c r="AY11" s="153"/>
      <c r="AZ11" s="153"/>
      <c r="BA11" s="153"/>
      <c r="BB11" s="153"/>
      <c r="BC11" s="153"/>
      <c r="BD11" s="153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5"/>
      <c r="B12" s="145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2" t="s">
        <v>651</v>
      </c>
      <c r="BG12" s="153"/>
      <c r="BH12" s="153"/>
      <c r="BI12" s="153"/>
      <c r="BJ12" s="153"/>
      <c r="BK12" s="153"/>
      <c r="BL12" s="153"/>
      <c r="BM12" s="153"/>
      <c r="BO12" s="154" t="s">
        <v>693</v>
      </c>
      <c r="BP12" s="154"/>
      <c r="BQ12" s="154"/>
      <c r="BR12" s="154"/>
      <c r="BS12" s="154"/>
      <c r="BT12" s="154"/>
      <c r="BU12" s="154"/>
      <c r="BV12" s="154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5"/>
      <c r="B13" s="145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3" t="s">
        <v>623</v>
      </c>
      <c r="AO13" s="153"/>
      <c r="AP13" s="153"/>
      <c r="AQ13" s="153"/>
      <c r="AR13" s="153"/>
      <c r="AS13" s="153"/>
      <c r="AT13" s="153"/>
      <c r="AU13" s="153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2" t="s">
        <v>694</v>
      </c>
      <c r="BP13" s="153"/>
      <c r="BQ13" s="153"/>
      <c r="BR13" s="153"/>
      <c r="BS13" s="153"/>
      <c r="BT13" s="153"/>
      <c r="BU13" s="153"/>
      <c r="BV13" s="153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5"/>
      <c r="B14" s="145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2" t="s">
        <v>516</v>
      </c>
      <c r="N14" s="153"/>
      <c r="O14" s="153"/>
      <c r="P14" s="153"/>
      <c r="Q14" s="153"/>
      <c r="R14" s="153"/>
      <c r="S14" s="153"/>
      <c r="T14" s="153"/>
      <c r="V14" s="154" t="s">
        <v>533</v>
      </c>
      <c r="W14" s="154"/>
      <c r="X14" s="154"/>
      <c r="Y14" s="154"/>
      <c r="Z14" s="154"/>
      <c r="AA14" s="154"/>
      <c r="AB14" s="154"/>
      <c r="AC14" s="154"/>
      <c r="AE14" s="154" t="s">
        <v>561</v>
      </c>
      <c r="AF14" s="154"/>
      <c r="AG14" s="154"/>
      <c r="AH14" s="154"/>
      <c r="AI14" s="154"/>
      <c r="AJ14" s="154"/>
      <c r="AK14" s="154"/>
      <c r="AL14" s="154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5"/>
      <c r="B15" s="145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2" t="s">
        <v>532</v>
      </c>
      <c r="W15" s="153"/>
      <c r="X15" s="153"/>
      <c r="Y15" s="153"/>
      <c r="Z15" s="153"/>
      <c r="AA15" s="153"/>
      <c r="AB15" s="153"/>
      <c r="AC15" s="153"/>
      <c r="AE15" s="153" t="s">
        <v>562</v>
      </c>
      <c r="AF15" s="153"/>
      <c r="AG15" s="153"/>
      <c r="AH15" s="153"/>
      <c r="AI15" s="153"/>
      <c r="AJ15" s="153"/>
      <c r="AK15" s="153"/>
      <c r="AL15" s="153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4" t="s">
        <v>653</v>
      </c>
      <c r="BG15" s="154"/>
      <c r="BH15" s="154"/>
      <c r="BI15" s="154"/>
      <c r="BJ15" s="154"/>
      <c r="BK15" s="154"/>
      <c r="BL15" s="154"/>
      <c r="BM15" s="154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5"/>
      <c r="B16" s="145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3" t="s">
        <v>654</v>
      </c>
      <c r="BG16" s="153"/>
      <c r="BH16" s="153"/>
      <c r="BI16" s="153"/>
      <c r="BJ16" s="153"/>
      <c r="BK16" s="153"/>
      <c r="BL16" s="153"/>
      <c r="BM16" s="153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5"/>
      <c r="B17" s="145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2" t="s">
        <v>518</v>
      </c>
      <c r="N17" s="153"/>
      <c r="O17" s="153"/>
      <c r="P17" s="153"/>
      <c r="Q17" s="153"/>
      <c r="R17" s="153"/>
      <c r="S17" s="153"/>
      <c r="T17" s="153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5"/>
      <c r="B18" s="145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2" t="s">
        <v>534</v>
      </c>
      <c r="W18" s="153"/>
      <c r="X18" s="153"/>
      <c r="Y18" s="153"/>
      <c r="Z18" s="153"/>
      <c r="AA18" s="153"/>
      <c r="AB18" s="153"/>
      <c r="AC18" s="153"/>
      <c r="AE18" s="153" t="s">
        <v>564</v>
      </c>
      <c r="AF18" s="153"/>
      <c r="AG18" s="153"/>
      <c r="AH18" s="153"/>
      <c r="AI18" s="153"/>
      <c r="AJ18" s="153"/>
      <c r="AK18" s="153"/>
      <c r="AL18" s="153"/>
      <c r="AN18" s="154" t="s">
        <v>624</v>
      </c>
      <c r="AO18" s="154"/>
      <c r="AP18" s="154"/>
      <c r="AQ18" s="154"/>
      <c r="AR18" s="154"/>
      <c r="AS18" s="154"/>
      <c r="AT18" s="154"/>
      <c r="AU18" s="154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5"/>
      <c r="B19" s="145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3" t="s">
        <v>556</v>
      </c>
      <c r="AO19" s="153"/>
      <c r="AP19" s="153"/>
      <c r="AQ19" s="153"/>
      <c r="AR19" s="153"/>
      <c r="AS19" s="153"/>
      <c r="AT19" s="153"/>
      <c r="AU19" s="153"/>
      <c r="AW19" s="153" t="s">
        <v>646</v>
      </c>
      <c r="AX19" s="153"/>
      <c r="AY19" s="153"/>
      <c r="AZ19" s="153"/>
      <c r="BA19" s="153"/>
      <c r="BB19" s="153"/>
      <c r="BC19" s="153"/>
      <c r="BD19" s="153"/>
      <c r="BF19" s="153" t="s">
        <v>655</v>
      </c>
      <c r="BG19" s="153"/>
      <c r="BH19" s="153"/>
      <c r="BI19" s="153"/>
      <c r="BJ19" s="153"/>
      <c r="BK19" s="153"/>
      <c r="BL19" s="153"/>
      <c r="BM19" s="153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2" t="s">
        <v>774</v>
      </c>
      <c r="DI19" s="153"/>
      <c r="DJ19" s="153"/>
      <c r="DK19" s="153"/>
      <c r="DL19" s="153"/>
      <c r="DM19" s="153"/>
      <c r="DN19" s="153"/>
      <c r="DO19" s="153"/>
    </row>
    <row r="20" spans="1:119" ht="15" customHeight="1">
      <c r="A20" s="145"/>
      <c r="B20" s="145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2" t="s">
        <v>519</v>
      </c>
      <c r="N20" s="153"/>
      <c r="O20" s="153"/>
      <c r="P20" s="153"/>
      <c r="Q20" s="153"/>
      <c r="R20" s="153"/>
      <c r="S20" s="153"/>
      <c r="T20" s="153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49" t="s">
        <v>730</v>
      </c>
      <c r="CH20" s="150"/>
      <c r="CI20" s="150"/>
      <c r="CJ20" s="150"/>
      <c r="CK20" s="150"/>
      <c r="CL20" s="150"/>
      <c r="CM20" s="150"/>
      <c r="CN20" s="151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5"/>
      <c r="B21" s="145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3" t="s">
        <v>566</v>
      </c>
      <c r="AF21" s="153"/>
      <c r="AG21" s="153"/>
      <c r="AH21" s="153"/>
      <c r="AI21" s="153"/>
      <c r="AJ21" s="153"/>
      <c r="AK21" s="153"/>
      <c r="AL21" s="153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5"/>
      <c r="B22" s="145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4" t="s">
        <v>657</v>
      </c>
      <c r="BG22" s="154"/>
      <c r="BH22" s="154"/>
      <c r="BI22" s="154"/>
      <c r="BJ22" s="154"/>
      <c r="BK22" s="154"/>
      <c r="BL22" s="154"/>
      <c r="BM22" s="154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49" t="s">
        <v>776</v>
      </c>
      <c r="DI22" s="150"/>
      <c r="DJ22" s="150"/>
      <c r="DK22" s="150"/>
      <c r="DL22" s="150"/>
      <c r="DM22" s="150"/>
      <c r="DN22" s="150"/>
      <c r="DO22" s="151"/>
    </row>
    <row r="23" spans="1:119" ht="15" customHeight="1">
      <c r="A23" s="145"/>
      <c r="B23" s="145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2" t="s">
        <v>523</v>
      </c>
      <c r="N23" s="153"/>
      <c r="O23" s="153"/>
      <c r="P23" s="153"/>
      <c r="Q23" s="153"/>
      <c r="R23" s="153"/>
      <c r="S23" s="153"/>
      <c r="T23" s="153"/>
      <c r="V23" s="152" t="s">
        <v>535</v>
      </c>
      <c r="W23" s="153"/>
      <c r="X23" s="153"/>
      <c r="Y23" s="153"/>
      <c r="Z23" s="153"/>
      <c r="AA23" s="153"/>
      <c r="AB23" s="153"/>
      <c r="AC23" s="153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3" t="s">
        <v>625</v>
      </c>
      <c r="AO23" s="153"/>
      <c r="AP23" s="153"/>
      <c r="AQ23" s="153"/>
      <c r="AR23" s="153"/>
      <c r="AS23" s="153"/>
      <c r="AT23" s="153"/>
      <c r="AU23" s="153"/>
      <c r="BF23" s="153" t="s">
        <v>660</v>
      </c>
      <c r="BG23" s="153"/>
      <c r="BH23" s="153"/>
      <c r="BI23" s="153"/>
      <c r="BJ23" s="153"/>
      <c r="BK23" s="153"/>
      <c r="BL23" s="153"/>
      <c r="BM23" s="153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5"/>
      <c r="B24" s="145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3" t="s">
        <v>569</v>
      </c>
      <c r="AF24" s="153"/>
      <c r="AG24" s="153"/>
      <c r="AH24" s="153"/>
      <c r="AI24" s="153"/>
      <c r="AJ24" s="153"/>
      <c r="AK24" s="153"/>
      <c r="AL24" s="153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5"/>
      <c r="B25" s="145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2" t="s">
        <v>695</v>
      </c>
      <c r="BP25" s="153"/>
      <c r="BQ25" s="153"/>
      <c r="BR25" s="153"/>
      <c r="BS25" s="153"/>
      <c r="BT25" s="153"/>
      <c r="BU25" s="153"/>
      <c r="BV25" s="153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5"/>
      <c r="B26" s="145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4" t="s">
        <v>626</v>
      </c>
      <c r="AO26" s="154"/>
      <c r="AP26" s="154"/>
      <c r="AQ26" s="154"/>
      <c r="AR26" s="154"/>
      <c r="AS26" s="154"/>
      <c r="AT26" s="154"/>
      <c r="AU26" s="154"/>
      <c r="BF26" s="153" t="s">
        <v>659</v>
      </c>
      <c r="BG26" s="153"/>
      <c r="BH26" s="153"/>
      <c r="BI26" s="153"/>
      <c r="BJ26" s="153"/>
      <c r="BK26" s="153"/>
      <c r="BL26" s="153"/>
      <c r="BM26" s="153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4" t="s">
        <v>172</v>
      </c>
      <c r="AF27" s="154"/>
      <c r="AG27" s="154"/>
      <c r="AH27" s="154"/>
      <c r="AI27" s="154"/>
      <c r="AJ27" s="154"/>
      <c r="AK27" s="154"/>
      <c r="AL27" s="154"/>
      <c r="AN27" s="153" t="s">
        <v>556</v>
      </c>
      <c r="AO27" s="153"/>
      <c r="AP27" s="153"/>
      <c r="AQ27" s="153"/>
      <c r="AR27" s="153"/>
      <c r="AS27" s="153"/>
      <c r="AT27" s="153"/>
      <c r="AU27" s="153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5" t="s">
        <v>778</v>
      </c>
      <c r="B28" s="145"/>
      <c r="D28" s="153" t="s">
        <v>437</v>
      </c>
      <c r="E28" s="153"/>
      <c r="F28" s="153"/>
      <c r="G28" s="153"/>
      <c r="H28" s="153"/>
      <c r="I28" s="153"/>
      <c r="J28" s="153"/>
      <c r="K28" s="153"/>
      <c r="M28" s="152" t="s">
        <v>524</v>
      </c>
      <c r="N28" s="153"/>
      <c r="O28" s="153"/>
      <c r="P28" s="153"/>
      <c r="Q28" s="153"/>
      <c r="R28" s="153"/>
      <c r="S28" s="153"/>
      <c r="T28" s="153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2" t="s">
        <v>571</v>
      </c>
      <c r="AF28" s="153"/>
      <c r="AG28" s="153"/>
      <c r="AH28" s="153"/>
      <c r="AI28" s="153"/>
      <c r="AJ28" s="153"/>
      <c r="AK28" s="153"/>
      <c r="AL28" s="153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5"/>
      <c r="B29" s="145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3" t="s">
        <v>665</v>
      </c>
      <c r="BG29" s="153"/>
      <c r="BH29" s="153"/>
      <c r="BI29" s="153"/>
      <c r="BJ29" s="153"/>
      <c r="BK29" s="153"/>
      <c r="BL29" s="153"/>
      <c r="BM29" s="153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49" t="s">
        <v>731</v>
      </c>
      <c r="CH29" s="150"/>
      <c r="CI29" s="150"/>
      <c r="CJ29" s="150"/>
      <c r="CK29" s="150"/>
      <c r="CL29" s="150"/>
      <c r="CM29" s="150"/>
      <c r="CN29" s="151"/>
    </row>
    <row r="30" spans="1:119" ht="15" customHeight="1">
      <c r="A30" s="145"/>
      <c r="B30" s="145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2" t="s">
        <v>536</v>
      </c>
      <c r="W30" s="153"/>
      <c r="X30" s="153"/>
      <c r="Y30" s="153"/>
      <c r="Z30" s="153"/>
      <c r="AA30" s="153"/>
      <c r="AB30" s="153"/>
      <c r="AC30" s="153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5"/>
      <c r="B31" s="145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3" t="s">
        <v>572</v>
      </c>
      <c r="AF31" s="153"/>
      <c r="AG31" s="153"/>
      <c r="AH31" s="153"/>
      <c r="AI31" s="153"/>
      <c r="AJ31" s="153"/>
      <c r="AK31" s="153"/>
      <c r="AL31" s="153"/>
      <c r="AN31" s="153" t="s">
        <v>627</v>
      </c>
      <c r="AO31" s="153"/>
      <c r="AP31" s="153"/>
      <c r="AQ31" s="153"/>
      <c r="AR31" s="153"/>
      <c r="AS31" s="153"/>
      <c r="AT31" s="153"/>
      <c r="AU31" s="153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5"/>
      <c r="B32" s="145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49" t="s">
        <v>738</v>
      </c>
      <c r="CH32" s="150"/>
      <c r="CI32" s="150"/>
      <c r="CJ32" s="150"/>
      <c r="CK32" s="150"/>
      <c r="CL32" s="150"/>
      <c r="CM32" s="150"/>
      <c r="CN32" s="151"/>
    </row>
    <row r="33" spans="1:92" ht="15" customHeight="1">
      <c r="A33" s="145"/>
      <c r="B33" s="145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4" t="s">
        <v>537</v>
      </c>
      <c r="W33" s="154"/>
      <c r="X33" s="154"/>
      <c r="Y33" s="154"/>
      <c r="Z33" s="154"/>
      <c r="AA33" s="154"/>
      <c r="AB33" s="154"/>
      <c r="AC33" s="154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5"/>
      <c r="B34" s="145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2" t="s">
        <v>528</v>
      </c>
      <c r="N34" s="153"/>
      <c r="O34" s="153"/>
      <c r="P34" s="153"/>
      <c r="Q34" s="153"/>
      <c r="R34" s="153"/>
      <c r="S34" s="153"/>
      <c r="T34" s="153"/>
      <c r="V34" s="152" t="s">
        <v>538</v>
      </c>
      <c r="W34" s="153"/>
      <c r="X34" s="153"/>
      <c r="Y34" s="153"/>
      <c r="Z34" s="153"/>
      <c r="AA34" s="153"/>
      <c r="AB34" s="153"/>
      <c r="AC34" s="153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3" t="s">
        <v>625</v>
      </c>
      <c r="AO34" s="153"/>
      <c r="AP34" s="153"/>
      <c r="AQ34" s="153"/>
      <c r="AR34" s="153"/>
      <c r="AS34" s="153"/>
      <c r="AT34" s="153"/>
      <c r="AU34" s="153"/>
      <c r="BF34" s="152" t="s">
        <v>666</v>
      </c>
      <c r="BG34" s="153"/>
      <c r="BH34" s="153"/>
      <c r="BI34" s="153"/>
      <c r="BJ34" s="153"/>
      <c r="BK34" s="153"/>
      <c r="BL34" s="153"/>
      <c r="BM34" s="153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4" t="s">
        <v>614</v>
      </c>
      <c r="B35" s="145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5"/>
      <c r="B36" s="145"/>
      <c r="D36" s="153" t="s">
        <v>439</v>
      </c>
      <c r="E36" s="153"/>
      <c r="F36" s="153"/>
      <c r="G36" s="153"/>
      <c r="H36" s="153"/>
      <c r="I36" s="153"/>
      <c r="J36" s="153"/>
      <c r="K36" s="153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4" t="s">
        <v>573</v>
      </c>
      <c r="AF36" s="154"/>
      <c r="AG36" s="154"/>
      <c r="AH36" s="154"/>
      <c r="AI36" s="154"/>
      <c r="AJ36" s="154"/>
      <c r="AK36" s="154"/>
      <c r="AL36" s="154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5"/>
      <c r="B37" s="145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2" t="s">
        <v>539</v>
      </c>
      <c r="W37" s="153"/>
      <c r="X37" s="153"/>
      <c r="Y37" s="153"/>
      <c r="Z37" s="153"/>
      <c r="AA37" s="153"/>
      <c r="AB37" s="153"/>
      <c r="AC37" s="153"/>
      <c r="AE37" s="153" t="s">
        <v>574</v>
      </c>
      <c r="AF37" s="153"/>
      <c r="AG37" s="153"/>
      <c r="AH37" s="153"/>
      <c r="AI37" s="153"/>
      <c r="AJ37" s="153"/>
      <c r="AK37" s="153"/>
      <c r="AL37" s="153"/>
      <c r="AN37" s="154" t="s">
        <v>628</v>
      </c>
      <c r="AO37" s="154"/>
      <c r="AP37" s="154"/>
      <c r="AQ37" s="154"/>
      <c r="AR37" s="154"/>
      <c r="AS37" s="154"/>
      <c r="AT37" s="154"/>
      <c r="AU37" s="154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5"/>
      <c r="B38" s="145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3" t="s">
        <v>629</v>
      </c>
      <c r="AO38" s="153"/>
      <c r="AP38" s="153"/>
      <c r="AQ38" s="153"/>
      <c r="AR38" s="153"/>
      <c r="AS38" s="153"/>
      <c r="AT38" s="153"/>
      <c r="AU38" s="153"/>
      <c r="BF38" s="152" t="s">
        <v>669</v>
      </c>
      <c r="BG38" s="153"/>
      <c r="BH38" s="153"/>
      <c r="BI38" s="153"/>
      <c r="BJ38" s="153"/>
      <c r="BK38" s="153"/>
      <c r="BL38" s="153"/>
      <c r="BM38" s="153"/>
      <c r="BO38" s="154" t="s">
        <v>178</v>
      </c>
      <c r="BP38" s="154"/>
      <c r="BQ38" s="154"/>
      <c r="BR38" s="154"/>
      <c r="BS38" s="154"/>
      <c r="BT38" s="154"/>
      <c r="BU38" s="154"/>
      <c r="BV38" s="154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3" t="s">
        <v>440</v>
      </c>
      <c r="E39" s="153"/>
      <c r="F39" s="153"/>
      <c r="G39" s="153"/>
      <c r="H39" s="153"/>
      <c r="I39" s="153"/>
      <c r="J39" s="153"/>
      <c r="K39" s="153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3" t="s">
        <v>696</v>
      </c>
      <c r="BP39" s="153"/>
      <c r="BQ39" s="153"/>
      <c r="BR39" s="153"/>
      <c r="BS39" s="153"/>
      <c r="BT39" s="153"/>
      <c r="BU39" s="153"/>
      <c r="BV39" s="153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3" t="s">
        <v>577</v>
      </c>
      <c r="AF41" s="153"/>
      <c r="AG41" s="153"/>
      <c r="AH41" s="153"/>
      <c r="AI41" s="153"/>
      <c r="AJ41" s="153"/>
      <c r="AK41" s="153"/>
      <c r="AL41" s="153"/>
      <c r="AN41" s="153" t="s">
        <v>631</v>
      </c>
      <c r="AO41" s="153"/>
      <c r="AP41" s="153"/>
      <c r="AQ41" s="153"/>
      <c r="AR41" s="153"/>
      <c r="AS41" s="153"/>
      <c r="AT41" s="153"/>
      <c r="AU41" s="153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3" t="s">
        <v>442</v>
      </c>
      <c r="E42" s="153"/>
      <c r="F42" s="153"/>
      <c r="G42" s="153"/>
      <c r="H42" s="153"/>
      <c r="I42" s="153"/>
      <c r="J42" s="153"/>
      <c r="K42" s="153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3" t="s">
        <v>672</v>
      </c>
      <c r="BG42" s="153"/>
      <c r="BH42" s="153"/>
      <c r="BI42" s="153"/>
      <c r="BJ42" s="153"/>
      <c r="BK42" s="153"/>
      <c r="BL42" s="153"/>
      <c r="BM42" s="153"/>
      <c r="BO42" s="154" t="s">
        <v>697</v>
      </c>
      <c r="BP42" s="154"/>
      <c r="BQ42" s="154"/>
      <c r="BR42" s="154"/>
      <c r="BS42" s="154"/>
      <c r="BT42" s="154"/>
      <c r="BU42" s="154"/>
      <c r="BV42" s="154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3" t="s">
        <v>698</v>
      </c>
      <c r="BP43" s="153"/>
      <c r="BQ43" s="153"/>
      <c r="BR43" s="153"/>
      <c r="BS43" s="153"/>
      <c r="BT43" s="153"/>
      <c r="BU43" s="153"/>
      <c r="BV43" s="153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4" t="s">
        <v>540</v>
      </c>
      <c r="W44" s="154"/>
      <c r="X44" s="154"/>
      <c r="Y44" s="154"/>
      <c r="Z44" s="154"/>
      <c r="AA44" s="154"/>
      <c r="AB44" s="154"/>
      <c r="AC44" s="154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3" t="s">
        <v>633</v>
      </c>
      <c r="AO44" s="153"/>
      <c r="AP44" s="153"/>
      <c r="AQ44" s="153"/>
      <c r="AR44" s="153"/>
      <c r="AS44" s="153"/>
      <c r="AT44" s="153"/>
      <c r="AU44" s="153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49" t="s">
        <v>749</v>
      </c>
      <c r="CH44" s="150"/>
      <c r="CI44" s="150"/>
      <c r="CJ44" s="150"/>
      <c r="CK44" s="150"/>
      <c r="CL44" s="150"/>
      <c r="CM44" s="150"/>
      <c r="CN44" s="151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2" t="s">
        <v>541</v>
      </c>
      <c r="W45" s="153"/>
      <c r="X45" s="153"/>
      <c r="Y45" s="153"/>
      <c r="Z45" s="153"/>
      <c r="AA45" s="153"/>
      <c r="AB45" s="153"/>
      <c r="AC45" s="153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3" t="s">
        <v>673</v>
      </c>
      <c r="BG45" s="153"/>
      <c r="BH45" s="153"/>
      <c r="BI45" s="153"/>
      <c r="BJ45" s="153"/>
      <c r="BK45" s="153"/>
      <c r="BL45" s="153"/>
      <c r="BM45" s="153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445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3" t="s">
        <v>700</v>
      </c>
      <c r="BP46" s="153"/>
      <c r="BQ46" s="153"/>
      <c r="BR46" s="153"/>
      <c r="BS46" s="153"/>
      <c r="BT46" s="153"/>
      <c r="BU46" s="153"/>
      <c r="BV46" s="153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3" t="s">
        <v>446</v>
      </c>
      <c r="E47" s="153"/>
      <c r="F47" s="153"/>
      <c r="G47" s="153"/>
      <c r="H47" s="153"/>
      <c r="I47" s="153"/>
      <c r="J47" s="153"/>
      <c r="K47" s="153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3" t="s">
        <v>635</v>
      </c>
      <c r="AO47" s="153"/>
      <c r="AP47" s="153"/>
      <c r="AQ47" s="153"/>
      <c r="AR47" s="153"/>
      <c r="AS47" s="153"/>
      <c r="AT47" s="153"/>
      <c r="AU47" s="153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3" t="s">
        <v>675</v>
      </c>
      <c r="BG48" s="153"/>
      <c r="BH48" s="153"/>
      <c r="BI48" s="153"/>
      <c r="BJ48" s="153"/>
      <c r="BK48" s="153"/>
      <c r="BL48" s="153"/>
      <c r="BM48" s="153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3" t="s">
        <v>583</v>
      </c>
      <c r="AF49" s="153"/>
      <c r="AG49" s="153"/>
      <c r="AH49" s="153"/>
      <c r="AI49" s="153"/>
      <c r="AJ49" s="153"/>
      <c r="AK49" s="153"/>
      <c r="AL49" s="153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4" t="s">
        <v>701</v>
      </c>
      <c r="BP49" s="154"/>
      <c r="BQ49" s="154"/>
      <c r="BR49" s="154"/>
      <c r="BS49" s="154"/>
      <c r="BT49" s="154"/>
      <c r="BU49" s="154"/>
      <c r="BV49" s="154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3" t="s">
        <v>448</v>
      </c>
      <c r="E50" s="153"/>
      <c r="F50" s="153"/>
      <c r="G50" s="153"/>
      <c r="H50" s="153"/>
      <c r="I50" s="153"/>
      <c r="J50" s="153"/>
      <c r="K50" s="153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3" t="s">
        <v>707</v>
      </c>
      <c r="BP50" s="153"/>
      <c r="BQ50" s="153"/>
      <c r="BR50" s="153"/>
      <c r="BS50" s="153"/>
      <c r="BT50" s="153"/>
      <c r="BU50" s="153"/>
      <c r="BV50" s="153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3" t="s">
        <v>677</v>
      </c>
      <c r="BG51" s="153"/>
      <c r="BH51" s="153"/>
      <c r="BI51" s="153"/>
      <c r="BJ51" s="153"/>
      <c r="BK51" s="153"/>
      <c r="BL51" s="153"/>
      <c r="BM51" s="153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3" t="s">
        <v>585</v>
      </c>
      <c r="AF52" s="153"/>
      <c r="AG52" s="153"/>
      <c r="AH52" s="153"/>
      <c r="AI52" s="153"/>
      <c r="AJ52" s="153"/>
      <c r="AK52" s="153"/>
      <c r="AL52" s="153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3" t="s">
        <v>450</v>
      </c>
      <c r="E53" s="153"/>
      <c r="F53" s="153"/>
      <c r="G53" s="153"/>
      <c r="H53" s="153"/>
      <c r="I53" s="153"/>
      <c r="J53" s="153"/>
      <c r="K53" s="153"/>
      <c r="V53" s="152" t="s">
        <v>542</v>
      </c>
      <c r="W53" s="153"/>
      <c r="X53" s="153"/>
      <c r="Y53" s="153"/>
      <c r="Z53" s="153"/>
      <c r="AA53" s="153"/>
      <c r="AB53" s="153"/>
      <c r="AC53" s="153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3" t="s">
        <v>706</v>
      </c>
      <c r="BP53" s="153"/>
      <c r="BQ53" s="153"/>
      <c r="BR53" s="153"/>
      <c r="BS53" s="153"/>
      <c r="BT53" s="153"/>
      <c r="BU53" s="153"/>
      <c r="BV53" s="153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4" t="s">
        <v>420</v>
      </c>
      <c r="BG54" s="154"/>
      <c r="BH54" s="154"/>
      <c r="BI54" s="154"/>
      <c r="BJ54" s="154"/>
      <c r="BK54" s="154"/>
      <c r="BL54" s="154"/>
      <c r="BM54" s="154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3" t="s">
        <v>588</v>
      </c>
      <c r="AF55" s="153"/>
      <c r="AG55" s="153"/>
      <c r="AH55" s="153"/>
      <c r="AI55" s="153"/>
      <c r="AJ55" s="153"/>
      <c r="AK55" s="153"/>
      <c r="AL55" s="153"/>
      <c r="BF55" s="153" t="s">
        <v>678</v>
      </c>
      <c r="BG55" s="153"/>
      <c r="BH55" s="153"/>
      <c r="BI55" s="153"/>
      <c r="BJ55" s="153"/>
      <c r="BK55" s="153"/>
      <c r="BL55" s="153"/>
      <c r="BM55" s="153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3" t="s">
        <v>451</v>
      </c>
      <c r="E56" s="153"/>
      <c r="F56" s="153"/>
      <c r="G56" s="153"/>
      <c r="H56" s="153"/>
      <c r="I56" s="153"/>
      <c r="J56" s="153"/>
      <c r="K56" s="153"/>
      <c r="V56" s="154" t="s">
        <v>543</v>
      </c>
      <c r="W56" s="154"/>
      <c r="X56" s="154"/>
      <c r="Y56" s="154"/>
      <c r="Z56" s="154"/>
      <c r="AA56" s="154"/>
      <c r="AB56" s="154"/>
      <c r="AC56" s="154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3" t="s">
        <v>705</v>
      </c>
      <c r="BP56" s="153"/>
      <c r="BQ56" s="153"/>
      <c r="BR56" s="153"/>
      <c r="BS56" s="153"/>
      <c r="BT56" s="153"/>
      <c r="BU56" s="153"/>
      <c r="BV56" s="153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2" t="s">
        <v>544</v>
      </c>
      <c r="W57" s="153"/>
      <c r="X57" s="153"/>
      <c r="Y57" s="153"/>
      <c r="Z57" s="153"/>
      <c r="AA57" s="153"/>
      <c r="AB57" s="153"/>
      <c r="AC57" s="153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4" t="s">
        <v>589</v>
      </c>
      <c r="AF58" s="154"/>
      <c r="AG58" s="154"/>
      <c r="AH58" s="154"/>
      <c r="AI58" s="154"/>
      <c r="AJ58" s="154"/>
      <c r="AK58" s="154"/>
      <c r="AL58" s="154"/>
      <c r="BF58" s="153" t="s">
        <v>680</v>
      </c>
      <c r="BG58" s="153"/>
      <c r="BH58" s="153"/>
      <c r="BI58" s="153"/>
      <c r="BJ58" s="153"/>
      <c r="BK58" s="153"/>
      <c r="BL58" s="153"/>
      <c r="BM58" s="153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3" t="s">
        <v>452</v>
      </c>
      <c r="E59" s="153"/>
      <c r="F59" s="153"/>
      <c r="G59" s="153"/>
      <c r="H59" s="153"/>
      <c r="I59" s="153"/>
      <c r="J59" s="153"/>
      <c r="K59" s="153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3" t="s">
        <v>590</v>
      </c>
      <c r="AF59" s="153"/>
      <c r="AG59" s="153"/>
      <c r="AH59" s="153"/>
      <c r="AI59" s="153"/>
      <c r="AJ59" s="153"/>
      <c r="AK59" s="153"/>
      <c r="AL59" s="153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3" t="s">
        <v>704</v>
      </c>
      <c r="BP59" s="153"/>
      <c r="BQ59" s="153"/>
      <c r="BR59" s="153"/>
      <c r="BS59" s="153"/>
      <c r="BT59" s="153"/>
      <c r="BU59" s="153"/>
      <c r="BV59" s="153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3" t="s">
        <v>682</v>
      </c>
      <c r="BG61" s="153"/>
      <c r="BH61" s="153"/>
      <c r="BI61" s="153"/>
      <c r="BJ61" s="153"/>
      <c r="BK61" s="153"/>
      <c r="BL61" s="153"/>
      <c r="BM61" s="153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3" t="s">
        <v>453</v>
      </c>
      <c r="E62" s="153"/>
      <c r="F62" s="153"/>
      <c r="G62" s="153"/>
      <c r="H62" s="153"/>
      <c r="I62" s="153"/>
      <c r="J62" s="153"/>
      <c r="K62" s="153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3" t="s">
        <v>592</v>
      </c>
      <c r="AF62" s="153"/>
      <c r="AG62" s="153"/>
      <c r="AH62" s="153"/>
      <c r="AI62" s="153"/>
      <c r="AJ62" s="153"/>
      <c r="AK62" s="153"/>
      <c r="AL62" s="153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3" t="s">
        <v>454</v>
      </c>
      <c r="E65" s="153"/>
      <c r="F65" s="153"/>
      <c r="G65" s="153"/>
      <c r="H65" s="153"/>
      <c r="I65" s="153"/>
      <c r="J65" s="153"/>
      <c r="K65" s="153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3" t="s">
        <v>593</v>
      </c>
      <c r="AF65" s="153"/>
      <c r="AG65" s="153"/>
      <c r="AH65" s="153"/>
      <c r="AI65" s="153"/>
      <c r="AJ65" s="153"/>
      <c r="AK65" s="153"/>
      <c r="AL65" s="153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2" t="s">
        <v>545</v>
      </c>
      <c r="W67" s="153"/>
      <c r="X67" s="153"/>
      <c r="Y67" s="153"/>
      <c r="Z67" s="153"/>
      <c r="AA67" s="153"/>
      <c r="AB67" s="153"/>
      <c r="AC67" s="153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3" t="s">
        <v>455</v>
      </c>
      <c r="E68" s="153"/>
      <c r="F68" s="153"/>
      <c r="G68" s="153"/>
      <c r="H68" s="153"/>
      <c r="I68" s="153"/>
      <c r="J68" s="153"/>
      <c r="K68" s="153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3" t="s">
        <v>684</v>
      </c>
      <c r="BG68" s="153"/>
      <c r="BH68" s="153"/>
      <c r="BI68" s="153"/>
      <c r="BJ68" s="153"/>
      <c r="BK68" s="153"/>
      <c r="BL68" s="153"/>
      <c r="BM68" s="153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3" t="s">
        <v>596</v>
      </c>
      <c r="AF69" s="153"/>
      <c r="AG69" s="153"/>
      <c r="AH69" s="153"/>
      <c r="AI69" s="153"/>
      <c r="AJ69" s="153"/>
      <c r="AK69" s="153"/>
      <c r="AL69" s="153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2" t="s">
        <v>546</v>
      </c>
      <c r="W70" s="153"/>
      <c r="X70" s="153"/>
      <c r="Y70" s="153"/>
      <c r="Z70" s="153"/>
      <c r="AA70" s="153"/>
      <c r="AB70" s="153"/>
      <c r="AC70" s="153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3" t="s">
        <v>703</v>
      </c>
      <c r="BP70" s="153"/>
      <c r="BQ70" s="153"/>
      <c r="BR70" s="153"/>
      <c r="BS70" s="153"/>
      <c r="BT70" s="153"/>
      <c r="BU70" s="153"/>
      <c r="BV70" s="153"/>
    </row>
    <row r="71" spans="4:74">
      <c r="D71" s="153" t="s">
        <v>457</v>
      </c>
      <c r="E71" s="153"/>
      <c r="F71" s="153"/>
      <c r="G71" s="153"/>
      <c r="H71" s="153"/>
      <c r="I71" s="153"/>
      <c r="J71" s="153"/>
      <c r="K71" s="153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3" t="s">
        <v>686</v>
      </c>
      <c r="BG71" s="153"/>
      <c r="BH71" s="153"/>
      <c r="BI71" s="153"/>
      <c r="BJ71" s="153"/>
      <c r="BK71" s="153"/>
      <c r="BL71" s="153"/>
      <c r="BM71" s="153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2" t="s">
        <v>547</v>
      </c>
      <c r="W73" s="153"/>
      <c r="X73" s="153"/>
      <c r="Y73" s="153"/>
      <c r="Z73" s="153"/>
      <c r="AA73" s="153"/>
      <c r="AB73" s="153"/>
      <c r="AC73" s="153"/>
      <c r="AE73" s="153" t="s">
        <v>597</v>
      </c>
      <c r="AF73" s="153"/>
      <c r="AG73" s="153"/>
      <c r="AH73" s="153"/>
      <c r="AI73" s="153"/>
      <c r="AJ73" s="153"/>
      <c r="AK73" s="153"/>
      <c r="AL73" s="153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3" t="s">
        <v>459</v>
      </c>
      <c r="E74" s="153"/>
      <c r="F74" s="153"/>
      <c r="G74" s="153"/>
      <c r="H74" s="153"/>
      <c r="I74" s="153"/>
      <c r="J74" s="153"/>
      <c r="K74" s="153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3" t="s">
        <v>688</v>
      </c>
      <c r="BG74" s="153"/>
      <c r="BH74" s="153"/>
      <c r="BI74" s="153"/>
      <c r="BJ74" s="153"/>
      <c r="BK74" s="153"/>
      <c r="BL74" s="153"/>
      <c r="BM74" s="153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2" t="s">
        <v>548</v>
      </c>
      <c r="W76" s="153"/>
      <c r="X76" s="153"/>
      <c r="Y76" s="153"/>
      <c r="Z76" s="153"/>
      <c r="AA76" s="153"/>
      <c r="AB76" s="153"/>
      <c r="AC76" s="153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3" t="s">
        <v>461</v>
      </c>
      <c r="E77" s="153"/>
      <c r="F77" s="153"/>
      <c r="G77" s="153"/>
      <c r="H77" s="153"/>
      <c r="I77" s="153"/>
      <c r="J77" s="153"/>
      <c r="K77" s="153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3" t="s">
        <v>598</v>
      </c>
      <c r="AF77" s="153"/>
      <c r="AG77" s="153"/>
      <c r="AH77" s="153"/>
      <c r="AI77" s="153"/>
      <c r="AJ77" s="153"/>
      <c r="AK77" s="153"/>
      <c r="AL77" s="153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2" t="s">
        <v>546</v>
      </c>
      <c r="W79" s="153"/>
      <c r="X79" s="153"/>
      <c r="Y79" s="153"/>
      <c r="Z79" s="153"/>
      <c r="AA79" s="153"/>
      <c r="AB79" s="153"/>
      <c r="AC79" s="153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3" t="s">
        <v>598</v>
      </c>
      <c r="AF81" s="153"/>
      <c r="AG81" s="153"/>
      <c r="AH81" s="153"/>
      <c r="AI81" s="153"/>
      <c r="AJ81" s="153"/>
      <c r="AK81" s="153"/>
      <c r="AL81" s="153"/>
    </row>
    <row r="82" spans="22:38">
      <c r="V82" s="154" t="s">
        <v>192</v>
      </c>
      <c r="W82" s="154"/>
      <c r="X82" s="154"/>
      <c r="Y82" s="154"/>
      <c r="Z82" s="154"/>
      <c r="AA82" s="154"/>
      <c r="AB82" s="154"/>
      <c r="AC82" s="154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2" t="s">
        <v>544</v>
      </c>
      <c r="W83" s="153"/>
      <c r="X83" s="153"/>
      <c r="Y83" s="153"/>
      <c r="Z83" s="153"/>
      <c r="AA83" s="153"/>
      <c r="AB83" s="153"/>
      <c r="AC83" s="153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4" t="s">
        <v>603</v>
      </c>
      <c r="AF87" s="154"/>
      <c r="AG87" s="154"/>
      <c r="AH87" s="154"/>
      <c r="AI87" s="154"/>
      <c r="AJ87" s="154"/>
      <c r="AK87" s="154"/>
      <c r="AL87" s="154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3" t="s">
        <v>604</v>
      </c>
      <c r="AF88" s="153"/>
      <c r="AG88" s="153"/>
      <c r="AH88" s="153"/>
      <c r="AI88" s="153"/>
      <c r="AJ88" s="153"/>
      <c r="AK88" s="153"/>
      <c r="AL88" s="153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3" t="s">
        <v>605</v>
      </c>
      <c r="AF91" s="153"/>
      <c r="AG91" s="153"/>
      <c r="AH91" s="153"/>
      <c r="AI91" s="153"/>
      <c r="AJ91" s="153"/>
      <c r="AK91" s="153"/>
      <c r="AL91" s="153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2" t="s">
        <v>549</v>
      </c>
      <c r="W93" s="153"/>
      <c r="X93" s="153"/>
      <c r="Y93" s="153"/>
      <c r="Z93" s="153"/>
      <c r="AA93" s="153"/>
      <c r="AB93" s="153"/>
      <c r="AC93" s="153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3" t="s">
        <v>606</v>
      </c>
      <c r="AF94" s="153"/>
      <c r="AG94" s="153"/>
      <c r="AH94" s="153"/>
      <c r="AI94" s="153"/>
      <c r="AJ94" s="153"/>
      <c r="AK94" s="153"/>
      <c r="AL94" s="153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2" t="s">
        <v>550</v>
      </c>
      <c r="W96" s="153"/>
      <c r="X96" s="153"/>
      <c r="Y96" s="153"/>
      <c r="Z96" s="153"/>
      <c r="AA96" s="153"/>
      <c r="AB96" s="153"/>
      <c r="AC96" s="153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3" t="s">
        <v>608</v>
      </c>
      <c r="AF97" s="153"/>
      <c r="AG97" s="153"/>
      <c r="AH97" s="153"/>
      <c r="AI97" s="153"/>
      <c r="AJ97" s="153"/>
      <c r="AK97" s="153"/>
      <c r="AL97" s="153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4" t="s">
        <v>551</v>
      </c>
      <c r="W99" s="154"/>
      <c r="X99" s="154"/>
      <c r="Y99" s="154"/>
      <c r="Z99" s="154"/>
      <c r="AA99" s="154"/>
      <c r="AB99" s="154"/>
      <c r="AC99" s="154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2" t="s">
        <v>552</v>
      </c>
      <c r="W100" s="153"/>
      <c r="X100" s="153"/>
      <c r="Y100" s="153"/>
      <c r="Z100" s="153"/>
      <c r="AA100" s="153"/>
      <c r="AB100" s="153"/>
      <c r="AC100" s="153"/>
      <c r="AE100" s="154" t="s">
        <v>609</v>
      </c>
      <c r="AF100" s="154"/>
      <c r="AG100" s="154"/>
      <c r="AH100" s="154"/>
      <c r="AI100" s="154"/>
      <c r="AJ100" s="154"/>
      <c r="AK100" s="154"/>
      <c r="AL100" s="154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3" t="s">
        <v>610</v>
      </c>
      <c r="AF101" s="153"/>
      <c r="AG101" s="153"/>
      <c r="AH101" s="153"/>
      <c r="AI101" s="153"/>
      <c r="AJ101" s="153"/>
      <c r="AK101" s="153"/>
      <c r="AL101" s="153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2" t="s">
        <v>553</v>
      </c>
      <c r="W104" s="153"/>
      <c r="X104" s="153"/>
      <c r="Y104" s="153"/>
      <c r="Z104" s="153"/>
      <c r="AA104" s="153"/>
      <c r="AB104" s="153"/>
      <c r="AC104" s="153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3" t="s">
        <v>556</v>
      </c>
      <c r="AF105" s="153"/>
      <c r="AG105" s="153"/>
      <c r="AH105" s="153"/>
      <c r="AI105" s="153"/>
      <c r="AJ105" s="153"/>
      <c r="AK105" s="153"/>
      <c r="AL105" s="153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4" t="s">
        <v>174</v>
      </c>
      <c r="W107" s="154"/>
      <c r="X107" s="154"/>
      <c r="Y107" s="154"/>
      <c r="Z107" s="154"/>
      <c r="AA107" s="154"/>
      <c r="AB107" s="154"/>
      <c r="AC107" s="154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2" t="s">
        <v>555</v>
      </c>
      <c r="W108" s="153"/>
      <c r="X108" s="153"/>
      <c r="Y108" s="153"/>
      <c r="Z108" s="153"/>
      <c r="AA108" s="153"/>
      <c r="AB108" s="153"/>
      <c r="AC108" s="153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3" t="s">
        <v>611</v>
      </c>
      <c r="AF109" s="153"/>
      <c r="AG109" s="153"/>
      <c r="AH109" s="153"/>
      <c r="AI109" s="153"/>
      <c r="AJ109" s="153"/>
      <c r="AK109" s="153"/>
      <c r="AL109" s="153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2" t="s">
        <v>554</v>
      </c>
      <c r="W111" s="153"/>
      <c r="X111" s="153"/>
      <c r="Y111" s="153"/>
      <c r="Z111" s="153"/>
      <c r="AA111" s="153"/>
      <c r="AB111" s="153"/>
      <c r="AC111" s="153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3" t="s">
        <v>612</v>
      </c>
      <c r="AF115" s="153"/>
      <c r="AG115" s="153"/>
      <c r="AH115" s="153"/>
      <c r="AI115" s="153"/>
      <c r="AJ115" s="153"/>
      <c r="AK115" s="153"/>
      <c r="AL115" s="153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2025-06-11T12:12:51Z</dcterms:modified>
</cp:coreProperties>
</file>