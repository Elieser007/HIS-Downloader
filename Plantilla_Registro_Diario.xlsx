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Elieser Aguilar\Dev\HIS-Downloader\"/>
    </mc:Choice>
  </mc:AlternateContent>
  <xr:revisionPtr revIDLastSave="0" documentId="13_ncr:1_{12939FD8-A3BA-4FE9-8B51-EC230C4F51B1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7" l="1"/>
  <c r="J66" i="6"/>
  <c r="A66" i="6"/>
  <c r="AB59" i="6"/>
  <c r="S59" i="6"/>
  <c r="J59" i="6"/>
  <c r="A59" i="6"/>
  <c r="AB54" i="6"/>
  <c r="S54" i="6"/>
  <c r="J54" i="6"/>
  <c r="A54" i="6"/>
  <c r="AB49" i="6"/>
  <c r="S49" i="6"/>
  <c r="J49" i="6"/>
  <c r="AB44" i="6"/>
  <c r="S44" i="6"/>
  <c r="J44" i="6"/>
  <c r="A44" i="6"/>
  <c r="AB38" i="6"/>
  <c r="S38" i="6"/>
  <c r="J38" i="6"/>
  <c r="A38" i="6"/>
  <c r="AB33" i="6"/>
  <c r="J33" i="6"/>
  <c r="A33" i="6"/>
  <c r="S32" i="6"/>
  <c r="J28" i="6"/>
  <c r="A28" i="6"/>
  <c r="AB23" i="6"/>
  <c r="S23" i="6"/>
  <c r="J23" i="6"/>
  <c r="AB18" i="6"/>
  <c r="S18" i="6"/>
  <c r="J18" i="6"/>
  <c r="AB13" i="6"/>
  <c r="S13" i="6"/>
  <c r="J13" i="6"/>
  <c r="AB8" i="6"/>
  <c r="S8" i="6"/>
  <c r="AJ3" i="6"/>
  <c r="AB3" i="6"/>
  <c r="S3" i="6"/>
  <c r="J3" i="6"/>
  <c r="A3" i="6"/>
  <c r="H5" i="3"/>
  <c r="B5" i="3"/>
  <c r="N4" i="3"/>
  <c r="J29" i="2"/>
  <c r="A29" i="2"/>
  <c r="AB18" i="2"/>
  <c r="S18" i="2"/>
  <c r="J18" i="2"/>
  <c r="A18" i="2"/>
  <c r="AJ3" i="2"/>
  <c r="AB3" i="2"/>
  <c r="S3" i="2"/>
  <c r="J3" i="2"/>
  <c r="A3" i="2"/>
  <c r="Q81" i="3"/>
  <c r="W81" i="3" s="1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W80" i="3" l="1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AC54" i="6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K54" i="6"/>
  <c r="AI51" i="6"/>
  <c r="H50" i="6"/>
  <c r="AI41" i="6"/>
  <c r="Q46" i="6"/>
  <c r="Z51" i="6"/>
  <c r="H56" i="6"/>
  <c r="B54" i="6"/>
  <c r="AC49" i="6"/>
  <c r="T49" i="6"/>
  <c r="Q51" i="6"/>
  <c r="AI46" i="6"/>
  <c r="AC44" i="6"/>
  <c r="T44" i="6"/>
  <c r="K44" i="6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H40" i="6"/>
  <c r="W32" i="6"/>
  <c r="B38" i="6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X32" i="6"/>
  <c r="Y32" i="6"/>
  <c r="Z34" i="6"/>
  <c r="Q35" i="6"/>
  <c r="K33" i="6"/>
  <c r="B33" i="6"/>
  <c r="B28" i="6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T18" i="6"/>
  <c r="U18" i="6"/>
  <c r="V18" i="6"/>
  <c r="W18" i="6"/>
  <c r="X18" i="6"/>
  <c r="Y18" i="6"/>
  <c r="Z15" i="6"/>
  <c r="Z20" i="6"/>
  <c r="K23" i="6"/>
  <c r="Q20" i="6"/>
  <c r="K18" i="6"/>
  <c r="AC13" i="6"/>
  <c r="T13" i="6"/>
  <c r="K13" i="6"/>
  <c r="AI10" i="6"/>
  <c r="AC8" i="6"/>
  <c r="T8" i="6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V18" i="2" l="1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H21" i="2"/>
  <c r="K29" i="2"/>
  <c r="AC3" i="2"/>
  <c r="T18" i="2"/>
  <c r="B29" i="2"/>
  <c r="T3" i="2"/>
  <c r="K3" i="2"/>
  <c r="K18" i="2"/>
  <c r="B18" i="2"/>
  <c r="H26" i="3" l="1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<sst xmlns="http://schemas.openxmlformats.org/spreadsheetml/2006/main" count="3173" uniqueCount="781">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</sst>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5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FFC7CE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7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11" borderId="0" applyNumberFormat="0" applyBorder="0" applyAlignment="0" applyProtection="0"/>
    <xf numFmtId="0" fontId="34" fillId="0" borderId="1" applyNumberFormat="0" applyFill="0" applyBorder="0" applyAlignment="0" applyProtection="0"/>
  </cellStyleXfs>
  <cellXfs count="160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33" fillId="11" borderId="0" xfId="15" applyBorder="1" applyAlignment="1">
      <alignment horizontal="center"/>
    </xf>
    <xf numFmtId="0" fontId="0" fillId="0" borderId="1" xfId="0" applyAlignment="1">
      <alignment horizontal="center"/>
    </xf>
    <xf numFmtId="0" fontId="22" fillId="2" borderId="1" xfId="1" applyFont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0" fontId="0" fillId="0" borderId="11" xfId="0" applyBorder="1"/>
    <xf numFmtId="164" fontId="9" fillId="7" borderId="1" xfId="8" applyFont="1" applyFill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4" fillId="0" borderId="15" xfId="8" applyFont="1" applyBorder="1" applyAlignment="1">
      <alignment horizontal="left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42" xfId="8" applyFont="1" applyBorder="1" applyAlignment="1">
      <alignment horizontal="center" vertical="center" wrapText="1"/>
    </xf>
    <xf numFmtId="164" fontId="14" fillId="0" borderId="21" xfId="8" applyFont="1" applyBorder="1" applyAlignment="1">
      <alignment horizontal="left" vertical="center" wrapText="1"/>
    </xf>
    <xf numFmtId="0" fontId="0" fillId="0" borderId="18" xfId="0" applyBorder="1"/>
    <xf numFmtId="0" fontId="0" fillId="0" borderId="14" xfId="0" applyBorder="1"/>
    <xf numFmtId="0" fontId="0" fillId="0" borderId="10" xfId="0" applyBorder="1"/>
    <xf numFmtId="0" fontId="0" fillId="0" borderId="27" xfId="0" applyBorder="1"/>
    <xf numFmtId="0" fontId="0" fillId="0" borderId="28" xfId="0" applyBorder="1"/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0" fillId="0" borderId="44" xfId="0" applyBorder="1"/>
    <xf numFmtId="0" fontId="0" fillId="0" borderId="20" xfId="0" applyBorder="1"/>
    <xf numFmtId="0" fontId="0" fillId="0" borderId="13" xfId="0" applyBorder="1"/>
    <xf numFmtId="164" fontId="14" fillId="0" borderId="41" xfId="8" applyFont="1" applyBorder="1" applyAlignment="1">
      <alignment horizontal="left" vertical="center" wrapText="1"/>
    </xf>
    <xf numFmtId="164" fontId="15" fillId="0" borderId="12" xfId="8" applyFont="1" applyBorder="1" applyAlignment="1">
      <alignment horizontal="center" vertical="center"/>
    </xf>
    <xf numFmtId="0" fontId="0" fillId="0" borderId="12" xfId="0" applyBorder="1"/>
    <xf numFmtId="0" fontId="18" fillId="8" borderId="1" xfId="9" applyFont="1" applyFill="1" applyAlignment="1">
      <alignment horizontal="right" wrapText="1"/>
    </xf>
    <xf numFmtId="164" fontId="17" fillId="0" borderId="17" xfId="8" applyFont="1" applyBorder="1" applyAlignment="1">
      <alignment horizontal="center" vertical="center"/>
    </xf>
    <xf numFmtId="0" fontId="0" fillId="0" borderId="26" xfId="0" applyBorder="1"/>
    <xf numFmtId="164" fontId="14" fillId="0" borderId="15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25" xfId="0" applyBorder="1"/>
    <xf numFmtId="164" fontId="14" fillId="0" borderId="42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5" fillId="0" borderId="11" xfId="8" applyFont="1" applyBorder="1" applyAlignment="1">
      <alignment horizontal="center" vertical="center"/>
    </xf>
    <xf numFmtId="164" fontId="14" fillId="0" borderId="9" xfId="8" applyFont="1" applyBorder="1" applyAlignment="1">
      <alignment horizontal="left" vertical="center" wrapText="1"/>
    </xf>
    <xf numFmtId="0" fontId="0" fillId="0" borderId="19" xfId="0" applyBorder="1"/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7" fillId="0" borderId="15" xfId="9" applyBorder="1" applyAlignment="1">
      <alignment horizontal="center" vertical="center"/>
    </xf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0" fillId="7" borderId="1" xfId="8" applyFont="1" applyFill="1" applyAlignment="1">
      <alignment horizontal="center" vertical="center"/>
    </xf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0" fontId="27" fillId="0" borderId="1" xfId="1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28" fillId="0" borderId="2" xfId="3" applyFont="1" applyAlignment="1">
      <alignment horizontal="center"/>
    </xf>
    <xf numFmtId="0" fontId="34" fillId="0" borderId="0" xfId="16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30" fillId="0" borderId="47" xfId="12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/>
    </xf>
    <xf numFmtId="0" fontId="32" fillId="10" borderId="48" xfId="14" applyAlignment="1">
      <alignment horizontal="center" wrapText="1"/>
    </xf>
    <xf numFmtId="0" fontId="31" fillId="10" borderId="49" xfId="13" applyAlignment="1">
      <alignment horizontal="center" wrapText="1"/>
    </xf>
  </cellXfs>
  <cellStyles count="17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6" builtinId="8"/>
    <cellStyle name="Incorrecto" xfId="15" builtinId="27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lieser Aguilar" refreshedDate="45641.566180555557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2078" headerRowBorderDxfId="2077">
  <autoFilter ref="A2:BX300000" xr:uid="{00000000-0009-0000-0100-000001000000}"/>
  <tableColumns count="76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5" t="s">
        <v>0</v>
      </c>
      <c r="B1" s="77"/>
      <c r="C1" s="77"/>
      <c r="D1" s="77"/>
      <c r="E1" s="77"/>
      <c r="F1" s="77"/>
      <c r="G1" s="76"/>
      <c r="H1" s="75" t="s">
        <v>1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6"/>
      <c r="U1" s="75" t="s">
        <v>2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6"/>
      <c r="AO1" s="75" t="s">
        <v>3</v>
      </c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6"/>
      <c r="BC1" s="75" t="s">
        <v>4</v>
      </c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6"/>
      <c r="BU1" s="75" t="s">
        <v>5</v>
      </c>
      <c r="BV1" s="76"/>
      <c r="BW1" s="75" t="s">
        <v>6</v>
      </c>
      <c r="BX1" s="76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3" t="s">
        <v>85</v>
      </c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J1" s="78" t="s">
        <v>86</v>
      </c>
      <c r="AK1" s="79"/>
    </row>
    <row r="2" spans="1:37" ht="18" customHeight="1" thickBot="1">
      <c r="A2" s="80" t="s">
        <v>87</v>
      </c>
      <c r="B2" s="81"/>
      <c r="C2" s="81"/>
      <c r="D2" s="81"/>
      <c r="E2" s="81"/>
      <c r="F2" s="81"/>
      <c r="G2" s="81"/>
      <c r="H2" s="81"/>
      <c r="J2" s="82" t="s">
        <v>88</v>
      </c>
      <c r="K2" s="81"/>
      <c r="L2" s="81"/>
      <c r="M2" s="81"/>
      <c r="N2" s="81"/>
      <c r="O2" s="86" t="s">
        <v>89</v>
      </c>
      <c r="P2" s="85"/>
      <c r="Q2" s="79"/>
      <c r="R2" s="85"/>
      <c r="S2" s="85"/>
      <c r="T2" s="85"/>
      <c r="U2" s="87" t="s">
        <v>90</v>
      </c>
      <c r="V2" s="81"/>
      <c r="W2" s="81"/>
      <c r="X2" s="81"/>
      <c r="Y2" s="81"/>
      <c r="Z2" s="81"/>
      <c r="AB2" s="80" t="s">
        <v>91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8" t="str">
        <f>IF(COUNTA(BASE[Fecha])&gt;0,CONCATENATE(TEXT(MIN(BASE[Fecha]),"DD-MM-YYYY")," - ",TEXT(MAX(BASE[Fecha]),"DD-MM-YYYY"))," - ")</f>
        <v xml:space="preserve"> - </v>
      </c>
      <c r="AK3" s="88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0" t="s">
        <v>125</v>
      </c>
      <c r="B17" s="81"/>
      <c r="C17" s="81"/>
      <c r="D17" s="81"/>
      <c r="E17" s="81"/>
      <c r="F17" s="81"/>
      <c r="G17" s="81"/>
      <c r="H17" s="81"/>
      <c r="J17" s="80" t="s">
        <v>126</v>
      </c>
      <c r="K17" s="81"/>
      <c r="L17" s="81"/>
      <c r="M17" s="81"/>
      <c r="N17" s="81"/>
      <c r="O17" s="81"/>
      <c r="P17" s="81"/>
      <c r="Q17" s="81"/>
      <c r="S17" s="80" t="s">
        <v>127</v>
      </c>
      <c r="T17" s="81"/>
      <c r="U17" s="81"/>
      <c r="V17" s="81"/>
      <c r="W17" s="81"/>
      <c r="X17" s="81"/>
      <c r="Y17" s="81"/>
      <c r="Z17" s="81"/>
      <c r="AB17" s="80" t="s">
        <v>128</v>
      </c>
      <c r="AC17" s="81"/>
      <c r="AD17" s="81"/>
      <c r="AE17" s="81"/>
      <c r="AF17" s="81"/>
      <c r="AG17" s="81"/>
      <c r="AH17" s="81"/>
      <c r="AI17" s="81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4" t="s">
        <v>142</v>
      </c>
      <c r="T25" s="85"/>
      <c r="U25" s="85"/>
      <c r="V25" s="85"/>
      <c r="W25" s="85"/>
      <c r="X25" s="85"/>
      <c r="Y25" s="85"/>
      <c r="Z25" s="79"/>
      <c r="AA25" s="85"/>
      <c r="AB25" s="85"/>
      <c r="AC25" s="85"/>
      <c r="AD25" s="85"/>
      <c r="AE25" s="85"/>
      <c r="AF25" s="85"/>
      <c r="AG25" s="85"/>
      <c r="AH25" s="85"/>
      <c r="AI25" s="79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1:35">
      <c r="S27" s="85"/>
      <c r="T27" s="85"/>
      <c r="U27" s="85"/>
      <c r="V27" s="85"/>
      <c r="W27" s="85"/>
      <c r="X27" s="85"/>
      <c r="Y27" s="85"/>
      <c r="Z27" s="79"/>
      <c r="AA27" s="85"/>
      <c r="AB27" s="85"/>
      <c r="AC27" s="85"/>
      <c r="AD27" s="85"/>
      <c r="AE27" s="85"/>
      <c r="AF27" s="85"/>
      <c r="AG27" s="85"/>
      <c r="AH27" s="85"/>
      <c r="AI27" s="79"/>
    </row>
    <row r="28" spans="1:35" ht="18" customHeight="1" thickBot="1">
      <c r="A28" s="80" t="s">
        <v>144</v>
      </c>
      <c r="B28" s="81"/>
      <c r="C28" s="81"/>
      <c r="D28" s="81"/>
      <c r="E28" s="81"/>
      <c r="F28" s="81"/>
      <c r="G28" s="81"/>
      <c r="H28" s="81"/>
      <c r="J28" s="80" t="s">
        <v>145</v>
      </c>
      <c r="K28" s="81"/>
      <c r="L28" s="81"/>
      <c r="M28" s="81"/>
      <c r="N28" s="81"/>
      <c r="O28" s="81"/>
      <c r="P28" s="81"/>
      <c r="Q28" s="81"/>
      <c r="S28" s="85"/>
      <c r="T28" s="85"/>
      <c r="U28" s="85"/>
      <c r="V28" s="85"/>
      <c r="W28" s="85"/>
      <c r="X28" s="85"/>
      <c r="Y28" s="85"/>
      <c r="Z28" s="79"/>
      <c r="AA28" s="85"/>
      <c r="AB28" s="85"/>
      <c r="AC28" s="85"/>
      <c r="AD28" s="85"/>
      <c r="AE28" s="85"/>
      <c r="AF28" s="85"/>
      <c r="AG28" s="85"/>
      <c r="AH28" s="85"/>
      <c r="AI28" s="79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5"/>
      <c r="T29" s="85"/>
      <c r="U29" s="85"/>
      <c r="V29" s="85"/>
      <c r="W29" s="85"/>
      <c r="X29" s="85"/>
      <c r="Y29" s="85"/>
      <c r="Z29" s="79"/>
      <c r="AA29" s="85"/>
      <c r="AB29" s="85"/>
      <c r="AC29" s="85"/>
      <c r="AD29" s="85"/>
      <c r="AE29" s="85"/>
      <c r="AF29" s="85"/>
      <c r="AG29" s="85"/>
      <c r="AH29" s="85"/>
      <c r="AI29" s="79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5"/>
      <c r="T30" s="85"/>
      <c r="U30" s="85"/>
      <c r="V30" s="85"/>
      <c r="W30" s="85"/>
      <c r="X30" s="85"/>
      <c r="Y30" s="85"/>
      <c r="Z30" s="79"/>
      <c r="AA30" s="85"/>
      <c r="AB30" s="85"/>
      <c r="AC30" s="85"/>
      <c r="AD30" s="85"/>
      <c r="AE30" s="85"/>
      <c r="AF30" s="85"/>
      <c r="AG30" s="85"/>
      <c r="AH30" s="85"/>
      <c r="AI30" s="79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O5" sqref="O5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3" t="s">
        <v>154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93" t="s">
        <v>155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90" t="s">
        <v>86</v>
      </c>
      <c r="O2" s="85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135" t="s">
        <v>156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89" t="str">
        <f>IF(COUNTA(BASE[Fecha])&gt;0,CONCATENATE(TEXT(MIN(BASE[Fecha]),"DD-MM-YYYY")," - ",TEXT(MAX(BASE[Fecha]),"DD-MM-YYYY"))," - ")</f>
        <v xml:space="preserve"> - </v>
      </c>
      <c r="O4" s="89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CONCATENATE("Establecimiento: ",$O$3)</f>
        <v>Establecimiento: (Todas)</v>
      </c>
      <c r="C5" s="13"/>
      <c r="D5" s="13"/>
      <c r="E5" s="13"/>
      <c r="F5" s="17"/>
      <c r="G5" s="17"/>
      <c r="H5" s="19" t="str">
        <f>CONCATENATE("N°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22" t="s">
        <v>159</v>
      </c>
      <c r="C6" s="123"/>
      <c r="D6" s="123"/>
      <c r="E6" s="123"/>
      <c r="F6" s="123"/>
      <c r="G6" s="124"/>
      <c r="H6" s="122" t="s">
        <v>160</v>
      </c>
      <c r="I6" s="123"/>
      <c r="J6" s="123"/>
      <c r="K6" s="123"/>
      <c r="L6" s="123"/>
      <c r="M6" s="124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126" t="s">
        <v>161</v>
      </c>
      <c r="C7" s="102"/>
      <c r="D7" s="23" t="s">
        <v>162</v>
      </c>
      <c r="E7" s="24" t="s">
        <v>163</v>
      </c>
      <c r="F7" s="24" t="s">
        <v>164</v>
      </c>
      <c r="G7" s="25" t="s">
        <v>165</v>
      </c>
      <c r="H7" s="126" t="s">
        <v>166</v>
      </c>
      <c r="I7" s="102"/>
      <c r="J7" s="125" t="s">
        <v>162</v>
      </c>
      <c r="K7" s="109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101"/>
      <c r="C8" s="102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101"/>
      <c r="I8" s="102"/>
      <c r="J8" s="94" t="s">
        <v>170</v>
      </c>
      <c r="K8" s="95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101"/>
      <c r="C9" s="102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101"/>
      <c r="I9" s="102"/>
      <c r="J9" s="94" t="s">
        <v>174</v>
      </c>
      <c r="K9" s="95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101"/>
      <c r="C10" s="102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101"/>
      <c r="I10" s="102"/>
      <c r="J10" s="94" t="s">
        <v>178</v>
      </c>
      <c r="K10" s="95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101"/>
      <c r="C11" s="102"/>
      <c r="D11" s="94" t="s">
        <v>180</v>
      </c>
      <c r="E11" s="116" t="s">
        <v>181</v>
      </c>
      <c r="F11" s="91">
        <f>SUM(ENOS_G1_POLIOMIELITIS_AGUDA[TOT])</f>
        <v>0</v>
      </c>
      <c r="G11" s="91">
        <v>0</v>
      </c>
      <c r="H11" s="101"/>
      <c r="I11" s="102"/>
      <c r="J11" s="117" t="s">
        <v>182</v>
      </c>
      <c r="K11" s="100"/>
      <c r="L11" s="116" t="s">
        <v>183</v>
      </c>
      <c r="M11" s="114">
        <f>SUM(ENOS_G2_HEPATITIS_VIRAL_SIN_OTRA_ESPECIFIACION[TOT])</f>
        <v>0</v>
      </c>
      <c r="N11" s="2"/>
      <c r="O11" s="2"/>
    </row>
    <row r="12" spans="1:32" ht="15.75" customHeight="1">
      <c r="A12" s="2"/>
      <c r="B12" s="127"/>
      <c r="C12" s="109"/>
      <c r="D12" s="92"/>
      <c r="E12" s="92"/>
      <c r="F12" s="92"/>
      <c r="G12" s="92"/>
      <c r="H12" s="101"/>
      <c r="I12" s="102"/>
      <c r="J12" s="108"/>
      <c r="K12" s="109"/>
      <c r="L12" s="92"/>
      <c r="M12" s="112"/>
      <c r="N12" s="2"/>
      <c r="O12" s="2"/>
    </row>
    <row r="13" spans="1:32" ht="22.5" customHeight="1" thickBot="1">
      <c r="A13" s="2"/>
      <c r="B13" s="99" t="s">
        <v>184</v>
      </c>
      <c r="C13" s="100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101"/>
      <c r="I13" s="102"/>
      <c r="J13" s="94" t="s">
        <v>187</v>
      </c>
      <c r="K13" s="95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101"/>
      <c r="C14" s="102"/>
      <c r="D14" s="94" t="s">
        <v>189</v>
      </c>
      <c r="E14" s="116" t="s">
        <v>124</v>
      </c>
      <c r="F14" s="91">
        <f>SUM(ENOS_G1_SINDROME_DE_RUBEOLA_CONGENITA[TOT])</f>
        <v>0</v>
      </c>
      <c r="G14" s="91">
        <v>0</v>
      </c>
      <c r="H14" s="101"/>
      <c r="I14" s="102"/>
      <c r="J14" s="94" t="s">
        <v>190</v>
      </c>
      <c r="K14" s="100"/>
      <c r="L14" s="97" t="s">
        <v>191</v>
      </c>
      <c r="M14" s="114">
        <f>SUM(ENOS_G2_CONJUNTIVITIS_VIRAL[TOT])</f>
        <v>0</v>
      </c>
      <c r="N14" s="2"/>
      <c r="O14" s="2"/>
    </row>
    <row r="15" spans="1:32" ht="18" customHeight="1">
      <c r="A15" s="2"/>
      <c r="B15" s="101"/>
      <c r="C15" s="102"/>
      <c r="D15" s="92"/>
      <c r="E15" s="92"/>
      <c r="F15" s="92"/>
      <c r="G15" s="92"/>
      <c r="H15" s="101"/>
      <c r="I15" s="102"/>
      <c r="J15" s="108"/>
      <c r="K15" s="109"/>
      <c r="L15" s="92"/>
      <c r="M15" s="112"/>
      <c r="N15" s="2"/>
      <c r="O15" s="2"/>
    </row>
    <row r="16" spans="1:32" ht="15.75" customHeight="1">
      <c r="A16" s="2"/>
      <c r="B16" s="101"/>
      <c r="C16" s="102"/>
      <c r="D16" s="96" t="s">
        <v>192</v>
      </c>
      <c r="E16" s="116" t="s">
        <v>193</v>
      </c>
      <c r="F16" s="91">
        <f>SUM(ENOS_G1_SARAMPION[TOT])</f>
        <v>0</v>
      </c>
      <c r="G16" s="91">
        <v>0</v>
      </c>
      <c r="H16" s="101"/>
      <c r="I16" s="102"/>
      <c r="J16" s="117" t="s">
        <v>194</v>
      </c>
      <c r="K16" s="100"/>
      <c r="L16" s="97" t="s">
        <v>195</v>
      </c>
      <c r="M16" s="114">
        <f>SUM(ENOS_G2_ENF_VIRICAS_LESIONES_PIEL_Y_MEMB_MUCOSAS[TOT])</f>
        <v>0</v>
      </c>
      <c r="N16" s="2"/>
      <c r="O16" s="2"/>
    </row>
    <row r="17" spans="1:32">
      <c r="A17" s="2"/>
      <c r="B17" s="101"/>
      <c r="C17" s="102"/>
      <c r="D17" s="92"/>
      <c r="E17" s="92"/>
      <c r="F17" s="92"/>
      <c r="G17" s="92"/>
      <c r="H17" s="101"/>
      <c r="I17" s="102"/>
      <c r="J17" s="118"/>
      <c r="K17" s="102"/>
      <c r="L17" s="120"/>
      <c r="M17" s="115"/>
      <c r="N17" s="2"/>
      <c r="O17" s="2"/>
    </row>
    <row r="18" spans="1:32">
      <c r="A18" s="2"/>
      <c r="B18" s="101"/>
      <c r="C18" s="102"/>
      <c r="D18" s="94" t="s">
        <v>196</v>
      </c>
      <c r="E18" s="116" t="s">
        <v>197</v>
      </c>
      <c r="F18" s="91">
        <f>SUM(ENOS_G1_TETANOS_NEONATAL[TOT])</f>
        <v>0</v>
      </c>
      <c r="G18" s="91">
        <v>0</v>
      </c>
      <c r="H18" s="127"/>
      <c r="I18" s="109"/>
      <c r="J18" s="108"/>
      <c r="K18" s="109"/>
      <c r="L18" s="92"/>
      <c r="M18" s="112"/>
      <c r="N18" s="2"/>
      <c r="O18" s="2"/>
    </row>
    <row r="19" spans="1:32" ht="18" customHeight="1" thickBot="1">
      <c r="A19" s="2"/>
      <c r="B19" s="101"/>
      <c r="C19" s="102"/>
      <c r="D19" s="120"/>
      <c r="E19" s="120"/>
      <c r="F19" s="120"/>
      <c r="G19" s="120"/>
      <c r="H19" s="99" t="s">
        <v>198</v>
      </c>
      <c r="I19" s="100"/>
      <c r="J19" s="96" t="s">
        <v>199</v>
      </c>
      <c r="K19" s="100"/>
      <c r="L19" s="116" t="s">
        <v>200</v>
      </c>
      <c r="M19" s="114">
        <f>SUM(ENOS_G2_SIFILIS_CONGENITA[TOT])</f>
        <v>0</v>
      </c>
      <c r="N19" s="2"/>
      <c r="O19" s="2"/>
    </row>
    <row r="20" spans="1:32">
      <c r="A20" s="2"/>
      <c r="B20" s="101"/>
      <c r="C20" s="102"/>
      <c r="D20" s="92"/>
      <c r="E20" s="92"/>
      <c r="F20" s="92"/>
      <c r="G20" s="92"/>
      <c r="H20" s="101"/>
      <c r="I20" s="102"/>
      <c r="J20" s="108"/>
      <c r="K20" s="109"/>
      <c r="L20" s="92"/>
      <c r="M20" s="112"/>
      <c r="N20" s="2"/>
      <c r="O20" s="2"/>
    </row>
    <row r="21" spans="1:32">
      <c r="A21" s="2"/>
      <c r="B21" s="101"/>
      <c r="C21" s="102"/>
      <c r="D21" s="96" t="s">
        <v>201</v>
      </c>
      <c r="E21" s="97" t="s">
        <v>202</v>
      </c>
      <c r="F21" s="132">
        <f>SUM(ENOS_G1_PALUDISMO[TOT])</f>
        <v>0</v>
      </c>
      <c r="G21" s="132">
        <v>0</v>
      </c>
      <c r="H21" s="101"/>
      <c r="I21" s="102"/>
      <c r="J21" s="94" t="s">
        <v>203</v>
      </c>
      <c r="K21" s="95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03"/>
      <c r="C22" s="104"/>
      <c r="D22" s="92"/>
      <c r="E22" s="92"/>
      <c r="F22" s="92"/>
      <c r="G22" s="92"/>
      <c r="H22" s="103"/>
      <c r="I22" s="104"/>
      <c r="J22" s="141" t="s">
        <v>205</v>
      </c>
      <c r="K22" s="142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28" t="s">
        <v>207</v>
      </c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4"/>
      <c r="N23" s="2"/>
      <c r="O23" s="2"/>
    </row>
    <row r="24" spans="1:32">
      <c r="A24" s="2"/>
      <c r="B24" s="129" t="s">
        <v>208</v>
      </c>
      <c r="C24" s="102"/>
      <c r="D24" s="136" t="s">
        <v>163</v>
      </c>
      <c r="E24" s="85"/>
      <c r="F24" s="137"/>
      <c r="G24" s="133" t="s">
        <v>209</v>
      </c>
      <c r="H24" s="134"/>
      <c r="I24" s="134"/>
      <c r="J24" s="134"/>
      <c r="K24" s="134"/>
      <c r="L24" s="109"/>
      <c r="M24" s="111" t="s">
        <v>210</v>
      </c>
      <c r="N24" s="2"/>
      <c r="O24" s="2"/>
    </row>
    <row r="25" spans="1:32" ht="22.5" customHeight="1">
      <c r="A25" s="2"/>
      <c r="B25" s="130"/>
      <c r="C25" s="131"/>
      <c r="D25" s="138"/>
      <c r="E25" s="139"/>
      <c r="F25" s="140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112"/>
      <c r="N25" s="2"/>
      <c r="O25" s="2"/>
    </row>
    <row r="26" spans="1:32">
      <c r="A26" s="2"/>
      <c r="B26" s="110" t="s">
        <v>217</v>
      </c>
      <c r="C26" s="76"/>
      <c r="D26" s="121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10" t="s">
        <v>219</v>
      </c>
      <c r="C27" s="76"/>
      <c r="D27" s="98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10" t="s">
        <v>221</v>
      </c>
      <c r="C28" s="76"/>
      <c r="D28" s="98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10" t="s">
        <v>223</v>
      </c>
      <c r="C29" s="76"/>
      <c r="D29" s="121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4" t="s">
        <v>142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</row>
    <row r="30" spans="1:32" ht="15.75" customHeight="1" thickBot="1">
      <c r="A30" s="2"/>
      <c r="B30" s="119" t="s">
        <v>225</v>
      </c>
      <c r="C30" s="107"/>
      <c r="D30" s="105" t="s">
        <v>226</v>
      </c>
      <c r="E30" s="106"/>
      <c r="F30" s="107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13" t="s">
        <v>231</v>
      </c>
      <c r="K33" s="85"/>
      <c r="L33" s="85"/>
      <c r="M33" s="55"/>
      <c r="N33" s="2"/>
      <c r="O33" s="2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0" t="s">
        <v>234</v>
      </c>
      <c r="Q35" s="81"/>
      <c r="R35" s="81"/>
      <c r="S35" s="81"/>
      <c r="T35" s="81"/>
      <c r="U35" s="81"/>
      <c r="V35" s="81"/>
      <c r="W35" s="81"/>
      <c r="X35" s="2"/>
      <c r="Y35" s="80" t="s">
        <v>235</v>
      </c>
      <c r="Z35" s="81"/>
      <c r="AA35" s="81"/>
      <c r="AB35" s="81"/>
      <c r="AC35" s="81"/>
      <c r="AD35" s="81"/>
      <c r="AE35" s="81"/>
      <c r="AF35" s="81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0" t="s">
        <v>238</v>
      </c>
      <c r="Q39" s="81"/>
      <c r="R39" s="81"/>
      <c r="S39" s="81"/>
      <c r="T39" s="81"/>
      <c r="U39" s="81"/>
      <c r="V39" s="81"/>
      <c r="W39" s="81"/>
      <c r="Y39" s="80" t="s">
        <v>239</v>
      </c>
      <c r="Z39" s="81"/>
      <c r="AA39" s="81"/>
      <c r="AB39" s="81"/>
      <c r="AC39" s="81"/>
      <c r="AD39" s="81"/>
      <c r="AE39" s="81"/>
      <c r="AF39" s="81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0" t="s">
        <v>241</v>
      </c>
      <c r="Q43" s="81"/>
      <c r="R43" s="81"/>
      <c r="S43" s="81"/>
      <c r="T43" s="81"/>
      <c r="U43" s="81"/>
      <c r="V43" s="81"/>
      <c r="W43" s="81"/>
      <c r="X43" s="2"/>
      <c r="Y43" s="80" t="s">
        <v>242</v>
      </c>
      <c r="Z43" s="81"/>
      <c r="AA43" s="81"/>
      <c r="AB43" s="81"/>
      <c r="AC43" s="81"/>
      <c r="AD43" s="81"/>
      <c r="AE43" s="81"/>
      <c r="AF43" s="81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0" t="s">
        <v>243</v>
      </c>
      <c r="Q47" s="81"/>
      <c r="R47" s="81"/>
      <c r="S47" s="81"/>
      <c r="T47" s="81"/>
      <c r="U47" s="81"/>
      <c r="V47" s="81"/>
      <c r="W47" s="81"/>
      <c r="Y47" s="80" t="s">
        <v>244</v>
      </c>
      <c r="Z47" s="81"/>
      <c r="AA47" s="81"/>
      <c r="AB47" s="81"/>
      <c r="AC47" s="81"/>
      <c r="AD47" s="81"/>
      <c r="AE47" s="81"/>
      <c r="AF47" s="81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0" t="s">
        <v>245</v>
      </c>
      <c r="Q51" s="81"/>
      <c r="R51" s="81"/>
      <c r="S51" s="81"/>
      <c r="T51" s="81"/>
      <c r="U51" s="81"/>
      <c r="V51" s="81"/>
      <c r="W51" s="81"/>
      <c r="X51" s="2"/>
      <c r="Y51" s="80" t="s">
        <v>246</v>
      </c>
      <c r="Z51" s="81"/>
      <c r="AA51" s="81"/>
      <c r="AB51" s="81"/>
      <c r="AC51" s="81"/>
      <c r="AD51" s="81"/>
      <c r="AE51" s="81"/>
      <c r="AF51" s="81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0" t="s">
        <v>253</v>
      </c>
      <c r="Q59" s="81"/>
      <c r="R59" s="81"/>
      <c r="S59" s="81"/>
      <c r="T59" s="81"/>
      <c r="U59" s="81"/>
      <c r="V59" s="81"/>
      <c r="W59" s="81"/>
      <c r="X59" s="2"/>
      <c r="Y59" s="80" t="s">
        <v>254</v>
      </c>
      <c r="Z59" s="81"/>
      <c r="AA59" s="81"/>
      <c r="AB59" s="81"/>
      <c r="AC59" s="81"/>
      <c r="AD59" s="81"/>
      <c r="AE59" s="81"/>
      <c r="AF59" s="81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0" t="s">
        <v>255</v>
      </c>
      <c r="Q63" s="81"/>
      <c r="R63" s="81"/>
      <c r="S63" s="81"/>
      <c r="T63" s="81"/>
      <c r="U63" s="81"/>
      <c r="V63" s="81"/>
      <c r="W63" s="81"/>
      <c r="X63" s="2"/>
      <c r="Y63" s="80" t="s">
        <v>256</v>
      </c>
      <c r="Z63" s="81"/>
      <c r="AA63" s="81"/>
      <c r="AB63" s="81"/>
      <c r="AC63" s="81"/>
      <c r="AD63" s="81"/>
      <c r="AE63" s="81"/>
      <c r="AF63" s="81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0" t="s">
        <v>259</v>
      </c>
      <c r="Q67" s="81"/>
      <c r="R67" s="81"/>
      <c r="S67" s="81"/>
      <c r="T67" s="81"/>
      <c r="U67" s="81"/>
      <c r="V67" s="81"/>
      <c r="W67" s="81"/>
      <c r="X67" s="2"/>
      <c r="Y67" s="80" t="s">
        <v>260</v>
      </c>
      <c r="Z67" s="81"/>
      <c r="AA67" s="81"/>
      <c r="AB67" s="81"/>
      <c r="AC67" s="81"/>
      <c r="AD67" s="81"/>
      <c r="AE67" s="81"/>
      <c r="AF67" s="81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0" t="s">
        <v>263</v>
      </c>
      <c r="Q71" s="81"/>
      <c r="R71" s="81"/>
      <c r="S71" s="81"/>
      <c r="T71" s="81"/>
      <c r="U71" s="81"/>
      <c r="V71" s="81"/>
      <c r="W71" s="81"/>
      <c r="Y71" s="80" t="s">
        <v>264</v>
      </c>
      <c r="Z71" s="81"/>
      <c r="AA71" s="81"/>
      <c r="AB71" s="81"/>
      <c r="AC71" s="81"/>
      <c r="AD71" s="81"/>
      <c r="AE71" s="81"/>
      <c r="AF71" s="81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0" t="s">
        <v>268</v>
      </c>
      <c r="Q77" s="81"/>
      <c r="R77" s="81"/>
      <c r="S77" s="81"/>
      <c r="T77" s="81"/>
      <c r="U77" s="81"/>
      <c r="V77" s="81"/>
      <c r="W77" s="81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0" t="s">
        <v>269</v>
      </c>
      <c r="Q83" s="81"/>
      <c r="R83" s="81"/>
      <c r="S83" s="81"/>
      <c r="T83" s="81"/>
      <c r="U83" s="81"/>
      <c r="V83" s="81"/>
      <c r="W83" s="81"/>
      <c r="X83" s="2"/>
      <c r="Y83" s="80" t="s">
        <v>270</v>
      </c>
      <c r="Z83" s="81"/>
      <c r="AA83" s="81"/>
      <c r="AB83" s="81"/>
      <c r="AC83" s="81"/>
      <c r="AD83" s="81"/>
      <c r="AE83" s="81"/>
      <c r="AF83" s="81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0" t="s">
        <v>274</v>
      </c>
      <c r="Q89" s="81"/>
      <c r="R89" s="81"/>
      <c r="S89" s="81"/>
      <c r="T89" s="81"/>
      <c r="U89" s="81"/>
      <c r="V89" s="81"/>
      <c r="W89" s="81"/>
      <c r="X89" s="2"/>
      <c r="Y89" s="80" t="s">
        <v>275</v>
      </c>
      <c r="Z89" s="81"/>
      <c r="AA89" s="81"/>
      <c r="AB89" s="81"/>
      <c r="AC89" s="81"/>
      <c r="AD89" s="81"/>
      <c r="AE89" s="81"/>
      <c r="AF89" s="81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0" t="s">
        <v>276</v>
      </c>
      <c r="Q95" s="81"/>
      <c r="R95" s="81"/>
      <c r="S95" s="81"/>
      <c r="T95" s="81"/>
      <c r="U95" s="81"/>
      <c r="V95" s="81"/>
      <c r="W95" s="81"/>
      <c r="X95" s="2"/>
      <c r="Y95" s="80" t="s">
        <v>277</v>
      </c>
      <c r="Z95" s="81"/>
      <c r="AA95" s="81"/>
      <c r="AB95" s="81"/>
      <c r="AC95" s="81"/>
      <c r="AD95" s="81"/>
      <c r="AE95" s="81"/>
      <c r="AF95" s="81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0" t="s">
        <v>278</v>
      </c>
      <c r="Q101" s="81"/>
      <c r="R101" s="81"/>
      <c r="S101" s="81"/>
      <c r="T101" s="81"/>
      <c r="U101" s="81"/>
      <c r="V101" s="81"/>
      <c r="W101" s="81"/>
      <c r="X101" s="2"/>
      <c r="Y101" s="80" t="s">
        <v>279</v>
      </c>
      <c r="Z101" s="81"/>
      <c r="AA101" s="81"/>
      <c r="AB101" s="81"/>
      <c r="AC101" s="81"/>
      <c r="AD101" s="81"/>
      <c r="AE101" s="81"/>
      <c r="AF101" s="81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0" t="s">
        <v>280</v>
      </c>
      <c r="Q113" s="81"/>
      <c r="R113" s="81"/>
      <c r="S113" s="81"/>
      <c r="T113" s="81"/>
      <c r="U113" s="81"/>
      <c r="V113" s="81"/>
      <c r="W113" s="81"/>
      <c r="X113" s="2"/>
      <c r="Y113" s="80" t="s">
        <v>281</v>
      </c>
      <c r="Z113" s="81"/>
      <c r="AA113" s="81"/>
      <c r="AB113" s="81"/>
      <c r="AC113" s="81"/>
      <c r="AD113" s="81"/>
      <c r="AE113" s="81"/>
      <c r="AF113" s="81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0" t="s">
        <v>282</v>
      </c>
      <c r="Q125" s="81"/>
      <c r="R125" s="81"/>
      <c r="S125" s="81"/>
      <c r="T125" s="81"/>
      <c r="U125" s="81"/>
      <c r="V125" s="81"/>
      <c r="W125" s="81"/>
      <c r="X125" s="2"/>
      <c r="Y125" s="80" t="s">
        <v>283</v>
      </c>
      <c r="Z125" s="81"/>
      <c r="AA125" s="81"/>
      <c r="AB125" s="81"/>
      <c r="AC125" s="81"/>
      <c r="AD125" s="81"/>
      <c r="AE125" s="81"/>
      <c r="AF125" s="81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0" t="s">
        <v>284</v>
      </c>
      <c r="Q137" s="81"/>
      <c r="R137" s="81"/>
      <c r="S137" s="81"/>
      <c r="T137" s="81"/>
      <c r="U137" s="81"/>
      <c r="V137" s="81"/>
      <c r="W137" s="81"/>
      <c r="X137" s="2"/>
      <c r="Y137" s="80" t="s">
        <v>285</v>
      </c>
      <c r="Z137" s="81"/>
      <c r="AA137" s="81"/>
      <c r="AB137" s="81"/>
      <c r="AC137" s="81"/>
      <c r="AD137" s="81"/>
      <c r="AE137" s="81"/>
      <c r="AF137" s="81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0" t="s">
        <v>286</v>
      </c>
      <c r="Q147" s="81"/>
      <c r="R147" s="81"/>
      <c r="S147" s="81"/>
      <c r="T147" s="81"/>
      <c r="U147" s="81"/>
      <c r="V147" s="81"/>
      <c r="W147" s="81"/>
      <c r="X147" s="2"/>
      <c r="Y147" s="80" t="s">
        <v>287</v>
      </c>
      <c r="Z147" s="81"/>
      <c r="AA147" s="81"/>
      <c r="AB147" s="81"/>
      <c r="AC147" s="81"/>
      <c r="AD147" s="81"/>
      <c r="AE147" s="81"/>
      <c r="AF147" s="81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0" t="s">
        <v>288</v>
      </c>
      <c r="Q157" s="81"/>
      <c r="R157" s="81"/>
      <c r="S157" s="81"/>
      <c r="T157" s="81"/>
      <c r="U157" s="81"/>
      <c r="V157" s="81"/>
      <c r="W157" s="81"/>
      <c r="X157" s="2"/>
      <c r="Y157" s="80" t="s">
        <v>289</v>
      </c>
      <c r="Z157" s="81"/>
      <c r="AA157" s="81"/>
      <c r="AB157" s="81"/>
      <c r="AC157" s="81"/>
      <c r="AD157" s="81"/>
      <c r="AE157" s="81"/>
      <c r="AF157" s="81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79"/>
      <c r="K167" s="85"/>
      <c r="L167" s="79"/>
      <c r="M167" s="85"/>
      <c r="N167" s="85"/>
      <c r="O167" s="2"/>
      <c r="P167" s="80" t="s">
        <v>290</v>
      </c>
      <c r="Q167" s="81"/>
      <c r="R167" s="81"/>
      <c r="S167" s="81"/>
      <c r="T167" s="81"/>
      <c r="U167" s="81"/>
      <c r="V167" s="81"/>
      <c r="W167" s="81"/>
      <c r="X167" s="2"/>
      <c r="Y167" s="80" t="s">
        <v>291</v>
      </c>
      <c r="Z167" s="81"/>
      <c r="AA167" s="81"/>
      <c r="AB167" s="81"/>
      <c r="AC167" s="81"/>
      <c r="AD167" s="81"/>
      <c r="AE167" s="81"/>
      <c r="AF167" s="81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0" t="s">
        <v>292</v>
      </c>
      <c r="Q173" s="81"/>
      <c r="R173" s="81"/>
      <c r="S173" s="81"/>
      <c r="T173" s="81"/>
      <c r="U173" s="81"/>
      <c r="V173" s="81"/>
      <c r="W173" s="81"/>
      <c r="X173" s="2"/>
      <c r="Y173" s="80" t="s">
        <v>293</v>
      </c>
      <c r="Z173" s="81"/>
      <c r="AA173" s="81"/>
      <c r="AB173" s="81"/>
      <c r="AC173" s="81"/>
      <c r="AD173" s="81"/>
      <c r="AE173" s="81"/>
      <c r="AF173" s="81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0" t="s">
        <v>294</v>
      </c>
      <c r="Q179" s="81"/>
      <c r="R179" s="81"/>
      <c r="S179" s="81"/>
      <c r="T179" s="81"/>
      <c r="U179" s="81"/>
      <c r="V179" s="81"/>
      <c r="W179" s="81"/>
      <c r="X179" s="2"/>
      <c r="Y179" s="80" t="s">
        <v>295</v>
      </c>
      <c r="Z179" s="81"/>
      <c r="AA179" s="81"/>
      <c r="AB179" s="81"/>
      <c r="AC179" s="81"/>
      <c r="AD179" s="81"/>
      <c r="AE179" s="81"/>
      <c r="AF179" s="81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0" t="s">
        <v>296</v>
      </c>
      <c r="Q185" s="81"/>
      <c r="R185" s="81"/>
      <c r="S185" s="81"/>
      <c r="T185" s="81"/>
      <c r="U185" s="81"/>
      <c r="V185" s="81"/>
      <c r="W185" s="81"/>
      <c r="X185" s="2"/>
      <c r="Y185" s="80" t="s">
        <v>297</v>
      </c>
      <c r="Z185" s="81"/>
      <c r="AA185" s="81"/>
      <c r="AB185" s="81"/>
      <c r="AC185" s="81"/>
      <c r="AD185" s="81"/>
      <c r="AE185" s="81"/>
      <c r="AF185" s="81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0" t="s">
        <v>300</v>
      </c>
      <c r="Q196" s="81"/>
      <c r="R196" s="81"/>
      <c r="S196" s="81"/>
      <c r="T196" s="81"/>
      <c r="U196" s="81"/>
      <c r="V196" s="81"/>
      <c r="W196" s="81"/>
      <c r="X196" s="2"/>
      <c r="Y196" s="80" t="s">
        <v>301</v>
      </c>
      <c r="Z196" s="81"/>
      <c r="AA196" s="81"/>
      <c r="AB196" s="81"/>
      <c r="AC196" s="81"/>
      <c r="AD196" s="81"/>
      <c r="AE196" s="81"/>
      <c r="AF196" s="81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0" t="s">
        <v>302</v>
      </c>
      <c r="Q207" s="81"/>
      <c r="R207" s="81"/>
      <c r="S207" s="81"/>
      <c r="T207" s="81"/>
      <c r="U207" s="81"/>
      <c r="V207" s="81"/>
      <c r="W207" s="81"/>
      <c r="X207" s="2"/>
      <c r="Y207" s="80" t="s">
        <v>303</v>
      </c>
      <c r="Z207" s="81"/>
      <c r="AA207" s="81"/>
      <c r="AB207" s="81"/>
      <c r="AC207" s="81"/>
      <c r="AD207" s="81"/>
      <c r="AE207" s="81"/>
      <c r="AF207" s="81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79"/>
      <c r="K216" s="85"/>
      <c r="L216" s="79"/>
      <c r="M216" s="85"/>
      <c r="N216" s="85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3" t="s">
        <v>346</v>
      </c>
      <c r="G1" s="143"/>
      <c r="H1" s="143"/>
      <c r="I1" s="143"/>
      <c r="J1" s="143"/>
      <c r="K1" s="143"/>
      <c r="M1" s="69" t="s">
        <v>361</v>
      </c>
      <c r="AJ1" s="78" t="s">
        <v>86</v>
      </c>
      <c r="AK1" s="79"/>
    </row>
    <row r="2" spans="1:41" ht="18" customHeight="1" thickBot="1">
      <c r="A2" s="80" t="s">
        <v>329</v>
      </c>
      <c r="B2" s="81"/>
      <c r="C2" s="81"/>
      <c r="D2" s="81"/>
      <c r="E2" s="81"/>
      <c r="F2" s="81"/>
      <c r="G2" s="81"/>
      <c r="H2" s="81"/>
      <c r="J2" s="80" t="s">
        <v>330</v>
      </c>
      <c r="K2" s="80"/>
      <c r="L2" s="80"/>
      <c r="M2" s="80"/>
      <c r="N2" s="80"/>
      <c r="O2" s="80"/>
      <c r="P2" s="80"/>
      <c r="Q2" s="80"/>
      <c r="R2" s="2"/>
      <c r="S2" s="80" t="s">
        <v>347</v>
      </c>
      <c r="T2" s="80"/>
      <c r="U2" s="80"/>
      <c r="V2" s="80"/>
      <c r="W2" s="80"/>
      <c r="X2" s="80"/>
      <c r="Y2" s="80"/>
      <c r="Z2" s="80"/>
      <c r="AB2" s="80" t="s">
        <v>349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144" t="str">
        <f>IF(COUNTA(BASE[Fecha])&gt;0,CONCATENATE(TEXT(MIN(BASE[Fecha]),"DD-MM-YYYY")," - ",TEXT(MAX(BASE[Fecha]),"DD-MM-YYYY"))," - ")</f>
        <v xml:space="preserve"> - </v>
      </c>
      <c r="AK3" s="144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7" t="s">
        <v>142</v>
      </c>
      <c r="AK5" s="147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7"/>
      <c r="AK6" s="147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0" t="s">
        <v>350</v>
      </c>
      <c r="T7" s="80"/>
      <c r="U7" s="80"/>
      <c r="V7" s="80"/>
      <c r="W7" s="80"/>
      <c r="X7" s="80"/>
      <c r="Y7" s="80"/>
      <c r="Z7" s="80"/>
      <c r="AB7" s="80" t="s">
        <v>351</v>
      </c>
      <c r="AC7" s="80"/>
      <c r="AD7" s="80"/>
      <c r="AE7" s="80"/>
      <c r="AF7" s="80"/>
      <c r="AG7" s="80"/>
      <c r="AH7" s="80"/>
      <c r="AI7" s="80"/>
      <c r="AJ7" s="147"/>
      <c r="AK7" s="147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7"/>
      <c r="AK8" s="147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7"/>
      <c r="AK9" s="147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7"/>
      <c r="AK10" s="147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7"/>
      <c r="AK11" s="147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0" t="s">
        <v>353</v>
      </c>
      <c r="K12" s="80"/>
      <c r="L12" s="80"/>
      <c r="M12" s="80"/>
      <c r="N12" s="80"/>
      <c r="O12" s="80"/>
      <c r="P12" s="80"/>
      <c r="Q12" s="80"/>
      <c r="S12" s="80" t="s">
        <v>355</v>
      </c>
      <c r="T12" s="80"/>
      <c r="U12" s="80"/>
      <c r="V12" s="80"/>
      <c r="W12" s="80"/>
      <c r="X12" s="80"/>
      <c r="Y12" s="80"/>
      <c r="Z12" s="80"/>
      <c r="AB12" s="80" t="s">
        <v>356</v>
      </c>
      <c r="AC12" s="80"/>
      <c r="AD12" s="80"/>
      <c r="AE12" s="80"/>
      <c r="AF12" s="80"/>
      <c r="AG12" s="80"/>
      <c r="AH12" s="80"/>
      <c r="AI12" s="80"/>
      <c r="AJ12" s="147"/>
      <c r="AK12" s="147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7"/>
      <c r="AK13" s="147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7"/>
      <c r="AK14" s="147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7"/>
      <c r="AK15" s="147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7"/>
      <c r="AK16" s="147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0" t="s">
        <v>357</v>
      </c>
      <c r="K17" s="80"/>
      <c r="L17" s="80"/>
      <c r="M17" s="80"/>
      <c r="N17" s="80"/>
      <c r="O17" s="80"/>
      <c r="P17" s="80"/>
      <c r="Q17" s="80"/>
      <c r="S17" s="80" t="s">
        <v>91</v>
      </c>
      <c r="T17" s="80"/>
      <c r="U17" s="80"/>
      <c r="V17" s="80"/>
      <c r="W17" s="80"/>
      <c r="X17" s="80"/>
      <c r="Y17" s="80"/>
      <c r="Z17" s="80"/>
      <c r="AB17" s="80" t="s">
        <v>363</v>
      </c>
      <c r="AC17" s="80"/>
      <c r="AD17" s="80"/>
      <c r="AE17" s="80"/>
      <c r="AF17" s="80"/>
      <c r="AG17" s="80"/>
      <c r="AH17" s="80"/>
      <c r="AI17" s="80"/>
      <c r="AJ17" s="147"/>
      <c r="AK17" s="147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7"/>
      <c r="AK18" s="147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7"/>
      <c r="AK19" s="147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7"/>
      <c r="AK20" s="147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7"/>
      <c r="AK21" s="147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0" t="s">
        <v>360</v>
      </c>
      <c r="K22" s="80"/>
      <c r="L22" s="80"/>
      <c r="M22" s="80"/>
      <c r="N22" s="80"/>
      <c r="O22" s="80"/>
      <c r="P22" s="80"/>
      <c r="Q22" s="80"/>
      <c r="S22" s="80" t="s">
        <v>365</v>
      </c>
      <c r="T22" s="80"/>
      <c r="U22" s="80"/>
      <c r="V22" s="80"/>
      <c r="W22" s="80"/>
      <c r="X22" s="80"/>
      <c r="Y22" s="80"/>
      <c r="Z22" s="80"/>
      <c r="AB22" s="80" t="s">
        <v>369</v>
      </c>
      <c r="AC22" s="80"/>
      <c r="AD22" s="80"/>
      <c r="AE22" s="80"/>
      <c r="AF22" s="80"/>
      <c r="AG22" s="80"/>
      <c r="AH22" s="80"/>
      <c r="AI22" s="80"/>
      <c r="AJ22" s="147"/>
      <c r="AK22" s="147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7"/>
      <c r="AK23" s="147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7"/>
      <c r="AK24" s="147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7"/>
      <c r="AK25" s="147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7"/>
      <c r="AK26" s="147"/>
      <c r="AL26" s="70"/>
      <c r="AM26" s="70"/>
      <c r="AN26" s="70"/>
      <c r="AO26" s="70"/>
    </row>
    <row r="27" spans="1:41" ht="15" customHeight="1" thickBot="1">
      <c r="A27" s="80" t="s">
        <v>377</v>
      </c>
      <c r="B27" s="80"/>
      <c r="C27" s="80"/>
      <c r="D27" s="80"/>
      <c r="E27" s="80"/>
      <c r="F27" s="80"/>
      <c r="G27" s="80"/>
      <c r="H27" s="80"/>
      <c r="J27" s="80" t="s">
        <v>376</v>
      </c>
      <c r="K27" s="80"/>
      <c r="L27" s="80"/>
      <c r="M27" s="80"/>
      <c r="N27" s="80"/>
      <c r="O27" s="80"/>
      <c r="P27" s="80"/>
      <c r="Q27" s="80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8" t="s">
        <v>779</v>
      </c>
      <c r="AK27" s="148"/>
      <c r="AL27" s="70"/>
      <c r="AM27" s="70"/>
      <c r="AN27" s="70"/>
      <c r="AO27" s="70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8"/>
      <c r="AK28" s="148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8"/>
      <c r="AK29" s="148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8"/>
      <c r="AK30" s="148"/>
    </row>
    <row r="31" spans="1:41" ht="18" customHeight="1" thickBot="1">
      <c r="S31" s="80" t="s">
        <v>383</v>
      </c>
      <c r="T31" s="80"/>
      <c r="U31" s="80"/>
      <c r="V31" s="80"/>
      <c r="W31" s="80"/>
      <c r="X31" s="80"/>
      <c r="Y31" s="80"/>
      <c r="Z31" s="80"/>
      <c r="AJ31" s="148"/>
      <c r="AK31" s="148"/>
    </row>
    <row r="32" spans="1:41" ht="18.75" customHeight="1" thickTop="1" thickBot="1">
      <c r="A32" s="80" t="s">
        <v>378</v>
      </c>
      <c r="B32" s="80"/>
      <c r="C32" s="80"/>
      <c r="D32" s="80"/>
      <c r="E32" s="80"/>
      <c r="F32" s="80"/>
      <c r="G32" s="80"/>
      <c r="H32" s="80"/>
      <c r="J32" s="80" t="s">
        <v>380</v>
      </c>
      <c r="K32" s="80"/>
      <c r="L32" s="80"/>
      <c r="M32" s="80"/>
      <c r="N32" s="80"/>
      <c r="O32" s="80"/>
      <c r="P32" s="80"/>
      <c r="Q32" s="80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0" t="s">
        <v>385</v>
      </c>
      <c r="AC32" s="80"/>
      <c r="AD32" s="80"/>
      <c r="AE32" s="80"/>
      <c r="AF32" s="80"/>
      <c r="AG32" s="80"/>
      <c r="AH32" s="80"/>
      <c r="AI32" s="80"/>
      <c r="AJ32" s="148"/>
      <c r="AK32" s="148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8"/>
      <c r="AK33" s="148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6" t="s">
        <v>615</v>
      </c>
      <c r="AK34" s="147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7"/>
      <c r="AK35" s="147"/>
    </row>
    <row r="36" spans="1:37" ht="15" customHeight="1">
      <c r="AJ36" s="147"/>
      <c r="AK36" s="147"/>
    </row>
    <row r="37" spans="1:37" ht="18" customHeight="1" thickBot="1">
      <c r="A37" s="80" t="s">
        <v>387</v>
      </c>
      <c r="B37" s="80"/>
      <c r="C37" s="80"/>
      <c r="D37" s="80"/>
      <c r="E37" s="80"/>
      <c r="F37" s="80"/>
      <c r="G37" s="80"/>
      <c r="H37" s="80"/>
      <c r="J37" s="80" t="s">
        <v>389</v>
      </c>
      <c r="K37" s="80"/>
      <c r="L37" s="80"/>
      <c r="M37" s="80"/>
      <c r="N37" s="80"/>
      <c r="O37" s="80"/>
      <c r="P37" s="80"/>
      <c r="Q37" s="80"/>
      <c r="S37" s="145" t="s">
        <v>396</v>
      </c>
      <c r="T37" s="145"/>
      <c r="U37" s="145"/>
      <c r="V37" s="145"/>
      <c r="W37" s="145"/>
      <c r="X37" s="145"/>
      <c r="Y37" s="145"/>
      <c r="Z37" s="145"/>
      <c r="AB37" s="80" t="s">
        <v>393</v>
      </c>
      <c r="AC37" s="80"/>
      <c r="AD37" s="80"/>
      <c r="AE37" s="80"/>
      <c r="AF37" s="80"/>
      <c r="AG37" s="80"/>
      <c r="AH37" s="80"/>
      <c r="AI37" s="80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0" t="s">
        <v>397</v>
      </c>
      <c r="B43" s="80"/>
      <c r="C43" s="80"/>
      <c r="D43" s="80"/>
      <c r="E43" s="80"/>
      <c r="F43" s="80"/>
      <c r="G43" s="80"/>
      <c r="H43" s="80"/>
      <c r="J43" s="80" t="s">
        <v>126</v>
      </c>
      <c r="K43" s="80"/>
      <c r="L43" s="80"/>
      <c r="M43" s="80"/>
      <c r="N43" s="80"/>
      <c r="O43" s="80"/>
      <c r="P43" s="80"/>
      <c r="Q43" s="80"/>
      <c r="S43" s="80" t="s">
        <v>398</v>
      </c>
      <c r="T43" s="80"/>
      <c r="U43" s="80"/>
      <c r="V43" s="80"/>
      <c r="W43" s="80"/>
      <c r="X43" s="80"/>
      <c r="Y43" s="80"/>
      <c r="Z43" s="80"/>
      <c r="AA43" s="68"/>
      <c r="AB43" s="80" t="s">
        <v>399</v>
      </c>
      <c r="AC43" s="80"/>
      <c r="AD43" s="80"/>
      <c r="AE43" s="80"/>
      <c r="AF43" s="80"/>
      <c r="AG43" s="80"/>
      <c r="AH43" s="80"/>
      <c r="AI43" s="80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0" t="s">
        <v>400</v>
      </c>
      <c r="K48" s="80"/>
      <c r="L48" s="80"/>
      <c r="M48" s="80"/>
      <c r="N48" s="80"/>
      <c r="O48" s="80"/>
      <c r="P48" s="80"/>
      <c r="Q48" s="80"/>
      <c r="S48" s="80" t="s">
        <v>402</v>
      </c>
      <c r="T48" s="80"/>
      <c r="U48" s="80"/>
      <c r="V48" s="80"/>
      <c r="W48" s="80"/>
      <c r="X48" s="80"/>
      <c r="Y48" s="80"/>
      <c r="Z48" s="80"/>
      <c r="AB48" s="80" t="s">
        <v>404</v>
      </c>
      <c r="AC48" s="80"/>
      <c r="AD48" s="80"/>
      <c r="AE48" s="80"/>
      <c r="AF48" s="80"/>
      <c r="AG48" s="80"/>
      <c r="AH48" s="80"/>
      <c r="AI48" s="80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0" t="s">
        <v>88</v>
      </c>
      <c r="B53" s="80"/>
      <c r="C53" s="80"/>
      <c r="D53" s="80"/>
      <c r="E53" s="80"/>
      <c r="F53" s="80"/>
      <c r="G53" s="80"/>
      <c r="H53" s="80"/>
      <c r="J53" s="80" t="s">
        <v>406</v>
      </c>
      <c r="K53" s="80"/>
      <c r="L53" s="80"/>
      <c r="M53" s="80"/>
      <c r="N53" s="80"/>
      <c r="O53" s="80"/>
      <c r="P53" s="80"/>
      <c r="Q53" s="80"/>
      <c r="S53" s="80" t="s">
        <v>90</v>
      </c>
      <c r="T53" s="80"/>
      <c r="U53" s="80"/>
      <c r="V53" s="80"/>
      <c r="W53" s="80"/>
      <c r="X53" s="80"/>
      <c r="Y53" s="80"/>
      <c r="Z53" s="80"/>
      <c r="AB53" s="80" t="s">
        <v>411</v>
      </c>
      <c r="AC53" s="80"/>
      <c r="AD53" s="80"/>
      <c r="AE53" s="80"/>
      <c r="AF53" s="80"/>
      <c r="AG53" s="80"/>
      <c r="AH53" s="80"/>
      <c r="AI53" s="80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0" t="s">
        <v>407</v>
      </c>
      <c r="B58" s="80"/>
      <c r="C58" s="80"/>
      <c r="D58" s="80"/>
      <c r="E58" s="80"/>
      <c r="F58" s="80"/>
      <c r="G58" s="80"/>
      <c r="H58" s="80"/>
      <c r="J58" s="80" t="s">
        <v>408</v>
      </c>
      <c r="K58" s="80"/>
      <c r="L58" s="80"/>
      <c r="M58" s="80"/>
      <c r="N58" s="80"/>
      <c r="O58" s="80"/>
      <c r="P58" s="80"/>
      <c r="Q58" s="80"/>
      <c r="S58" s="80" t="s">
        <v>128</v>
      </c>
      <c r="T58" s="80"/>
      <c r="U58" s="80"/>
      <c r="V58" s="80"/>
      <c r="W58" s="80"/>
      <c r="X58" s="80"/>
      <c r="Y58" s="80"/>
      <c r="Z58" s="80"/>
      <c r="AB58" s="80" t="s">
        <v>413</v>
      </c>
      <c r="AC58" s="80"/>
      <c r="AD58" s="80"/>
      <c r="AE58" s="80"/>
      <c r="AF58" s="80"/>
      <c r="AG58" s="80"/>
      <c r="AH58" s="80"/>
      <c r="AI58" s="80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0" t="s">
        <v>144</v>
      </c>
      <c r="B65" s="80"/>
      <c r="C65" s="80"/>
      <c r="D65" s="80"/>
      <c r="E65" s="80"/>
      <c r="F65" s="80"/>
      <c r="G65" s="80"/>
      <c r="H65" s="80"/>
      <c r="J65" s="80" t="s">
        <v>420</v>
      </c>
      <c r="K65" s="80"/>
      <c r="L65" s="80"/>
      <c r="M65" s="80"/>
      <c r="N65" s="80"/>
      <c r="O65" s="80"/>
      <c r="P65" s="80"/>
      <c r="Q65" s="80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S37:Z37"/>
    <mergeCell ref="AB37:AI37"/>
    <mergeCell ref="S31:Z31"/>
    <mergeCell ref="AB32:AI32"/>
    <mergeCell ref="J22:Q22"/>
    <mergeCell ref="S22:Z22"/>
    <mergeCell ref="AB22:AI22"/>
    <mergeCell ref="A37:H37"/>
    <mergeCell ref="J27:Q27"/>
    <mergeCell ref="A27:H27"/>
    <mergeCell ref="A32:H32"/>
    <mergeCell ref="J32:Q32"/>
    <mergeCell ref="J37:Q37"/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117" zoomScaleNormal="85" workbookViewId="0">
      <selection activeCell="B4" sqref="B4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8" t="s">
        <v>86</v>
      </c>
      <c r="B1" s="79"/>
      <c r="D1" s="149" t="s">
        <v>426</v>
      </c>
      <c r="E1" s="149"/>
      <c r="F1" s="149"/>
      <c r="G1" s="149"/>
      <c r="H1" s="149"/>
      <c r="I1" s="149"/>
      <c r="J1" s="149"/>
      <c r="K1" s="149"/>
      <c r="M1" s="149" t="s">
        <v>467</v>
      </c>
      <c r="N1" s="149"/>
      <c r="O1" s="149"/>
      <c r="P1" s="149"/>
      <c r="Q1" s="149"/>
      <c r="R1" s="149"/>
      <c r="S1" s="149"/>
      <c r="T1" s="149"/>
      <c r="V1" s="149" t="s">
        <v>469</v>
      </c>
      <c r="W1" s="149"/>
      <c r="X1" s="149"/>
      <c r="Y1" s="149"/>
      <c r="Z1" s="149"/>
      <c r="AA1" s="149"/>
      <c r="AB1" s="149"/>
      <c r="AC1" s="149"/>
      <c r="AE1" s="149" t="s">
        <v>472</v>
      </c>
      <c r="AF1" s="149"/>
      <c r="AG1" s="149"/>
      <c r="AH1" s="149"/>
      <c r="AI1" s="149"/>
      <c r="AJ1" s="149"/>
      <c r="AK1" s="149"/>
      <c r="AL1" s="149"/>
      <c r="AN1" s="149" t="s">
        <v>476</v>
      </c>
      <c r="AO1" s="149"/>
      <c r="AP1" s="149"/>
      <c r="AQ1" s="149"/>
      <c r="AR1" s="149"/>
      <c r="AS1" s="149"/>
      <c r="AT1" s="149"/>
      <c r="AU1" s="149"/>
      <c r="AW1" s="149" t="s">
        <v>479</v>
      </c>
      <c r="AX1" s="149"/>
      <c r="AY1" s="149"/>
      <c r="AZ1" s="149"/>
      <c r="BA1" s="149"/>
      <c r="BB1" s="149"/>
      <c r="BC1" s="149"/>
      <c r="BD1" s="149"/>
      <c r="BF1" s="149" t="s">
        <v>485</v>
      </c>
      <c r="BG1" s="149"/>
      <c r="BH1" s="149"/>
      <c r="BI1" s="149"/>
      <c r="BJ1" s="149"/>
      <c r="BK1" s="149"/>
      <c r="BL1" s="149"/>
      <c r="BM1" s="149"/>
      <c r="BO1" s="149" t="s">
        <v>489</v>
      </c>
      <c r="BP1" s="149"/>
      <c r="BQ1" s="149"/>
      <c r="BR1" s="149"/>
      <c r="BS1" s="149"/>
      <c r="BT1" s="149"/>
      <c r="BU1" s="149"/>
      <c r="BV1" s="149"/>
      <c r="BX1" s="149" t="s">
        <v>493</v>
      </c>
      <c r="BY1" s="149"/>
      <c r="BZ1" s="149"/>
      <c r="CA1" s="149"/>
      <c r="CB1" s="149"/>
      <c r="CC1" s="149"/>
      <c r="CD1" s="149"/>
      <c r="CE1" s="149"/>
      <c r="CG1" s="149" t="s">
        <v>497</v>
      </c>
      <c r="CH1" s="149"/>
      <c r="CI1" s="149"/>
      <c r="CJ1" s="149"/>
      <c r="CK1" s="149"/>
      <c r="CL1" s="149"/>
      <c r="CM1" s="149"/>
      <c r="CN1" s="149"/>
      <c r="CP1" s="149" t="s">
        <v>500</v>
      </c>
      <c r="CQ1" s="149"/>
      <c r="CR1" s="149"/>
      <c r="CS1" s="149"/>
      <c r="CT1" s="149"/>
      <c r="CU1" s="149"/>
      <c r="CV1" s="149"/>
      <c r="CW1" s="149"/>
      <c r="CY1" s="149" t="s">
        <v>504</v>
      </c>
      <c r="CZ1" s="149"/>
      <c r="DA1" s="149"/>
      <c r="DB1" s="149"/>
      <c r="DC1" s="149"/>
      <c r="DD1" s="149"/>
      <c r="DE1" s="149"/>
      <c r="DF1" s="149"/>
      <c r="DH1" s="149" t="s">
        <v>506</v>
      </c>
      <c r="DI1" s="149"/>
      <c r="DJ1" s="149"/>
      <c r="DK1" s="149"/>
      <c r="DL1" s="149"/>
      <c r="DM1" s="149"/>
      <c r="DN1" s="149"/>
      <c r="DO1" s="149"/>
      <c r="DQ1" s="149" t="s">
        <v>509</v>
      </c>
      <c r="DR1" s="149"/>
      <c r="DS1" s="149"/>
      <c r="DT1" s="149"/>
      <c r="DU1" s="149"/>
      <c r="DV1" s="149"/>
      <c r="DW1" s="149"/>
      <c r="DX1" s="149"/>
      <c r="DZ1" s="149" t="s">
        <v>512</v>
      </c>
      <c r="EA1" s="149"/>
      <c r="EB1" s="149"/>
      <c r="EC1" s="149"/>
      <c r="ED1" s="149"/>
      <c r="EE1" s="149"/>
      <c r="EF1" s="149"/>
      <c r="EG1" s="149"/>
    </row>
    <row r="2" spans="1:137" ht="15.75" thickTop="1">
      <c r="A2" s="1" t="s">
        <v>10</v>
      </c>
      <c r="B2" t="s">
        <v>92</v>
      </c>
      <c r="D2" s="156" t="s">
        <v>427</v>
      </c>
      <c r="E2" s="156"/>
      <c r="F2" s="156"/>
      <c r="G2" s="156"/>
      <c r="H2" s="156"/>
      <c r="I2" s="156"/>
      <c r="J2" s="156"/>
      <c r="K2" s="156"/>
      <c r="M2" s="156" t="s">
        <v>468</v>
      </c>
      <c r="N2" s="156"/>
      <c r="O2" s="156"/>
      <c r="P2" s="156"/>
      <c r="Q2" s="156"/>
      <c r="R2" s="156"/>
      <c r="S2" s="156"/>
      <c r="T2" s="156"/>
      <c r="V2" s="156" t="s">
        <v>470</v>
      </c>
      <c r="W2" s="156"/>
      <c r="X2" s="156"/>
      <c r="Y2" s="156"/>
      <c r="Z2" s="156"/>
      <c r="AA2" s="156"/>
      <c r="AB2" s="156"/>
      <c r="AC2" s="156"/>
      <c r="AE2" s="156" t="s">
        <v>473</v>
      </c>
      <c r="AF2" s="156"/>
      <c r="AG2" s="156"/>
      <c r="AH2" s="156"/>
      <c r="AI2" s="156"/>
      <c r="AJ2" s="156"/>
      <c r="AK2" s="156"/>
      <c r="AL2" s="156"/>
      <c r="AN2" s="156" t="s">
        <v>477</v>
      </c>
      <c r="AO2" s="156"/>
      <c r="AP2" s="156"/>
      <c r="AQ2" s="156"/>
      <c r="AR2" s="156"/>
      <c r="AS2" s="156"/>
      <c r="AT2" s="156"/>
      <c r="AU2" s="156"/>
      <c r="AW2" s="156" t="s">
        <v>480</v>
      </c>
      <c r="AX2" s="156"/>
      <c r="AY2" s="156"/>
      <c r="AZ2" s="156"/>
      <c r="BA2" s="156"/>
      <c r="BB2" s="156"/>
      <c r="BC2" s="156"/>
      <c r="BD2" s="156"/>
      <c r="BF2" s="156" t="s">
        <v>486</v>
      </c>
      <c r="BG2" s="156"/>
      <c r="BH2" s="156"/>
      <c r="BI2" s="156"/>
      <c r="BJ2" s="156"/>
      <c r="BK2" s="156"/>
      <c r="BL2" s="156"/>
      <c r="BM2" s="156"/>
      <c r="BO2" s="156" t="s">
        <v>490</v>
      </c>
      <c r="BP2" s="156"/>
      <c r="BQ2" s="156"/>
      <c r="BR2" s="156"/>
      <c r="BS2" s="156"/>
      <c r="BT2" s="156"/>
      <c r="BU2" s="156"/>
      <c r="BV2" s="156"/>
      <c r="BX2" s="150" t="s">
        <v>494</v>
      </c>
      <c r="BY2" s="151"/>
      <c r="BZ2" s="151"/>
      <c r="CA2" s="151"/>
      <c r="CB2" s="151"/>
      <c r="CC2" s="151"/>
      <c r="CD2" s="151"/>
      <c r="CE2" s="152"/>
      <c r="CG2" s="150" t="s">
        <v>498</v>
      </c>
      <c r="CH2" s="151"/>
      <c r="CI2" s="151"/>
      <c r="CJ2" s="151"/>
      <c r="CK2" s="151"/>
      <c r="CL2" s="151"/>
      <c r="CM2" s="151"/>
      <c r="CN2" s="152"/>
      <c r="CP2" s="150" t="s">
        <v>501</v>
      </c>
      <c r="CQ2" s="151"/>
      <c r="CR2" s="151"/>
      <c r="CS2" s="151"/>
      <c r="CT2" s="151"/>
      <c r="CU2" s="151"/>
      <c r="CV2" s="151"/>
      <c r="CW2" s="152"/>
      <c r="CY2" s="150" t="s">
        <v>505</v>
      </c>
      <c r="CZ2" s="151"/>
      <c r="DA2" s="151"/>
      <c r="DB2" s="151"/>
      <c r="DC2" s="151"/>
      <c r="DD2" s="151"/>
      <c r="DE2" s="151"/>
      <c r="DF2" s="152"/>
      <c r="DH2" s="150" t="s">
        <v>507</v>
      </c>
      <c r="DI2" s="151"/>
      <c r="DJ2" s="151"/>
      <c r="DK2" s="151"/>
      <c r="DL2" s="151"/>
      <c r="DM2" s="151"/>
      <c r="DN2" s="151"/>
      <c r="DO2" s="152"/>
      <c r="DQ2" s="150" t="s">
        <v>510</v>
      </c>
      <c r="DR2" s="151"/>
      <c r="DS2" s="151"/>
      <c r="DT2" s="151"/>
      <c r="DU2" s="151"/>
      <c r="DV2" s="151"/>
      <c r="DW2" s="151"/>
      <c r="DX2" s="152"/>
      <c r="DZ2" s="150" t="s">
        <v>513</v>
      </c>
      <c r="EA2" s="151"/>
      <c r="EB2" s="151"/>
      <c r="EC2" s="151"/>
      <c r="ED2" s="151"/>
      <c r="EE2" s="151"/>
      <c r="EF2" s="151"/>
      <c r="EG2" s="152"/>
    </row>
    <row r="3" spans="1:137">
      <c r="A3" s="144" t="str">
        <f>IF(COUNTA(BASE[Fecha])&gt;0,CONCATENATE(TEXT(MIN(BASE[Fecha]),"DD-MM-YYYY")," - ",TEXT(MAX(BASE[Fecha]),"DD-MM-YYYY"))," - ")</f>
        <v xml:space="preserve"> - </v>
      </c>
      <c r="B3" s="144"/>
      <c r="D3" s="157" t="s">
        <v>428</v>
      </c>
      <c r="E3" s="157"/>
      <c r="F3" s="157"/>
      <c r="G3" s="157"/>
      <c r="H3" s="157"/>
      <c r="I3" s="157"/>
      <c r="J3" s="157"/>
      <c r="K3" s="157"/>
      <c r="M3" s="157" t="s">
        <v>463</v>
      </c>
      <c r="N3" s="157"/>
      <c r="O3" s="157"/>
      <c r="P3" s="157"/>
      <c r="Q3" s="157"/>
      <c r="R3" s="157"/>
      <c r="S3" s="157"/>
      <c r="T3" s="157"/>
      <c r="V3" s="157" t="s">
        <v>471</v>
      </c>
      <c r="W3" s="157"/>
      <c r="X3" s="157"/>
      <c r="Y3" s="157"/>
      <c r="Z3" s="157"/>
      <c r="AA3" s="157"/>
      <c r="AB3" s="157"/>
      <c r="AC3" s="157"/>
      <c r="AE3" s="157" t="s">
        <v>474</v>
      </c>
      <c r="AF3" s="157"/>
      <c r="AG3" s="157"/>
      <c r="AH3" s="157"/>
      <c r="AI3" s="157"/>
      <c r="AJ3" s="157"/>
      <c r="AK3" s="157"/>
      <c r="AL3" s="157"/>
      <c r="AN3" s="157" t="s">
        <v>478</v>
      </c>
      <c r="AO3" s="157"/>
      <c r="AP3" s="157"/>
      <c r="AQ3" s="157"/>
      <c r="AR3" s="157"/>
      <c r="AS3" s="157"/>
      <c r="AT3" s="157"/>
      <c r="AU3" s="157"/>
      <c r="AW3" s="157" t="s">
        <v>481</v>
      </c>
      <c r="AX3" s="157"/>
      <c r="AY3" s="157"/>
      <c r="AZ3" s="157"/>
      <c r="BA3" s="157"/>
      <c r="BB3" s="157"/>
      <c r="BC3" s="157"/>
      <c r="BD3" s="157"/>
      <c r="BF3" s="157" t="s">
        <v>487</v>
      </c>
      <c r="BG3" s="157"/>
      <c r="BH3" s="157"/>
      <c r="BI3" s="157"/>
      <c r="BJ3" s="157"/>
      <c r="BK3" s="157"/>
      <c r="BL3" s="157"/>
      <c r="BM3" s="157"/>
      <c r="BO3" s="157" t="s">
        <v>491</v>
      </c>
      <c r="BP3" s="157"/>
      <c r="BQ3" s="157"/>
      <c r="BR3" s="157"/>
      <c r="BS3" s="157"/>
      <c r="BT3" s="157"/>
      <c r="BU3" s="157"/>
      <c r="BV3" s="157"/>
      <c r="BX3" s="153" t="s">
        <v>495</v>
      </c>
      <c r="BY3" s="154"/>
      <c r="BZ3" s="154"/>
      <c r="CA3" s="154"/>
      <c r="CB3" s="154"/>
      <c r="CC3" s="154"/>
      <c r="CD3" s="154"/>
      <c r="CE3" s="155"/>
      <c r="CG3" s="153" t="s">
        <v>499</v>
      </c>
      <c r="CH3" s="154"/>
      <c r="CI3" s="154"/>
      <c r="CJ3" s="154"/>
      <c r="CK3" s="154"/>
      <c r="CL3" s="154"/>
      <c r="CM3" s="154"/>
      <c r="CN3" s="155"/>
      <c r="CP3" s="153" t="s">
        <v>502</v>
      </c>
      <c r="CQ3" s="154"/>
      <c r="CR3" s="154"/>
      <c r="CS3" s="154"/>
      <c r="CT3" s="154"/>
      <c r="CU3" s="154"/>
      <c r="CV3" s="154"/>
      <c r="CW3" s="155"/>
      <c r="CY3" s="153" t="s">
        <v>505</v>
      </c>
      <c r="CZ3" s="154"/>
      <c r="DA3" s="154"/>
      <c r="DB3" s="154"/>
      <c r="DC3" s="154"/>
      <c r="DD3" s="154"/>
      <c r="DE3" s="154"/>
      <c r="DF3" s="155"/>
      <c r="DH3" s="153" t="s">
        <v>508</v>
      </c>
      <c r="DI3" s="154"/>
      <c r="DJ3" s="154"/>
      <c r="DK3" s="154"/>
      <c r="DL3" s="154"/>
      <c r="DM3" s="154"/>
      <c r="DN3" s="154"/>
      <c r="DO3" s="155"/>
      <c r="DQ3" s="153" t="s">
        <v>511</v>
      </c>
      <c r="DR3" s="154"/>
      <c r="DS3" s="154"/>
      <c r="DT3" s="154"/>
      <c r="DU3" s="154"/>
      <c r="DV3" s="154"/>
      <c r="DW3" s="154"/>
      <c r="DX3" s="155"/>
      <c r="DZ3" s="153" t="s">
        <v>145</v>
      </c>
      <c r="EA3" s="154"/>
      <c r="EB3" s="154"/>
      <c r="EC3" s="154"/>
      <c r="ED3" s="154"/>
      <c r="EE3" s="154"/>
      <c r="EF3" s="154"/>
      <c r="EG3" s="155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7" t="s">
        <v>142</v>
      </c>
      <c r="B5" s="147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7"/>
      <c r="B6" s="147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7" t="s">
        <v>530</v>
      </c>
      <c r="W6" s="157"/>
      <c r="X6" s="157"/>
      <c r="Y6" s="157"/>
      <c r="Z6" s="157"/>
      <c r="AA6" s="157"/>
      <c r="AB6" s="157"/>
      <c r="AC6" s="157"/>
      <c r="AE6" s="157" t="s">
        <v>556</v>
      </c>
      <c r="AF6" s="157"/>
      <c r="AG6" s="157"/>
      <c r="AH6" s="157"/>
      <c r="AI6" s="157"/>
      <c r="AJ6" s="157"/>
      <c r="AK6" s="157"/>
      <c r="AL6" s="157"/>
      <c r="AN6" s="156" t="s">
        <v>616</v>
      </c>
      <c r="AO6" s="156"/>
      <c r="AP6" s="156"/>
      <c r="AQ6" s="156"/>
      <c r="AR6" s="156"/>
      <c r="AS6" s="156"/>
      <c r="AT6" s="156"/>
      <c r="AU6" s="156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8" t="s">
        <v>648</v>
      </c>
      <c r="BG6" s="157"/>
      <c r="BH6" s="157"/>
      <c r="BI6" s="157"/>
      <c r="BJ6" s="157"/>
      <c r="BK6" s="157"/>
      <c r="BL6" s="157"/>
      <c r="BM6" s="157"/>
      <c r="BO6" s="158" t="s">
        <v>689</v>
      </c>
      <c r="BP6" s="157"/>
      <c r="BQ6" s="157"/>
      <c r="BR6" s="157"/>
      <c r="BS6" s="157"/>
      <c r="BT6" s="157"/>
      <c r="BU6" s="157"/>
      <c r="BV6" s="157"/>
      <c r="BX6" s="153" t="s">
        <v>711</v>
      </c>
      <c r="BY6" s="154"/>
      <c r="BZ6" s="154"/>
      <c r="CA6" s="154"/>
      <c r="CB6" s="154"/>
      <c r="CC6" s="154"/>
      <c r="CD6" s="154"/>
      <c r="CE6" s="155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53" t="s">
        <v>759</v>
      </c>
      <c r="CQ6" s="154"/>
      <c r="CR6" s="154"/>
      <c r="CS6" s="154"/>
      <c r="CT6" s="154"/>
      <c r="CU6" s="154"/>
      <c r="CV6" s="154"/>
      <c r="CW6" s="155"/>
      <c r="DH6" s="153" t="s">
        <v>763</v>
      </c>
      <c r="DI6" s="154"/>
      <c r="DJ6" s="154"/>
      <c r="DK6" s="154"/>
      <c r="DL6" s="154"/>
      <c r="DM6" s="154"/>
      <c r="DN6" s="154"/>
      <c r="DO6" s="155"/>
    </row>
    <row r="7" spans="1:137" ht="15" customHeight="1">
      <c r="A7" s="147"/>
      <c r="B7" s="147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7" t="s">
        <v>466</v>
      </c>
      <c r="N7" s="157"/>
      <c r="O7" s="157"/>
      <c r="P7" s="157"/>
      <c r="Q7" s="157"/>
      <c r="R7" s="157"/>
      <c r="S7" s="157"/>
      <c r="T7" s="157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7" t="s">
        <v>617</v>
      </c>
      <c r="AO7" s="157"/>
      <c r="AP7" s="157"/>
      <c r="AQ7" s="157"/>
      <c r="AR7" s="157"/>
      <c r="AS7" s="157"/>
      <c r="AT7" s="157"/>
      <c r="AU7" s="157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7"/>
      <c r="B8" s="147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7" t="s">
        <v>637</v>
      </c>
      <c r="AX8" s="157"/>
      <c r="AY8" s="157"/>
      <c r="AZ8" s="157"/>
      <c r="BA8" s="157"/>
      <c r="BB8" s="157"/>
      <c r="BC8" s="157"/>
      <c r="BD8" s="157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7"/>
      <c r="B9" s="147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7" t="s">
        <v>531</v>
      </c>
      <c r="W9" s="157"/>
      <c r="X9" s="157"/>
      <c r="Y9" s="157"/>
      <c r="Z9" s="157"/>
      <c r="AA9" s="157"/>
      <c r="AB9" s="157"/>
      <c r="AC9" s="157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8" t="s">
        <v>649</v>
      </c>
      <c r="BG9" s="157"/>
      <c r="BH9" s="157"/>
      <c r="BI9" s="157"/>
      <c r="BJ9" s="157"/>
      <c r="BK9" s="157"/>
      <c r="BL9" s="157"/>
      <c r="BM9" s="157"/>
      <c r="BO9" s="158" t="s">
        <v>691</v>
      </c>
      <c r="BP9" s="157"/>
      <c r="BQ9" s="157"/>
      <c r="BR9" s="157"/>
      <c r="BS9" s="157"/>
      <c r="BT9" s="157"/>
      <c r="BU9" s="157"/>
      <c r="BV9" s="157"/>
      <c r="BX9" s="153" t="s">
        <v>713</v>
      </c>
      <c r="BY9" s="154"/>
      <c r="BZ9" s="154"/>
      <c r="CA9" s="154"/>
      <c r="CB9" s="154"/>
      <c r="CC9" s="154"/>
      <c r="CD9" s="154"/>
      <c r="CE9" s="155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53" t="s">
        <v>761</v>
      </c>
      <c r="CQ9" s="154"/>
      <c r="CR9" s="154"/>
      <c r="CS9" s="154"/>
      <c r="CT9" s="154"/>
      <c r="CU9" s="154"/>
      <c r="CV9" s="154"/>
      <c r="CW9" s="155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7"/>
      <c r="B10" s="147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6" t="s">
        <v>559</v>
      </c>
      <c r="AF10" s="156"/>
      <c r="AG10" s="156"/>
      <c r="AH10" s="156"/>
      <c r="AI10" s="156"/>
      <c r="AJ10" s="156"/>
      <c r="AK10" s="156"/>
      <c r="AL10" s="156"/>
      <c r="AN10" s="157" t="s">
        <v>619</v>
      </c>
      <c r="AO10" s="157"/>
      <c r="AP10" s="157"/>
      <c r="AQ10" s="157"/>
      <c r="AR10" s="157"/>
      <c r="AS10" s="157"/>
      <c r="AT10" s="157"/>
      <c r="AU10" s="157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7"/>
      <c r="B11" s="147"/>
      <c r="D11" s="157" t="s">
        <v>438</v>
      </c>
      <c r="E11" s="157"/>
      <c r="F11" s="157"/>
      <c r="G11" s="157"/>
      <c r="H11" s="157"/>
      <c r="I11" s="157"/>
      <c r="J11" s="157"/>
      <c r="K11" s="157"/>
      <c r="M11" s="158" t="s">
        <v>515</v>
      </c>
      <c r="N11" s="157"/>
      <c r="O11" s="157"/>
      <c r="P11" s="157"/>
      <c r="Q11" s="157"/>
      <c r="R11" s="157"/>
      <c r="S11" s="157"/>
      <c r="T11" s="157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7" t="s">
        <v>560</v>
      </c>
      <c r="AF11" s="157"/>
      <c r="AG11" s="157"/>
      <c r="AH11" s="157"/>
      <c r="AI11" s="157"/>
      <c r="AJ11" s="157"/>
      <c r="AK11" s="157"/>
      <c r="AL11" s="157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7" t="s">
        <v>639</v>
      </c>
      <c r="AX11" s="157"/>
      <c r="AY11" s="157"/>
      <c r="AZ11" s="157"/>
      <c r="BA11" s="157"/>
      <c r="BB11" s="157"/>
      <c r="BC11" s="157"/>
      <c r="BD11" s="157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7"/>
      <c r="B12" s="147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8" t="s">
        <v>651</v>
      </c>
      <c r="BG12" s="157"/>
      <c r="BH12" s="157"/>
      <c r="BI12" s="157"/>
      <c r="BJ12" s="157"/>
      <c r="BK12" s="157"/>
      <c r="BL12" s="157"/>
      <c r="BM12" s="157"/>
      <c r="BO12" s="156" t="s">
        <v>693</v>
      </c>
      <c r="BP12" s="156"/>
      <c r="BQ12" s="156"/>
      <c r="BR12" s="156"/>
      <c r="BS12" s="156"/>
      <c r="BT12" s="156"/>
      <c r="BU12" s="156"/>
      <c r="BV12" s="156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7"/>
      <c r="B13" s="147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7" t="s">
        <v>623</v>
      </c>
      <c r="AO13" s="157"/>
      <c r="AP13" s="157"/>
      <c r="AQ13" s="157"/>
      <c r="AR13" s="157"/>
      <c r="AS13" s="157"/>
      <c r="AT13" s="157"/>
      <c r="AU13" s="157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8" t="s">
        <v>694</v>
      </c>
      <c r="BP13" s="157"/>
      <c r="BQ13" s="157"/>
      <c r="BR13" s="157"/>
      <c r="BS13" s="157"/>
      <c r="BT13" s="157"/>
      <c r="BU13" s="157"/>
      <c r="BV13" s="157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7"/>
      <c r="B14" s="147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8" t="s">
        <v>516</v>
      </c>
      <c r="N14" s="157"/>
      <c r="O14" s="157"/>
      <c r="P14" s="157"/>
      <c r="Q14" s="157"/>
      <c r="R14" s="157"/>
      <c r="S14" s="157"/>
      <c r="T14" s="157"/>
      <c r="V14" s="156" t="s">
        <v>533</v>
      </c>
      <c r="W14" s="156"/>
      <c r="X14" s="156"/>
      <c r="Y14" s="156"/>
      <c r="Z14" s="156"/>
      <c r="AA14" s="156"/>
      <c r="AB14" s="156"/>
      <c r="AC14" s="156"/>
      <c r="AE14" s="156" t="s">
        <v>561</v>
      </c>
      <c r="AF14" s="156"/>
      <c r="AG14" s="156"/>
      <c r="AH14" s="156"/>
      <c r="AI14" s="156"/>
      <c r="AJ14" s="156"/>
      <c r="AK14" s="156"/>
      <c r="AL14" s="156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7"/>
      <c r="B15" s="147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8" t="s">
        <v>532</v>
      </c>
      <c r="W15" s="157"/>
      <c r="X15" s="157"/>
      <c r="Y15" s="157"/>
      <c r="Z15" s="157"/>
      <c r="AA15" s="157"/>
      <c r="AB15" s="157"/>
      <c r="AC15" s="157"/>
      <c r="AE15" s="157" t="s">
        <v>562</v>
      </c>
      <c r="AF15" s="157"/>
      <c r="AG15" s="157"/>
      <c r="AH15" s="157"/>
      <c r="AI15" s="157"/>
      <c r="AJ15" s="157"/>
      <c r="AK15" s="157"/>
      <c r="AL15" s="157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6" t="s">
        <v>653</v>
      </c>
      <c r="BG15" s="156"/>
      <c r="BH15" s="156"/>
      <c r="BI15" s="156"/>
      <c r="BJ15" s="156"/>
      <c r="BK15" s="156"/>
      <c r="BL15" s="156"/>
      <c r="BM15" s="156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7"/>
      <c r="B16" s="147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7" t="s">
        <v>654</v>
      </c>
      <c r="BG16" s="157"/>
      <c r="BH16" s="157"/>
      <c r="BI16" s="157"/>
      <c r="BJ16" s="157"/>
      <c r="BK16" s="157"/>
      <c r="BL16" s="157"/>
      <c r="BM16" s="157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7"/>
      <c r="B17" s="147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8" t="s">
        <v>518</v>
      </c>
      <c r="N17" s="157"/>
      <c r="O17" s="157"/>
      <c r="P17" s="157"/>
      <c r="Q17" s="157"/>
      <c r="R17" s="157"/>
      <c r="S17" s="157"/>
      <c r="T17" s="157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7"/>
      <c r="B18" s="147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8" t="s">
        <v>534</v>
      </c>
      <c r="W18" s="157"/>
      <c r="X18" s="157"/>
      <c r="Y18" s="157"/>
      <c r="Z18" s="157"/>
      <c r="AA18" s="157"/>
      <c r="AB18" s="157"/>
      <c r="AC18" s="157"/>
      <c r="AE18" s="157" t="s">
        <v>564</v>
      </c>
      <c r="AF18" s="157"/>
      <c r="AG18" s="157"/>
      <c r="AH18" s="157"/>
      <c r="AI18" s="157"/>
      <c r="AJ18" s="157"/>
      <c r="AK18" s="157"/>
      <c r="AL18" s="157"/>
      <c r="AN18" s="156" t="s">
        <v>624</v>
      </c>
      <c r="AO18" s="156"/>
      <c r="AP18" s="156"/>
      <c r="AQ18" s="156"/>
      <c r="AR18" s="156"/>
      <c r="AS18" s="156"/>
      <c r="AT18" s="156"/>
      <c r="AU18" s="156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7"/>
      <c r="B19" s="147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7" t="s">
        <v>556</v>
      </c>
      <c r="AO19" s="157"/>
      <c r="AP19" s="157"/>
      <c r="AQ19" s="157"/>
      <c r="AR19" s="157"/>
      <c r="AS19" s="157"/>
      <c r="AT19" s="157"/>
      <c r="AU19" s="157"/>
      <c r="AW19" s="157" t="s">
        <v>646</v>
      </c>
      <c r="AX19" s="157"/>
      <c r="AY19" s="157"/>
      <c r="AZ19" s="157"/>
      <c r="BA19" s="157"/>
      <c r="BB19" s="157"/>
      <c r="BC19" s="157"/>
      <c r="BD19" s="157"/>
      <c r="BF19" s="157" t="s">
        <v>655</v>
      </c>
      <c r="BG19" s="157"/>
      <c r="BH19" s="157"/>
      <c r="BI19" s="157"/>
      <c r="BJ19" s="157"/>
      <c r="BK19" s="157"/>
      <c r="BL19" s="157"/>
      <c r="BM19" s="157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8" t="s">
        <v>774</v>
      </c>
      <c r="DI19" s="157"/>
      <c r="DJ19" s="157"/>
      <c r="DK19" s="157"/>
      <c r="DL19" s="157"/>
      <c r="DM19" s="157"/>
      <c r="DN19" s="157"/>
      <c r="DO19" s="157"/>
    </row>
    <row r="20" spans="1:119" ht="15" customHeight="1">
      <c r="A20" s="147"/>
      <c r="B20" s="147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8" t="s">
        <v>519</v>
      </c>
      <c r="N20" s="157"/>
      <c r="O20" s="157"/>
      <c r="P20" s="157"/>
      <c r="Q20" s="157"/>
      <c r="R20" s="157"/>
      <c r="S20" s="157"/>
      <c r="T20" s="157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53" t="s">
        <v>730</v>
      </c>
      <c r="CH20" s="154"/>
      <c r="CI20" s="154"/>
      <c r="CJ20" s="154"/>
      <c r="CK20" s="154"/>
      <c r="CL20" s="154"/>
      <c r="CM20" s="154"/>
      <c r="CN20" s="155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7"/>
      <c r="B21" s="147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7" t="s">
        <v>566</v>
      </c>
      <c r="AF21" s="157"/>
      <c r="AG21" s="157"/>
      <c r="AH21" s="157"/>
      <c r="AI21" s="157"/>
      <c r="AJ21" s="157"/>
      <c r="AK21" s="157"/>
      <c r="AL21" s="157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7"/>
      <c r="B22" s="147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6" t="s">
        <v>657</v>
      </c>
      <c r="BG22" s="156"/>
      <c r="BH22" s="156"/>
      <c r="BI22" s="156"/>
      <c r="BJ22" s="156"/>
      <c r="BK22" s="156"/>
      <c r="BL22" s="156"/>
      <c r="BM22" s="156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53" t="s">
        <v>776</v>
      </c>
      <c r="DI22" s="154"/>
      <c r="DJ22" s="154"/>
      <c r="DK22" s="154"/>
      <c r="DL22" s="154"/>
      <c r="DM22" s="154"/>
      <c r="DN22" s="154"/>
      <c r="DO22" s="155"/>
    </row>
    <row r="23" spans="1:119" ht="15" customHeight="1">
      <c r="A23" s="147"/>
      <c r="B23" s="147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8" t="s">
        <v>523</v>
      </c>
      <c r="N23" s="157"/>
      <c r="O23" s="157"/>
      <c r="P23" s="157"/>
      <c r="Q23" s="157"/>
      <c r="R23" s="157"/>
      <c r="S23" s="157"/>
      <c r="T23" s="157"/>
      <c r="V23" s="158" t="s">
        <v>535</v>
      </c>
      <c r="W23" s="157"/>
      <c r="X23" s="157"/>
      <c r="Y23" s="157"/>
      <c r="Z23" s="157"/>
      <c r="AA23" s="157"/>
      <c r="AB23" s="157"/>
      <c r="AC23" s="157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7" t="s">
        <v>625</v>
      </c>
      <c r="AO23" s="157"/>
      <c r="AP23" s="157"/>
      <c r="AQ23" s="157"/>
      <c r="AR23" s="157"/>
      <c r="AS23" s="157"/>
      <c r="AT23" s="157"/>
      <c r="AU23" s="157"/>
      <c r="BF23" s="157" t="s">
        <v>660</v>
      </c>
      <c r="BG23" s="157"/>
      <c r="BH23" s="157"/>
      <c r="BI23" s="157"/>
      <c r="BJ23" s="157"/>
      <c r="BK23" s="157"/>
      <c r="BL23" s="157"/>
      <c r="BM23" s="157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7"/>
      <c r="B24" s="147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7" t="s">
        <v>569</v>
      </c>
      <c r="AF24" s="157"/>
      <c r="AG24" s="157"/>
      <c r="AH24" s="157"/>
      <c r="AI24" s="157"/>
      <c r="AJ24" s="157"/>
      <c r="AK24" s="157"/>
      <c r="AL24" s="157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7"/>
      <c r="B25" s="147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8" t="s">
        <v>695</v>
      </c>
      <c r="BP25" s="157"/>
      <c r="BQ25" s="157"/>
      <c r="BR25" s="157"/>
      <c r="BS25" s="157"/>
      <c r="BT25" s="157"/>
      <c r="BU25" s="157"/>
      <c r="BV25" s="157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7"/>
      <c r="B26" s="147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6" t="s">
        <v>626</v>
      </c>
      <c r="AO26" s="156"/>
      <c r="AP26" s="156"/>
      <c r="AQ26" s="156"/>
      <c r="AR26" s="156"/>
      <c r="AS26" s="156"/>
      <c r="AT26" s="156"/>
      <c r="AU26" s="156"/>
      <c r="BF26" s="157" t="s">
        <v>659</v>
      </c>
      <c r="BG26" s="157"/>
      <c r="BH26" s="157"/>
      <c r="BI26" s="157"/>
      <c r="BJ26" s="157"/>
      <c r="BK26" s="157"/>
      <c r="BL26" s="157"/>
      <c r="BM26" s="157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6" t="s">
        <v>172</v>
      </c>
      <c r="AF27" s="156"/>
      <c r="AG27" s="156"/>
      <c r="AH27" s="156"/>
      <c r="AI27" s="156"/>
      <c r="AJ27" s="156"/>
      <c r="AK27" s="156"/>
      <c r="AL27" s="156"/>
      <c r="AN27" s="157" t="s">
        <v>556</v>
      </c>
      <c r="AO27" s="157"/>
      <c r="AP27" s="157"/>
      <c r="AQ27" s="157"/>
      <c r="AR27" s="157"/>
      <c r="AS27" s="157"/>
      <c r="AT27" s="157"/>
      <c r="AU27" s="157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7" t="s">
        <v>778</v>
      </c>
      <c r="B28" s="147"/>
      <c r="D28" s="157" t="s">
        <v>437</v>
      </c>
      <c r="E28" s="157"/>
      <c r="F28" s="157"/>
      <c r="G28" s="157"/>
      <c r="H28" s="157"/>
      <c r="I28" s="157"/>
      <c r="J28" s="157"/>
      <c r="K28" s="157"/>
      <c r="M28" s="158" t="s">
        <v>524</v>
      </c>
      <c r="N28" s="157"/>
      <c r="O28" s="157"/>
      <c r="P28" s="157"/>
      <c r="Q28" s="157"/>
      <c r="R28" s="157"/>
      <c r="S28" s="157"/>
      <c r="T28" s="157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8" t="s">
        <v>571</v>
      </c>
      <c r="AF28" s="157"/>
      <c r="AG28" s="157"/>
      <c r="AH28" s="157"/>
      <c r="AI28" s="157"/>
      <c r="AJ28" s="157"/>
      <c r="AK28" s="157"/>
      <c r="AL28" s="157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7"/>
      <c r="B29" s="147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7" t="s">
        <v>665</v>
      </c>
      <c r="BG29" s="157"/>
      <c r="BH29" s="157"/>
      <c r="BI29" s="157"/>
      <c r="BJ29" s="157"/>
      <c r="BK29" s="157"/>
      <c r="BL29" s="157"/>
      <c r="BM29" s="157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53" t="s">
        <v>731</v>
      </c>
      <c r="CH29" s="154"/>
      <c r="CI29" s="154"/>
      <c r="CJ29" s="154"/>
      <c r="CK29" s="154"/>
      <c r="CL29" s="154"/>
      <c r="CM29" s="154"/>
      <c r="CN29" s="155"/>
    </row>
    <row r="30" spans="1:119" ht="15" customHeight="1">
      <c r="A30" s="147"/>
      <c r="B30" s="147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8" t="s">
        <v>536</v>
      </c>
      <c r="W30" s="157"/>
      <c r="X30" s="157"/>
      <c r="Y30" s="157"/>
      <c r="Z30" s="157"/>
      <c r="AA30" s="157"/>
      <c r="AB30" s="157"/>
      <c r="AC30" s="157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7"/>
      <c r="B31" s="147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7" t="s">
        <v>572</v>
      </c>
      <c r="AF31" s="157"/>
      <c r="AG31" s="157"/>
      <c r="AH31" s="157"/>
      <c r="AI31" s="157"/>
      <c r="AJ31" s="157"/>
      <c r="AK31" s="157"/>
      <c r="AL31" s="157"/>
      <c r="AN31" s="157" t="s">
        <v>627</v>
      </c>
      <c r="AO31" s="157"/>
      <c r="AP31" s="157"/>
      <c r="AQ31" s="157"/>
      <c r="AR31" s="157"/>
      <c r="AS31" s="157"/>
      <c r="AT31" s="157"/>
      <c r="AU31" s="157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7"/>
      <c r="B32" s="147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53" t="s">
        <v>738</v>
      </c>
      <c r="CH32" s="154"/>
      <c r="CI32" s="154"/>
      <c r="CJ32" s="154"/>
      <c r="CK32" s="154"/>
      <c r="CL32" s="154"/>
      <c r="CM32" s="154"/>
      <c r="CN32" s="155"/>
    </row>
    <row r="33" spans="1:92" ht="15" customHeight="1">
      <c r="A33" s="147"/>
      <c r="B33" s="147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6" t="s">
        <v>537</v>
      </c>
      <c r="W33" s="156"/>
      <c r="X33" s="156"/>
      <c r="Y33" s="156"/>
      <c r="Z33" s="156"/>
      <c r="AA33" s="156"/>
      <c r="AB33" s="156"/>
      <c r="AC33" s="156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7"/>
      <c r="B34" s="147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8" t="s">
        <v>528</v>
      </c>
      <c r="N34" s="157"/>
      <c r="O34" s="157"/>
      <c r="P34" s="157"/>
      <c r="Q34" s="157"/>
      <c r="R34" s="157"/>
      <c r="S34" s="157"/>
      <c r="T34" s="157"/>
      <c r="V34" s="158" t="s">
        <v>538</v>
      </c>
      <c r="W34" s="157"/>
      <c r="X34" s="157"/>
      <c r="Y34" s="157"/>
      <c r="Z34" s="157"/>
      <c r="AA34" s="157"/>
      <c r="AB34" s="157"/>
      <c r="AC34" s="157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7" t="s">
        <v>625</v>
      </c>
      <c r="AO34" s="157"/>
      <c r="AP34" s="157"/>
      <c r="AQ34" s="157"/>
      <c r="AR34" s="157"/>
      <c r="AS34" s="157"/>
      <c r="AT34" s="157"/>
      <c r="AU34" s="157"/>
      <c r="BF34" s="158" t="s">
        <v>666</v>
      </c>
      <c r="BG34" s="157"/>
      <c r="BH34" s="157"/>
      <c r="BI34" s="157"/>
      <c r="BJ34" s="157"/>
      <c r="BK34" s="157"/>
      <c r="BL34" s="157"/>
      <c r="BM34" s="157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6" t="s">
        <v>614</v>
      </c>
      <c r="B35" s="147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7"/>
      <c r="B36" s="147"/>
      <c r="D36" s="157" t="s">
        <v>439</v>
      </c>
      <c r="E36" s="157"/>
      <c r="F36" s="157"/>
      <c r="G36" s="157"/>
      <c r="H36" s="157"/>
      <c r="I36" s="157"/>
      <c r="J36" s="157"/>
      <c r="K36" s="157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6" t="s">
        <v>573</v>
      </c>
      <c r="AF36" s="156"/>
      <c r="AG36" s="156"/>
      <c r="AH36" s="156"/>
      <c r="AI36" s="156"/>
      <c r="AJ36" s="156"/>
      <c r="AK36" s="156"/>
      <c r="AL36" s="156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7"/>
      <c r="B37" s="147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8" t="s">
        <v>539</v>
      </c>
      <c r="W37" s="157"/>
      <c r="X37" s="157"/>
      <c r="Y37" s="157"/>
      <c r="Z37" s="157"/>
      <c r="AA37" s="157"/>
      <c r="AB37" s="157"/>
      <c r="AC37" s="157"/>
      <c r="AE37" s="157" t="s">
        <v>574</v>
      </c>
      <c r="AF37" s="157"/>
      <c r="AG37" s="157"/>
      <c r="AH37" s="157"/>
      <c r="AI37" s="157"/>
      <c r="AJ37" s="157"/>
      <c r="AK37" s="157"/>
      <c r="AL37" s="157"/>
      <c r="AN37" s="156" t="s">
        <v>628</v>
      </c>
      <c r="AO37" s="156"/>
      <c r="AP37" s="156"/>
      <c r="AQ37" s="156"/>
      <c r="AR37" s="156"/>
      <c r="AS37" s="156"/>
      <c r="AT37" s="156"/>
      <c r="AU37" s="156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7"/>
      <c r="B38" s="147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7" t="s">
        <v>629</v>
      </c>
      <c r="AO38" s="157"/>
      <c r="AP38" s="157"/>
      <c r="AQ38" s="157"/>
      <c r="AR38" s="157"/>
      <c r="AS38" s="157"/>
      <c r="AT38" s="157"/>
      <c r="AU38" s="157"/>
      <c r="BF38" s="158" t="s">
        <v>669</v>
      </c>
      <c r="BG38" s="157"/>
      <c r="BH38" s="157"/>
      <c r="BI38" s="157"/>
      <c r="BJ38" s="157"/>
      <c r="BK38" s="157"/>
      <c r="BL38" s="157"/>
      <c r="BM38" s="157"/>
      <c r="BO38" s="156" t="s">
        <v>178</v>
      </c>
      <c r="BP38" s="156"/>
      <c r="BQ38" s="156"/>
      <c r="BR38" s="156"/>
      <c r="BS38" s="156"/>
      <c r="BT38" s="156"/>
      <c r="BU38" s="156"/>
      <c r="BV38" s="156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7" t="s">
        <v>440</v>
      </c>
      <c r="E39" s="157"/>
      <c r="F39" s="157"/>
      <c r="G39" s="157"/>
      <c r="H39" s="157"/>
      <c r="I39" s="157"/>
      <c r="J39" s="157"/>
      <c r="K39" s="157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7" t="s">
        <v>696</v>
      </c>
      <c r="BP39" s="157"/>
      <c r="BQ39" s="157"/>
      <c r="BR39" s="157"/>
      <c r="BS39" s="157"/>
      <c r="BT39" s="157"/>
      <c r="BU39" s="157"/>
      <c r="BV39" s="157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7" t="s">
        <v>577</v>
      </c>
      <c r="AF41" s="157"/>
      <c r="AG41" s="157"/>
      <c r="AH41" s="157"/>
      <c r="AI41" s="157"/>
      <c r="AJ41" s="157"/>
      <c r="AK41" s="157"/>
      <c r="AL41" s="157"/>
      <c r="AN41" s="157" t="s">
        <v>631</v>
      </c>
      <c r="AO41" s="157"/>
      <c r="AP41" s="157"/>
      <c r="AQ41" s="157"/>
      <c r="AR41" s="157"/>
      <c r="AS41" s="157"/>
      <c r="AT41" s="157"/>
      <c r="AU41" s="157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7" t="s">
        <v>442</v>
      </c>
      <c r="E42" s="157"/>
      <c r="F42" s="157"/>
      <c r="G42" s="157"/>
      <c r="H42" s="157"/>
      <c r="I42" s="157"/>
      <c r="J42" s="157"/>
      <c r="K42" s="157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7" t="s">
        <v>672</v>
      </c>
      <c r="BG42" s="157"/>
      <c r="BH42" s="157"/>
      <c r="BI42" s="157"/>
      <c r="BJ42" s="157"/>
      <c r="BK42" s="157"/>
      <c r="BL42" s="157"/>
      <c r="BM42" s="157"/>
      <c r="BO42" s="156" t="s">
        <v>697</v>
      </c>
      <c r="BP42" s="156"/>
      <c r="BQ42" s="156"/>
      <c r="BR42" s="156"/>
      <c r="BS42" s="156"/>
      <c r="BT42" s="156"/>
      <c r="BU42" s="156"/>
      <c r="BV42" s="156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7" t="s">
        <v>698</v>
      </c>
      <c r="BP43" s="157"/>
      <c r="BQ43" s="157"/>
      <c r="BR43" s="157"/>
      <c r="BS43" s="157"/>
      <c r="BT43" s="157"/>
      <c r="BU43" s="157"/>
      <c r="BV43" s="157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6" t="s">
        <v>540</v>
      </c>
      <c r="W44" s="156"/>
      <c r="X44" s="156"/>
      <c r="Y44" s="156"/>
      <c r="Z44" s="156"/>
      <c r="AA44" s="156"/>
      <c r="AB44" s="156"/>
      <c r="AC44" s="156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7" t="s">
        <v>633</v>
      </c>
      <c r="AO44" s="157"/>
      <c r="AP44" s="157"/>
      <c r="AQ44" s="157"/>
      <c r="AR44" s="157"/>
      <c r="AS44" s="157"/>
      <c r="AT44" s="157"/>
      <c r="AU44" s="157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53" t="s">
        <v>749</v>
      </c>
      <c r="CH44" s="154"/>
      <c r="CI44" s="154"/>
      <c r="CJ44" s="154"/>
      <c r="CK44" s="154"/>
      <c r="CL44" s="154"/>
      <c r="CM44" s="154"/>
      <c r="CN44" s="155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8" t="s">
        <v>541</v>
      </c>
      <c r="W45" s="157"/>
      <c r="X45" s="157"/>
      <c r="Y45" s="157"/>
      <c r="Z45" s="157"/>
      <c r="AA45" s="157"/>
      <c r="AB45" s="157"/>
      <c r="AC45" s="157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7" t="s">
        <v>673</v>
      </c>
      <c r="BG45" s="157"/>
      <c r="BH45" s="157"/>
      <c r="BI45" s="157"/>
      <c r="BJ45" s="157"/>
      <c r="BK45" s="157"/>
      <c r="BL45" s="157"/>
      <c r="BM45" s="157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9" t="s">
        <v>445</v>
      </c>
      <c r="E46" s="159"/>
      <c r="F46" s="159"/>
      <c r="G46" s="159"/>
      <c r="H46" s="159"/>
      <c r="I46" s="159"/>
      <c r="J46" s="159"/>
      <c r="K46" s="159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7" t="s">
        <v>700</v>
      </c>
      <c r="BP46" s="157"/>
      <c r="BQ46" s="157"/>
      <c r="BR46" s="157"/>
      <c r="BS46" s="157"/>
      <c r="BT46" s="157"/>
      <c r="BU46" s="157"/>
      <c r="BV46" s="157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7" t="s">
        <v>446</v>
      </c>
      <c r="E47" s="157"/>
      <c r="F47" s="157"/>
      <c r="G47" s="157"/>
      <c r="H47" s="157"/>
      <c r="I47" s="157"/>
      <c r="J47" s="157"/>
      <c r="K47" s="157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7" t="s">
        <v>635</v>
      </c>
      <c r="AO47" s="157"/>
      <c r="AP47" s="157"/>
      <c r="AQ47" s="157"/>
      <c r="AR47" s="157"/>
      <c r="AS47" s="157"/>
      <c r="AT47" s="157"/>
      <c r="AU47" s="157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7" t="s">
        <v>675</v>
      </c>
      <c r="BG48" s="157"/>
      <c r="BH48" s="157"/>
      <c r="BI48" s="157"/>
      <c r="BJ48" s="157"/>
      <c r="BK48" s="157"/>
      <c r="BL48" s="157"/>
      <c r="BM48" s="157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7" t="s">
        <v>583</v>
      </c>
      <c r="AF49" s="157"/>
      <c r="AG49" s="157"/>
      <c r="AH49" s="157"/>
      <c r="AI49" s="157"/>
      <c r="AJ49" s="157"/>
      <c r="AK49" s="157"/>
      <c r="AL49" s="157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6" t="s">
        <v>701</v>
      </c>
      <c r="BP49" s="156"/>
      <c r="BQ49" s="156"/>
      <c r="BR49" s="156"/>
      <c r="BS49" s="156"/>
      <c r="BT49" s="156"/>
      <c r="BU49" s="156"/>
      <c r="BV49" s="156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7" t="s">
        <v>448</v>
      </c>
      <c r="E50" s="157"/>
      <c r="F50" s="157"/>
      <c r="G50" s="157"/>
      <c r="H50" s="157"/>
      <c r="I50" s="157"/>
      <c r="J50" s="157"/>
      <c r="K50" s="157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7" t="s">
        <v>707</v>
      </c>
      <c r="BP50" s="157"/>
      <c r="BQ50" s="157"/>
      <c r="BR50" s="157"/>
      <c r="BS50" s="157"/>
      <c r="BT50" s="157"/>
      <c r="BU50" s="157"/>
      <c r="BV50" s="157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7" t="s">
        <v>677</v>
      </c>
      <c r="BG51" s="157"/>
      <c r="BH51" s="157"/>
      <c r="BI51" s="157"/>
      <c r="BJ51" s="157"/>
      <c r="BK51" s="157"/>
      <c r="BL51" s="157"/>
      <c r="BM51" s="157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7" t="s">
        <v>585</v>
      </c>
      <c r="AF52" s="157"/>
      <c r="AG52" s="157"/>
      <c r="AH52" s="157"/>
      <c r="AI52" s="157"/>
      <c r="AJ52" s="157"/>
      <c r="AK52" s="157"/>
      <c r="AL52" s="157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7" t="s">
        <v>450</v>
      </c>
      <c r="E53" s="157"/>
      <c r="F53" s="157"/>
      <c r="G53" s="157"/>
      <c r="H53" s="157"/>
      <c r="I53" s="157"/>
      <c r="J53" s="157"/>
      <c r="K53" s="157"/>
      <c r="V53" s="158" t="s">
        <v>542</v>
      </c>
      <c r="W53" s="157"/>
      <c r="X53" s="157"/>
      <c r="Y53" s="157"/>
      <c r="Z53" s="157"/>
      <c r="AA53" s="157"/>
      <c r="AB53" s="157"/>
      <c r="AC53" s="157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7" t="s">
        <v>706</v>
      </c>
      <c r="BP53" s="157"/>
      <c r="BQ53" s="157"/>
      <c r="BR53" s="157"/>
      <c r="BS53" s="157"/>
      <c r="BT53" s="157"/>
      <c r="BU53" s="157"/>
      <c r="BV53" s="157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6" t="s">
        <v>420</v>
      </c>
      <c r="BG54" s="156"/>
      <c r="BH54" s="156"/>
      <c r="BI54" s="156"/>
      <c r="BJ54" s="156"/>
      <c r="BK54" s="156"/>
      <c r="BL54" s="156"/>
      <c r="BM54" s="156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7" t="s">
        <v>588</v>
      </c>
      <c r="AF55" s="157"/>
      <c r="AG55" s="157"/>
      <c r="AH55" s="157"/>
      <c r="AI55" s="157"/>
      <c r="AJ55" s="157"/>
      <c r="AK55" s="157"/>
      <c r="AL55" s="157"/>
      <c r="BF55" s="157" t="s">
        <v>678</v>
      </c>
      <c r="BG55" s="157"/>
      <c r="BH55" s="157"/>
      <c r="BI55" s="157"/>
      <c r="BJ55" s="157"/>
      <c r="BK55" s="157"/>
      <c r="BL55" s="157"/>
      <c r="BM55" s="157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7" t="s">
        <v>451</v>
      </c>
      <c r="E56" s="157"/>
      <c r="F56" s="157"/>
      <c r="G56" s="157"/>
      <c r="H56" s="157"/>
      <c r="I56" s="157"/>
      <c r="J56" s="157"/>
      <c r="K56" s="157"/>
      <c r="V56" s="156" t="s">
        <v>543</v>
      </c>
      <c r="W56" s="156"/>
      <c r="X56" s="156"/>
      <c r="Y56" s="156"/>
      <c r="Z56" s="156"/>
      <c r="AA56" s="156"/>
      <c r="AB56" s="156"/>
      <c r="AC56" s="156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7" t="s">
        <v>705</v>
      </c>
      <c r="BP56" s="157"/>
      <c r="BQ56" s="157"/>
      <c r="BR56" s="157"/>
      <c r="BS56" s="157"/>
      <c r="BT56" s="157"/>
      <c r="BU56" s="157"/>
      <c r="BV56" s="157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8" t="s">
        <v>544</v>
      </c>
      <c r="W57" s="157"/>
      <c r="X57" s="157"/>
      <c r="Y57" s="157"/>
      <c r="Z57" s="157"/>
      <c r="AA57" s="157"/>
      <c r="AB57" s="157"/>
      <c r="AC57" s="157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6" t="s">
        <v>589</v>
      </c>
      <c r="AF58" s="156"/>
      <c r="AG58" s="156"/>
      <c r="AH58" s="156"/>
      <c r="AI58" s="156"/>
      <c r="AJ58" s="156"/>
      <c r="AK58" s="156"/>
      <c r="AL58" s="156"/>
      <c r="BF58" s="157" t="s">
        <v>680</v>
      </c>
      <c r="BG58" s="157"/>
      <c r="BH58" s="157"/>
      <c r="BI58" s="157"/>
      <c r="BJ58" s="157"/>
      <c r="BK58" s="157"/>
      <c r="BL58" s="157"/>
      <c r="BM58" s="157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7" t="s">
        <v>452</v>
      </c>
      <c r="E59" s="157"/>
      <c r="F59" s="157"/>
      <c r="G59" s="157"/>
      <c r="H59" s="157"/>
      <c r="I59" s="157"/>
      <c r="J59" s="157"/>
      <c r="K59" s="157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7" t="s">
        <v>590</v>
      </c>
      <c r="AF59" s="157"/>
      <c r="AG59" s="157"/>
      <c r="AH59" s="157"/>
      <c r="AI59" s="157"/>
      <c r="AJ59" s="157"/>
      <c r="AK59" s="157"/>
      <c r="AL59" s="157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7" t="s">
        <v>704</v>
      </c>
      <c r="BP59" s="157"/>
      <c r="BQ59" s="157"/>
      <c r="BR59" s="157"/>
      <c r="BS59" s="157"/>
      <c r="BT59" s="157"/>
      <c r="BU59" s="157"/>
      <c r="BV59" s="157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7" t="s">
        <v>682</v>
      </c>
      <c r="BG61" s="157"/>
      <c r="BH61" s="157"/>
      <c r="BI61" s="157"/>
      <c r="BJ61" s="157"/>
      <c r="BK61" s="157"/>
      <c r="BL61" s="157"/>
      <c r="BM61" s="157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7" t="s">
        <v>453</v>
      </c>
      <c r="E62" s="157"/>
      <c r="F62" s="157"/>
      <c r="G62" s="157"/>
      <c r="H62" s="157"/>
      <c r="I62" s="157"/>
      <c r="J62" s="157"/>
      <c r="K62" s="157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7" t="s">
        <v>592</v>
      </c>
      <c r="AF62" s="157"/>
      <c r="AG62" s="157"/>
      <c r="AH62" s="157"/>
      <c r="AI62" s="157"/>
      <c r="AJ62" s="157"/>
      <c r="AK62" s="157"/>
      <c r="AL62" s="157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7" t="s">
        <v>454</v>
      </c>
      <c r="E65" s="157"/>
      <c r="F65" s="157"/>
      <c r="G65" s="157"/>
      <c r="H65" s="157"/>
      <c r="I65" s="157"/>
      <c r="J65" s="157"/>
      <c r="K65" s="157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7" t="s">
        <v>593</v>
      </c>
      <c r="AF65" s="157"/>
      <c r="AG65" s="157"/>
      <c r="AH65" s="157"/>
      <c r="AI65" s="157"/>
      <c r="AJ65" s="157"/>
      <c r="AK65" s="157"/>
      <c r="AL65" s="157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8" t="s">
        <v>545</v>
      </c>
      <c r="W67" s="157"/>
      <c r="X67" s="157"/>
      <c r="Y67" s="157"/>
      <c r="Z67" s="157"/>
      <c r="AA67" s="157"/>
      <c r="AB67" s="157"/>
      <c r="AC67" s="157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7" t="s">
        <v>455</v>
      </c>
      <c r="E68" s="157"/>
      <c r="F68" s="157"/>
      <c r="G68" s="157"/>
      <c r="H68" s="157"/>
      <c r="I68" s="157"/>
      <c r="J68" s="157"/>
      <c r="K68" s="157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7" t="s">
        <v>684</v>
      </c>
      <c r="BG68" s="157"/>
      <c r="BH68" s="157"/>
      <c r="BI68" s="157"/>
      <c r="BJ68" s="157"/>
      <c r="BK68" s="157"/>
      <c r="BL68" s="157"/>
      <c r="BM68" s="157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7" t="s">
        <v>596</v>
      </c>
      <c r="AF69" s="157"/>
      <c r="AG69" s="157"/>
      <c r="AH69" s="157"/>
      <c r="AI69" s="157"/>
      <c r="AJ69" s="157"/>
      <c r="AK69" s="157"/>
      <c r="AL69" s="157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8" t="s">
        <v>546</v>
      </c>
      <c r="W70" s="157"/>
      <c r="X70" s="157"/>
      <c r="Y70" s="157"/>
      <c r="Z70" s="157"/>
      <c r="AA70" s="157"/>
      <c r="AB70" s="157"/>
      <c r="AC70" s="157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7" t="s">
        <v>703</v>
      </c>
      <c r="BP70" s="157"/>
      <c r="BQ70" s="157"/>
      <c r="BR70" s="157"/>
      <c r="BS70" s="157"/>
      <c r="BT70" s="157"/>
      <c r="BU70" s="157"/>
      <c r="BV70" s="157"/>
    </row>
    <row r="71" spans="4:74">
      <c r="D71" s="157" t="s">
        <v>457</v>
      </c>
      <c r="E71" s="157"/>
      <c r="F71" s="157"/>
      <c r="G71" s="157"/>
      <c r="H71" s="157"/>
      <c r="I71" s="157"/>
      <c r="J71" s="157"/>
      <c r="K71" s="157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7" t="s">
        <v>686</v>
      </c>
      <c r="BG71" s="157"/>
      <c r="BH71" s="157"/>
      <c r="BI71" s="157"/>
      <c r="BJ71" s="157"/>
      <c r="BK71" s="157"/>
      <c r="BL71" s="157"/>
      <c r="BM71" s="157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8" t="s">
        <v>547</v>
      </c>
      <c r="W73" s="157"/>
      <c r="X73" s="157"/>
      <c r="Y73" s="157"/>
      <c r="Z73" s="157"/>
      <c r="AA73" s="157"/>
      <c r="AB73" s="157"/>
      <c r="AC73" s="157"/>
      <c r="AE73" s="157" t="s">
        <v>597</v>
      </c>
      <c r="AF73" s="157"/>
      <c r="AG73" s="157"/>
      <c r="AH73" s="157"/>
      <c r="AI73" s="157"/>
      <c r="AJ73" s="157"/>
      <c r="AK73" s="157"/>
      <c r="AL73" s="157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7" t="s">
        <v>459</v>
      </c>
      <c r="E74" s="157"/>
      <c r="F74" s="157"/>
      <c r="G74" s="157"/>
      <c r="H74" s="157"/>
      <c r="I74" s="157"/>
      <c r="J74" s="157"/>
      <c r="K74" s="157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7" t="s">
        <v>688</v>
      </c>
      <c r="BG74" s="157"/>
      <c r="BH74" s="157"/>
      <c r="BI74" s="157"/>
      <c r="BJ74" s="157"/>
      <c r="BK74" s="157"/>
      <c r="BL74" s="157"/>
      <c r="BM74" s="157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8" t="s">
        <v>548</v>
      </c>
      <c r="W76" s="157"/>
      <c r="X76" s="157"/>
      <c r="Y76" s="157"/>
      <c r="Z76" s="157"/>
      <c r="AA76" s="157"/>
      <c r="AB76" s="157"/>
      <c r="AC76" s="157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7" t="s">
        <v>461</v>
      </c>
      <c r="E77" s="157"/>
      <c r="F77" s="157"/>
      <c r="G77" s="157"/>
      <c r="H77" s="157"/>
      <c r="I77" s="157"/>
      <c r="J77" s="157"/>
      <c r="K77" s="157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7" t="s">
        <v>598</v>
      </c>
      <c r="AF77" s="157"/>
      <c r="AG77" s="157"/>
      <c r="AH77" s="157"/>
      <c r="AI77" s="157"/>
      <c r="AJ77" s="157"/>
      <c r="AK77" s="157"/>
      <c r="AL77" s="157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8" t="s">
        <v>546</v>
      </c>
      <c r="W79" s="157"/>
      <c r="X79" s="157"/>
      <c r="Y79" s="157"/>
      <c r="Z79" s="157"/>
      <c r="AA79" s="157"/>
      <c r="AB79" s="157"/>
      <c r="AC79" s="157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7" t="s">
        <v>598</v>
      </c>
      <c r="AF81" s="157"/>
      <c r="AG81" s="157"/>
      <c r="AH81" s="157"/>
      <c r="AI81" s="157"/>
      <c r="AJ81" s="157"/>
      <c r="AK81" s="157"/>
      <c r="AL81" s="157"/>
    </row>
    <row r="82" spans="22:38">
      <c r="V82" s="156" t="s">
        <v>192</v>
      </c>
      <c r="W82" s="156"/>
      <c r="X82" s="156"/>
      <c r="Y82" s="156"/>
      <c r="Z82" s="156"/>
      <c r="AA82" s="156"/>
      <c r="AB82" s="156"/>
      <c r="AC82" s="156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8" t="s">
        <v>544</v>
      </c>
      <c r="W83" s="157"/>
      <c r="X83" s="157"/>
      <c r="Y83" s="157"/>
      <c r="Z83" s="157"/>
      <c r="AA83" s="157"/>
      <c r="AB83" s="157"/>
      <c r="AC83" s="157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6" t="s">
        <v>603</v>
      </c>
      <c r="AF87" s="156"/>
      <c r="AG87" s="156"/>
      <c r="AH87" s="156"/>
      <c r="AI87" s="156"/>
      <c r="AJ87" s="156"/>
      <c r="AK87" s="156"/>
      <c r="AL87" s="156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7" t="s">
        <v>604</v>
      </c>
      <c r="AF88" s="157"/>
      <c r="AG88" s="157"/>
      <c r="AH88" s="157"/>
      <c r="AI88" s="157"/>
      <c r="AJ88" s="157"/>
      <c r="AK88" s="157"/>
      <c r="AL88" s="157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7" t="s">
        <v>605</v>
      </c>
      <c r="AF91" s="157"/>
      <c r="AG91" s="157"/>
      <c r="AH91" s="157"/>
      <c r="AI91" s="157"/>
      <c r="AJ91" s="157"/>
      <c r="AK91" s="157"/>
      <c r="AL91" s="157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8" t="s">
        <v>549</v>
      </c>
      <c r="W93" s="157"/>
      <c r="X93" s="157"/>
      <c r="Y93" s="157"/>
      <c r="Z93" s="157"/>
      <c r="AA93" s="157"/>
      <c r="AB93" s="157"/>
      <c r="AC93" s="157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7" t="s">
        <v>606</v>
      </c>
      <c r="AF94" s="157"/>
      <c r="AG94" s="157"/>
      <c r="AH94" s="157"/>
      <c r="AI94" s="157"/>
      <c r="AJ94" s="157"/>
      <c r="AK94" s="157"/>
      <c r="AL94" s="157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8" t="s">
        <v>550</v>
      </c>
      <c r="W96" s="157"/>
      <c r="X96" s="157"/>
      <c r="Y96" s="157"/>
      <c r="Z96" s="157"/>
      <c r="AA96" s="157"/>
      <c r="AB96" s="157"/>
      <c r="AC96" s="157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7" t="s">
        <v>608</v>
      </c>
      <c r="AF97" s="157"/>
      <c r="AG97" s="157"/>
      <c r="AH97" s="157"/>
      <c r="AI97" s="157"/>
      <c r="AJ97" s="157"/>
      <c r="AK97" s="157"/>
      <c r="AL97" s="157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6" t="s">
        <v>551</v>
      </c>
      <c r="W99" s="156"/>
      <c r="X99" s="156"/>
      <c r="Y99" s="156"/>
      <c r="Z99" s="156"/>
      <c r="AA99" s="156"/>
      <c r="AB99" s="156"/>
      <c r="AC99" s="156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8" t="s">
        <v>552</v>
      </c>
      <c r="W100" s="157"/>
      <c r="X100" s="157"/>
      <c r="Y100" s="157"/>
      <c r="Z100" s="157"/>
      <c r="AA100" s="157"/>
      <c r="AB100" s="157"/>
      <c r="AC100" s="157"/>
      <c r="AE100" s="156" t="s">
        <v>609</v>
      </c>
      <c r="AF100" s="156"/>
      <c r="AG100" s="156"/>
      <c r="AH100" s="156"/>
      <c r="AI100" s="156"/>
      <c r="AJ100" s="156"/>
      <c r="AK100" s="156"/>
      <c r="AL100" s="156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7" t="s">
        <v>610</v>
      </c>
      <c r="AF101" s="157"/>
      <c r="AG101" s="157"/>
      <c r="AH101" s="157"/>
      <c r="AI101" s="157"/>
      <c r="AJ101" s="157"/>
      <c r="AK101" s="157"/>
      <c r="AL101" s="157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8" t="s">
        <v>553</v>
      </c>
      <c r="W104" s="157"/>
      <c r="X104" s="157"/>
      <c r="Y104" s="157"/>
      <c r="Z104" s="157"/>
      <c r="AA104" s="157"/>
      <c r="AB104" s="157"/>
      <c r="AC104" s="157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7" t="s">
        <v>556</v>
      </c>
      <c r="AF105" s="157"/>
      <c r="AG105" s="157"/>
      <c r="AH105" s="157"/>
      <c r="AI105" s="157"/>
      <c r="AJ105" s="157"/>
      <c r="AK105" s="157"/>
      <c r="AL105" s="157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6" t="s">
        <v>174</v>
      </c>
      <c r="W107" s="156"/>
      <c r="X107" s="156"/>
      <c r="Y107" s="156"/>
      <c r="Z107" s="156"/>
      <c r="AA107" s="156"/>
      <c r="AB107" s="156"/>
      <c r="AC107" s="156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8" t="s">
        <v>555</v>
      </c>
      <c r="W108" s="157"/>
      <c r="X108" s="157"/>
      <c r="Y108" s="157"/>
      <c r="Z108" s="157"/>
      <c r="AA108" s="157"/>
      <c r="AB108" s="157"/>
      <c r="AC108" s="157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7" t="s">
        <v>611</v>
      </c>
      <c r="AF109" s="157"/>
      <c r="AG109" s="157"/>
      <c r="AH109" s="157"/>
      <c r="AI109" s="157"/>
      <c r="AJ109" s="157"/>
      <c r="AK109" s="157"/>
      <c r="AL109" s="157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8" t="s">
        <v>554</v>
      </c>
      <c r="W111" s="157"/>
      <c r="X111" s="157"/>
      <c r="Y111" s="157"/>
      <c r="Z111" s="157"/>
      <c r="AA111" s="157"/>
      <c r="AB111" s="157"/>
      <c r="AC111" s="157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7" t="s">
        <v>612</v>
      </c>
      <c r="AF115" s="157"/>
      <c r="AG115" s="157"/>
      <c r="AH115" s="157"/>
      <c r="AI115" s="157"/>
      <c r="AJ115" s="157"/>
      <c r="AK115" s="157"/>
      <c r="AL115" s="157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Elieser Aguilar</cp:lastModifiedBy>
  <dcterms:created xsi:type="dcterms:W3CDTF">2024-02-09T13:22:46Z</dcterms:created>
  <dcterms:modified xsi:type="dcterms:W3CDTF">2024-12-17T12:47:03Z</dcterms:modified>
</cp:coreProperties>
</file>