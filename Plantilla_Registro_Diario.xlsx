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HIS-Downloader\"/>
    </mc:Choice>
  </mc:AlternateContent>
  <xr:revisionPtr revIDLastSave="0" documentId="13_ncr:1_{70759E3C-23D0-407B-B812-3D4CBF9BD6B9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2" l="1"/>
  <c r="H33" i="2" s="1"/>
  <c r="C33" i="2"/>
  <c r="D33" i="2"/>
  <c r="E33" i="2"/>
  <c r="F33" i="2"/>
  <c r="G33" i="2"/>
  <c r="AK117" i="7"/>
  <c r="AJ117" i="7"/>
  <c r="AI117" i="7"/>
  <c r="AH117" i="7"/>
  <c r="AG117" i="7"/>
  <c r="AF117" i="7"/>
  <c r="AL117" i="7" s="1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L108" i="7" s="1"/>
  <c r="AK107" i="7"/>
  <c r="AJ107" i="7"/>
  <c r="AI107" i="7"/>
  <c r="AH107" i="7"/>
  <c r="AG107" i="7"/>
  <c r="AF107" i="7"/>
  <c r="AL107" i="7" s="1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L103" i="7" s="1"/>
  <c r="AK99" i="7"/>
  <c r="AJ99" i="7"/>
  <c r="AI99" i="7"/>
  <c r="AH99" i="7"/>
  <c r="AG99" i="7"/>
  <c r="AF99" i="7"/>
  <c r="AL99" i="7" s="1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L80" i="7" s="1"/>
  <c r="AK79" i="7"/>
  <c r="AJ79" i="7"/>
  <c r="AI79" i="7"/>
  <c r="AH79" i="7"/>
  <c r="AG79" i="7"/>
  <c r="AF79" i="7"/>
  <c r="AK76" i="7"/>
  <c r="AJ76" i="7"/>
  <c r="AI76" i="7"/>
  <c r="AH76" i="7"/>
  <c r="AG76" i="7"/>
  <c r="AF76" i="7"/>
  <c r="AL76" i="7" s="1"/>
  <c r="AK75" i="7"/>
  <c r="AJ75" i="7"/>
  <c r="AI75" i="7"/>
  <c r="AH75" i="7"/>
  <c r="AG75" i="7"/>
  <c r="AF75" i="7"/>
  <c r="AL75" i="7" s="1"/>
  <c r="AK72" i="7"/>
  <c r="AJ72" i="7"/>
  <c r="AI72" i="7"/>
  <c r="AH72" i="7"/>
  <c r="AG72" i="7"/>
  <c r="AF72" i="7"/>
  <c r="AL72" i="7" s="1"/>
  <c r="AK71" i="7"/>
  <c r="AJ71" i="7"/>
  <c r="AI71" i="7"/>
  <c r="AH71" i="7"/>
  <c r="AG71" i="7"/>
  <c r="AF71" i="7"/>
  <c r="AL71" i="7" s="1"/>
  <c r="AF68" i="7"/>
  <c r="AG68" i="7"/>
  <c r="AH68" i="7"/>
  <c r="AI68" i="7"/>
  <c r="AJ68" i="7"/>
  <c r="AK68" i="7"/>
  <c r="AK67" i="7"/>
  <c r="AJ67" i="7"/>
  <c r="AI67" i="7"/>
  <c r="AH67" i="7"/>
  <c r="AG67" i="7"/>
  <c r="AF67" i="7"/>
  <c r="AL67" i="7" s="1"/>
  <c r="AK64" i="7"/>
  <c r="AJ64" i="7"/>
  <c r="AI64" i="7"/>
  <c r="AH64" i="7"/>
  <c r="AG64" i="7"/>
  <c r="AF64" i="7"/>
  <c r="AL64" i="7" s="1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H5" i="3"/>
  <c r="A3" i="7"/>
  <c r="AJ3" i="6"/>
  <c r="N4" i="3"/>
  <c r="AJ3" i="2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AL68" i="7" l="1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J49" i="6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J28" i="6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B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8" i="3"/>
  <c r="AD208" i="3"/>
  <c r="AC208" i="3"/>
  <c r="AB208" i="3"/>
  <c r="AA208" i="3"/>
  <c r="Z208" i="3"/>
  <c r="V208" i="3"/>
  <c r="U208" i="3"/>
  <c r="T208" i="3"/>
  <c r="S208" i="3"/>
  <c r="R208" i="3"/>
  <c r="Q208" i="3"/>
  <c r="AE207" i="3"/>
  <c r="AD207" i="3"/>
  <c r="AC207" i="3"/>
  <c r="AB207" i="3"/>
  <c r="AA207" i="3"/>
  <c r="Z207" i="3"/>
  <c r="V207" i="3"/>
  <c r="U207" i="3"/>
  <c r="T207" i="3"/>
  <c r="S207" i="3"/>
  <c r="R207" i="3"/>
  <c r="Q207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7" i="3"/>
  <c r="AD197" i="3"/>
  <c r="AC197" i="3"/>
  <c r="AB197" i="3"/>
  <c r="AA197" i="3"/>
  <c r="Z197" i="3"/>
  <c r="V197" i="3"/>
  <c r="U197" i="3"/>
  <c r="T197" i="3"/>
  <c r="S197" i="3"/>
  <c r="R197" i="3"/>
  <c r="Q197" i="3"/>
  <c r="AE196" i="3"/>
  <c r="AD196" i="3"/>
  <c r="AC196" i="3"/>
  <c r="AB196" i="3"/>
  <c r="AA196" i="3"/>
  <c r="Z196" i="3"/>
  <c r="V196" i="3"/>
  <c r="U196" i="3"/>
  <c r="T196" i="3"/>
  <c r="S196" i="3"/>
  <c r="R196" i="3"/>
  <c r="Q196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6" i="3"/>
  <c r="AD186" i="3"/>
  <c r="AC186" i="3"/>
  <c r="AB186" i="3"/>
  <c r="AA186" i="3"/>
  <c r="Z186" i="3"/>
  <c r="V186" i="3"/>
  <c r="U186" i="3"/>
  <c r="T186" i="3"/>
  <c r="S186" i="3"/>
  <c r="R186" i="3"/>
  <c r="Q186" i="3"/>
  <c r="AE185" i="3"/>
  <c r="AD185" i="3"/>
  <c r="AC185" i="3"/>
  <c r="AB185" i="3"/>
  <c r="AA185" i="3"/>
  <c r="Z185" i="3"/>
  <c r="V185" i="3"/>
  <c r="U185" i="3"/>
  <c r="T185" i="3"/>
  <c r="S185" i="3"/>
  <c r="R185" i="3"/>
  <c r="Q185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80" i="3"/>
  <c r="AD180" i="3"/>
  <c r="AC180" i="3"/>
  <c r="AB180" i="3"/>
  <c r="AA180" i="3"/>
  <c r="Z180" i="3"/>
  <c r="V180" i="3"/>
  <c r="U180" i="3"/>
  <c r="T180" i="3"/>
  <c r="S180" i="3"/>
  <c r="R180" i="3"/>
  <c r="Q180" i="3"/>
  <c r="AE179" i="3"/>
  <c r="AD179" i="3"/>
  <c r="AC179" i="3"/>
  <c r="AB179" i="3"/>
  <c r="AA179" i="3"/>
  <c r="Z179" i="3"/>
  <c r="V179" i="3"/>
  <c r="U179" i="3"/>
  <c r="T179" i="3"/>
  <c r="S179" i="3"/>
  <c r="R179" i="3"/>
  <c r="Q179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4" i="3"/>
  <c r="AD174" i="3"/>
  <c r="AC174" i="3"/>
  <c r="AB174" i="3"/>
  <c r="AA174" i="3"/>
  <c r="Z174" i="3"/>
  <c r="V174" i="3"/>
  <c r="U174" i="3"/>
  <c r="T174" i="3"/>
  <c r="S174" i="3"/>
  <c r="R174" i="3"/>
  <c r="Q174" i="3"/>
  <c r="AE173" i="3"/>
  <c r="AD173" i="3"/>
  <c r="AC173" i="3"/>
  <c r="AB173" i="3"/>
  <c r="AA173" i="3"/>
  <c r="Z173" i="3"/>
  <c r="V173" i="3"/>
  <c r="U173" i="3"/>
  <c r="T173" i="3"/>
  <c r="S173" i="3"/>
  <c r="R173" i="3"/>
  <c r="Q173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8" i="3"/>
  <c r="AD168" i="3"/>
  <c r="AC168" i="3"/>
  <c r="AB168" i="3"/>
  <c r="AA168" i="3"/>
  <c r="Z168" i="3"/>
  <c r="V168" i="3"/>
  <c r="U168" i="3"/>
  <c r="T168" i="3"/>
  <c r="S168" i="3"/>
  <c r="R168" i="3"/>
  <c r="Q168" i="3"/>
  <c r="AE167" i="3"/>
  <c r="AD167" i="3"/>
  <c r="AC167" i="3"/>
  <c r="AB167" i="3"/>
  <c r="AA167" i="3"/>
  <c r="Z167" i="3"/>
  <c r="V167" i="3"/>
  <c r="U167" i="3"/>
  <c r="T167" i="3"/>
  <c r="S167" i="3"/>
  <c r="R167" i="3"/>
  <c r="Q167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8" i="3"/>
  <c r="AD158" i="3"/>
  <c r="AC158" i="3"/>
  <c r="AB158" i="3"/>
  <c r="AA158" i="3"/>
  <c r="Z158" i="3"/>
  <c r="V158" i="3"/>
  <c r="U158" i="3"/>
  <c r="T158" i="3"/>
  <c r="S158" i="3"/>
  <c r="R158" i="3"/>
  <c r="Q158" i="3"/>
  <c r="AE157" i="3"/>
  <c r="AD157" i="3"/>
  <c r="AC157" i="3"/>
  <c r="AB157" i="3"/>
  <c r="AA157" i="3"/>
  <c r="Z157" i="3"/>
  <c r="V157" i="3"/>
  <c r="U157" i="3"/>
  <c r="T157" i="3"/>
  <c r="S157" i="3"/>
  <c r="R157" i="3"/>
  <c r="Q157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8" i="3"/>
  <c r="AD148" i="3"/>
  <c r="AC148" i="3"/>
  <c r="AB148" i="3"/>
  <c r="AA148" i="3"/>
  <c r="Z148" i="3"/>
  <c r="V148" i="3"/>
  <c r="U148" i="3"/>
  <c r="T148" i="3"/>
  <c r="S148" i="3"/>
  <c r="R148" i="3"/>
  <c r="Q148" i="3"/>
  <c r="AE147" i="3"/>
  <c r="AD147" i="3"/>
  <c r="AC147" i="3"/>
  <c r="AB147" i="3"/>
  <c r="AA147" i="3"/>
  <c r="Z147" i="3"/>
  <c r="V147" i="3"/>
  <c r="U147" i="3"/>
  <c r="T147" i="3"/>
  <c r="S147" i="3"/>
  <c r="R147" i="3"/>
  <c r="Q147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8" i="3"/>
  <c r="AD138" i="3"/>
  <c r="AC138" i="3"/>
  <c r="AB138" i="3"/>
  <c r="AA138" i="3"/>
  <c r="Z138" i="3"/>
  <c r="V138" i="3"/>
  <c r="U138" i="3"/>
  <c r="T138" i="3"/>
  <c r="S138" i="3"/>
  <c r="R138" i="3"/>
  <c r="Q138" i="3"/>
  <c r="AE137" i="3"/>
  <c r="AD137" i="3"/>
  <c r="AC137" i="3"/>
  <c r="AB137" i="3"/>
  <c r="AA137" i="3"/>
  <c r="Z137" i="3"/>
  <c r="V137" i="3"/>
  <c r="U137" i="3"/>
  <c r="T137" i="3"/>
  <c r="S137" i="3"/>
  <c r="R137" i="3"/>
  <c r="Q137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6" i="3"/>
  <c r="AD126" i="3"/>
  <c r="AC126" i="3"/>
  <c r="AB126" i="3"/>
  <c r="AA126" i="3"/>
  <c r="Z126" i="3"/>
  <c r="V126" i="3"/>
  <c r="U126" i="3"/>
  <c r="T126" i="3"/>
  <c r="S126" i="3"/>
  <c r="R126" i="3"/>
  <c r="Q126" i="3"/>
  <c r="AE125" i="3"/>
  <c r="AD125" i="3"/>
  <c r="AC125" i="3"/>
  <c r="AB125" i="3"/>
  <c r="AA125" i="3"/>
  <c r="Z125" i="3"/>
  <c r="V125" i="3"/>
  <c r="U125" i="3"/>
  <c r="T125" i="3"/>
  <c r="S125" i="3"/>
  <c r="R125" i="3"/>
  <c r="Q125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4" i="3"/>
  <c r="AD114" i="3"/>
  <c r="AC114" i="3"/>
  <c r="AB114" i="3"/>
  <c r="AA114" i="3"/>
  <c r="Z114" i="3"/>
  <c r="V114" i="3"/>
  <c r="U114" i="3"/>
  <c r="T114" i="3"/>
  <c r="S114" i="3"/>
  <c r="R114" i="3"/>
  <c r="Q114" i="3"/>
  <c r="AE113" i="3"/>
  <c r="AD113" i="3"/>
  <c r="AC113" i="3"/>
  <c r="AB113" i="3"/>
  <c r="AA113" i="3"/>
  <c r="Z113" i="3"/>
  <c r="V113" i="3"/>
  <c r="U113" i="3"/>
  <c r="T113" i="3"/>
  <c r="S113" i="3"/>
  <c r="R113" i="3"/>
  <c r="Q113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102" i="3"/>
  <c r="AD102" i="3"/>
  <c r="AC102" i="3"/>
  <c r="AB102" i="3"/>
  <c r="AA102" i="3"/>
  <c r="Z102" i="3"/>
  <c r="V102" i="3"/>
  <c r="U102" i="3"/>
  <c r="T102" i="3"/>
  <c r="S102" i="3"/>
  <c r="R102" i="3"/>
  <c r="Q102" i="3"/>
  <c r="AE101" i="3"/>
  <c r="AD101" i="3"/>
  <c r="AC101" i="3"/>
  <c r="AB101" i="3"/>
  <c r="AA101" i="3"/>
  <c r="Z101" i="3"/>
  <c r="V101" i="3"/>
  <c r="U101" i="3"/>
  <c r="T101" i="3"/>
  <c r="S101" i="3"/>
  <c r="R101" i="3"/>
  <c r="Q101" i="3"/>
  <c r="AE97" i="3"/>
  <c r="AD97" i="3"/>
  <c r="AC97" i="3"/>
  <c r="AB97" i="3"/>
  <c r="AA97" i="3"/>
  <c r="Z97" i="3"/>
  <c r="V97" i="3"/>
  <c r="U97" i="3"/>
  <c r="T97" i="3"/>
  <c r="S97" i="3"/>
  <c r="R97" i="3"/>
  <c r="Q97" i="3"/>
  <c r="AE96" i="3"/>
  <c r="AD96" i="3"/>
  <c r="AC96" i="3"/>
  <c r="AB96" i="3"/>
  <c r="AA96" i="3"/>
  <c r="Z96" i="3"/>
  <c r="V96" i="3"/>
  <c r="U96" i="3"/>
  <c r="T96" i="3"/>
  <c r="S96" i="3"/>
  <c r="R96" i="3"/>
  <c r="Q96" i="3"/>
  <c r="AE95" i="3"/>
  <c r="AD95" i="3"/>
  <c r="AC95" i="3"/>
  <c r="AB95" i="3"/>
  <c r="AA95" i="3"/>
  <c r="Z95" i="3"/>
  <c r="V95" i="3"/>
  <c r="U95" i="3"/>
  <c r="T95" i="3"/>
  <c r="S95" i="3"/>
  <c r="R95" i="3"/>
  <c r="Q95" i="3"/>
  <c r="AE91" i="3"/>
  <c r="AD91" i="3"/>
  <c r="AC91" i="3"/>
  <c r="AB91" i="3"/>
  <c r="AA91" i="3"/>
  <c r="Z91" i="3"/>
  <c r="V91" i="3"/>
  <c r="U91" i="3"/>
  <c r="T91" i="3"/>
  <c r="S91" i="3"/>
  <c r="R91" i="3"/>
  <c r="Q91" i="3"/>
  <c r="AE90" i="3"/>
  <c r="AD90" i="3"/>
  <c r="AC90" i="3"/>
  <c r="AB90" i="3"/>
  <c r="AA90" i="3"/>
  <c r="Z90" i="3"/>
  <c r="V90" i="3"/>
  <c r="U90" i="3"/>
  <c r="T90" i="3"/>
  <c r="S90" i="3"/>
  <c r="R90" i="3"/>
  <c r="Q90" i="3"/>
  <c r="AE89" i="3"/>
  <c r="AD89" i="3"/>
  <c r="AC89" i="3"/>
  <c r="AB89" i="3"/>
  <c r="AA89" i="3"/>
  <c r="Z89" i="3"/>
  <c r="V89" i="3"/>
  <c r="U89" i="3"/>
  <c r="T89" i="3"/>
  <c r="S89" i="3"/>
  <c r="R89" i="3"/>
  <c r="Q89" i="3"/>
  <c r="AE85" i="3"/>
  <c r="AD85" i="3"/>
  <c r="AC85" i="3"/>
  <c r="AB85" i="3"/>
  <c r="AA85" i="3"/>
  <c r="Z85" i="3"/>
  <c r="V85" i="3"/>
  <c r="U85" i="3"/>
  <c r="T85" i="3"/>
  <c r="S85" i="3"/>
  <c r="R85" i="3"/>
  <c r="Q85" i="3"/>
  <c r="AE84" i="3"/>
  <c r="AD84" i="3"/>
  <c r="AC84" i="3"/>
  <c r="AB84" i="3"/>
  <c r="AA84" i="3"/>
  <c r="Z84" i="3"/>
  <c r="V84" i="3"/>
  <c r="U84" i="3"/>
  <c r="T84" i="3"/>
  <c r="S84" i="3"/>
  <c r="R84" i="3"/>
  <c r="Q84" i="3"/>
  <c r="AE83" i="3"/>
  <c r="AD83" i="3"/>
  <c r="AC83" i="3"/>
  <c r="AB83" i="3"/>
  <c r="AA83" i="3"/>
  <c r="Z83" i="3"/>
  <c r="V83" i="3"/>
  <c r="U83" i="3"/>
  <c r="T83" i="3"/>
  <c r="S83" i="3"/>
  <c r="R83" i="3"/>
  <c r="Q83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V18" i="2" l="1"/>
  <c r="J66" i="6"/>
  <c r="AB59" i="6"/>
  <c r="J59" i="6"/>
  <c r="A59" i="6"/>
  <c r="W18" i="2"/>
  <c r="A44" i="6"/>
  <c r="AB38" i="6"/>
  <c r="S38" i="6"/>
  <c r="S32" i="6"/>
  <c r="AB23" i="6"/>
  <c r="S23" i="6"/>
  <c r="S18" i="6"/>
  <c r="U18" i="2"/>
  <c r="A3" i="6"/>
  <c r="J3" i="6"/>
  <c r="AB3" i="6"/>
  <c r="S3" i="6"/>
  <c r="B3" i="2"/>
  <c r="G18" i="2"/>
  <c r="N18" i="2"/>
  <c r="W162" i="3"/>
  <c r="W213" i="3"/>
  <c r="V3" i="2"/>
  <c r="AG3" i="2"/>
  <c r="AF158" i="3"/>
  <c r="AF160" i="3"/>
  <c r="AF214" i="3"/>
  <c r="AF41" i="3"/>
  <c r="F11" i="3" s="1"/>
  <c r="W55" i="3"/>
  <c r="W127" i="3"/>
  <c r="W131" i="3"/>
  <c r="W142" i="3"/>
  <c r="W151" i="3"/>
  <c r="W153" i="3"/>
  <c r="W158" i="3"/>
  <c r="AF3" i="2"/>
  <c r="W91" i="3"/>
  <c r="W105" i="3"/>
  <c r="W120" i="3"/>
  <c r="W210" i="3"/>
  <c r="AI6" i="2"/>
  <c r="D3" i="2"/>
  <c r="AI8" i="2"/>
  <c r="AI10" i="2"/>
  <c r="E29" i="2"/>
  <c r="P29" i="2"/>
  <c r="Q33" i="2"/>
  <c r="Q36" i="2"/>
  <c r="AF69" i="3"/>
  <c r="M19" i="3" s="1"/>
  <c r="W84" i="3"/>
  <c r="W101" i="3"/>
  <c r="W107" i="3"/>
  <c r="W109" i="3"/>
  <c r="W116" i="3"/>
  <c r="AF203" i="3"/>
  <c r="AF208" i="3"/>
  <c r="X18" i="2"/>
  <c r="AF97" i="3"/>
  <c r="W138" i="3"/>
  <c r="W149" i="3"/>
  <c r="W167" i="3"/>
  <c r="W174" i="3"/>
  <c r="W188" i="3"/>
  <c r="W197" i="3"/>
  <c r="W199" i="3"/>
  <c r="W203" i="3"/>
  <c r="M18" i="2"/>
  <c r="D18" i="2"/>
  <c r="AI20" i="2"/>
  <c r="H22" i="2"/>
  <c r="AF85" i="3"/>
  <c r="AF141" i="3"/>
  <c r="W181" i="3"/>
  <c r="W192" i="3"/>
  <c r="N3" i="2"/>
  <c r="Z9" i="2"/>
  <c r="AF73" i="3"/>
  <c r="W83" i="3"/>
  <c r="AF132" i="3"/>
  <c r="AF150" i="3"/>
  <c r="AF187" i="3"/>
  <c r="AH3" i="2"/>
  <c r="F29" i="2"/>
  <c r="W53" i="3"/>
  <c r="W128" i="3"/>
  <c r="W130" i="3"/>
  <c r="AF175" i="3"/>
  <c r="AF211" i="3"/>
  <c r="X3" i="2"/>
  <c r="C29" i="2"/>
  <c r="AF116" i="3"/>
  <c r="AF118" i="3"/>
  <c r="W168" i="3"/>
  <c r="L3" i="2"/>
  <c r="W3" i="2"/>
  <c r="Z6" i="2"/>
  <c r="Z11" i="2"/>
  <c r="AI12" i="2"/>
  <c r="E18" i="2"/>
  <c r="P18" i="2"/>
  <c r="Q24" i="2"/>
  <c r="H32" i="2"/>
  <c r="Q35" i="2"/>
  <c r="W65" i="3"/>
  <c r="M10" i="3" s="1"/>
  <c r="W85" i="3"/>
  <c r="W90" i="3"/>
  <c r="AF95" i="3"/>
  <c r="AF104" i="3"/>
  <c r="W114" i="3"/>
  <c r="AF120" i="3"/>
  <c r="AF125" i="3"/>
  <c r="W132" i="3"/>
  <c r="W137" i="3"/>
  <c r="AF139" i="3"/>
  <c r="AF148" i="3"/>
  <c r="AF162" i="3"/>
  <c r="W173" i="3"/>
  <c r="W175" i="3"/>
  <c r="W180" i="3"/>
  <c r="AF185" i="3"/>
  <c r="AF191" i="3"/>
  <c r="W201" i="3"/>
  <c r="AF210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5" i="3"/>
  <c r="W97" i="3"/>
  <c r="AF102" i="3"/>
  <c r="AF108" i="3"/>
  <c r="W118" i="3"/>
  <c r="AF127" i="3"/>
  <c r="AF129" i="3"/>
  <c r="W139" i="3"/>
  <c r="W141" i="3"/>
  <c r="AF143" i="3"/>
  <c r="AF152" i="3"/>
  <c r="W160" i="3"/>
  <c r="AF167" i="3"/>
  <c r="AF169" i="3"/>
  <c r="W185" i="3"/>
  <c r="W187" i="3"/>
  <c r="AF189" i="3"/>
  <c r="AF198" i="3"/>
  <c r="W208" i="3"/>
  <c r="AF212" i="3"/>
  <c r="C3" i="2"/>
  <c r="Y3" i="2"/>
  <c r="H7" i="2"/>
  <c r="Q23" i="2"/>
  <c r="Q31" i="2"/>
  <c r="W41" i="3"/>
  <c r="F10" i="3" s="1"/>
  <c r="W56" i="3"/>
  <c r="AF61" i="3"/>
  <c r="M9" i="3" s="1"/>
  <c r="AF89" i="3"/>
  <c r="W102" i="3"/>
  <c r="W104" i="3"/>
  <c r="AF106" i="3"/>
  <c r="AF115" i="3"/>
  <c r="W125" i="3"/>
  <c r="AF131" i="3"/>
  <c r="AF133" i="3"/>
  <c r="W143" i="3"/>
  <c r="W148" i="3"/>
  <c r="AF157" i="3"/>
  <c r="AF174" i="3"/>
  <c r="AF179" i="3"/>
  <c r="W189" i="3"/>
  <c r="AF196" i="3"/>
  <c r="AF202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6" i="3"/>
  <c r="W106" i="3"/>
  <c r="W108" i="3"/>
  <c r="AF113" i="3"/>
  <c r="AF119" i="3"/>
  <c r="W129" i="3"/>
  <c r="AF138" i="3"/>
  <c r="AF140" i="3"/>
  <c r="W150" i="3"/>
  <c r="W152" i="3"/>
  <c r="AF161" i="3"/>
  <c r="W169" i="3"/>
  <c r="AF181" i="3"/>
  <c r="AF186" i="3"/>
  <c r="W191" i="3"/>
  <c r="W196" i="3"/>
  <c r="W198" i="3"/>
  <c r="AF200" i="3"/>
  <c r="AF209" i="3"/>
  <c r="W212" i="3"/>
  <c r="W214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4" i="3"/>
  <c r="W89" i="3"/>
  <c r="AF101" i="3"/>
  <c r="AF103" i="3"/>
  <c r="W113" i="3"/>
  <c r="W115" i="3"/>
  <c r="AF117" i="3"/>
  <c r="AF126" i="3"/>
  <c r="W133" i="3"/>
  <c r="AF142" i="3"/>
  <c r="AF147" i="3"/>
  <c r="W157" i="3"/>
  <c r="AF159" i="3"/>
  <c r="W179" i="3"/>
  <c r="AF188" i="3"/>
  <c r="AF190" i="3"/>
  <c r="W200" i="3"/>
  <c r="W202" i="3"/>
  <c r="AF207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3" i="3"/>
  <c r="AF91" i="3"/>
  <c r="W96" i="3"/>
  <c r="AF105" i="3"/>
  <c r="AF107" i="3"/>
  <c r="W117" i="3"/>
  <c r="W119" i="3"/>
  <c r="AF121" i="3"/>
  <c r="AF130" i="3"/>
  <c r="W140" i="3"/>
  <c r="AF149" i="3"/>
  <c r="AF151" i="3"/>
  <c r="W159" i="3"/>
  <c r="W161" i="3"/>
  <c r="AF163" i="3"/>
  <c r="AF173" i="3"/>
  <c r="W186" i="3"/>
  <c r="AF192" i="3"/>
  <c r="AF197" i="3"/>
  <c r="W207" i="3"/>
  <c r="W209" i="3"/>
  <c r="AF213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0" i="3"/>
  <c r="W103" i="3"/>
  <c r="AF109" i="3"/>
  <c r="AF114" i="3"/>
  <c r="W121" i="3"/>
  <c r="W126" i="3"/>
  <c r="AF128" i="3"/>
  <c r="AF137" i="3"/>
  <c r="W147" i="3"/>
  <c r="AF153" i="3"/>
  <c r="W163" i="3"/>
  <c r="AF168" i="3"/>
  <c r="AF180" i="3"/>
  <c r="W190" i="3"/>
  <c r="AF199" i="3"/>
  <c r="AF201" i="3"/>
  <c r="W211" i="3"/>
  <c r="AC18" i="2"/>
  <c r="AB18" i="2" s="1"/>
  <c r="H21" i="2"/>
  <c r="K29" i="2"/>
  <c r="AC3" i="2"/>
  <c r="T18" i="2"/>
  <c r="B29" i="2"/>
  <c r="T3" i="2"/>
  <c r="K3" i="2"/>
  <c r="K18" i="2"/>
  <c r="B18" i="2"/>
  <c r="H26" i="3" l="1"/>
  <c r="F21" i="3"/>
  <c r="L26" i="3"/>
  <c r="I28" i="3"/>
  <c r="G27" i="3"/>
  <c r="G26" i="3"/>
  <c r="J29" i="3"/>
  <c r="L28" i="3"/>
  <c r="I30" i="3"/>
  <c r="G28" i="3"/>
  <c r="J30" i="3"/>
  <c r="A3" i="2"/>
  <c r="L30" i="3"/>
  <c r="K27" i="3"/>
  <c r="S18" i="2"/>
  <c r="M22" i="3"/>
  <c r="K29" i="3"/>
  <c r="G29" i="3"/>
  <c r="AB3" i="2"/>
  <c r="L27" i="3"/>
  <c r="J27" i="3"/>
  <c r="K30" i="3"/>
  <c r="J29" i="2"/>
  <c r="S3" i="2"/>
  <c r="H30" i="3"/>
  <c r="K28" i="3"/>
  <c r="J28" i="3"/>
  <c r="H28" i="3"/>
  <c r="G30" i="3"/>
  <c r="H27" i="3"/>
  <c r="J26" i="3"/>
  <c r="I26" i="3"/>
  <c r="H29" i="3"/>
  <c r="A18" i="2"/>
  <c r="L29" i="3"/>
  <c r="J18" i="2"/>
  <c r="J3" i="2"/>
  <c r="I29" i="3"/>
  <c r="K26" i="3"/>
  <c r="A29" i="2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Otras infecciones víricas caracterizadas por lesiones de la piel y de las membranas mucosas, no clasificadas en otra parte</t>
        </r>
      </text>
    </comment>
    <comment ref="P83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3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4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4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5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5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89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9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0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0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1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1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5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5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6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6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7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7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1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1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2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2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3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3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4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4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5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5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6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6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7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7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08" authorId="0" shapeId="0" xr:uid="{9292CC0B-C5F7-448E-B153-31A254953D81}">
      <text/>
    </comment>
    <comment ref="Y108" authorId="0" shapeId="0" xr:uid="{68FE84D9-FD55-4703-A794-47633D45BE31}">
      <text/>
    </comment>
    <comment ref="P109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09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3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3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4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4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5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5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6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6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7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7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18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18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19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19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0" authorId="0" shapeId="0" xr:uid="{F72C6AEB-6374-4DCB-B26C-97E28F81E751}">
      <text/>
    </comment>
    <comment ref="Y120" authorId="0" shapeId="0" xr:uid="{ED6301BE-C6BE-4339-9B0C-FA2751C07581}">
      <text/>
    </comment>
    <comment ref="P121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1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5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5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6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6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7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7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28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28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29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29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0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0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1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1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2" authorId="0" shapeId="0" xr:uid="{AAB1116D-C743-471D-A281-08B05C776298}">
      <text/>
    </comment>
    <comment ref="Y132" authorId="0" shapeId="0" xr:uid="{9240D04B-D8AD-49B4-AEF5-8CD719F19E10}">
      <text/>
    </comment>
    <comment ref="P133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3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7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7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38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38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9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39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0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0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1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1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2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2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3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3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7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7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8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8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9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9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0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0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1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1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2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2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3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3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7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7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8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8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9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9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0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0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1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1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2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2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3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3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7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7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68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68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69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69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3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3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4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4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5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5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9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9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0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0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1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1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5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5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6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6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7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7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88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88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89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89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0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0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1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1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2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2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6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6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7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7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98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98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9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9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0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0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1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1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2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2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3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3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7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7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08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08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9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9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0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0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1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1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2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2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3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3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4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4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 xml:space="preserve">Notificación:
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<sst xmlns="http://schemas.openxmlformats.org/spreadsheetml/2006/main" count="2479" uniqueCount="616">
  <si>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</si>
  <si>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</si>
  <si>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</si>
  <si>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</si>
  <si>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</si>
  <si>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</si>
  <si>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</si>
  <si>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</si>
  <si>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</si>
  <si>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</si>
  <si>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</si>
  <si>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</si>
  <si>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</si>
  <si>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</si>
  <si>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</si>
  <si>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</si>
  <si>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</si>
  <si>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</si>
  <si>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</si>
  <si>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</si>
  <si>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</si>
  <si>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</si>
  <si>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</si>
  <si>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</si>
  <si>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</si>
  <si>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</si>
  <si>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</si>
  <si>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</si>
  <si>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</si>
  <si>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</si>
  <si>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</si>
  <si>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</si>
  <si>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</si>
  <si>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</si>
  <si>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</si>
  <si>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</si>
  <si>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</si>
  <si>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</si>
  <si>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</si>
  <si>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</si>
  <si>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</si>
  <si>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</si>
  <si>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</si>
  <si>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</si>
  <si>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</si>
  <si>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</si>
  <si>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</si>
  <si>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</si>
  <si>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</si>
  <si>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</si>
  <si>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</si>
  <si>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</si>
  <si>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</si>
  <si>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</si>
  <si>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</si>
  <si>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</si>
  <si>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</si>
  <si>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</si>
  <si>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</si>
  <si>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</si>
  <si>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</si>
  <si>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</si>
  <si>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</si>
  <si>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</si>
  <si>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</si>
  <si>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</si>
  <si>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</si>
  <si>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</si>
  <si>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</si>
  <si>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</si>
  <si>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</si>
  <si>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</si>
  <si>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</si>
  <si>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</si>
  <si>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</si>
  <si>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</si>
  <si>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</si>
  <si>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</si>
  <si>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</si>
  <si>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</si>
  <si>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</si>
  <si>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</si>
  <si>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</si>
  <si>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</si>
  <si>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</si>
  <si>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</si>
  <si>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</si>
  <si>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</si>
  <si>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</si>
  <si>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</si>
  <si>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</si>
  <si>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</si>
  <si>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</si>
  <si>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</si>
  <si>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</si>
  <si>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</si>
  <si>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</si>
  <si>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</si>
  <si>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</si>
  <si>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</si>
  <si>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</si>
  <si>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</si>
  <si>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</si>
  <si>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</si>
  <si>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</si>
  <si>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</si>
  <si>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</si>
  <si>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</si>
  <si>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</si>
  <si>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</si>
  <si>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</si>
  <si>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</si>
  <si>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</si>
  <si>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</si>
  <si>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</si>
  <si>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</si>
  <si>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</si>
  <si>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</si>
  <si>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</si>
  <si>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</si>
  <si>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</si>
  <si>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</si>
  <si>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</si>
  <si>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</si>
  <si>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</si>
  <si>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</si>
  <si>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</si>
  <si>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</si>
  <si>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</si>
  <si>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</si>
  <si>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</si>
  <si>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</si>
  <si>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</si>
  <si>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</si>
  <si>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</si>
  <si>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</si>
  <si>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</si>
  <si>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</si>
  <si>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</si>
  <si>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</si>
  <si>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</si>
  <si>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</si>
  <si>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</si>
  <si>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</si>
  <si>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</si>
  <si>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</si>
  <si>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</si>
  <si>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</si>
  <si>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</si>
  <si>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</si>
  <si>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</si>
  <si>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</si>
  <si>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</si>
  <si>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</si>
  <si>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</si>
  <si>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</si>
  <si>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</si>
  <si>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</si>
  <si>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</si>
  <si>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</si>
  <si>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</si>
  <si>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</si>
  <si>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</si>
  <si>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</si>
  <si>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</si>
  <si>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</si>
  <si>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</si>
  <si>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</si>
  <si>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</si>
  <si>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</si>
  <si>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</si>
  <si>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</si>
  <si>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</si>
  <si>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</si>
  <si>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</si>
  <si>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</si>
  <si>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</si>
  <si>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</si>
  <si>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</si>
  <si>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</si>
  <si>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</si>
  <si>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</si>
  <si>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</si>
  <si>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</si>
  <si>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</si>
  <si>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</si>
  <si>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</si>
  <si>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</si>
  <si>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</si>
  <si>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</si>
  <si>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</si>
  <si>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</si>
  <si>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</si>
  <si>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</si>
  <si>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</si>
  <si>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</si>
  <si>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</si>
  <si>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</si>
  <si>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</si>
  <si>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</si>
  <si>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</si>
  <si>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</si>
  <si>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</si>
  <si>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</si>
  <si>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</si>
  <si>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</si>
  <si>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</si>
  <si>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</si>
  <si>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</si>
  <si>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</si>
  <si>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</si>
  <si>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</si>
  <si>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</si>
  <si>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</si>
  <si>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</si>
  <si>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</si>
  <si>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</si>
  <si>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</si>
  <si>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</si>
  <si>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</si>
  <si>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</si>
  <si>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</si>
  <si>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</si>
  <si>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</si>
  <si>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</si>
  <si>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</si>
  <si>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</si>
  <si>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</si>
  <si>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</si>
  <si>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</si>
  <si>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</si>
  <si>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</si>
  <si>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</si>
  <si>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</si>
  <si>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</si>
  <si>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</si>
  <si>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</si>
  <si>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</si>
  <si>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</si>
  <si>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</si>
  <si>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</si>
  <si>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</si>
  <si>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</si>
  <si>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</si>
  <si>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</si>
  <si>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</si>
  <si>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</si>
  <si>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</si>
  <si>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</si>
  <si>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</si>
  <si>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</si>
  <si>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</si>
  <si>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</si>
  <si>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</si>
  <si>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</si>
  <si>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</si>
  <si>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</si>
  <si>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</si>
  <si>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</si>
  <si>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</si>
  <si>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</si>
  <si>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</si>
  <si>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</si>
  <si>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</si>
  <si>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</si>
  <si>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</si>
  <si>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</si>
  <si>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</si>
  <si>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</si>
  <si>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B08*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</si>
  <si>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</si>
  <si>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</si>
  <si>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</si>
  <si>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</si>
  <si>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</si>
  <si>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</si>
  <si>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</si>
  <si>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</si>
  <si>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</si>
  <si>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</si>
  <si>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</si>
  <si>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</si>
  <si>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</si>
  <si>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</si>
  <si>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</si>
  <si>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</si>
  <si>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</si>
  <si>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</si>
  <si>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</si>
  <si>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</si>
  <si>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</si>
  <si>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</si>
  <si>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</si>
  <si>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</si>
  <si>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</si>
  <si>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</si>
  <si>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</si>
  <si>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</si>
  <si>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</si>
  <si>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</si>
  <si>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</si>
  <si>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</si>
  <si>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</si>
  <si>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</si>
  <si>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</si>
  <si>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</si>
  <si>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</si>
  <si>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</si>
  <si>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</si>
  <si>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</si>
  <si>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</si>
  <si>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</si>
  <si>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</si>
  <si>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</si>
  <si>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</si>
  <si>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</si>
  <si>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</si>
  <si>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</si>
  <si>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</si>
  <si>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</si>
  <si>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</si>
  <si>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</si>
  <si>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</si>
  <si>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</si>
  <si>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</si>
  <si>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</si>
  <si>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</si>
  <si>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</si>
  <si>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</si>
  <si>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</si>
  <si>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</si>
  <si>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</si>
  <si>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</si>
  <si>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</si>
  <si>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</si>
  <si>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</si>
  <si>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</si>
  <si>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</si>
  <si>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</si>
  <si>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</si>
  <si>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</si>
  <si>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</si>
  <si>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</si>
  <si>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</si>
  <si>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</si>
  <si>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</si>
  <si>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</si>
  <si>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</si>
  <si>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</si>
  <si>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</si>
  <si>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</si>
  <si>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</si>
  <si>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</si>
  <si>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</si>
  <si>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</si>
  <si>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</si>
  <si>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</si>
  <si>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</si>
  <si>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</si>
  <si>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</si>
  <si>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</si>
  <si>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</si>
  <si>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</si>
  <si>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</si>
  <si>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</si>
  <si>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</si>
  <si>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</si>
  <si>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</si>
  <si>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</si>
  <si>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</si>
  <si>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</si>
  <si>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</si>
  <si>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</si>
  <si>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</si>
  <si>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</si>
  <si>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</si>
  <si>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</si>
  <si>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</si>
  <si>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</si>
  <si>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</si>
  <si>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</si>
  <si>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</si>
  <si>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</si>
  <si>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</si>
  <si>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</si>
  <si>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</si>
  <si>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</si>
  <si>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</si>
  <si>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</si>
  <si>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</si>
  <si>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</si>
  <si>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</si>
  <si>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</si>
  <si>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</si>
  <si>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</si>
  <si>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</si>
  <si>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</si>
  <si>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</si>
  <si>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</si>
  <si>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</si>
  <si>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</si>
  <si>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</si>
  <si>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</si>
  <si>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</si>
  <si>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</si>
  <si>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</si>
  <si>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</si>
  <si>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</si>
  <si>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</si>
  <si>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</si>
  <si>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</si>
  <si>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</si>
  <si>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</si>
  <si>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</si>
  <si>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</si>
  <si>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</si>
  <si>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</si>
  <si>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</si>
  <si>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</si>
  <si>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</si>
  <si>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</si>
  <si>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</si>
  <si>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</si>
  <si>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</si>
  <si>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</si>
  <si>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</si>
  <si>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</si>
  <si>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</si>
  <si>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</si>
  <si>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</si>
  <si>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</si>
  <si>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</si>
  <si>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</si>
  <si>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</si>
  <si>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</si>
  <si>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</si>
  <si>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</si>
  <si>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</si>
  <si>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</si>
  <si>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</si>
  <si>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</si>
  <si>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</si>
  <si>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</si>
  <si>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</si>
  <si>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</si>
  <si>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</si>
  <si>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</si>
  <si>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</si>
  <si>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</si>
  <si>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</si>
  <si>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</si>
  <si>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</si>
  <si>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</si>
  <si>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</si>
  <si>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</si>
  <si>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</si>
  <si>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</si>
  <si>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</si>
  <si>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</si>
  <si>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</si>
  <si>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</si>
  <si>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</si>
  <si>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</si>
  <si>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</si>
  <si>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</si>
  <si>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</si>
  <si>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</si>
  <si>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</si>
  <si>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</si>
  <si>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</si>
  <si>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</si>
  <si>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</si>
  <si>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</si>
  <si>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</si>
  <si>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</si>
  <si>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</si>
  <si>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</si>
  <si>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</si>
  <si>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</si>
  <si>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</si>
  <si>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A23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</si>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</sst>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4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rgb="FFFFC7CE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</borders>
  <cellStyleXfs count="16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11" borderId="0" applyNumberFormat="0" applyBorder="0" applyAlignment="0" applyProtection="0"/>
  </cellStyleXfs>
  <cellXfs count="159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33" fillId="11" borderId="0" xfId="15" applyBorder="1" applyAlignment="1">
      <alignment horizontal="center"/>
    </xf>
    <xf numFmtId="164" fontId="14" fillId="0" borderId="9" xfId="8" applyFont="1" applyBorder="1" applyAlignment="1">
      <alignment horizontal="left" vertical="center" wrapText="1"/>
    </xf>
    <xf numFmtId="0" fontId="0" fillId="0" borderId="10" xfId="0" applyBorder="1"/>
    <xf numFmtId="0" fontId="0" fillId="0" borderId="14" xfId="0" applyBorder="1"/>
    <xf numFmtId="0" fontId="0" fillId="0" borderId="19" xfId="0" applyBorder="1"/>
    <xf numFmtId="0" fontId="0" fillId="0" borderId="13" xfId="0" applyBorder="1"/>
    <xf numFmtId="164" fontId="10" fillId="7" borderId="1" xfId="8" applyFont="1" applyFill="1" applyAlignment="1">
      <alignment horizontal="center" vertical="center"/>
    </xf>
    <xf numFmtId="164" fontId="17" fillId="0" borderId="17" xfId="8" applyFont="1" applyBorder="1" applyAlignment="1">
      <alignment horizontal="center" vertical="center"/>
    </xf>
    <xf numFmtId="0" fontId="0" fillId="0" borderId="12" xfId="0" applyBorder="1"/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4" fillId="0" borderId="15" xfId="8" applyFont="1" applyBorder="1" applyAlignment="1">
      <alignment horizontal="center" vertical="center"/>
    </xf>
    <xf numFmtId="0" fontId="0" fillId="0" borderId="11" xfId="0" applyBorder="1"/>
    <xf numFmtId="164" fontId="14" fillId="0" borderId="41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 wrapText="1"/>
    </xf>
    <xf numFmtId="0" fontId="0" fillId="0" borderId="25" xfId="0" applyBorder="1"/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17" fillId="0" borderId="15" xfId="9" applyBorder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164" fontId="14" fillId="0" borderId="4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4" fillId="0" borderId="15" xfId="8" applyFont="1" applyBorder="1" applyAlignment="1">
      <alignment horizontal="left" vertical="center"/>
    </xf>
    <xf numFmtId="0" fontId="0" fillId="0" borderId="18" xfId="0" applyBorder="1"/>
    <xf numFmtId="0" fontId="0" fillId="0" borderId="20" xfId="0" applyBorder="1"/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44" xfId="0" applyBorder="1"/>
    <xf numFmtId="164" fontId="14" fillId="0" borderId="42" xfId="8" applyFont="1" applyBorder="1" applyAlignment="1">
      <alignment horizontal="center" vertical="center"/>
    </xf>
    <xf numFmtId="164" fontId="14" fillId="0" borderId="21" xfId="8" applyFont="1" applyBorder="1" applyAlignment="1">
      <alignment horizontal="left" vertical="center" wrapText="1"/>
    </xf>
    <xf numFmtId="0" fontId="0" fillId="0" borderId="27" xfId="0" applyBorder="1"/>
    <xf numFmtId="0" fontId="0" fillId="0" borderId="28" xfId="0" applyBorder="1"/>
    <xf numFmtId="164" fontId="15" fillId="0" borderId="12" xfId="8" applyFont="1" applyBorder="1" applyAlignment="1">
      <alignment horizontal="center" vertical="center"/>
    </xf>
    <xf numFmtId="0" fontId="18" fillId="8" borderId="1" xfId="9" applyFont="1" applyFill="1" applyAlignment="1">
      <alignment horizontal="right" wrapText="1"/>
    </xf>
    <xf numFmtId="0" fontId="0" fillId="0" borderId="26" xfId="0" applyBorder="1"/>
    <xf numFmtId="0" fontId="0" fillId="0" borderId="1" xfId="0" applyAlignment="1">
      <alignment horizontal="center"/>
    </xf>
    <xf numFmtId="0" fontId="22" fillId="2" borderId="1" xfId="1" applyFont="1" applyAlignment="1">
      <alignment horizontal="center" vertical="center"/>
    </xf>
    <xf numFmtId="164" fontId="9" fillId="7" borderId="1" xfId="8" applyFont="1" applyFill="1" applyAlignment="1">
      <alignment horizontal="center" vertical="center"/>
    </xf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28" fillId="0" borderId="2" xfId="3" applyFont="1" applyAlignment="1">
      <alignment horizontal="center"/>
    </xf>
    <xf numFmtId="0" fontId="27" fillId="0" borderId="1" xfId="11" applyBorder="1" applyAlignment="1">
      <alignment horizontal="center" wrapText="1"/>
    </xf>
    <xf numFmtId="0" fontId="25" fillId="0" borderId="1" xfId="0" applyFont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32" fillId="10" borderId="48" xfId="14" applyAlignment="1">
      <alignment horizontal="center"/>
    </xf>
    <xf numFmtId="0" fontId="31" fillId="10" borderId="49" xfId="13" applyAlignment="1">
      <alignment horizontal="center"/>
    </xf>
    <xf numFmtId="0" fontId="32" fillId="10" borderId="48" xfId="14" applyAlignment="1">
      <alignment horizontal="center" wrapText="1"/>
    </xf>
    <xf numFmtId="0" fontId="30" fillId="0" borderId="47" xfId="12" applyAlignment="1">
      <alignment horizontal="center"/>
    </xf>
    <xf numFmtId="0" fontId="31" fillId="10" borderId="49" xfId="13" applyAlignment="1">
      <alignment horizontal="center" wrapText="1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0" fillId="0" borderId="0" xfId="0" applyNumberFormat="1" applyBorder="1" applyAlignment="1">
      <alignment horizontal="center"/>
    </xf>
    <xf numFmtId="0" fontId="4" fillId="5" borderId="1" xfId="6" applyNumberFormat="1" applyAlignment="1">
      <alignment horizontal="center"/>
    </xf>
  </cellXfs>
  <cellStyles count="16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Incorrecto" xfId="15" builtinId="27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15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UER Guairá" refreshedDate="45590.572850810182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X300000" totalsRowShown="0" headerRowDxfId="1557" headerRowBorderDxfId="1556">
  <autoFilter ref="A2:BX300000" xr:uid="{00000000-0009-0000-0100-000001000000}"/>
  <tableColumns count="76">
    <tableColumn id="1" xr3:uid="{00000000-0010-0000-0000-000001000000}" name="Fecha" dataDxfId="1555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1554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1553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1552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1551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1550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1549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1548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1547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1546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1545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1544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1543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1542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1541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1540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1539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1538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1537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1536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1535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1534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1533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1532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1531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1530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1529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1528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1527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1526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1525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1524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1523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1522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1521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1520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1519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1518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1517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1516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1515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1514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1513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1512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1511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1510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1509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1508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1507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1506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1505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1504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1503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1502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1501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1500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1499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1498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1497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1496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1495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1494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1493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1492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1491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1490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1489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1488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1487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1486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1485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1484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1483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1482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1481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1480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1479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478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477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476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475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474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473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472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471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470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469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468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467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466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465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464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463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462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461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460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459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458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457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456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455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454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453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452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451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450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449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448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447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446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445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444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443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442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441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440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439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438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437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436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435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434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433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432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431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430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429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428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427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426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425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424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423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422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421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420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419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418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417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416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415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414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413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412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411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410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409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408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407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406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405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404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403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402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401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400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399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398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397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396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395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394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393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392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391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390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389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388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387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386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385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384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383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382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381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380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379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378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377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376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375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374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373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372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371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370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369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368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367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366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365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364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363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362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361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360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359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358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357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356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355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354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353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352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351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350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349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348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347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346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345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344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343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342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341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340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339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338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337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336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335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334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333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332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331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79" totalsRowShown="0" headerRowDxfId="1330">
  <autoFilter ref="P78:W79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329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328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327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326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325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324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323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2:W85" totalsRowShown="0" headerRowDxfId="1322">
  <autoFilter ref="P82:W85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321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320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319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318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317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316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315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2:AF85" totalsRowShown="0" headerRowDxfId="1314">
  <autoFilter ref="Y82:AF85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313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312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311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310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309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308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307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88:W91" totalsRowShown="0" headerRowDxfId="1306">
  <autoFilter ref="P88:W91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305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304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303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302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301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300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299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88:AF91" totalsRowShown="0" headerRowDxfId="1298">
  <autoFilter ref="Y88:AF91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297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296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295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294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293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292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291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4:W97" totalsRowShown="0" headerRowDxfId="1290">
  <autoFilter ref="P94:W97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289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288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287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286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285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284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283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4:AF97" totalsRowShown="0" headerRowDxfId="1282">
  <autoFilter ref="Y94:AF97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281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280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279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278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277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276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275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0:W109" totalsRowShown="0" headerRowDxfId="1274">
  <autoFilter ref="P100:W109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273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272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271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270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269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268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267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0:AF109" totalsRowShown="0" headerRowDxfId="1266">
  <autoFilter ref="Y100:AF109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265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264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263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262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261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260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259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2:W121" totalsRowShown="0" headerRowDxfId="1258">
  <autoFilter ref="P112:W121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257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256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255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254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253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252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251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2:AF121" totalsRowShown="0" headerRowDxfId="1250">
  <autoFilter ref="Y112:AF121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249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248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247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246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245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244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243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4:W133" totalsRowShown="0" headerRowDxfId="1242">
  <autoFilter ref="P124:W133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241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240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239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238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237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236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235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4:AF133" totalsRowShown="0" headerRowDxfId="1234">
  <autoFilter ref="Y124:AF133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233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232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231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230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229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228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227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6:W143" totalsRowShown="0" headerRowDxfId="1226">
  <autoFilter ref="P136:W143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225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224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223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222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221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220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219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6:AF143" totalsRowShown="0" headerRowDxfId="1218">
  <autoFilter ref="Y136:AF143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217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216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215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214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213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212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211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6:W153" totalsRowShown="0" headerRowDxfId="1210">
  <autoFilter ref="P146:W153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209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208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207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206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205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204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203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6:AF153" totalsRowShown="0" headerRowDxfId="1202">
  <autoFilter ref="Y146:AF153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201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200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199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198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197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196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195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6:W163" totalsRowShown="0" headerRowDxfId="1194">
  <autoFilter ref="P156:W163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193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192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191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190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189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188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187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6:AF163" totalsRowShown="0" headerRowDxfId="1186">
  <autoFilter ref="Y156:AF163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185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184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183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182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181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180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179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6:W169" totalsRowShown="0" headerRowDxfId="1178">
  <autoFilter ref="P166:W169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177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176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175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174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173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172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171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6:AF169" totalsRowShown="0" headerRowDxfId="1170">
  <autoFilter ref="Y166:AF169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169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168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167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166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165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164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163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2:W175" totalsRowShown="0" headerRowDxfId="1162">
  <autoFilter ref="P172:W175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161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160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159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158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157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156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155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2:AF175" totalsRowShown="0" headerRowDxfId="1154">
  <autoFilter ref="Y172:AF175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153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152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151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150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149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148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147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78:W181" totalsRowShown="0" headerRowDxfId="1146">
  <autoFilter ref="P178:W181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145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144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143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142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141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140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139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78:AF181" totalsRowShown="0" headerRowDxfId="1138">
  <autoFilter ref="Y178:AF181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137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136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135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134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133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132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131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4:W192" totalsRowShown="0" headerRowDxfId="1130">
  <autoFilter ref="P184:W192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129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128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127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126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125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124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123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4:AF192" totalsRowShown="0" headerRowDxfId="1122">
  <autoFilter ref="Y184:AF192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121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120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119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118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117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116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115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5:W203" totalsRowShown="0" headerRowDxfId="1114">
  <autoFilter ref="P195:W203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113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112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111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110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109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108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107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5:AF203" totalsRowShown="0" headerRowDxfId="1106">
  <autoFilter ref="Y195:AF203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105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104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103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102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101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100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099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6:W214" totalsRowShown="0" headerRowDxfId="1098">
  <autoFilter ref="P206:W214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097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096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095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094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093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092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091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6:AF214" totalsRowShown="0" headerRowDxfId="1090">
  <autoFilter ref="Y206:AF214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089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088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087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086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085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084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083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082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081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080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079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078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077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076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075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074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073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072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071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070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069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068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067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066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065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064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063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062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061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060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059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058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057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056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055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054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053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052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051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050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049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048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047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046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045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044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043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042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041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040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039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038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037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036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035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034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033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032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031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030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029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028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027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026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025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024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023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022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021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020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019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018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017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016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015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014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013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012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011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010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009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008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007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006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005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004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003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002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001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000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999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998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997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996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995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994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993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992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991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990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989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988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987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986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985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984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983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982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981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980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979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978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977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976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975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974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973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972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971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970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969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968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967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966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965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964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963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962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961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960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959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958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957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956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955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954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953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952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951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950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949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948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947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946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945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944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943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942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941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940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939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938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937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936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935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934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933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932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931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930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929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928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927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926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925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924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923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922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921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920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919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918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917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916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915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914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913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912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911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910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909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908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907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906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905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904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903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902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901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900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899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898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897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896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895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894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893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892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891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890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889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888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887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886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885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884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883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882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881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880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879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878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877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876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875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874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873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872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871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870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869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868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867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866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865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864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863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862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861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860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859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858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857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856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855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854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853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852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851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850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849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848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847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846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845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844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843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842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841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840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839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838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837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836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835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834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833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832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831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830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829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828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827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826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825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824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823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822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821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820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819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818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817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816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815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814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813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812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811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810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809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808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807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806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805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804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803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802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801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800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799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798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797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796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795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794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793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792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791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790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789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788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787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786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785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784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783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782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781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780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779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778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777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776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775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774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773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772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771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770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769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768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767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766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765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764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763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762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761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760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759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758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757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756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755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754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753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752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751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750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749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748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747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746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745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744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743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742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741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740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739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738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737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736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735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734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733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732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731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730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729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728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727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726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725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724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723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722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721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720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719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718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717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716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715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714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713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712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711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710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709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708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707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706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705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704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703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702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701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700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699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698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697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696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695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694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693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692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691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690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689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688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687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686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685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684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683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682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681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680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679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678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677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676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675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674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673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672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671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670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669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668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667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666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665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664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663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662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661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660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659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658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657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656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655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654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653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652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651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650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649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648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647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646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645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644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643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642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641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640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639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638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637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636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635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634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633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632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631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630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629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628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627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626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625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624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623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622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621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620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619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618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617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616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615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614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613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612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611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610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609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608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607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606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605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604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603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602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601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600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599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598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597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596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595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594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593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592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591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590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589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588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587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586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585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584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583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582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581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580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579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578">
  <tableColumns count="8">
    <tableColumn id="1" xr3:uid="{6C000DDB-1222-4878-9DEC-AFE57A380D8F}" name="CIE-10" dataCellStyle="20% - Énfasis4"/>
    <tableColumn id="2" xr3:uid="{11BFF063-84CD-4C06-B884-CF42FBC10B3E}" name="D1" dataDxfId="577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576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575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574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573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572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571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570">
  <tableColumns count="8">
    <tableColumn id="1" xr3:uid="{6EA4F35A-E808-408B-859E-1FDCFB690D57}" name="CIE-10" dataCellStyle="20% - Énfasis4"/>
    <tableColumn id="2" xr3:uid="{77EC5C26-0D73-46F5-BDA1-822594DFFADB}" name="D1" dataDxfId="569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568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567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566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565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564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563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562">
  <tableColumns count="8">
    <tableColumn id="1" xr3:uid="{2809381C-CFE0-4FA3-9100-0AA10CEEB457}" name="CIE-10" dataCellStyle="20% - Énfasis4"/>
    <tableColumn id="2" xr3:uid="{284C0F9B-B43D-452F-813C-2FE19A8E16BF}" name="D1" dataDxfId="561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560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559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558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557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556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555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554">
  <tableColumns count="8">
    <tableColumn id="1" xr3:uid="{6743B90F-E67E-4EDD-861F-DBE7821435FF}" name="CIE-10" dataCellStyle="20% - Énfasis4"/>
    <tableColumn id="2" xr3:uid="{7A1FD372-E9B2-44EB-8C0D-8B6ACE7D772E}" name="D1" dataDxfId="553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552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551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550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549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548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547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546">
  <tableColumns count="8">
    <tableColumn id="1" xr3:uid="{3B90A657-A3FD-4334-A8BD-67CFBADE17CF}" name="CIE-10" dataCellStyle="20% - Énfasis4"/>
    <tableColumn id="2" xr3:uid="{49C6E7F2-A2EB-48DA-BB48-34D39EF589A7}" name="D1" dataDxfId="545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544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543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542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541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540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539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5" totalsRowShown="0" headerRowDxfId="538">
  <tableColumns count="8">
    <tableColumn id="1" xr3:uid="{F5F29B47-2361-4C95-8215-40408148D3AC}" name="CIE-10" dataCellStyle="20% - Énfasis4"/>
    <tableColumn id="2" xr3:uid="{D64F5C68-7319-40F7-9267-AE4FAB43A1B3}" name="D1" dataDxfId="537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536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535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534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533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532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531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530">
  <tableColumns count="8">
    <tableColumn id="1" xr3:uid="{0978FF8D-467C-49EB-8BE3-211E0D49D649}" name="CIE-10" dataCellStyle="20% - Énfasis4"/>
    <tableColumn id="2" xr3:uid="{BAB19BA6-4B71-47EE-9247-2AC0972406E1}" name="D1" dataDxfId="529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528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527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526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525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524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523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522">
  <tableColumns count="8">
    <tableColumn id="1" xr3:uid="{262F80D6-0F30-4DC1-B0C6-354B77B7971D}" name="CIE-10" dataCellStyle="20% - Énfasis4"/>
    <tableColumn id="2" xr3:uid="{0F97F99E-F506-47FA-9579-FE92A09CDC88}" name="D1" dataDxfId="521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520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519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518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517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516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515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514">
  <tableColumns count="8">
    <tableColumn id="1" xr3:uid="{7BA20F6D-9B73-4C8D-8652-031522A38EF0}" name="CIE-10" dataCellStyle="20% - Énfasis4"/>
    <tableColumn id="2" xr3:uid="{6901F791-6018-4A02-A5EF-C9A5001633B6}" name="D1" dataDxfId="513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512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511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510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509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508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507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506">
  <tableColumns count="8">
    <tableColumn id="1" xr3:uid="{A03F71A6-8A29-4F52-B084-27FBD5FDA933}" name="CIE-10" dataCellStyle="20% - Énfasis4"/>
    <tableColumn id="2" xr3:uid="{30ED9D73-5B62-4966-BEDD-5CE62ABD885D}" name="D1" dataDxfId="505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504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503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502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501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500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499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498">
  <tableColumns count="8">
    <tableColumn id="1" xr3:uid="{2836B450-0267-4263-B314-35AF11D46D4B}" name="CIE-10" dataCellStyle="20% - Énfasis4"/>
    <tableColumn id="2" xr3:uid="{A14D9CD1-A028-4CCE-9F26-04652A3B200D}" name="D1" dataDxfId="497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496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495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494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493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492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491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490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489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488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487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486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485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484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483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482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481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480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479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478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477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476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475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474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473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472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471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470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469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468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467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466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465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464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463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462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461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460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459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458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457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456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455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454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453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452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451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450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449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448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447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446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445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444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443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442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441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440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439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438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437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436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435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434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433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432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431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430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429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428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427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426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425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424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423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422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421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420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419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418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417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416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415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414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413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412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411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410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409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408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407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406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405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404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403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402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401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400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399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398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397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396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395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394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393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392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391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390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389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388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387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386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385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384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383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382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381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380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379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378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377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376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375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374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373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372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371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370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369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368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367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366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365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364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363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362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361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360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359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358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357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356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355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354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353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352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351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350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349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348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347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346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345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344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343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342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341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340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339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338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337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336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335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334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333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332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331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330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329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328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327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326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325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324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323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322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321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320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319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318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317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316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315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314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313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312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311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310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309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308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307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306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305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304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303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302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301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300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299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298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297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296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295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294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293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292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291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290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289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288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287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286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285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284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283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282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281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280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279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278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277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276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275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274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273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272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271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270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269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268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267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266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265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264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263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262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261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260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259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258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257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256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255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254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253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252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251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250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249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248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247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246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245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244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243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242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241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240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239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238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237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236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235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234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233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232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231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230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229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228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227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226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225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224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223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222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221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220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219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218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217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216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215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214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213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212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211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210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209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208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207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206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205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204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203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202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201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200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199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198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197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196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195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194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193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192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191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190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189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188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187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186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185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184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183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182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181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180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179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178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177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176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175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174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173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172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171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170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169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168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167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166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165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164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163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162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161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160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159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158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157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156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155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154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153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152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151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150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149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148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147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146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145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144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143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142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141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140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139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138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137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136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135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134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133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132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131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130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129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128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127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126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125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124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123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122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121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120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119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118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117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116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115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114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113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112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111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110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109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108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107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106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105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104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103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102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101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100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99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98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97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96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95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94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93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92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91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90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89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88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87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86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85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84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83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82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81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80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79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78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77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76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75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74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73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72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71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70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69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68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67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66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65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64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63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62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61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60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9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8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6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5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4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3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2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1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0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49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48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47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46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45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44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43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42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41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40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39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38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37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36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35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34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33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32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31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30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29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28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27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70.xml"/><Relationship Id="rId18" Type="http://schemas.openxmlformats.org/officeDocument/2006/relationships/table" Target="../tables/table75.xml"/><Relationship Id="rId26" Type="http://schemas.openxmlformats.org/officeDocument/2006/relationships/table" Target="../tables/table83.xml"/><Relationship Id="rId39" Type="http://schemas.openxmlformats.org/officeDocument/2006/relationships/table" Target="../tables/table96.xml"/><Relationship Id="rId21" Type="http://schemas.openxmlformats.org/officeDocument/2006/relationships/table" Target="../tables/table78.xml"/><Relationship Id="rId34" Type="http://schemas.openxmlformats.org/officeDocument/2006/relationships/table" Target="../tables/table91.xml"/><Relationship Id="rId42" Type="http://schemas.openxmlformats.org/officeDocument/2006/relationships/table" Target="../tables/table99.xml"/><Relationship Id="rId7" Type="http://schemas.openxmlformats.org/officeDocument/2006/relationships/table" Target="../tables/table64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73.xml"/><Relationship Id="rId29" Type="http://schemas.openxmlformats.org/officeDocument/2006/relationships/table" Target="../tables/table86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3.xml"/><Relationship Id="rId11" Type="http://schemas.openxmlformats.org/officeDocument/2006/relationships/table" Target="../tables/table68.xml"/><Relationship Id="rId24" Type="http://schemas.openxmlformats.org/officeDocument/2006/relationships/table" Target="../tables/table81.xml"/><Relationship Id="rId32" Type="http://schemas.openxmlformats.org/officeDocument/2006/relationships/table" Target="../tables/table89.xml"/><Relationship Id="rId37" Type="http://schemas.openxmlformats.org/officeDocument/2006/relationships/table" Target="../tables/table94.xml"/><Relationship Id="rId40" Type="http://schemas.openxmlformats.org/officeDocument/2006/relationships/table" Target="../tables/table97.xml"/><Relationship Id="rId45" Type="http://schemas.openxmlformats.org/officeDocument/2006/relationships/table" Target="../tables/table102.xml"/><Relationship Id="rId5" Type="http://schemas.openxmlformats.org/officeDocument/2006/relationships/table" Target="../tables/table62.xml"/><Relationship Id="rId15" Type="http://schemas.openxmlformats.org/officeDocument/2006/relationships/table" Target="../tables/table72.xml"/><Relationship Id="rId23" Type="http://schemas.openxmlformats.org/officeDocument/2006/relationships/table" Target="../tables/table80.xml"/><Relationship Id="rId28" Type="http://schemas.openxmlformats.org/officeDocument/2006/relationships/table" Target="../tables/table85.xml"/><Relationship Id="rId36" Type="http://schemas.openxmlformats.org/officeDocument/2006/relationships/table" Target="../tables/table93.xml"/><Relationship Id="rId10" Type="http://schemas.openxmlformats.org/officeDocument/2006/relationships/table" Target="../tables/table67.xml"/><Relationship Id="rId19" Type="http://schemas.openxmlformats.org/officeDocument/2006/relationships/table" Target="../tables/table76.xml"/><Relationship Id="rId31" Type="http://schemas.openxmlformats.org/officeDocument/2006/relationships/table" Target="../tables/table88.xml"/><Relationship Id="rId44" Type="http://schemas.openxmlformats.org/officeDocument/2006/relationships/table" Target="../tables/table101.xml"/><Relationship Id="rId4" Type="http://schemas.openxmlformats.org/officeDocument/2006/relationships/table" Target="../tables/table61.xml"/><Relationship Id="rId9" Type="http://schemas.openxmlformats.org/officeDocument/2006/relationships/table" Target="../tables/table66.xml"/><Relationship Id="rId14" Type="http://schemas.openxmlformats.org/officeDocument/2006/relationships/table" Target="../tables/table71.xml"/><Relationship Id="rId22" Type="http://schemas.openxmlformats.org/officeDocument/2006/relationships/table" Target="../tables/table79.xml"/><Relationship Id="rId27" Type="http://schemas.openxmlformats.org/officeDocument/2006/relationships/table" Target="../tables/table84.xml"/><Relationship Id="rId30" Type="http://schemas.openxmlformats.org/officeDocument/2006/relationships/table" Target="../tables/table87.xml"/><Relationship Id="rId35" Type="http://schemas.openxmlformats.org/officeDocument/2006/relationships/table" Target="../tables/table92.xml"/><Relationship Id="rId43" Type="http://schemas.openxmlformats.org/officeDocument/2006/relationships/table" Target="../tables/table100.xml"/><Relationship Id="rId8" Type="http://schemas.openxmlformats.org/officeDocument/2006/relationships/table" Target="../tables/table65.xml"/><Relationship Id="rId3" Type="http://schemas.openxmlformats.org/officeDocument/2006/relationships/vmlDrawing" Target="../drawings/vmlDrawing3.vml"/><Relationship Id="rId12" Type="http://schemas.openxmlformats.org/officeDocument/2006/relationships/table" Target="../tables/table69.xml"/><Relationship Id="rId17" Type="http://schemas.openxmlformats.org/officeDocument/2006/relationships/table" Target="../tables/table74.xml"/><Relationship Id="rId25" Type="http://schemas.openxmlformats.org/officeDocument/2006/relationships/table" Target="../tables/table82.xml"/><Relationship Id="rId33" Type="http://schemas.openxmlformats.org/officeDocument/2006/relationships/table" Target="../tables/table90.xml"/><Relationship Id="rId38" Type="http://schemas.openxmlformats.org/officeDocument/2006/relationships/table" Target="../tables/table95.xml"/><Relationship Id="rId46" Type="http://schemas.openxmlformats.org/officeDocument/2006/relationships/comments" Target="../comments3.xml"/><Relationship Id="rId20" Type="http://schemas.openxmlformats.org/officeDocument/2006/relationships/table" Target="../tables/table77.xml"/><Relationship Id="rId41" Type="http://schemas.openxmlformats.org/officeDocument/2006/relationships/table" Target="../tables/table98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125.xml"/><Relationship Id="rId21" Type="http://schemas.openxmlformats.org/officeDocument/2006/relationships/table" Target="../tables/table120.xml"/><Relationship Id="rId42" Type="http://schemas.openxmlformats.org/officeDocument/2006/relationships/table" Target="../tables/table141.xml"/><Relationship Id="rId47" Type="http://schemas.openxmlformats.org/officeDocument/2006/relationships/table" Target="../tables/table146.xml"/><Relationship Id="rId63" Type="http://schemas.openxmlformats.org/officeDocument/2006/relationships/table" Target="../tables/table162.xml"/><Relationship Id="rId68" Type="http://schemas.openxmlformats.org/officeDocument/2006/relationships/table" Target="../tables/table167.xml"/><Relationship Id="rId84" Type="http://schemas.openxmlformats.org/officeDocument/2006/relationships/table" Target="../tables/table183.xml"/><Relationship Id="rId89" Type="http://schemas.openxmlformats.org/officeDocument/2006/relationships/table" Target="../tables/table188.xml"/><Relationship Id="rId16" Type="http://schemas.openxmlformats.org/officeDocument/2006/relationships/table" Target="../tables/table115.xml"/><Relationship Id="rId11" Type="http://schemas.openxmlformats.org/officeDocument/2006/relationships/table" Target="../tables/table110.xml"/><Relationship Id="rId32" Type="http://schemas.openxmlformats.org/officeDocument/2006/relationships/table" Target="../tables/table131.xml"/><Relationship Id="rId37" Type="http://schemas.openxmlformats.org/officeDocument/2006/relationships/table" Target="../tables/table136.xml"/><Relationship Id="rId53" Type="http://schemas.openxmlformats.org/officeDocument/2006/relationships/table" Target="../tables/table152.xml"/><Relationship Id="rId58" Type="http://schemas.openxmlformats.org/officeDocument/2006/relationships/table" Target="../tables/table157.xml"/><Relationship Id="rId74" Type="http://schemas.openxmlformats.org/officeDocument/2006/relationships/table" Target="../tables/table173.xml"/><Relationship Id="rId79" Type="http://schemas.openxmlformats.org/officeDocument/2006/relationships/table" Target="../tables/table178.xml"/><Relationship Id="rId5" Type="http://schemas.openxmlformats.org/officeDocument/2006/relationships/table" Target="../tables/table104.xml"/><Relationship Id="rId90" Type="http://schemas.openxmlformats.org/officeDocument/2006/relationships/table" Target="../tables/table189.xml"/><Relationship Id="rId22" Type="http://schemas.openxmlformats.org/officeDocument/2006/relationships/table" Target="../tables/table121.xml"/><Relationship Id="rId27" Type="http://schemas.openxmlformats.org/officeDocument/2006/relationships/table" Target="../tables/table126.xml"/><Relationship Id="rId43" Type="http://schemas.openxmlformats.org/officeDocument/2006/relationships/table" Target="../tables/table142.xml"/><Relationship Id="rId48" Type="http://schemas.openxmlformats.org/officeDocument/2006/relationships/table" Target="../tables/table147.xml"/><Relationship Id="rId64" Type="http://schemas.openxmlformats.org/officeDocument/2006/relationships/table" Target="../tables/table163.xml"/><Relationship Id="rId69" Type="http://schemas.openxmlformats.org/officeDocument/2006/relationships/table" Target="../tables/table168.xml"/><Relationship Id="rId8" Type="http://schemas.openxmlformats.org/officeDocument/2006/relationships/table" Target="../tables/table107.xml"/><Relationship Id="rId51" Type="http://schemas.openxmlformats.org/officeDocument/2006/relationships/table" Target="../tables/table150.xml"/><Relationship Id="rId72" Type="http://schemas.openxmlformats.org/officeDocument/2006/relationships/table" Target="../tables/table171.xml"/><Relationship Id="rId80" Type="http://schemas.openxmlformats.org/officeDocument/2006/relationships/table" Target="../tables/table179.xml"/><Relationship Id="rId85" Type="http://schemas.openxmlformats.org/officeDocument/2006/relationships/table" Target="../tables/table184.xml"/><Relationship Id="rId93" Type="http://schemas.openxmlformats.org/officeDocument/2006/relationships/table" Target="../tables/table192.xml"/><Relationship Id="rId3" Type="http://schemas.openxmlformats.org/officeDocument/2006/relationships/vmlDrawing" Target="../drawings/vmlDrawing4.vml"/><Relationship Id="rId12" Type="http://schemas.openxmlformats.org/officeDocument/2006/relationships/table" Target="../tables/table111.xml"/><Relationship Id="rId17" Type="http://schemas.openxmlformats.org/officeDocument/2006/relationships/table" Target="../tables/table116.xml"/><Relationship Id="rId25" Type="http://schemas.openxmlformats.org/officeDocument/2006/relationships/table" Target="../tables/table124.xml"/><Relationship Id="rId33" Type="http://schemas.openxmlformats.org/officeDocument/2006/relationships/table" Target="../tables/table132.xml"/><Relationship Id="rId38" Type="http://schemas.openxmlformats.org/officeDocument/2006/relationships/table" Target="../tables/table137.xml"/><Relationship Id="rId46" Type="http://schemas.openxmlformats.org/officeDocument/2006/relationships/table" Target="../tables/table145.xml"/><Relationship Id="rId59" Type="http://schemas.openxmlformats.org/officeDocument/2006/relationships/table" Target="../tables/table158.xml"/><Relationship Id="rId67" Type="http://schemas.openxmlformats.org/officeDocument/2006/relationships/table" Target="../tables/table166.xml"/><Relationship Id="rId20" Type="http://schemas.openxmlformats.org/officeDocument/2006/relationships/table" Target="../tables/table119.xml"/><Relationship Id="rId41" Type="http://schemas.openxmlformats.org/officeDocument/2006/relationships/table" Target="../tables/table140.xml"/><Relationship Id="rId54" Type="http://schemas.openxmlformats.org/officeDocument/2006/relationships/table" Target="../tables/table153.xml"/><Relationship Id="rId62" Type="http://schemas.openxmlformats.org/officeDocument/2006/relationships/table" Target="../tables/table161.xml"/><Relationship Id="rId70" Type="http://schemas.openxmlformats.org/officeDocument/2006/relationships/table" Target="../tables/table169.xml"/><Relationship Id="rId75" Type="http://schemas.openxmlformats.org/officeDocument/2006/relationships/table" Target="../tables/table174.xml"/><Relationship Id="rId83" Type="http://schemas.openxmlformats.org/officeDocument/2006/relationships/table" Target="../tables/table182.xml"/><Relationship Id="rId88" Type="http://schemas.openxmlformats.org/officeDocument/2006/relationships/table" Target="../tables/table187.xml"/><Relationship Id="rId91" Type="http://schemas.openxmlformats.org/officeDocument/2006/relationships/table" Target="../tables/table190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5.xml"/><Relationship Id="rId15" Type="http://schemas.openxmlformats.org/officeDocument/2006/relationships/table" Target="../tables/table114.xml"/><Relationship Id="rId23" Type="http://schemas.openxmlformats.org/officeDocument/2006/relationships/table" Target="../tables/table122.xml"/><Relationship Id="rId28" Type="http://schemas.openxmlformats.org/officeDocument/2006/relationships/table" Target="../tables/table127.xml"/><Relationship Id="rId36" Type="http://schemas.openxmlformats.org/officeDocument/2006/relationships/table" Target="../tables/table135.xml"/><Relationship Id="rId49" Type="http://schemas.openxmlformats.org/officeDocument/2006/relationships/table" Target="../tables/table148.xml"/><Relationship Id="rId57" Type="http://schemas.openxmlformats.org/officeDocument/2006/relationships/table" Target="../tables/table156.xml"/><Relationship Id="rId10" Type="http://schemas.openxmlformats.org/officeDocument/2006/relationships/table" Target="../tables/table109.xml"/><Relationship Id="rId31" Type="http://schemas.openxmlformats.org/officeDocument/2006/relationships/table" Target="../tables/table130.xml"/><Relationship Id="rId44" Type="http://schemas.openxmlformats.org/officeDocument/2006/relationships/table" Target="../tables/table143.xml"/><Relationship Id="rId52" Type="http://schemas.openxmlformats.org/officeDocument/2006/relationships/table" Target="../tables/table151.xml"/><Relationship Id="rId60" Type="http://schemas.openxmlformats.org/officeDocument/2006/relationships/table" Target="../tables/table159.xml"/><Relationship Id="rId65" Type="http://schemas.openxmlformats.org/officeDocument/2006/relationships/table" Target="../tables/table164.xml"/><Relationship Id="rId73" Type="http://schemas.openxmlformats.org/officeDocument/2006/relationships/table" Target="../tables/table172.xml"/><Relationship Id="rId78" Type="http://schemas.openxmlformats.org/officeDocument/2006/relationships/table" Target="../tables/table177.xml"/><Relationship Id="rId81" Type="http://schemas.openxmlformats.org/officeDocument/2006/relationships/table" Target="../tables/table180.xml"/><Relationship Id="rId86" Type="http://schemas.openxmlformats.org/officeDocument/2006/relationships/table" Target="../tables/table185.xml"/><Relationship Id="rId94" Type="http://schemas.openxmlformats.org/officeDocument/2006/relationships/comments" Target="../comments4.xml"/><Relationship Id="rId4" Type="http://schemas.openxmlformats.org/officeDocument/2006/relationships/table" Target="../tables/table103.xml"/><Relationship Id="rId9" Type="http://schemas.openxmlformats.org/officeDocument/2006/relationships/table" Target="../tables/table108.xml"/><Relationship Id="rId13" Type="http://schemas.openxmlformats.org/officeDocument/2006/relationships/table" Target="../tables/table112.xml"/><Relationship Id="rId18" Type="http://schemas.openxmlformats.org/officeDocument/2006/relationships/table" Target="../tables/table117.xml"/><Relationship Id="rId39" Type="http://schemas.openxmlformats.org/officeDocument/2006/relationships/table" Target="../tables/table138.xml"/><Relationship Id="rId34" Type="http://schemas.openxmlformats.org/officeDocument/2006/relationships/table" Target="../tables/table133.xml"/><Relationship Id="rId50" Type="http://schemas.openxmlformats.org/officeDocument/2006/relationships/table" Target="../tables/table149.xml"/><Relationship Id="rId55" Type="http://schemas.openxmlformats.org/officeDocument/2006/relationships/table" Target="../tables/table154.xml"/><Relationship Id="rId76" Type="http://schemas.openxmlformats.org/officeDocument/2006/relationships/table" Target="../tables/table175.xml"/><Relationship Id="rId7" Type="http://schemas.openxmlformats.org/officeDocument/2006/relationships/table" Target="../tables/table106.xml"/><Relationship Id="rId71" Type="http://schemas.openxmlformats.org/officeDocument/2006/relationships/table" Target="../tables/table170.xml"/><Relationship Id="rId92" Type="http://schemas.openxmlformats.org/officeDocument/2006/relationships/table" Target="../tables/table191.xml"/><Relationship Id="rId2" Type="http://schemas.openxmlformats.org/officeDocument/2006/relationships/printerSettings" Target="../printerSettings/printerSettings4.bin"/><Relationship Id="rId29" Type="http://schemas.openxmlformats.org/officeDocument/2006/relationships/table" Target="../tables/table128.xml"/><Relationship Id="rId24" Type="http://schemas.openxmlformats.org/officeDocument/2006/relationships/table" Target="../tables/table123.xml"/><Relationship Id="rId40" Type="http://schemas.openxmlformats.org/officeDocument/2006/relationships/table" Target="../tables/table139.xml"/><Relationship Id="rId45" Type="http://schemas.openxmlformats.org/officeDocument/2006/relationships/table" Target="../tables/table144.xml"/><Relationship Id="rId66" Type="http://schemas.openxmlformats.org/officeDocument/2006/relationships/table" Target="../tables/table165.xml"/><Relationship Id="rId87" Type="http://schemas.openxmlformats.org/officeDocument/2006/relationships/table" Target="../tables/table186.xml"/><Relationship Id="rId61" Type="http://schemas.openxmlformats.org/officeDocument/2006/relationships/table" Target="../tables/table160.xml"/><Relationship Id="rId82" Type="http://schemas.openxmlformats.org/officeDocument/2006/relationships/table" Target="../tables/table181.xml"/><Relationship Id="rId19" Type="http://schemas.openxmlformats.org/officeDocument/2006/relationships/table" Target="../tables/table118.xml"/><Relationship Id="rId14" Type="http://schemas.openxmlformats.org/officeDocument/2006/relationships/table" Target="../tables/table113.xml"/><Relationship Id="rId30" Type="http://schemas.openxmlformats.org/officeDocument/2006/relationships/table" Target="../tables/table129.xml"/><Relationship Id="rId35" Type="http://schemas.openxmlformats.org/officeDocument/2006/relationships/table" Target="../tables/table134.xml"/><Relationship Id="rId56" Type="http://schemas.openxmlformats.org/officeDocument/2006/relationships/table" Target="../tables/table155.xml"/><Relationship Id="rId77" Type="http://schemas.openxmlformats.org/officeDocument/2006/relationships/table" Target="../tables/table17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X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2" width="16.42578125" style="2" customWidth="1"/>
    <col min="13" max="13" width="11.7109375" style="2" bestFit="1" customWidth="1"/>
    <col min="14" max="14" width="28.28515625" style="2" customWidth="1"/>
    <col min="15" max="15" width="22" style="2" customWidth="1"/>
    <col min="16" max="16" width="20.7109375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5" width="54.7109375" style="2" bestFit="1" customWidth="1"/>
    <col min="46" max="48" width="31.28515625" style="2" bestFit="1" customWidth="1"/>
    <col min="49" max="49" width="11.7109375" style="2" bestFit="1" customWidth="1"/>
    <col min="50" max="50" width="10.85546875" style="2" customWidth="1"/>
    <col min="51" max="51" width="11.7109375" style="2" bestFit="1" customWidth="1"/>
    <col min="52" max="52" width="30.5703125" style="2" customWidth="1"/>
    <col min="53" max="53" width="15.5703125" style="2" bestFit="1" customWidth="1"/>
    <col min="54" max="54" width="15" style="2" customWidth="1"/>
    <col min="55" max="55" width="12.140625" style="2" customWidth="1"/>
    <col min="56" max="56" width="23.42578125" style="2" bestFit="1" customWidth="1"/>
    <col min="57" max="57" width="9" style="2" bestFit="1" customWidth="1"/>
    <col min="58" max="59" width="23.42578125" style="2" bestFit="1" customWidth="1"/>
    <col min="60" max="60" width="11" style="2" customWidth="1"/>
    <col min="61" max="62" width="23.42578125" style="2" bestFit="1" customWidth="1"/>
    <col min="63" max="63" width="11" style="2" customWidth="1"/>
    <col min="64" max="65" width="23.42578125" style="2" bestFit="1" customWidth="1"/>
    <col min="66" max="66" width="11" style="2" customWidth="1"/>
    <col min="67" max="68" width="23.42578125" style="2" bestFit="1" customWidth="1"/>
    <col min="69" max="69" width="11" style="2" customWidth="1"/>
    <col min="70" max="71" width="23.42578125" style="2" bestFit="1" customWidth="1"/>
    <col min="72" max="72" width="11" style="2" customWidth="1"/>
    <col min="73" max="73" width="23.7109375" style="2" customWidth="1"/>
    <col min="74" max="74" width="46.85546875" style="2" bestFit="1" customWidth="1"/>
    <col min="75" max="75" width="23.42578125" style="2" bestFit="1" customWidth="1"/>
    <col min="76" max="76" width="46.85546875" style="2" bestFit="1" customWidth="1"/>
    <col min="77" max="78" width="9.140625" style="2" customWidth="1"/>
    <col min="79" max="16384" width="9.140625" style="2"/>
  </cols>
  <sheetData>
    <row r="1" spans="1:76" ht="19.5" customHeight="1">
      <c r="A1" s="74" t="s">
        <v>0</v>
      </c>
      <c r="B1" s="76"/>
      <c r="C1" s="76"/>
      <c r="D1" s="76"/>
      <c r="E1" s="76"/>
      <c r="F1" s="76"/>
      <c r="G1" s="75"/>
      <c r="H1" s="74" t="s">
        <v>1</v>
      </c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5"/>
      <c r="U1" s="74" t="s">
        <v>2</v>
      </c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5"/>
      <c r="AO1" s="74" t="s">
        <v>3</v>
      </c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5"/>
      <c r="BC1" s="74" t="s">
        <v>4</v>
      </c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5"/>
      <c r="BU1" s="74" t="s">
        <v>5</v>
      </c>
      <c r="BV1" s="75"/>
      <c r="BW1" s="74" t="s">
        <v>6</v>
      </c>
      <c r="BX1" s="75"/>
    </row>
    <row r="2" spans="1:76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1" t="s">
        <v>37</v>
      </c>
      <c r="AF2" s="11" t="s">
        <v>38</v>
      </c>
      <c r="AG2" s="11" t="s">
        <v>39</v>
      </c>
      <c r="AH2" s="11" t="s">
        <v>40</v>
      </c>
      <c r="AI2" s="11" t="s">
        <v>41</v>
      </c>
      <c r="AJ2" s="11" t="s">
        <v>42</v>
      </c>
      <c r="AK2" s="11" t="s">
        <v>43</v>
      </c>
      <c r="AL2" s="11" t="s">
        <v>44</v>
      </c>
      <c r="AM2" s="11" t="s">
        <v>45</v>
      </c>
      <c r="AN2" s="11" t="s">
        <v>46</v>
      </c>
      <c r="AO2" s="11" t="s">
        <v>47</v>
      </c>
      <c r="AP2" s="11" t="s">
        <v>48</v>
      </c>
      <c r="AQ2" s="11" t="s">
        <v>49</v>
      </c>
      <c r="AR2" s="11" t="s">
        <v>50</v>
      </c>
      <c r="AS2" s="11" t="s">
        <v>51</v>
      </c>
      <c r="AT2" s="11" t="s">
        <v>52</v>
      </c>
      <c r="AU2" s="11" t="s">
        <v>53</v>
      </c>
      <c r="AV2" s="11" t="s">
        <v>54</v>
      </c>
      <c r="AW2" s="11" t="s">
        <v>55</v>
      </c>
      <c r="AX2" s="11" t="s">
        <v>56</v>
      </c>
      <c r="AY2" s="11" t="s">
        <v>57</v>
      </c>
      <c r="AZ2" s="11" t="s">
        <v>58</v>
      </c>
      <c r="BA2" s="11" t="s">
        <v>59</v>
      </c>
      <c r="BB2" s="11" t="s">
        <v>60</v>
      </c>
      <c r="BC2" s="11" t="s">
        <v>61</v>
      </c>
      <c r="BD2" s="11" t="s">
        <v>62</v>
      </c>
      <c r="BE2" s="11" t="s">
        <v>63</v>
      </c>
      <c r="BF2" s="11" t="s">
        <v>64</v>
      </c>
      <c r="BG2" s="11" t="s">
        <v>65</v>
      </c>
      <c r="BH2" s="11" t="s">
        <v>66</v>
      </c>
      <c r="BI2" s="11" t="s">
        <v>67</v>
      </c>
      <c r="BJ2" s="11" t="s">
        <v>68</v>
      </c>
      <c r="BK2" s="11" t="s">
        <v>69</v>
      </c>
      <c r="BL2" s="11" t="s">
        <v>70</v>
      </c>
      <c r="BM2" s="11" t="s">
        <v>71</v>
      </c>
      <c r="BN2" s="11" t="s">
        <v>72</v>
      </c>
      <c r="BO2" s="11" t="s">
        <v>73</v>
      </c>
      <c r="BP2" s="11" t="s">
        <v>74</v>
      </c>
      <c r="BQ2" s="11" t="s">
        <v>75</v>
      </c>
      <c r="BR2" s="11" t="s">
        <v>76</v>
      </c>
      <c r="BS2" s="11" t="s">
        <v>77</v>
      </c>
      <c r="BT2" s="11" t="s">
        <v>78</v>
      </c>
      <c r="BU2" s="11" t="s">
        <v>79</v>
      </c>
      <c r="BV2" s="11" t="s">
        <v>80</v>
      </c>
      <c r="BW2" s="11" t="s">
        <v>81</v>
      </c>
      <c r="BX2" s="11" t="s">
        <v>82</v>
      </c>
    </row>
    <row r="3" spans="1:76" ht="19.5" customHeight="1">
      <c r="A3" s="72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</row>
    <row r="4" spans="1:76">
      <c r="A4" s="72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</row>
    <row r="5" spans="1:76">
      <c r="A5" s="72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>
      <c r="A6" s="72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>
      <c r="A7" s="72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>
      <c r="A8" s="72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>
      <c r="A9" s="72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>
      <c r="A10" s="72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>
      <c r="A11" s="72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>
      <c r="A12" s="7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>
      <c r="A13" s="72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>
      <c r="A14" s="72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>
      <c r="A15" s="72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>
      <c r="A16" s="72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>
      <c r="A17" s="72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>
      <c r="A18" s="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>
      <c r="A19" s="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>
      <c r="A20" s="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>
      <c r="A21" s="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>
      <c r="A22" s="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72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72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72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72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7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72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72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7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72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7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72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7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72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72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7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7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72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72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72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7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72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72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7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7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72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72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72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72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72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7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72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72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72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A56" s="72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A57" s="72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A58" s="72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59" s="72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  <row r="60" spans="1:76">
      <c r="A60" s="72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</row>
    <row r="61" spans="1:76">
      <c r="A61" s="72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</row>
    <row r="62" spans="1:76">
      <c r="A62" s="7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</row>
    <row r="63" spans="1:76">
      <c r="A63" s="72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</row>
    <row r="64" spans="1:76">
      <c r="A64" s="72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</row>
    <row r="65" spans="1:76">
      <c r="A65" s="72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</row>
    <row r="66" spans="1:76">
      <c r="A66" s="72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</row>
    <row r="67" spans="1:76">
      <c r="A67" s="72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</row>
    <row r="68" spans="1:76">
      <c r="A68" s="72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</row>
    <row r="69" spans="1:76">
      <c r="A69" s="72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</row>
    <row r="70" spans="1:76">
      <c r="A70" s="72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</row>
    <row r="71" spans="1:76">
      <c r="A71" s="72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</row>
    <row r="72" spans="1:76">
      <c r="A72" s="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</row>
    <row r="73" spans="1:76">
      <c r="A73" s="72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</row>
    <row r="74" spans="1:76">
      <c r="A74" s="72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</row>
    <row r="75" spans="1:76">
      <c r="A75" s="72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</row>
    <row r="76" spans="1:76">
      <c r="A76" s="72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</row>
    <row r="77" spans="1:76">
      <c r="A77" s="72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</row>
    <row r="78" spans="1:76">
      <c r="A78" s="72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</row>
    <row r="79" spans="1:76">
      <c r="A79" s="72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</row>
    <row r="80" spans="1:76">
      <c r="A80" s="72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</row>
    <row r="81" spans="1:76">
      <c r="A81" s="72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</row>
    <row r="82" spans="1:76">
      <c r="A82" s="7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76">
      <c r="A83" s="72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76">
      <c r="A84" s="72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76">
      <c r="A85" s="72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76">
      <c r="A86" s="72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76">
      <c r="A87" s="72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76">
      <c r="A88" s="72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</row>
    <row r="89" spans="1:76">
      <c r="A89" s="72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</row>
    <row r="90" spans="1:76">
      <c r="A90" s="72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</row>
    <row r="91" spans="1:76">
      <c r="A91" s="72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76">
      <c r="A92" s="7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76">
      <c r="A93" s="72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76">
      <c r="A94" s="72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76">
      <c r="A95" s="72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</row>
    <row r="96" spans="1:76">
      <c r="A96" s="72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</row>
    <row r="97" spans="1:76">
      <c r="A97" s="72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</row>
    <row r="98" spans="1:76">
      <c r="A98" s="72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</row>
    <row r="99" spans="1:76">
      <c r="A99" s="72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</row>
    <row r="100" spans="1:76">
      <c r="A100" s="72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</row>
    <row r="101" spans="1:76">
      <c r="A101" s="72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</row>
    <row r="102" spans="1:76">
      <c r="A102" s="7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</row>
    <row r="103" spans="1:76">
      <c r="A103" s="72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</row>
    <row r="104" spans="1:76">
      <c r="A104" s="72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</row>
    <row r="105" spans="1:76">
      <c r="A105" s="72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</row>
    <row r="106" spans="1:76">
      <c r="A106" s="72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</row>
    <row r="107" spans="1:76">
      <c r="A107" s="72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</row>
    <row r="108" spans="1:76">
      <c r="A108" s="72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</row>
    <row r="109" spans="1:76">
      <c r="A109" s="72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</row>
    <row r="110" spans="1:76">
      <c r="A110" s="72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</row>
    <row r="111" spans="1:76">
      <c r="A111" s="72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</row>
    <row r="112" spans="1:76">
      <c r="A112" s="7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</row>
    <row r="113" spans="1:76">
      <c r="A113" s="72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</row>
    <row r="114" spans="1:76">
      <c r="A114" s="72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</row>
    <row r="115" spans="1:76">
      <c r="A115" s="72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</row>
    <row r="116" spans="1:76">
      <c r="A116" s="72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</row>
    <row r="117" spans="1:76">
      <c r="A117" s="72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</row>
    <row r="118" spans="1:76">
      <c r="A118" s="72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</row>
    <row r="119" spans="1:76">
      <c r="A119" s="72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</row>
    <row r="120" spans="1:76">
      <c r="A120" s="72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</row>
    <row r="121" spans="1:76">
      <c r="A121" s="72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</row>
    <row r="122" spans="1:76">
      <c r="A122" s="7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</row>
    <row r="123" spans="1:76">
      <c r="A123" s="72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</row>
    <row r="124" spans="1:76">
      <c r="A124" s="72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</row>
    <row r="125" spans="1:76">
      <c r="A125" s="72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</row>
    <row r="126" spans="1:76">
      <c r="A126" s="72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</row>
    <row r="127" spans="1:76">
      <c r="A127" s="72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</row>
    <row r="128" spans="1:76">
      <c r="A128" s="72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</row>
    <row r="129" spans="1:76">
      <c r="A129" s="72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</row>
    <row r="130" spans="1:76">
      <c r="A130" s="72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</row>
    <row r="131" spans="1:76">
      <c r="A131" s="72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</row>
    <row r="132" spans="1:76">
      <c r="A132" s="7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</row>
    <row r="133" spans="1:76">
      <c r="A133" s="72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</row>
    <row r="134" spans="1:76">
      <c r="A134" s="72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</row>
    <row r="135" spans="1:76">
      <c r="A135" s="72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</row>
    <row r="136" spans="1:76">
      <c r="A136" s="72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</row>
    <row r="137" spans="1:76">
      <c r="A137" s="72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</row>
    <row r="138" spans="1:76">
      <c r="A138" s="72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</row>
    <row r="139" spans="1:76">
      <c r="A139" s="72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</row>
    <row r="140" spans="1:76">
      <c r="A140" s="72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</row>
    <row r="141" spans="1:76">
      <c r="A141" s="72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</row>
    <row r="142" spans="1:76">
      <c r="A142" s="7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</row>
    <row r="143" spans="1:76">
      <c r="A143" s="72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</row>
    <row r="144" spans="1:76">
      <c r="A144" s="72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</row>
    <row r="145" spans="1:76">
      <c r="A145" s="72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</row>
    <row r="146" spans="1:76">
      <c r="A146" s="72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</row>
    <row r="147" spans="1:76">
      <c r="A147" s="72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</row>
    <row r="148" spans="1:76">
      <c r="A148" s="72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</row>
    <row r="149" spans="1:76">
      <c r="A149" s="72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</row>
    <row r="150" spans="1:76">
      <c r="A150" s="72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</row>
    <row r="151" spans="1:76">
      <c r="A151" s="72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</row>
    <row r="152" spans="1:76">
      <c r="A152" s="7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</row>
    <row r="153" spans="1:76">
      <c r="A153" s="72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</row>
    <row r="154" spans="1:76">
      <c r="A154" s="72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</row>
    <row r="155" spans="1:76">
      <c r="A155" s="72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</row>
    <row r="156" spans="1:76">
      <c r="A156" s="72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</row>
    <row r="157" spans="1:76">
      <c r="A157" s="72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</row>
    <row r="158" spans="1:76">
      <c r="A158" s="72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</row>
    <row r="159" spans="1:76">
      <c r="A159" s="72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</row>
    <row r="160" spans="1:76">
      <c r="A160" s="72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</row>
    <row r="161" spans="1:76">
      <c r="A161" s="72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</row>
    <row r="162" spans="1:76">
      <c r="A162" s="7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</row>
    <row r="163" spans="1:76">
      <c r="A163" s="72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</row>
    <row r="164" spans="1:76">
      <c r="A164" s="72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</row>
    <row r="165" spans="1:76">
      <c r="A165" s="72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</row>
    <row r="166" spans="1:76">
      <c r="A166" s="72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</row>
    <row r="167" spans="1:76">
      <c r="A167" s="72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</row>
    <row r="168" spans="1:76">
      <c r="A168" s="72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</row>
    <row r="169" spans="1:76">
      <c r="A169" s="72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</row>
    <row r="170" spans="1:76">
      <c r="A170" s="72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</row>
    <row r="171" spans="1:76">
      <c r="A171" s="72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</row>
    <row r="172" spans="1:76">
      <c r="A172" s="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</row>
    <row r="173" spans="1:76">
      <c r="A173" s="72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</row>
    <row r="174" spans="1:76">
      <c r="A174" s="72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</row>
    <row r="175" spans="1:76">
      <c r="A175" s="72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</row>
    <row r="176" spans="1:76">
      <c r="A176" s="72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</row>
    <row r="177" spans="1:76">
      <c r="A177" s="72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</row>
    <row r="178" spans="1:76">
      <c r="A178" s="72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</row>
    <row r="179" spans="1:76">
      <c r="A179" s="72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</row>
    <row r="180" spans="1:76">
      <c r="A180" s="72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</row>
    <row r="181" spans="1:76">
      <c r="A181" s="72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</row>
    <row r="182" spans="1:76">
      <c r="A182" s="7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</row>
    <row r="183" spans="1:76">
      <c r="A183" s="72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</row>
    <row r="184" spans="1:76">
      <c r="A184" s="72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</row>
    <row r="185" spans="1:76">
      <c r="A185" s="72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</row>
    <row r="186" spans="1:76">
      <c r="A186" s="72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</row>
    <row r="187" spans="1:76">
      <c r="A187" s="72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</row>
    <row r="188" spans="1:76">
      <c r="A188" s="72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</row>
    <row r="189" spans="1:76">
      <c r="A189" s="72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</row>
    <row r="190" spans="1:76">
      <c r="A190" s="72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</row>
    <row r="191" spans="1:76">
      <c r="A191" s="72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</row>
    <row r="192" spans="1:76">
      <c r="A192" s="7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</row>
    <row r="193" spans="1:76">
      <c r="A193" s="72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</row>
    <row r="194" spans="1:76">
      <c r="A194" s="72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</row>
    <row r="195" spans="1:76">
      <c r="A195" s="72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</row>
    <row r="196" spans="1:76">
      <c r="A196" s="72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</row>
    <row r="197" spans="1:76">
      <c r="A197" s="72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</row>
    <row r="198" spans="1:76">
      <c r="A198" s="72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</row>
    <row r="199" spans="1:76">
      <c r="A199" s="72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</row>
    <row r="200" spans="1:76">
      <c r="A200" s="72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</row>
    <row r="201" spans="1:76">
      <c r="A201" s="72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</row>
    <row r="202" spans="1:76">
      <c r="A202" s="7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</row>
    <row r="203" spans="1:76">
      <c r="A203" s="72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</row>
    <row r="204" spans="1:76">
      <c r="A204" s="72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</row>
    <row r="205" spans="1:76">
      <c r="A205" s="72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</row>
    <row r="206" spans="1:76">
      <c r="A206" s="72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</row>
    <row r="207" spans="1:76">
      <c r="A207" s="72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</row>
    <row r="208" spans="1:76">
      <c r="A208" s="72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</row>
    <row r="209" spans="1:76">
      <c r="A209" s="72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</row>
    <row r="210" spans="1:76">
      <c r="A210" s="72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</row>
    <row r="211" spans="1:76">
      <c r="A211" s="72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</row>
    <row r="212" spans="1:76">
      <c r="A212" s="7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</row>
    <row r="213" spans="1:76">
      <c r="A213" s="72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</row>
    <row r="214" spans="1:76">
      <c r="A214" s="72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</row>
    <row r="215" spans="1:76">
      <c r="A215" s="72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</row>
    <row r="216" spans="1:76">
      <c r="A216" s="72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</row>
    <row r="217" spans="1:76">
      <c r="A217" s="72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</row>
    <row r="218" spans="1:76">
      <c r="A218" s="72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</row>
    <row r="219" spans="1:76">
      <c r="A219" s="72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</row>
    <row r="220" spans="1:76">
      <c r="A220" s="72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</row>
    <row r="221" spans="1:76">
      <c r="A221" s="72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</row>
    <row r="222" spans="1:76">
      <c r="A222" s="7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</row>
    <row r="223" spans="1:76">
      <c r="A223" s="72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</row>
    <row r="224" spans="1:76">
      <c r="A224" s="72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</row>
    <row r="225" spans="1:76">
      <c r="A225" s="72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</row>
    <row r="226" spans="1:76">
      <c r="A226" s="72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</row>
    <row r="227" spans="1:76">
      <c r="A227" s="72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</row>
    <row r="228" spans="1:76">
      <c r="A228" s="72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</row>
    <row r="229" spans="1:76">
      <c r="A229" s="72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</row>
    <row r="230" spans="1:76">
      <c r="A230" s="72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</row>
    <row r="231" spans="1:76">
      <c r="A231" s="72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</row>
    <row r="232" spans="1:76">
      <c r="A232" s="7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</row>
    <row r="233" spans="1:76">
      <c r="A233" s="72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</row>
    <row r="234" spans="1:76">
      <c r="A234" s="72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</row>
    <row r="235" spans="1:76">
      <c r="A235" s="72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</row>
    <row r="236" spans="1:76">
      <c r="A236" s="72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</row>
    <row r="237" spans="1:76">
      <c r="A237" s="72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</row>
    <row r="238" spans="1:76">
      <c r="A238" s="72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</row>
    <row r="239" spans="1:76">
      <c r="A239" s="72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</row>
    <row r="240" spans="1:76">
      <c r="A240" s="72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</row>
    <row r="241" spans="1:76">
      <c r="A241" s="72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</row>
    <row r="242" spans="1:76">
      <c r="A242" s="7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</row>
    <row r="243" spans="1:76">
      <c r="A243" s="72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</row>
    <row r="244" spans="1:76">
      <c r="A244" s="72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</row>
    <row r="245" spans="1:76">
      <c r="A245" s="72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</row>
    <row r="246" spans="1:76">
      <c r="A246" s="72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</row>
    <row r="247" spans="1:76">
      <c r="A247" s="72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</row>
    <row r="248" spans="1:76">
      <c r="A248" s="72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</row>
    <row r="249" spans="1:76">
      <c r="A249" s="72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</row>
    <row r="250" spans="1:76">
      <c r="A250" s="72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</row>
    <row r="251" spans="1:76">
      <c r="A251" s="72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</row>
    <row r="252" spans="1:76">
      <c r="A252" s="7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</row>
    <row r="253" spans="1:76">
      <c r="A253" s="72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</row>
    <row r="254" spans="1:76">
      <c r="A254" s="72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</row>
    <row r="255" spans="1:76">
      <c r="A255" s="72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</row>
    <row r="256" spans="1:76">
      <c r="A256" s="72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</row>
    <row r="257" spans="1:76">
      <c r="A257" s="72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</row>
    <row r="258" spans="1:76">
      <c r="A258" s="72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</row>
    <row r="259" spans="1:76">
      <c r="A259" s="72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</row>
    <row r="260" spans="1:76">
      <c r="A260" s="72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</row>
    <row r="261" spans="1:76">
      <c r="A261" s="72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</row>
    <row r="262" spans="1:76">
      <c r="A262" s="7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</row>
    <row r="263" spans="1:76">
      <c r="A263" s="72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</row>
    <row r="264" spans="1:76">
      <c r="A264" s="72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</row>
    <row r="265" spans="1:76">
      <c r="A265" s="72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</row>
    <row r="266" spans="1:76">
      <c r="A266" s="72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</row>
    <row r="267" spans="1:76">
      <c r="A267" s="72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</row>
    <row r="268" spans="1:76">
      <c r="A268" s="72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</row>
    <row r="269" spans="1:76">
      <c r="A269" s="72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</row>
    <row r="270" spans="1:76">
      <c r="A270" s="72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</row>
    <row r="271" spans="1:76">
      <c r="A271" s="72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</row>
    <row r="272" spans="1:76">
      <c r="A272" s="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</row>
    <row r="273" spans="1:76">
      <c r="A273" s="72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</row>
    <row r="274" spans="1:76">
      <c r="A274" s="72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</row>
    <row r="275" spans="1:76">
      <c r="A275" s="72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</row>
    <row r="276" spans="1:76">
      <c r="A276" s="72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</row>
    <row r="277" spans="1:76">
      <c r="A277" s="72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</row>
    <row r="278" spans="1:76">
      <c r="A278" s="72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</row>
    <row r="279" spans="1:76">
      <c r="A279" s="72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</row>
    <row r="280" spans="1:76">
      <c r="A280" s="72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</row>
    <row r="281" spans="1:76">
      <c r="A281" s="72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</row>
    <row r="282" spans="1:76">
      <c r="A282" s="7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</row>
    <row r="283" spans="1:76">
      <c r="A283" s="72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</row>
    <row r="284" spans="1:76">
      <c r="A284" s="72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</row>
    <row r="285" spans="1:76">
      <c r="A285" s="72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</row>
    <row r="286" spans="1:76">
      <c r="A286" s="72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</row>
    <row r="287" spans="1:76">
      <c r="A287" s="72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</row>
    <row r="288" spans="1:76">
      <c r="A288" s="72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</row>
    <row r="289" spans="1:76">
      <c r="A289" s="72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</row>
    <row r="290" spans="1:76">
      <c r="A290" s="72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</row>
    <row r="291" spans="1:76">
      <c r="A291" s="72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</row>
    <row r="292" spans="1:76">
      <c r="A292" s="7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</row>
    <row r="293" spans="1:76">
      <c r="A293" s="72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</row>
    <row r="294" spans="1:76">
      <c r="A294" s="72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</row>
    <row r="295" spans="1:76">
      <c r="A295" s="72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</row>
    <row r="296" spans="1:76">
      <c r="A296" s="72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</row>
    <row r="297" spans="1:76">
      <c r="A297" s="72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</row>
    <row r="298" spans="1:76">
      <c r="A298" s="72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</row>
    <row r="299" spans="1:76">
      <c r="A299" s="72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</row>
    <row r="300" spans="1:76">
      <c r="A300" s="72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</row>
    <row r="301" spans="1:76">
      <c r="A301" s="72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</row>
    <row r="302" spans="1:76">
      <c r="A302" s="7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</row>
    <row r="303" spans="1:76">
      <c r="A303" s="72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</row>
    <row r="304" spans="1:76">
      <c r="A304" s="72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</row>
    <row r="305" spans="1:76">
      <c r="A305" s="72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</row>
    <row r="306" spans="1:76">
      <c r="A306" s="72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</row>
    <row r="307" spans="1:76">
      <c r="A307" s="72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</row>
    <row r="308" spans="1:76">
      <c r="A308" s="72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</row>
    <row r="309" spans="1:76">
      <c r="A309" s="72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</row>
    <row r="310" spans="1:76">
      <c r="A310" s="72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</row>
    <row r="311" spans="1:76">
      <c r="A311" s="72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</row>
    <row r="312" spans="1:76">
      <c r="A312" s="7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</row>
    <row r="313" spans="1:76">
      <c r="A313" s="72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</row>
    <row r="314" spans="1:76">
      <c r="A314" s="72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</row>
    <row r="315" spans="1:76">
      <c r="A315" s="72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</row>
    <row r="316" spans="1:76">
      <c r="A316" s="72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</row>
    <row r="317" spans="1:76">
      <c r="A317" s="72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</row>
    <row r="318" spans="1:76">
      <c r="A318" s="72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</row>
    <row r="319" spans="1:76">
      <c r="A319" s="72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</row>
    <row r="320" spans="1:76">
      <c r="A320" s="72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</row>
    <row r="321" spans="1:76">
      <c r="A321" s="72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</row>
    <row r="322" spans="1:76">
      <c r="A322" s="7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</row>
    <row r="323" spans="1:76">
      <c r="A323" s="72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</row>
    <row r="324" spans="1:76">
      <c r="A324" s="72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</row>
    <row r="325" spans="1:76">
      <c r="A325" s="72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</row>
    <row r="326" spans="1:76">
      <c r="A326" s="72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</row>
    <row r="327" spans="1:76">
      <c r="A327" s="72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</row>
    <row r="328" spans="1:76">
      <c r="A328" s="72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</row>
    <row r="329" spans="1:76">
      <c r="A329" s="72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</row>
    <row r="330" spans="1:76">
      <c r="A330" s="72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</row>
    <row r="331" spans="1:76">
      <c r="A331" s="72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</row>
    <row r="332" spans="1:76">
      <c r="A332" s="7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</row>
    <row r="333" spans="1:76">
      <c r="A333" s="72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</row>
    <row r="334" spans="1:76">
      <c r="A334" s="72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</row>
    <row r="335" spans="1:76">
      <c r="A335" s="72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</row>
    <row r="336" spans="1:76">
      <c r="A336" s="72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</row>
    <row r="337" spans="1:76">
      <c r="A337" s="72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</row>
    <row r="338" spans="1:76">
      <c r="A338" s="72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</row>
    <row r="339" spans="1:76">
      <c r="A339" s="72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</row>
    <row r="340" spans="1:76">
      <c r="A340" s="72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</row>
    <row r="341" spans="1:76">
      <c r="A341" s="72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</row>
    <row r="342" spans="1:76">
      <c r="A342" s="7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</row>
    <row r="343" spans="1:76">
      <c r="A343" s="72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</row>
    <row r="344" spans="1:76">
      <c r="A344" s="72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</row>
    <row r="345" spans="1:76">
      <c r="A345" s="72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</row>
    <row r="346" spans="1:76">
      <c r="A346" s="72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</row>
    <row r="347" spans="1:76">
      <c r="A347" s="72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</row>
    <row r="348" spans="1:76">
      <c r="A348" s="72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</row>
    <row r="349" spans="1:76">
      <c r="A349" s="72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</row>
    <row r="350" spans="1:76">
      <c r="A350" s="72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</row>
    <row r="351" spans="1:76">
      <c r="A351" s="72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</row>
    <row r="352" spans="1:76">
      <c r="A352" s="7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</row>
    <row r="353" spans="1:76">
      <c r="A353" s="72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</row>
    <row r="354" spans="1:76">
      <c r="A354" s="72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</row>
    <row r="355" spans="1:76">
      <c r="A355" s="72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</row>
    <row r="356" spans="1:76">
      <c r="A356" s="72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</row>
    <row r="357" spans="1:76">
      <c r="A357" s="72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</row>
    <row r="358" spans="1:76">
      <c r="A358" s="72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</row>
    <row r="359" spans="1:76">
      <c r="A359" s="72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</row>
    <row r="360" spans="1:76">
      <c r="A360" s="72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</row>
    <row r="361" spans="1:76">
      <c r="A361" s="72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</row>
    <row r="362" spans="1:76">
      <c r="A362" s="7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</row>
    <row r="363" spans="1:76">
      <c r="A363" s="72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</row>
    <row r="364" spans="1:76">
      <c r="A364" s="72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</row>
    <row r="365" spans="1:76">
      <c r="A365" s="72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</row>
    <row r="366" spans="1:76">
      <c r="A366" s="72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</row>
    <row r="367" spans="1:76">
      <c r="A367" s="72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</row>
    <row r="368" spans="1:76">
      <c r="A368" s="72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</row>
    <row r="369" spans="1:76">
      <c r="A369" s="72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</row>
    <row r="370" spans="1:76">
      <c r="A370" s="72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</row>
    <row r="371" spans="1:76">
      <c r="A371" s="72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</row>
    <row r="372" spans="1:76">
      <c r="A372" s="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</row>
    <row r="373" spans="1:76">
      <c r="A373" s="72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</row>
    <row r="374" spans="1:76">
      <c r="A374" s="72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</row>
    <row r="375" spans="1:76">
      <c r="A375" s="72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</row>
    <row r="376" spans="1:76">
      <c r="A376" s="72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</row>
    <row r="377" spans="1:76">
      <c r="A377" s="72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</row>
    <row r="378" spans="1:76">
      <c r="A378" s="72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</row>
    <row r="379" spans="1:76">
      <c r="A379" s="72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</row>
    <row r="380" spans="1:76">
      <c r="A380" s="72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</row>
    <row r="381" spans="1:76">
      <c r="A381" s="72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</row>
    <row r="382" spans="1:76">
      <c r="A382" s="7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</row>
    <row r="383" spans="1:76">
      <c r="A383" s="72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</row>
    <row r="384" spans="1:76">
      <c r="A384" s="72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</row>
    <row r="385" spans="1:76">
      <c r="A385" s="72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</row>
    <row r="386" spans="1:76">
      <c r="A386" s="72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</row>
    <row r="387" spans="1:76">
      <c r="A387" s="72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</row>
    <row r="388" spans="1:76">
      <c r="A388" s="72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</row>
    <row r="389" spans="1:76">
      <c r="A389" s="72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</row>
    <row r="390" spans="1:76">
      <c r="A390" s="72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</row>
    <row r="391" spans="1:76">
      <c r="A391" s="72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</row>
    <row r="392" spans="1:76">
      <c r="A392" s="7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</row>
    <row r="393" spans="1:76">
      <c r="A393" s="72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</row>
    <row r="394" spans="1:76">
      <c r="A394" s="72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</row>
    <row r="395" spans="1:76">
      <c r="A395" s="72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</row>
    <row r="396" spans="1:76">
      <c r="A396" s="72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</row>
    <row r="397" spans="1:76">
      <c r="A397" s="72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</row>
    <row r="398" spans="1:76">
      <c r="A398" s="72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</row>
    <row r="399" spans="1:76">
      <c r="A399" s="72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</row>
    <row r="400" spans="1:76">
      <c r="A400" s="72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</row>
    <row r="401" spans="1:76">
      <c r="A401" s="72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</row>
    <row r="402" spans="1:76">
      <c r="A402" s="7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</row>
    <row r="403" spans="1:76">
      <c r="A403" s="72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</row>
    <row r="404" spans="1:76">
      <c r="A404" s="72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</row>
    <row r="405" spans="1:76">
      <c r="A405" s="72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</row>
    <row r="406" spans="1:76">
      <c r="A406" s="72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</row>
    <row r="407" spans="1:76">
      <c r="A407" s="72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</row>
    <row r="408" spans="1:76">
      <c r="A408" s="72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</row>
    <row r="409" spans="1:76">
      <c r="A409" s="72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</row>
    <row r="410" spans="1:76">
      <c r="A410" s="72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</row>
    <row r="411" spans="1:76">
      <c r="A411" s="72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</row>
    <row r="412" spans="1:76">
      <c r="A412" s="7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</row>
    <row r="413" spans="1:76">
      <c r="A413" s="72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</row>
    <row r="414" spans="1:76">
      <c r="A414" s="72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</row>
    <row r="415" spans="1:76">
      <c r="A415" s="72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</row>
    <row r="416" spans="1:76">
      <c r="A416" s="72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</row>
    <row r="417" spans="1:76">
      <c r="A417" s="72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</row>
    <row r="418" spans="1:76">
      <c r="A418" s="72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</row>
    <row r="419" spans="1:76">
      <c r="A419" s="72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</row>
    <row r="420" spans="1:76">
      <c r="A420" s="72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</row>
    <row r="421" spans="1:76">
      <c r="A421" s="72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</row>
    <row r="422" spans="1:76">
      <c r="A422" s="7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</row>
    <row r="423" spans="1:76">
      <c r="A423" s="72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</row>
    <row r="424" spans="1:76">
      <c r="A424" s="72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</row>
    <row r="425" spans="1:76">
      <c r="A425" s="72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</row>
    <row r="426" spans="1:76">
      <c r="A426" s="72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</row>
    <row r="427" spans="1:76">
      <c r="A427" s="72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</row>
    <row r="428" spans="1:76">
      <c r="A428" s="72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</row>
    <row r="429" spans="1:76">
      <c r="A429" s="72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</row>
    <row r="430" spans="1:76">
      <c r="A430" s="72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</row>
    <row r="431" spans="1:76">
      <c r="A431" s="72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</row>
    <row r="432" spans="1:76">
      <c r="A432" s="7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</row>
    <row r="433" spans="1:76">
      <c r="A433" s="72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</row>
    <row r="434" spans="1:76">
      <c r="A434" s="72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</row>
    <row r="435" spans="1:76">
      <c r="A435" s="72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</row>
    <row r="436" spans="1:76">
      <c r="A436" s="72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</row>
    <row r="437" spans="1:76">
      <c r="A437" s="72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</row>
    <row r="438" spans="1:76">
      <c r="A438" s="72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</row>
    <row r="439" spans="1:76">
      <c r="A439" s="72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</row>
    <row r="440" spans="1:76">
      <c r="A440" s="72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</row>
    <row r="441" spans="1:76">
      <c r="A441" s="72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</row>
    <row r="442" spans="1:76">
      <c r="A442" s="7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</row>
    <row r="443" spans="1:76">
      <c r="A443" s="72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</row>
    <row r="444" spans="1:76">
      <c r="A444" s="72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</row>
    <row r="445" spans="1:76">
      <c r="A445" s="72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</row>
    <row r="446" spans="1:76">
      <c r="A446" s="72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</row>
    <row r="447" spans="1:76">
      <c r="A447" s="72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</row>
    <row r="448" spans="1:76">
      <c r="A448" s="72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</row>
    <row r="449" spans="1:76">
      <c r="A449" s="72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</row>
    <row r="450" spans="1:76">
      <c r="A450" s="72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</row>
    <row r="451" spans="1:76">
      <c r="A451" s="72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</row>
    <row r="452" spans="1:76">
      <c r="A452" s="7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</row>
    <row r="453" spans="1:76">
      <c r="A453" s="72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</row>
    <row r="454" spans="1:76">
      <c r="A454" s="72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</row>
    <row r="455" spans="1:76">
      <c r="A455" s="72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</row>
    <row r="456" spans="1:76">
      <c r="A456" s="72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</row>
    <row r="457" spans="1:76">
      <c r="A457" s="72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</row>
    <row r="458" spans="1:76">
      <c r="A458" s="72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</row>
    <row r="459" spans="1:76">
      <c r="A459" s="72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</row>
    <row r="460" spans="1:76">
      <c r="A460" s="72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</row>
    <row r="461" spans="1:76">
      <c r="A461" s="72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</row>
    <row r="462" spans="1:76">
      <c r="A462" s="7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</row>
    <row r="463" spans="1:76">
      <c r="A463" s="72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</row>
    <row r="464" spans="1:76">
      <c r="A464" s="72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</row>
    <row r="465" spans="1:76">
      <c r="A465" s="72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</row>
    <row r="466" spans="1:76">
      <c r="A466" s="72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</row>
    <row r="467" spans="1:76">
      <c r="A467" s="72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</row>
    <row r="468" spans="1:76">
      <c r="A468" s="72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</row>
    <row r="469" spans="1:76">
      <c r="A469" s="72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</row>
    <row r="470" spans="1:76">
      <c r="A470" s="72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</row>
    <row r="471" spans="1:76">
      <c r="A471" s="72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</row>
    <row r="472" spans="1:76">
      <c r="A472" s="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</row>
    <row r="473" spans="1:76">
      <c r="A473" s="72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</row>
    <row r="474" spans="1:76">
      <c r="A474" s="72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</row>
    <row r="475" spans="1:76">
      <c r="A475" s="72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</row>
    <row r="476" spans="1:76">
      <c r="A476" s="72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</row>
    <row r="477" spans="1:76">
      <c r="A477" s="72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</row>
    <row r="478" spans="1:76">
      <c r="A478" s="72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</row>
    <row r="479" spans="1:76">
      <c r="A479" s="72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</row>
    <row r="480" spans="1:76">
      <c r="A480" s="72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</row>
    <row r="481" spans="1:76">
      <c r="A481" s="72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</row>
    <row r="482" spans="1:76">
      <c r="A482" s="7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</row>
    <row r="483" spans="1:76">
      <c r="A483" s="72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</row>
    <row r="484" spans="1:76">
      <c r="A484" s="72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</row>
    <row r="485" spans="1:76">
      <c r="A485" s="72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</row>
    <row r="486" spans="1:76">
      <c r="A486" s="72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</row>
    <row r="487" spans="1:76">
      <c r="A487" s="72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</row>
    <row r="488" spans="1:76">
      <c r="A488" s="72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</row>
    <row r="489" spans="1:76">
      <c r="A489" s="72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</row>
    <row r="490" spans="1:76">
      <c r="A490" s="72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</row>
    <row r="491" spans="1:76">
      <c r="A491" s="72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</row>
    <row r="492" spans="1:76">
      <c r="A492" s="7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</row>
    <row r="493" spans="1:76">
      <c r="A493" s="72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</row>
    <row r="494" spans="1:76">
      <c r="A494" s="72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</row>
    <row r="495" spans="1:76">
      <c r="A495" s="72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</row>
    <row r="496" spans="1:76">
      <c r="A496" s="72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</row>
    <row r="497" spans="1:76">
      <c r="A497" s="72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</row>
    <row r="498" spans="1:76">
      <c r="A498" s="72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</row>
    <row r="499" spans="1:76">
      <c r="A499" s="72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</row>
    <row r="500" spans="1:76">
      <c r="A500" s="72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</row>
    <row r="501" spans="1:76">
      <c r="A501" s="72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</row>
    <row r="502" spans="1:76">
      <c r="A502" s="7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</row>
    <row r="503" spans="1:76">
      <c r="A503" s="72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</row>
    <row r="504" spans="1:76">
      <c r="A504" s="72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</row>
    <row r="505" spans="1:76">
      <c r="A505" s="72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</row>
    <row r="506" spans="1:76">
      <c r="A506" s="72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</row>
    <row r="507" spans="1:76">
      <c r="A507" s="72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</row>
    <row r="508" spans="1:76">
      <c r="A508" s="72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</row>
    <row r="509" spans="1:76">
      <c r="A509" s="72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</row>
    <row r="510" spans="1:76">
      <c r="A510" s="72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</row>
    <row r="511" spans="1:76">
      <c r="A511" s="72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</row>
    <row r="512" spans="1:76">
      <c r="A512" s="7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</row>
    <row r="513" spans="1:76">
      <c r="A513" s="72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</row>
    <row r="514" spans="1:76">
      <c r="A514" s="72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</row>
    <row r="515" spans="1:76">
      <c r="A515" s="72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</row>
    <row r="516" spans="1:76">
      <c r="A516" s="72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</row>
    <row r="517" spans="1:76">
      <c r="A517" s="72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</row>
    <row r="518" spans="1:76">
      <c r="A518" s="72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</row>
    <row r="519" spans="1:76">
      <c r="A519" s="72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</row>
    <row r="520" spans="1:76">
      <c r="A520" s="72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</row>
    <row r="521" spans="1:76">
      <c r="A521" s="72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</row>
    <row r="522" spans="1:76">
      <c r="A522" s="7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</row>
    <row r="523" spans="1:76">
      <c r="A523" s="72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</row>
    <row r="524" spans="1:76">
      <c r="A524" s="72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</row>
    <row r="525" spans="1:76">
      <c r="A525" s="72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</row>
    <row r="526" spans="1:76">
      <c r="A526" s="72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</row>
    <row r="527" spans="1:76">
      <c r="A527" s="72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</row>
    <row r="528" spans="1:76">
      <c r="A528" s="72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</row>
    <row r="529" spans="1:76">
      <c r="A529" s="72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</row>
    <row r="530" spans="1:76">
      <c r="A530" s="72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</row>
    <row r="531" spans="1:76">
      <c r="A531" s="72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</row>
    <row r="532" spans="1:76">
      <c r="A532" s="7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</row>
    <row r="533" spans="1:76">
      <c r="A533" s="72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</row>
    <row r="534" spans="1:76">
      <c r="A534" s="72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</row>
    <row r="535" spans="1:76">
      <c r="A535" s="72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</row>
    <row r="536" spans="1:76">
      <c r="A536" s="72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</row>
    <row r="537" spans="1:76">
      <c r="A537" s="72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</row>
    <row r="538" spans="1:76">
      <c r="A538" s="72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</row>
    <row r="539" spans="1:76">
      <c r="A539" s="72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</row>
    <row r="540" spans="1:76">
      <c r="A540" s="72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</row>
    <row r="541" spans="1:76">
      <c r="A541" s="72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</row>
    <row r="542" spans="1:76">
      <c r="A542" s="7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</row>
    <row r="543" spans="1:76">
      <c r="A543" s="72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</row>
    <row r="544" spans="1:76">
      <c r="A544" s="72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</row>
    <row r="545" spans="1:76">
      <c r="A545" s="72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</row>
    <row r="546" spans="1:76">
      <c r="A546" s="72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</row>
    <row r="547" spans="1:76">
      <c r="A547" s="72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</row>
    <row r="548" spans="1:76">
      <c r="A548" s="72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</row>
    <row r="549" spans="1:76">
      <c r="A549" s="72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</row>
    <row r="550" spans="1:76">
      <c r="A550" s="72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</row>
    <row r="551" spans="1:76">
      <c r="A551" s="72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</row>
    <row r="552" spans="1:76">
      <c r="A552" s="7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</row>
    <row r="553" spans="1:76">
      <c r="A553" s="72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</row>
    <row r="554" spans="1:76">
      <c r="A554" s="72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</row>
    <row r="555" spans="1:76">
      <c r="A555" s="72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</row>
    <row r="556" spans="1:76">
      <c r="A556" s="72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</row>
    <row r="557" spans="1:76">
      <c r="A557" s="72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</row>
    <row r="558" spans="1:76">
      <c r="A558" s="72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</row>
    <row r="559" spans="1:76">
      <c r="A559" s="72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</row>
    <row r="560" spans="1:76">
      <c r="A560" s="72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</row>
    <row r="561" spans="1:76">
      <c r="A561" s="72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</row>
    <row r="562" spans="1:76">
      <c r="A562" s="7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</row>
    <row r="563" spans="1:76">
      <c r="A563" s="72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</row>
    <row r="564" spans="1:76">
      <c r="A564" s="72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</row>
    <row r="565" spans="1:76">
      <c r="A565" s="72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</row>
    <row r="566" spans="1:76">
      <c r="A566" s="72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</row>
    <row r="567" spans="1:76">
      <c r="A567" s="72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</row>
    <row r="568" spans="1:76">
      <c r="A568" s="72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</row>
    <row r="569" spans="1:76">
      <c r="A569" s="72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</row>
    <row r="570" spans="1:76">
      <c r="A570" s="72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</row>
    <row r="571" spans="1:76">
      <c r="A571" s="72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</row>
    <row r="572" spans="1:76">
      <c r="A572" s="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</row>
    <row r="573" spans="1:76">
      <c r="A573" s="72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</row>
    <row r="574" spans="1:76">
      <c r="A574" s="72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</row>
    <row r="575" spans="1:76">
      <c r="A575" s="72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</row>
    <row r="576" spans="1:76">
      <c r="A576" s="72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</row>
    <row r="577" spans="1:76">
      <c r="A577" s="72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</row>
    <row r="578" spans="1:76">
      <c r="A578" s="72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</row>
    <row r="579" spans="1:76">
      <c r="A579" s="72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</row>
    <row r="580" spans="1:76">
      <c r="A580" s="72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</row>
    <row r="581" spans="1:76">
      <c r="A581" s="72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</row>
    <row r="582" spans="1:76">
      <c r="A582" s="7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</row>
    <row r="583" spans="1:76">
      <c r="A583" s="72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</row>
    <row r="584" spans="1:76">
      <c r="A584" s="72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</row>
    <row r="585" spans="1:76">
      <c r="A585" s="72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</row>
    <row r="586" spans="1:76">
      <c r="A586" s="72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</row>
    <row r="587" spans="1:76">
      <c r="A587" s="72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</row>
    <row r="588" spans="1:76">
      <c r="A588" s="72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</row>
    <row r="589" spans="1:76">
      <c r="A589" s="72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</row>
    <row r="590" spans="1:76">
      <c r="A590" s="72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</row>
    <row r="591" spans="1:76">
      <c r="A591" s="72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</row>
    <row r="592" spans="1:76">
      <c r="A592" s="7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</row>
    <row r="593" spans="1:76">
      <c r="A593" s="72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</row>
    <row r="594" spans="1:76">
      <c r="A594" s="72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</row>
    <row r="595" spans="1:76">
      <c r="A595" s="72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</row>
    <row r="596" spans="1:76">
      <c r="A596" s="72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</row>
    <row r="597" spans="1:76">
      <c r="A597" s="72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</row>
    <row r="598" spans="1:76">
      <c r="A598" s="72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</row>
    <row r="599" spans="1:76">
      <c r="A599" s="72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</row>
    <row r="600" spans="1:76">
      <c r="A600" s="72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</row>
    <row r="601" spans="1:76">
      <c r="A601" s="72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</row>
    <row r="602" spans="1:76">
      <c r="A602" s="7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</row>
    <row r="603" spans="1:76">
      <c r="A603" s="72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</row>
    <row r="604" spans="1:76">
      <c r="A604" s="72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</row>
    <row r="605" spans="1:76">
      <c r="A605" s="72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</row>
    <row r="606" spans="1:76">
      <c r="A606" s="72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</row>
    <row r="607" spans="1:76">
      <c r="A607" s="72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</row>
    <row r="608" spans="1:76">
      <c r="A608" s="72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</row>
    <row r="609" spans="1:76">
      <c r="A609" s="72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</row>
    <row r="610" spans="1:76">
      <c r="A610" s="72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</row>
    <row r="611" spans="1:76">
      <c r="A611" s="72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</row>
    <row r="612" spans="1:76">
      <c r="A612" s="7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</row>
    <row r="613" spans="1:76">
      <c r="A613" s="72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</row>
    <row r="614" spans="1:76">
      <c r="A614" s="72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</row>
    <row r="615" spans="1:76">
      <c r="A615" s="72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</row>
    <row r="616" spans="1:76">
      <c r="A616" s="72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</row>
    <row r="617" spans="1:76">
      <c r="A617" s="72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</row>
    <row r="618" spans="1:76">
      <c r="A618" s="72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</row>
    <row r="619" spans="1:76">
      <c r="A619" s="72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</row>
    <row r="620" spans="1:76">
      <c r="A620" s="72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</row>
    <row r="621" spans="1:76">
      <c r="A621" s="72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</row>
    <row r="622" spans="1:76">
      <c r="A622" s="7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</row>
    <row r="623" spans="1:76">
      <c r="A623" s="72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</row>
    <row r="624" spans="1:76">
      <c r="A624" s="72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</row>
    <row r="625" spans="1:76">
      <c r="A625" s="72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</row>
    <row r="626" spans="1:76">
      <c r="A626" s="72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</row>
    <row r="627" spans="1:76">
      <c r="A627" s="72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</row>
    <row r="628" spans="1:76">
      <c r="A628" s="72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</row>
    <row r="629" spans="1:76">
      <c r="A629" s="72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</row>
    <row r="630" spans="1:76">
      <c r="A630" s="72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</row>
    <row r="631" spans="1:76">
      <c r="A631" s="72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</row>
    <row r="632" spans="1:76">
      <c r="A632" s="7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</row>
    <row r="633" spans="1:76">
      <c r="A633" s="72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</row>
    <row r="634" spans="1:76">
      <c r="A634" s="72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</row>
    <row r="635" spans="1:76">
      <c r="A635" s="72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</row>
    <row r="636" spans="1:76">
      <c r="A636" s="72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</row>
    <row r="637" spans="1:76">
      <c r="A637" s="72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</row>
    <row r="638" spans="1:76">
      <c r="A638" s="72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</row>
    <row r="639" spans="1:76">
      <c r="A639" s="72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</row>
    <row r="640" spans="1:76">
      <c r="A640" s="72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</row>
    <row r="641" spans="1:76">
      <c r="A641" s="72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</row>
    <row r="642" spans="1:76">
      <c r="A642" s="7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</row>
    <row r="643" spans="1:76">
      <c r="A643" s="72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</row>
    <row r="644" spans="1:76">
      <c r="A644" s="72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</row>
    <row r="645" spans="1:76">
      <c r="A645" s="72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</row>
    <row r="646" spans="1:76">
      <c r="A646" s="72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</row>
    <row r="647" spans="1:76">
      <c r="A647" s="72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</row>
    <row r="648" spans="1:76">
      <c r="A648" s="72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</row>
    <row r="649" spans="1:76">
      <c r="A649" s="72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</row>
    <row r="650" spans="1:76">
      <c r="A650" s="72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</row>
    <row r="651" spans="1:76">
      <c r="A651" s="72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</row>
    <row r="652" spans="1:76">
      <c r="A652" s="7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</row>
    <row r="653" spans="1:76">
      <c r="A653" s="72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</row>
    <row r="654" spans="1:76">
      <c r="A654" s="72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</row>
    <row r="655" spans="1:76">
      <c r="A655" s="72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</row>
    <row r="656" spans="1:76">
      <c r="A656" s="72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</row>
    <row r="657" spans="1:76">
      <c r="A657" s="72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</row>
    <row r="658" spans="1:76">
      <c r="A658" s="72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</row>
    <row r="659" spans="1:76">
      <c r="A659" s="72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</row>
    <row r="660" spans="1:76">
      <c r="A660" s="72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</row>
    <row r="661" spans="1:76">
      <c r="A661" s="72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</row>
    <row r="662" spans="1:76">
      <c r="A662" s="7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</row>
    <row r="663" spans="1:76">
      <c r="A663" s="72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</row>
    <row r="664" spans="1:76">
      <c r="A664" s="72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</row>
    <row r="665" spans="1:76">
      <c r="A665" s="72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</row>
    <row r="666" spans="1:76">
      <c r="A666" s="72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</row>
    <row r="667" spans="1:76">
      <c r="A667" s="72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</row>
    <row r="668" spans="1:76">
      <c r="A668" s="72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</row>
    <row r="669" spans="1:76">
      <c r="A669" s="72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</row>
    <row r="670" spans="1:76">
      <c r="A670" s="72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</row>
    <row r="671" spans="1:76">
      <c r="A671" s="72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</row>
    <row r="672" spans="1:76">
      <c r="A672" s="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</row>
    <row r="673" spans="1:76">
      <c r="A673" s="72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</row>
    <row r="674" spans="1:76">
      <c r="A674" s="72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</row>
    <row r="675" spans="1:76">
      <c r="A675" s="72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</row>
    <row r="676" spans="1:76">
      <c r="A676" s="72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</row>
    <row r="677" spans="1:76">
      <c r="A677" s="72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</row>
    <row r="678" spans="1:76">
      <c r="A678" s="72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</row>
    <row r="679" spans="1:76">
      <c r="A679" s="72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</row>
    <row r="680" spans="1:76">
      <c r="A680" s="72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</row>
    <row r="681" spans="1:76">
      <c r="A681" s="72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</row>
    <row r="682" spans="1:76">
      <c r="A682" s="7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</row>
    <row r="683" spans="1:76">
      <c r="A683" s="72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</row>
    <row r="684" spans="1:76">
      <c r="A684" s="72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</row>
    <row r="685" spans="1:76">
      <c r="A685" s="72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</row>
    <row r="686" spans="1:76">
      <c r="A686" s="72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</row>
    <row r="687" spans="1:76">
      <c r="A687" s="72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</row>
    <row r="688" spans="1:76">
      <c r="A688" s="72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</row>
    <row r="689" spans="1:76">
      <c r="A689" s="72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</row>
    <row r="690" spans="1:76">
      <c r="A690" s="72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</row>
    <row r="691" spans="1:76">
      <c r="A691" s="72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</row>
    <row r="692" spans="1:76">
      <c r="A692" s="7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</row>
    <row r="693" spans="1:76">
      <c r="A693" s="72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</row>
    <row r="694" spans="1:76">
      <c r="A694" s="72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</row>
    <row r="695" spans="1:76">
      <c r="A695" s="72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</row>
    <row r="696" spans="1:76">
      <c r="A696" s="72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</row>
    <row r="697" spans="1:76">
      <c r="A697" s="72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</row>
    <row r="698" spans="1:76">
      <c r="A698" s="72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</row>
    <row r="699" spans="1:76">
      <c r="A699" s="72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</row>
    <row r="700" spans="1:76">
      <c r="A700" s="72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</row>
    <row r="701" spans="1:76">
      <c r="A701" s="72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</row>
    <row r="702" spans="1:76">
      <c r="A702" s="7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</row>
    <row r="703" spans="1:76">
      <c r="A703" s="72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</row>
    <row r="704" spans="1:76">
      <c r="A704" s="72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</row>
    <row r="705" spans="1:76">
      <c r="A705" s="72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</row>
    <row r="706" spans="1:76">
      <c r="A706" s="72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</row>
    <row r="707" spans="1:76">
      <c r="A707" s="72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</row>
    <row r="708" spans="1:76">
      <c r="A708" s="72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</row>
    <row r="709" spans="1:76">
      <c r="A709" s="72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</row>
    <row r="710" spans="1:76">
      <c r="A710" s="72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</row>
    <row r="711" spans="1:76">
      <c r="A711" s="72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</row>
    <row r="712" spans="1:76">
      <c r="A712" s="7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</row>
    <row r="713" spans="1:76">
      <c r="A713" s="72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</row>
    <row r="714" spans="1:76">
      <c r="A714" s="72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</row>
    <row r="715" spans="1:76">
      <c r="A715" s="72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</row>
    <row r="716" spans="1:76">
      <c r="A716" s="72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</row>
    <row r="717" spans="1:76">
      <c r="A717" s="72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</row>
    <row r="718" spans="1:76">
      <c r="A718" s="72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</row>
    <row r="719" spans="1:76">
      <c r="A719" s="72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</row>
    <row r="720" spans="1:76">
      <c r="A720" s="72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</row>
    <row r="721" spans="1:76">
      <c r="A721" s="72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</row>
    <row r="722" spans="1:76">
      <c r="A722" s="7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</row>
    <row r="723" spans="1:76">
      <c r="A723" s="72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</row>
    <row r="724" spans="1:76">
      <c r="A724" s="72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</row>
    <row r="725" spans="1:76">
      <c r="A725" s="72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</row>
    <row r="726" spans="1:76">
      <c r="A726" s="72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</row>
    <row r="727" spans="1:76">
      <c r="A727" s="72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</row>
    <row r="728" spans="1:76">
      <c r="A728" s="72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</row>
    <row r="729" spans="1:76">
      <c r="A729" s="72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</row>
    <row r="730" spans="1:76">
      <c r="A730" s="72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</row>
    <row r="731" spans="1:76">
      <c r="A731" s="72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</row>
    <row r="732" spans="1:76">
      <c r="A732" s="7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</row>
    <row r="733" spans="1:76">
      <c r="A733" s="72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</row>
    <row r="734" spans="1:76">
      <c r="A734" s="72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</row>
    <row r="735" spans="1:76">
      <c r="A735" s="72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</row>
    <row r="736" spans="1:76">
      <c r="A736" s="72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</row>
    <row r="737" spans="1:76">
      <c r="A737" s="72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</row>
    <row r="738" spans="1:76">
      <c r="A738" s="72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</row>
    <row r="739" spans="1:76">
      <c r="A739" s="72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</row>
    <row r="740" spans="1:76">
      <c r="A740" s="72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</row>
    <row r="741" spans="1:76">
      <c r="A741" s="72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</row>
    <row r="742" spans="1:76">
      <c r="A742" s="7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</row>
    <row r="743" spans="1:76">
      <c r="A743" s="72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</row>
    <row r="744" spans="1:76">
      <c r="A744" s="72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</row>
    <row r="745" spans="1:76">
      <c r="A745" s="72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</row>
    <row r="746" spans="1:76">
      <c r="A746" s="72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</row>
    <row r="747" spans="1:76">
      <c r="A747" s="72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</row>
    <row r="748" spans="1:76">
      <c r="A748" s="72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</row>
    <row r="749" spans="1:76">
      <c r="A749" s="72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</row>
    <row r="750" spans="1:76">
      <c r="A750" s="72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</row>
    <row r="751" spans="1:76">
      <c r="A751" s="72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</row>
    <row r="752" spans="1:76">
      <c r="A752" s="7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</row>
    <row r="753" spans="1:76">
      <c r="A753" s="72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</row>
    <row r="754" spans="1:76">
      <c r="A754" s="72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</row>
    <row r="755" spans="1:76">
      <c r="A755" s="72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</row>
    <row r="756" spans="1:76">
      <c r="A756" s="72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</row>
    <row r="757" spans="1:76">
      <c r="A757" s="72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</row>
    <row r="758" spans="1:76">
      <c r="A758" s="72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</row>
    <row r="759" spans="1:76">
      <c r="A759" s="72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</row>
    <row r="760" spans="1:76">
      <c r="A760" s="72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</row>
    <row r="761" spans="1:76">
      <c r="A761" s="72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</row>
    <row r="762" spans="1:76">
      <c r="A762" s="7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</row>
    <row r="763" spans="1:76">
      <c r="A763" s="72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</row>
    <row r="764" spans="1:76">
      <c r="A764" s="72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</row>
    <row r="765" spans="1:76">
      <c r="A765" s="72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</row>
    <row r="766" spans="1:76">
      <c r="A766" s="72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</row>
    <row r="767" spans="1:76">
      <c r="A767" s="72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</row>
    <row r="768" spans="1:76">
      <c r="A768" s="72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</row>
    <row r="769" spans="1:76">
      <c r="A769" s="72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</row>
    <row r="770" spans="1:76">
      <c r="A770" s="72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</row>
    <row r="771" spans="1:76">
      <c r="A771" s="72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</row>
    <row r="772" spans="1:76">
      <c r="A772" s="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</row>
    <row r="773" spans="1:76">
      <c r="A773" s="72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</row>
    <row r="774" spans="1:76">
      <c r="A774" s="72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</row>
    <row r="775" spans="1:76">
      <c r="A775" s="72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</row>
    <row r="776" spans="1:76">
      <c r="A776" s="72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</row>
    <row r="777" spans="1:76">
      <c r="A777" s="72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</row>
    <row r="778" spans="1:76">
      <c r="A778" s="72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</row>
    <row r="779" spans="1:76">
      <c r="A779" s="72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</row>
    <row r="780" spans="1:76">
      <c r="A780" s="72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</row>
    <row r="781" spans="1:76">
      <c r="A781" s="72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</row>
    <row r="782" spans="1:76">
      <c r="A782" s="7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</row>
    <row r="783" spans="1:76">
      <c r="A783" s="72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</row>
    <row r="784" spans="1:76">
      <c r="A784" s="72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</row>
    <row r="785" spans="1:76">
      <c r="A785" s="72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</row>
    <row r="786" spans="1:76">
      <c r="A786" s="72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</row>
    <row r="787" spans="1:76">
      <c r="A787" s="72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</row>
    <row r="788" spans="1:76">
      <c r="A788" s="72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</row>
    <row r="789" spans="1:76">
      <c r="A789" s="72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</row>
    <row r="790" spans="1:76">
      <c r="A790" s="72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</row>
    <row r="791" spans="1:76">
      <c r="A791" s="72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</row>
    <row r="792" spans="1:76">
      <c r="A792" s="7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</row>
    <row r="793" spans="1:76">
      <c r="A793" s="72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</row>
    <row r="794" spans="1:76">
      <c r="A794" s="72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</row>
    <row r="795" spans="1:76">
      <c r="A795" s="72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</row>
    <row r="796" spans="1:76">
      <c r="A796" s="72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</row>
    <row r="797" spans="1:76">
      <c r="A797" s="72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</row>
    <row r="798" spans="1:76">
      <c r="A798" s="72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</row>
    <row r="799" spans="1:76">
      <c r="A799" s="72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</row>
    <row r="800" spans="1:76">
      <c r="A800" s="72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</row>
    <row r="801" spans="1:76">
      <c r="A801" s="72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</row>
    <row r="802" spans="1:76">
      <c r="A802" s="7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</row>
    <row r="803" spans="1:76">
      <c r="A803" s="72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</row>
    <row r="804" spans="1:76">
      <c r="A804" s="72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</row>
    <row r="805" spans="1:76">
      <c r="A805" s="72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</row>
    <row r="806" spans="1:76">
      <c r="A806" s="72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</row>
    <row r="807" spans="1:76">
      <c r="A807" s="72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</row>
    <row r="808" spans="1:76">
      <c r="A808" s="72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</row>
    <row r="809" spans="1:76">
      <c r="A809" s="72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</row>
    <row r="810" spans="1:76">
      <c r="A810" s="72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</row>
    <row r="811" spans="1:76">
      <c r="A811" s="72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</row>
    <row r="812" spans="1:76">
      <c r="A812" s="7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</row>
    <row r="813" spans="1:76">
      <c r="A813" s="72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</row>
    <row r="814" spans="1:76">
      <c r="A814" s="72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</row>
    <row r="815" spans="1:76">
      <c r="A815" s="72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</row>
    <row r="816" spans="1:76">
      <c r="A816" s="72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</row>
    <row r="817" spans="1:76">
      <c r="A817" s="72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</row>
    <row r="818" spans="1:76">
      <c r="A818" s="72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</row>
    <row r="819" spans="1:76">
      <c r="A819" s="72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</row>
    <row r="820" spans="1:76">
      <c r="A820" s="72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</row>
    <row r="821" spans="1:76">
      <c r="A821" s="72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</row>
    <row r="822" spans="1:76">
      <c r="A822" s="7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</row>
    <row r="823" spans="1:76">
      <c r="A823" s="72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</row>
    <row r="824" spans="1:76">
      <c r="A824" s="72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</row>
    <row r="825" spans="1:76">
      <c r="A825" s="72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</row>
    <row r="826" spans="1:76">
      <c r="A826" s="72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</row>
    <row r="827" spans="1:76">
      <c r="A827" s="72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</row>
    <row r="828" spans="1:76">
      <c r="A828" s="72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</row>
    <row r="829" spans="1:76">
      <c r="A829" s="72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</row>
    <row r="830" spans="1:76">
      <c r="A830" s="72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</row>
    <row r="831" spans="1:76">
      <c r="A831" s="72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</row>
    <row r="832" spans="1:76">
      <c r="A832" s="7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</row>
    <row r="833" spans="1:76">
      <c r="A833" s="72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</row>
    <row r="834" spans="1:76">
      <c r="A834" s="72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</row>
    <row r="835" spans="1:76">
      <c r="A835" s="72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</row>
    <row r="836" spans="1:76">
      <c r="A836" s="72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</row>
    <row r="837" spans="1:76">
      <c r="A837" s="72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</row>
    <row r="838" spans="1:76">
      <c r="A838" s="72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</row>
    <row r="839" spans="1:76">
      <c r="A839" s="72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</row>
    <row r="840" spans="1:76">
      <c r="A840" s="72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</row>
    <row r="841" spans="1:76">
      <c r="A841" s="72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</row>
    <row r="842" spans="1:76">
      <c r="A842" s="7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</row>
    <row r="843" spans="1:76">
      <c r="A843" s="72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</row>
    <row r="844" spans="1:76">
      <c r="A844" s="72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</row>
    <row r="845" spans="1:76">
      <c r="A845" s="72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</row>
    <row r="846" spans="1:76">
      <c r="A846" s="72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</row>
    <row r="847" spans="1:76">
      <c r="A847" s="72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</row>
    <row r="848" spans="1:76">
      <c r="A848" s="72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</row>
    <row r="849" spans="1:76">
      <c r="A849" s="72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</row>
    <row r="850" spans="1:76">
      <c r="A850" s="72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</row>
    <row r="851" spans="1:76">
      <c r="A851" s="72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</row>
    <row r="852" spans="1:76">
      <c r="A852" s="7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</row>
    <row r="853" spans="1:76">
      <c r="A853" s="72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</row>
    <row r="854" spans="1:76">
      <c r="A854" s="72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</row>
    <row r="855" spans="1:76">
      <c r="A855" s="72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</row>
    <row r="856" spans="1:76">
      <c r="A856" s="72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</row>
    <row r="857" spans="1:76">
      <c r="A857" s="72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</row>
    <row r="858" spans="1:76">
      <c r="A858" s="72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</row>
    <row r="859" spans="1:76">
      <c r="A859" s="72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</row>
    <row r="860" spans="1:76">
      <c r="A860" s="72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</row>
    <row r="861" spans="1:76">
      <c r="A861" s="72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</row>
    <row r="862" spans="1:76">
      <c r="A862" s="7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</row>
    <row r="863" spans="1:76">
      <c r="A863" s="72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</row>
    <row r="864" spans="1:76">
      <c r="A864" s="72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</row>
    <row r="865" spans="1:76">
      <c r="A865" s="72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</row>
    <row r="866" spans="1:76">
      <c r="A866" s="72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</row>
    <row r="867" spans="1:76">
      <c r="A867" s="72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</row>
    <row r="868" spans="1:76">
      <c r="A868" s="72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</row>
    <row r="869" spans="1:76">
      <c r="A869" s="72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</row>
    <row r="870" spans="1:76">
      <c r="A870" s="72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</row>
    <row r="871" spans="1:76">
      <c r="A871" s="72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</row>
    <row r="872" spans="1:76">
      <c r="A872" s="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</row>
    <row r="873" spans="1:76">
      <c r="A873" s="72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</row>
    <row r="874" spans="1:76">
      <c r="A874" s="72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</row>
    <row r="875" spans="1:76">
      <c r="A875" s="72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</row>
    <row r="876" spans="1:76">
      <c r="A876" s="72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</row>
    <row r="877" spans="1:76">
      <c r="A877" s="72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</row>
    <row r="878" spans="1:76">
      <c r="A878" s="72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</row>
    <row r="879" spans="1:76">
      <c r="A879" s="72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</row>
    <row r="880" spans="1:76">
      <c r="A880" s="72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</row>
    <row r="881" spans="1:76">
      <c r="A881" s="72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</row>
    <row r="882" spans="1:76">
      <c r="A882" s="7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</row>
    <row r="883" spans="1:76">
      <c r="A883" s="72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</row>
    <row r="884" spans="1:76">
      <c r="A884" s="72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</row>
    <row r="885" spans="1:76">
      <c r="A885" s="72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</row>
    <row r="886" spans="1:76">
      <c r="A886" s="72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</row>
    <row r="887" spans="1:76">
      <c r="A887" s="72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</row>
    <row r="888" spans="1:76">
      <c r="A888" s="72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</row>
    <row r="889" spans="1:76">
      <c r="A889" s="72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</row>
    <row r="890" spans="1:76">
      <c r="A890" s="72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</row>
    <row r="891" spans="1:76">
      <c r="A891" s="72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</row>
    <row r="892" spans="1:76">
      <c r="A892" s="7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</row>
    <row r="893" spans="1:76">
      <c r="A893" s="72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</row>
    <row r="894" spans="1:76">
      <c r="A894" s="72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</row>
    <row r="895" spans="1:76">
      <c r="A895" s="72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</row>
    <row r="896" spans="1:76">
      <c r="A896" s="72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</row>
    <row r="897" spans="1:76">
      <c r="A897" s="72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</row>
    <row r="898" spans="1:76">
      <c r="A898" s="72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</row>
    <row r="899" spans="1:76">
      <c r="A899" s="72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</row>
    <row r="900" spans="1:76">
      <c r="A900" s="72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</row>
    <row r="901" spans="1:76">
      <c r="A901" s="72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</row>
    <row r="902" spans="1:76">
      <c r="A902" s="7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</row>
    <row r="903" spans="1:76">
      <c r="A903" s="72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</row>
    <row r="904" spans="1:76">
      <c r="A904" s="72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</row>
    <row r="905" spans="1:76">
      <c r="A905" s="72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</row>
    <row r="906" spans="1:76">
      <c r="A906" s="72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</row>
    <row r="907" spans="1:76">
      <c r="A907" s="72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</row>
    <row r="908" spans="1:76">
      <c r="A908" s="72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</row>
    <row r="909" spans="1:76">
      <c r="A909" s="72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</row>
    <row r="910" spans="1:76">
      <c r="A910" s="72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</row>
    <row r="911" spans="1:76">
      <c r="A911" s="72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</row>
    <row r="912" spans="1:76">
      <c r="A912" s="7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</row>
    <row r="913" spans="1:76">
      <c r="A913" s="72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</row>
    <row r="914" spans="1:76">
      <c r="A914" s="72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</row>
    <row r="915" spans="1:76">
      <c r="A915" s="72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</row>
    <row r="916" spans="1:76">
      <c r="A916" s="72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</row>
    <row r="917" spans="1:76">
      <c r="A917" s="72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</row>
    <row r="918" spans="1:76">
      <c r="A918" s="72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</row>
    <row r="919" spans="1:76">
      <c r="A919" s="72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</row>
    <row r="920" spans="1:76">
      <c r="A920" s="72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</row>
    <row r="921" spans="1:76">
      <c r="A921" s="72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</row>
    <row r="922" spans="1:76">
      <c r="A922" s="7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</row>
    <row r="923" spans="1:76">
      <c r="A923" s="72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</row>
    <row r="924" spans="1:76">
      <c r="A924" s="72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</row>
    <row r="925" spans="1:76">
      <c r="A925" s="72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</row>
    <row r="926" spans="1:76">
      <c r="A926" s="72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</row>
    <row r="927" spans="1:76">
      <c r="A927" s="72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</row>
    <row r="928" spans="1:76">
      <c r="A928" s="72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</row>
    <row r="929" spans="1:76">
      <c r="A929" s="72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</row>
    <row r="930" spans="1:76">
      <c r="A930" s="72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</row>
    <row r="931" spans="1:76">
      <c r="A931" s="72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</row>
    <row r="932" spans="1:76">
      <c r="A932" s="7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</row>
    <row r="933" spans="1:76">
      <c r="A933" s="72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</row>
    <row r="934" spans="1:76">
      <c r="A934" s="72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</row>
    <row r="935" spans="1:76">
      <c r="A935" s="72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</row>
    <row r="936" spans="1:76">
      <c r="A936" s="72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</row>
    <row r="937" spans="1:76">
      <c r="A937" s="72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</row>
    <row r="938" spans="1:76">
      <c r="A938" s="72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</row>
    <row r="939" spans="1:76">
      <c r="A939" s="72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</row>
    <row r="940" spans="1:76">
      <c r="A940" s="72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</row>
    <row r="941" spans="1:76">
      <c r="A941" s="72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</row>
    <row r="942" spans="1:76">
      <c r="A942" s="7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</row>
    <row r="943" spans="1:76">
      <c r="A943" s="72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</row>
    <row r="944" spans="1:76">
      <c r="A944" s="72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</row>
    <row r="945" spans="1:76">
      <c r="A945" s="72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</row>
    <row r="946" spans="1:76">
      <c r="A946" s="72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</row>
    <row r="947" spans="1:76">
      <c r="A947" s="72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</row>
    <row r="948" spans="1:76">
      <c r="A948" s="72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</row>
    <row r="949" spans="1:76">
      <c r="A949" s="72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</row>
    <row r="950" spans="1:76">
      <c r="A950" s="72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</row>
    <row r="951" spans="1:76">
      <c r="A951" s="72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</row>
    <row r="952" spans="1:76">
      <c r="A952" s="7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</row>
    <row r="953" spans="1:76">
      <c r="A953" s="72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</row>
    <row r="954" spans="1:76">
      <c r="A954" s="72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</row>
    <row r="955" spans="1:76">
      <c r="A955" s="72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</row>
    <row r="956" spans="1:76">
      <c r="A956" s="72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</row>
    <row r="957" spans="1:76">
      <c r="A957" s="72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</row>
    <row r="958" spans="1:76">
      <c r="A958" s="72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</row>
    <row r="959" spans="1:76">
      <c r="A959" s="72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</row>
    <row r="960" spans="1:76">
      <c r="A960" s="72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</row>
    <row r="961" spans="1:76">
      <c r="A961" s="72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</row>
    <row r="962" spans="1:76">
      <c r="A962" s="7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</row>
    <row r="963" spans="1:76">
      <c r="A963" s="72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</row>
    <row r="964" spans="1:76">
      <c r="A964" s="72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</row>
    <row r="965" spans="1:76">
      <c r="A965" s="72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</row>
    <row r="966" spans="1:76">
      <c r="A966" s="72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</row>
    <row r="967" spans="1:76">
      <c r="A967" s="72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</row>
    <row r="968" spans="1:76">
      <c r="A968" s="72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</row>
    <row r="969" spans="1:76">
      <c r="A969" s="72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</row>
    <row r="970" spans="1:76">
      <c r="A970" s="72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</row>
    <row r="971" spans="1:76">
      <c r="A971" s="72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</row>
    <row r="972" spans="1:76">
      <c r="A972" s="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</row>
    <row r="973" spans="1:76">
      <c r="A973" s="72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</row>
    <row r="974" spans="1:76">
      <c r="A974" s="72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</row>
    <row r="975" spans="1:76">
      <c r="A975" s="72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</row>
    <row r="976" spans="1:76">
      <c r="A976" s="72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</row>
    <row r="977" spans="1:76">
      <c r="A977" s="72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</row>
    <row r="978" spans="1:76">
      <c r="A978" s="72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</row>
    <row r="979" spans="1:76">
      <c r="A979" s="72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</row>
    <row r="980" spans="1:76">
      <c r="A980" s="72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</row>
    <row r="981" spans="1:76">
      <c r="A981" s="72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</row>
    <row r="982" spans="1:76">
      <c r="A982" s="7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</row>
    <row r="983" spans="1:76">
      <c r="A983" s="72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</row>
    <row r="984" spans="1:76">
      <c r="A984" s="72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</row>
    <row r="985" spans="1:76">
      <c r="A985" s="72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</row>
    <row r="986" spans="1:76">
      <c r="A986" s="72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</row>
    <row r="987" spans="1:76">
      <c r="A987" s="72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</row>
    <row r="988" spans="1:76">
      <c r="A988" s="72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</row>
    <row r="989" spans="1:76">
      <c r="A989" s="72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</row>
    <row r="990" spans="1:76">
      <c r="A990" s="72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</row>
    <row r="991" spans="1:76">
      <c r="A991" s="72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</row>
    <row r="992" spans="1:76">
      <c r="A992" s="7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</row>
    <row r="993" spans="1:76">
      <c r="A993" s="72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</row>
    <row r="994" spans="1:76">
      <c r="A994" s="72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</row>
    <row r="995" spans="1:76">
      <c r="A995" s="72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</row>
    <row r="996" spans="1:76">
      <c r="A996" s="72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</row>
    <row r="997" spans="1:76">
      <c r="A997" s="72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</row>
    <row r="998" spans="1:76">
      <c r="A998" s="72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</row>
    <row r="999" spans="1:76">
      <c r="A999" s="72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</row>
    <row r="1000" spans="1:76">
      <c r="A1000" s="72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</row>
    <row r="1001" spans="1:76">
      <c r="A1001" s="72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</row>
    <row r="1002" spans="1:76">
      <c r="A1002" s="7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</row>
    <row r="1003" spans="1:76">
      <c r="A1003" s="72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</row>
    <row r="1004" spans="1:76">
      <c r="A1004" s="72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</row>
    <row r="1005" spans="1:76">
      <c r="A1005" s="72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</row>
    <row r="1006" spans="1:76">
      <c r="A1006" s="72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</row>
    <row r="1007" spans="1:76">
      <c r="A1007" s="72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</row>
    <row r="1008" spans="1:76">
      <c r="A1008" s="72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</row>
    <row r="1009" spans="1:76">
      <c r="A1009" s="72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</row>
    <row r="1010" spans="1:76">
      <c r="A1010" s="72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</row>
    <row r="1011" spans="1:76">
      <c r="A1011" s="72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</row>
    <row r="1012" spans="1:76">
      <c r="A1012" s="7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</row>
    <row r="1013" spans="1:76">
      <c r="A1013" s="72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</row>
    <row r="1014" spans="1:76">
      <c r="A1014" s="72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</row>
    <row r="1015" spans="1:76">
      <c r="A1015" s="72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</row>
    <row r="1016" spans="1:76">
      <c r="A1016" s="72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</row>
    <row r="1017" spans="1:76">
      <c r="A1017" s="72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</row>
    <row r="1018" spans="1:76">
      <c r="A1018" s="72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</row>
    <row r="1019" spans="1:76">
      <c r="A1019" s="72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</row>
    <row r="1020" spans="1:76">
      <c r="A1020" s="72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</row>
    <row r="1021" spans="1:76">
      <c r="A1021" s="72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</row>
    <row r="1022" spans="1:76">
      <c r="A1022" s="7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</row>
    <row r="1023" spans="1:76">
      <c r="A1023" s="72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</row>
    <row r="1024" spans="1:76">
      <c r="A1024" s="72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</row>
    <row r="1025" spans="1:76">
      <c r="A1025" s="72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</row>
    <row r="1026" spans="1:76">
      <c r="A1026" s="72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</row>
    <row r="1027" spans="1:76">
      <c r="A1027" s="72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</row>
    <row r="1028" spans="1:76">
      <c r="A1028" s="72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</row>
    <row r="1029" spans="1:76">
      <c r="A1029" s="72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</row>
    <row r="1030" spans="1:76">
      <c r="A1030" s="72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</row>
    <row r="1031" spans="1:76">
      <c r="A1031" s="72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</row>
    <row r="1032" spans="1:76">
      <c r="A1032" s="7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</row>
    <row r="1033" spans="1:76">
      <c r="A1033" s="72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</row>
    <row r="1034" spans="1:76">
      <c r="A1034" s="72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</row>
    <row r="1035" spans="1:76">
      <c r="A1035" s="72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</row>
    <row r="1036" spans="1:76">
      <c r="A1036" s="72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</row>
    <row r="1037" spans="1:76">
      <c r="A1037" s="72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</row>
    <row r="1038" spans="1:76">
      <c r="A1038" s="72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</row>
    <row r="1039" spans="1:76">
      <c r="A1039" s="72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</row>
    <row r="1040" spans="1:76">
      <c r="A1040" s="72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</row>
    <row r="1041" spans="1:76">
      <c r="A1041" s="72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</row>
    <row r="1042" spans="1:76">
      <c r="A1042" s="7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</row>
    <row r="1043" spans="1:76">
      <c r="A1043" s="72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</row>
    <row r="1044" spans="1:76">
      <c r="A1044" s="72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</row>
    <row r="1045" spans="1:76">
      <c r="A1045" s="72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</row>
    <row r="1046" spans="1:76">
      <c r="A1046" s="72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</row>
    <row r="1047" spans="1:76">
      <c r="A1047" s="72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</row>
    <row r="1048" spans="1:76">
      <c r="A1048" s="72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</row>
    <row r="1049" spans="1:76">
      <c r="A1049" s="72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</row>
    <row r="1050" spans="1:76">
      <c r="A1050" s="72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</row>
    <row r="1051" spans="1:76">
      <c r="A1051" s="72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</row>
    <row r="1052" spans="1:76">
      <c r="A1052" s="7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</row>
    <row r="1053" spans="1:76">
      <c r="A1053" s="72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</row>
    <row r="1054" spans="1:76">
      <c r="A1054" s="72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</row>
    <row r="1055" spans="1:76">
      <c r="A1055" s="72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</row>
  </sheetData>
  <mergeCells count="7">
    <mergeCell ref="BW1:BX1"/>
    <mergeCell ref="H1:T1"/>
    <mergeCell ref="U1:AN1"/>
    <mergeCell ref="A1:G1"/>
    <mergeCell ref="BU1:BV1"/>
    <mergeCell ref="BC1:BT1"/>
    <mergeCell ref="AO1:BB1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70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1" bestFit="1" customWidth="1"/>
    <col min="37" max="37" width="11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2" t="s">
        <v>85</v>
      </c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J1" s="77" t="s">
        <v>86</v>
      </c>
      <c r="AK1" s="78"/>
    </row>
    <row r="2" spans="1:37" ht="18" customHeight="1" thickBot="1">
      <c r="A2" s="79" t="s">
        <v>87</v>
      </c>
      <c r="B2" s="80"/>
      <c r="C2" s="80"/>
      <c r="D2" s="80"/>
      <c r="E2" s="80"/>
      <c r="F2" s="80"/>
      <c r="G2" s="80"/>
      <c r="H2" s="80"/>
      <c r="J2" s="81" t="s">
        <v>88</v>
      </c>
      <c r="K2" s="80"/>
      <c r="L2" s="80"/>
      <c r="M2" s="80"/>
      <c r="N2" s="80"/>
      <c r="O2" s="85" t="s">
        <v>89</v>
      </c>
      <c r="P2" s="84"/>
      <c r="Q2" s="78"/>
      <c r="R2" s="84"/>
      <c r="S2" s="84"/>
      <c r="T2" s="84"/>
      <c r="U2" s="86" t="s">
        <v>90</v>
      </c>
      <c r="V2" s="80"/>
      <c r="W2" s="80"/>
      <c r="X2" s="80"/>
      <c r="Y2" s="80"/>
      <c r="Z2" s="80"/>
      <c r="AB2" s="79" t="s">
        <v>91</v>
      </c>
      <c r="AC2" s="80"/>
      <c r="AD2" s="80"/>
      <c r="AE2" s="80"/>
      <c r="AF2" s="80"/>
      <c r="AG2" s="80"/>
      <c r="AH2" s="80"/>
      <c r="AI2" s="80"/>
      <c r="AJ2" s="1" t="s">
        <v>10</v>
      </c>
      <c r="AK2" t="s">
        <v>92</v>
      </c>
    </row>
    <row r="3" spans="1:37" ht="15.75" customHeight="1" thickTop="1">
      <c r="A3" s="6" t="str">
        <f>_xlfn.CONCAT("TOTAL: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_xlfn.CONCAT("TOTAL: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_xlfn.CONCAT("TOTAL: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_xlfn.CONCAT("TOTAL: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7" t="str">
        <f>IF(COUNTA(BASE[Fecha])&gt;0,_xlfn.CONCAT(TEXT(MIN(BASE[Fecha]),"DD-MM-YYYY")," - ",TEXT(MAX(BASE[Fecha]),"DD-MM-YYYY"))," - ")</f>
        <v xml:space="preserve"> - </v>
      </c>
      <c r="AK3" s="87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306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307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308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79" t="s">
        <v>125</v>
      </c>
      <c r="B17" s="80"/>
      <c r="C17" s="80"/>
      <c r="D17" s="80"/>
      <c r="E17" s="80"/>
      <c r="F17" s="80"/>
      <c r="G17" s="80"/>
      <c r="H17" s="80"/>
      <c r="J17" s="79" t="s">
        <v>126</v>
      </c>
      <c r="K17" s="80"/>
      <c r="L17" s="80"/>
      <c r="M17" s="80"/>
      <c r="N17" s="80"/>
      <c r="O17" s="80"/>
      <c r="P17" s="80"/>
      <c r="Q17" s="80"/>
      <c r="S17" s="79" t="s">
        <v>127</v>
      </c>
      <c r="T17" s="80"/>
      <c r="U17" s="80"/>
      <c r="V17" s="80"/>
      <c r="W17" s="80"/>
      <c r="X17" s="80"/>
      <c r="Y17" s="80"/>
      <c r="Z17" s="80"/>
      <c r="AB17" s="79" t="s">
        <v>128</v>
      </c>
      <c r="AC17" s="80"/>
      <c r="AD17" s="80"/>
      <c r="AE17" s="80"/>
      <c r="AF17" s="80"/>
      <c r="AG17" s="80"/>
      <c r="AH17" s="80"/>
      <c r="AI17" s="80"/>
    </row>
    <row r="18" spans="1:35" ht="15.75" customHeight="1" thickTop="1">
      <c r="A18" s="6" t="str">
        <f>_xlfn.CONCAT("TOTAL: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_xlfn.CONCAT("TOTAL: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_xlfn.CONCAT("TOTAL: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_xlfn.CONCAT("TOTAL: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3" t="s">
        <v>142</v>
      </c>
      <c r="T25" s="84"/>
      <c r="U25" s="84"/>
      <c r="V25" s="84"/>
      <c r="W25" s="84"/>
      <c r="X25" s="84"/>
      <c r="Y25" s="84"/>
      <c r="Z25" s="78"/>
      <c r="AA25" s="84"/>
      <c r="AB25" s="84"/>
      <c r="AC25" s="84"/>
      <c r="AD25" s="84"/>
      <c r="AE25" s="84"/>
      <c r="AF25" s="84"/>
      <c r="AG25" s="84"/>
      <c r="AH25" s="84"/>
      <c r="AI25" s="78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</row>
    <row r="27" spans="1:35">
      <c r="S27" s="84"/>
      <c r="T27" s="84"/>
      <c r="U27" s="84"/>
      <c r="V27" s="84"/>
      <c r="W27" s="84"/>
      <c r="X27" s="84"/>
      <c r="Y27" s="84"/>
      <c r="Z27" s="78"/>
      <c r="AA27" s="84"/>
      <c r="AB27" s="84"/>
      <c r="AC27" s="84"/>
      <c r="AD27" s="84"/>
      <c r="AE27" s="84"/>
      <c r="AF27" s="84"/>
      <c r="AG27" s="84"/>
      <c r="AH27" s="84"/>
      <c r="AI27" s="78"/>
    </row>
    <row r="28" spans="1:35" ht="18" customHeight="1" thickBot="1">
      <c r="A28" s="79" t="s">
        <v>144</v>
      </c>
      <c r="B28" s="80"/>
      <c r="C28" s="80"/>
      <c r="D28" s="80"/>
      <c r="E28" s="80"/>
      <c r="F28" s="80"/>
      <c r="G28" s="80"/>
      <c r="H28" s="80"/>
      <c r="J28" s="79" t="s">
        <v>145</v>
      </c>
      <c r="K28" s="80"/>
      <c r="L28" s="80"/>
      <c r="M28" s="80"/>
      <c r="N28" s="80"/>
      <c r="O28" s="80"/>
      <c r="P28" s="80"/>
      <c r="Q28" s="80"/>
      <c r="S28" s="84"/>
      <c r="T28" s="84"/>
      <c r="U28" s="84"/>
      <c r="V28" s="84"/>
      <c r="W28" s="84"/>
      <c r="X28" s="84"/>
      <c r="Y28" s="84"/>
      <c r="Z28" s="78"/>
      <c r="AA28" s="84"/>
      <c r="AB28" s="84"/>
      <c r="AC28" s="84"/>
      <c r="AD28" s="84"/>
      <c r="AE28" s="84"/>
      <c r="AF28" s="84"/>
      <c r="AG28" s="84"/>
      <c r="AH28" s="84"/>
      <c r="AI28" s="78"/>
    </row>
    <row r="29" spans="1:35" ht="15.75" customHeight="1" thickTop="1">
      <c r="A29" s="6" t="str">
        <f>_xlfn.CONCAT("TOTAL: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_xlfn.CONCAT("TOTAL: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4"/>
      <c r="T29" s="84"/>
      <c r="U29" s="84"/>
      <c r="V29" s="84"/>
      <c r="W29" s="84"/>
      <c r="X29" s="84"/>
      <c r="Y29" s="84"/>
      <c r="Z29" s="78"/>
      <c r="AA29" s="84"/>
      <c r="AB29" s="84"/>
      <c r="AC29" s="84"/>
      <c r="AD29" s="84"/>
      <c r="AE29" s="84"/>
      <c r="AF29" s="84"/>
      <c r="AG29" s="84"/>
      <c r="AH29" s="84"/>
      <c r="AI29" s="78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4"/>
      <c r="T30" s="84"/>
      <c r="U30" s="84"/>
      <c r="V30" s="84"/>
      <c r="W30" s="84"/>
      <c r="X30" s="84"/>
      <c r="Y30" s="84"/>
      <c r="Z30" s="78"/>
      <c r="AA30" s="84"/>
      <c r="AB30" s="84"/>
      <c r="AC30" s="84"/>
      <c r="AD30" s="84"/>
      <c r="AE30" s="84"/>
      <c r="AF30" s="84"/>
      <c r="AG30" s="84"/>
      <c r="AH30" s="84"/>
      <c r="AI30" s="78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329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615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157">
        <f>IF($AK$2="(Todas)",COUNTIF(BASE[CODCIE10],EPV_VARICELA[[#This Row],[CIE-10]]),COUNTIFS(BASE[Cod.Establecimiento],$AK$2,BASE[CODCIE10],EPV_VARICELA[[#This Row],[CIE-10]]))</f>
        <v>0</v>
      </c>
      <c r="C33" s="157">
        <f>IF($AK$2="(Todas)",COUNTIF(BASE[CODCIE102],EPV_VARICELA[[#This Row],[CIE-10]]),COUNTIFS(BASE[Cod.Establecimiento],$AK$2,BASE[CODCIE102],EPV_VARICELA[[#This Row],[CIE-10]]))</f>
        <v>0</v>
      </c>
      <c r="D33" s="157">
        <f>IF($AK$2="(Todas)",COUNTIF(BASE[CODCIE104],EPV_VARICELA[[#This Row],[CIE-10]]),COUNTIFS(BASE[Cod.Establecimiento],$AK$2,BASE[CODCIE104],EPV_VARICELA[[#This Row],[CIE-10]]))</f>
        <v>0</v>
      </c>
      <c r="E33" s="157">
        <f>IF($AK$2="(Todas)",COUNTIF(BASE[CODCIE106],EPV_VARICELA[[#This Row],[CIE-10]]),COUNTIFS(BASE[Cod.Establecimiento],$AK$2,BASE[CODCIE106],EPV_VARICELA[[#This Row],[CIE-10]]))</f>
        <v>0</v>
      </c>
      <c r="F33" s="157">
        <f>IF($AK$2="(Todas)",COUNTIF(BASE[CODCIE108],EPV_VARICELA[[#This Row],[CIE-10]]),COUNTIFS(BASE[Cod.Establecimiento],$AK$2,BASE[CODCIE108],EPV_VARICELA[[#This Row],[CIE-10]]))</f>
        <v>0</v>
      </c>
      <c r="G33" s="157">
        <f>IF($AK$2="(Todas)",COUNTIF(BASE[CODCIE1010],EPV_VARICELA[[#This Row],[CIE-10]]),COUNTIFS(BASE[Cod.Establecimiento],$AK$2,BASE[CODCIE1010],EPV_VARICELA[[#This Row],[CIE-10]]))</f>
        <v>0</v>
      </c>
      <c r="H33" s="158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26" priority="4" operator="greaterThan">
      <formula>0</formula>
    </cfRule>
  </conditionalFormatting>
  <conditionalFormatting sqref="K5:Q15">
    <cfRule type="cellIs" dxfId="25" priority="3" operator="greaterThan">
      <formula>0</formula>
    </cfRule>
  </conditionalFormatting>
  <conditionalFormatting sqref="T5:Z13">
    <cfRule type="cellIs" dxfId="24" priority="2" operator="greaterThan">
      <formula>0</formula>
    </cfRule>
  </conditionalFormatting>
  <conditionalFormatting sqref="AC5:AI13 AC20:AI20 T20:Z21 B20:H23 K20:Q26 B31:H33 K31:Q37">
    <cfRule type="cellIs" dxfId="23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2"/>
  <sheetViews>
    <sheetView showGridLines="0" zoomScale="85" zoomScaleNormal="85" workbookViewId="0">
      <selection activeCell="O5" sqref="O5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2" t="s">
        <v>154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139" t="s">
        <v>155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138" t="s">
        <v>86</v>
      </c>
      <c r="O2" s="84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93" t="s">
        <v>156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2024</v>
      </c>
      <c r="J4" s="17"/>
      <c r="K4" s="18"/>
      <c r="N4" s="137" t="str">
        <f>IF(COUNTA(BASE[Fecha])&gt;0,_xlfn.CONCAT(TEXT(MIN(BASE[Fecha]),"DD-MM-YYYY")," - ",TEXT(MAX(BASE[Fecha]),"DD-MM-YYYY"))," - ")</f>
        <v xml:space="preserve"> - </v>
      </c>
      <c r="O4" s="137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_xlfn.CONCAT("Establecimiento: ",$O$3)</f>
        <v>Establecimiento: (Todas)</v>
      </c>
      <c r="C5" s="13"/>
      <c r="D5" s="13"/>
      <c r="E5" s="13"/>
      <c r="F5" s="17"/>
      <c r="G5" s="17"/>
      <c r="H5" s="19" t="str">
        <f>_xlfn.CONCAT("N°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98" t="s">
        <v>159</v>
      </c>
      <c r="C6" s="99"/>
      <c r="D6" s="99"/>
      <c r="E6" s="99"/>
      <c r="F6" s="99"/>
      <c r="G6" s="100"/>
      <c r="H6" s="98" t="s">
        <v>160</v>
      </c>
      <c r="I6" s="99"/>
      <c r="J6" s="99"/>
      <c r="K6" s="99"/>
      <c r="L6" s="99"/>
      <c r="M6" s="100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88" t="s">
        <v>161</v>
      </c>
      <c r="C7" s="89"/>
      <c r="D7" s="23" t="s">
        <v>162</v>
      </c>
      <c r="E7" s="24" t="s">
        <v>163</v>
      </c>
      <c r="F7" s="24" t="s">
        <v>164</v>
      </c>
      <c r="G7" s="25" t="s">
        <v>165</v>
      </c>
      <c r="H7" s="88" t="s">
        <v>166</v>
      </c>
      <c r="I7" s="89"/>
      <c r="J7" s="116" t="s">
        <v>162</v>
      </c>
      <c r="K7" s="92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90"/>
      <c r="C8" s="89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90"/>
      <c r="I8" s="89"/>
      <c r="J8" s="96" t="s">
        <v>170</v>
      </c>
      <c r="K8" s="97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90"/>
      <c r="C9" s="89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90"/>
      <c r="I9" s="89"/>
      <c r="J9" s="96" t="s">
        <v>174</v>
      </c>
      <c r="K9" s="97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90"/>
      <c r="C10" s="89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90"/>
      <c r="I10" s="89"/>
      <c r="J10" s="96" t="s">
        <v>178</v>
      </c>
      <c r="K10" s="97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90"/>
      <c r="C11" s="89"/>
      <c r="D11" s="96" t="s">
        <v>180</v>
      </c>
      <c r="E11" s="101" t="s">
        <v>181</v>
      </c>
      <c r="F11" s="112">
        <f>SUM(ENOS_G1_POLIOMIELITIS_AGUDA[TOT])</f>
        <v>0</v>
      </c>
      <c r="G11" s="112">
        <v>0</v>
      </c>
      <c r="H11" s="90"/>
      <c r="I11" s="89"/>
      <c r="J11" s="126" t="s">
        <v>182</v>
      </c>
      <c r="K11" s="124"/>
      <c r="L11" s="101" t="s">
        <v>183</v>
      </c>
      <c r="M11" s="94">
        <f>SUM(ENOS_G2_HEPATITIS_VIRAL_SIN_OTRA_ESPECIFIACION[TOT])</f>
        <v>0</v>
      </c>
      <c r="N11" s="2"/>
      <c r="O11" s="2"/>
    </row>
    <row r="12" spans="1:32" ht="15.75" customHeight="1">
      <c r="A12" s="2"/>
      <c r="B12" s="91"/>
      <c r="C12" s="92"/>
      <c r="D12" s="102"/>
      <c r="E12" s="102"/>
      <c r="F12" s="102"/>
      <c r="G12" s="102"/>
      <c r="H12" s="90"/>
      <c r="I12" s="89"/>
      <c r="J12" s="125"/>
      <c r="K12" s="92"/>
      <c r="L12" s="102"/>
      <c r="M12" s="95"/>
      <c r="N12" s="2"/>
      <c r="O12" s="2"/>
    </row>
    <row r="13" spans="1:32" ht="22.5" customHeight="1" thickBot="1">
      <c r="A13" s="2"/>
      <c r="B13" s="131" t="s">
        <v>184</v>
      </c>
      <c r="C13" s="124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90"/>
      <c r="I13" s="89"/>
      <c r="J13" s="96" t="s">
        <v>187</v>
      </c>
      <c r="K13" s="97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90"/>
      <c r="C14" s="89"/>
      <c r="D14" s="96" t="s">
        <v>189</v>
      </c>
      <c r="E14" s="101" t="s">
        <v>124</v>
      </c>
      <c r="F14" s="112">
        <f>SUM(ENOS_G1_SINDROME_DE_RUBEOLA_CONGENITA[TOT])</f>
        <v>0</v>
      </c>
      <c r="G14" s="112">
        <v>0</v>
      </c>
      <c r="H14" s="90"/>
      <c r="I14" s="89"/>
      <c r="J14" s="96" t="s">
        <v>190</v>
      </c>
      <c r="K14" s="124"/>
      <c r="L14" s="104" t="s">
        <v>191</v>
      </c>
      <c r="M14" s="94">
        <f>SUM(ENOS_G2_CONJUNTIVITIS_VIRAL[TOT])</f>
        <v>0</v>
      </c>
      <c r="N14" s="2"/>
      <c r="O14" s="2"/>
    </row>
    <row r="15" spans="1:32" ht="18" customHeight="1">
      <c r="A15" s="2"/>
      <c r="B15" s="90"/>
      <c r="C15" s="89"/>
      <c r="D15" s="102"/>
      <c r="E15" s="102"/>
      <c r="F15" s="102"/>
      <c r="G15" s="102"/>
      <c r="H15" s="90"/>
      <c r="I15" s="89"/>
      <c r="J15" s="125"/>
      <c r="K15" s="92"/>
      <c r="L15" s="102"/>
      <c r="M15" s="95"/>
      <c r="N15" s="2"/>
      <c r="O15" s="2"/>
    </row>
    <row r="16" spans="1:32" ht="15.75" customHeight="1">
      <c r="A16" s="2"/>
      <c r="B16" s="90"/>
      <c r="C16" s="89"/>
      <c r="D16" s="123" t="s">
        <v>192</v>
      </c>
      <c r="E16" s="101" t="s">
        <v>193</v>
      </c>
      <c r="F16" s="112">
        <f>SUM(ENOS_G1_SARAMPION[TOT])</f>
        <v>0</v>
      </c>
      <c r="G16" s="112">
        <v>0</v>
      </c>
      <c r="H16" s="90"/>
      <c r="I16" s="89"/>
      <c r="J16" s="126" t="s">
        <v>194</v>
      </c>
      <c r="K16" s="124"/>
      <c r="L16" s="104" t="s">
        <v>195</v>
      </c>
      <c r="M16" s="94">
        <f>SUM(ENOS_G2_ENF_VIRICAS_LESIONES_PIEL_Y_MEMB_MUCOSAS[TOT])</f>
        <v>0</v>
      </c>
      <c r="N16" s="2"/>
      <c r="O16" s="2"/>
    </row>
    <row r="17" spans="1:32">
      <c r="A17" s="2"/>
      <c r="B17" s="90"/>
      <c r="C17" s="89"/>
      <c r="D17" s="102"/>
      <c r="E17" s="102"/>
      <c r="F17" s="102"/>
      <c r="G17" s="102"/>
      <c r="H17" s="90"/>
      <c r="I17" s="89"/>
      <c r="J17" s="127"/>
      <c r="K17" s="89"/>
      <c r="L17" s="105"/>
      <c r="M17" s="136"/>
      <c r="N17" s="2"/>
      <c r="O17" s="2"/>
    </row>
    <row r="18" spans="1:32">
      <c r="A18" s="2"/>
      <c r="B18" s="90"/>
      <c r="C18" s="89"/>
      <c r="D18" s="96" t="s">
        <v>196</v>
      </c>
      <c r="E18" s="101" t="s">
        <v>197</v>
      </c>
      <c r="F18" s="112">
        <f>SUM(ENOS_G1_TETANOS_NEONATAL[TOT])</f>
        <v>0</v>
      </c>
      <c r="G18" s="112">
        <v>0</v>
      </c>
      <c r="H18" s="91"/>
      <c r="I18" s="92"/>
      <c r="J18" s="125"/>
      <c r="K18" s="92"/>
      <c r="L18" s="102"/>
      <c r="M18" s="95"/>
      <c r="N18" s="2"/>
      <c r="O18" s="2"/>
    </row>
    <row r="19" spans="1:32" ht="18" customHeight="1" thickBot="1">
      <c r="A19" s="2"/>
      <c r="B19" s="90"/>
      <c r="C19" s="89"/>
      <c r="D19" s="105"/>
      <c r="E19" s="105"/>
      <c r="F19" s="105"/>
      <c r="G19" s="105"/>
      <c r="H19" s="131" t="s">
        <v>198</v>
      </c>
      <c r="I19" s="124"/>
      <c r="J19" s="123" t="s">
        <v>199</v>
      </c>
      <c r="K19" s="124"/>
      <c r="L19" s="101" t="s">
        <v>200</v>
      </c>
      <c r="M19" s="94">
        <f>SUM(ENOS_G2_SIFILIS_CONGENITA[TOT])</f>
        <v>0</v>
      </c>
      <c r="N19" s="2"/>
      <c r="O19" s="2"/>
    </row>
    <row r="20" spans="1:32">
      <c r="A20" s="2"/>
      <c r="B20" s="90"/>
      <c r="C20" s="89"/>
      <c r="D20" s="102"/>
      <c r="E20" s="102"/>
      <c r="F20" s="102"/>
      <c r="G20" s="102"/>
      <c r="H20" s="90"/>
      <c r="I20" s="89"/>
      <c r="J20" s="125"/>
      <c r="K20" s="92"/>
      <c r="L20" s="102"/>
      <c r="M20" s="95"/>
      <c r="N20" s="2"/>
      <c r="O20" s="2"/>
    </row>
    <row r="21" spans="1:32">
      <c r="A21" s="2"/>
      <c r="B21" s="90"/>
      <c r="C21" s="89"/>
      <c r="D21" s="123" t="s">
        <v>201</v>
      </c>
      <c r="E21" s="104" t="s">
        <v>202</v>
      </c>
      <c r="F21" s="111">
        <f>SUM(ENOS_G1_PALUDISMO[TOT])</f>
        <v>0</v>
      </c>
      <c r="G21" s="111">
        <v>0</v>
      </c>
      <c r="H21" s="90"/>
      <c r="I21" s="89"/>
      <c r="J21" s="96" t="s">
        <v>203</v>
      </c>
      <c r="K21" s="97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32"/>
      <c r="C22" s="133"/>
      <c r="D22" s="102"/>
      <c r="E22" s="102"/>
      <c r="F22" s="102"/>
      <c r="G22" s="102"/>
      <c r="H22" s="132"/>
      <c r="I22" s="133"/>
      <c r="J22" s="113" t="s">
        <v>205</v>
      </c>
      <c r="K22" s="114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17" t="s">
        <v>207</v>
      </c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100"/>
      <c r="N23" s="2"/>
      <c r="O23" s="2"/>
    </row>
    <row r="24" spans="1:32">
      <c r="A24" s="2"/>
      <c r="B24" s="118" t="s">
        <v>208</v>
      </c>
      <c r="C24" s="89"/>
      <c r="D24" s="106" t="s">
        <v>163</v>
      </c>
      <c r="E24" s="84"/>
      <c r="F24" s="107"/>
      <c r="G24" s="121" t="s">
        <v>209</v>
      </c>
      <c r="H24" s="122"/>
      <c r="I24" s="122"/>
      <c r="J24" s="122"/>
      <c r="K24" s="122"/>
      <c r="L24" s="92"/>
      <c r="M24" s="134" t="s">
        <v>210</v>
      </c>
      <c r="N24" s="2"/>
      <c r="O24" s="2"/>
    </row>
    <row r="25" spans="1:32" ht="22.5" customHeight="1">
      <c r="A25" s="2"/>
      <c r="B25" s="119"/>
      <c r="C25" s="120"/>
      <c r="D25" s="108"/>
      <c r="E25" s="109"/>
      <c r="F25" s="110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95"/>
      <c r="N25" s="2"/>
      <c r="O25" s="2"/>
    </row>
    <row r="26" spans="1:32">
      <c r="A26" s="2"/>
      <c r="B26" s="103" t="s">
        <v>217</v>
      </c>
      <c r="C26" s="75"/>
      <c r="D26" s="130" t="s">
        <v>218</v>
      </c>
      <c r="E26" s="76"/>
      <c r="F26" s="75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3" t="s">
        <v>219</v>
      </c>
      <c r="C27" s="75"/>
      <c r="D27" s="115" t="s">
        <v>220</v>
      </c>
      <c r="E27" s="76"/>
      <c r="F27" s="75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3" t="s">
        <v>221</v>
      </c>
      <c r="C28" s="75"/>
      <c r="D28" s="115" t="s">
        <v>222</v>
      </c>
      <c r="E28" s="76"/>
      <c r="F28" s="75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3" t="s">
        <v>223</v>
      </c>
      <c r="C29" s="75"/>
      <c r="D29" s="130" t="s">
        <v>224</v>
      </c>
      <c r="E29" s="76"/>
      <c r="F29" s="75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3" t="s">
        <v>142</v>
      </c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</row>
    <row r="30" spans="1:32" ht="15.75" customHeight="1" thickBot="1">
      <c r="A30" s="2"/>
      <c r="B30" s="128" t="s">
        <v>225</v>
      </c>
      <c r="C30" s="129"/>
      <c r="D30" s="140" t="s">
        <v>226</v>
      </c>
      <c r="E30" s="141"/>
      <c r="F30" s="129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35" t="s">
        <v>231</v>
      </c>
      <c r="K33" s="84"/>
      <c r="L33" s="84"/>
      <c r="M33" s="55"/>
      <c r="N33" s="2"/>
      <c r="O33" s="2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79" t="s">
        <v>234</v>
      </c>
      <c r="Q35" s="80"/>
      <c r="R35" s="80"/>
      <c r="S35" s="80"/>
      <c r="T35" s="80"/>
      <c r="U35" s="80"/>
      <c r="V35" s="80"/>
      <c r="W35" s="80"/>
      <c r="X35" s="2"/>
      <c r="Y35" s="79" t="s">
        <v>235</v>
      </c>
      <c r="Z35" s="80"/>
      <c r="AA35" s="80"/>
      <c r="AB35" s="80"/>
      <c r="AC35" s="80"/>
      <c r="AD35" s="80"/>
      <c r="AE35" s="80"/>
      <c r="AF35" s="80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79" t="s">
        <v>238</v>
      </c>
      <c r="Q39" s="80"/>
      <c r="R39" s="80"/>
      <c r="S39" s="80"/>
      <c r="T39" s="80"/>
      <c r="U39" s="80"/>
      <c r="V39" s="80"/>
      <c r="W39" s="80"/>
      <c r="Y39" s="79" t="s">
        <v>239</v>
      </c>
      <c r="Z39" s="80"/>
      <c r="AA39" s="80"/>
      <c r="AB39" s="80"/>
      <c r="AC39" s="80"/>
      <c r="AD39" s="80"/>
      <c r="AE39" s="80"/>
      <c r="AF39" s="80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79" t="s">
        <v>241</v>
      </c>
      <c r="Q43" s="80"/>
      <c r="R43" s="80"/>
      <c r="S43" s="80"/>
      <c r="T43" s="80"/>
      <c r="U43" s="80"/>
      <c r="V43" s="80"/>
      <c r="W43" s="80"/>
      <c r="X43" s="2"/>
      <c r="Y43" s="79" t="s">
        <v>242</v>
      </c>
      <c r="Z43" s="80"/>
      <c r="AA43" s="80"/>
      <c r="AB43" s="80"/>
      <c r="AC43" s="80"/>
      <c r="AD43" s="80"/>
      <c r="AE43" s="80"/>
      <c r="AF43" s="80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79" t="s">
        <v>243</v>
      </c>
      <c r="Q47" s="80"/>
      <c r="R47" s="80"/>
      <c r="S47" s="80"/>
      <c r="T47" s="80"/>
      <c r="U47" s="80"/>
      <c r="V47" s="80"/>
      <c r="W47" s="80"/>
      <c r="Y47" s="79" t="s">
        <v>244</v>
      </c>
      <c r="Z47" s="80"/>
      <c r="AA47" s="80"/>
      <c r="AB47" s="80"/>
      <c r="AC47" s="80"/>
      <c r="AD47" s="80"/>
      <c r="AE47" s="80"/>
      <c r="AF47" s="80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79" t="s">
        <v>245</v>
      </c>
      <c r="Q51" s="80"/>
      <c r="R51" s="80"/>
      <c r="S51" s="80"/>
      <c r="T51" s="80"/>
      <c r="U51" s="80"/>
      <c r="V51" s="80"/>
      <c r="W51" s="80"/>
      <c r="X51" s="2"/>
      <c r="Y51" s="79" t="s">
        <v>246</v>
      </c>
      <c r="Z51" s="80"/>
      <c r="AA51" s="80"/>
      <c r="AB51" s="80"/>
      <c r="AC51" s="80"/>
      <c r="AD51" s="80"/>
      <c r="AE51" s="80"/>
      <c r="AF51" s="80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79" t="s">
        <v>253</v>
      </c>
      <c r="Q59" s="80"/>
      <c r="R59" s="80"/>
      <c r="S59" s="80"/>
      <c r="T59" s="80"/>
      <c r="U59" s="80"/>
      <c r="V59" s="80"/>
      <c r="W59" s="80"/>
      <c r="X59" s="2"/>
      <c r="Y59" s="79" t="s">
        <v>254</v>
      </c>
      <c r="Z59" s="80"/>
      <c r="AA59" s="80"/>
      <c r="AB59" s="80"/>
      <c r="AC59" s="80"/>
      <c r="AD59" s="80"/>
      <c r="AE59" s="80"/>
      <c r="AF59" s="80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79" t="s">
        <v>255</v>
      </c>
      <c r="Q63" s="80"/>
      <c r="R63" s="80"/>
      <c r="S63" s="80"/>
      <c r="T63" s="80"/>
      <c r="U63" s="80"/>
      <c r="V63" s="80"/>
      <c r="W63" s="80"/>
      <c r="X63" s="2"/>
      <c r="Y63" s="79" t="s">
        <v>256</v>
      </c>
      <c r="Z63" s="80"/>
      <c r="AA63" s="80"/>
      <c r="AB63" s="80"/>
      <c r="AC63" s="80"/>
      <c r="AD63" s="80"/>
      <c r="AE63" s="80"/>
      <c r="AF63" s="80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79" t="s">
        <v>259</v>
      </c>
      <c r="Q67" s="80"/>
      <c r="R67" s="80"/>
      <c r="S67" s="80"/>
      <c r="T67" s="80"/>
      <c r="U67" s="80"/>
      <c r="V67" s="80"/>
      <c r="W67" s="80"/>
      <c r="X67" s="2"/>
      <c r="Y67" s="79" t="s">
        <v>260</v>
      </c>
      <c r="Z67" s="80"/>
      <c r="AA67" s="80"/>
      <c r="AB67" s="80"/>
      <c r="AC67" s="80"/>
      <c r="AD67" s="80"/>
      <c r="AE67" s="80"/>
      <c r="AF67" s="80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79" t="s">
        <v>263</v>
      </c>
      <c r="Q71" s="80"/>
      <c r="R71" s="80"/>
      <c r="S71" s="80"/>
      <c r="T71" s="80"/>
      <c r="U71" s="80"/>
      <c r="V71" s="80"/>
      <c r="W71" s="80"/>
      <c r="Y71" s="79" t="s">
        <v>264</v>
      </c>
      <c r="Z71" s="80"/>
      <c r="AA71" s="80"/>
      <c r="AB71" s="80"/>
      <c r="AC71" s="80"/>
      <c r="AD71" s="80"/>
      <c r="AE71" s="80"/>
      <c r="AF71" s="80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79" t="s">
        <v>268</v>
      </c>
      <c r="Q77" s="80"/>
      <c r="R77" s="80"/>
      <c r="S77" s="80"/>
      <c r="T77" s="80"/>
      <c r="U77" s="80"/>
      <c r="V77" s="80"/>
      <c r="W77" s="80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269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ht="18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15.75" customHeight="1" thickBo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79" t="s">
        <v>270</v>
      </c>
      <c r="Q81" s="80"/>
      <c r="R81" s="80"/>
      <c r="S81" s="80"/>
      <c r="T81" s="80"/>
      <c r="U81" s="80"/>
      <c r="V81" s="80"/>
      <c r="W81" s="80"/>
      <c r="X81" s="2"/>
      <c r="Y81" s="79" t="s">
        <v>271</v>
      </c>
      <c r="Z81" s="80"/>
      <c r="AA81" s="80"/>
      <c r="AB81" s="80"/>
      <c r="AC81" s="80"/>
      <c r="AD81" s="80"/>
      <c r="AE81" s="80"/>
      <c r="AF81" s="80"/>
    </row>
    <row r="82" spans="1:32" ht="15.75" customHeight="1" thickTop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 t="s">
        <v>93</v>
      </c>
      <c r="Q82" s="8" t="s">
        <v>94</v>
      </c>
      <c r="R82" s="8" t="s">
        <v>95</v>
      </c>
      <c r="S82" s="8" t="s">
        <v>96</v>
      </c>
      <c r="T82" s="8" t="s">
        <v>97</v>
      </c>
      <c r="U82" s="8" t="s">
        <v>98</v>
      </c>
      <c r="V82" s="8" t="s">
        <v>99</v>
      </c>
      <c r="W82" s="10" t="s">
        <v>100</v>
      </c>
      <c r="X82" s="2"/>
      <c r="Y82" s="2" t="s">
        <v>93</v>
      </c>
      <c r="Z82" s="8" t="s">
        <v>94</v>
      </c>
      <c r="AA82" s="8" t="s">
        <v>95</v>
      </c>
      <c r="AB82" s="8" t="s">
        <v>96</v>
      </c>
      <c r="AC82" s="8" t="s">
        <v>97</v>
      </c>
      <c r="AD82" s="8" t="s">
        <v>98</v>
      </c>
      <c r="AE82" s="8" t="s">
        <v>99</v>
      </c>
      <c r="AF82" s="10" t="s">
        <v>100</v>
      </c>
    </row>
    <row r="83" spans="1:32" ht="18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32" t="s">
        <v>272</v>
      </c>
      <c r="Q83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3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3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3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3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3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3" s="9">
        <f>SUM(ENOS_G3_ETI_MENOR_QUE_1_AÑO[[#This Row],[D1]:[D6]])</f>
        <v>0</v>
      </c>
      <c r="X83" s="2"/>
      <c r="Y83" s="32" t="s">
        <v>272</v>
      </c>
      <c r="Z83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3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3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3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3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3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3" s="9">
        <f>SUM(ENOS_G3_ETI_1_4_AÑOS[[#This Row],[D1]:[D6]])</f>
        <v>0</v>
      </c>
    </row>
    <row r="84" spans="1:32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32" t="s">
        <v>273</v>
      </c>
      <c r="Q84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4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4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4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4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4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4" s="9">
        <f>SUM(ENOS_G3_ETI_MENOR_QUE_1_AÑO[[#This Row],[D1]:[D6]])</f>
        <v>0</v>
      </c>
      <c r="X84" s="2"/>
      <c r="Y84" s="32" t="s">
        <v>273</v>
      </c>
      <c r="Z84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4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4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4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4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4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4" s="9">
        <f>SUM(ENOS_G3_ETI_1_4_AÑOS[[#This Row],[D1]:[D6]])</f>
        <v>0</v>
      </c>
    </row>
    <row r="85" spans="1:32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274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274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32" ht="18" customHeight="1" thickBo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79" t="s">
        <v>275</v>
      </c>
      <c r="Q87" s="80"/>
      <c r="R87" s="80"/>
      <c r="S87" s="80"/>
      <c r="T87" s="80"/>
      <c r="U87" s="80"/>
      <c r="V87" s="80"/>
      <c r="W87" s="80"/>
      <c r="X87" s="2"/>
      <c r="Y87" s="79" t="s">
        <v>276</v>
      </c>
      <c r="Z87" s="80"/>
      <c r="AA87" s="80"/>
      <c r="AB87" s="80"/>
      <c r="AC87" s="80"/>
      <c r="AD87" s="80"/>
      <c r="AE87" s="80"/>
      <c r="AF87" s="80"/>
    </row>
    <row r="88" spans="1:32" ht="18" customHeight="1" thickTop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 t="s">
        <v>93</v>
      </c>
      <c r="Q88" s="8" t="s">
        <v>94</v>
      </c>
      <c r="R88" s="8" t="s">
        <v>95</v>
      </c>
      <c r="S88" s="8" t="s">
        <v>96</v>
      </c>
      <c r="T88" s="8" t="s">
        <v>97</v>
      </c>
      <c r="U88" s="8" t="s">
        <v>98</v>
      </c>
      <c r="V88" s="8" t="s">
        <v>99</v>
      </c>
      <c r="W88" s="10" t="s">
        <v>100</v>
      </c>
      <c r="X88" s="2"/>
      <c r="Y88" s="2" t="s">
        <v>93</v>
      </c>
      <c r="Z88" s="8" t="s">
        <v>94</v>
      </c>
      <c r="AA88" s="8" t="s">
        <v>95</v>
      </c>
      <c r="AB88" s="8" t="s">
        <v>96</v>
      </c>
      <c r="AC88" s="8" t="s">
        <v>97</v>
      </c>
      <c r="AD88" s="8" t="s">
        <v>98</v>
      </c>
      <c r="AE88" s="8" t="s">
        <v>99</v>
      </c>
      <c r="AF88" s="10" t="s">
        <v>100</v>
      </c>
    </row>
    <row r="89" spans="1:32" ht="18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32" t="s">
        <v>272</v>
      </c>
      <c r="Q89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89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89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89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89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89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89" s="9">
        <f>SUM(ENOS_G3_ETI_5_19_AÑOS[[#This Row],[D1]:[D6]])</f>
        <v>0</v>
      </c>
      <c r="X89" s="2"/>
      <c r="Y89" s="32" t="s">
        <v>272</v>
      </c>
      <c r="Z89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89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89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89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89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89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89" s="9">
        <f>SUM(ENOS_G3_ETI_20_59_AÑOS[[#This Row],[D1]:[D6]])</f>
        <v>0</v>
      </c>
    </row>
    <row r="90" spans="1:32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32" t="s">
        <v>273</v>
      </c>
      <c r="Q90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0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0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0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0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0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0" s="9">
        <f>SUM(ENOS_G3_ETI_5_19_AÑOS[[#This Row],[D1]:[D6]])</f>
        <v>0</v>
      </c>
      <c r="X90" s="2"/>
      <c r="Y90" s="32" t="s">
        <v>273</v>
      </c>
      <c r="Z90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0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0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0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0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0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0" s="9">
        <f>SUM(ENOS_G3_ETI_20_59_AÑOS[[#This Row],[D1]:[D6]])</f>
        <v>0</v>
      </c>
    </row>
    <row r="91" spans="1:3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274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274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8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32" ht="15.75" customHeight="1" thickBo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79" t="s">
        <v>277</v>
      </c>
      <c r="Q93" s="80"/>
      <c r="R93" s="80"/>
      <c r="S93" s="80"/>
      <c r="T93" s="80"/>
      <c r="U93" s="80"/>
      <c r="V93" s="80"/>
      <c r="W93" s="80"/>
      <c r="X93" s="2"/>
      <c r="Y93" s="79" t="s">
        <v>278</v>
      </c>
      <c r="Z93" s="80"/>
      <c r="AA93" s="80"/>
      <c r="AB93" s="80"/>
      <c r="AC93" s="80"/>
      <c r="AD93" s="80"/>
      <c r="AE93" s="80"/>
      <c r="AF93" s="80"/>
    </row>
    <row r="94" spans="1:32" ht="15.75" customHeight="1" thickTop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 t="s">
        <v>93</v>
      </c>
      <c r="Q94" s="8" t="s">
        <v>94</v>
      </c>
      <c r="R94" s="8" t="s">
        <v>95</v>
      </c>
      <c r="S94" s="8" t="s">
        <v>96</v>
      </c>
      <c r="T94" s="8" t="s">
        <v>97</v>
      </c>
      <c r="U94" s="8" t="s">
        <v>98</v>
      </c>
      <c r="V94" s="8" t="s">
        <v>99</v>
      </c>
      <c r="W94" s="10" t="s">
        <v>100</v>
      </c>
      <c r="X94" s="2"/>
      <c r="Y94" s="2" t="s">
        <v>93</v>
      </c>
      <c r="Z94" s="8" t="s">
        <v>94</v>
      </c>
      <c r="AA94" s="8" t="s">
        <v>95</v>
      </c>
      <c r="AB94" s="8" t="s">
        <v>96</v>
      </c>
      <c r="AC94" s="8" t="s">
        <v>97</v>
      </c>
      <c r="AD94" s="8" t="s">
        <v>98</v>
      </c>
      <c r="AE94" s="8" t="s">
        <v>99</v>
      </c>
      <c r="AF94" s="10" t="s">
        <v>100</v>
      </c>
    </row>
    <row r="95" spans="1:32" ht="18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32" t="s">
        <v>272</v>
      </c>
      <c r="Q95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5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5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5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5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5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5" s="9">
        <f>SUM(ENOS_G3_ETI_60_MAS_AÑOS[[#This Row],[D1]:[D6]])</f>
        <v>0</v>
      </c>
      <c r="X95" s="2"/>
      <c r="Y95" s="32" t="s">
        <v>272</v>
      </c>
      <c r="Z95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5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5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5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5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5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5" s="9">
        <f>SUM(ENOS_G3_ETI_SD_AÑOS[[#This Row],[D1]:[D6]])</f>
        <v>0</v>
      </c>
    </row>
    <row r="96" spans="1:32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32" t="s">
        <v>273</v>
      </c>
      <c r="Q96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6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6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6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6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6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6" s="9">
        <f>SUM(ENOS_G3_ETI_60_MAS_AÑOS[[#This Row],[D1]:[D6]])</f>
        <v>0</v>
      </c>
      <c r="X96" s="2"/>
      <c r="Y96" s="32" t="s">
        <v>273</v>
      </c>
      <c r="Z96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6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6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6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6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6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6" s="9">
        <f>SUM(ENOS_G3_ETI_SD_AÑOS[[#This Row],[D1]:[D6]])</f>
        <v>0</v>
      </c>
    </row>
    <row r="97" spans="1:3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274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274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8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15.75" customHeight="1" thickBo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79" t="s">
        <v>279</v>
      </c>
      <c r="Q99" s="80"/>
      <c r="R99" s="80"/>
      <c r="S99" s="80"/>
      <c r="T99" s="80"/>
      <c r="U99" s="80"/>
      <c r="V99" s="80"/>
      <c r="W99" s="80"/>
      <c r="X99" s="2"/>
      <c r="Y99" s="79" t="s">
        <v>280</v>
      </c>
      <c r="Z99" s="80"/>
      <c r="AA99" s="80"/>
      <c r="AB99" s="80"/>
      <c r="AC99" s="80"/>
      <c r="AD99" s="80"/>
      <c r="AE99" s="80"/>
      <c r="AF99" s="80"/>
    </row>
    <row r="100" spans="1:32" ht="15.75" customHeight="1" thickTop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 t="s">
        <v>93</v>
      </c>
      <c r="Q100" s="8" t="s">
        <v>94</v>
      </c>
      <c r="R100" s="8" t="s">
        <v>95</v>
      </c>
      <c r="S100" s="8" t="s">
        <v>96</v>
      </c>
      <c r="T100" s="8" t="s">
        <v>97</v>
      </c>
      <c r="U100" s="8" t="s">
        <v>98</v>
      </c>
      <c r="V100" s="8" t="s">
        <v>99</v>
      </c>
      <c r="W100" s="10" t="s">
        <v>100</v>
      </c>
      <c r="X100" s="2"/>
      <c r="Y100" s="2" t="s">
        <v>93</v>
      </c>
      <c r="Z100" s="8" t="s">
        <v>94</v>
      </c>
      <c r="AA100" s="8" t="s">
        <v>95</v>
      </c>
      <c r="AB100" s="8" t="s">
        <v>96</v>
      </c>
      <c r="AC100" s="8" t="s">
        <v>97</v>
      </c>
      <c r="AD100" s="8" t="s">
        <v>98</v>
      </c>
      <c r="AE100" s="8" t="s">
        <v>99</v>
      </c>
      <c r="AF100" s="10" t="s">
        <v>100</v>
      </c>
    </row>
    <row r="101" spans="1:3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32" t="s">
        <v>305</v>
      </c>
      <c r="Q10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1" s="9">
        <f>SUM(ENOS_G3_IRANN_MENOR_QUE_1_AÑO[[#This Row],[D1]:[D6]])</f>
        <v>0</v>
      </c>
      <c r="X101" s="2"/>
      <c r="Y101" s="32" t="s">
        <v>305</v>
      </c>
      <c r="Z10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1" s="9">
        <f>SUM(ENOS_G3_IRANN_1_4_AÑOS[[#This Row],[D1]:[D6]])</f>
        <v>0</v>
      </c>
    </row>
    <row r="102" spans="1:3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32" t="s">
        <v>306</v>
      </c>
      <c r="Q102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2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2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2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2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2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2" s="9">
        <f>SUM(ENOS_G3_IRANN_MENOR_QUE_1_AÑO[[#This Row],[D1]:[D6]])</f>
        <v>0</v>
      </c>
      <c r="X102" s="2"/>
      <c r="Y102" s="32" t="s">
        <v>306</v>
      </c>
      <c r="Z102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2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2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2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2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2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2" s="9">
        <f>SUM(ENOS_G3_IRANN_1_4_AÑOS[[#This Row],[D1]:[D6]])</f>
        <v>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307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307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308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308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 ht="18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309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309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310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310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311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311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312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312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313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313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1:32" ht="18" customHeight="1" thickBo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79" t="s">
        <v>281</v>
      </c>
      <c r="Q111" s="80"/>
      <c r="R111" s="80"/>
      <c r="S111" s="80"/>
      <c r="T111" s="80"/>
      <c r="U111" s="80"/>
      <c r="V111" s="80"/>
      <c r="W111" s="80"/>
      <c r="X111" s="2"/>
      <c r="Y111" s="79" t="s">
        <v>282</v>
      </c>
      <c r="Z111" s="80"/>
      <c r="AA111" s="80"/>
      <c r="AB111" s="80"/>
      <c r="AC111" s="80"/>
      <c r="AD111" s="80"/>
      <c r="AE111" s="80"/>
      <c r="AF111" s="80"/>
    </row>
    <row r="112" spans="1:32" ht="15.75" customHeight="1" thickTop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 t="s">
        <v>93</v>
      </c>
      <c r="Q112" s="8" t="s">
        <v>94</v>
      </c>
      <c r="R112" s="8" t="s">
        <v>95</v>
      </c>
      <c r="S112" s="8" t="s">
        <v>96</v>
      </c>
      <c r="T112" s="8" t="s">
        <v>97</v>
      </c>
      <c r="U112" s="8" t="s">
        <v>98</v>
      </c>
      <c r="V112" s="8" t="s">
        <v>99</v>
      </c>
      <c r="W112" s="10" t="s">
        <v>100</v>
      </c>
      <c r="X112" s="2"/>
      <c r="Y112" s="2" t="s">
        <v>93</v>
      </c>
      <c r="Z112" s="8" t="s">
        <v>94</v>
      </c>
      <c r="AA112" s="8" t="s">
        <v>95</v>
      </c>
      <c r="AB112" s="8" t="s">
        <v>96</v>
      </c>
      <c r="AC112" s="8" t="s">
        <v>97</v>
      </c>
      <c r="AD112" s="8" t="s">
        <v>98</v>
      </c>
      <c r="AE112" s="8" t="s">
        <v>99</v>
      </c>
      <c r="AF112" s="10" t="s">
        <v>100</v>
      </c>
    </row>
    <row r="113" spans="1:3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32" t="s">
        <v>305</v>
      </c>
      <c r="Q11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3" s="9">
        <f>SUM(ENOS_G3_IRANN_5_19_AÑOS[[#This Row],[D1]:[D6]])</f>
        <v>0</v>
      </c>
      <c r="X113" s="2"/>
      <c r="Y113" s="32" t="s">
        <v>305</v>
      </c>
      <c r="Z11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3" s="9">
        <f>SUM(ENOS_G3_IRANN_20_59_AÑOS[[#This Row],[D1]:[D6]])</f>
        <v>0</v>
      </c>
    </row>
    <row r="114" spans="1:3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32" t="s">
        <v>306</v>
      </c>
      <c r="Q114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4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4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4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4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4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4" s="9">
        <f>SUM(ENOS_G3_IRANN_5_19_AÑOS[[#This Row],[D1]:[D6]])</f>
        <v>0</v>
      </c>
      <c r="X114" s="2"/>
      <c r="Y114" s="32" t="s">
        <v>306</v>
      </c>
      <c r="Z114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4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4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4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4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4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4" s="9">
        <f>SUM(ENOS_G3_IRANN_20_59_AÑOS[[#This Row],[D1]:[D6]])</f>
        <v>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307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307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308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308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 ht="18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309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309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310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310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311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311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312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312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313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313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spans="1:32" ht="18" customHeight="1" thickBo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79" t="s">
        <v>283</v>
      </c>
      <c r="Q123" s="80"/>
      <c r="R123" s="80"/>
      <c r="S123" s="80"/>
      <c r="T123" s="80"/>
      <c r="U123" s="80"/>
      <c r="V123" s="80"/>
      <c r="W123" s="80"/>
      <c r="X123" s="2"/>
      <c r="Y123" s="79" t="s">
        <v>284</v>
      </c>
      <c r="Z123" s="80"/>
      <c r="AA123" s="80"/>
      <c r="AB123" s="80"/>
      <c r="AC123" s="80"/>
      <c r="AD123" s="80"/>
      <c r="AE123" s="80"/>
      <c r="AF123" s="80"/>
    </row>
    <row r="124" spans="1:32" ht="15.75" customHeight="1" thickTop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 t="s">
        <v>93</v>
      </c>
      <c r="Q124" s="8" t="s">
        <v>94</v>
      </c>
      <c r="R124" s="8" t="s">
        <v>95</v>
      </c>
      <c r="S124" s="8" t="s">
        <v>96</v>
      </c>
      <c r="T124" s="8" t="s">
        <v>97</v>
      </c>
      <c r="U124" s="8" t="s">
        <v>98</v>
      </c>
      <c r="V124" s="8" t="s">
        <v>99</v>
      </c>
      <c r="W124" s="10" t="s">
        <v>100</v>
      </c>
      <c r="X124" s="2"/>
      <c r="Y124" s="2" t="s">
        <v>93</v>
      </c>
      <c r="Z124" s="8" t="s">
        <v>94</v>
      </c>
      <c r="AA124" s="8" t="s">
        <v>95</v>
      </c>
      <c r="AB124" s="8" t="s">
        <v>96</v>
      </c>
      <c r="AC124" s="8" t="s">
        <v>97</v>
      </c>
      <c r="AD124" s="8" t="s">
        <v>98</v>
      </c>
      <c r="AE124" s="8" t="s">
        <v>99</v>
      </c>
      <c r="AF124" s="10" t="s">
        <v>100</v>
      </c>
    </row>
    <row r="125" spans="1:3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32" t="s">
        <v>305</v>
      </c>
      <c r="Q12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5" s="9">
        <f>SUM(ENOS_G3_IRANN_60_MAS_AÑOS[[#This Row],[D1]:[D6]])</f>
        <v>0</v>
      </c>
      <c r="X125" s="2"/>
      <c r="Y125" s="32" t="s">
        <v>305</v>
      </c>
      <c r="Z12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5" s="9">
        <f>SUM(ENOS_G3_IRANN_SD_AÑOS[[#This Row],[D1]:[D6]])</f>
        <v>0</v>
      </c>
    </row>
    <row r="126" spans="1:3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32" t="s">
        <v>306</v>
      </c>
      <c r="Q126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6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6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6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6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6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6" s="9">
        <f>SUM(ENOS_G3_IRANN_60_MAS_AÑOS[[#This Row],[D1]:[D6]])</f>
        <v>0</v>
      </c>
      <c r="X126" s="2"/>
      <c r="Y126" s="32" t="s">
        <v>306</v>
      </c>
      <c r="Z126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6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6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6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6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6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6" s="9">
        <f>SUM(ENOS_G3_IRANN_SD_AÑOS[[#This Row],[D1]:[D6]])</f>
        <v>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307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307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308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308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309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309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310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310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 ht="18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311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311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312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312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313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313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spans="1:32" ht="18" customHeight="1" thickBo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79" t="s">
        <v>285</v>
      </c>
      <c r="Q135" s="80"/>
      <c r="R135" s="80"/>
      <c r="S135" s="80"/>
      <c r="T135" s="80"/>
      <c r="U135" s="80"/>
      <c r="V135" s="80"/>
      <c r="W135" s="80"/>
      <c r="X135" s="2"/>
      <c r="Y135" s="79" t="s">
        <v>286</v>
      </c>
      <c r="Z135" s="80"/>
      <c r="AA135" s="80"/>
      <c r="AB135" s="80"/>
      <c r="AC135" s="80"/>
      <c r="AD135" s="80"/>
      <c r="AE135" s="80"/>
      <c r="AF135" s="80"/>
    </row>
    <row r="136" spans="1:32" ht="15.75" customHeight="1" thickTop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 t="s">
        <v>93</v>
      </c>
      <c r="Q136" s="8" t="s">
        <v>94</v>
      </c>
      <c r="R136" s="8" t="s">
        <v>95</v>
      </c>
      <c r="S136" s="8" t="s">
        <v>96</v>
      </c>
      <c r="T136" s="8" t="s">
        <v>97</v>
      </c>
      <c r="U136" s="8" t="s">
        <v>98</v>
      </c>
      <c r="V136" s="8" t="s">
        <v>99</v>
      </c>
      <c r="W136" s="10" t="s">
        <v>100</v>
      </c>
      <c r="X136" s="2"/>
      <c r="Y136" s="2" t="s">
        <v>93</v>
      </c>
      <c r="Z136" s="8" t="s">
        <v>94</v>
      </c>
      <c r="AA136" s="8" t="s">
        <v>95</v>
      </c>
      <c r="AB136" s="8" t="s">
        <v>96</v>
      </c>
      <c r="AC136" s="8" t="s">
        <v>97</v>
      </c>
      <c r="AD136" s="8" t="s">
        <v>98</v>
      </c>
      <c r="AE136" s="8" t="s">
        <v>99</v>
      </c>
      <c r="AF136" s="10" t="s">
        <v>100</v>
      </c>
    </row>
    <row r="137" spans="1:3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32" t="s">
        <v>314</v>
      </c>
      <c r="Q137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7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7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7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7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7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7" s="9">
        <f>SUM(ENOS_G3_NEU_MENOR_QUE_1_AÑO[[#This Row],[D1]:[D6]])</f>
        <v>0</v>
      </c>
      <c r="X137" s="2"/>
      <c r="Y137" s="32" t="s">
        <v>314</v>
      </c>
      <c r="Z137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7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7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7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7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7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7" s="9">
        <f>SUM(ENOS_G3_NEU_1_4_AÑOS[[#This Row],[D1]:[D6]])</f>
        <v>0</v>
      </c>
    </row>
    <row r="138" spans="1:3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32" t="s">
        <v>315</v>
      </c>
      <c r="Q138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8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8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8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8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8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8" s="9">
        <f>SUM(ENOS_G3_NEU_MENOR_QUE_1_AÑO[[#This Row],[D1]:[D6]])</f>
        <v>0</v>
      </c>
      <c r="X138" s="2"/>
      <c r="Y138" s="32" t="s">
        <v>315</v>
      </c>
      <c r="Z138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8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8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8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8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8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8" s="9">
        <f>SUM(ENOS_G3_NEU_1_4_AÑOS[[#This Row],[D1]:[D6]])</f>
        <v>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316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316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317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317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 ht="18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318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318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319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319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320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320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spans="1:32" ht="18" customHeight="1" thickBo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79" t="s">
        <v>287</v>
      </c>
      <c r="Q145" s="80"/>
      <c r="R145" s="80"/>
      <c r="S145" s="80"/>
      <c r="T145" s="80"/>
      <c r="U145" s="80"/>
      <c r="V145" s="80"/>
      <c r="W145" s="80"/>
      <c r="X145" s="2"/>
      <c r="Y145" s="79" t="s">
        <v>288</v>
      </c>
      <c r="Z145" s="80"/>
      <c r="AA145" s="80"/>
      <c r="AB145" s="80"/>
      <c r="AC145" s="80"/>
      <c r="AD145" s="80"/>
      <c r="AE145" s="80"/>
      <c r="AF145" s="80"/>
    </row>
    <row r="146" spans="1:32" ht="15.75" customHeight="1" thickTop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 t="s">
        <v>93</v>
      </c>
      <c r="Q146" s="8" t="s">
        <v>94</v>
      </c>
      <c r="R146" s="8" t="s">
        <v>95</v>
      </c>
      <c r="S146" s="8" t="s">
        <v>96</v>
      </c>
      <c r="T146" s="8" t="s">
        <v>97</v>
      </c>
      <c r="U146" s="8" t="s">
        <v>98</v>
      </c>
      <c r="V146" s="8" t="s">
        <v>99</v>
      </c>
      <c r="W146" s="10" t="s">
        <v>100</v>
      </c>
      <c r="X146" s="2"/>
      <c r="Y146" s="2" t="s">
        <v>93</v>
      </c>
      <c r="Z146" s="8" t="s">
        <v>94</v>
      </c>
      <c r="AA146" s="8" t="s">
        <v>95</v>
      </c>
      <c r="AB146" s="8" t="s">
        <v>96</v>
      </c>
      <c r="AC146" s="8" t="s">
        <v>97</v>
      </c>
      <c r="AD146" s="8" t="s">
        <v>98</v>
      </c>
      <c r="AE146" s="8" t="s">
        <v>99</v>
      </c>
      <c r="AF146" s="10" t="s">
        <v>100</v>
      </c>
    </row>
    <row r="147" spans="1:32" ht="18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32" t="s">
        <v>314</v>
      </c>
      <c r="Q147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7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7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7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7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7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7" s="9">
        <f>SUM(ENOS_G3_NEU_5_19_AÑOS[[#This Row],[D1]:[D6]])</f>
        <v>0</v>
      </c>
      <c r="X147" s="2"/>
      <c r="Y147" s="32" t="s">
        <v>314</v>
      </c>
      <c r="Z147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7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7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7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7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7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7" s="9">
        <f>SUM(ENOS_G3_NEU_20_59_AÑOS[[#This Row],[D1]:[D6]])</f>
        <v>0</v>
      </c>
    </row>
    <row r="148" spans="1:32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32" t="s">
        <v>315</v>
      </c>
      <c r="Q148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8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8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8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8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8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8" s="9">
        <f>SUM(ENOS_G3_NEU_5_19_AÑOS[[#This Row],[D1]:[D6]])</f>
        <v>0</v>
      </c>
      <c r="X148" s="2"/>
      <c r="Y148" s="32" t="s">
        <v>315</v>
      </c>
      <c r="Z148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8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8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8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8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8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8" s="9">
        <f>SUM(ENOS_G3_NEU_20_59_AÑOS[[#This Row],[D1]:[D6]])</f>
        <v>0</v>
      </c>
    </row>
    <row r="149" spans="1:3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316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316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317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317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318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318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319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319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 ht="18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320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320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1:32" ht="18" thickBo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79" t="s">
        <v>289</v>
      </c>
      <c r="Q155" s="80"/>
      <c r="R155" s="80"/>
      <c r="S155" s="80"/>
      <c r="T155" s="80"/>
      <c r="U155" s="80"/>
      <c r="V155" s="80"/>
      <c r="W155" s="80"/>
      <c r="X155" s="2"/>
      <c r="Y155" s="79" t="s">
        <v>290</v>
      </c>
      <c r="Z155" s="80"/>
      <c r="AA155" s="80"/>
      <c r="AB155" s="80"/>
      <c r="AC155" s="80"/>
      <c r="AD155" s="80"/>
      <c r="AE155" s="80"/>
      <c r="AF155" s="80"/>
    </row>
    <row r="156" spans="1:32" ht="15.75" thickTop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 t="s">
        <v>93</v>
      </c>
      <c r="Q156" s="8" t="s">
        <v>94</v>
      </c>
      <c r="R156" s="8" t="s">
        <v>95</v>
      </c>
      <c r="S156" s="8" t="s">
        <v>96</v>
      </c>
      <c r="T156" s="8" t="s">
        <v>97</v>
      </c>
      <c r="U156" s="8" t="s">
        <v>98</v>
      </c>
      <c r="V156" s="8" t="s">
        <v>99</v>
      </c>
      <c r="W156" s="10" t="s">
        <v>100</v>
      </c>
      <c r="X156" s="2"/>
      <c r="Y156" s="2" t="s">
        <v>93</v>
      </c>
      <c r="Z156" s="8" t="s">
        <v>94</v>
      </c>
      <c r="AA156" s="8" t="s">
        <v>95</v>
      </c>
      <c r="AB156" s="8" t="s">
        <v>96</v>
      </c>
      <c r="AC156" s="8" t="s">
        <v>97</v>
      </c>
      <c r="AD156" s="8" t="s">
        <v>98</v>
      </c>
      <c r="AE156" s="8" t="s">
        <v>99</v>
      </c>
      <c r="AF156" s="10" t="s">
        <v>100</v>
      </c>
    </row>
    <row r="157" spans="1:32" ht="18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32" t="s">
        <v>314</v>
      </c>
      <c r="Q157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7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7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7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7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7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7" s="9">
        <f>SUM(ENOS_G3_NEU_60_MAS_AÑOS[[#This Row],[D1]:[D6]])</f>
        <v>0</v>
      </c>
      <c r="X157" s="2"/>
      <c r="Y157" s="32" t="s">
        <v>314</v>
      </c>
      <c r="Z157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7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7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7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7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7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7" s="9">
        <f>SUM(ENOS_G3_NEU_SD_AÑOS[[#This Row],[D1]:[D6]])</f>
        <v>0</v>
      </c>
    </row>
    <row r="158" spans="1:32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32" t="s">
        <v>315</v>
      </c>
      <c r="Q158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8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8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8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8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8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8" s="9">
        <f>SUM(ENOS_G3_NEU_60_MAS_AÑOS[[#This Row],[D1]:[D6]])</f>
        <v>0</v>
      </c>
      <c r="X158" s="2"/>
      <c r="Y158" s="32" t="s">
        <v>315</v>
      </c>
      <c r="Z158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8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8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8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8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8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8" s="9">
        <f>SUM(ENOS_G3_NEU_SD_AÑOS[[#This Row],[D1]:[D6]])</f>
        <v>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316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316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317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317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318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318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319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319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320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320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spans="1:32" ht="18" customHeight="1" thickBot="1">
      <c r="A165" s="2"/>
      <c r="B165" s="2"/>
      <c r="C165" s="2"/>
      <c r="D165" s="2"/>
      <c r="E165" s="2"/>
      <c r="F165" s="2"/>
      <c r="G165" s="2"/>
      <c r="H165" s="2"/>
      <c r="I165" s="2"/>
      <c r="J165" s="78"/>
      <c r="K165" s="84"/>
      <c r="L165" s="78"/>
      <c r="M165" s="84"/>
      <c r="N165" s="84"/>
      <c r="O165" s="2"/>
      <c r="P165" s="79" t="s">
        <v>291</v>
      </c>
      <c r="Q165" s="80"/>
      <c r="R165" s="80"/>
      <c r="S165" s="80"/>
      <c r="T165" s="80"/>
      <c r="U165" s="80"/>
      <c r="V165" s="80"/>
      <c r="W165" s="80"/>
      <c r="X165" s="2"/>
      <c r="Y165" s="79" t="s">
        <v>292</v>
      </c>
      <c r="Z165" s="80"/>
      <c r="AA165" s="80"/>
      <c r="AB165" s="80"/>
      <c r="AC165" s="80"/>
      <c r="AD165" s="80"/>
      <c r="AE165" s="80"/>
      <c r="AF165" s="80"/>
    </row>
    <row r="166" spans="1:32" ht="15.75" customHeight="1" thickTop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 t="s">
        <v>93</v>
      </c>
      <c r="Q166" s="8" t="s">
        <v>94</v>
      </c>
      <c r="R166" s="8" t="s">
        <v>95</v>
      </c>
      <c r="S166" s="8" t="s">
        <v>96</v>
      </c>
      <c r="T166" s="8" t="s">
        <v>97</v>
      </c>
      <c r="U166" s="8" t="s">
        <v>98</v>
      </c>
      <c r="V166" s="8" t="s">
        <v>99</v>
      </c>
      <c r="W166" s="10" t="s">
        <v>100</v>
      </c>
      <c r="X166" s="2"/>
      <c r="Y166" s="2" t="s">
        <v>93</v>
      </c>
      <c r="Z166" s="8" t="s">
        <v>94</v>
      </c>
      <c r="AA166" s="8" t="s">
        <v>95</v>
      </c>
      <c r="AB166" s="8" t="s">
        <v>96</v>
      </c>
      <c r="AC166" s="8" t="s">
        <v>97</v>
      </c>
      <c r="AD166" s="8" t="s">
        <v>98</v>
      </c>
      <c r="AE166" s="8" t="s">
        <v>99</v>
      </c>
      <c r="AF166" s="10" t="s">
        <v>100</v>
      </c>
    </row>
    <row r="167" spans="1:3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32" t="s">
        <v>321</v>
      </c>
      <c r="Q167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7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7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7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7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7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7" s="9">
        <f>SUM(ENOS_G3_IRAGNG_MENOR_QUE_1_AÑO[[#This Row],[D1]:[D6]])</f>
        <v>0</v>
      </c>
      <c r="X167" s="2"/>
      <c r="Y167" s="32" t="s">
        <v>321</v>
      </c>
      <c r="Z167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7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7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7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7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7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7" s="9">
        <f>SUM(ENOS_G3_IRAGNG_1_4_AÑOS[[#This Row],[D1]:[D6]])</f>
        <v>0</v>
      </c>
    </row>
    <row r="168" spans="1:3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32" t="s">
        <v>322</v>
      </c>
      <c r="Q168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8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8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8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8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8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8" s="9">
        <f>SUM(ENOS_G3_IRAGNG_MENOR_QUE_1_AÑO[[#This Row],[D1]:[D6]])</f>
        <v>0</v>
      </c>
      <c r="X168" s="2"/>
      <c r="Y168" s="32" t="s">
        <v>322</v>
      </c>
      <c r="Z168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8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8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8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8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8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8" s="9">
        <f>SUM(ENOS_G3_IRAGNG_1_4_AÑOS[[#This Row],[D1]:[D6]])</f>
        <v>0</v>
      </c>
    </row>
    <row r="169" spans="1:32" ht="18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323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323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spans="1:32" ht="18" customHeight="1" thickBo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79" t="s">
        <v>293</v>
      </c>
      <c r="Q171" s="80"/>
      <c r="R171" s="80"/>
      <c r="S171" s="80"/>
      <c r="T171" s="80"/>
      <c r="U171" s="80"/>
      <c r="V171" s="80"/>
      <c r="W171" s="80"/>
      <c r="X171" s="2"/>
      <c r="Y171" s="79" t="s">
        <v>294</v>
      </c>
      <c r="Z171" s="80"/>
      <c r="AA171" s="80"/>
      <c r="AB171" s="80"/>
      <c r="AC171" s="80"/>
      <c r="AD171" s="80"/>
      <c r="AE171" s="80"/>
      <c r="AF171" s="80"/>
    </row>
    <row r="172" spans="1:32" ht="15.75" customHeight="1" thickTop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 t="s">
        <v>93</v>
      </c>
      <c r="Q172" s="8" t="s">
        <v>94</v>
      </c>
      <c r="R172" s="8" t="s">
        <v>95</v>
      </c>
      <c r="S172" s="8" t="s">
        <v>96</v>
      </c>
      <c r="T172" s="8" t="s">
        <v>97</v>
      </c>
      <c r="U172" s="8" t="s">
        <v>98</v>
      </c>
      <c r="V172" s="8" t="s">
        <v>99</v>
      </c>
      <c r="W172" s="10" t="s">
        <v>100</v>
      </c>
      <c r="X172" s="2"/>
      <c r="Y172" s="2" t="s">
        <v>93</v>
      </c>
      <c r="Z172" s="8" t="s">
        <v>94</v>
      </c>
      <c r="AA172" s="8" t="s">
        <v>95</v>
      </c>
      <c r="AB172" s="8" t="s">
        <v>96</v>
      </c>
      <c r="AC172" s="8" t="s">
        <v>97</v>
      </c>
      <c r="AD172" s="8" t="s">
        <v>98</v>
      </c>
      <c r="AE172" s="8" t="s">
        <v>99</v>
      </c>
      <c r="AF172" s="10" t="s">
        <v>100</v>
      </c>
    </row>
    <row r="173" spans="1:3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32" t="s">
        <v>321</v>
      </c>
      <c r="Q173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3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3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3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3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3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3" s="9">
        <f>SUM(ENOS_G3_IRAGNG_5_19_AÑOS[[#This Row],[D1]:[D6]])</f>
        <v>0</v>
      </c>
      <c r="X173" s="2"/>
      <c r="Y173" s="32" t="s">
        <v>321</v>
      </c>
      <c r="Z173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3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3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3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3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3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3" s="9">
        <f>SUM(ENOS_G3_IRAGNG_20_59_AÑOS[[#This Row],[D1]:[D6]])</f>
        <v>0</v>
      </c>
    </row>
    <row r="174" spans="1:3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32" t="s">
        <v>322</v>
      </c>
      <c r="Q174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4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4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4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4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4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4" s="9">
        <f>SUM(ENOS_G3_IRAGNG_5_19_AÑOS[[#This Row],[D1]:[D6]])</f>
        <v>0</v>
      </c>
      <c r="X174" s="2"/>
      <c r="Y174" s="32" t="s">
        <v>322</v>
      </c>
      <c r="Z174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4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4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4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4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4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4" s="9">
        <f>SUM(ENOS_G3_IRAGNG_20_59_AÑOS[[#This Row],[D1]:[D6]])</f>
        <v>0</v>
      </c>
    </row>
    <row r="175" spans="1:32" ht="18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323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323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spans="1:32" ht="18" customHeight="1" thickBo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79" t="s">
        <v>295</v>
      </c>
      <c r="Q177" s="80"/>
      <c r="R177" s="80"/>
      <c r="S177" s="80"/>
      <c r="T177" s="80"/>
      <c r="U177" s="80"/>
      <c r="V177" s="80"/>
      <c r="W177" s="80"/>
      <c r="X177" s="2"/>
      <c r="Y177" s="79" t="s">
        <v>296</v>
      </c>
      <c r="Z177" s="80"/>
      <c r="AA177" s="80"/>
      <c r="AB177" s="80"/>
      <c r="AC177" s="80"/>
      <c r="AD177" s="80"/>
      <c r="AE177" s="80"/>
      <c r="AF177" s="80"/>
    </row>
    <row r="178" spans="1:32" ht="15.75" customHeight="1" thickTop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 t="s">
        <v>93</v>
      </c>
      <c r="Q178" s="8" t="s">
        <v>94</v>
      </c>
      <c r="R178" s="8" t="s">
        <v>95</v>
      </c>
      <c r="S178" s="8" t="s">
        <v>96</v>
      </c>
      <c r="T178" s="8" t="s">
        <v>97</v>
      </c>
      <c r="U178" s="8" t="s">
        <v>98</v>
      </c>
      <c r="V178" s="8" t="s">
        <v>99</v>
      </c>
      <c r="W178" s="10" t="s">
        <v>100</v>
      </c>
      <c r="X178" s="2"/>
      <c r="Y178" s="2" t="s">
        <v>93</v>
      </c>
      <c r="Z178" s="8" t="s">
        <v>94</v>
      </c>
      <c r="AA178" s="8" t="s">
        <v>95</v>
      </c>
      <c r="AB178" s="8" t="s">
        <v>96</v>
      </c>
      <c r="AC178" s="8" t="s">
        <v>97</v>
      </c>
      <c r="AD178" s="8" t="s">
        <v>98</v>
      </c>
      <c r="AE178" s="8" t="s">
        <v>99</v>
      </c>
      <c r="AF178" s="10" t="s">
        <v>100</v>
      </c>
    </row>
    <row r="179" spans="1:3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32" t="s">
        <v>321</v>
      </c>
      <c r="Q179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79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79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79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79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79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79" s="9">
        <f>SUM(ENOS_G3_IRAGNG_60_MAS_AÑOS[[#This Row],[D1]:[D6]])</f>
        <v>0</v>
      </c>
      <c r="X179" s="2"/>
      <c r="Y179" s="32" t="s">
        <v>321</v>
      </c>
      <c r="Z179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79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79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79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79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79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79" s="9">
        <f>SUM(ENOS_G3_IRAGNG_SD_AÑOS[[#This Row],[D1]:[D6]])</f>
        <v>0</v>
      </c>
    </row>
    <row r="180" spans="1:3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32" t="s">
        <v>322</v>
      </c>
      <c r="Q180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0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0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0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0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0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0" s="9">
        <f>SUM(ENOS_G3_IRAGNG_60_MAS_AÑOS[[#This Row],[D1]:[D6]])</f>
        <v>0</v>
      </c>
      <c r="X180" s="2"/>
      <c r="Y180" s="32" t="s">
        <v>322</v>
      </c>
      <c r="Z180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0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0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0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0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0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0" s="9">
        <f>SUM(ENOS_G3_IRAGNG_SD_AÑOS[[#This Row],[D1]:[D6]])</f>
        <v>0</v>
      </c>
    </row>
    <row r="181" spans="1:32" ht="18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323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323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spans="1:32" ht="18" customHeight="1" thickBo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79" t="s">
        <v>297</v>
      </c>
      <c r="Q183" s="80"/>
      <c r="R183" s="80"/>
      <c r="S183" s="80"/>
      <c r="T183" s="80"/>
      <c r="U183" s="80"/>
      <c r="V183" s="80"/>
      <c r="W183" s="80"/>
      <c r="X183" s="2"/>
      <c r="Y183" s="79" t="s">
        <v>298</v>
      </c>
      <c r="Z183" s="80"/>
      <c r="AA183" s="80"/>
      <c r="AB183" s="80"/>
      <c r="AC183" s="80"/>
      <c r="AD183" s="80"/>
      <c r="AE183" s="80"/>
      <c r="AF183" s="80"/>
    </row>
    <row r="184" spans="1:32" ht="15.75" customHeight="1" thickTop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 t="s">
        <v>93</v>
      </c>
      <c r="Q184" s="8" t="s">
        <v>94</v>
      </c>
      <c r="R184" s="8" t="s">
        <v>95</v>
      </c>
      <c r="S184" s="8" t="s">
        <v>96</v>
      </c>
      <c r="T184" s="8" t="s">
        <v>97</v>
      </c>
      <c r="U184" s="8" t="s">
        <v>98</v>
      </c>
      <c r="V184" s="8" t="s">
        <v>99</v>
      </c>
      <c r="W184" s="10" t="s">
        <v>100</v>
      </c>
      <c r="X184" s="2"/>
      <c r="Y184" s="2" t="s">
        <v>93</v>
      </c>
      <c r="Z184" s="8" t="s">
        <v>94</v>
      </c>
      <c r="AA184" s="8" t="s">
        <v>95</v>
      </c>
      <c r="AB184" s="8" t="s">
        <v>96</v>
      </c>
      <c r="AC184" s="8" t="s">
        <v>97</v>
      </c>
      <c r="AD184" s="8" t="s">
        <v>98</v>
      </c>
      <c r="AE184" s="8" t="s">
        <v>99</v>
      </c>
      <c r="AF184" s="10" t="s">
        <v>100</v>
      </c>
    </row>
    <row r="185" spans="1:3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32" t="s">
        <v>299</v>
      </c>
      <c r="Q185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5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5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5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5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5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5" s="9">
        <f>SUM(ENOS_G3_DA_MENOR_QUE_1_AÑO[[#This Row],[D1]:[D6]])</f>
        <v>0</v>
      </c>
      <c r="X185" s="2"/>
      <c r="Y185" s="32" t="s">
        <v>299</v>
      </c>
      <c r="Z185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5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5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5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5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5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5" s="9">
        <f>SUM(ENOS_G3_DA_1_4_AÑOS[[#This Row],[D1]:[D6]])</f>
        <v>0</v>
      </c>
    </row>
    <row r="186" spans="1:3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32" t="s">
        <v>324</v>
      </c>
      <c r="Q186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6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6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6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6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6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6" s="9">
        <f>SUM(ENOS_G3_DA_MENOR_QUE_1_AÑO[[#This Row],[D1]:[D6]])</f>
        <v>0</v>
      </c>
      <c r="X186" s="2"/>
      <c r="Y186" s="32" t="s">
        <v>324</v>
      </c>
      <c r="Z186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6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6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6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6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6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6" s="9">
        <f>SUM(ENOS_G3_DA_1_4_AÑOS[[#This Row],[D1]:[D6]])</f>
        <v>0</v>
      </c>
    </row>
    <row r="187" spans="1:32" ht="18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325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325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261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261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300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300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326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326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327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327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328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328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 ht="18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spans="1:32" ht="18" customHeight="1" thickBo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79" t="s">
        <v>301</v>
      </c>
      <c r="Q194" s="80"/>
      <c r="R194" s="80"/>
      <c r="S194" s="80"/>
      <c r="T194" s="80"/>
      <c r="U194" s="80"/>
      <c r="V194" s="80"/>
      <c r="W194" s="80"/>
      <c r="X194" s="2"/>
      <c r="Y194" s="79" t="s">
        <v>302</v>
      </c>
      <c r="Z194" s="80"/>
      <c r="AA194" s="80"/>
      <c r="AB194" s="80"/>
      <c r="AC194" s="80"/>
      <c r="AD194" s="80"/>
      <c r="AE194" s="80"/>
      <c r="AF194" s="80"/>
    </row>
    <row r="195" spans="1:32" ht="15.75" customHeight="1" thickTop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 t="s">
        <v>93</v>
      </c>
      <c r="Q195" s="8" t="s">
        <v>94</v>
      </c>
      <c r="R195" s="8" t="s">
        <v>95</v>
      </c>
      <c r="S195" s="8" t="s">
        <v>96</v>
      </c>
      <c r="T195" s="8" t="s">
        <v>97</v>
      </c>
      <c r="U195" s="8" t="s">
        <v>98</v>
      </c>
      <c r="V195" s="8" t="s">
        <v>99</v>
      </c>
      <c r="W195" s="10" t="s">
        <v>100</v>
      </c>
      <c r="X195" s="2"/>
      <c r="Y195" s="2" t="s">
        <v>93</v>
      </c>
      <c r="Z195" s="8" t="s">
        <v>94</v>
      </c>
      <c r="AA195" s="8" t="s">
        <v>95</v>
      </c>
      <c r="AB195" s="8" t="s">
        <v>96</v>
      </c>
      <c r="AC195" s="8" t="s">
        <v>97</v>
      </c>
      <c r="AD195" s="8" t="s">
        <v>98</v>
      </c>
      <c r="AE195" s="8" t="s">
        <v>99</v>
      </c>
      <c r="AF195" s="10" t="s">
        <v>100</v>
      </c>
    </row>
    <row r="196" spans="1:3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32" t="s">
        <v>299</v>
      </c>
      <c r="Q196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6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6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6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6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6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6" s="9">
        <f>SUM(ENOS_G3_DA_5_19_AÑOS[[#This Row],[D1]:[D6]])</f>
        <v>0</v>
      </c>
      <c r="X196" s="2"/>
      <c r="Y196" s="32" t="s">
        <v>299</v>
      </c>
      <c r="Z196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6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6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6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6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6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6" s="9">
        <f>SUM(ENOS_G3_DA_20_59_AÑOS[[#This Row],[D1]:[D6]])</f>
        <v>0</v>
      </c>
    </row>
    <row r="197" spans="1:3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32" t="s">
        <v>324</v>
      </c>
      <c r="Q197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7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7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7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7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7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7" s="9">
        <f>SUM(ENOS_G3_DA_5_19_AÑOS[[#This Row],[D1]:[D6]])</f>
        <v>0</v>
      </c>
      <c r="X197" s="2"/>
      <c r="Y197" s="32" t="s">
        <v>324</v>
      </c>
      <c r="Z197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7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7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7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7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7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7" s="9">
        <f>SUM(ENOS_G3_DA_20_59_AÑOS[[#This Row],[D1]:[D6]])</f>
        <v>0</v>
      </c>
    </row>
    <row r="198" spans="1:32" ht="18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325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325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 ht="18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261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261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300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300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326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326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327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327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328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328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spans="1:32" ht="18" customHeight="1" thickBo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79" t="s">
        <v>303</v>
      </c>
      <c r="Q205" s="80"/>
      <c r="R205" s="80"/>
      <c r="S205" s="80"/>
      <c r="T205" s="80"/>
      <c r="U205" s="80"/>
      <c r="V205" s="80"/>
      <c r="W205" s="80"/>
      <c r="X205" s="2"/>
      <c r="Y205" s="79" t="s">
        <v>304</v>
      </c>
      <c r="Z205" s="80"/>
      <c r="AA205" s="80"/>
      <c r="AB205" s="80"/>
      <c r="AC205" s="80"/>
      <c r="AD205" s="80"/>
      <c r="AE205" s="80"/>
      <c r="AF205" s="80"/>
    </row>
    <row r="206" spans="1:32" ht="15.75" customHeight="1" thickTop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 t="s">
        <v>93</v>
      </c>
      <c r="Q206" s="8" t="s">
        <v>94</v>
      </c>
      <c r="R206" s="8" t="s">
        <v>95</v>
      </c>
      <c r="S206" s="8" t="s">
        <v>96</v>
      </c>
      <c r="T206" s="8" t="s">
        <v>97</v>
      </c>
      <c r="U206" s="8" t="s">
        <v>98</v>
      </c>
      <c r="V206" s="8" t="s">
        <v>99</v>
      </c>
      <c r="W206" s="10" t="s">
        <v>100</v>
      </c>
      <c r="X206" s="2"/>
      <c r="Y206" s="2" t="s">
        <v>93</v>
      </c>
      <c r="Z206" s="8" t="s">
        <v>94</v>
      </c>
      <c r="AA206" s="8" t="s">
        <v>95</v>
      </c>
      <c r="AB206" s="8" t="s">
        <v>96</v>
      </c>
      <c r="AC206" s="8" t="s">
        <v>97</v>
      </c>
      <c r="AD206" s="8" t="s">
        <v>98</v>
      </c>
      <c r="AE206" s="8" t="s">
        <v>99</v>
      </c>
      <c r="AF206" s="10" t="s">
        <v>100</v>
      </c>
    </row>
    <row r="207" spans="1:3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32" t="s">
        <v>299</v>
      </c>
      <c r="Q207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7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7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7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7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7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7" s="9">
        <f>SUM(ENOS_G3_DA_60_MAS_AÑOS[[#This Row],[D1]:[D6]])</f>
        <v>0</v>
      </c>
      <c r="X207" s="2"/>
      <c r="Y207" s="32" t="s">
        <v>299</v>
      </c>
      <c r="Z207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7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7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7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7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7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7" s="9">
        <f>SUM(ENOS_G3_DA_SD_AÑOS[[#This Row],[D1]:[D6]])</f>
        <v>0</v>
      </c>
    </row>
    <row r="208" spans="1:3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32" t="s">
        <v>324</v>
      </c>
      <c r="Q208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8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8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8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8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8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8" s="9">
        <f>SUM(ENOS_G3_DA_60_MAS_AÑOS[[#This Row],[D1]:[D6]])</f>
        <v>0</v>
      </c>
      <c r="X208" s="2"/>
      <c r="Y208" s="32" t="s">
        <v>324</v>
      </c>
      <c r="Z208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8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8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8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8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8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8" s="9">
        <f>SUM(ENOS_G3_DA_SD_AÑOS[[#This Row],[D1]:[D6]])</f>
        <v>0</v>
      </c>
    </row>
    <row r="209" spans="1:32" ht="18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325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325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261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261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300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300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326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326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327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327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>
      <c r="A214" s="2"/>
      <c r="B214" s="2"/>
      <c r="C214" s="2"/>
      <c r="D214" s="2"/>
      <c r="E214" s="2"/>
      <c r="F214" s="2"/>
      <c r="G214" s="2"/>
      <c r="H214" s="2"/>
      <c r="I214" s="2"/>
      <c r="J214" s="78"/>
      <c r="K214" s="84"/>
      <c r="L214" s="78"/>
      <c r="M214" s="84"/>
      <c r="N214" s="84"/>
      <c r="O214" s="2"/>
      <c r="P214" s="32" t="s">
        <v>328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328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X215" s="2"/>
    </row>
    <row r="216" spans="1:32">
      <c r="X216" s="2"/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 ht="18" customHeight="1">
      <c r="X222" s="2"/>
    </row>
    <row r="223" spans="1:32" ht="15.75" customHeight="1">
      <c r="X223" s="2"/>
    </row>
    <row r="224" spans="1:32">
      <c r="X224" s="2"/>
    </row>
    <row r="225" spans="24:24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 ht="18" customHeight="1">
      <c r="X233" s="2"/>
    </row>
    <row r="234" spans="24:24" ht="15.75" customHeight="1">
      <c r="X234" s="2"/>
    </row>
    <row r="235" spans="24:24">
      <c r="X235" s="2"/>
    </row>
    <row r="236" spans="24:24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</sheetData>
  <mergeCells count="120">
    <mergeCell ref="N4:O4"/>
    <mergeCell ref="B1:M1"/>
    <mergeCell ref="N2:O2"/>
    <mergeCell ref="Y177:AF177"/>
    <mergeCell ref="G14:G15"/>
    <mergeCell ref="P77:W77"/>
    <mergeCell ref="P155:W155"/>
    <mergeCell ref="B2:M2"/>
    <mergeCell ref="P135:W135"/>
    <mergeCell ref="J10:K10"/>
    <mergeCell ref="D21:D22"/>
    <mergeCell ref="P165:W165"/>
    <mergeCell ref="Y63:AF63"/>
    <mergeCell ref="Y93:AF93"/>
    <mergeCell ref="J9:K9"/>
    <mergeCell ref="L14:L15"/>
    <mergeCell ref="D28:F28"/>
    <mergeCell ref="Y155:AF155"/>
    <mergeCell ref="P81:W81"/>
    <mergeCell ref="H19:I22"/>
    <mergeCell ref="Y67:AF67"/>
    <mergeCell ref="D16:D17"/>
    <mergeCell ref="D30:F30"/>
    <mergeCell ref="P145:W145"/>
    <mergeCell ref="J14:K15"/>
    <mergeCell ref="Y145:AF145"/>
    <mergeCell ref="F11:F12"/>
    <mergeCell ref="Y205:AF205"/>
    <mergeCell ref="J165:K165"/>
    <mergeCell ref="Y43:AF43"/>
    <mergeCell ref="B27:C27"/>
    <mergeCell ref="B13:C22"/>
    <mergeCell ref="Y35:AF35"/>
    <mergeCell ref="Y123:AF123"/>
    <mergeCell ref="Y59:AF59"/>
    <mergeCell ref="M24:M25"/>
    <mergeCell ref="J33:L33"/>
    <mergeCell ref="B29:C29"/>
    <mergeCell ref="Y183:AF183"/>
    <mergeCell ref="Y194:AF194"/>
    <mergeCell ref="Y111:AF111"/>
    <mergeCell ref="P43:W43"/>
    <mergeCell ref="M16:M18"/>
    <mergeCell ref="P93:W93"/>
    <mergeCell ref="P183:W183"/>
    <mergeCell ref="P177:W177"/>
    <mergeCell ref="Y171:AF171"/>
    <mergeCell ref="M14:M15"/>
    <mergeCell ref="B28:C28"/>
    <mergeCell ref="Y99:AF99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7:W87"/>
    <mergeCell ref="P29:AF34"/>
    <mergeCell ref="P71:W71"/>
    <mergeCell ref="J11:K12"/>
    <mergeCell ref="G18:G20"/>
    <mergeCell ref="P51:W51"/>
    <mergeCell ref="E11:E12"/>
    <mergeCell ref="D29:F29"/>
    <mergeCell ref="P67:W67"/>
    <mergeCell ref="Y81:AF81"/>
    <mergeCell ref="E18:E20"/>
    <mergeCell ref="D26:F26"/>
    <mergeCell ref="B6:G6"/>
    <mergeCell ref="J7:K7"/>
    <mergeCell ref="H7:I18"/>
    <mergeCell ref="Y47:AF47"/>
    <mergeCell ref="G11:G12"/>
    <mergeCell ref="L165:N165"/>
    <mergeCell ref="P35:W35"/>
    <mergeCell ref="B23:M23"/>
    <mergeCell ref="Y87:AF87"/>
    <mergeCell ref="M11:M12"/>
    <mergeCell ref="B24:C25"/>
    <mergeCell ref="Y71:AF71"/>
    <mergeCell ref="D18:D20"/>
    <mergeCell ref="F21:F22"/>
    <mergeCell ref="P59:W59"/>
    <mergeCell ref="Y51:AF51"/>
    <mergeCell ref="P111:W111"/>
    <mergeCell ref="Y135:AF135"/>
    <mergeCell ref="P63:W63"/>
    <mergeCell ref="J13:K13"/>
    <mergeCell ref="Y39:AF39"/>
    <mergeCell ref="G24:L24"/>
    <mergeCell ref="P99:W99"/>
    <mergeCell ref="Y165:AF165"/>
    <mergeCell ref="J214:K214"/>
    <mergeCell ref="B7:C12"/>
    <mergeCell ref="B3:M3"/>
    <mergeCell ref="M19:M20"/>
    <mergeCell ref="L214:N214"/>
    <mergeCell ref="J8:K8"/>
    <mergeCell ref="H6:M6"/>
    <mergeCell ref="P194:W194"/>
    <mergeCell ref="L19:L20"/>
    <mergeCell ref="P205:W205"/>
    <mergeCell ref="B26:C26"/>
    <mergeCell ref="L16:L18"/>
    <mergeCell ref="P39:W39"/>
    <mergeCell ref="J21:K21"/>
    <mergeCell ref="P171:W171"/>
    <mergeCell ref="E21:E22"/>
    <mergeCell ref="D24:F25"/>
    <mergeCell ref="G21:G22"/>
    <mergeCell ref="P123:W123"/>
    <mergeCell ref="F16:F17"/>
    <mergeCell ref="E14:E15"/>
    <mergeCell ref="D11:D12"/>
    <mergeCell ref="J22:K22"/>
    <mergeCell ref="D27:F27"/>
  </mergeCells>
  <conditionalFormatting sqref="N4 F8:G22 M8:M22 G26:M30">
    <cfRule type="cellIs" dxfId="22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79 Q83:W85 Z83:AF85 Q89:W91 Z89:AF91 Q95:W97 Z95:AF97 Q101:W109 Z101:AF109 Q113:W121 Z113:AF121 Q125:W133 Z125:AF133 Q137:W143 Z137:AF143">
    <cfRule type="cellIs" dxfId="21" priority="2" operator="greaterThan">
      <formula>0</formula>
    </cfRule>
  </conditionalFormatting>
  <conditionalFormatting sqref="Q147:W153 Z147:AF153 Q157:W163 Z157:AF163 Q167:W169 Z167:AF169 Q173:W175 Z173:AF175 Q179:W181 Z179:AF181 Q185:W192 Z185:AF192 Q196:W203 Z196:AF203 Q207:W214 Z207:AF214">
    <cfRule type="cellIs" dxfId="2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70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1" bestFit="1" customWidth="1"/>
    <col min="37" max="37" width="11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3" t="s">
        <v>347</v>
      </c>
      <c r="G1" s="143"/>
      <c r="H1" s="143"/>
      <c r="I1" s="143"/>
      <c r="J1" s="143"/>
      <c r="K1" s="143"/>
      <c r="M1" s="69" t="s">
        <v>362</v>
      </c>
      <c r="AJ1" s="77" t="s">
        <v>86</v>
      </c>
      <c r="AK1" s="78"/>
    </row>
    <row r="2" spans="1:41" ht="18" customHeight="1" thickBot="1">
      <c r="A2" s="79" t="s">
        <v>330</v>
      </c>
      <c r="B2" s="80"/>
      <c r="C2" s="80"/>
      <c r="D2" s="80"/>
      <c r="E2" s="80"/>
      <c r="F2" s="80"/>
      <c r="G2" s="80"/>
      <c r="H2" s="80"/>
      <c r="J2" s="79" t="s">
        <v>331</v>
      </c>
      <c r="K2" s="79"/>
      <c r="L2" s="79"/>
      <c r="M2" s="79"/>
      <c r="N2" s="79"/>
      <c r="O2" s="79"/>
      <c r="P2" s="79"/>
      <c r="Q2" s="79"/>
      <c r="R2" s="2"/>
      <c r="S2" s="79" t="s">
        <v>348</v>
      </c>
      <c r="T2" s="79"/>
      <c r="U2" s="79"/>
      <c r="V2" s="79"/>
      <c r="W2" s="79"/>
      <c r="X2" s="79"/>
      <c r="Y2" s="79"/>
      <c r="Z2" s="79"/>
      <c r="AB2" s="79" t="s">
        <v>350</v>
      </c>
      <c r="AC2" s="80"/>
      <c r="AD2" s="80"/>
      <c r="AE2" s="80"/>
      <c r="AF2" s="80"/>
      <c r="AG2" s="80"/>
      <c r="AH2" s="80"/>
      <c r="AI2" s="80"/>
      <c r="AJ2" s="1" t="s">
        <v>10</v>
      </c>
      <c r="AK2" t="s">
        <v>92</v>
      </c>
    </row>
    <row r="3" spans="1:41" ht="15.75" customHeight="1" thickTop="1">
      <c r="A3" s="6" t="str">
        <f>_xlfn.CONCAT("TOTAL: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_xlfn.CONCAT("TOTAL: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_xlfn.CONCAT("TOTAL: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_xlfn.CONCAT("TOTAL: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145" t="str">
        <f>IF(COUNTA(BASE[Fecha])&gt;0,_xlfn.CONCAT(TEXT(MIN(BASE[Fecha]),"DD-MM-YYYY")," - ",TEXT(MAX(BASE[Fecha]),"DD-MM-YYYY"))," - ")</f>
        <v xml:space="preserve"> - </v>
      </c>
      <c r="AK3" s="145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332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349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336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</row>
    <row r="6" spans="1:41">
      <c r="A6" s="4" t="s">
        <v>333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345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</row>
    <row r="7" spans="1:41" ht="18" customHeight="1" thickBot="1">
      <c r="A7" s="4" t="s">
        <v>324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346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79" t="s">
        <v>351</v>
      </c>
      <c r="T7" s="79"/>
      <c r="U7" s="79"/>
      <c r="V7" s="79"/>
      <c r="W7" s="79"/>
      <c r="X7" s="79"/>
      <c r="Y7" s="79"/>
      <c r="Z7" s="79"/>
      <c r="AB7" s="79" t="s">
        <v>352</v>
      </c>
      <c r="AC7" s="79"/>
      <c r="AD7" s="79"/>
      <c r="AE7" s="79"/>
      <c r="AF7" s="79"/>
      <c r="AG7" s="79"/>
      <c r="AH7" s="79"/>
      <c r="AI7" s="79"/>
      <c r="AJ7" s="144" t="s">
        <v>142</v>
      </c>
      <c r="AK7" s="144"/>
      <c r="AL7" s="70"/>
      <c r="AM7" s="70"/>
      <c r="AN7" s="70"/>
      <c r="AO7" s="70"/>
    </row>
    <row r="8" spans="1:41" ht="15.75" customHeight="1" thickTop="1">
      <c r="A8" s="4" t="s">
        <v>325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_xlfn.CONCAT("TOTAL: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_xlfn.CONCAT("TOTAL: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4"/>
      <c r="AK8" s="144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4"/>
      <c r="AK9" s="144"/>
      <c r="AL9" s="70"/>
      <c r="AM9" s="70"/>
      <c r="AN9" s="70"/>
      <c r="AO9" s="70"/>
    </row>
    <row r="10" spans="1:41" ht="15" customHeight="1">
      <c r="A10" s="4" t="s">
        <v>334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335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353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4"/>
      <c r="AK10" s="144"/>
      <c r="AL10" s="70"/>
      <c r="AM10" s="70"/>
      <c r="AN10" s="70"/>
      <c r="AO10" s="70"/>
    </row>
    <row r="11" spans="1:41" ht="15" customHeight="1">
      <c r="A11" s="4" t="s">
        <v>326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4"/>
      <c r="AK11" s="144"/>
      <c r="AL11" s="70"/>
      <c r="AM11" s="70"/>
      <c r="AN11" s="70"/>
      <c r="AO11" s="70"/>
    </row>
    <row r="12" spans="1:41" ht="18" customHeight="1" thickBot="1">
      <c r="A12" s="32" t="s">
        <v>327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79" t="s">
        <v>354</v>
      </c>
      <c r="K12" s="79"/>
      <c r="L12" s="79"/>
      <c r="M12" s="79"/>
      <c r="N12" s="79"/>
      <c r="O12" s="79"/>
      <c r="P12" s="79"/>
      <c r="Q12" s="79"/>
      <c r="S12" s="79" t="s">
        <v>356</v>
      </c>
      <c r="T12" s="79"/>
      <c r="U12" s="79"/>
      <c r="V12" s="79"/>
      <c r="W12" s="79"/>
      <c r="X12" s="79"/>
      <c r="Y12" s="79"/>
      <c r="Z12" s="79"/>
      <c r="AB12" s="79" t="s">
        <v>357</v>
      </c>
      <c r="AC12" s="79"/>
      <c r="AD12" s="79"/>
      <c r="AE12" s="79"/>
      <c r="AF12" s="79"/>
      <c r="AG12" s="79"/>
      <c r="AH12" s="79"/>
      <c r="AI12" s="79"/>
      <c r="AJ12" s="144"/>
      <c r="AK12" s="144"/>
      <c r="AL12" s="70"/>
      <c r="AM12" s="70"/>
      <c r="AN12" s="70"/>
      <c r="AO12" s="70"/>
    </row>
    <row r="13" spans="1:41" ht="15.75" customHeight="1" thickTop="1">
      <c r="A13" s="32" t="s">
        <v>328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_xlfn.CONCAT("TOTAL: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_xlfn.CONCAT("TOTAL: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_xlfn.CONCAT("TOTAL: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4"/>
      <c r="AK13" s="144"/>
      <c r="AL13" s="70"/>
      <c r="AM13" s="70"/>
      <c r="AN13" s="70"/>
      <c r="AO13" s="70"/>
    </row>
    <row r="14" spans="1:41" ht="15" customHeight="1">
      <c r="A14" s="32" t="s">
        <v>335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4"/>
      <c r="AK14" s="144"/>
      <c r="AL14" s="70"/>
      <c r="AM14" s="70"/>
      <c r="AN14" s="70"/>
      <c r="AO14" s="70"/>
    </row>
    <row r="15" spans="1:41" ht="15" customHeight="1">
      <c r="A15" s="32" t="s">
        <v>336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355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4"/>
      <c r="AK15" s="144"/>
      <c r="AL15" s="70"/>
      <c r="AM15" s="70"/>
      <c r="AN15" s="70"/>
      <c r="AO15" s="70"/>
    </row>
    <row r="16" spans="1:41" ht="15" customHeight="1">
      <c r="A16" s="32" t="s">
        <v>337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4"/>
      <c r="AK16" s="144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79" t="s">
        <v>358</v>
      </c>
      <c r="K17" s="79"/>
      <c r="L17" s="79"/>
      <c r="M17" s="79"/>
      <c r="N17" s="79"/>
      <c r="O17" s="79"/>
      <c r="P17" s="79"/>
      <c r="Q17" s="79"/>
      <c r="S17" s="79" t="s">
        <v>91</v>
      </c>
      <c r="T17" s="79"/>
      <c r="U17" s="79"/>
      <c r="V17" s="79"/>
      <c r="W17" s="79"/>
      <c r="X17" s="79"/>
      <c r="Y17" s="79"/>
      <c r="Z17" s="79"/>
      <c r="AB17" s="79" t="s">
        <v>364</v>
      </c>
      <c r="AC17" s="79"/>
      <c r="AD17" s="79"/>
      <c r="AE17" s="79"/>
      <c r="AF17" s="79"/>
      <c r="AG17" s="79"/>
      <c r="AH17" s="79"/>
      <c r="AI17" s="79"/>
      <c r="AJ17" s="144"/>
      <c r="AK17" s="144"/>
      <c r="AL17" s="70"/>
      <c r="AM17" s="70"/>
      <c r="AN17" s="70"/>
      <c r="AO17" s="70"/>
    </row>
    <row r="18" spans="1:41" s="2" customFormat="1" ht="15.75" customHeight="1" thickTop="1">
      <c r="A18" s="32" t="s">
        <v>338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_xlfn.CONCAT("TOTAL: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_xlfn.CONCAT("TOTAL: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_xlfn.CONCAT("TOTAL: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4"/>
      <c r="AK18" s="144"/>
      <c r="AL18" s="70"/>
      <c r="AM18" s="70"/>
      <c r="AN18" s="70"/>
      <c r="AO18" s="70"/>
    </row>
    <row r="19" spans="1:41" s="2" customFormat="1" ht="15" customHeight="1">
      <c r="A19" s="32" t="s">
        <v>339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4"/>
      <c r="AK19" s="144"/>
      <c r="AL19" s="70"/>
      <c r="AM19" s="70"/>
      <c r="AN19" s="70"/>
      <c r="AO19" s="70"/>
    </row>
    <row r="20" spans="1:41" s="2" customFormat="1" ht="15" customHeight="1">
      <c r="A20" s="32" t="s">
        <v>340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359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363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365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4"/>
      <c r="AK20" s="144"/>
      <c r="AL20" s="70"/>
      <c r="AM20" s="70"/>
      <c r="AN20" s="70"/>
      <c r="AO20" s="70"/>
    </row>
    <row r="21" spans="1:41" s="2" customFormat="1" ht="15" customHeight="1">
      <c r="A21" s="32" t="s">
        <v>341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4"/>
      <c r="AK21" s="144"/>
      <c r="AL21" s="70"/>
      <c r="AM21" s="70"/>
      <c r="AN21" s="70"/>
      <c r="AO21" s="70"/>
    </row>
    <row r="22" spans="1:41" s="2" customFormat="1" ht="18" customHeight="1" thickBot="1">
      <c r="A22" s="32" t="s">
        <v>342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79" t="s">
        <v>361</v>
      </c>
      <c r="K22" s="79"/>
      <c r="L22" s="79"/>
      <c r="M22" s="79"/>
      <c r="N22" s="79"/>
      <c r="O22" s="79"/>
      <c r="P22" s="79"/>
      <c r="Q22" s="79"/>
      <c r="S22" s="79" t="s">
        <v>366</v>
      </c>
      <c r="T22" s="79"/>
      <c r="U22" s="79"/>
      <c r="V22" s="79"/>
      <c r="W22" s="79"/>
      <c r="X22" s="79"/>
      <c r="Y22" s="79"/>
      <c r="Z22" s="79"/>
      <c r="AB22" s="79" t="s">
        <v>370</v>
      </c>
      <c r="AC22" s="79"/>
      <c r="AD22" s="79"/>
      <c r="AE22" s="79"/>
      <c r="AF22" s="79"/>
      <c r="AG22" s="79"/>
      <c r="AH22" s="79"/>
      <c r="AI22" s="79"/>
      <c r="AJ22" s="144"/>
      <c r="AK22" s="144"/>
      <c r="AL22" s="70"/>
      <c r="AM22" s="70"/>
      <c r="AN22" s="70"/>
      <c r="AO22" s="70"/>
    </row>
    <row r="23" spans="1:41" s="2" customFormat="1" ht="15.75" customHeight="1" thickTop="1">
      <c r="A23" s="32" t="s">
        <v>343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_xlfn.CONCAT("TOTAL: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_xlfn.CONCAT("TOTAL: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_xlfn.CONCAT("TOTAL: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4"/>
      <c r="AK23" s="144"/>
      <c r="AL23" s="70"/>
      <c r="AM23" s="70"/>
      <c r="AN23" s="70"/>
      <c r="AO23" s="70"/>
    </row>
    <row r="24" spans="1:41" s="2" customFormat="1" ht="15" customHeight="1">
      <c r="A24" s="32" t="s">
        <v>344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4"/>
      <c r="AK24" s="144"/>
      <c r="AL24" s="70"/>
      <c r="AM24" s="70"/>
      <c r="AN24" s="70"/>
      <c r="AO24" s="70"/>
    </row>
    <row r="25" spans="1:41" ht="15" customHeight="1">
      <c r="J25" s="4" t="s">
        <v>360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367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371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4"/>
      <c r="AK25" s="144"/>
      <c r="AL25" s="70"/>
      <c r="AM25" s="70"/>
      <c r="AN25" s="70"/>
      <c r="AO25" s="70"/>
    </row>
    <row r="26" spans="1:41" ht="15" customHeight="1">
      <c r="S26" s="32" t="s">
        <v>368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372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4"/>
      <c r="AK26" s="144"/>
      <c r="AL26" s="70"/>
      <c r="AM26" s="70"/>
      <c r="AN26" s="70"/>
      <c r="AO26" s="70"/>
    </row>
    <row r="27" spans="1:41" ht="15" customHeight="1" thickBot="1">
      <c r="A27" s="79" t="s">
        <v>378</v>
      </c>
      <c r="B27" s="79"/>
      <c r="C27" s="79"/>
      <c r="D27" s="79"/>
      <c r="E27" s="79"/>
      <c r="F27" s="79"/>
      <c r="G27" s="79"/>
      <c r="H27" s="79"/>
      <c r="J27" s="79" t="s">
        <v>377</v>
      </c>
      <c r="K27" s="79"/>
      <c r="L27" s="79"/>
      <c r="M27" s="79"/>
      <c r="N27" s="79"/>
      <c r="O27" s="79"/>
      <c r="P27" s="79"/>
      <c r="Q27" s="79"/>
      <c r="S27" s="32" t="s">
        <v>369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373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4"/>
      <c r="AK27" s="144"/>
      <c r="AL27" s="70"/>
      <c r="AM27" s="70"/>
      <c r="AN27" s="70"/>
      <c r="AO27" s="70"/>
    </row>
    <row r="28" spans="1:41" ht="15.75" thickTop="1">
      <c r="A28" s="6" t="str">
        <f>_xlfn.CONCAT("TOTAL: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_xlfn.CONCAT("TOTAL: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374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4"/>
      <c r="AK28" s="144"/>
    </row>
    <row r="29" spans="1:4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375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4"/>
      <c r="AK29" s="144"/>
    </row>
    <row r="30" spans="1:4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376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4"/>
      <c r="AK30" s="144"/>
    </row>
    <row r="31" spans="1:41" ht="18" thickBot="1">
      <c r="S31" s="79" t="s">
        <v>384</v>
      </c>
      <c r="T31" s="79"/>
      <c r="U31" s="79"/>
      <c r="V31" s="79"/>
      <c r="W31" s="79"/>
      <c r="X31" s="79"/>
      <c r="Y31" s="79"/>
      <c r="Z31" s="79"/>
      <c r="AJ31" s="144"/>
      <c r="AK31" s="144"/>
    </row>
    <row r="32" spans="1:41" ht="18.75" thickTop="1" thickBot="1">
      <c r="A32" s="79" t="s">
        <v>379</v>
      </c>
      <c r="B32" s="79"/>
      <c r="C32" s="79"/>
      <c r="D32" s="79"/>
      <c r="E32" s="79"/>
      <c r="F32" s="79"/>
      <c r="G32" s="79"/>
      <c r="H32" s="79"/>
      <c r="J32" s="79" t="s">
        <v>381</v>
      </c>
      <c r="K32" s="79"/>
      <c r="L32" s="79"/>
      <c r="M32" s="79"/>
      <c r="N32" s="79"/>
      <c r="O32" s="79"/>
      <c r="P32" s="79"/>
      <c r="Q32" s="79"/>
      <c r="S32" s="6" t="str">
        <f>_xlfn.CONCAT("TOTAL: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79" t="s">
        <v>386</v>
      </c>
      <c r="AC32" s="79"/>
      <c r="AD32" s="79"/>
      <c r="AE32" s="79"/>
      <c r="AF32" s="79"/>
      <c r="AG32" s="79"/>
      <c r="AH32" s="79"/>
      <c r="AI32" s="79"/>
      <c r="AJ32" s="144"/>
      <c r="AK32" s="144"/>
    </row>
    <row r="33" spans="1:37" ht="15.75" thickTop="1">
      <c r="A33" s="6" t="str">
        <f>_xlfn.CONCAT("TOTAL: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_xlfn.CONCAT("TOTAL: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_xlfn.CONCAT("TOTAL: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4"/>
      <c r="AK33" s="144"/>
    </row>
    <row r="34" spans="1:37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383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4"/>
      <c r="AK34" s="144"/>
    </row>
    <row r="35" spans="1:37">
      <c r="A35" s="4" t="s">
        <v>380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382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385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387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4"/>
      <c r="AK35" s="144"/>
    </row>
    <row r="37" spans="1:37" ht="18" thickBot="1">
      <c r="A37" s="79" t="s">
        <v>388</v>
      </c>
      <c r="B37" s="79"/>
      <c r="C37" s="79"/>
      <c r="D37" s="79"/>
      <c r="E37" s="79"/>
      <c r="F37" s="79"/>
      <c r="G37" s="79"/>
      <c r="H37" s="79"/>
      <c r="J37" s="79" t="s">
        <v>390</v>
      </c>
      <c r="K37" s="79"/>
      <c r="L37" s="79"/>
      <c r="M37" s="79"/>
      <c r="N37" s="79"/>
      <c r="O37" s="79"/>
      <c r="P37" s="79"/>
      <c r="Q37" s="79"/>
      <c r="S37" s="142" t="s">
        <v>397</v>
      </c>
      <c r="T37" s="142"/>
      <c r="U37" s="142"/>
      <c r="V37" s="142"/>
      <c r="W37" s="142"/>
      <c r="X37" s="142"/>
      <c r="Y37" s="142"/>
      <c r="Z37" s="142"/>
      <c r="AB37" s="79" t="s">
        <v>394</v>
      </c>
      <c r="AC37" s="79"/>
      <c r="AD37" s="79"/>
      <c r="AE37" s="79"/>
      <c r="AF37" s="79"/>
      <c r="AG37" s="79"/>
      <c r="AH37" s="79"/>
      <c r="AI37" s="79"/>
    </row>
    <row r="38" spans="1:37" ht="15.75" thickTop="1">
      <c r="A38" s="6" t="str">
        <f>_xlfn.CONCAT("TOTAL: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_xlfn.CONCAT("TOTAL: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_xlfn.CONCAT("TOTAL: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_xlfn.CONCAT("TOTAL: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389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391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392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395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393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396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79" t="s">
        <v>398</v>
      </c>
      <c r="B43" s="79"/>
      <c r="C43" s="79"/>
      <c r="D43" s="79"/>
      <c r="E43" s="79"/>
      <c r="F43" s="79"/>
      <c r="G43" s="79"/>
      <c r="H43" s="79"/>
      <c r="J43" s="79" t="s">
        <v>126</v>
      </c>
      <c r="K43" s="79"/>
      <c r="L43" s="79"/>
      <c r="M43" s="79"/>
      <c r="N43" s="79"/>
      <c r="O43" s="79"/>
      <c r="P43" s="79"/>
      <c r="Q43" s="79"/>
      <c r="S43" s="79" t="s">
        <v>399</v>
      </c>
      <c r="T43" s="79"/>
      <c r="U43" s="79"/>
      <c r="V43" s="79"/>
      <c r="W43" s="79"/>
      <c r="X43" s="79"/>
      <c r="Y43" s="79"/>
      <c r="Z43" s="79"/>
      <c r="AA43" s="68"/>
      <c r="AB43" s="79" t="s">
        <v>400</v>
      </c>
      <c r="AC43" s="79"/>
      <c r="AD43" s="79"/>
      <c r="AE43" s="79"/>
      <c r="AF43" s="79"/>
      <c r="AG43" s="79"/>
      <c r="AH43" s="79"/>
      <c r="AI43" s="79"/>
    </row>
    <row r="44" spans="1:37" ht="15" customHeight="1" thickTop="1">
      <c r="A44" s="6" t="str">
        <f>_xlfn.CONCAT("TOTAL: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_xlfn.CONCAT("TOTAL: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_xlfn.CONCAT("TOTAL: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_xlfn.CONCAT("TOTAL: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79" t="s">
        <v>401</v>
      </c>
      <c r="K48" s="79"/>
      <c r="L48" s="79"/>
      <c r="M48" s="79"/>
      <c r="N48" s="79"/>
      <c r="O48" s="79"/>
      <c r="P48" s="79"/>
      <c r="Q48" s="79"/>
      <c r="S48" s="79" t="s">
        <v>403</v>
      </c>
      <c r="T48" s="79"/>
      <c r="U48" s="79"/>
      <c r="V48" s="79"/>
      <c r="W48" s="79"/>
      <c r="X48" s="79"/>
      <c r="Y48" s="79"/>
      <c r="Z48" s="79"/>
      <c r="AB48" s="79" t="s">
        <v>405</v>
      </c>
      <c r="AC48" s="79"/>
      <c r="AD48" s="79"/>
      <c r="AE48" s="79"/>
      <c r="AF48" s="79"/>
      <c r="AG48" s="79"/>
      <c r="AH48" s="79"/>
      <c r="AI48" s="79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_xlfn.CONCAT("TOTAL: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_xlfn.CONCAT("TOTAL: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_xlfn.CONCAT("TOTAL: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402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404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406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79" t="s">
        <v>88</v>
      </c>
      <c r="B53" s="79"/>
      <c r="C53" s="79"/>
      <c r="D53" s="79"/>
      <c r="E53" s="79"/>
      <c r="F53" s="79"/>
      <c r="G53" s="79"/>
      <c r="H53" s="79"/>
      <c r="J53" s="79" t="s">
        <v>407</v>
      </c>
      <c r="K53" s="79"/>
      <c r="L53" s="79"/>
      <c r="M53" s="79"/>
      <c r="N53" s="79"/>
      <c r="O53" s="79"/>
      <c r="P53" s="79"/>
      <c r="Q53" s="79"/>
      <c r="S53" s="79" t="s">
        <v>90</v>
      </c>
      <c r="T53" s="79"/>
      <c r="U53" s="79"/>
      <c r="V53" s="79"/>
      <c r="W53" s="79"/>
      <c r="X53" s="79"/>
      <c r="Y53" s="79"/>
      <c r="Z53" s="79"/>
      <c r="AB53" s="79" t="s">
        <v>412</v>
      </c>
      <c r="AC53" s="79"/>
      <c r="AD53" s="79"/>
      <c r="AE53" s="79"/>
      <c r="AF53" s="79"/>
      <c r="AG53" s="79"/>
      <c r="AH53" s="79"/>
      <c r="AI53" s="79"/>
    </row>
    <row r="54" spans="1:35" ht="15" customHeight="1" thickTop="1">
      <c r="A54" s="6" t="str">
        <f>_xlfn.CONCAT("TOTAL: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_xlfn.CONCAT("TOTAL: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_xlfn.CONCAT("TOTAL: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_xlfn.CONCAT("TOTAL: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413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79" t="s">
        <v>408</v>
      </c>
      <c r="B58" s="79"/>
      <c r="C58" s="79"/>
      <c r="D58" s="79"/>
      <c r="E58" s="79"/>
      <c r="F58" s="79"/>
      <c r="G58" s="79"/>
      <c r="H58" s="79"/>
      <c r="J58" s="79" t="s">
        <v>409</v>
      </c>
      <c r="K58" s="79"/>
      <c r="L58" s="79"/>
      <c r="M58" s="79"/>
      <c r="N58" s="79"/>
      <c r="O58" s="79"/>
      <c r="P58" s="79"/>
      <c r="Q58" s="79"/>
      <c r="S58" s="79" t="s">
        <v>128</v>
      </c>
      <c r="T58" s="79"/>
      <c r="U58" s="79"/>
      <c r="V58" s="79"/>
      <c r="W58" s="79"/>
      <c r="X58" s="79"/>
      <c r="Y58" s="79"/>
      <c r="Z58" s="79"/>
      <c r="AB58" s="79" t="s">
        <v>414</v>
      </c>
      <c r="AC58" s="79"/>
      <c r="AD58" s="79"/>
      <c r="AE58" s="79"/>
      <c r="AF58" s="79"/>
      <c r="AG58" s="79"/>
      <c r="AH58" s="79"/>
      <c r="AI58" s="79"/>
    </row>
    <row r="59" spans="1:35" ht="15" customHeight="1" thickTop="1">
      <c r="A59" s="6" t="str">
        <f>_xlfn.CONCAT("TOTAL: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_xlfn.CONCAT("TOTAL: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_xlfn.CONCAT("TOTAL: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_xlfn.CONCAT("TOTAL: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411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416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410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417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415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418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419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79" t="s">
        <v>144</v>
      </c>
      <c r="B65" s="79"/>
      <c r="C65" s="79"/>
      <c r="D65" s="79"/>
      <c r="E65" s="79"/>
      <c r="F65" s="79"/>
      <c r="G65" s="79"/>
      <c r="H65" s="79"/>
      <c r="J65" s="79" t="s">
        <v>421</v>
      </c>
      <c r="K65" s="79"/>
      <c r="L65" s="79"/>
      <c r="M65" s="79"/>
      <c r="N65" s="79"/>
      <c r="O65" s="79"/>
      <c r="P65" s="79"/>
      <c r="Q65" s="79"/>
      <c r="AB65" s="32" t="s">
        <v>420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_xlfn.CONCAT("TOTAL: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_xlfn.CONCAT("TOTAL: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422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423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424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425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426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6">
    <mergeCell ref="J17:Q17"/>
    <mergeCell ref="AJ1:AK1"/>
    <mergeCell ref="A2:H2"/>
    <mergeCell ref="AB2:AI2"/>
    <mergeCell ref="J2:Q2"/>
    <mergeCell ref="S2:Z2"/>
    <mergeCell ref="F1:K1"/>
    <mergeCell ref="AJ7:AK35"/>
    <mergeCell ref="S17:Z17"/>
    <mergeCell ref="AB17:AI17"/>
    <mergeCell ref="S7:Z7"/>
    <mergeCell ref="AB7:AI7"/>
    <mergeCell ref="J12:Q12"/>
    <mergeCell ref="S12:Z12"/>
    <mergeCell ref="AB12:AI12"/>
    <mergeCell ref="AJ3:AK3"/>
    <mergeCell ref="A37:H37"/>
    <mergeCell ref="J27:Q27"/>
    <mergeCell ref="A27:H27"/>
    <mergeCell ref="A32:H32"/>
    <mergeCell ref="J32:Q32"/>
    <mergeCell ref="J37:Q37"/>
    <mergeCell ref="S37:Z37"/>
    <mergeCell ref="AB37:AI37"/>
    <mergeCell ref="S31:Z31"/>
    <mergeCell ref="AB32:AI32"/>
    <mergeCell ref="J22:Q22"/>
    <mergeCell ref="S22:Z22"/>
    <mergeCell ref="AB22:AI22"/>
    <mergeCell ref="AB43:AI43"/>
    <mergeCell ref="S48:Z48"/>
    <mergeCell ref="AB48:AI48"/>
    <mergeCell ref="A53:H53"/>
    <mergeCell ref="A43:H43"/>
    <mergeCell ref="J43:Q43"/>
    <mergeCell ref="J48:Q48"/>
    <mergeCell ref="S43:Z43"/>
    <mergeCell ref="J53:Q53"/>
    <mergeCell ref="S53:Z53"/>
    <mergeCell ref="A65:H65"/>
    <mergeCell ref="J65:Q65"/>
    <mergeCell ref="A58:H58"/>
    <mergeCell ref="J58:Q58"/>
    <mergeCell ref="AB53:AI53"/>
    <mergeCell ref="S58:Z58"/>
    <mergeCell ref="AB58:AI58"/>
  </mergeCells>
  <phoneticPr fontId="29" type="noConversion"/>
  <conditionalFormatting sqref="K5:Q8">
    <cfRule type="cellIs" dxfId="19" priority="12" operator="greaterThan">
      <formula>0</formula>
    </cfRule>
  </conditionalFormatting>
  <conditionalFormatting sqref="K56:Q56 T56:Z56 AC56:AI56 T61:Z61 B61:H63 K61:Q63 AC61:AI65 B68:H68 K68:Q72">
    <cfRule type="cellIs" dxfId="18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17" priority="11" operator="greaterThan">
      <formula>0</formula>
    </cfRule>
  </conditionalFormatting>
  <conditionalFormatting sqref="AJ3 B5:H24">
    <cfRule type="cellIs" dxfId="16" priority="13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2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zoomScale="70" zoomScaleNormal="70" workbookViewId="0">
      <selection activeCell="B4" sqref="B4"/>
    </sheetView>
  </sheetViews>
  <sheetFormatPr baseColWidth="10" defaultRowHeight="15"/>
  <cols>
    <col min="1" max="1" width="21" bestFit="1" customWidth="1"/>
    <col min="2" max="2" width="11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7" t="s">
        <v>86</v>
      </c>
      <c r="B1" s="78"/>
      <c r="D1" s="149" t="s">
        <v>427</v>
      </c>
      <c r="E1" s="149"/>
      <c r="F1" s="149"/>
      <c r="G1" s="149"/>
      <c r="H1" s="149"/>
      <c r="I1" s="149"/>
      <c r="J1" s="149"/>
      <c r="K1" s="149"/>
      <c r="M1" s="149" t="s">
        <v>468</v>
      </c>
      <c r="N1" s="149"/>
      <c r="O1" s="149"/>
      <c r="P1" s="149"/>
      <c r="Q1" s="149"/>
      <c r="R1" s="149"/>
      <c r="S1" s="149"/>
      <c r="T1" s="149"/>
      <c r="V1" s="149" t="s">
        <v>470</v>
      </c>
      <c r="W1" s="149"/>
      <c r="X1" s="149"/>
      <c r="Y1" s="149"/>
      <c r="Z1" s="149"/>
      <c r="AA1" s="149"/>
      <c r="AB1" s="149"/>
      <c r="AC1" s="149"/>
      <c r="AE1" s="149" t="s">
        <v>473</v>
      </c>
      <c r="AF1" s="149"/>
      <c r="AG1" s="149"/>
      <c r="AH1" s="149"/>
      <c r="AI1" s="149"/>
      <c r="AJ1" s="149"/>
      <c r="AK1" s="149"/>
      <c r="AL1" s="149"/>
      <c r="AN1" s="149" t="s">
        <v>477</v>
      </c>
      <c r="AO1" s="149"/>
      <c r="AP1" s="149"/>
      <c r="AQ1" s="149"/>
      <c r="AR1" s="149"/>
      <c r="AS1" s="149"/>
      <c r="AT1" s="149"/>
      <c r="AU1" s="149"/>
      <c r="AW1" s="149" t="s">
        <v>481</v>
      </c>
      <c r="AX1" s="149"/>
      <c r="AY1" s="149"/>
      <c r="AZ1" s="149"/>
      <c r="BA1" s="149"/>
      <c r="BB1" s="149"/>
      <c r="BC1" s="149"/>
      <c r="BD1" s="149"/>
      <c r="BF1" s="149" t="s">
        <v>487</v>
      </c>
      <c r="BG1" s="149"/>
      <c r="BH1" s="149"/>
      <c r="BI1" s="149"/>
      <c r="BJ1" s="149"/>
      <c r="BK1" s="149"/>
      <c r="BL1" s="149"/>
      <c r="BM1" s="149"/>
      <c r="BO1" s="149" t="s">
        <v>491</v>
      </c>
      <c r="BP1" s="149"/>
      <c r="BQ1" s="149"/>
      <c r="BR1" s="149"/>
      <c r="BS1" s="149"/>
      <c r="BT1" s="149"/>
      <c r="BU1" s="149"/>
      <c r="BV1" s="149"/>
      <c r="BX1" s="149" t="s">
        <v>495</v>
      </c>
      <c r="BY1" s="149"/>
      <c r="BZ1" s="149"/>
      <c r="CA1" s="149"/>
      <c r="CB1" s="149"/>
      <c r="CC1" s="149"/>
      <c r="CD1" s="149"/>
      <c r="CE1" s="149"/>
      <c r="CG1" s="149" t="s">
        <v>499</v>
      </c>
      <c r="CH1" s="149"/>
      <c r="CI1" s="149"/>
      <c r="CJ1" s="149"/>
      <c r="CK1" s="149"/>
      <c r="CL1" s="149"/>
      <c r="CM1" s="149"/>
      <c r="CN1" s="149"/>
      <c r="CP1" s="149" t="s">
        <v>502</v>
      </c>
      <c r="CQ1" s="149"/>
      <c r="CR1" s="149"/>
      <c r="CS1" s="149"/>
      <c r="CT1" s="149"/>
      <c r="CU1" s="149"/>
      <c r="CV1" s="149"/>
      <c r="CW1" s="149"/>
      <c r="CY1" s="149" t="s">
        <v>506</v>
      </c>
      <c r="CZ1" s="149"/>
      <c r="DA1" s="149"/>
      <c r="DB1" s="149"/>
      <c r="DC1" s="149"/>
      <c r="DD1" s="149"/>
      <c r="DE1" s="149"/>
      <c r="DF1" s="149"/>
      <c r="DH1" s="149" t="s">
        <v>508</v>
      </c>
      <c r="DI1" s="149"/>
      <c r="DJ1" s="149"/>
      <c r="DK1" s="149"/>
      <c r="DL1" s="149"/>
      <c r="DM1" s="149"/>
      <c r="DN1" s="149"/>
      <c r="DO1" s="149"/>
      <c r="DQ1" s="149" t="s">
        <v>511</v>
      </c>
      <c r="DR1" s="149"/>
      <c r="DS1" s="149"/>
      <c r="DT1" s="149"/>
      <c r="DU1" s="149"/>
      <c r="DV1" s="149"/>
      <c r="DW1" s="149"/>
      <c r="DX1" s="149"/>
      <c r="DZ1" s="149" t="s">
        <v>514</v>
      </c>
      <c r="EA1" s="149"/>
      <c r="EB1" s="149"/>
      <c r="EC1" s="149"/>
      <c r="ED1" s="149"/>
      <c r="EE1" s="149"/>
      <c r="EF1" s="149"/>
      <c r="EG1" s="149"/>
    </row>
    <row r="2" spans="1:137" ht="15.75" thickTop="1">
      <c r="A2" s="1" t="s">
        <v>10</v>
      </c>
      <c r="B2" t="s">
        <v>92</v>
      </c>
      <c r="D2" s="147" t="s">
        <v>428</v>
      </c>
      <c r="E2" s="147"/>
      <c r="F2" s="147"/>
      <c r="G2" s="147"/>
      <c r="H2" s="147"/>
      <c r="I2" s="147"/>
      <c r="J2" s="147"/>
      <c r="K2" s="147"/>
      <c r="M2" s="147" t="s">
        <v>469</v>
      </c>
      <c r="N2" s="147"/>
      <c r="O2" s="147"/>
      <c r="P2" s="147"/>
      <c r="Q2" s="147"/>
      <c r="R2" s="147"/>
      <c r="S2" s="147"/>
      <c r="T2" s="147"/>
      <c r="V2" s="147" t="s">
        <v>471</v>
      </c>
      <c r="W2" s="147"/>
      <c r="X2" s="147"/>
      <c r="Y2" s="147"/>
      <c r="Z2" s="147"/>
      <c r="AA2" s="147"/>
      <c r="AB2" s="147"/>
      <c r="AC2" s="147"/>
      <c r="AE2" s="147" t="s">
        <v>474</v>
      </c>
      <c r="AF2" s="147"/>
      <c r="AG2" s="147"/>
      <c r="AH2" s="147"/>
      <c r="AI2" s="147"/>
      <c r="AJ2" s="147"/>
      <c r="AK2" s="147"/>
      <c r="AL2" s="147"/>
      <c r="AN2" s="147" t="s">
        <v>478</v>
      </c>
      <c r="AO2" s="147"/>
      <c r="AP2" s="147"/>
      <c r="AQ2" s="147"/>
      <c r="AR2" s="147"/>
      <c r="AS2" s="147"/>
      <c r="AT2" s="147"/>
      <c r="AU2" s="147"/>
      <c r="AW2" s="147" t="s">
        <v>482</v>
      </c>
      <c r="AX2" s="147"/>
      <c r="AY2" s="147"/>
      <c r="AZ2" s="147"/>
      <c r="BA2" s="147"/>
      <c r="BB2" s="147"/>
      <c r="BC2" s="147"/>
      <c r="BD2" s="147"/>
      <c r="BF2" s="147" t="s">
        <v>488</v>
      </c>
      <c r="BG2" s="147"/>
      <c r="BH2" s="147"/>
      <c r="BI2" s="147"/>
      <c r="BJ2" s="147"/>
      <c r="BK2" s="147"/>
      <c r="BL2" s="147"/>
      <c r="BM2" s="147"/>
      <c r="BO2" s="147" t="s">
        <v>492</v>
      </c>
      <c r="BP2" s="147"/>
      <c r="BQ2" s="147"/>
      <c r="BR2" s="147"/>
      <c r="BS2" s="147"/>
      <c r="BT2" s="147"/>
      <c r="BU2" s="147"/>
      <c r="BV2" s="147"/>
      <c r="BX2" s="154" t="s">
        <v>496</v>
      </c>
      <c r="BY2" s="155"/>
      <c r="BZ2" s="155"/>
      <c r="CA2" s="155"/>
      <c r="CB2" s="155"/>
      <c r="CC2" s="155"/>
      <c r="CD2" s="155"/>
      <c r="CE2" s="156"/>
      <c r="CG2" s="154" t="s">
        <v>500</v>
      </c>
      <c r="CH2" s="155"/>
      <c r="CI2" s="155"/>
      <c r="CJ2" s="155"/>
      <c r="CK2" s="155"/>
      <c r="CL2" s="155"/>
      <c r="CM2" s="155"/>
      <c r="CN2" s="156"/>
      <c r="CP2" s="154" t="s">
        <v>503</v>
      </c>
      <c r="CQ2" s="155"/>
      <c r="CR2" s="155"/>
      <c r="CS2" s="155"/>
      <c r="CT2" s="155"/>
      <c r="CU2" s="155"/>
      <c r="CV2" s="155"/>
      <c r="CW2" s="156"/>
      <c r="CY2" s="154" t="s">
        <v>507</v>
      </c>
      <c r="CZ2" s="155"/>
      <c r="DA2" s="155"/>
      <c r="DB2" s="155"/>
      <c r="DC2" s="155"/>
      <c r="DD2" s="155"/>
      <c r="DE2" s="155"/>
      <c r="DF2" s="156"/>
      <c r="DH2" s="154" t="s">
        <v>509</v>
      </c>
      <c r="DI2" s="155"/>
      <c r="DJ2" s="155"/>
      <c r="DK2" s="155"/>
      <c r="DL2" s="155"/>
      <c r="DM2" s="155"/>
      <c r="DN2" s="155"/>
      <c r="DO2" s="156"/>
      <c r="DQ2" s="154" t="s">
        <v>512</v>
      </c>
      <c r="DR2" s="155"/>
      <c r="DS2" s="155"/>
      <c r="DT2" s="155"/>
      <c r="DU2" s="155"/>
      <c r="DV2" s="155"/>
      <c r="DW2" s="155"/>
      <c r="DX2" s="156"/>
      <c r="DZ2" s="154" t="s">
        <v>515</v>
      </c>
      <c r="EA2" s="155"/>
      <c r="EB2" s="155"/>
      <c r="EC2" s="155"/>
      <c r="ED2" s="155"/>
      <c r="EE2" s="155"/>
      <c r="EF2" s="155"/>
      <c r="EG2" s="156"/>
    </row>
    <row r="3" spans="1:137">
      <c r="A3" s="145" t="str">
        <f>IF(COUNTA(BASE[Fecha])&gt;0,_xlfn.CONCAT(TEXT(MIN(BASE[Fecha]),"DD-MM-YYYY")," - ",TEXT(MAX(BASE[Fecha]),"DD-MM-YYYY"))," - ")</f>
        <v xml:space="preserve"> - </v>
      </c>
      <c r="B3" s="145"/>
      <c r="D3" s="146" t="s">
        <v>429</v>
      </c>
      <c r="E3" s="146"/>
      <c r="F3" s="146"/>
      <c r="G3" s="146"/>
      <c r="H3" s="146"/>
      <c r="I3" s="146"/>
      <c r="J3" s="146"/>
      <c r="K3" s="146"/>
      <c r="M3" s="146" t="s">
        <v>464</v>
      </c>
      <c r="N3" s="146"/>
      <c r="O3" s="146"/>
      <c r="P3" s="146"/>
      <c r="Q3" s="146"/>
      <c r="R3" s="146"/>
      <c r="S3" s="146"/>
      <c r="T3" s="146"/>
      <c r="V3" s="146" t="s">
        <v>472</v>
      </c>
      <c r="W3" s="146"/>
      <c r="X3" s="146"/>
      <c r="Y3" s="146"/>
      <c r="Z3" s="146"/>
      <c r="AA3" s="146"/>
      <c r="AB3" s="146"/>
      <c r="AC3" s="146"/>
      <c r="AE3" s="146" t="s">
        <v>475</v>
      </c>
      <c r="AF3" s="146"/>
      <c r="AG3" s="146"/>
      <c r="AH3" s="146"/>
      <c r="AI3" s="146"/>
      <c r="AJ3" s="146"/>
      <c r="AK3" s="146"/>
      <c r="AL3" s="146"/>
      <c r="AN3" s="146" t="s">
        <v>479</v>
      </c>
      <c r="AO3" s="146"/>
      <c r="AP3" s="146"/>
      <c r="AQ3" s="146"/>
      <c r="AR3" s="146"/>
      <c r="AS3" s="146"/>
      <c r="AT3" s="146"/>
      <c r="AU3" s="146"/>
      <c r="AW3" s="146" t="s">
        <v>483</v>
      </c>
      <c r="AX3" s="146"/>
      <c r="AY3" s="146"/>
      <c r="AZ3" s="146"/>
      <c r="BA3" s="146"/>
      <c r="BB3" s="146"/>
      <c r="BC3" s="146"/>
      <c r="BD3" s="146"/>
      <c r="BF3" s="146" t="s">
        <v>489</v>
      </c>
      <c r="BG3" s="146"/>
      <c r="BH3" s="146"/>
      <c r="BI3" s="146"/>
      <c r="BJ3" s="146"/>
      <c r="BK3" s="146"/>
      <c r="BL3" s="146"/>
      <c r="BM3" s="146"/>
      <c r="BO3" s="146" t="s">
        <v>493</v>
      </c>
      <c r="BP3" s="146"/>
      <c r="BQ3" s="146"/>
      <c r="BR3" s="146"/>
      <c r="BS3" s="146"/>
      <c r="BT3" s="146"/>
      <c r="BU3" s="146"/>
      <c r="BV3" s="146"/>
      <c r="BX3" s="151" t="s">
        <v>497</v>
      </c>
      <c r="BY3" s="152"/>
      <c r="BZ3" s="152"/>
      <c r="CA3" s="152"/>
      <c r="CB3" s="152"/>
      <c r="CC3" s="152"/>
      <c r="CD3" s="152"/>
      <c r="CE3" s="153"/>
      <c r="CG3" s="151" t="s">
        <v>501</v>
      </c>
      <c r="CH3" s="152"/>
      <c r="CI3" s="152"/>
      <c r="CJ3" s="152"/>
      <c r="CK3" s="152"/>
      <c r="CL3" s="152"/>
      <c r="CM3" s="152"/>
      <c r="CN3" s="153"/>
      <c r="CP3" s="151" t="s">
        <v>504</v>
      </c>
      <c r="CQ3" s="152"/>
      <c r="CR3" s="152"/>
      <c r="CS3" s="152"/>
      <c r="CT3" s="152"/>
      <c r="CU3" s="152"/>
      <c r="CV3" s="152"/>
      <c r="CW3" s="153"/>
      <c r="CY3" s="151" t="s">
        <v>507</v>
      </c>
      <c r="CZ3" s="152"/>
      <c r="DA3" s="152"/>
      <c r="DB3" s="152"/>
      <c r="DC3" s="152"/>
      <c r="DD3" s="152"/>
      <c r="DE3" s="152"/>
      <c r="DF3" s="153"/>
      <c r="DH3" s="151" t="s">
        <v>510</v>
      </c>
      <c r="DI3" s="152"/>
      <c r="DJ3" s="152"/>
      <c r="DK3" s="152"/>
      <c r="DL3" s="152"/>
      <c r="DM3" s="152"/>
      <c r="DN3" s="152"/>
      <c r="DO3" s="153"/>
      <c r="DQ3" s="151" t="s">
        <v>513</v>
      </c>
      <c r="DR3" s="152"/>
      <c r="DS3" s="152"/>
      <c r="DT3" s="152"/>
      <c r="DU3" s="152"/>
      <c r="DV3" s="152"/>
      <c r="DW3" s="152"/>
      <c r="DX3" s="153"/>
      <c r="DZ3" s="151" t="s">
        <v>145</v>
      </c>
      <c r="EA3" s="152"/>
      <c r="EB3" s="152"/>
      <c r="EC3" s="152"/>
      <c r="ED3" s="152"/>
      <c r="EE3" s="152"/>
      <c r="EF3" s="152"/>
      <c r="EG3" s="153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D5" s="4" t="s">
        <v>272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465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476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480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484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490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494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498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498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505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365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D6" s="32" t="s">
        <v>430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395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46" t="s">
        <v>532</v>
      </c>
      <c r="W6" s="146"/>
      <c r="X6" s="146"/>
      <c r="Y6" s="146"/>
      <c r="Z6" s="146"/>
      <c r="AA6" s="146"/>
      <c r="AB6" s="146"/>
      <c r="AC6" s="146"/>
      <c r="AE6" s="146" t="s">
        <v>558</v>
      </c>
      <c r="AF6" s="146"/>
      <c r="AG6" s="146"/>
      <c r="AH6" s="146"/>
      <c r="AI6" s="146"/>
      <c r="AJ6" s="146"/>
      <c r="AK6" s="146"/>
      <c r="AL6" s="146"/>
      <c r="AW6" s="32" t="s">
        <v>485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</row>
    <row r="7" spans="1:137" ht="15" customHeight="1">
      <c r="A7" s="144" t="s">
        <v>142</v>
      </c>
      <c r="B7" s="144"/>
      <c r="D7" s="32" t="s">
        <v>308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46" t="s">
        <v>467</v>
      </c>
      <c r="N7" s="146"/>
      <c r="O7" s="146"/>
      <c r="P7" s="146"/>
      <c r="Q7" s="146"/>
      <c r="R7" s="146"/>
      <c r="S7" s="146"/>
      <c r="T7" s="146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W7" s="32" t="s">
        <v>486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</row>
    <row r="8" spans="1:137" ht="15" customHeight="1">
      <c r="A8" s="144"/>
      <c r="B8" s="144"/>
      <c r="D8" s="32" t="s">
        <v>310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559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</row>
    <row r="9" spans="1:137" ht="15" customHeight="1">
      <c r="A9" s="144"/>
      <c r="B9" s="144"/>
      <c r="D9" s="32" t="s">
        <v>431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465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46" t="s">
        <v>533</v>
      </c>
      <c r="W9" s="146"/>
      <c r="X9" s="146"/>
      <c r="Y9" s="146"/>
      <c r="Z9" s="146"/>
      <c r="AA9" s="146"/>
      <c r="AB9" s="146"/>
      <c r="AC9" s="146"/>
      <c r="AE9" s="32" t="s">
        <v>560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</row>
    <row r="10" spans="1:137" ht="15" customHeight="1">
      <c r="A10" s="144"/>
      <c r="B10" s="144"/>
      <c r="D10" s="32" t="s">
        <v>432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466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47" t="s">
        <v>561</v>
      </c>
      <c r="AF10" s="147"/>
      <c r="AG10" s="147"/>
      <c r="AH10" s="147"/>
      <c r="AI10" s="147"/>
      <c r="AJ10" s="147"/>
      <c r="AK10" s="147"/>
      <c r="AL10" s="147"/>
    </row>
    <row r="11" spans="1:137" ht="15" customHeight="1">
      <c r="A11" s="144"/>
      <c r="B11" s="144"/>
      <c r="D11" s="146" t="s">
        <v>439</v>
      </c>
      <c r="E11" s="146"/>
      <c r="F11" s="146"/>
      <c r="G11" s="146"/>
      <c r="H11" s="146"/>
      <c r="I11" s="146"/>
      <c r="J11" s="146"/>
      <c r="K11" s="146"/>
      <c r="M11" s="148" t="s">
        <v>517</v>
      </c>
      <c r="N11" s="146"/>
      <c r="O11" s="146"/>
      <c r="P11" s="146"/>
      <c r="Q11" s="146"/>
      <c r="R11" s="146"/>
      <c r="S11" s="146"/>
      <c r="T11" s="146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46" t="s">
        <v>562</v>
      </c>
      <c r="AF11" s="146"/>
      <c r="AG11" s="146"/>
      <c r="AH11" s="146"/>
      <c r="AI11" s="146"/>
      <c r="AJ11" s="146"/>
      <c r="AK11" s="146"/>
      <c r="AL11" s="146"/>
    </row>
    <row r="12" spans="1:137" ht="15" customHeight="1">
      <c r="A12" s="144"/>
      <c r="B12" s="144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</row>
    <row r="13" spans="1:137" ht="15" customHeight="1">
      <c r="A13" s="144"/>
      <c r="B13" s="144"/>
      <c r="D13" s="4" t="s">
        <v>433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516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355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</row>
    <row r="14" spans="1:137" ht="15" customHeight="1">
      <c r="A14" s="144"/>
      <c r="B14" s="144"/>
      <c r="D14" s="32" t="s">
        <v>434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48" t="s">
        <v>518</v>
      </c>
      <c r="N14" s="146"/>
      <c r="O14" s="146"/>
      <c r="P14" s="146"/>
      <c r="Q14" s="146"/>
      <c r="R14" s="146"/>
      <c r="S14" s="146"/>
      <c r="T14" s="146"/>
      <c r="V14" s="147" t="s">
        <v>535</v>
      </c>
      <c r="W14" s="147"/>
      <c r="X14" s="147"/>
      <c r="Y14" s="147"/>
      <c r="Z14" s="147"/>
      <c r="AA14" s="147"/>
      <c r="AB14" s="147"/>
      <c r="AC14" s="147"/>
      <c r="AE14" s="147" t="s">
        <v>563</v>
      </c>
      <c r="AF14" s="147"/>
      <c r="AG14" s="147"/>
      <c r="AH14" s="147"/>
      <c r="AI14" s="147"/>
      <c r="AJ14" s="147"/>
      <c r="AK14" s="147"/>
      <c r="AL14" s="147"/>
    </row>
    <row r="15" spans="1:137" ht="15" customHeight="1">
      <c r="A15" s="144"/>
      <c r="B15" s="144"/>
      <c r="D15" s="32" t="s">
        <v>435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48" t="s">
        <v>534</v>
      </c>
      <c r="W15" s="146"/>
      <c r="X15" s="146"/>
      <c r="Y15" s="146"/>
      <c r="Z15" s="146"/>
      <c r="AA15" s="146"/>
      <c r="AB15" s="146"/>
      <c r="AC15" s="146"/>
      <c r="AE15" s="146" t="s">
        <v>564</v>
      </c>
      <c r="AF15" s="146"/>
      <c r="AG15" s="146"/>
      <c r="AH15" s="146"/>
      <c r="AI15" s="146"/>
      <c r="AJ15" s="146"/>
      <c r="AK15" s="146"/>
      <c r="AL15" s="146"/>
    </row>
    <row r="16" spans="1:137" ht="15" customHeight="1">
      <c r="A16" s="144"/>
      <c r="B16" s="144"/>
      <c r="D16" s="32" t="s">
        <v>314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519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</row>
    <row r="17" spans="1:38" ht="15" customHeight="1">
      <c r="A17" s="144"/>
      <c r="B17" s="144"/>
      <c r="D17" s="32" t="s">
        <v>315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48" t="s">
        <v>520</v>
      </c>
      <c r="N17" s="146"/>
      <c r="O17" s="146"/>
      <c r="P17" s="146"/>
      <c r="Q17" s="146"/>
      <c r="R17" s="146"/>
      <c r="S17" s="146"/>
      <c r="T17" s="146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565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</row>
    <row r="18" spans="1:38" ht="15" customHeight="1">
      <c r="A18" s="144"/>
      <c r="B18" s="144"/>
      <c r="D18" s="32" t="s">
        <v>316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48" t="s">
        <v>536</v>
      </c>
      <c r="W18" s="146"/>
      <c r="X18" s="146"/>
      <c r="Y18" s="146"/>
      <c r="Z18" s="146"/>
      <c r="AA18" s="146"/>
      <c r="AB18" s="146"/>
      <c r="AC18" s="146"/>
      <c r="AE18" s="146" t="s">
        <v>566</v>
      </c>
      <c r="AF18" s="146"/>
      <c r="AG18" s="146"/>
      <c r="AH18" s="146"/>
      <c r="AI18" s="146"/>
      <c r="AJ18" s="146"/>
      <c r="AK18" s="146"/>
      <c r="AL18" s="146"/>
    </row>
    <row r="19" spans="1:38" ht="15" customHeight="1">
      <c r="A19" s="144"/>
      <c r="B19" s="144"/>
      <c r="D19" s="32" t="s">
        <v>317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392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</row>
    <row r="20" spans="1:38" ht="15" customHeight="1">
      <c r="A20" s="144"/>
      <c r="B20" s="144"/>
      <c r="D20" s="32" t="s">
        <v>318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48" t="s">
        <v>521</v>
      </c>
      <c r="N20" s="146"/>
      <c r="O20" s="146"/>
      <c r="P20" s="146"/>
      <c r="Q20" s="146"/>
      <c r="R20" s="146"/>
      <c r="S20" s="146"/>
      <c r="T20" s="146"/>
      <c r="V20" s="4" t="s">
        <v>306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567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</row>
    <row r="21" spans="1:38" ht="15" customHeight="1">
      <c r="A21" s="144"/>
      <c r="B21" s="144"/>
      <c r="D21" s="32" t="s">
        <v>319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307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46" t="s">
        <v>568</v>
      </c>
      <c r="AF21" s="146"/>
      <c r="AG21" s="146"/>
      <c r="AH21" s="146"/>
      <c r="AI21" s="146"/>
      <c r="AJ21" s="146"/>
      <c r="AK21" s="146"/>
      <c r="AL21" s="146"/>
    </row>
    <row r="22" spans="1:38" ht="15" customHeight="1">
      <c r="A22" s="144"/>
      <c r="B22" s="144"/>
      <c r="D22" s="32" t="s">
        <v>320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522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308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</row>
    <row r="23" spans="1:38" ht="15" customHeight="1">
      <c r="A23" s="144"/>
      <c r="B23" s="144"/>
      <c r="D23" s="32" t="s">
        <v>436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48" t="s">
        <v>525</v>
      </c>
      <c r="N23" s="146"/>
      <c r="O23" s="146"/>
      <c r="P23" s="146"/>
      <c r="Q23" s="146"/>
      <c r="R23" s="146"/>
      <c r="S23" s="146"/>
      <c r="T23" s="146"/>
      <c r="V23" s="148" t="s">
        <v>537</v>
      </c>
      <c r="W23" s="146"/>
      <c r="X23" s="146"/>
      <c r="Y23" s="146"/>
      <c r="Z23" s="146"/>
      <c r="AA23" s="146"/>
      <c r="AB23" s="146"/>
      <c r="AC23" s="146"/>
      <c r="AE23" s="4" t="s">
        <v>569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</row>
    <row r="24" spans="1:38" ht="15" customHeight="1">
      <c r="A24" s="144"/>
      <c r="B24" s="144"/>
      <c r="D24" s="32" t="s">
        <v>311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46" t="s">
        <v>571</v>
      </c>
      <c r="AF24" s="146"/>
      <c r="AG24" s="146"/>
      <c r="AH24" s="146"/>
      <c r="AI24" s="146"/>
      <c r="AJ24" s="146"/>
      <c r="AK24" s="146"/>
      <c r="AL24" s="146"/>
    </row>
    <row r="25" spans="1:38" ht="15" customHeight="1">
      <c r="A25" s="144"/>
      <c r="B25" s="144"/>
      <c r="D25" s="32" t="s">
        <v>312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523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</row>
    <row r="26" spans="1:38" ht="15" customHeight="1">
      <c r="A26" s="144"/>
      <c r="B26" s="144"/>
      <c r="D26" s="32" t="s">
        <v>313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524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570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</row>
    <row r="27" spans="1:38" ht="15" customHeight="1">
      <c r="A27" s="144"/>
      <c r="B27" s="144"/>
      <c r="D27" s="32" t="s">
        <v>437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395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47" t="s">
        <v>172</v>
      </c>
      <c r="AF27" s="147"/>
      <c r="AG27" s="147"/>
      <c r="AH27" s="147"/>
      <c r="AI27" s="147"/>
      <c r="AJ27" s="147"/>
      <c r="AK27" s="147"/>
      <c r="AL27" s="147"/>
    </row>
    <row r="28" spans="1:38" ht="15" customHeight="1">
      <c r="A28" s="144"/>
      <c r="B28" s="144"/>
      <c r="D28" s="146" t="s">
        <v>438</v>
      </c>
      <c r="E28" s="146"/>
      <c r="F28" s="146"/>
      <c r="G28" s="146"/>
      <c r="H28" s="146"/>
      <c r="I28" s="146"/>
      <c r="J28" s="146"/>
      <c r="K28" s="146"/>
      <c r="M28" s="148" t="s">
        <v>526</v>
      </c>
      <c r="N28" s="146"/>
      <c r="O28" s="146"/>
      <c r="P28" s="146"/>
      <c r="Q28" s="146"/>
      <c r="R28" s="146"/>
      <c r="S28" s="146"/>
      <c r="T28" s="146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48" t="s">
        <v>573</v>
      </c>
      <c r="AF28" s="146"/>
      <c r="AG28" s="146"/>
      <c r="AH28" s="146"/>
      <c r="AI28" s="146"/>
      <c r="AJ28" s="146"/>
      <c r="AK28" s="146"/>
      <c r="AL28" s="146"/>
    </row>
    <row r="29" spans="1:38" ht="15" customHeight="1">
      <c r="A29" s="144"/>
      <c r="B29" s="144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</row>
    <row r="30" spans="1:38" ht="15" customHeight="1">
      <c r="A30" s="144"/>
      <c r="B30" s="144"/>
      <c r="D30" s="4" t="s">
        <v>272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527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48" t="s">
        <v>538</v>
      </c>
      <c r="W30" s="146"/>
      <c r="X30" s="146"/>
      <c r="Y30" s="146"/>
      <c r="Z30" s="146"/>
      <c r="AA30" s="146"/>
      <c r="AB30" s="146"/>
      <c r="AC30" s="146"/>
      <c r="AE30" s="4" t="s">
        <v>572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</row>
    <row r="31" spans="1:38" ht="15" customHeight="1">
      <c r="A31" s="144"/>
      <c r="B31" s="144"/>
      <c r="D31" s="32" t="s">
        <v>430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528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46" t="s">
        <v>574</v>
      </c>
      <c r="AF31" s="146"/>
      <c r="AG31" s="146"/>
      <c r="AH31" s="146"/>
      <c r="AI31" s="146"/>
      <c r="AJ31" s="146"/>
      <c r="AK31" s="146"/>
      <c r="AL31" s="146"/>
    </row>
    <row r="32" spans="1:38" ht="15" customHeight="1">
      <c r="A32" s="144"/>
      <c r="B32" s="144"/>
      <c r="D32" s="32" t="s">
        <v>308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529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</row>
    <row r="33" spans="1:38" ht="15" customHeight="1">
      <c r="A33" s="144"/>
      <c r="B33" s="144"/>
      <c r="D33" s="32" t="s">
        <v>310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396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47" t="s">
        <v>539</v>
      </c>
      <c r="W33" s="147"/>
      <c r="X33" s="147"/>
      <c r="Y33" s="147"/>
      <c r="Z33" s="147"/>
      <c r="AA33" s="147"/>
      <c r="AB33" s="147"/>
      <c r="AC33" s="147"/>
      <c r="AE33" s="4" t="s">
        <v>367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</row>
    <row r="34" spans="1:38" ht="15" customHeight="1">
      <c r="A34" s="144"/>
      <c r="B34" s="144"/>
      <c r="D34" s="32" t="s">
        <v>431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48" t="s">
        <v>530</v>
      </c>
      <c r="N34" s="146"/>
      <c r="O34" s="146"/>
      <c r="P34" s="146"/>
      <c r="Q34" s="146"/>
      <c r="R34" s="146"/>
      <c r="S34" s="146"/>
      <c r="T34" s="146"/>
      <c r="V34" s="148" t="s">
        <v>540</v>
      </c>
      <c r="W34" s="146"/>
      <c r="X34" s="146"/>
      <c r="Y34" s="146"/>
      <c r="Z34" s="146"/>
      <c r="AA34" s="146"/>
      <c r="AB34" s="146"/>
      <c r="AC34" s="146"/>
      <c r="AE34" s="32" t="s">
        <v>368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</row>
    <row r="35" spans="1:38" ht="15" customHeight="1">
      <c r="A35" s="144"/>
      <c r="B35" s="144"/>
      <c r="D35" s="32" t="s">
        <v>432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369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</row>
    <row r="36" spans="1:38">
      <c r="D36" s="146" t="s">
        <v>440</v>
      </c>
      <c r="E36" s="146"/>
      <c r="F36" s="146"/>
      <c r="G36" s="146"/>
      <c r="H36" s="146"/>
      <c r="I36" s="146"/>
      <c r="J36" s="146"/>
      <c r="K36" s="146"/>
      <c r="M36" s="4" t="s">
        <v>531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47" t="s">
        <v>575</v>
      </c>
      <c r="AF36" s="147"/>
      <c r="AG36" s="147"/>
      <c r="AH36" s="147"/>
      <c r="AI36" s="147"/>
      <c r="AJ36" s="147"/>
      <c r="AK36" s="147"/>
      <c r="AL36" s="147"/>
    </row>
    <row r="37" spans="1:38"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48" t="s">
        <v>541</v>
      </c>
      <c r="W37" s="146"/>
      <c r="X37" s="146"/>
      <c r="Y37" s="146"/>
      <c r="Z37" s="146"/>
      <c r="AA37" s="146"/>
      <c r="AB37" s="146"/>
      <c r="AC37" s="146"/>
      <c r="AE37" s="146" t="s">
        <v>576</v>
      </c>
      <c r="AF37" s="146"/>
      <c r="AG37" s="146"/>
      <c r="AH37" s="146"/>
      <c r="AI37" s="146"/>
      <c r="AJ37" s="146"/>
      <c r="AK37" s="146"/>
      <c r="AL37" s="146"/>
    </row>
    <row r="38" spans="1:38">
      <c r="D38" s="4" t="s">
        <v>410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</row>
    <row r="39" spans="1:38">
      <c r="D39" s="146" t="s">
        <v>441</v>
      </c>
      <c r="E39" s="146"/>
      <c r="F39" s="146"/>
      <c r="G39" s="146"/>
      <c r="H39" s="146"/>
      <c r="I39" s="146"/>
      <c r="J39" s="146"/>
      <c r="K39" s="146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577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</row>
    <row r="40" spans="1:38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578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</row>
    <row r="41" spans="1:38">
      <c r="D41" s="4" t="s">
        <v>442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46" t="s">
        <v>579</v>
      </c>
      <c r="AF41" s="146"/>
      <c r="AG41" s="146"/>
      <c r="AH41" s="146"/>
      <c r="AI41" s="146"/>
      <c r="AJ41" s="146"/>
      <c r="AK41" s="146"/>
      <c r="AL41" s="146"/>
    </row>
    <row r="42" spans="1:38">
      <c r="D42" s="146" t="s">
        <v>443</v>
      </c>
      <c r="E42" s="146"/>
      <c r="F42" s="146"/>
      <c r="G42" s="146"/>
      <c r="H42" s="146"/>
      <c r="I42" s="146"/>
      <c r="J42" s="146"/>
      <c r="K42" s="146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</row>
    <row r="43" spans="1:38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</row>
    <row r="44" spans="1:38">
      <c r="D44" s="4" t="s">
        <v>444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47" t="s">
        <v>542</v>
      </c>
      <c r="W44" s="147"/>
      <c r="X44" s="147"/>
      <c r="Y44" s="147"/>
      <c r="Z44" s="147"/>
      <c r="AA44" s="147"/>
      <c r="AB44" s="147"/>
      <c r="AC44" s="147"/>
      <c r="AE44" s="32" t="s">
        <v>580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</row>
    <row r="45" spans="1:38">
      <c r="D45" s="32" t="s">
        <v>445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48" t="s">
        <v>543</v>
      </c>
      <c r="W45" s="146"/>
      <c r="X45" s="146"/>
      <c r="Y45" s="146"/>
      <c r="Z45" s="146"/>
      <c r="AA45" s="146"/>
      <c r="AB45" s="146"/>
      <c r="AC45" s="146"/>
      <c r="AE45" s="32" t="s">
        <v>582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</row>
    <row r="46" spans="1:38">
      <c r="D46" s="150" t="s">
        <v>446</v>
      </c>
      <c r="E46" s="150"/>
      <c r="F46" s="150"/>
      <c r="G46" s="150"/>
      <c r="H46" s="150"/>
      <c r="I46" s="150"/>
      <c r="J46" s="150"/>
      <c r="K46" s="150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581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</row>
    <row r="47" spans="1:38">
      <c r="D47" s="146" t="s">
        <v>447</v>
      </c>
      <c r="E47" s="146"/>
      <c r="F47" s="146"/>
      <c r="G47" s="146"/>
      <c r="H47" s="146"/>
      <c r="I47" s="146"/>
      <c r="J47" s="146"/>
      <c r="K47" s="146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583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</row>
    <row r="48" spans="1:38"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584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</row>
    <row r="49" spans="4:38">
      <c r="D49" s="4" t="s">
        <v>448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46" t="s">
        <v>585</v>
      </c>
      <c r="AF49" s="146"/>
      <c r="AG49" s="146"/>
      <c r="AH49" s="146"/>
      <c r="AI49" s="146"/>
      <c r="AJ49" s="146"/>
      <c r="AK49" s="146"/>
      <c r="AL49" s="146"/>
    </row>
    <row r="50" spans="4:38">
      <c r="D50" s="146" t="s">
        <v>449</v>
      </c>
      <c r="E50" s="146"/>
      <c r="F50" s="146"/>
      <c r="G50" s="146"/>
      <c r="H50" s="146"/>
      <c r="I50" s="146"/>
      <c r="J50" s="146"/>
      <c r="K50" s="146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</row>
    <row r="51" spans="4:38"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586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</row>
    <row r="52" spans="4:38">
      <c r="D52" s="4" t="s">
        <v>450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46" t="s">
        <v>587</v>
      </c>
      <c r="AF52" s="146"/>
      <c r="AG52" s="146"/>
      <c r="AH52" s="146"/>
      <c r="AI52" s="146"/>
      <c r="AJ52" s="146"/>
      <c r="AK52" s="146"/>
      <c r="AL52" s="146"/>
    </row>
    <row r="53" spans="4:38">
      <c r="D53" s="146" t="s">
        <v>451</v>
      </c>
      <c r="E53" s="146"/>
      <c r="F53" s="146"/>
      <c r="G53" s="146"/>
      <c r="H53" s="146"/>
      <c r="I53" s="146"/>
      <c r="J53" s="146"/>
      <c r="K53" s="146"/>
      <c r="V53" s="148" t="s">
        <v>544</v>
      </c>
      <c r="W53" s="146"/>
      <c r="X53" s="146"/>
      <c r="Y53" s="146"/>
      <c r="Z53" s="146"/>
      <c r="AA53" s="146"/>
      <c r="AB53" s="146"/>
      <c r="AC53" s="146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</row>
    <row r="54" spans="4:38"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588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</row>
    <row r="55" spans="4:38">
      <c r="D55" s="4" t="s">
        <v>416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46" t="s">
        <v>590</v>
      </c>
      <c r="AF55" s="146"/>
      <c r="AG55" s="146"/>
      <c r="AH55" s="146"/>
      <c r="AI55" s="146"/>
      <c r="AJ55" s="146"/>
      <c r="AK55" s="146"/>
      <c r="AL55" s="146"/>
    </row>
    <row r="56" spans="4:38">
      <c r="D56" s="146" t="s">
        <v>452</v>
      </c>
      <c r="E56" s="146"/>
      <c r="F56" s="146"/>
      <c r="G56" s="146"/>
      <c r="H56" s="146"/>
      <c r="I56" s="146"/>
      <c r="J56" s="146"/>
      <c r="K56" s="146"/>
      <c r="V56" s="147" t="s">
        <v>545</v>
      </c>
      <c r="W56" s="147"/>
      <c r="X56" s="147"/>
      <c r="Y56" s="147"/>
      <c r="Z56" s="147"/>
      <c r="AA56" s="147"/>
      <c r="AB56" s="147"/>
      <c r="AC56" s="147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</row>
    <row r="57" spans="4:38"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48" t="s">
        <v>546</v>
      </c>
      <c r="W57" s="146"/>
      <c r="X57" s="146"/>
      <c r="Y57" s="146"/>
      <c r="Z57" s="146"/>
      <c r="AA57" s="146"/>
      <c r="AB57" s="146"/>
      <c r="AC57" s="146"/>
      <c r="AE57" s="4" t="s">
        <v>589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</row>
    <row r="58" spans="4:38">
      <c r="D58" s="4" t="s">
        <v>417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47" t="s">
        <v>591</v>
      </c>
      <c r="AF58" s="147"/>
      <c r="AG58" s="147"/>
      <c r="AH58" s="147"/>
      <c r="AI58" s="147"/>
      <c r="AJ58" s="147"/>
      <c r="AK58" s="147"/>
      <c r="AL58" s="147"/>
    </row>
    <row r="59" spans="4:38">
      <c r="D59" s="146" t="s">
        <v>453</v>
      </c>
      <c r="E59" s="146"/>
      <c r="F59" s="146"/>
      <c r="G59" s="146"/>
      <c r="H59" s="146"/>
      <c r="I59" s="146"/>
      <c r="J59" s="146"/>
      <c r="K59" s="146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46" t="s">
        <v>592</v>
      </c>
      <c r="AF59" s="146"/>
      <c r="AG59" s="146"/>
      <c r="AH59" s="146"/>
      <c r="AI59" s="146"/>
      <c r="AJ59" s="146"/>
      <c r="AK59" s="146"/>
      <c r="AL59" s="146"/>
    </row>
    <row r="60" spans="4:38"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</row>
    <row r="61" spans="4:38">
      <c r="D61" s="4" t="s">
        <v>418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593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</row>
    <row r="62" spans="4:38">
      <c r="D62" s="146" t="s">
        <v>454</v>
      </c>
      <c r="E62" s="146"/>
      <c r="F62" s="146"/>
      <c r="G62" s="146"/>
      <c r="H62" s="146"/>
      <c r="I62" s="146"/>
      <c r="J62" s="146"/>
      <c r="K62" s="146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46" t="s">
        <v>594</v>
      </c>
      <c r="AF62" s="146"/>
      <c r="AG62" s="146"/>
      <c r="AH62" s="146"/>
      <c r="AI62" s="146"/>
      <c r="AJ62" s="146"/>
      <c r="AK62" s="146"/>
      <c r="AL62" s="146"/>
    </row>
    <row r="63" spans="4:38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</row>
    <row r="64" spans="4:38">
      <c r="D64" s="4" t="s">
        <v>419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586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</row>
    <row r="65" spans="4:38">
      <c r="D65" s="146" t="s">
        <v>455</v>
      </c>
      <c r="E65" s="146"/>
      <c r="F65" s="146"/>
      <c r="G65" s="146"/>
      <c r="H65" s="146"/>
      <c r="I65" s="146"/>
      <c r="J65" s="146"/>
      <c r="K65" s="146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46" t="s">
        <v>595</v>
      </c>
      <c r="AF65" s="146"/>
      <c r="AG65" s="146"/>
      <c r="AH65" s="146"/>
      <c r="AI65" s="146"/>
      <c r="AJ65" s="146"/>
      <c r="AK65" s="146"/>
      <c r="AL65" s="146"/>
    </row>
    <row r="66" spans="4:38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</row>
    <row r="67" spans="4:38">
      <c r="D67" s="4" t="s">
        <v>420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48" t="s">
        <v>547</v>
      </c>
      <c r="W67" s="146"/>
      <c r="X67" s="146"/>
      <c r="Y67" s="146"/>
      <c r="Z67" s="146"/>
      <c r="AA67" s="146"/>
      <c r="AB67" s="146"/>
      <c r="AC67" s="146"/>
      <c r="AE67" s="4" t="s">
        <v>596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</row>
    <row r="68" spans="4:38">
      <c r="D68" s="146" t="s">
        <v>456</v>
      </c>
      <c r="E68" s="146"/>
      <c r="F68" s="146"/>
      <c r="G68" s="146"/>
      <c r="H68" s="146"/>
      <c r="I68" s="146"/>
      <c r="J68" s="146"/>
      <c r="K68" s="146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597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</row>
    <row r="69" spans="4:38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46" t="s">
        <v>598</v>
      </c>
      <c r="AF69" s="146"/>
      <c r="AG69" s="146"/>
      <c r="AH69" s="146"/>
      <c r="AI69" s="146"/>
      <c r="AJ69" s="146"/>
      <c r="AK69" s="146"/>
      <c r="AL69" s="146"/>
    </row>
    <row r="70" spans="4:38">
      <c r="D70" s="4" t="s">
        <v>457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48" t="s">
        <v>548</v>
      </c>
      <c r="W70" s="146"/>
      <c r="X70" s="146"/>
      <c r="Y70" s="146"/>
      <c r="Z70" s="146"/>
      <c r="AA70" s="146"/>
      <c r="AB70" s="146"/>
      <c r="AC70" s="146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</row>
    <row r="71" spans="4:38">
      <c r="D71" s="146" t="s">
        <v>458</v>
      </c>
      <c r="E71" s="146"/>
      <c r="F71" s="146"/>
      <c r="G71" s="146"/>
      <c r="H71" s="146"/>
      <c r="I71" s="146"/>
      <c r="J71" s="146"/>
      <c r="K71" s="146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596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</row>
    <row r="72" spans="4:38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597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</row>
    <row r="73" spans="4:38">
      <c r="D73" s="4" t="s">
        <v>459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48" t="s">
        <v>549</v>
      </c>
      <c r="W73" s="146"/>
      <c r="X73" s="146"/>
      <c r="Y73" s="146"/>
      <c r="Z73" s="146"/>
      <c r="AA73" s="146"/>
      <c r="AB73" s="146"/>
      <c r="AC73" s="146"/>
      <c r="AE73" s="146" t="s">
        <v>599</v>
      </c>
      <c r="AF73" s="146"/>
      <c r="AG73" s="146"/>
      <c r="AH73" s="146"/>
      <c r="AI73" s="146"/>
      <c r="AJ73" s="146"/>
      <c r="AK73" s="146"/>
      <c r="AL73" s="146"/>
    </row>
    <row r="74" spans="4:38">
      <c r="D74" s="146" t="s">
        <v>460</v>
      </c>
      <c r="E74" s="146"/>
      <c r="F74" s="146"/>
      <c r="G74" s="146"/>
      <c r="H74" s="146"/>
      <c r="I74" s="146"/>
      <c r="J74" s="146"/>
      <c r="K74" s="146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</row>
    <row r="75" spans="4:38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596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</row>
    <row r="76" spans="4:38">
      <c r="D76" s="4" t="s">
        <v>461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48" t="s">
        <v>550</v>
      </c>
      <c r="W76" s="146"/>
      <c r="X76" s="146"/>
      <c r="Y76" s="146"/>
      <c r="Z76" s="146"/>
      <c r="AA76" s="146"/>
      <c r="AB76" s="146"/>
      <c r="AC76" s="146"/>
      <c r="AE76" s="32" t="s">
        <v>597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</row>
    <row r="77" spans="4:38">
      <c r="D77" s="146" t="s">
        <v>462</v>
      </c>
      <c r="E77" s="146"/>
      <c r="F77" s="146"/>
      <c r="G77" s="146"/>
      <c r="H77" s="146"/>
      <c r="I77" s="146"/>
      <c r="J77" s="146"/>
      <c r="K77" s="146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46" t="s">
        <v>600</v>
      </c>
      <c r="AF77" s="146"/>
      <c r="AG77" s="146"/>
      <c r="AH77" s="146"/>
      <c r="AI77" s="146"/>
      <c r="AJ77" s="146"/>
      <c r="AK77" s="146"/>
      <c r="AL77" s="146"/>
    </row>
    <row r="78" spans="4:38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38">
      <c r="D79" s="4" t="s">
        <v>463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48" t="s">
        <v>548</v>
      </c>
      <c r="W79" s="146"/>
      <c r="X79" s="146"/>
      <c r="Y79" s="146"/>
      <c r="Z79" s="146"/>
      <c r="AA79" s="146"/>
      <c r="AB79" s="146"/>
      <c r="AC79" s="146"/>
      <c r="AE79" s="4" t="s">
        <v>596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38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597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46" t="s">
        <v>600</v>
      </c>
      <c r="AF81" s="146"/>
      <c r="AG81" s="146"/>
      <c r="AH81" s="146"/>
      <c r="AI81" s="146"/>
      <c r="AJ81" s="146"/>
      <c r="AK81" s="146"/>
      <c r="AL81" s="146"/>
    </row>
    <row r="82" spans="22:38">
      <c r="V82" s="147" t="s">
        <v>192</v>
      </c>
      <c r="W82" s="147"/>
      <c r="X82" s="147"/>
      <c r="Y82" s="147"/>
      <c r="Z82" s="147"/>
      <c r="AA82" s="147"/>
      <c r="AB82" s="147"/>
      <c r="AC82" s="147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48" t="s">
        <v>546</v>
      </c>
      <c r="W83" s="146"/>
      <c r="X83" s="146"/>
      <c r="Y83" s="146"/>
      <c r="Z83" s="146"/>
      <c r="AA83" s="146"/>
      <c r="AB83" s="146"/>
      <c r="AC83" s="146"/>
      <c r="AE83" s="4" t="s">
        <v>601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602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603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604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47" t="s">
        <v>605</v>
      </c>
      <c r="AF87" s="147"/>
      <c r="AG87" s="147"/>
      <c r="AH87" s="147"/>
      <c r="AI87" s="147"/>
      <c r="AJ87" s="147"/>
      <c r="AK87" s="147"/>
      <c r="AL87" s="147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46" t="s">
        <v>606</v>
      </c>
      <c r="AF88" s="146"/>
      <c r="AG88" s="146"/>
      <c r="AH88" s="146"/>
      <c r="AI88" s="146"/>
      <c r="AJ88" s="146"/>
      <c r="AK88" s="146"/>
      <c r="AL88" s="146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383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46" t="s">
        <v>607</v>
      </c>
      <c r="AF91" s="146"/>
      <c r="AG91" s="146"/>
      <c r="AH91" s="146"/>
      <c r="AI91" s="146"/>
      <c r="AJ91" s="146"/>
      <c r="AK91" s="146"/>
      <c r="AL91" s="146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48" t="s">
        <v>551</v>
      </c>
      <c r="W93" s="146"/>
      <c r="X93" s="146"/>
      <c r="Y93" s="146"/>
      <c r="Z93" s="146"/>
      <c r="AA93" s="146"/>
      <c r="AB93" s="146"/>
      <c r="AC93" s="146"/>
      <c r="AE93" s="4" t="s">
        <v>385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46" t="s">
        <v>608</v>
      </c>
      <c r="AF94" s="146"/>
      <c r="AG94" s="146"/>
      <c r="AH94" s="146"/>
      <c r="AI94" s="146"/>
      <c r="AJ94" s="146"/>
      <c r="AK94" s="146"/>
      <c r="AL94" s="146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48" t="s">
        <v>552</v>
      </c>
      <c r="W96" s="146"/>
      <c r="X96" s="146"/>
      <c r="Y96" s="146"/>
      <c r="Z96" s="146"/>
      <c r="AA96" s="146"/>
      <c r="AB96" s="146"/>
      <c r="AC96" s="146"/>
      <c r="AE96" s="4" t="s">
        <v>387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46" t="s">
        <v>610</v>
      </c>
      <c r="AF97" s="146"/>
      <c r="AG97" s="146"/>
      <c r="AH97" s="146"/>
      <c r="AI97" s="146"/>
      <c r="AJ97" s="146"/>
      <c r="AK97" s="146"/>
      <c r="AL97" s="146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47" t="s">
        <v>553</v>
      </c>
      <c r="W99" s="147"/>
      <c r="X99" s="147"/>
      <c r="Y99" s="147"/>
      <c r="Z99" s="147"/>
      <c r="AA99" s="147"/>
      <c r="AB99" s="147"/>
      <c r="AC99" s="147"/>
      <c r="AE99" s="4" t="s">
        <v>609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48" t="s">
        <v>554</v>
      </c>
      <c r="W100" s="146"/>
      <c r="X100" s="146"/>
      <c r="Y100" s="146"/>
      <c r="Z100" s="146"/>
      <c r="AA100" s="146"/>
      <c r="AB100" s="146"/>
      <c r="AC100" s="146"/>
      <c r="AE100" s="147" t="s">
        <v>611</v>
      </c>
      <c r="AF100" s="147"/>
      <c r="AG100" s="147"/>
      <c r="AH100" s="147"/>
      <c r="AI100" s="147"/>
      <c r="AJ100" s="147"/>
      <c r="AK100" s="147"/>
      <c r="AL100" s="147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46" t="s">
        <v>612</v>
      </c>
      <c r="AF101" s="146"/>
      <c r="AG101" s="146"/>
      <c r="AH101" s="146"/>
      <c r="AI101" s="146"/>
      <c r="AJ101" s="146"/>
      <c r="AK101" s="146"/>
      <c r="AL101" s="146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559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48" t="s">
        <v>555</v>
      </c>
      <c r="W104" s="146"/>
      <c r="X104" s="146"/>
      <c r="Y104" s="146"/>
      <c r="Z104" s="146"/>
      <c r="AA104" s="146"/>
      <c r="AB104" s="146"/>
      <c r="AC104" s="146"/>
      <c r="AE104" s="32" t="s">
        <v>560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46" t="s">
        <v>558</v>
      </c>
      <c r="AF105" s="146"/>
      <c r="AG105" s="146"/>
      <c r="AH105" s="146"/>
      <c r="AI105" s="146"/>
      <c r="AJ105" s="146"/>
      <c r="AK105" s="146"/>
      <c r="AL105" s="146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47" t="s">
        <v>174</v>
      </c>
      <c r="W107" s="147"/>
      <c r="X107" s="147"/>
      <c r="Y107" s="147"/>
      <c r="Z107" s="147"/>
      <c r="AA107" s="147"/>
      <c r="AB107" s="147"/>
      <c r="AC107" s="147"/>
      <c r="AE107" s="4" t="s">
        <v>559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48" t="s">
        <v>557</v>
      </c>
      <c r="W108" s="146"/>
      <c r="X108" s="146"/>
      <c r="Y108" s="146"/>
      <c r="Z108" s="146"/>
      <c r="AA108" s="146"/>
      <c r="AB108" s="146"/>
      <c r="AC108" s="146"/>
      <c r="AE108" s="32" t="s">
        <v>560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46" t="s">
        <v>613</v>
      </c>
      <c r="AF109" s="146"/>
      <c r="AG109" s="146"/>
      <c r="AH109" s="146"/>
      <c r="AI109" s="146"/>
      <c r="AJ109" s="146"/>
      <c r="AK109" s="146"/>
      <c r="AL109" s="146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48" t="s">
        <v>556</v>
      </c>
      <c r="W111" s="146"/>
      <c r="X111" s="146"/>
      <c r="Y111" s="146"/>
      <c r="Z111" s="146"/>
      <c r="AA111" s="146"/>
      <c r="AB111" s="146"/>
      <c r="AC111" s="146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46" t="s">
        <v>614</v>
      </c>
      <c r="AF115" s="146"/>
      <c r="AG115" s="146"/>
      <c r="AH115" s="146"/>
      <c r="AI115" s="146"/>
      <c r="AJ115" s="146"/>
      <c r="AK115" s="146"/>
      <c r="AL115" s="146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138"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V6:AC6"/>
    <mergeCell ref="V9:AC9"/>
    <mergeCell ref="V14:AC14"/>
    <mergeCell ref="V15:AC15"/>
    <mergeCell ref="A7:B35"/>
    <mergeCell ref="D11:K11"/>
    <mergeCell ref="D28:K28"/>
    <mergeCell ref="D36:K36"/>
    <mergeCell ref="A1:B1"/>
    <mergeCell ref="D3:K3"/>
    <mergeCell ref="D1:K1"/>
    <mergeCell ref="D2:K2"/>
    <mergeCell ref="A3:B3"/>
    <mergeCell ref="D56:K56"/>
    <mergeCell ref="D59:K59"/>
    <mergeCell ref="D53:K53"/>
    <mergeCell ref="D39:K39"/>
    <mergeCell ref="D42:K42"/>
    <mergeCell ref="D46:K46"/>
    <mergeCell ref="D47:K47"/>
    <mergeCell ref="D50:K50"/>
    <mergeCell ref="M3:T3"/>
    <mergeCell ref="V18:AC18"/>
    <mergeCell ref="V23:AC23"/>
    <mergeCell ref="V30:AC30"/>
    <mergeCell ref="V33:AC33"/>
    <mergeCell ref="V34:AC34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V1:AC1"/>
    <mergeCell ref="V2:AC2"/>
    <mergeCell ref="V3:AC3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</mergeCells>
  <phoneticPr fontId="29" type="noConversion"/>
  <conditionalFormatting sqref="A3">
    <cfRule type="cellIs" dxfId="15" priority="95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14" priority="76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13" priority="2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12" priority="1" operator="greaterThan">
      <formula>0</formula>
    </cfRule>
  </conditionalFormatting>
  <conditionalFormatting sqref="AO5:AU5">
    <cfRule type="cellIs" dxfId="11" priority="72" operator="greaterThan">
      <formula>0</formula>
    </cfRule>
  </conditionalFormatting>
  <conditionalFormatting sqref="AX5:BD7">
    <cfRule type="cellIs" dxfId="10" priority="71" operator="greaterThan">
      <formula>0</formula>
    </cfRule>
  </conditionalFormatting>
  <conditionalFormatting sqref="BG5:BM5">
    <cfRule type="cellIs" dxfId="9" priority="70" operator="greaterThan">
      <formula>0</formula>
    </cfRule>
  </conditionalFormatting>
  <conditionalFormatting sqref="BP5:BV5">
    <cfRule type="cellIs" dxfId="8" priority="69" operator="greaterThan">
      <formula>0</formula>
    </cfRule>
  </conditionalFormatting>
  <conditionalFormatting sqref="BY5:CE5">
    <cfRule type="cellIs" dxfId="7" priority="68" operator="greaterThan">
      <formula>0</formula>
    </cfRule>
  </conditionalFormatting>
  <conditionalFormatting sqref="CH5:CN5">
    <cfRule type="cellIs" dxfId="6" priority="67" operator="greaterThan">
      <formula>0</formula>
    </cfRule>
  </conditionalFormatting>
  <conditionalFormatting sqref="CQ5:CW5">
    <cfRule type="cellIs" dxfId="5" priority="66" operator="greaterThan">
      <formula>0</formula>
    </cfRule>
  </conditionalFormatting>
  <conditionalFormatting sqref="CZ5:DF5">
    <cfRule type="cellIs" dxfId="4" priority="65" operator="greaterThan">
      <formula>0</formula>
    </cfRule>
  </conditionalFormatting>
  <conditionalFormatting sqref="DI5:DO5">
    <cfRule type="cellIs" dxfId="3" priority="64" operator="greaterThan">
      <formula>0</formula>
    </cfRule>
  </conditionalFormatting>
  <conditionalFormatting sqref="DR5:DX5">
    <cfRule type="cellIs" dxfId="2" priority="63" operator="greaterThan">
      <formula>0</formula>
    </cfRule>
  </conditionalFormatting>
  <conditionalFormatting sqref="EA5:EG5">
    <cfRule type="cellIs" dxfId="1" priority="62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9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UER Guairá</cp:lastModifiedBy>
  <dcterms:created xsi:type="dcterms:W3CDTF">2024-02-09T13:22:46Z</dcterms:created>
  <dcterms:modified xsi:type="dcterms:W3CDTF">2024-10-25T16:48:01Z</dcterms:modified>
</cp:coreProperties>
</file>