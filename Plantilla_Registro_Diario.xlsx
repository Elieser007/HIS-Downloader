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1.xml" ContentType="application/vnd.openxmlformats-officedocument.spreadsheetml.comments+xml"/>
  <Override PartName="/xl/pivotTables/pivotTable2.xml" ContentType="application/vnd.openxmlformats-officedocument.spreadsheetml.pivot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comments2.xml" ContentType="application/vnd.openxmlformats-officedocument.spreadsheetml.comments+xml"/>
  <Override PartName="/xl/pivotTables/pivotTable3.xml" ContentType="application/vnd.openxmlformats-officedocument.spreadsheetml.pivot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comments3.xml" ContentType="application/vnd.openxmlformats-officedocument.spreadsheetml.comments+xml"/>
  <Override PartName="/xl/pivotTables/pivotTable4.xml" ContentType="application/vnd.openxmlformats-officedocument.spreadsheetml.pivot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tables/table190.xml" ContentType="application/vnd.openxmlformats-officedocument.spreadsheetml.table+xml"/>
  <Override PartName="/xl/tables/table191.xml" ContentType="application/vnd.openxmlformats-officedocument.spreadsheetml.table+xml"/>
  <Override PartName="/xl/tables/table192.xml" ContentType="application/vnd.openxmlformats-officedocument.spreadsheetml.table+xml"/>
  <Override PartName="/xl/tables/table193.xml" ContentType="application/vnd.openxmlformats-officedocument.spreadsheetml.table+xml"/>
  <Override PartName="/xl/tables/table194.xml" ContentType="application/vnd.openxmlformats-officedocument.spreadsheetml.table+xml"/>
  <Override PartName="/xl/tables/table195.xml" ContentType="application/vnd.openxmlformats-officedocument.spreadsheetml.table+xml"/>
  <Override PartName="/xl/tables/table196.xml" ContentType="application/vnd.openxmlformats-officedocument.spreadsheetml.table+xml"/>
  <Override PartName="/xl/tables/table197.xml" ContentType="application/vnd.openxmlformats-officedocument.spreadsheetml.table+xml"/>
  <Override PartName="/xl/tables/table198.xml" ContentType="application/vnd.openxmlformats-officedocument.spreadsheetml.table+xml"/>
  <Override PartName="/xl/tables/table199.xml" ContentType="application/vnd.openxmlformats-officedocument.spreadsheetml.table+xml"/>
  <Override PartName="/xl/tables/table200.xml" ContentType="application/vnd.openxmlformats-officedocument.spreadsheetml.table+xml"/>
  <Override PartName="/xl/tables/table201.xml" ContentType="application/vnd.openxmlformats-officedocument.spreadsheetml.table+xml"/>
  <Override PartName="/xl/tables/table202.xml" ContentType="application/vnd.openxmlformats-officedocument.spreadsheetml.table+xml"/>
  <Override PartName="/xl/tables/table203.xml" ContentType="application/vnd.openxmlformats-officedocument.spreadsheetml.table+xml"/>
  <Override PartName="/xl/tables/table204.xml" ContentType="application/vnd.openxmlformats-officedocument.spreadsheetml.table+xml"/>
  <Override PartName="/xl/tables/table205.xml" ContentType="application/vnd.openxmlformats-officedocument.spreadsheetml.table+xml"/>
  <Override PartName="/xl/tables/table206.xml" ContentType="application/vnd.openxmlformats-officedocument.spreadsheetml.table+xml"/>
  <Override PartName="/xl/tables/table207.xml" ContentType="application/vnd.openxmlformats-officedocument.spreadsheetml.table+xml"/>
  <Override PartName="/xl/tables/table208.xml" ContentType="application/vnd.openxmlformats-officedocument.spreadsheetml.table+xml"/>
  <Override PartName="/xl/tables/table209.xml" ContentType="application/vnd.openxmlformats-officedocument.spreadsheetml.table+xml"/>
  <Override PartName="/xl/tables/table210.xml" ContentType="application/vnd.openxmlformats-officedocument.spreadsheetml.table+xml"/>
  <Override PartName="/xl/tables/table211.xml" ContentType="application/vnd.openxmlformats-officedocument.spreadsheetml.table+xml"/>
  <Override PartName="/xl/tables/table212.xml" ContentType="application/vnd.openxmlformats-officedocument.spreadsheetml.table+xml"/>
  <Override PartName="/xl/tables/table213.xml" ContentType="application/vnd.openxmlformats-officedocument.spreadsheetml.table+xml"/>
  <Override PartName="/xl/tables/table214.xml" ContentType="application/vnd.openxmlformats-officedocument.spreadsheetml.table+xml"/>
  <Override PartName="/xl/tables/table215.xml" ContentType="application/vnd.openxmlformats-officedocument.spreadsheetml.table+xml"/>
  <Override PartName="/xl/tables/table216.xml" ContentType="application/vnd.openxmlformats-officedocument.spreadsheetml.table+xml"/>
  <Override PartName="/xl/tables/table217.xml" ContentType="application/vnd.openxmlformats-officedocument.spreadsheetml.table+xml"/>
  <Override PartName="/xl/tables/table218.xml" ContentType="application/vnd.openxmlformats-officedocument.spreadsheetml.table+xml"/>
  <Override PartName="/xl/tables/table219.xml" ContentType="application/vnd.openxmlformats-officedocument.spreadsheetml.table+xml"/>
  <Override PartName="/xl/tables/table220.xml" ContentType="application/vnd.openxmlformats-officedocument.spreadsheetml.table+xml"/>
  <Override PartName="/xl/tables/table221.xml" ContentType="application/vnd.openxmlformats-officedocument.spreadsheetml.table+xml"/>
  <Override PartName="/xl/tables/table222.xml" ContentType="application/vnd.openxmlformats-officedocument.spreadsheetml.table+xml"/>
  <Override PartName="/xl/tables/table223.xml" ContentType="application/vnd.openxmlformats-officedocument.spreadsheetml.table+xml"/>
  <Override PartName="/xl/tables/table224.xml" ContentType="application/vnd.openxmlformats-officedocument.spreadsheetml.table+xml"/>
  <Override PartName="/xl/tables/table225.xml" ContentType="application/vnd.openxmlformats-officedocument.spreadsheetml.table+xml"/>
  <Override PartName="/xl/tables/table226.xml" ContentType="application/vnd.openxmlformats-officedocument.spreadsheetml.table+xml"/>
  <Override PartName="/xl/tables/table227.xml" ContentType="application/vnd.openxmlformats-officedocument.spreadsheetml.table+xml"/>
  <Override PartName="/xl/tables/table228.xml" ContentType="application/vnd.openxmlformats-officedocument.spreadsheetml.table+xml"/>
  <Override PartName="/xl/tables/table229.xml" ContentType="application/vnd.openxmlformats-officedocument.spreadsheetml.table+xml"/>
  <Override PartName="/xl/tables/table230.xml" ContentType="application/vnd.openxmlformats-officedocument.spreadsheetml.table+xml"/>
  <Override PartName="/xl/tables/table231.xml" ContentType="application/vnd.openxmlformats-officedocument.spreadsheetml.table+xml"/>
  <Override PartName="/xl/tables/table232.xml" ContentType="application/vnd.openxmlformats-officedocument.spreadsheetml.table+xml"/>
  <Override PartName="/xl/tables/table233.xml" ContentType="application/vnd.openxmlformats-officedocument.spreadsheetml.table+xml"/>
  <Override PartName="/xl/tables/table234.xml" ContentType="application/vnd.openxmlformats-officedocument.spreadsheetml.table+xml"/>
  <Override PartName="/xl/tables/table235.xml" ContentType="application/vnd.openxmlformats-officedocument.spreadsheetml.table+xml"/>
  <Override PartName="/xl/tables/table236.xml" ContentType="application/vnd.openxmlformats-officedocument.spreadsheetml.table+xml"/>
  <Override PartName="/xl/tables/table237.xml" ContentType="application/vnd.openxmlformats-officedocument.spreadsheetml.table+xml"/>
  <Override PartName="/xl/tables/table238.xml" ContentType="application/vnd.openxmlformats-officedocument.spreadsheetml.table+xml"/>
  <Override PartName="/xl/tables/table239.xml" ContentType="application/vnd.openxmlformats-officedocument.spreadsheetml.table+xml"/>
  <Override PartName="/xl/tables/table240.xml" ContentType="application/vnd.openxmlformats-officedocument.spreadsheetml.table+xml"/>
  <Override PartName="/xl/tables/table241.xml" ContentType="application/vnd.openxmlformats-officedocument.spreadsheetml.table+xml"/>
  <Override PartName="/xl/tables/table242.xml" ContentType="application/vnd.openxmlformats-officedocument.spreadsheetml.table+xml"/>
  <Override PartName="/xl/tables/table243.xml" ContentType="application/vnd.openxmlformats-officedocument.spreadsheetml.table+xml"/>
  <Override PartName="/xl/tables/table244.xml" ContentType="application/vnd.openxmlformats-officedocument.spreadsheetml.table+xml"/>
  <Override PartName="/xl/tables/table245.xml" ContentType="application/vnd.openxmlformats-officedocument.spreadsheetml.table+xml"/>
  <Override PartName="/xl/tables/table246.xml" ContentType="application/vnd.openxmlformats-officedocument.spreadsheetml.table+xml"/>
  <Override PartName="/xl/tables/table247.xml" ContentType="application/vnd.openxmlformats-officedocument.spreadsheetml.table+xml"/>
  <Override PartName="/xl/tables/table248.xml" ContentType="application/vnd.openxmlformats-officedocument.spreadsheetml.table+xml"/>
  <Override PartName="/xl/tables/table249.xml" ContentType="application/vnd.openxmlformats-officedocument.spreadsheetml.table+xml"/>
  <Override PartName="/xl/tables/table250.xml" ContentType="application/vnd.openxmlformats-officedocument.spreadsheetml.table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HIS-Downloader\"/>
    </mc:Choice>
  </mc:AlternateContent>
  <xr:revisionPtr revIDLastSave="0" documentId="13_ncr:1_{FF801CE9-C132-45D0-90CF-B8A3F74B4CD9}" xr6:coauthVersionLast="47" xr6:coauthVersionMax="47" xr10:uidLastSave="{00000000-0000-0000-0000-000000000000}"/>
  <bookViews>
    <workbookView xWindow="-120" yWindow="-120" windowWidth="20730" windowHeight="11760" firstSheet="1" activeTab="1" xr2:uid="{00000000-000D-0000-FFFF-FFFF00000000}"/>
  </bookViews>
  <sheets>
    <sheet name="BASE" sheetId="1" r:id="rId1"/>
    <sheet name="EPV" sheetId="2" r:id="rId2"/>
    <sheet name="ENOS" sheetId="3" r:id="rId3"/>
    <sheet name="GUÍA NACIONAL DE VIGILANCIA2015" sheetId="6" r:id="rId4"/>
    <sheet name="GUÍA NACIONAL DE VIGILANCIA2022" sheetId="7" r:id="rId5"/>
  </sheets>
  <calcPr calcId="191029"/>
  <pivotCaches>
    <pivotCache cacheId="9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3" l="1"/>
  <c r="B5" i="3"/>
  <c r="Q81" i="3"/>
  <c r="R81" i="3"/>
  <c r="S81" i="3"/>
  <c r="T81" i="3"/>
  <c r="U81" i="3"/>
  <c r="V81" i="3"/>
  <c r="Q80" i="3"/>
  <c r="R80" i="3"/>
  <c r="S80" i="3"/>
  <c r="T80" i="3"/>
  <c r="U80" i="3"/>
  <c r="V80" i="3"/>
  <c r="DN24" i="7"/>
  <c r="DM24" i="7"/>
  <c r="DL24" i="7"/>
  <c r="DK24" i="7"/>
  <c r="DJ24" i="7"/>
  <c r="DI24" i="7"/>
  <c r="DN21" i="7"/>
  <c r="DM21" i="7"/>
  <c r="DL21" i="7"/>
  <c r="DK21" i="7"/>
  <c r="DJ21" i="7"/>
  <c r="DI21" i="7"/>
  <c r="DI10" i="7"/>
  <c r="DI11" i="7"/>
  <c r="DI12" i="7"/>
  <c r="DI13" i="7"/>
  <c r="DI14" i="7"/>
  <c r="DI15" i="7"/>
  <c r="DI16" i="7"/>
  <c r="DI17" i="7"/>
  <c r="DI18" i="7"/>
  <c r="DJ10" i="7"/>
  <c r="DJ11" i="7"/>
  <c r="DJ12" i="7"/>
  <c r="DJ13" i="7"/>
  <c r="DJ14" i="7"/>
  <c r="DJ15" i="7"/>
  <c r="DJ16" i="7"/>
  <c r="DJ17" i="7"/>
  <c r="DJ18" i="7"/>
  <c r="DK10" i="7"/>
  <c r="DK11" i="7"/>
  <c r="DK12" i="7"/>
  <c r="DK13" i="7"/>
  <c r="DK14" i="7"/>
  <c r="DK15" i="7"/>
  <c r="DK16" i="7"/>
  <c r="DK17" i="7"/>
  <c r="DK18" i="7"/>
  <c r="DL10" i="7"/>
  <c r="DL11" i="7"/>
  <c r="DL12" i="7"/>
  <c r="DL13" i="7"/>
  <c r="DL14" i="7"/>
  <c r="DL15" i="7"/>
  <c r="DL16" i="7"/>
  <c r="DL17" i="7"/>
  <c r="DL18" i="7"/>
  <c r="DM10" i="7"/>
  <c r="DM11" i="7"/>
  <c r="DM12" i="7"/>
  <c r="DM13" i="7"/>
  <c r="DM14" i="7"/>
  <c r="DM15" i="7"/>
  <c r="DM16" i="7"/>
  <c r="DM17" i="7"/>
  <c r="DM18" i="7"/>
  <c r="DN10" i="7"/>
  <c r="DN11" i="7"/>
  <c r="DN12" i="7"/>
  <c r="DN13" i="7"/>
  <c r="DN14" i="7"/>
  <c r="DN15" i="7"/>
  <c r="DN16" i="7"/>
  <c r="DN17" i="7"/>
  <c r="DN18" i="7"/>
  <c r="DI9" i="7"/>
  <c r="DJ9" i="7"/>
  <c r="DK9" i="7"/>
  <c r="DL9" i="7"/>
  <c r="DM9" i="7"/>
  <c r="DN9" i="7"/>
  <c r="DN8" i="7"/>
  <c r="DM8" i="7"/>
  <c r="DL8" i="7"/>
  <c r="DK8" i="7"/>
  <c r="DJ8" i="7"/>
  <c r="DI8" i="7"/>
  <c r="CV11" i="7"/>
  <c r="CU11" i="7"/>
  <c r="CT11" i="7"/>
  <c r="CS11" i="7"/>
  <c r="CR11" i="7"/>
  <c r="CQ11" i="7"/>
  <c r="CV8" i="7"/>
  <c r="CU8" i="7"/>
  <c r="CT8" i="7"/>
  <c r="CS8" i="7"/>
  <c r="CR8" i="7"/>
  <c r="CQ8" i="7"/>
  <c r="CM55" i="7"/>
  <c r="CL55" i="7"/>
  <c r="CK55" i="7"/>
  <c r="CJ55" i="7"/>
  <c r="CI55" i="7"/>
  <c r="CH55" i="7"/>
  <c r="CM54" i="7"/>
  <c r="CL54" i="7"/>
  <c r="CK54" i="7"/>
  <c r="CJ54" i="7"/>
  <c r="CI54" i="7"/>
  <c r="CH54" i="7"/>
  <c r="CM53" i="7"/>
  <c r="CL53" i="7"/>
  <c r="CK53" i="7"/>
  <c r="CJ53" i="7"/>
  <c r="CI53" i="7"/>
  <c r="CH53" i="7"/>
  <c r="CM52" i="7"/>
  <c r="CL52" i="7"/>
  <c r="CK52" i="7"/>
  <c r="CJ52" i="7"/>
  <c r="CI52" i="7"/>
  <c r="CH52" i="7"/>
  <c r="CM51" i="7"/>
  <c r="CL51" i="7"/>
  <c r="CK51" i="7"/>
  <c r="CJ51" i="7"/>
  <c r="CI51" i="7"/>
  <c r="CH51" i="7"/>
  <c r="CM50" i="7"/>
  <c r="CL50" i="7"/>
  <c r="CK50" i="7"/>
  <c r="CJ50" i="7"/>
  <c r="CI50" i="7"/>
  <c r="CH50" i="7"/>
  <c r="CM49" i="7"/>
  <c r="CL49" i="7"/>
  <c r="CK49" i="7"/>
  <c r="CJ49" i="7"/>
  <c r="CI49" i="7"/>
  <c r="CH49" i="7"/>
  <c r="CM48" i="7"/>
  <c r="CL48" i="7"/>
  <c r="CK48" i="7"/>
  <c r="CJ48" i="7"/>
  <c r="CI48" i="7"/>
  <c r="CH48" i="7"/>
  <c r="CM47" i="7"/>
  <c r="CL47" i="7"/>
  <c r="CK47" i="7"/>
  <c r="CJ47" i="7"/>
  <c r="CI47" i="7"/>
  <c r="CH47" i="7"/>
  <c r="CM46" i="7"/>
  <c r="CL46" i="7"/>
  <c r="CK46" i="7"/>
  <c r="CJ46" i="7"/>
  <c r="CI46" i="7"/>
  <c r="CH46" i="7"/>
  <c r="CH35" i="7"/>
  <c r="CH36" i="7"/>
  <c r="CH37" i="7"/>
  <c r="CH38" i="7"/>
  <c r="CH39" i="7"/>
  <c r="CH40" i="7"/>
  <c r="CH41" i="7"/>
  <c r="CH42" i="7"/>
  <c r="CH43" i="7"/>
  <c r="CI35" i="7"/>
  <c r="CI36" i="7"/>
  <c r="CI37" i="7"/>
  <c r="CI38" i="7"/>
  <c r="CI39" i="7"/>
  <c r="CI40" i="7"/>
  <c r="CI41" i="7"/>
  <c r="CI42" i="7"/>
  <c r="CI43" i="7"/>
  <c r="CJ35" i="7"/>
  <c r="CJ36" i="7"/>
  <c r="CJ37" i="7"/>
  <c r="CJ38" i="7"/>
  <c r="CJ39" i="7"/>
  <c r="CJ40" i="7"/>
  <c r="CJ41" i="7"/>
  <c r="CJ42" i="7"/>
  <c r="CJ43" i="7"/>
  <c r="CK35" i="7"/>
  <c r="CK36" i="7"/>
  <c r="CK37" i="7"/>
  <c r="CK38" i="7"/>
  <c r="CK39" i="7"/>
  <c r="CK40" i="7"/>
  <c r="CK41" i="7"/>
  <c r="CK42" i="7"/>
  <c r="CK43" i="7"/>
  <c r="CL35" i="7"/>
  <c r="CL36" i="7"/>
  <c r="CL37" i="7"/>
  <c r="CL38" i="7"/>
  <c r="CL39" i="7"/>
  <c r="CL40" i="7"/>
  <c r="CL41" i="7"/>
  <c r="CL42" i="7"/>
  <c r="CL43" i="7"/>
  <c r="CM35" i="7"/>
  <c r="CM36" i="7"/>
  <c r="CM37" i="7"/>
  <c r="CM38" i="7"/>
  <c r="CM39" i="7"/>
  <c r="CM40" i="7"/>
  <c r="CM41" i="7"/>
  <c r="CM42" i="7"/>
  <c r="CM43" i="7"/>
  <c r="CM34" i="7"/>
  <c r="CL34" i="7"/>
  <c r="CK34" i="7"/>
  <c r="CJ34" i="7"/>
  <c r="CI34" i="7"/>
  <c r="CH34" i="7"/>
  <c r="CM31" i="7"/>
  <c r="CL31" i="7"/>
  <c r="CK31" i="7"/>
  <c r="CJ31" i="7"/>
  <c r="CI31" i="7"/>
  <c r="CH31" i="7"/>
  <c r="CM28" i="7"/>
  <c r="CL28" i="7"/>
  <c r="CK28" i="7"/>
  <c r="CJ28" i="7"/>
  <c r="CI28" i="7"/>
  <c r="CH28" i="7"/>
  <c r="CM27" i="7"/>
  <c r="CL27" i="7"/>
  <c r="CK27" i="7"/>
  <c r="CJ27" i="7"/>
  <c r="CI27" i="7"/>
  <c r="CH27" i="7"/>
  <c r="CM26" i="7"/>
  <c r="CL26" i="7"/>
  <c r="CK26" i="7"/>
  <c r="CJ26" i="7"/>
  <c r="CI26" i="7"/>
  <c r="CH26" i="7"/>
  <c r="CM25" i="7"/>
  <c r="CL25" i="7"/>
  <c r="CK25" i="7"/>
  <c r="CJ25" i="7"/>
  <c r="CI25" i="7"/>
  <c r="CH25" i="7"/>
  <c r="CM24" i="7"/>
  <c r="CL24" i="7"/>
  <c r="CK24" i="7"/>
  <c r="CJ24" i="7"/>
  <c r="CI24" i="7"/>
  <c r="CH24" i="7"/>
  <c r="CM23" i="7"/>
  <c r="CL23" i="7"/>
  <c r="CK23" i="7"/>
  <c r="CJ23" i="7"/>
  <c r="CI23" i="7"/>
  <c r="CH23" i="7"/>
  <c r="CM22" i="7"/>
  <c r="CL22" i="7"/>
  <c r="CK22" i="7"/>
  <c r="CJ22" i="7"/>
  <c r="CI22" i="7"/>
  <c r="CH22" i="7"/>
  <c r="CH6" i="7"/>
  <c r="CH7" i="7"/>
  <c r="CH8" i="7"/>
  <c r="CH9" i="7"/>
  <c r="CH10" i="7"/>
  <c r="CH11" i="7"/>
  <c r="CH12" i="7"/>
  <c r="CH13" i="7"/>
  <c r="CH14" i="7"/>
  <c r="CH15" i="7"/>
  <c r="CH16" i="7"/>
  <c r="CH17" i="7"/>
  <c r="CH18" i="7"/>
  <c r="CH19" i="7"/>
  <c r="CI6" i="7"/>
  <c r="CI7" i="7"/>
  <c r="CI8" i="7"/>
  <c r="CI9" i="7"/>
  <c r="CI10" i="7"/>
  <c r="CI11" i="7"/>
  <c r="CI12" i="7"/>
  <c r="CI13" i="7"/>
  <c r="CI14" i="7"/>
  <c r="CI15" i="7"/>
  <c r="CI16" i="7"/>
  <c r="CI17" i="7"/>
  <c r="CI18" i="7"/>
  <c r="CI19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K6" i="7"/>
  <c r="CK7" i="7"/>
  <c r="CK8" i="7"/>
  <c r="CK9" i="7"/>
  <c r="CK10" i="7"/>
  <c r="CK11" i="7"/>
  <c r="CK12" i="7"/>
  <c r="CK13" i="7"/>
  <c r="CK14" i="7"/>
  <c r="CK15" i="7"/>
  <c r="CK16" i="7"/>
  <c r="CK17" i="7"/>
  <c r="CK18" i="7"/>
  <c r="CK19" i="7"/>
  <c r="CL6" i="7"/>
  <c r="CL7" i="7"/>
  <c r="CL8" i="7"/>
  <c r="CL9" i="7"/>
  <c r="CL10" i="7"/>
  <c r="CL11" i="7"/>
  <c r="CL12" i="7"/>
  <c r="CL13" i="7"/>
  <c r="CL14" i="7"/>
  <c r="CL15" i="7"/>
  <c r="CL16" i="7"/>
  <c r="CL17" i="7"/>
  <c r="CL18" i="7"/>
  <c r="CL19" i="7"/>
  <c r="CM6" i="7"/>
  <c r="CM7" i="7"/>
  <c r="CM8" i="7"/>
  <c r="CM9" i="7"/>
  <c r="CM10" i="7"/>
  <c r="CM11" i="7"/>
  <c r="CM12" i="7"/>
  <c r="CM13" i="7"/>
  <c r="CM14" i="7"/>
  <c r="CM15" i="7"/>
  <c r="CM16" i="7"/>
  <c r="CM17" i="7"/>
  <c r="CM18" i="7"/>
  <c r="CM19" i="7"/>
  <c r="CD11" i="7"/>
  <c r="CC11" i="7"/>
  <c r="CB11" i="7"/>
  <c r="CA11" i="7"/>
  <c r="BZ11" i="7"/>
  <c r="BY11" i="7"/>
  <c r="CD8" i="7"/>
  <c r="CC8" i="7"/>
  <c r="CB8" i="7"/>
  <c r="CA8" i="7"/>
  <c r="BZ8" i="7"/>
  <c r="BY8" i="7"/>
  <c r="BU77" i="7"/>
  <c r="BT77" i="7"/>
  <c r="BS77" i="7"/>
  <c r="BR77" i="7"/>
  <c r="BQ77" i="7"/>
  <c r="BP77" i="7"/>
  <c r="BU76" i="7"/>
  <c r="BT76" i="7"/>
  <c r="BS76" i="7"/>
  <c r="BR76" i="7"/>
  <c r="BQ76" i="7"/>
  <c r="BP76" i="7"/>
  <c r="BU75" i="7"/>
  <c r="BT75" i="7"/>
  <c r="BS75" i="7"/>
  <c r="BR75" i="7"/>
  <c r="BQ75" i="7"/>
  <c r="BP75" i="7"/>
  <c r="BU74" i="7"/>
  <c r="BT74" i="7"/>
  <c r="BS74" i="7"/>
  <c r="BR74" i="7"/>
  <c r="BQ74" i="7"/>
  <c r="BP74" i="7"/>
  <c r="BU73" i="7"/>
  <c r="BT73" i="7"/>
  <c r="BS73" i="7"/>
  <c r="BR73" i="7"/>
  <c r="BQ73" i="7"/>
  <c r="BP73" i="7"/>
  <c r="BU72" i="7"/>
  <c r="BT72" i="7"/>
  <c r="BS72" i="7"/>
  <c r="BR72" i="7"/>
  <c r="BQ72" i="7"/>
  <c r="BP72" i="7"/>
  <c r="BP69" i="7"/>
  <c r="BQ69" i="7"/>
  <c r="BR69" i="7"/>
  <c r="BS69" i="7"/>
  <c r="BT69" i="7"/>
  <c r="BU69" i="7"/>
  <c r="BP68" i="7"/>
  <c r="BQ68" i="7"/>
  <c r="BR68" i="7"/>
  <c r="BS68" i="7"/>
  <c r="BT68" i="7"/>
  <c r="BU68" i="7"/>
  <c r="BP67" i="7"/>
  <c r="BQ67" i="7"/>
  <c r="BR67" i="7"/>
  <c r="BS67" i="7"/>
  <c r="BT67" i="7"/>
  <c r="BU67" i="7"/>
  <c r="BP66" i="7"/>
  <c r="BQ66" i="7"/>
  <c r="BR66" i="7"/>
  <c r="BS66" i="7"/>
  <c r="BT66" i="7"/>
  <c r="BU66" i="7"/>
  <c r="BP65" i="7"/>
  <c r="BQ65" i="7"/>
  <c r="BR65" i="7"/>
  <c r="BS65" i="7"/>
  <c r="BT65" i="7"/>
  <c r="BU65" i="7"/>
  <c r="BP64" i="7"/>
  <c r="BQ64" i="7"/>
  <c r="BR64" i="7"/>
  <c r="BS64" i="7"/>
  <c r="BT64" i="7"/>
  <c r="BU64" i="7"/>
  <c r="BP63" i="7"/>
  <c r="BQ63" i="7"/>
  <c r="BR63" i="7"/>
  <c r="BS63" i="7"/>
  <c r="BT63" i="7"/>
  <c r="BU63" i="7"/>
  <c r="BP62" i="7"/>
  <c r="BQ62" i="7"/>
  <c r="BR62" i="7"/>
  <c r="BS62" i="7"/>
  <c r="BT62" i="7"/>
  <c r="BU62" i="7"/>
  <c r="BU61" i="7"/>
  <c r="BT61" i="7"/>
  <c r="BS61" i="7"/>
  <c r="BR61" i="7"/>
  <c r="BQ61" i="7"/>
  <c r="BP61" i="7"/>
  <c r="BU58" i="7"/>
  <c r="BT58" i="7"/>
  <c r="BS58" i="7"/>
  <c r="BR58" i="7"/>
  <c r="BQ58" i="7"/>
  <c r="BP58" i="7"/>
  <c r="BU55" i="7"/>
  <c r="BT55" i="7"/>
  <c r="BS55" i="7"/>
  <c r="BR55" i="7"/>
  <c r="BQ55" i="7"/>
  <c r="BP55" i="7"/>
  <c r="BU52" i="7"/>
  <c r="BT52" i="7"/>
  <c r="BS52" i="7"/>
  <c r="BR52" i="7"/>
  <c r="BQ52" i="7"/>
  <c r="BP52" i="7"/>
  <c r="BU48" i="7"/>
  <c r="BT48" i="7"/>
  <c r="BS48" i="7"/>
  <c r="BR48" i="7"/>
  <c r="BQ48" i="7"/>
  <c r="BP48" i="7"/>
  <c r="BU45" i="7"/>
  <c r="BT45" i="7"/>
  <c r="BS45" i="7"/>
  <c r="BR45" i="7"/>
  <c r="BQ45" i="7"/>
  <c r="BP45" i="7"/>
  <c r="BU41" i="7"/>
  <c r="BT41" i="7"/>
  <c r="BS41" i="7"/>
  <c r="BR41" i="7"/>
  <c r="BQ41" i="7"/>
  <c r="BP41" i="7"/>
  <c r="BP37" i="7"/>
  <c r="BQ37" i="7"/>
  <c r="BR37" i="7"/>
  <c r="BS37" i="7"/>
  <c r="BT37" i="7"/>
  <c r="BU37" i="7"/>
  <c r="BU36" i="7"/>
  <c r="BT36" i="7"/>
  <c r="BS36" i="7"/>
  <c r="BR36" i="7"/>
  <c r="BQ36" i="7"/>
  <c r="BP36" i="7"/>
  <c r="BU35" i="7"/>
  <c r="BT35" i="7"/>
  <c r="BS35" i="7"/>
  <c r="BR35" i="7"/>
  <c r="BQ35" i="7"/>
  <c r="BP35" i="7"/>
  <c r="BU34" i="7"/>
  <c r="BT34" i="7"/>
  <c r="BS34" i="7"/>
  <c r="BR34" i="7"/>
  <c r="BQ34" i="7"/>
  <c r="BP34" i="7"/>
  <c r="BU33" i="7"/>
  <c r="BT33" i="7"/>
  <c r="BS33" i="7"/>
  <c r="BR33" i="7"/>
  <c r="BQ33" i="7"/>
  <c r="BP33" i="7"/>
  <c r="BU32" i="7"/>
  <c r="BT32" i="7"/>
  <c r="BS32" i="7"/>
  <c r="BR32" i="7"/>
  <c r="BQ32" i="7"/>
  <c r="BP32" i="7"/>
  <c r="BU31" i="7"/>
  <c r="BT31" i="7"/>
  <c r="BS31" i="7"/>
  <c r="BR31" i="7"/>
  <c r="BQ31" i="7"/>
  <c r="BP31" i="7"/>
  <c r="BU30" i="7"/>
  <c r="BT30" i="7"/>
  <c r="BS30" i="7"/>
  <c r="BR30" i="7"/>
  <c r="BQ30" i="7"/>
  <c r="BP30" i="7"/>
  <c r="BU29" i="7"/>
  <c r="BT29" i="7"/>
  <c r="BS29" i="7"/>
  <c r="BR29" i="7"/>
  <c r="BQ29" i="7"/>
  <c r="BP29" i="7"/>
  <c r="BU28" i="7"/>
  <c r="BT28" i="7"/>
  <c r="BS28" i="7"/>
  <c r="BR28" i="7"/>
  <c r="BQ28" i="7"/>
  <c r="BP28" i="7"/>
  <c r="BU27" i="7"/>
  <c r="BT27" i="7"/>
  <c r="BS27" i="7"/>
  <c r="BR27" i="7"/>
  <c r="BQ27" i="7"/>
  <c r="BP27" i="7"/>
  <c r="BP16" i="7"/>
  <c r="BP17" i="7"/>
  <c r="BP18" i="7"/>
  <c r="BP19" i="7"/>
  <c r="BP20" i="7"/>
  <c r="BP21" i="7"/>
  <c r="BP22" i="7"/>
  <c r="BP23" i="7"/>
  <c r="BP24" i="7"/>
  <c r="BQ16" i="7"/>
  <c r="BQ17" i="7"/>
  <c r="BQ18" i="7"/>
  <c r="BQ19" i="7"/>
  <c r="BQ20" i="7"/>
  <c r="BQ21" i="7"/>
  <c r="BQ22" i="7"/>
  <c r="BQ23" i="7"/>
  <c r="BQ24" i="7"/>
  <c r="BR16" i="7"/>
  <c r="BR17" i="7"/>
  <c r="BR18" i="7"/>
  <c r="BR19" i="7"/>
  <c r="BR20" i="7"/>
  <c r="BR21" i="7"/>
  <c r="BR22" i="7"/>
  <c r="BR23" i="7"/>
  <c r="BR24" i="7"/>
  <c r="BS16" i="7"/>
  <c r="BS17" i="7"/>
  <c r="BS18" i="7"/>
  <c r="BS19" i="7"/>
  <c r="BS20" i="7"/>
  <c r="BS21" i="7"/>
  <c r="BS22" i="7"/>
  <c r="BS23" i="7"/>
  <c r="BS24" i="7"/>
  <c r="BT16" i="7"/>
  <c r="BT17" i="7"/>
  <c r="BT18" i="7"/>
  <c r="BT19" i="7"/>
  <c r="BT20" i="7"/>
  <c r="BT21" i="7"/>
  <c r="BT22" i="7"/>
  <c r="BT23" i="7"/>
  <c r="BT24" i="7"/>
  <c r="BU16" i="7"/>
  <c r="BU17" i="7"/>
  <c r="BU18" i="7"/>
  <c r="BU19" i="7"/>
  <c r="BU20" i="7"/>
  <c r="BU21" i="7"/>
  <c r="BU22" i="7"/>
  <c r="BU23" i="7"/>
  <c r="BU24" i="7"/>
  <c r="BU15" i="7"/>
  <c r="BT15" i="7"/>
  <c r="BS15" i="7"/>
  <c r="BR15" i="7"/>
  <c r="BQ15" i="7"/>
  <c r="BP15" i="7"/>
  <c r="BU11" i="7"/>
  <c r="BT11" i="7"/>
  <c r="BS11" i="7"/>
  <c r="BR11" i="7"/>
  <c r="BQ11" i="7"/>
  <c r="BP11" i="7"/>
  <c r="BU8" i="7"/>
  <c r="BT8" i="7"/>
  <c r="BS8" i="7"/>
  <c r="BR8" i="7"/>
  <c r="BQ8" i="7"/>
  <c r="BP8" i="7"/>
  <c r="BL76" i="7"/>
  <c r="BK76" i="7"/>
  <c r="BJ76" i="7"/>
  <c r="BI76" i="7"/>
  <c r="BH76" i="7"/>
  <c r="BG76" i="7"/>
  <c r="BL73" i="7"/>
  <c r="BK73" i="7"/>
  <c r="BJ73" i="7"/>
  <c r="BI73" i="7"/>
  <c r="BH73" i="7"/>
  <c r="BG73" i="7"/>
  <c r="BL70" i="7"/>
  <c r="BK70" i="7"/>
  <c r="BJ70" i="7"/>
  <c r="BI70" i="7"/>
  <c r="BH70" i="7"/>
  <c r="BG70" i="7"/>
  <c r="BG64" i="7"/>
  <c r="BG65" i="7"/>
  <c r="BG66" i="7"/>
  <c r="BG67" i="7"/>
  <c r="BH64" i="7"/>
  <c r="BH65" i="7"/>
  <c r="BH66" i="7"/>
  <c r="BH67" i="7"/>
  <c r="BI64" i="7"/>
  <c r="BI65" i="7"/>
  <c r="BI66" i="7"/>
  <c r="BI67" i="7"/>
  <c r="BJ64" i="7"/>
  <c r="BJ65" i="7"/>
  <c r="BJ66" i="7"/>
  <c r="BJ67" i="7"/>
  <c r="BK64" i="7"/>
  <c r="BK65" i="7"/>
  <c r="BK66" i="7"/>
  <c r="BK67" i="7"/>
  <c r="BL64" i="7"/>
  <c r="BL65" i="7"/>
  <c r="BL66" i="7"/>
  <c r="BL67" i="7"/>
  <c r="BL63" i="7"/>
  <c r="BK63" i="7"/>
  <c r="BJ63" i="7"/>
  <c r="BI63" i="7"/>
  <c r="BH63" i="7"/>
  <c r="BG63" i="7"/>
  <c r="BL60" i="7"/>
  <c r="BK60" i="7"/>
  <c r="BJ60" i="7"/>
  <c r="BI60" i="7"/>
  <c r="BH60" i="7"/>
  <c r="BG60" i="7"/>
  <c r="BL57" i="7"/>
  <c r="BK57" i="7"/>
  <c r="BJ57" i="7"/>
  <c r="BI57" i="7"/>
  <c r="BH57" i="7"/>
  <c r="BG57" i="7"/>
  <c r="BL53" i="7"/>
  <c r="BK53" i="7"/>
  <c r="BJ53" i="7"/>
  <c r="BI53" i="7"/>
  <c r="BH53" i="7"/>
  <c r="BG53" i="7"/>
  <c r="BL50" i="7"/>
  <c r="BK50" i="7"/>
  <c r="BJ50" i="7"/>
  <c r="BI50" i="7"/>
  <c r="BH50" i="7"/>
  <c r="BG50" i="7"/>
  <c r="BL47" i="7"/>
  <c r="BK47" i="7"/>
  <c r="BJ47" i="7"/>
  <c r="BI47" i="7"/>
  <c r="BH47" i="7"/>
  <c r="BG47" i="7"/>
  <c r="BL44" i="7"/>
  <c r="BK44" i="7"/>
  <c r="BJ44" i="7"/>
  <c r="BI44" i="7"/>
  <c r="BH44" i="7"/>
  <c r="BG44" i="7"/>
  <c r="BL41" i="7"/>
  <c r="BK41" i="7"/>
  <c r="BJ41" i="7"/>
  <c r="BI41" i="7"/>
  <c r="BH41" i="7"/>
  <c r="BG41" i="7"/>
  <c r="BL40" i="7"/>
  <c r="BK40" i="7"/>
  <c r="BJ40" i="7"/>
  <c r="BI40" i="7"/>
  <c r="BH40" i="7"/>
  <c r="BG40" i="7"/>
  <c r="BL37" i="7"/>
  <c r="BK37" i="7"/>
  <c r="BJ37" i="7"/>
  <c r="BI37" i="7"/>
  <c r="BH37" i="7"/>
  <c r="BG37" i="7"/>
  <c r="BL36" i="7"/>
  <c r="BK36" i="7"/>
  <c r="BJ36" i="7"/>
  <c r="BI36" i="7"/>
  <c r="BH36" i="7"/>
  <c r="BG36" i="7"/>
  <c r="BG32" i="7"/>
  <c r="BG33" i="7"/>
  <c r="BH32" i="7"/>
  <c r="BH33" i="7"/>
  <c r="BI32" i="7"/>
  <c r="BI33" i="7"/>
  <c r="BJ32" i="7"/>
  <c r="BJ33" i="7"/>
  <c r="BK32" i="7"/>
  <c r="BK33" i="7"/>
  <c r="BL32" i="7"/>
  <c r="BL33" i="7"/>
  <c r="BL31" i="7"/>
  <c r="BK31" i="7"/>
  <c r="BJ31" i="7"/>
  <c r="BI31" i="7"/>
  <c r="BH31" i="7"/>
  <c r="BG31" i="7"/>
  <c r="BL28" i="7"/>
  <c r="BK28" i="7"/>
  <c r="BJ28" i="7"/>
  <c r="BI28" i="7"/>
  <c r="BH28" i="7"/>
  <c r="BG28" i="7"/>
  <c r="BL25" i="7"/>
  <c r="BK25" i="7"/>
  <c r="BJ25" i="7"/>
  <c r="BI25" i="7"/>
  <c r="BH25" i="7"/>
  <c r="BG25" i="7"/>
  <c r="BL21" i="7"/>
  <c r="BK21" i="7"/>
  <c r="BJ21" i="7"/>
  <c r="BI21" i="7"/>
  <c r="BH21" i="7"/>
  <c r="BG21" i="7"/>
  <c r="BL18" i="7"/>
  <c r="BK18" i="7"/>
  <c r="BJ18" i="7"/>
  <c r="BI18" i="7"/>
  <c r="BH18" i="7"/>
  <c r="BG18" i="7"/>
  <c r="BL14" i="7"/>
  <c r="BK14" i="7"/>
  <c r="BJ14" i="7"/>
  <c r="BI14" i="7"/>
  <c r="BH14" i="7"/>
  <c r="BG14" i="7"/>
  <c r="BL11" i="7"/>
  <c r="BK11" i="7"/>
  <c r="BJ11" i="7"/>
  <c r="BI11" i="7"/>
  <c r="BH11" i="7"/>
  <c r="BG11" i="7"/>
  <c r="BL8" i="7"/>
  <c r="BK8" i="7"/>
  <c r="BJ8" i="7"/>
  <c r="BI8" i="7"/>
  <c r="BH8" i="7"/>
  <c r="BG8" i="7"/>
  <c r="BC21" i="7"/>
  <c r="BB21" i="7"/>
  <c r="BA21" i="7"/>
  <c r="AZ21" i="7"/>
  <c r="AY21" i="7"/>
  <c r="AX21" i="7"/>
  <c r="AX18" i="7"/>
  <c r="AY18" i="7"/>
  <c r="AZ18" i="7"/>
  <c r="BA18" i="7"/>
  <c r="BB18" i="7"/>
  <c r="BC18" i="7"/>
  <c r="AX15" i="7"/>
  <c r="AX16" i="7"/>
  <c r="AX17" i="7"/>
  <c r="AY15" i="7"/>
  <c r="AY16" i="7"/>
  <c r="AY17" i="7"/>
  <c r="AZ15" i="7"/>
  <c r="AZ16" i="7"/>
  <c r="AZ17" i="7"/>
  <c r="BA15" i="7"/>
  <c r="BA16" i="7"/>
  <c r="BA17" i="7"/>
  <c r="BB15" i="7"/>
  <c r="BB16" i="7"/>
  <c r="BB17" i="7"/>
  <c r="BC15" i="7"/>
  <c r="BC16" i="7"/>
  <c r="BC17" i="7"/>
  <c r="AX14" i="7"/>
  <c r="AY14" i="7"/>
  <c r="AZ14" i="7"/>
  <c r="BA14" i="7"/>
  <c r="BB14" i="7"/>
  <c r="BC14" i="7"/>
  <c r="BC13" i="7"/>
  <c r="BB13" i="7"/>
  <c r="BA13" i="7"/>
  <c r="AZ13" i="7"/>
  <c r="AY13" i="7"/>
  <c r="AX13" i="7"/>
  <c r="BC10" i="7"/>
  <c r="BB10" i="7"/>
  <c r="BA10" i="7"/>
  <c r="AZ10" i="7"/>
  <c r="AY10" i="7"/>
  <c r="AX10" i="7"/>
  <c r="AT49" i="7"/>
  <c r="AS49" i="7"/>
  <c r="AR49" i="7"/>
  <c r="AQ49" i="7"/>
  <c r="AP49" i="7"/>
  <c r="AO49" i="7"/>
  <c r="AT46" i="7"/>
  <c r="AS46" i="7"/>
  <c r="AR46" i="7"/>
  <c r="AQ46" i="7"/>
  <c r="AP46" i="7"/>
  <c r="AO46" i="7"/>
  <c r="AT43" i="7"/>
  <c r="AS43" i="7"/>
  <c r="AR43" i="7"/>
  <c r="AQ43" i="7"/>
  <c r="AP43" i="7"/>
  <c r="AO43" i="7"/>
  <c r="AT40" i="7"/>
  <c r="AS40" i="7"/>
  <c r="AR40" i="7"/>
  <c r="AQ40" i="7"/>
  <c r="AP40" i="7"/>
  <c r="AO40" i="7"/>
  <c r="AT36" i="7"/>
  <c r="AS36" i="7"/>
  <c r="AR36" i="7"/>
  <c r="AQ36" i="7"/>
  <c r="AP36" i="7"/>
  <c r="AO36" i="7"/>
  <c r="AT33" i="7"/>
  <c r="AS33" i="7"/>
  <c r="AR33" i="7"/>
  <c r="AQ33" i="7"/>
  <c r="AP33" i="7"/>
  <c r="AO33" i="7"/>
  <c r="AT30" i="7"/>
  <c r="AS30" i="7"/>
  <c r="AR30" i="7"/>
  <c r="AQ30" i="7"/>
  <c r="AP30" i="7"/>
  <c r="AO30" i="7"/>
  <c r="AT29" i="7"/>
  <c r="AS29" i="7"/>
  <c r="AR29" i="7"/>
  <c r="AQ29" i="7"/>
  <c r="AP29" i="7"/>
  <c r="AO29" i="7"/>
  <c r="AT25" i="7"/>
  <c r="AS25" i="7"/>
  <c r="AR25" i="7"/>
  <c r="AQ25" i="7"/>
  <c r="AP25" i="7"/>
  <c r="AO25" i="7"/>
  <c r="AO22" i="7"/>
  <c r="AP22" i="7"/>
  <c r="AQ22" i="7"/>
  <c r="AR22" i="7"/>
  <c r="AS22" i="7"/>
  <c r="AT22" i="7"/>
  <c r="AT21" i="7"/>
  <c r="AS21" i="7"/>
  <c r="AR21" i="7"/>
  <c r="AQ21" i="7"/>
  <c r="AP21" i="7"/>
  <c r="AO21" i="7"/>
  <c r="AO17" i="7"/>
  <c r="AP17" i="7"/>
  <c r="AQ17" i="7"/>
  <c r="AR17" i="7"/>
  <c r="AS17" i="7"/>
  <c r="AT17" i="7"/>
  <c r="AO16" i="7"/>
  <c r="AP16" i="7"/>
  <c r="AQ16" i="7"/>
  <c r="AR16" i="7"/>
  <c r="AS16" i="7"/>
  <c r="AT16" i="7"/>
  <c r="AT15" i="7"/>
  <c r="AS15" i="7"/>
  <c r="AR15" i="7"/>
  <c r="AQ15" i="7"/>
  <c r="AP15" i="7"/>
  <c r="AO15" i="7"/>
  <c r="AT12" i="7"/>
  <c r="AS12" i="7"/>
  <c r="AR12" i="7"/>
  <c r="AQ12" i="7"/>
  <c r="AP12" i="7"/>
  <c r="AO12" i="7"/>
  <c r="AT9" i="7"/>
  <c r="AS9" i="7"/>
  <c r="AR9" i="7"/>
  <c r="AQ9" i="7"/>
  <c r="AP9" i="7"/>
  <c r="AO9" i="7"/>
  <c r="B33" i="2"/>
  <c r="C33" i="2"/>
  <c r="D33" i="2"/>
  <c r="E33" i="2"/>
  <c r="F33" i="2"/>
  <c r="G33" i="2"/>
  <c r="AK117" i="7"/>
  <c r="AJ117" i="7"/>
  <c r="AI117" i="7"/>
  <c r="AH117" i="7"/>
  <c r="AG117" i="7"/>
  <c r="AF117" i="7"/>
  <c r="AF114" i="7"/>
  <c r="AG114" i="7"/>
  <c r="AH114" i="7"/>
  <c r="AI114" i="7"/>
  <c r="AJ114" i="7"/>
  <c r="AK114" i="7"/>
  <c r="AF113" i="7"/>
  <c r="AG113" i="7"/>
  <c r="AH113" i="7"/>
  <c r="AI113" i="7"/>
  <c r="AJ113" i="7"/>
  <c r="AK113" i="7"/>
  <c r="AF112" i="7"/>
  <c r="AG112" i="7"/>
  <c r="AH112" i="7"/>
  <c r="AI112" i="7"/>
  <c r="AJ112" i="7"/>
  <c r="AK112" i="7"/>
  <c r="AK111" i="7"/>
  <c r="AJ111" i="7"/>
  <c r="AI111" i="7"/>
  <c r="AH111" i="7"/>
  <c r="AG111" i="7"/>
  <c r="AF111" i="7"/>
  <c r="AK108" i="7"/>
  <c r="AJ108" i="7"/>
  <c r="AI108" i="7"/>
  <c r="AH108" i="7"/>
  <c r="AG108" i="7"/>
  <c r="AF108" i="7"/>
  <c r="AK107" i="7"/>
  <c r="AJ107" i="7"/>
  <c r="AI107" i="7"/>
  <c r="AH107" i="7"/>
  <c r="AG107" i="7"/>
  <c r="AF107" i="7"/>
  <c r="AF104" i="7"/>
  <c r="AG104" i="7"/>
  <c r="AH104" i="7"/>
  <c r="AI104" i="7"/>
  <c r="AJ104" i="7"/>
  <c r="AK104" i="7"/>
  <c r="AK103" i="7"/>
  <c r="AJ103" i="7"/>
  <c r="AI103" i="7"/>
  <c r="AH103" i="7"/>
  <c r="AG103" i="7"/>
  <c r="AF103" i="7"/>
  <c r="AK99" i="7"/>
  <c r="AJ99" i="7"/>
  <c r="AI99" i="7"/>
  <c r="AH99" i="7"/>
  <c r="AG99" i="7"/>
  <c r="AF99" i="7"/>
  <c r="AK96" i="7"/>
  <c r="AJ96" i="7"/>
  <c r="AI96" i="7"/>
  <c r="AH96" i="7"/>
  <c r="AG96" i="7"/>
  <c r="AF96" i="7"/>
  <c r="AK93" i="7"/>
  <c r="AJ93" i="7"/>
  <c r="AI93" i="7"/>
  <c r="AH93" i="7"/>
  <c r="AG93" i="7"/>
  <c r="AF93" i="7"/>
  <c r="AK90" i="7"/>
  <c r="AJ90" i="7"/>
  <c r="AI90" i="7"/>
  <c r="AH90" i="7"/>
  <c r="AG90" i="7"/>
  <c r="AF90" i="7"/>
  <c r="AF86" i="7"/>
  <c r="AG86" i="7"/>
  <c r="AH86" i="7"/>
  <c r="AI86" i="7"/>
  <c r="AJ86" i="7"/>
  <c r="AK86" i="7"/>
  <c r="AF85" i="7"/>
  <c r="AG85" i="7"/>
  <c r="AH85" i="7"/>
  <c r="AI85" i="7"/>
  <c r="AJ85" i="7"/>
  <c r="AK85" i="7"/>
  <c r="AK84" i="7"/>
  <c r="AJ84" i="7"/>
  <c r="AI84" i="7"/>
  <c r="AH84" i="7"/>
  <c r="AG84" i="7"/>
  <c r="AF84" i="7"/>
  <c r="AK83" i="7"/>
  <c r="AJ83" i="7"/>
  <c r="AI83" i="7"/>
  <c r="AH83" i="7"/>
  <c r="AG83" i="7"/>
  <c r="AF83" i="7"/>
  <c r="AK80" i="7"/>
  <c r="AJ80" i="7"/>
  <c r="AI80" i="7"/>
  <c r="AH80" i="7"/>
  <c r="AG80" i="7"/>
  <c r="AF80" i="7"/>
  <c r="AK79" i="7"/>
  <c r="AJ79" i="7"/>
  <c r="AI79" i="7"/>
  <c r="AH79" i="7"/>
  <c r="AG79" i="7"/>
  <c r="AF79" i="7"/>
  <c r="AK76" i="7"/>
  <c r="AJ76" i="7"/>
  <c r="AI76" i="7"/>
  <c r="AH76" i="7"/>
  <c r="AG76" i="7"/>
  <c r="AF76" i="7"/>
  <c r="AK75" i="7"/>
  <c r="AJ75" i="7"/>
  <c r="AI75" i="7"/>
  <c r="AH75" i="7"/>
  <c r="AG75" i="7"/>
  <c r="AF75" i="7"/>
  <c r="AK72" i="7"/>
  <c r="AJ72" i="7"/>
  <c r="AI72" i="7"/>
  <c r="AH72" i="7"/>
  <c r="AG72" i="7"/>
  <c r="AF72" i="7"/>
  <c r="AK71" i="7"/>
  <c r="AJ71" i="7"/>
  <c r="AI71" i="7"/>
  <c r="AH71" i="7"/>
  <c r="AG71" i="7"/>
  <c r="AF71" i="7"/>
  <c r="AF68" i="7"/>
  <c r="AG68" i="7"/>
  <c r="AH68" i="7"/>
  <c r="AI68" i="7"/>
  <c r="AJ68" i="7"/>
  <c r="AK68" i="7"/>
  <c r="AK67" i="7"/>
  <c r="AJ67" i="7"/>
  <c r="AI67" i="7"/>
  <c r="AH67" i="7"/>
  <c r="AG67" i="7"/>
  <c r="AF67" i="7"/>
  <c r="AK64" i="7"/>
  <c r="AJ64" i="7"/>
  <c r="AI64" i="7"/>
  <c r="AH64" i="7"/>
  <c r="AG64" i="7"/>
  <c r="AF64" i="7"/>
  <c r="AK61" i="7"/>
  <c r="AJ61" i="7"/>
  <c r="AI61" i="7"/>
  <c r="AH61" i="7"/>
  <c r="AG61" i="7"/>
  <c r="AF61" i="7"/>
  <c r="AK57" i="7"/>
  <c r="AJ57" i="7"/>
  <c r="AI57" i="7"/>
  <c r="AH57" i="7"/>
  <c r="AG57" i="7"/>
  <c r="AF57" i="7"/>
  <c r="AK54" i="7"/>
  <c r="AJ54" i="7"/>
  <c r="AI54" i="7"/>
  <c r="AH54" i="7"/>
  <c r="AG54" i="7"/>
  <c r="AF54" i="7"/>
  <c r="AK51" i="7"/>
  <c r="AJ51" i="7"/>
  <c r="AI51" i="7"/>
  <c r="AH51" i="7"/>
  <c r="AG51" i="7"/>
  <c r="AF51" i="7"/>
  <c r="AF48" i="7"/>
  <c r="AG48" i="7"/>
  <c r="AH48" i="7"/>
  <c r="AI48" i="7"/>
  <c r="AJ48" i="7"/>
  <c r="AK48" i="7"/>
  <c r="AF47" i="7"/>
  <c r="AG47" i="7"/>
  <c r="AH47" i="7"/>
  <c r="AI47" i="7"/>
  <c r="AJ47" i="7"/>
  <c r="AK47" i="7"/>
  <c r="AF46" i="7"/>
  <c r="AG46" i="7"/>
  <c r="AH46" i="7"/>
  <c r="AI46" i="7"/>
  <c r="AJ46" i="7"/>
  <c r="AK46" i="7"/>
  <c r="AF45" i="7"/>
  <c r="AG45" i="7"/>
  <c r="AH45" i="7"/>
  <c r="AI45" i="7"/>
  <c r="AJ45" i="7"/>
  <c r="AK45" i="7"/>
  <c r="AK44" i="7"/>
  <c r="AJ44" i="7"/>
  <c r="AI44" i="7"/>
  <c r="AH44" i="7"/>
  <c r="AG44" i="7"/>
  <c r="AF44" i="7"/>
  <c r="AK43" i="7"/>
  <c r="AJ43" i="7"/>
  <c r="AI43" i="7"/>
  <c r="AH43" i="7"/>
  <c r="AG43" i="7"/>
  <c r="AF43" i="7"/>
  <c r="AF40" i="7"/>
  <c r="AG40" i="7"/>
  <c r="AH40" i="7"/>
  <c r="AI40" i="7"/>
  <c r="AJ40" i="7"/>
  <c r="AK40" i="7"/>
  <c r="AK39" i="7"/>
  <c r="AJ39" i="7"/>
  <c r="AI39" i="7"/>
  <c r="AH39" i="7"/>
  <c r="AG39" i="7"/>
  <c r="AF39" i="7"/>
  <c r="AF35" i="7"/>
  <c r="AG35" i="7"/>
  <c r="AH35" i="7"/>
  <c r="AI35" i="7"/>
  <c r="AJ35" i="7"/>
  <c r="AK35" i="7"/>
  <c r="AF34" i="7"/>
  <c r="AG34" i="7"/>
  <c r="AH34" i="7"/>
  <c r="AI34" i="7"/>
  <c r="AJ34" i="7"/>
  <c r="AK34" i="7"/>
  <c r="AK33" i="7"/>
  <c r="AJ33" i="7"/>
  <c r="AI33" i="7"/>
  <c r="AH33" i="7"/>
  <c r="AG33" i="7"/>
  <c r="AF33" i="7"/>
  <c r="AK30" i="7"/>
  <c r="AJ30" i="7"/>
  <c r="AI30" i="7"/>
  <c r="AH30" i="7"/>
  <c r="AG30" i="7"/>
  <c r="AF30" i="7"/>
  <c r="AK26" i="7"/>
  <c r="AJ26" i="7"/>
  <c r="AI26" i="7"/>
  <c r="AH26" i="7"/>
  <c r="AG26" i="7"/>
  <c r="AF26" i="7"/>
  <c r="AK23" i="7"/>
  <c r="AJ23" i="7"/>
  <c r="AI23" i="7"/>
  <c r="AH23" i="7"/>
  <c r="AG23" i="7"/>
  <c r="AF23" i="7"/>
  <c r="AK20" i="7"/>
  <c r="AJ20" i="7"/>
  <c r="AI20" i="7"/>
  <c r="AH20" i="7"/>
  <c r="AG20" i="7"/>
  <c r="AF20" i="7"/>
  <c r="AK17" i="7"/>
  <c r="AJ17" i="7"/>
  <c r="AI17" i="7"/>
  <c r="AH17" i="7"/>
  <c r="AG17" i="7"/>
  <c r="AF17" i="7"/>
  <c r="AK13" i="7"/>
  <c r="AJ13" i="7"/>
  <c r="AI13" i="7"/>
  <c r="AH13" i="7"/>
  <c r="AG13" i="7"/>
  <c r="AF13" i="7"/>
  <c r="AF9" i="7"/>
  <c r="AG9" i="7"/>
  <c r="AH9" i="7"/>
  <c r="AI9" i="7"/>
  <c r="AJ9" i="7"/>
  <c r="AK9" i="7"/>
  <c r="AK8" i="7"/>
  <c r="AJ8" i="7"/>
  <c r="AI8" i="7"/>
  <c r="AH8" i="7"/>
  <c r="AG8" i="7"/>
  <c r="AF8" i="7"/>
  <c r="AB113" i="7"/>
  <c r="AA113" i="7"/>
  <c r="Z113" i="7"/>
  <c r="Y113" i="7"/>
  <c r="X113" i="7"/>
  <c r="W113" i="7"/>
  <c r="AB110" i="7"/>
  <c r="AA110" i="7"/>
  <c r="Z110" i="7"/>
  <c r="Y110" i="7"/>
  <c r="X110" i="7"/>
  <c r="W110" i="7"/>
  <c r="AB106" i="7"/>
  <c r="AA106" i="7"/>
  <c r="Z106" i="7"/>
  <c r="Y106" i="7"/>
  <c r="X106" i="7"/>
  <c r="W106" i="7"/>
  <c r="W103" i="7"/>
  <c r="X103" i="7"/>
  <c r="Y103" i="7"/>
  <c r="Z103" i="7"/>
  <c r="AA103" i="7"/>
  <c r="AB103" i="7"/>
  <c r="AB102" i="7"/>
  <c r="AA102" i="7"/>
  <c r="Z102" i="7"/>
  <c r="Y102" i="7"/>
  <c r="X102" i="7"/>
  <c r="W102" i="7"/>
  <c r="AB98" i="7"/>
  <c r="AA98" i="7"/>
  <c r="Z98" i="7"/>
  <c r="Y98" i="7"/>
  <c r="X98" i="7"/>
  <c r="W98" i="7"/>
  <c r="AB95" i="7"/>
  <c r="AA95" i="7"/>
  <c r="Z95" i="7"/>
  <c r="Y95" i="7"/>
  <c r="X95" i="7"/>
  <c r="W95" i="7"/>
  <c r="AB92" i="7"/>
  <c r="AA92" i="7"/>
  <c r="Z92" i="7"/>
  <c r="Y92" i="7"/>
  <c r="X92" i="7"/>
  <c r="W92" i="7"/>
  <c r="AB91" i="7"/>
  <c r="AA91" i="7"/>
  <c r="Z91" i="7"/>
  <c r="Y91" i="7"/>
  <c r="X91" i="7"/>
  <c r="W91" i="7"/>
  <c r="AB90" i="7"/>
  <c r="AA90" i="7"/>
  <c r="Z90" i="7"/>
  <c r="Y90" i="7"/>
  <c r="X90" i="7"/>
  <c r="W90" i="7"/>
  <c r="AB89" i="7"/>
  <c r="AA89" i="7"/>
  <c r="Z89" i="7"/>
  <c r="Y89" i="7"/>
  <c r="X89" i="7"/>
  <c r="W89" i="7"/>
  <c r="AB88" i="7"/>
  <c r="AA88" i="7"/>
  <c r="Z88" i="7"/>
  <c r="Y88" i="7"/>
  <c r="X88" i="7"/>
  <c r="W88" i="7"/>
  <c r="AB87" i="7"/>
  <c r="AA87" i="7"/>
  <c r="Z87" i="7"/>
  <c r="Y87" i="7"/>
  <c r="X87" i="7"/>
  <c r="W87" i="7"/>
  <c r="AB86" i="7"/>
  <c r="AA86" i="7"/>
  <c r="Z86" i="7"/>
  <c r="Y86" i="7"/>
  <c r="X86" i="7"/>
  <c r="W86" i="7"/>
  <c r="AB85" i="7"/>
  <c r="AA85" i="7"/>
  <c r="Z85" i="7"/>
  <c r="Y85" i="7"/>
  <c r="X85" i="7"/>
  <c r="W85" i="7"/>
  <c r="AB81" i="7"/>
  <c r="AA81" i="7"/>
  <c r="Z81" i="7"/>
  <c r="Y81" i="7"/>
  <c r="X81" i="7"/>
  <c r="W81" i="7"/>
  <c r="AB78" i="7"/>
  <c r="AA78" i="7"/>
  <c r="Z78" i="7"/>
  <c r="Y78" i="7"/>
  <c r="X78" i="7"/>
  <c r="W78" i="7"/>
  <c r="AB75" i="7"/>
  <c r="AA75" i="7"/>
  <c r="Z75" i="7"/>
  <c r="Y75" i="7"/>
  <c r="X75" i="7"/>
  <c r="W75" i="7"/>
  <c r="AB72" i="7"/>
  <c r="AA72" i="7"/>
  <c r="Z72" i="7"/>
  <c r="Y72" i="7"/>
  <c r="X72" i="7"/>
  <c r="W72" i="7"/>
  <c r="AB69" i="7"/>
  <c r="AA69" i="7"/>
  <c r="Z69" i="7"/>
  <c r="Y69" i="7"/>
  <c r="X69" i="7"/>
  <c r="W69" i="7"/>
  <c r="W66" i="7"/>
  <c r="X66" i="7"/>
  <c r="Y66" i="7"/>
  <c r="Z66" i="7"/>
  <c r="AA66" i="7"/>
  <c r="AB66" i="7"/>
  <c r="W65" i="7"/>
  <c r="X65" i="7"/>
  <c r="Y65" i="7"/>
  <c r="Z65" i="7"/>
  <c r="AA65" i="7"/>
  <c r="AB65" i="7"/>
  <c r="AB64" i="7"/>
  <c r="AA64" i="7"/>
  <c r="Z64" i="7"/>
  <c r="Y64" i="7"/>
  <c r="X64" i="7"/>
  <c r="W64" i="7"/>
  <c r="AB63" i="7"/>
  <c r="AA63" i="7"/>
  <c r="Z63" i="7"/>
  <c r="Y63" i="7"/>
  <c r="X63" i="7"/>
  <c r="W63" i="7"/>
  <c r="AB62" i="7"/>
  <c r="AA62" i="7"/>
  <c r="Z62" i="7"/>
  <c r="Y62" i="7"/>
  <c r="X62" i="7"/>
  <c r="W62" i="7"/>
  <c r="AB61" i="7"/>
  <c r="AA61" i="7"/>
  <c r="Z61" i="7"/>
  <c r="Y61" i="7"/>
  <c r="X61" i="7"/>
  <c r="W61" i="7"/>
  <c r="AB60" i="7"/>
  <c r="AA60" i="7"/>
  <c r="Z60" i="7"/>
  <c r="Y60" i="7"/>
  <c r="X60" i="7"/>
  <c r="W60" i="7"/>
  <c r="AB59" i="7"/>
  <c r="AA59" i="7"/>
  <c r="Z59" i="7"/>
  <c r="Y59" i="7"/>
  <c r="X59" i="7"/>
  <c r="W59" i="7"/>
  <c r="AB55" i="7"/>
  <c r="AA55" i="7"/>
  <c r="Z55" i="7"/>
  <c r="Y55" i="7"/>
  <c r="X55" i="7"/>
  <c r="W55" i="7"/>
  <c r="W52" i="7"/>
  <c r="X52" i="7"/>
  <c r="Y52" i="7"/>
  <c r="Z52" i="7"/>
  <c r="AA52" i="7"/>
  <c r="AB52" i="7"/>
  <c r="W51" i="7"/>
  <c r="X51" i="7"/>
  <c r="Y51" i="7"/>
  <c r="Z51" i="7"/>
  <c r="AA51" i="7"/>
  <c r="AB51" i="7"/>
  <c r="W50" i="7"/>
  <c r="X50" i="7"/>
  <c r="Y50" i="7"/>
  <c r="Z50" i="7"/>
  <c r="AA50" i="7"/>
  <c r="AB50" i="7"/>
  <c r="W49" i="7"/>
  <c r="X49" i="7"/>
  <c r="Y49" i="7"/>
  <c r="Z49" i="7"/>
  <c r="AA49" i="7"/>
  <c r="AB49" i="7"/>
  <c r="W48" i="7"/>
  <c r="X48" i="7"/>
  <c r="Y48" i="7"/>
  <c r="Z48" i="7"/>
  <c r="AA48" i="7"/>
  <c r="AB48" i="7"/>
  <c r="AB47" i="7"/>
  <c r="AA47" i="7"/>
  <c r="Z47" i="7"/>
  <c r="Y47" i="7"/>
  <c r="X47" i="7"/>
  <c r="W47" i="7"/>
  <c r="W43" i="7"/>
  <c r="X43" i="7"/>
  <c r="Y43" i="7"/>
  <c r="Z43" i="7"/>
  <c r="AA43" i="7"/>
  <c r="AB43" i="7"/>
  <c r="W42" i="7"/>
  <c r="X42" i="7"/>
  <c r="Y42" i="7"/>
  <c r="Z42" i="7"/>
  <c r="AA42" i="7"/>
  <c r="AB42" i="7"/>
  <c r="W41" i="7"/>
  <c r="X41" i="7"/>
  <c r="Y41" i="7"/>
  <c r="Z41" i="7"/>
  <c r="AA41" i="7"/>
  <c r="AB41" i="7"/>
  <c r="W40" i="7"/>
  <c r="X40" i="7"/>
  <c r="Y40" i="7"/>
  <c r="Z40" i="7"/>
  <c r="AA40" i="7"/>
  <c r="AB40" i="7"/>
  <c r="AB39" i="7"/>
  <c r="AA39" i="7"/>
  <c r="Z39" i="7"/>
  <c r="Y39" i="7"/>
  <c r="X39" i="7"/>
  <c r="W39" i="7"/>
  <c r="AB36" i="7"/>
  <c r="AA36" i="7"/>
  <c r="Z36" i="7"/>
  <c r="Y36" i="7"/>
  <c r="X36" i="7"/>
  <c r="W36" i="7"/>
  <c r="AB32" i="7"/>
  <c r="AA32" i="7"/>
  <c r="Z32" i="7"/>
  <c r="Y32" i="7"/>
  <c r="X32" i="7"/>
  <c r="W32" i="7"/>
  <c r="W29" i="7"/>
  <c r="X29" i="7"/>
  <c r="Y29" i="7"/>
  <c r="Z29" i="7"/>
  <c r="AA29" i="7"/>
  <c r="AB29" i="7"/>
  <c r="W28" i="7"/>
  <c r="X28" i="7"/>
  <c r="Y28" i="7"/>
  <c r="Z28" i="7"/>
  <c r="AA28" i="7"/>
  <c r="AB28" i="7"/>
  <c r="AB27" i="7"/>
  <c r="AA27" i="7"/>
  <c r="Z27" i="7"/>
  <c r="Y27" i="7"/>
  <c r="X27" i="7"/>
  <c r="W27" i="7"/>
  <c r="AB26" i="7"/>
  <c r="AA26" i="7"/>
  <c r="Z26" i="7"/>
  <c r="Y26" i="7"/>
  <c r="X26" i="7"/>
  <c r="W26" i="7"/>
  <c r="AB25" i="7"/>
  <c r="AA25" i="7"/>
  <c r="Z25" i="7"/>
  <c r="Y25" i="7"/>
  <c r="X25" i="7"/>
  <c r="W25" i="7"/>
  <c r="W22" i="7"/>
  <c r="X22" i="7"/>
  <c r="Y22" i="7"/>
  <c r="Z22" i="7"/>
  <c r="AA22" i="7"/>
  <c r="AB22" i="7"/>
  <c r="W21" i="7"/>
  <c r="X21" i="7"/>
  <c r="Y21" i="7"/>
  <c r="Z21" i="7"/>
  <c r="AA21" i="7"/>
  <c r="AB21" i="7"/>
  <c r="AB20" i="7"/>
  <c r="AA20" i="7"/>
  <c r="Z20" i="7"/>
  <c r="Y20" i="7"/>
  <c r="X20" i="7"/>
  <c r="W20" i="7"/>
  <c r="AB17" i="7"/>
  <c r="AA17" i="7"/>
  <c r="Z17" i="7"/>
  <c r="Y17" i="7"/>
  <c r="X17" i="7"/>
  <c r="W17" i="7"/>
  <c r="W13" i="7"/>
  <c r="X13" i="7"/>
  <c r="Y13" i="7"/>
  <c r="Z13" i="7"/>
  <c r="AA13" i="7"/>
  <c r="AB13" i="7"/>
  <c r="W12" i="7"/>
  <c r="X12" i="7"/>
  <c r="Y12" i="7"/>
  <c r="Z12" i="7"/>
  <c r="AA12" i="7"/>
  <c r="AB12" i="7"/>
  <c r="AB11" i="7"/>
  <c r="AA11" i="7"/>
  <c r="Z11" i="7"/>
  <c r="Y11" i="7"/>
  <c r="X11" i="7"/>
  <c r="W11" i="7"/>
  <c r="AB8" i="7"/>
  <c r="AA8" i="7"/>
  <c r="Z8" i="7"/>
  <c r="Y8" i="7"/>
  <c r="X8" i="7"/>
  <c r="W8" i="7"/>
  <c r="S36" i="7"/>
  <c r="R36" i="7"/>
  <c r="Q36" i="7"/>
  <c r="P36" i="7"/>
  <c r="O36" i="7"/>
  <c r="N36" i="7"/>
  <c r="N33" i="7"/>
  <c r="O33" i="7"/>
  <c r="P33" i="7"/>
  <c r="Q33" i="7"/>
  <c r="R33" i="7"/>
  <c r="S33" i="7"/>
  <c r="S32" i="7"/>
  <c r="R32" i="7"/>
  <c r="Q32" i="7"/>
  <c r="P32" i="7"/>
  <c r="O32" i="7"/>
  <c r="N32" i="7"/>
  <c r="S31" i="7"/>
  <c r="R31" i="7"/>
  <c r="Q31" i="7"/>
  <c r="P31" i="7"/>
  <c r="O31" i="7"/>
  <c r="N31" i="7"/>
  <c r="S30" i="7"/>
  <c r="R30" i="7"/>
  <c r="Q30" i="7"/>
  <c r="P30" i="7"/>
  <c r="O30" i="7"/>
  <c r="N30" i="7"/>
  <c r="N27" i="7"/>
  <c r="O27" i="7"/>
  <c r="P27" i="7"/>
  <c r="Q27" i="7"/>
  <c r="R27" i="7"/>
  <c r="S27" i="7"/>
  <c r="N26" i="7"/>
  <c r="O26" i="7"/>
  <c r="P26" i="7"/>
  <c r="Q26" i="7"/>
  <c r="R26" i="7"/>
  <c r="S26" i="7"/>
  <c r="S25" i="7"/>
  <c r="R25" i="7"/>
  <c r="Q25" i="7"/>
  <c r="P25" i="7"/>
  <c r="O25" i="7"/>
  <c r="N25" i="7"/>
  <c r="S22" i="7"/>
  <c r="R22" i="7"/>
  <c r="Q22" i="7"/>
  <c r="P22" i="7"/>
  <c r="O22" i="7"/>
  <c r="N22" i="7"/>
  <c r="S19" i="7"/>
  <c r="R19" i="7"/>
  <c r="Q19" i="7"/>
  <c r="P19" i="7"/>
  <c r="O19" i="7"/>
  <c r="N19" i="7"/>
  <c r="S16" i="7"/>
  <c r="R16" i="7"/>
  <c r="Q16" i="7"/>
  <c r="P16" i="7"/>
  <c r="O16" i="7"/>
  <c r="N16" i="7"/>
  <c r="S13" i="7"/>
  <c r="R13" i="7"/>
  <c r="Q13" i="7"/>
  <c r="P13" i="7"/>
  <c r="O13" i="7"/>
  <c r="N13" i="7"/>
  <c r="EF5" i="7"/>
  <c r="EE5" i="7"/>
  <c r="ED5" i="7"/>
  <c r="EC5" i="7"/>
  <c r="EB5" i="7"/>
  <c r="EA5" i="7"/>
  <c r="DW5" i="7"/>
  <c r="DV5" i="7"/>
  <c r="DU5" i="7"/>
  <c r="DT5" i="7"/>
  <c r="DS5" i="7"/>
  <c r="DR5" i="7"/>
  <c r="DN5" i="7"/>
  <c r="DM5" i="7"/>
  <c r="DL5" i="7"/>
  <c r="DK5" i="7"/>
  <c r="DJ5" i="7"/>
  <c r="DI5" i="7"/>
  <c r="DE5" i="7"/>
  <c r="DD5" i="7"/>
  <c r="DC5" i="7"/>
  <c r="DB5" i="7"/>
  <c r="DA5" i="7"/>
  <c r="CZ5" i="7"/>
  <c r="CV5" i="7"/>
  <c r="CU5" i="7"/>
  <c r="CT5" i="7"/>
  <c r="CS5" i="7"/>
  <c r="CR5" i="7"/>
  <c r="CQ5" i="7"/>
  <c r="CM5" i="7"/>
  <c r="CL5" i="7"/>
  <c r="CK5" i="7"/>
  <c r="CJ5" i="7"/>
  <c r="CI5" i="7"/>
  <c r="CH5" i="7"/>
  <c r="BY5" i="7"/>
  <c r="BZ5" i="7"/>
  <c r="CA5" i="7"/>
  <c r="CB5" i="7"/>
  <c r="CC5" i="7"/>
  <c r="CD5" i="7"/>
  <c r="BU5" i="7"/>
  <c r="BT5" i="7"/>
  <c r="BS5" i="7"/>
  <c r="BR5" i="7"/>
  <c r="BQ5" i="7"/>
  <c r="BP5" i="7"/>
  <c r="BL5" i="7"/>
  <c r="BK5" i="7"/>
  <c r="BJ5" i="7"/>
  <c r="BI5" i="7"/>
  <c r="BH5" i="7"/>
  <c r="BG5" i="7"/>
  <c r="AX7" i="7"/>
  <c r="AY7" i="7"/>
  <c r="AZ7" i="7"/>
  <c r="BA7" i="7"/>
  <c r="BB7" i="7"/>
  <c r="BC7" i="7"/>
  <c r="AX6" i="7"/>
  <c r="AY6" i="7"/>
  <c r="AZ6" i="7"/>
  <c r="BA6" i="7"/>
  <c r="BB6" i="7"/>
  <c r="BC6" i="7"/>
  <c r="BC5" i="7"/>
  <c r="BB5" i="7"/>
  <c r="BA5" i="7"/>
  <c r="AZ5" i="7"/>
  <c r="AY5" i="7"/>
  <c r="AX5" i="7"/>
  <c r="AT5" i="7"/>
  <c r="AS5" i="7"/>
  <c r="AR5" i="7"/>
  <c r="AQ5" i="7"/>
  <c r="AP5" i="7"/>
  <c r="AO5" i="7"/>
  <c r="AK5" i="7"/>
  <c r="AJ5" i="7"/>
  <c r="AI5" i="7"/>
  <c r="AH5" i="7"/>
  <c r="AG5" i="7"/>
  <c r="AF5" i="7"/>
  <c r="AB5" i="7"/>
  <c r="AA5" i="7"/>
  <c r="Z5" i="7"/>
  <c r="Y5" i="7"/>
  <c r="X5" i="7"/>
  <c r="W5" i="7"/>
  <c r="S10" i="7"/>
  <c r="R10" i="7"/>
  <c r="Q10" i="7"/>
  <c r="P10" i="7"/>
  <c r="O10" i="7"/>
  <c r="N10" i="7"/>
  <c r="S9" i="7"/>
  <c r="R9" i="7"/>
  <c r="Q9" i="7"/>
  <c r="P9" i="7"/>
  <c r="O9" i="7"/>
  <c r="N9" i="7"/>
  <c r="N6" i="7"/>
  <c r="O6" i="7"/>
  <c r="P6" i="7"/>
  <c r="Q6" i="7"/>
  <c r="R6" i="7"/>
  <c r="S6" i="7"/>
  <c r="J79" i="7"/>
  <c r="I79" i="7"/>
  <c r="H79" i="7"/>
  <c r="G79" i="7"/>
  <c r="F79" i="7"/>
  <c r="E79" i="7"/>
  <c r="J76" i="7"/>
  <c r="I76" i="7"/>
  <c r="H76" i="7"/>
  <c r="G76" i="7"/>
  <c r="F76" i="7"/>
  <c r="E76" i="7"/>
  <c r="J73" i="7"/>
  <c r="I73" i="7"/>
  <c r="H73" i="7"/>
  <c r="G73" i="7"/>
  <c r="F73" i="7"/>
  <c r="E73" i="7"/>
  <c r="J70" i="7"/>
  <c r="I70" i="7"/>
  <c r="H70" i="7"/>
  <c r="G70" i="7"/>
  <c r="F70" i="7"/>
  <c r="E70" i="7"/>
  <c r="J67" i="7"/>
  <c r="I67" i="7"/>
  <c r="H67" i="7"/>
  <c r="G67" i="7"/>
  <c r="F67" i="7"/>
  <c r="E67" i="7"/>
  <c r="J64" i="7"/>
  <c r="I64" i="7"/>
  <c r="H64" i="7"/>
  <c r="G64" i="7"/>
  <c r="F64" i="7"/>
  <c r="E64" i="7"/>
  <c r="J61" i="7"/>
  <c r="I61" i="7"/>
  <c r="H61" i="7"/>
  <c r="G61" i="7"/>
  <c r="F61" i="7"/>
  <c r="E61" i="7"/>
  <c r="J58" i="7"/>
  <c r="I58" i="7"/>
  <c r="H58" i="7"/>
  <c r="G58" i="7"/>
  <c r="F58" i="7"/>
  <c r="E58" i="7"/>
  <c r="J55" i="7"/>
  <c r="I55" i="7"/>
  <c r="H55" i="7"/>
  <c r="G55" i="7"/>
  <c r="F55" i="7"/>
  <c r="E55" i="7"/>
  <c r="J52" i="7"/>
  <c r="I52" i="7"/>
  <c r="H52" i="7"/>
  <c r="G52" i="7"/>
  <c r="F52" i="7"/>
  <c r="E52" i="7"/>
  <c r="J49" i="7"/>
  <c r="I49" i="7"/>
  <c r="H49" i="7"/>
  <c r="G49" i="7"/>
  <c r="F49" i="7"/>
  <c r="E49" i="7"/>
  <c r="E45" i="7"/>
  <c r="F45" i="7"/>
  <c r="G45" i="7"/>
  <c r="H45" i="7"/>
  <c r="I45" i="7"/>
  <c r="J45" i="7"/>
  <c r="J44" i="7"/>
  <c r="I44" i="7"/>
  <c r="H44" i="7"/>
  <c r="G44" i="7"/>
  <c r="F44" i="7"/>
  <c r="E44" i="7"/>
  <c r="J41" i="7"/>
  <c r="I41" i="7"/>
  <c r="H41" i="7"/>
  <c r="G41" i="7"/>
  <c r="F41" i="7"/>
  <c r="E41" i="7"/>
  <c r="J38" i="7"/>
  <c r="I38" i="7"/>
  <c r="H38" i="7"/>
  <c r="G38" i="7"/>
  <c r="F38" i="7"/>
  <c r="E38" i="7"/>
  <c r="E35" i="7"/>
  <c r="F35" i="7"/>
  <c r="G35" i="7"/>
  <c r="H35" i="7"/>
  <c r="I35" i="7"/>
  <c r="J35" i="7"/>
  <c r="E34" i="7"/>
  <c r="F34" i="7"/>
  <c r="G34" i="7"/>
  <c r="H34" i="7"/>
  <c r="I34" i="7"/>
  <c r="J34" i="7"/>
  <c r="E33" i="7"/>
  <c r="F33" i="7"/>
  <c r="G33" i="7"/>
  <c r="H33" i="7"/>
  <c r="I33" i="7"/>
  <c r="J33" i="7"/>
  <c r="E32" i="7"/>
  <c r="F32" i="7"/>
  <c r="G32" i="7"/>
  <c r="H32" i="7"/>
  <c r="I32" i="7"/>
  <c r="J32" i="7"/>
  <c r="E31" i="7"/>
  <c r="F31" i="7"/>
  <c r="G31" i="7"/>
  <c r="H31" i="7"/>
  <c r="I31" i="7"/>
  <c r="J31" i="7"/>
  <c r="J30" i="7"/>
  <c r="I30" i="7"/>
  <c r="H30" i="7"/>
  <c r="G30" i="7"/>
  <c r="F30" i="7"/>
  <c r="E30" i="7"/>
  <c r="E27" i="7"/>
  <c r="F27" i="7"/>
  <c r="G27" i="7"/>
  <c r="H27" i="7"/>
  <c r="I27" i="7"/>
  <c r="J27" i="7"/>
  <c r="E26" i="7"/>
  <c r="F26" i="7"/>
  <c r="G26" i="7"/>
  <c r="H26" i="7"/>
  <c r="I26" i="7"/>
  <c r="J26" i="7"/>
  <c r="E25" i="7"/>
  <c r="F25" i="7"/>
  <c r="G25" i="7"/>
  <c r="H25" i="7"/>
  <c r="I25" i="7"/>
  <c r="J25" i="7"/>
  <c r="E24" i="7"/>
  <c r="F24" i="7"/>
  <c r="G24" i="7"/>
  <c r="H24" i="7"/>
  <c r="I24" i="7"/>
  <c r="J24" i="7"/>
  <c r="E23" i="7"/>
  <c r="F23" i="7"/>
  <c r="G23" i="7"/>
  <c r="H23" i="7"/>
  <c r="I23" i="7"/>
  <c r="J23" i="7"/>
  <c r="E22" i="7"/>
  <c r="F22" i="7"/>
  <c r="G22" i="7"/>
  <c r="H22" i="7"/>
  <c r="I22" i="7"/>
  <c r="J22" i="7"/>
  <c r="E21" i="7"/>
  <c r="F21" i="7"/>
  <c r="G21" i="7"/>
  <c r="H21" i="7"/>
  <c r="I21" i="7"/>
  <c r="J21" i="7"/>
  <c r="E20" i="7"/>
  <c r="F20" i="7"/>
  <c r="G20" i="7"/>
  <c r="H20" i="7"/>
  <c r="I20" i="7"/>
  <c r="J20" i="7"/>
  <c r="E19" i="7"/>
  <c r="F19" i="7"/>
  <c r="G19" i="7"/>
  <c r="H19" i="7"/>
  <c r="I19" i="7"/>
  <c r="J19" i="7"/>
  <c r="E18" i="7"/>
  <c r="F18" i="7"/>
  <c r="G18" i="7"/>
  <c r="H18" i="7"/>
  <c r="I18" i="7"/>
  <c r="J18" i="7"/>
  <c r="E17" i="7"/>
  <c r="F17" i="7"/>
  <c r="G17" i="7"/>
  <c r="H17" i="7"/>
  <c r="I17" i="7"/>
  <c r="J17" i="7"/>
  <c r="E16" i="7"/>
  <c r="F16" i="7"/>
  <c r="G16" i="7"/>
  <c r="H16" i="7"/>
  <c r="I16" i="7"/>
  <c r="J16" i="7"/>
  <c r="E15" i="7"/>
  <c r="F15" i="7"/>
  <c r="G15" i="7"/>
  <c r="H15" i="7"/>
  <c r="I15" i="7"/>
  <c r="J15" i="7"/>
  <c r="E14" i="7"/>
  <c r="F14" i="7"/>
  <c r="G14" i="7"/>
  <c r="H14" i="7"/>
  <c r="I14" i="7"/>
  <c r="J14" i="7"/>
  <c r="J13" i="7"/>
  <c r="I13" i="7"/>
  <c r="H13" i="7"/>
  <c r="G13" i="7"/>
  <c r="F13" i="7"/>
  <c r="E13" i="7"/>
  <c r="S5" i="7"/>
  <c r="R5" i="7"/>
  <c r="Q5" i="7"/>
  <c r="P5" i="7"/>
  <c r="O5" i="7"/>
  <c r="N5" i="7"/>
  <c r="H6" i="7"/>
  <c r="G6" i="7"/>
  <c r="F6" i="7"/>
  <c r="E6" i="7"/>
  <c r="H5" i="7"/>
  <c r="G5" i="7"/>
  <c r="F5" i="7"/>
  <c r="E5" i="7"/>
  <c r="E10" i="7"/>
  <c r="F10" i="7"/>
  <c r="G10" i="7"/>
  <c r="H10" i="7"/>
  <c r="I10" i="7"/>
  <c r="J10" i="7"/>
  <c r="E9" i="7"/>
  <c r="F9" i="7"/>
  <c r="G9" i="7"/>
  <c r="H9" i="7"/>
  <c r="I9" i="7"/>
  <c r="J9" i="7"/>
  <c r="E8" i="7"/>
  <c r="F8" i="7"/>
  <c r="G8" i="7"/>
  <c r="H8" i="7"/>
  <c r="I8" i="7"/>
  <c r="J8" i="7"/>
  <c r="E7" i="7"/>
  <c r="F7" i="7"/>
  <c r="G7" i="7"/>
  <c r="H7" i="7"/>
  <c r="I7" i="7"/>
  <c r="J7" i="7"/>
  <c r="J5" i="7"/>
  <c r="I5" i="7"/>
  <c r="P72" i="6"/>
  <c r="O72" i="6"/>
  <c r="N72" i="6"/>
  <c r="M72" i="6"/>
  <c r="L72" i="6"/>
  <c r="K72" i="6"/>
  <c r="P71" i="6"/>
  <c r="O71" i="6"/>
  <c r="N71" i="6"/>
  <c r="M71" i="6"/>
  <c r="L71" i="6"/>
  <c r="K71" i="6"/>
  <c r="P70" i="6"/>
  <c r="O70" i="6"/>
  <c r="N70" i="6"/>
  <c r="M70" i="6"/>
  <c r="L70" i="6"/>
  <c r="K70" i="6"/>
  <c r="P69" i="6"/>
  <c r="O69" i="6"/>
  <c r="N69" i="6"/>
  <c r="M69" i="6"/>
  <c r="L69" i="6"/>
  <c r="K69" i="6"/>
  <c r="P68" i="6"/>
  <c r="O68" i="6"/>
  <c r="N68" i="6"/>
  <c r="M68" i="6"/>
  <c r="L68" i="6"/>
  <c r="K68" i="6"/>
  <c r="G68" i="6"/>
  <c r="G66" i="6" s="1"/>
  <c r="F68" i="6"/>
  <c r="F66" i="6" s="1"/>
  <c r="E68" i="6"/>
  <c r="E66" i="6" s="1"/>
  <c r="D68" i="6"/>
  <c r="D66" i="6" s="1"/>
  <c r="C68" i="6"/>
  <c r="C66" i="6" s="1"/>
  <c r="B68" i="6"/>
  <c r="AC65" i="6"/>
  <c r="AD65" i="6"/>
  <c r="AE65" i="6"/>
  <c r="AF65" i="6"/>
  <c r="AG65" i="6"/>
  <c r="AH65" i="6"/>
  <c r="AC64" i="6"/>
  <c r="AD64" i="6"/>
  <c r="AE64" i="6"/>
  <c r="AF64" i="6"/>
  <c r="AG64" i="6"/>
  <c r="AH64" i="6"/>
  <c r="AC63" i="6"/>
  <c r="AD63" i="6"/>
  <c r="AE63" i="6"/>
  <c r="AF63" i="6"/>
  <c r="AG63" i="6"/>
  <c r="AH63" i="6"/>
  <c r="AC62" i="6"/>
  <c r="AD62" i="6"/>
  <c r="AE62" i="6"/>
  <c r="AF62" i="6"/>
  <c r="AG62" i="6"/>
  <c r="AH62" i="6"/>
  <c r="AH61" i="6"/>
  <c r="AG61" i="6"/>
  <c r="AF61" i="6"/>
  <c r="AE61" i="6"/>
  <c r="AD61" i="6"/>
  <c r="AC61" i="6"/>
  <c r="Y61" i="6"/>
  <c r="Y59" i="6" s="1"/>
  <c r="X61" i="6"/>
  <c r="X59" i="6" s="1"/>
  <c r="W61" i="6"/>
  <c r="W59" i="6" s="1"/>
  <c r="V61" i="6"/>
  <c r="V59" i="6" s="1"/>
  <c r="U61" i="6"/>
  <c r="U59" i="6" s="1"/>
  <c r="T61" i="6"/>
  <c r="AH56" i="6"/>
  <c r="AH54" i="6" s="1"/>
  <c r="AG56" i="6"/>
  <c r="AG54" i="6" s="1"/>
  <c r="AF56" i="6"/>
  <c r="AF54" i="6" s="1"/>
  <c r="AE56" i="6"/>
  <c r="AE54" i="6" s="1"/>
  <c r="AD56" i="6"/>
  <c r="AD54" i="6" s="1"/>
  <c r="AC56" i="6"/>
  <c r="K63" i="6"/>
  <c r="L63" i="6"/>
  <c r="M63" i="6"/>
  <c r="N63" i="6"/>
  <c r="O63" i="6"/>
  <c r="P63" i="6"/>
  <c r="K62" i="6"/>
  <c r="L62" i="6"/>
  <c r="M62" i="6"/>
  <c r="N62" i="6"/>
  <c r="O62" i="6"/>
  <c r="P62" i="6"/>
  <c r="P61" i="6"/>
  <c r="O61" i="6"/>
  <c r="N61" i="6"/>
  <c r="M61" i="6"/>
  <c r="L61" i="6"/>
  <c r="K61" i="6"/>
  <c r="B63" i="6"/>
  <c r="C63" i="6"/>
  <c r="D63" i="6"/>
  <c r="E63" i="6"/>
  <c r="F63" i="6"/>
  <c r="G63" i="6"/>
  <c r="B62" i="6"/>
  <c r="C62" i="6"/>
  <c r="D62" i="6"/>
  <c r="E62" i="6"/>
  <c r="F62" i="6"/>
  <c r="G62" i="6"/>
  <c r="G61" i="6"/>
  <c r="F61" i="6"/>
  <c r="E61" i="6"/>
  <c r="D61" i="6"/>
  <c r="C61" i="6"/>
  <c r="B61" i="6"/>
  <c r="Y56" i="6"/>
  <c r="Y54" i="6" s="1"/>
  <c r="X56" i="6"/>
  <c r="X54" i="6" s="1"/>
  <c r="W56" i="6"/>
  <c r="W54" i="6" s="1"/>
  <c r="V56" i="6"/>
  <c r="V54" i="6" s="1"/>
  <c r="U56" i="6"/>
  <c r="U54" i="6" s="1"/>
  <c r="T56" i="6"/>
  <c r="P56" i="6"/>
  <c r="P54" i="6" s="1"/>
  <c r="O56" i="6"/>
  <c r="O54" i="6" s="1"/>
  <c r="N56" i="6"/>
  <c r="N54" i="6" s="1"/>
  <c r="M56" i="6"/>
  <c r="M54" i="6" s="1"/>
  <c r="L56" i="6"/>
  <c r="L54" i="6" s="1"/>
  <c r="K56" i="6"/>
  <c r="G56" i="6"/>
  <c r="G54" i="6" s="1"/>
  <c r="F56" i="6"/>
  <c r="F54" i="6" s="1"/>
  <c r="E56" i="6"/>
  <c r="E54" i="6" s="1"/>
  <c r="D56" i="6"/>
  <c r="D54" i="6" s="1"/>
  <c r="C56" i="6"/>
  <c r="C54" i="6" s="1"/>
  <c r="B56" i="6"/>
  <c r="AH51" i="6"/>
  <c r="AH49" i="6" s="1"/>
  <c r="AG51" i="6"/>
  <c r="AG49" i="6" s="1"/>
  <c r="AF51" i="6"/>
  <c r="AF49" i="6" s="1"/>
  <c r="AE51" i="6"/>
  <c r="AE49" i="6" s="1"/>
  <c r="AD51" i="6"/>
  <c r="AD49" i="6" s="1"/>
  <c r="AC51" i="6"/>
  <c r="Y51" i="6"/>
  <c r="Y49" i="6" s="1"/>
  <c r="X51" i="6"/>
  <c r="X49" i="6" s="1"/>
  <c r="W51" i="6"/>
  <c r="W49" i="6" s="1"/>
  <c r="V51" i="6"/>
  <c r="V49" i="6" s="1"/>
  <c r="U51" i="6"/>
  <c r="U49" i="6" s="1"/>
  <c r="T51" i="6"/>
  <c r="P51" i="6"/>
  <c r="P49" i="6" s="1"/>
  <c r="O51" i="6"/>
  <c r="O49" i="6" s="1"/>
  <c r="N51" i="6"/>
  <c r="N49" i="6" s="1"/>
  <c r="M51" i="6"/>
  <c r="M49" i="6" s="1"/>
  <c r="L51" i="6"/>
  <c r="L49" i="6" s="1"/>
  <c r="K51" i="6"/>
  <c r="K49" i="6" s="1"/>
  <c r="AH46" i="6"/>
  <c r="AH44" i="6" s="1"/>
  <c r="AG46" i="6"/>
  <c r="AG44" i="6" s="1"/>
  <c r="AF46" i="6"/>
  <c r="AF44" i="6" s="1"/>
  <c r="AE46" i="6"/>
  <c r="AE44" i="6" s="1"/>
  <c r="AD46" i="6"/>
  <c r="AD44" i="6" s="1"/>
  <c r="AC46" i="6"/>
  <c r="Y46" i="6"/>
  <c r="Y44" i="6" s="1"/>
  <c r="X46" i="6"/>
  <c r="X44" i="6" s="1"/>
  <c r="W46" i="6"/>
  <c r="W44" i="6" s="1"/>
  <c r="V46" i="6"/>
  <c r="V44" i="6" s="1"/>
  <c r="U46" i="6"/>
  <c r="U44" i="6" s="1"/>
  <c r="T46" i="6"/>
  <c r="P46" i="6"/>
  <c r="P44" i="6" s="1"/>
  <c r="O46" i="6"/>
  <c r="O44" i="6" s="1"/>
  <c r="N46" i="6"/>
  <c r="N44" i="6" s="1"/>
  <c r="M46" i="6"/>
  <c r="M44" i="6" s="1"/>
  <c r="L46" i="6"/>
  <c r="L44" i="6" s="1"/>
  <c r="K46" i="6"/>
  <c r="B50" i="6"/>
  <c r="C50" i="6"/>
  <c r="D50" i="6"/>
  <c r="E50" i="6"/>
  <c r="F50" i="6"/>
  <c r="G50" i="6"/>
  <c r="B49" i="6"/>
  <c r="C49" i="6"/>
  <c r="D49" i="6"/>
  <c r="E49" i="6"/>
  <c r="F49" i="6"/>
  <c r="G49" i="6"/>
  <c r="B48" i="6"/>
  <c r="C48" i="6"/>
  <c r="D48" i="6"/>
  <c r="E48" i="6"/>
  <c r="F48" i="6"/>
  <c r="G48" i="6"/>
  <c r="B47" i="6"/>
  <c r="C47" i="6"/>
  <c r="D47" i="6"/>
  <c r="E47" i="6"/>
  <c r="F47" i="6"/>
  <c r="G47" i="6"/>
  <c r="G46" i="6"/>
  <c r="F46" i="6"/>
  <c r="E46" i="6"/>
  <c r="D46" i="6"/>
  <c r="C46" i="6"/>
  <c r="B46" i="6"/>
  <c r="AH41" i="6"/>
  <c r="AG41" i="6"/>
  <c r="AF41" i="6"/>
  <c r="AE41" i="6"/>
  <c r="AD41" i="6"/>
  <c r="AC41" i="6"/>
  <c r="AH40" i="6"/>
  <c r="AG40" i="6"/>
  <c r="AF40" i="6"/>
  <c r="AE40" i="6"/>
  <c r="AD40" i="6"/>
  <c r="AC40" i="6"/>
  <c r="T41" i="6"/>
  <c r="U41" i="6"/>
  <c r="V41" i="6"/>
  <c r="W41" i="6"/>
  <c r="X41" i="6"/>
  <c r="Y41" i="6"/>
  <c r="Y40" i="6"/>
  <c r="X40" i="6"/>
  <c r="W40" i="6"/>
  <c r="V40" i="6"/>
  <c r="U40" i="6"/>
  <c r="T40" i="6"/>
  <c r="P40" i="6"/>
  <c r="P38" i="6" s="1"/>
  <c r="O40" i="6"/>
  <c r="O38" i="6" s="1"/>
  <c r="N40" i="6"/>
  <c r="N38" i="6" s="1"/>
  <c r="M40" i="6"/>
  <c r="M38" i="6" s="1"/>
  <c r="L40" i="6"/>
  <c r="L38" i="6" s="1"/>
  <c r="K40" i="6"/>
  <c r="G40" i="6"/>
  <c r="G38" i="6" s="1"/>
  <c r="F40" i="6"/>
  <c r="F38" i="6" s="1"/>
  <c r="E40" i="6"/>
  <c r="E38" i="6" s="1"/>
  <c r="D40" i="6"/>
  <c r="D38" i="6" s="1"/>
  <c r="C40" i="6"/>
  <c r="C38" i="6" s="1"/>
  <c r="B40" i="6"/>
  <c r="AH35" i="6"/>
  <c r="AH33" i="6" s="1"/>
  <c r="AG35" i="6"/>
  <c r="AG33" i="6" s="1"/>
  <c r="AF35" i="6"/>
  <c r="AF33" i="6" s="1"/>
  <c r="AE35" i="6"/>
  <c r="AE33" i="6" s="1"/>
  <c r="AD35" i="6"/>
  <c r="AD33" i="6" s="1"/>
  <c r="AC35" i="6"/>
  <c r="T35" i="6"/>
  <c r="U35" i="6"/>
  <c r="V35" i="6"/>
  <c r="W35" i="6"/>
  <c r="X35" i="6"/>
  <c r="Y35" i="6"/>
  <c r="Y34" i="6"/>
  <c r="X34" i="6"/>
  <c r="W34" i="6"/>
  <c r="V34" i="6"/>
  <c r="U34" i="6"/>
  <c r="T34" i="6"/>
  <c r="P35" i="6"/>
  <c r="P33" i="6" s="1"/>
  <c r="O35" i="6"/>
  <c r="O33" i="6" s="1"/>
  <c r="N35" i="6"/>
  <c r="N33" i="6" s="1"/>
  <c r="M35" i="6"/>
  <c r="M33" i="6" s="1"/>
  <c r="L35" i="6"/>
  <c r="L33" i="6" s="1"/>
  <c r="K35" i="6"/>
  <c r="G35" i="6"/>
  <c r="G33" i="6" s="1"/>
  <c r="F35" i="6"/>
  <c r="F33" i="6" s="1"/>
  <c r="E35" i="6"/>
  <c r="E33" i="6" s="1"/>
  <c r="D35" i="6"/>
  <c r="D33" i="6" s="1"/>
  <c r="C35" i="6"/>
  <c r="C33" i="6" s="1"/>
  <c r="B35" i="6"/>
  <c r="G30" i="6"/>
  <c r="G28" i="6" s="1"/>
  <c r="F30" i="6"/>
  <c r="F28" i="6" s="1"/>
  <c r="E30" i="6"/>
  <c r="E28" i="6" s="1"/>
  <c r="D30" i="6"/>
  <c r="D28" i="6" s="1"/>
  <c r="C30" i="6"/>
  <c r="C28" i="6" s="1"/>
  <c r="B30" i="6"/>
  <c r="P30" i="6"/>
  <c r="P28" i="6" s="1"/>
  <c r="O30" i="6"/>
  <c r="O28" i="6" s="1"/>
  <c r="N30" i="6"/>
  <c r="N28" i="6" s="1"/>
  <c r="M30" i="6"/>
  <c r="M28" i="6" s="1"/>
  <c r="L30" i="6"/>
  <c r="L28" i="6" s="1"/>
  <c r="K30" i="6"/>
  <c r="K28" i="6" s="1"/>
  <c r="AC28" i="6"/>
  <c r="AC29" i="6"/>
  <c r="AD28" i="6"/>
  <c r="AD29" i="6"/>
  <c r="AE28" i="6"/>
  <c r="AE29" i="6"/>
  <c r="AF28" i="6"/>
  <c r="AF29" i="6"/>
  <c r="AG28" i="6"/>
  <c r="AG29" i="6"/>
  <c r="AH28" i="6"/>
  <c r="AH29" i="6"/>
  <c r="AH27" i="6"/>
  <c r="AG27" i="6"/>
  <c r="AF27" i="6"/>
  <c r="AE27" i="6"/>
  <c r="AD27" i="6"/>
  <c r="AC27" i="6"/>
  <c r="AH26" i="6"/>
  <c r="AG26" i="6"/>
  <c r="AF26" i="6"/>
  <c r="AE26" i="6"/>
  <c r="AD26" i="6"/>
  <c r="AC26" i="6"/>
  <c r="AH25" i="6"/>
  <c r="AG25" i="6"/>
  <c r="AF25" i="6"/>
  <c r="AE25" i="6"/>
  <c r="AD25" i="6"/>
  <c r="AC25" i="6"/>
  <c r="T27" i="6"/>
  <c r="U27" i="6"/>
  <c r="V27" i="6"/>
  <c r="W27" i="6"/>
  <c r="X27" i="6"/>
  <c r="Y27" i="6"/>
  <c r="T26" i="6"/>
  <c r="U26" i="6"/>
  <c r="V26" i="6"/>
  <c r="W26" i="6"/>
  <c r="X26" i="6"/>
  <c r="Y26" i="6"/>
  <c r="Y25" i="6"/>
  <c r="X25" i="6"/>
  <c r="W25" i="6"/>
  <c r="V25" i="6"/>
  <c r="U25" i="6"/>
  <c r="T25" i="6"/>
  <c r="AH20" i="6"/>
  <c r="AH18" i="6" s="1"/>
  <c r="AG20" i="6"/>
  <c r="AG18" i="6" s="1"/>
  <c r="AF20" i="6"/>
  <c r="AF18" i="6" s="1"/>
  <c r="AE20" i="6"/>
  <c r="AE18" i="6" s="1"/>
  <c r="AD20" i="6"/>
  <c r="AD18" i="6" s="1"/>
  <c r="AC20" i="6"/>
  <c r="Y20" i="6"/>
  <c r="X20" i="6"/>
  <c r="W20" i="6"/>
  <c r="V20" i="6"/>
  <c r="U20" i="6"/>
  <c r="T20" i="6"/>
  <c r="P25" i="6"/>
  <c r="P23" i="6" s="1"/>
  <c r="O25" i="6"/>
  <c r="O23" i="6" s="1"/>
  <c r="N25" i="6"/>
  <c r="N23" i="6" s="1"/>
  <c r="M25" i="6"/>
  <c r="M23" i="6" s="1"/>
  <c r="L25" i="6"/>
  <c r="L23" i="6" s="1"/>
  <c r="K25" i="6"/>
  <c r="P20" i="6"/>
  <c r="P18" i="6" s="1"/>
  <c r="O20" i="6"/>
  <c r="O18" i="6" s="1"/>
  <c r="N20" i="6"/>
  <c r="N18" i="6" s="1"/>
  <c r="M20" i="6"/>
  <c r="M18" i="6" s="1"/>
  <c r="L20" i="6"/>
  <c r="L18" i="6" s="1"/>
  <c r="K20" i="6"/>
  <c r="AH15" i="6"/>
  <c r="AH13" i="6" s="1"/>
  <c r="AG15" i="6"/>
  <c r="AG13" i="6" s="1"/>
  <c r="AF15" i="6"/>
  <c r="AF13" i="6" s="1"/>
  <c r="AE15" i="6"/>
  <c r="AE13" i="6" s="1"/>
  <c r="AD15" i="6"/>
  <c r="AD13" i="6" s="1"/>
  <c r="AC15" i="6"/>
  <c r="Y15" i="6"/>
  <c r="Y13" i="6" s="1"/>
  <c r="X15" i="6"/>
  <c r="X13" i="6" s="1"/>
  <c r="W15" i="6"/>
  <c r="W13" i="6" s="1"/>
  <c r="V15" i="6"/>
  <c r="V13" i="6" s="1"/>
  <c r="U15" i="6"/>
  <c r="U13" i="6" s="1"/>
  <c r="T15" i="6"/>
  <c r="P15" i="6"/>
  <c r="P13" i="6" s="1"/>
  <c r="O15" i="6"/>
  <c r="O13" i="6" s="1"/>
  <c r="N15" i="6"/>
  <c r="N13" i="6" s="1"/>
  <c r="M15" i="6"/>
  <c r="M13" i="6" s="1"/>
  <c r="L15" i="6"/>
  <c r="L13" i="6" s="1"/>
  <c r="K15" i="6"/>
  <c r="AH10" i="6"/>
  <c r="AH8" i="6" s="1"/>
  <c r="AG10" i="6"/>
  <c r="AG8" i="6" s="1"/>
  <c r="AF10" i="6"/>
  <c r="AF8" i="6" s="1"/>
  <c r="AE10" i="6"/>
  <c r="AE8" i="6" s="1"/>
  <c r="AD10" i="6"/>
  <c r="AD8" i="6" s="1"/>
  <c r="AC10" i="6"/>
  <c r="Y10" i="6"/>
  <c r="Y8" i="6" s="1"/>
  <c r="X10" i="6"/>
  <c r="X8" i="6" s="1"/>
  <c r="W10" i="6"/>
  <c r="W8" i="6" s="1"/>
  <c r="V10" i="6"/>
  <c r="V8" i="6" s="1"/>
  <c r="U10" i="6"/>
  <c r="U8" i="6" s="1"/>
  <c r="T10" i="6"/>
  <c r="K5" i="2"/>
  <c r="L5" i="2"/>
  <c r="M5" i="2"/>
  <c r="N5" i="2"/>
  <c r="O5" i="2"/>
  <c r="P5" i="2"/>
  <c r="K6" i="2"/>
  <c r="L6" i="2"/>
  <c r="M6" i="2"/>
  <c r="N6" i="2"/>
  <c r="O6" i="2"/>
  <c r="P6" i="2"/>
  <c r="K7" i="2"/>
  <c r="L7" i="2"/>
  <c r="M7" i="2"/>
  <c r="N7" i="2"/>
  <c r="O7" i="2"/>
  <c r="P7" i="2"/>
  <c r="K8" i="2"/>
  <c r="L8" i="2"/>
  <c r="M8" i="2"/>
  <c r="N8" i="2"/>
  <c r="O8" i="2"/>
  <c r="P8" i="2"/>
  <c r="K9" i="2"/>
  <c r="L9" i="2"/>
  <c r="M9" i="2"/>
  <c r="N9" i="2"/>
  <c r="O9" i="2"/>
  <c r="P9" i="2"/>
  <c r="K10" i="2"/>
  <c r="L10" i="2"/>
  <c r="M10" i="2"/>
  <c r="N10" i="2"/>
  <c r="O10" i="2"/>
  <c r="P10" i="2"/>
  <c r="K11" i="2"/>
  <c r="L11" i="2"/>
  <c r="M11" i="2"/>
  <c r="N11" i="2"/>
  <c r="O11" i="2"/>
  <c r="P11" i="2"/>
  <c r="K12" i="2"/>
  <c r="K13" i="2"/>
  <c r="K14" i="2"/>
  <c r="K15" i="2"/>
  <c r="L12" i="2"/>
  <c r="L13" i="2"/>
  <c r="L14" i="2"/>
  <c r="L15" i="2"/>
  <c r="M12" i="2"/>
  <c r="M13" i="2"/>
  <c r="M14" i="2"/>
  <c r="M15" i="2"/>
  <c r="N12" i="2"/>
  <c r="N13" i="2"/>
  <c r="N14" i="2"/>
  <c r="N15" i="2"/>
  <c r="O12" i="2"/>
  <c r="O13" i="2"/>
  <c r="O14" i="2"/>
  <c r="O15" i="2"/>
  <c r="P12" i="2"/>
  <c r="P13" i="2"/>
  <c r="P14" i="2"/>
  <c r="P15" i="2"/>
  <c r="B5" i="2"/>
  <c r="B24" i="6"/>
  <c r="C24" i="6"/>
  <c r="D24" i="6"/>
  <c r="E24" i="6"/>
  <c r="F24" i="6"/>
  <c r="G24" i="6"/>
  <c r="B23" i="6"/>
  <c r="C23" i="6"/>
  <c r="D23" i="6"/>
  <c r="E23" i="6"/>
  <c r="F23" i="6"/>
  <c r="G23" i="6"/>
  <c r="B22" i="6"/>
  <c r="C22" i="6"/>
  <c r="D22" i="6"/>
  <c r="E22" i="6"/>
  <c r="F22" i="6"/>
  <c r="G22" i="6"/>
  <c r="B21" i="6"/>
  <c r="C21" i="6"/>
  <c r="D21" i="6"/>
  <c r="E21" i="6"/>
  <c r="F21" i="6"/>
  <c r="G21" i="6"/>
  <c r="B20" i="6"/>
  <c r="C20" i="6"/>
  <c r="D20" i="6"/>
  <c r="E20" i="6"/>
  <c r="F20" i="6"/>
  <c r="G20" i="6"/>
  <c r="B19" i="6"/>
  <c r="C19" i="6"/>
  <c r="D19" i="6"/>
  <c r="E19" i="6"/>
  <c r="F19" i="6"/>
  <c r="G19" i="6"/>
  <c r="B18" i="6"/>
  <c r="C18" i="6"/>
  <c r="D18" i="6"/>
  <c r="E18" i="6"/>
  <c r="F18" i="6"/>
  <c r="G18" i="6"/>
  <c r="B17" i="6"/>
  <c r="C17" i="6"/>
  <c r="D17" i="6"/>
  <c r="E17" i="6"/>
  <c r="F17" i="6"/>
  <c r="G17" i="6"/>
  <c r="B16" i="6"/>
  <c r="C16" i="6"/>
  <c r="D16" i="6"/>
  <c r="E16" i="6"/>
  <c r="F16" i="6"/>
  <c r="G16" i="6"/>
  <c r="B15" i="6"/>
  <c r="C15" i="6"/>
  <c r="D15" i="6"/>
  <c r="E15" i="6"/>
  <c r="F15" i="6"/>
  <c r="G15" i="6"/>
  <c r="B14" i="6"/>
  <c r="C14" i="6"/>
  <c r="D14" i="6"/>
  <c r="E14" i="6"/>
  <c r="F14" i="6"/>
  <c r="G14" i="6"/>
  <c r="B13" i="6"/>
  <c r="C13" i="6"/>
  <c r="D13" i="6"/>
  <c r="E13" i="6"/>
  <c r="F13" i="6"/>
  <c r="G13" i="6"/>
  <c r="B12" i="6"/>
  <c r="C12" i="6"/>
  <c r="D12" i="6"/>
  <c r="E12" i="6"/>
  <c r="F12" i="6"/>
  <c r="G12" i="6"/>
  <c r="K6" i="6"/>
  <c r="L6" i="6"/>
  <c r="M6" i="6"/>
  <c r="N6" i="6"/>
  <c r="O6" i="6"/>
  <c r="P6" i="6"/>
  <c r="K7" i="6"/>
  <c r="L7" i="6"/>
  <c r="M7" i="6"/>
  <c r="N7" i="6"/>
  <c r="O7" i="6"/>
  <c r="P7" i="6"/>
  <c r="K8" i="6"/>
  <c r="L8" i="6"/>
  <c r="M8" i="6"/>
  <c r="N8" i="6"/>
  <c r="O8" i="6"/>
  <c r="P8" i="6"/>
  <c r="G11" i="6"/>
  <c r="F11" i="6"/>
  <c r="E11" i="6"/>
  <c r="D11" i="6"/>
  <c r="C11" i="6"/>
  <c r="B11" i="6"/>
  <c r="G10" i="6"/>
  <c r="F10" i="6"/>
  <c r="E10" i="6"/>
  <c r="D10" i="6"/>
  <c r="C10" i="6"/>
  <c r="B10" i="6"/>
  <c r="G9" i="6"/>
  <c r="F9" i="6"/>
  <c r="E9" i="6"/>
  <c r="D9" i="6"/>
  <c r="C9" i="6"/>
  <c r="B9" i="6"/>
  <c r="G8" i="6"/>
  <c r="F8" i="6"/>
  <c r="E8" i="6"/>
  <c r="D8" i="6"/>
  <c r="C8" i="6"/>
  <c r="B8" i="6"/>
  <c r="G7" i="6"/>
  <c r="F7" i="6"/>
  <c r="E7" i="6"/>
  <c r="D7" i="6"/>
  <c r="C7" i="6"/>
  <c r="B7" i="6"/>
  <c r="G6" i="6"/>
  <c r="F6" i="6"/>
  <c r="E6" i="6"/>
  <c r="D6" i="6"/>
  <c r="C6" i="6"/>
  <c r="B6" i="6"/>
  <c r="AH5" i="6"/>
  <c r="AG5" i="6"/>
  <c r="AF5" i="6"/>
  <c r="AE5" i="6"/>
  <c r="AD5" i="6"/>
  <c r="AC5" i="6"/>
  <c r="Y5" i="6"/>
  <c r="X5" i="6"/>
  <c r="W5" i="6"/>
  <c r="V5" i="6"/>
  <c r="U5" i="6"/>
  <c r="T5" i="6"/>
  <c r="P5" i="6"/>
  <c r="O5" i="6"/>
  <c r="N5" i="6"/>
  <c r="M5" i="6"/>
  <c r="L5" i="6"/>
  <c r="K5" i="6"/>
  <c r="G5" i="6"/>
  <c r="F5" i="6"/>
  <c r="E5" i="6"/>
  <c r="D5" i="6"/>
  <c r="C5" i="6"/>
  <c r="B5" i="6"/>
  <c r="J28" i="6" l="1"/>
  <c r="W81" i="3"/>
  <c r="J49" i="6"/>
  <c r="W80" i="3"/>
  <c r="CN36" i="7"/>
  <c r="DO10" i="7"/>
  <c r="CN35" i="7"/>
  <c r="DO18" i="7"/>
  <c r="DO11" i="7"/>
  <c r="H33" i="2"/>
  <c r="CN39" i="7"/>
  <c r="DO9" i="7"/>
  <c r="CN48" i="7"/>
  <c r="CN43" i="7"/>
  <c r="CN37" i="7"/>
  <c r="CN40" i="7"/>
  <c r="CW11" i="7"/>
  <c r="CN38" i="7"/>
  <c r="CN46" i="7"/>
  <c r="DO17" i="7"/>
  <c r="DO21" i="7"/>
  <c r="DO16" i="7"/>
  <c r="CN42" i="7"/>
  <c r="DO15" i="7"/>
  <c r="CN41" i="7"/>
  <c r="DO12" i="7"/>
  <c r="DO13" i="7"/>
  <c r="DO14" i="7"/>
  <c r="DO24" i="7"/>
  <c r="DO8" i="7"/>
  <c r="CW8" i="7"/>
  <c r="CN47" i="7"/>
  <c r="CN55" i="7"/>
  <c r="CN52" i="7"/>
  <c r="CN53" i="7"/>
  <c r="CN51" i="7"/>
  <c r="CN54" i="7"/>
  <c r="CN50" i="7"/>
  <c r="CN49" i="7"/>
  <c r="CN34" i="7"/>
  <c r="CN28" i="7"/>
  <c r="BV69" i="7"/>
  <c r="CN27" i="7"/>
  <c r="CN31" i="7"/>
  <c r="CN16" i="7"/>
  <c r="CE11" i="7"/>
  <c r="CN9" i="7"/>
  <c r="CN8" i="7"/>
  <c r="CN12" i="7"/>
  <c r="BV55" i="7"/>
  <c r="BV77" i="7"/>
  <c r="CN25" i="7"/>
  <c r="CN23" i="7"/>
  <c r="CN26" i="7"/>
  <c r="CN24" i="7"/>
  <c r="CN22" i="7"/>
  <c r="CN18" i="7"/>
  <c r="CN19" i="7"/>
  <c r="CN17" i="7"/>
  <c r="CN15" i="7"/>
  <c r="CN14" i="7"/>
  <c r="CN13" i="7"/>
  <c r="CN11" i="7"/>
  <c r="CN10" i="7"/>
  <c r="CN7" i="7"/>
  <c r="CN6" i="7"/>
  <c r="CE8" i="7"/>
  <c r="BV68" i="7"/>
  <c r="BV76" i="7"/>
  <c r="BV52" i="7"/>
  <c r="BV75" i="7"/>
  <c r="BV45" i="7"/>
  <c r="BV58" i="7"/>
  <c r="BV74" i="7"/>
  <c r="BV73" i="7"/>
  <c r="BV72" i="7"/>
  <c r="BV67" i="7"/>
  <c r="BV66" i="7"/>
  <c r="BV65" i="7"/>
  <c r="BV64" i="7"/>
  <c r="BV63" i="7"/>
  <c r="BV62" i="7"/>
  <c r="BV61" i="7"/>
  <c r="BV48" i="7"/>
  <c r="BM40" i="7"/>
  <c r="BV17" i="7"/>
  <c r="BV19" i="7"/>
  <c r="BV21" i="7"/>
  <c r="BM66" i="7"/>
  <c r="BD21" i="7"/>
  <c r="BV8" i="7"/>
  <c r="BV23" i="7"/>
  <c r="BM60" i="7"/>
  <c r="BM65" i="7"/>
  <c r="BM73" i="7"/>
  <c r="BM64" i="7"/>
  <c r="BV18" i="7"/>
  <c r="BD10" i="7"/>
  <c r="BV11" i="7"/>
  <c r="BV41" i="7"/>
  <c r="BV37" i="7"/>
  <c r="BV29" i="7"/>
  <c r="BV33" i="7"/>
  <c r="BV36" i="7"/>
  <c r="BV28" i="7"/>
  <c r="BV32" i="7"/>
  <c r="BV31" i="7"/>
  <c r="BV35" i="7"/>
  <c r="BV34" i="7"/>
  <c r="BV30" i="7"/>
  <c r="BV27" i="7"/>
  <c r="BV24" i="7"/>
  <c r="BV22" i="7"/>
  <c r="BV20" i="7"/>
  <c r="BV16" i="7"/>
  <c r="BV15" i="7"/>
  <c r="BM76" i="7"/>
  <c r="BM70" i="7"/>
  <c r="BM67" i="7"/>
  <c r="BM63" i="7"/>
  <c r="BM57" i="7"/>
  <c r="BM53" i="7"/>
  <c r="BM50" i="7"/>
  <c r="BM47" i="7"/>
  <c r="BM44" i="7"/>
  <c r="BM41" i="7"/>
  <c r="BM18" i="7"/>
  <c r="BM33" i="7"/>
  <c r="BM32" i="7"/>
  <c r="BM28" i="7"/>
  <c r="BM11" i="7"/>
  <c r="BM25" i="7"/>
  <c r="BM37" i="7"/>
  <c r="BM36" i="7"/>
  <c r="BM31" i="7"/>
  <c r="BM21" i="7"/>
  <c r="BM14" i="7"/>
  <c r="BM8" i="7"/>
  <c r="BD18" i="7"/>
  <c r="BD15" i="7"/>
  <c r="BD17" i="7"/>
  <c r="BD16" i="7"/>
  <c r="BD14" i="7"/>
  <c r="BD13" i="7"/>
  <c r="AU43" i="7"/>
  <c r="AU46" i="7"/>
  <c r="AU49" i="7"/>
  <c r="AU33" i="7"/>
  <c r="AU40" i="7"/>
  <c r="AU36" i="7"/>
  <c r="AU17" i="7"/>
  <c r="AU12" i="7"/>
  <c r="AU30" i="7"/>
  <c r="AU16" i="7"/>
  <c r="AU29" i="7"/>
  <c r="AU25" i="7"/>
  <c r="AU22" i="7"/>
  <c r="AU21" i="7"/>
  <c r="AU15" i="7"/>
  <c r="AU9" i="7"/>
  <c r="AL64" i="7"/>
  <c r="AL72" i="7"/>
  <c r="AL80" i="7"/>
  <c r="AL99" i="7"/>
  <c r="AL71" i="7"/>
  <c r="AL107" i="7"/>
  <c r="AL76" i="7"/>
  <c r="AL67" i="7"/>
  <c r="AL75" i="7"/>
  <c r="AL103" i="7"/>
  <c r="AL117" i="7"/>
  <c r="AL108" i="7"/>
  <c r="AL68" i="7"/>
  <c r="AL86" i="7"/>
  <c r="AL104" i="7"/>
  <c r="AL114" i="7"/>
  <c r="AL79" i="7"/>
  <c r="AL113" i="7"/>
  <c r="AL112" i="7"/>
  <c r="AL111" i="7"/>
  <c r="AL96" i="7"/>
  <c r="AL93" i="7"/>
  <c r="AL90" i="7"/>
  <c r="AL85" i="7"/>
  <c r="AL84" i="7"/>
  <c r="AL83" i="7"/>
  <c r="AC87" i="7"/>
  <c r="AC89" i="7"/>
  <c r="AC91" i="7"/>
  <c r="AC95" i="7"/>
  <c r="AC106" i="7"/>
  <c r="AC113" i="7"/>
  <c r="AL17" i="7"/>
  <c r="AL30" i="7"/>
  <c r="AL51" i="7"/>
  <c r="AL57" i="7"/>
  <c r="AL13" i="7"/>
  <c r="AL61" i="7"/>
  <c r="AL20" i="7"/>
  <c r="AL26" i="7"/>
  <c r="AL54" i="7"/>
  <c r="AL35" i="7"/>
  <c r="AL40" i="7"/>
  <c r="AL48" i="7"/>
  <c r="AL9" i="7"/>
  <c r="AL34" i="7"/>
  <c r="AL47" i="7"/>
  <c r="AL46" i="7"/>
  <c r="AL45" i="7"/>
  <c r="AL43" i="7"/>
  <c r="AL44" i="7"/>
  <c r="AL39" i="7"/>
  <c r="AL33" i="7"/>
  <c r="AL23" i="7"/>
  <c r="AL8" i="7"/>
  <c r="AC85" i="7"/>
  <c r="AC90" i="7"/>
  <c r="AC92" i="7"/>
  <c r="AC86" i="7"/>
  <c r="AC110" i="7"/>
  <c r="AC88" i="7"/>
  <c r="AC78" i="7"/>
  <c r="AC103" i="7"/>
  <c r="AC75" i="7"/>
  <c r="AC102" i="7"/>
  <c r="AC98" i="7"/>
  <c r="AC81" i="7"/>
  <c r="AC72" i="7"/>
  <c r="T27" i="7"/>
  <c r="AC43" i="7"/>
  <c r="AC66" i="7"/>
  <c r="AC22" i="7"/>
  <c r="AC52" i="7"/>
  <c r="AC21" i="7"/>
  <c r="AC27" i="7"/>
  <c r="AC36" i="7"/>
  <c r="DO5" i="7"/>
  <c r="T16" i="7"/>
  <c r="AC28" i="7"/>
  <c r="AC65" i="7"/>
  <c r="AC26" i="7"/>
  <c r="AC51" i="7"/>
  <c r="AC17" i="7"/>
  <c r="AC29" i="7"/>
  <c r="AC69" i="7"/>
  <c r="T33" i="7"/>
  <c r="AC12" i="7"/>
  <c r="AC42" i="7"/>
  <c r="AC20" i="7"/>
  <c r="AC55" i="7"/>
  <c r="T26" i="7"/>
  <c r="T36" i="7"/>
  <c r="AC13" i="7"/>
  <c r="AC64" i="7"/>
  <c r="AC63" i="7"/>
  <c r="AC62" i="7"/>
  <c r="AC59" i="7"/>
  <c r="AC61" i="7"/>
  <c r="AC60" i="7"/>
  <c r="AC50" i="7"/>
  <c r="AC49" i="7"/>
  <c r="AC48" i="7"/>
  <c r="AC47" i="7"/>
  <c r="AC41" i="7"/>
  <c r="AC40" i="7"/>
  <c r="AC39" i="7"/>
  <c r="AC32" i="7"/>
  <c r="AC25" i="7"/>
  <c r="AC11" i="7"/>
  <c r="T25" i="7"/>
  <c r="T22" i="7"/>
  <c r="AC8" i="7"/>
  <c r="T32" i="7"/>
  <c r="T31" i="7"/>
  <c r="T30" i="7"/>
  <c r="T19" i="7"/>
  <c r="T13" i="7"/>
  <c r="EG5" i="7"/>
  <c r="DX5" i="7"/>
  <c r="CN5" i="7"/>
  <c r="DF5" i="7"/>
  <c r="CE5" i="7"/>
  <c r="CW5" i="7"/>
  <c r="AU5" i="7"/>
  <c r="BM5" i="7"/>
  <c r="AL5" i="7"/>
  <c r="BD5" i="7"/>
  <c r="BV5" i="7"/>
  <c r="K27" i="7"/>
  <c r="K35" i="7"/>
  <c r="K45" i="7"/>
  <c r="T6" i="7"/>
  <c r="BD7" i="7"/>
  <c r="BD6" i="7"/>
  <c r="K38" i="7"/>
  <c r="K44" i="7"/>
  <c r="K49" i="7"/>
  <c r="K61" i="7"/>
  <c r="K67" i="7"/>
  <c r="T9" i="7"/>
  <c r="H68" i="6"/>
  <c r="AC5" i="7"/>
  <c r="K41" i="7"/>
  <c r="K58" i="7"/>
  <c r="K64" i="7"/>
  <c r="K70" i="7"/>
  <c r="K76" i="7"/>
  <c r="T10" i="7"/>
  <c r="K10" i="7"/>
  <c r="K73" i="7"/>
  <c r="K79" i="7"/>
  <c r="K55" i="7"/>
  <c r="K52" i="7"/>
  <c r="K34" i="7"/>
  <c r="K33" i="7"/>
  <c r="K32" i="7"/>
  <c r="K31" i="7"/>
  <c r="K30" i="7"/>
  <c r="K26" i="7"/>
  <c r="K25" i="7"/>
  <c r="K24" i="7"/>
  <c r="K23" i="7"/>
  <c r="K22" i="7"/>
  <c r="K21" i="7"/>
  <c r="K20" i="7"/>
  <c r="K19" i="7"/>
  <c r="K18" i="7"/>
  <c r="K17" i="7"/>
  <c r="K16" i="7"/>
  <c r="K15" i="7"/>
  <c r="K14" i="7"/>
  <c r="K13" i="7"/>
  <c r="T5" i="7"/>
  <c r="K9" i="7"/>
  <c r="K8" i="7"/>
  <c r="K7" i="7"/>
  <c r="K5" i="7"/>
  <c r="H46" i="6"/>
  <c r="Z46" i="6"/>
  <c r="Q56" i="6"/>
  <c r="AI56" i="6"/>
  <c r="Q6" i="2"/>
  <c r="Q63" i="6"/>
  <c r="C59" i="6"/>
  <c r="D59" i="6"/>
  <c r="E59" i="6"/>
  <c r="G59" i="6"/>
  <c r="H63" i="6"/>
  <c r="Q68" i="6"/>
  <c r="Q70" i="6"/>
  <c r="Q72" i="6"/>
  <c r="Q71" i="6"/>
  <c r="Q69" i="6"/>
  <c r="L66" i="6"/>
  <c r="M66" i="6"/>
  <c r="O66" i="6"/>
  <c r="P66" i="6"/>
  <c r="N66" i="6"/>
  <c r="K66" i="6"/>
  <c r="B66" i="6"/>
  <c r="A66" i="6" s="1"/>
  <c r="AI65" i="6"/>
  <c r="AD59" i="6"/>
  <c r="AE59" i="6"/>
  <c r="AI64" i="6"/>
  <c r="AI63" i="6"/>
  <c r="AI62" i="6"/>
  <c r="AI61" i="6"/>
  <c r="AF59" i="6"/>
  <c r="AG59" i="6"/>
  <c r="AH59" i="6"/>
  <c r="AC59" i="6"/>
  <c r="Z61" i="6"/>
  <c r="T59" i="6"/>
  <c r="S59" i="6" s="1"/>
  <c r="AC54" i="6"/>
  <c r="AB54" i="6" s="1"/>
  <c r="Q62" i="6"/>
  <c r="L59" i="6"/>
  <c r="N59" i="6"/>
  <c r="O59" i="6"/>
  <c r="M59" i="6"/>
  <c r="P59" i="6"/>
  <c r="Q61" i="6"/>
  <c r="K59" i="6"/>
  <c r="H62" i="6"/>
  <c r="F59" i="6"/>
  <c r="H61" i="6"/>
  <c r="B59" i="6"/>
  <c r="Z56" i="6"/>
  <c r="T54" i="6"/>
  <c r="S54" i="6" s="1"/>
  <c r="K54" i="6"/>
  <c r="J54" i="6" s="1"/>
  <c r="AI51" i="6"/>
  <c r="H50" i="6"/>
  <c r="AI41" i="6"/>
  <c r="Q46" i="6"/>
  <c r="Z51" i="6"/>
  <c r="H56" i="6"/>
  <c r="B54" i="6"/>
  <c r="A54" i="6" s="1"/>
  <c r="AC49" i="6"/>
  <c r="AB49" i="6" s="1"/>
  <c r="T49" i="6"/>
  <c r="S49" i="6" s="1"/>
  <c r="Q51" i="6"/>
  <c r="AI46" i="6"/>
  <c r="AC44" i="6"/>
  <c r="AB44" i="6" s="1"/>
  <c r="T44" i="6"/>
  <c r="S44" i="6" s="1"/>
  <c r="K44" i="6"/>
  <c r="J44" i="6" s="1"/>
  <c r="H49" i="6"/>
  <c r="C44" i="6"/>
  <c r="F44" i="6"/>
  <c r="H48" i="6"/>
  <c r="H47" i="6"/>
  <c r="D44" i="6"/>
  <c r="E44" i="6"/>
  <c r="G44" i="6"/>
  <c r="B44" i="6"/>
  <c r="AC38" i="6"/>
  <c r="AE38" i="6"/>
  <c r="AF38" i="6"/>
  <c r="AG38" i="6"/>
  <c r="AH38" i="6"/>
  <c r="AD38" i="6"/>
  <c r="AI40" i="6"/>
  <c r="U38" i="6"/>
  <c r="V38" i="6"/>
  <c r="W38" i="6"/>
  <c r="X38" i="6"/>
  <c r="Y38" i="6"/>
  <c r="Z41" i="6"/>
  <c r="Q40" i="6"/>
  <c r="Z40" i="6"/>
  <c r="T38" i="6"/>
  <c r="K38" i="6"/>
  <c r="J38" i="6" s="1"/>
  <c r="H40" i="6"/>
  <c r="W32" i="6"/>
  <c r="B38" i="6"/>
  <c r="A38" i="6" s="1"/>
  <c r="Z25" i="6"/>
  <c r="AI26" i="6"/>
  <c r="H35" i="6"/>
  <c r="T32" i="6"/>
  <c r="Z26" i="6"/>
  <c r="Z35" i="6"/>
  <c r="U32" i="6"/>
  <c r="V32" i="6"/>
  <c r="AI28" i="6"/>
  <c r="AI35" i="6"/>
  <c r="Z27" i="6"/>
  <c r="Q25" i="6"/>
  <c r="H30" i="6"/>
  <c r="Z10" i="6"/>
  <c r="Q15" i="6"/>
  <c r="AI15" i="6"/>
  <c r="AI20" i="6"/>
  <c r="AI25" i="6"/>
  <c r="AI29" i="6"/>
  <c r="AC33" i="6"/>
  <c r="AB33" i="6" s="1"/>
  <c r="X32" i="6"/>
  <c r="Y32" i="6"/>
  <c r="Z34" i="6"/>
  <c r="Q35" i="6"/>
  <c r="K33" i="6"/>
  <c r="J33" i="6" s="1"/>
  <c r="B33" i="6"/>
  <c r="A33" i="6" s="1"/>
  <c r="B28" i="6"/>
  <c r="A28" i="6" s="1"/>
  <c r="Q30" i="6"/>
  <c r="AI27" i="6"/>
  <c r="AE23" i="6"/>
  <c r="AF23" i="6"/>
  <c r="AG23" i="6"/>
  <c r="AH23" i="6"/>
  <c r="AD23" i="6"/>
  <c r="AC23" i="6"/>
  <c r="U23" i="6"/>
  <c r="V23" i="6"/>
  <c r="W23" i="6"/>
  <c r="X23" i="6"/>
  <c r="Y23" i="6"/>
  <c r="T23" i="6"/>
  <c r="AC18" i="6"/>
  <c r="AB18" i="6" s="1"/>
  <c r="T18" i="6"/>
  <c r="U18" i="6"/>
  <c r="V18" i="6"/>
  <c r="W18" i="6"/>
  <c r="X18" i="6"/>
  <c r="Y18" i="6"/>
  <c r="Z15" i="6"/>
  <c r="Z20" i="6"/>
  <c r="K23" i="6"/>
  <c r="J23" i="6" s="1"/>
  <c r="Q20" i="6"/>
  <c r="K18" i="6"/>
  <c r="J18" i="6" s="1"/>
  <c r="AC13" i="6"/>
  <c r="AB13" i="6" s="1"/>
  <c r="T13" i="6"/>
  <c r="S13" i="6" s="1"/>
  <c r="K13" i="6"/>
  <c r="J13" i="6" s="1"/>
  <c r="AI10" i="6"/>
  <c r="AC8" i="6"/>
  <c r="AB8" i="6" s="1"/>
  <c r="T8" i="6"/>
  <c r="S8" i="6" s="1"/>
  <c r="Q12" i="2"/>
  <c r="Q15" i="2"/>
  <c r="Q10" i="2"/>
  <c r="Q8" i="2"/>
  <c r="Q14" i="2"/>
  <c r="Q11" i="2"/>
  <c r="Q9" i="2"/>
  <c r="Q7" i="2"/>
  <c r="Q13" i="2"/>
  <c r="Q5" i="2"/>
  <c r="H24" i="6"/>
  <c r="H23" i="6"/>
  <c r="H22" i="6"/>
  <c r="H21" i="6"/>
  <c r="H20" i="6"/>
  <c r="H19" i="6"/>
  <c r="H18" i="6"/>
  <c r="H17" i="6"/>
  <c r="H16" i="6"/>
  <c r="H15" i="6"/>
  <c r="H14" i="6"/>
  <c r="H13" i="6"/>
  <c r="Q8" i="6"/>
  <c r="H12" i="6"/>
  <c r="AD3" i="6"/>
  <c r="F3" i="6"/>
  <c r="Q7" i="6"/>
  <c r="Q6" i="6"/>
  <c r="L3" i="6"/>
  <c r="AH3" i="6"/>
  <c r="AC3" i="6"/>
  <c r="N3" i="6"/>
  <c r="AG3" i="6"/>
  <c r="B3" i="6"/>
  <c r="G3" i="6"/>
  <c r="M3" i="6"/>
  <c r="D3" i="6"/>
  <c r="E3" i="6"/>
  <c r="O3" i="6"/>
  <c r="P3" i="6"/>
  <c r="Z5" i="6"/>
  <c r="H6" i="6"/>
  <c r="X3" i="6"/>
  <c r="AE3" i="6"/>
  <c r="H9" i="6"/>
  <c r="AF3" i="6"/>
  <c r="H11" i="6"/>
  <c r="C3" i="6"/>
  <c r="V3" i="6"/>
  <c r="U3" i="6"/>
  <c r="H8" i="6"/>
  <c r="W3" i="6"/>
  <c r="H10" i="6"/>
  <c r="Q5" i="6"/>
  <c r="H7" i="6"/>
  <c r="AI5" i="6"/>
  <c r="T3" i="6"/>
  <c r="K3" i="6"/>
  <c r="Y3" i="6"/>
  <c r="H5" i="6"/>
  <c r="AE216" i="3"/>
  <c r="AD216" i="3"/>
  <c r="AC216" i="3"/>
  <c r="AB216" i="3"/>
  <c r="AA216" i="3"/>
  <c r="Z216" i="3"/>
  <c r="V216" i="3"/>
  <c r="U216" i="3"/>
  <c r="T216" i="3"/>
  <c r="S216" i="3"/>
  <c r="R216" i="3"/>
  <c r="Q216" i="3"/>
  <c r="AE215" i="3"/>
  <c r="AD215" i="3"/>
  <c r="AC215" i="3"/>
  <c r="AB215" i="3"/>
  <c r="AA215" i="3"/>
  <c r="Z215" i="3"/>
  <c r="V215" i="3"/>
  <c r="U215" i="3"/>
  <c r="T215" i="3"/>
  <c r="S215" i="3"/>
  <c r="R215" i="3"/>
  <c r="Q215" i="3"/>
  <c r="AE214" i="3"/>
  <c r="AD214" i="3"/>
  <c r="AC214" i="3"/>
  <c r="AB214" i="3"/>
  <c r="AA214" i="3"/>
  <c r="Z214" i="3"/>
  <c r="V214" i="3"/>
  <c r="U214" i="3"/>
  <c r="T214" i="3"/>
  <c r="S214" i="3"/>
  <c r="R214" i="3"/>
  <c r="Q214" i="3"/>
  <c r="AE213" i="3"/>
  <c r="AD213" i="3"/>
  <c r="AC213" i="3"/>
  <c r="AB213" i="3"/>
  <c r="AA213" i="3"/>
  <c r="Z213" i="3"/>
  <c r="V213" i="3"/>
  <c r="U213" i="3"/>
  <c r="T213" i="3"/>
  <c r="S213" i="3"/>
  <c r="R213" i="3"/>
  <c r="Q213" i="3"/>
  <c r="AE212" i="3"/>
  <c r="AD212" i="3"/>
  <c r="AC212" i="3"/>
  <c r="AB212" i="3"/>
  <c r="AA212" i="3"/>
  <c r="Z212" i="3"/>
  <c r="V212" i="3"/>
  <c r="U212" i="3"/>
  <c r="T212" i="3"/>
  <c r="S212" i="3"/>
  <c r="R212" i="3"/>
  <c r="Q212" i="3"/>
  <c r="AE211" i="3"/>
  <c r="AD211" i="3"/>
  <c r="AC211" i="3"/>
  <c r="AB211" i="3"/>
  <c r="AA211" i="3"/>
  <c r="Z211" i="3"/>
  <c r="V211" i="3"/>
  <c r="U211" i="3"/>
  <c r="T211" i="3"/>
  <c r="S211" i="3"/>
  <c r="R211" i="3"/>
  <c r="Q211" i="3"/>
  <c r="AE210" i="3"/>
  <c r="AD210" i="3"/>
  <c r="AC210" i="3"/>
  <c r="AB210" i="3"/>
  <c r="AA210" i="3"/>
  <c r="Z210" i="3"/>
  <c r="V210" i="3"/>
  <c r="U210" i="3"/>
  <c r="T210" i="3"/>
  <c r="S210" i="3"/>
  <c r="R210" i="3"/>
  <c r="Q210" i="3"/>
  <c r="AE209" i="3"/>
  <c r="AD209" i="3"/>
  <c r="AC209" i="3"/>
  <c r="AB209" i="3"/>
  <c r="AA209" i="3"/>
  <c r="Z209" i="3"/>
  <c r="V209" i="3"/>
  <c r="U209" i="3"/>
  <c r="T209" i="3"/>
  <c r="S209" i="3"/>
  <c r="R209" i="3"/>
  <c r="Q209" i="3"/>
  <c r="AE205" i="3"/>
  <c r="AD205" i="3"/>
  <c r="AC205" i="3"/>
  <c r="AB205" i="3"/>
  <c r="AA205" i="3"/>
  <c r="Z205" i="3"/>
  <c r="V205" i="3"/>
  <c r="U205" i="3"/>
  <c r="T205" i="3"/>
  <c r="S205" i="3"/>
  <c r="R205" i="3"/>
  <c r="Q205" i="3"/>
  <c r="AE204" i="3"/>
  <c r="AD204" i="3"/>
  <c r="AC204" i="3"/>
  <c r="AB204" i="3"/>
  <c r="AA204" i="3"/>
  <c r="Z204" i="3"/>
  <c r="V204" i="3"/>
  <c r="U204" i="3"/>
  <c r="T204" i="3"/>
  <c r="S204" i="3"/>
  <c r="R204" i="3"/>
  <c r="Q204" i="3"/>
  <c r="AE203" i="3"/>
  <c r="AD203" i="3"/>
  <c r="AC203" i="3"/>
  <c r="AB203" i="3"/>
  <c r="AA203" i="3"/>
  <c r="Z203" i="3"/>
  <c r="V203" i="3"/>
  <c r="U203" i="3"/>
  <c r="T203" i="3"/>
  <c r="S203" i="3"/>
  <c r="R203" i="3"/>
  <c r="Q203" i="3"/>
  <c r="AE202" i="3"/>
  <c r="AD202" i="3"/>
  <c r="AC202" i="3"/>
  <c r="AB202" i="3"/>
  <c r="AA202" i="3"/>
  <c r="Z202" i="3"/>
  <c r="V202" i="3"/>
  <c r="U202" i="3"/>
  <c r="T202" i="3"/>
  <c r="S202" i="3"/>
  <c r="R202" i="3"/>
  <c r="Q202" i="3"/>
  <c r="AE201" i="3"/>
  <c r="AD201" i="3"/>
  <c r="AC201" i="3"/>
  <c r="AB201" i="3"/>
  <c r="AA201" i="3"/>
  <c r="Z201" i="3"/>
  <c r="V201" i="3"/>
  <c r="U201" i="3"/>
  <c r="T201" i="3"/>
  <c r="S201" i="3"/>
  <c r="R201" i="3"/>
  <c r="Q201" i="3"/>
  <c r="AE200" i="3"/>
  <c r="AD200" i="3"/>
  <c r="AC200" i="3"/>
  <c r="AB200" i="3"/>
  <c r="AA200" i="3"/>
  <c r="Z200" i="3"/>
  <c r="V200" i="3"/>
  <c r="U200" i="3"/>
  <c r="T200" i="3"/>
  <c r="S200" i="3"/>
  <c r="R200" i="3"/>
  <c r="Q200" i="3"/>
  <c r="AE199" i="3"/>
  <c r="AD199" i="3"/>
  <c r="AC199" i="3"/>
  <c r="AB199" i="3"/>
  <c r="AA199" i="3"/>
  <c r="Z199" i="3"/>
  <c r="V199" i="3"/>
  <c r="U199" i="3"/>
  <c r="T199" i="3"/>
  <c r="S199" i="3"/>
  <c r="R199" i="3"/>
  <c r="Q199" i="3"/>
  <c r="AE198" i="3"/>
  <c r="AD198" i="3"/>
  <c r="AC198" i="3"/>
  <c r="AB198" i="3"/>
  <c r="AA198" i="3"/>
  <c r="Z198" i="3"/>
  <c r="V198" i="3"/>
  <c r="U198" i="3"/>
  <c r="T198" i="3"/>
  <c r="S198" i="3"/>
  <c r="R198" i="3"/>
  <c r="Q198" i="3"/>
  <c r="AE194" i="3"/>
  <c r="AD194" i="3"/>
  <c r="AC194" i="3"/>
  <c r="AB194" i="3"/>
  <c r="AA194" i="3"/>
  <c r="Z194" i="3"/>
  <c r="V194" i="3"/>
  <c r="U194" i="3"/>
  <c r="T194" i="3"/>
  <c r="S194" i="3"/>
  <c r="R194" i="3"/>
  <c r="Q194" i="3"/>
  <c r="AE193" i="3"/>
  <c r="AD193" i="3"/>
  <c r="AC193" i="3"/>
  <c r="AB193" i="3"/>
  <c r="AA193" i="3"/>
  <c r="Z193" i="3"/>
  <c r="V193" i="3"/>
  <c r="U193" i="3"/>
  <c r="T193" i="3"/>
  <c r="S193" i="3"/>
  <c r="R193" i="3"/>
  <c r="Q193" i="3"/>
  <c r="AE192" i="3"/>
  <c r="AD192" i="3"/>
  <c r="AC192" i="3"/>
  <c r="AB192" i="3"/>
  <c r="AA192" i="3"/>
  <c r="Z192" i="3"/>
  <c r="V192" i="3"/>
  <c r="U192" i="3"/>
  <c r="T192" i="3"/>
  <c r="S192" i="3"/>
  <c r="R192" i="3"/>
  <c r="Q192" i="3"/>
  <c r="AE191" i="3"/>
  <c r="AD191" i="3"/>
  <c r="AC191" i="3"/>
  <c r="AB191" i="3"/>
  <c r="AA191" i="3"/>
  <c r="Z191" i="3"/>
  <c r="V191" i="3"/>
  <c r="U191" i="3"/>
  <c r="T191" i="3"/>
  <c r="S191" i="3"/>
  <c r="R191" i="3"/>
  <c r="Q191" i="3"/>
  <c r="AE190" i="3"/>
  <c r="AD190" i="3"/>
  <c r="AC190" i="3"/>
  <c r="AB190" i="3"/>
  <c r="AA190" i="3"/>
  <c r="Z190" i="3"/>
  <c r="V190" i="3"/>
  <c r="U190" i="3"/>
  <c r="T190" i="3"/>
  <c r="S190" i="3"/>
  <c r="R190" i="3"/>
  <c r="Q190" i="3"/>
  <c r="AE189" i="3"/>
  <c r="AD189" i="3"/>
  <c r="AC189" i="3"/>
  <c r="AB189" i="3"/>
  <c r="AA189" i="3"/>
  <c r="Z189" i="3"/>
  <c r="V189" i="3"/>
  <c r="U189" i="3"/>
  <c r="T189" i="3"/>
  <c r="S189" i="3"/>
  <c r="R189" i="3"/>
  <c r="Q189" i="3"/>
  <c r="AE188" i="3"/>
  <c r="AD188" i="3"/>
  <c r="AC188" i="3"/>
  <c r="AB188" i="3"/>
  <c r="AA188" i="3"/>
  <c r="Z188" i="3"/>
  <c r="V188" i="3"/>
  <c r="U188" i="3"/>
  <c r="T188" i="3"/>
  <c r="S188" i="3"/>
  <c r="R188" i="3"/>
  <c r="Q188" i="3"/>
  <c r="AE187" i="3"/>
  <c r="AD187" i="3"/>
  <c r="AC187" i="3"/>
  <c r="AB187" i="3"/>
  <c r="AA187" i="3"/>
  <c r="Z187" i="3"/>
  <c r="V187" i="3"/>
  <c r="U187" i="3"/>
  <c r="T187" i="3"/>
  <c r="S187" i="3"/>
  <c r="R187" i="3"/>
  <c r="Q187" i="3"/>
  <c r="AE183" i="3"/>
  <c r="AD183" i="3"/>
  <c r="AC183" i="3"/>
  <c r="AB183" i="3"/>
  <c r="AA183" i="3"/>
  <c r="Z183" i="3"/>
  <c r="V183" i="3"/>
  <c r="U183" i="3"/>
  <c r="T183" i="3"/>
  <c r="S183" i="3"/>
  <c r="R183" i="3"/>
  <c r="Q183" i="3"/>
  <c r="AE182" i="3"/>
  <c r="AD182" i="3"/>
  <c r="AC182" i="3"/>
  <c r="AB182" i="3"/>
  <c r="AA182" i="3"/>
  <c r="Z182" i="3"/>
  <c r="V182" i="3"/>
  <c r="U182" i="3"/>
  <c r="T182" i="3"/>
  <c r="S182" i="3"/>
  <c r="R182" i="3"/>
  <c r="Q182" i="3"/>
  <c r="AE181" i="3"/>
  <c r="AD181" i="3"/>
  <c r="AC181" i="3"/>
  <c r="AB181" i="3"/>
  <c r="AA181" i="3"/>
  <c r="Z181" i="3"/>
  <c r="V181" i="3"/>
  <c r="U181" i="3"/>
  <c r="T181" i="3"/>
  <c r="S181" i="3"/>
  <c r="R181" i="3"/>
  <c r="Q181" i="3"/>
  <c r="AE177" i="3"/>
  <c r="AD177" i="3"/>
  <c r="AC177" i="3"/>
  <c r="AB177" i="3"/>
  <c r="AA177" i="3"/>
  <c r="Z177" i="3"/>
  <c r="V177" i="3"/>
  <c r="U177" i="3"/>
  <c r="T177" i="3"/>
  <c r="S177" i="3"/>
  <c r="R177" i="3"/>
  <c r="Q177" i="3"/>
  <c r="AE176" i="3"/>
  <c r="AD176" i="3"/>
  <c r="AC176" i="3"/>
  <c r="AB176" i="3"/>
  <c r="AA176" i="3"/>
  <c r="Z176" i="3"/>
  <c r="V176" i="3"/>
  <c r="U176" i="3"/>
  <c r="T176" i="3"/>
  <c r="S176" i="3"/>
  <c r="R176" i="3"/>
  <c r="Q176" i="3"/>
  <c r="AE175" i="3"/>
  <c r="AD175" i="3"/>
  <c r="AC175" i="3"/>
  <c r="AB175" i="3"/>
  <c r="AA175" i="3"/>
  <c r="Z175" i="3"/>
  <c r="V175" i="3"/>
  <c r="U175" i="3"/>
  <c r="T175" i="3"/>
  <c r="S175" i="3"/>
  <c r="R175" i="3"/>
  <c r="Q175" i="3"/>
  <c r="AE171" i="3"/>
  <c r="AD171" i="3"/>
  <c r="AC171" i="3"/>
  <c r="AB171" i="3"/>
  <c r="AA171" i="3"/>
  <c r="Z171" i="3"/>
  <c r="V171" i="3"/>
  <c r="U171" i="3"/>
  <c r="T171" i="3"/>
  <c r="S171" i="3"/>
  <c r="R171" i="3"/>
  <c r="Q171" i="3"/>
  <c r="AE170" i="3"/>
  <c r="AD170" i="3"/>
  <c r="AC170" i="3"/>
  <c r="AB170" i="3"/>
  <c r="AA170" i="3"/>
  <c r="Z170" i="3"/>
  <c r="V170" i="3"/>
  <c r="U170" i="3"/>
  <c r="T170" i="3"/>
  <c r="S170" i="3"/>
  <c r="R170" i="3"/>
  <c r="Q170" i="3"/>
  <c r="AE169" i="3"/>
  <c r="AD169" i="3"/>
  <c r="AC169" i="3"/>
  <c r="AB169" i="3"/>
  <c r="AA169" i="3"/>
  <c r="Z169" i="3"/>
  <c r="V169" i="3"/>
  <c r="U169" i="3"/>
  <c r="T169" i="3"/>
  <c r="S169" i="3"/>
  <c r="R169" i="3"/>
  <c r="Q169" i="3"/>
  <c r="AE165" i="3"/>
  <c r="AD165" i="3"/>
  <c r="AC165" i="3"/>
  <c r="AB165" i="3"/>
  <c r="AA165" i="3"/>
  <c r="Z165" i="3"/>
  <c r="V165" i="3"/>
  <c r="U165" i="3"/>
  <c r="T165" i="3"/>
  <c r="S165" i="3"/>
  <c r="R165" i="3"/>
  <c r="Q165" i="3"/>
  <c r="AE164" i="3"/>
  <c r="AD164" i="3"/>
  <c r="AC164" i="3"/>
  <c r="AB164" i="3"/>
  <c r="AA164" i="3"/>
  <c r="Z164" i="3"/>
  <c r="V164" i="3"/>
  <c r="U164" i="3"/>
  <c r="T164" i="3"/>
  <c r="S164" i="3"/>
  <c r="R164" i="3"/>
  <c r="Q164" i="3"/>
  <c r="AE163" i="3"/>
  <c r="AD163" i="3"/>
  <c r="AC163" i="3"/>
  <c r="AB163" i="3"/>
  <c r="AA163" i="3"/>
  <c r="Z163" i="3"/>
  <c r="V163" i="3"/>
  <c r="U163" i="3"/>
  <c r="T163" i="3"/>
  <c r="S163" i="3"/>
  <c r="R163" i="3"/>
  <c r="Q163" i="3"/>
  <c r="AE162" i="3"/>
  <c r="AD162" i="3"/>
  <c r="AC162" i="3"/>
  <c r="AB162" i="3"/>
  <c r="AA162" i="3"/>
  <c r="Z162" i="3"/>
  <c r="V162" i="3"/>
  <c r="U162" i="3"/>
  <c r="T162" i="3"/>
  <c r="S162" i="3"/>
  <c r="R162" i="3"/>
  <c r="Q162" i="3"/>
  <c r="AE161" i="3"/>
  <c r="AD161" i="3"/>
  <c r="AC161" i="3"/>
  <c r="AB161" i="3"/>
  <c r="AA161" i="3"/>
  <c r="Z161" i="3"/>
  <c r="V161" i="3"/>
  <c r="U161" i="3"/>
  <c r="T161" i="3"/>
  <c r="S161" i="3"/>
  <c r="R161" i="3"/>
  <c r="Q161" i="3"/>
  <c r="AE160" i="3"/>
  <c r="AD160" i="3"/>
  <c r="AC160" i="3"/>
  <c r="AB160" i="3"/>
  <c r="AA160" i="3"/>
  <c r="Z160" i="3"/>
  <c r="V160" i="3"/>
  <c r="U160" i="3"/>
  <c r="T160" i="3"/>
  <c r="S160" i="3"/>
  <c r="R160" i="3"/>
  <c r="Q160" i="3"/>
  <c r="AE159" i="3"/>
  <c r="AD159" i="3"/>
  <c r="AC159" i="3"/>
  <c r="AB159" i="3"/>
  <c r="AA159" i="3"/>
  <c r="Z159" i="3"/>
  <c r="V159" i="3"/>
  <c r="U159" i="3"/>
  <c r="T159" i="3"/>
  <c r="S159" i="3"/>
  <c r="R159" i="3"/>
  <c r="Q159" i="3"/>
  <c r="AE155" i="3"/>
  <c r="AD155" i="3"/>
  <c r="AC155" i="3"/>
  <c r="AB155" i="3"/>
  <c r="AA155" i="3"/>
  <c r="Z155" i="3"/>
  <c r="V155" i="3"/>
  <c r="U155" i="3"/>
  <c r="T155" i="3"/>
  <c r="S155" i="3"/>
  <c r="R155" i="3"/>
  <c r="Q155" i="3"/>
  <c r="AE154" i="3"/>
  <c r="AD154" i="3"/>
  <c r="AC154" i="3"/>
  <c r="AB154" i="3"/>
  <c r="AA154" i="3"/>
  <c r="Z154" i="3"/>
  <c r="V154" i="3"/>
  <c r="U154" i="3"/>
  <c r="T154" i="3"/>
  <c r="S154" i="3"/>
  <c r="R154" i="3"/>
  <c r="Q154" i="3"/>
  <c r="AE153" i="3"/>
  <c r="AD153" i="3"/>
  <c r="AC153" i="3"/>
  <c r="AB153" i="3"/>
  <c r="AA153" i="3"/>
  <c r="Z153" i="3"/>
  <c r="V153" i="3"/>
  <c r="U153" i="3"/>
  <c r="T153" i="3"/>
  <c r="S153" i="3"/>
  <c r="R153" i="3"/>
  <c r="Q153" i="3"/>
  <c r="AE152" i="3"/>
  <c r="AD152" i="3"/>
  <c r="AC152" i="3"/>
  <c r="AB152" i="3"/>
  <c r="AA152" i="3"/>
  <c r="Z152" i="3"/>
  <c r="V152" i="3"/>
  <c r="U152" i="3"/>
  <c r="T152" i="3"/>
  <c r="S152" i="3"/>
  <c r="R152" i="3"/>
  <c r="Q152" i="3"/>
  <c r="AE151" i="3"/>
  <c r="AD151" i="3"/>
  <c r="AC151" i="3"/>
  <c r="AB151" i="3"/>
  <c r="AA151" i="3"/>
  <c r="Z151" i="3"/>
  <c r="V151" i="3"/>
  <c r="U151" i="3"/>
  <c r="T151" i="3"/>
  <c r="S151" i="3"/>
  <c r="R151" i="3"/>
  <c r="Q151" i="3"/>
  <c r="AE150" i="3"/>
  <c r="AD150" i="3"/>
  <c r="AC150" i="3"/>
  <c r="AB150" i="3"/>
  <c r="AA150" i="3"/>
  <c r="Z150" i="3"/>
  <c r="V150" i="3"/>
  <c r="U150" i="3"/>
  <c r="T150" i="3"/>
  <c r="S150" i="3"/>
  <c r="R150" i="3"/>
  <c r="Q150" i="3"/>
  <c r="AE149" i="3"/>
  <c r="AD149" i="3"/>
  <c r="AC149" i="3"/>
  <c r="AB149" i="3"/>
  <c r="AA149" i="3"/>
  <c r="Z149" i="3"/>
  <c r="V149" i="3"/>
  <c r="U149" i="3"/>
  <c r="T149" i="3"/>
  <c r="S149" i="3"/>
  <c r="R149" i="3"/>
  <c r="Q149" i="3"/>
  <c r="AE145" i="3"/>
  <c r="AD145" i="3"/>
  <c r="AC145" i="3"/>
  <c r="AB145" i="3"/>
  <c r="AA145" i="3"/>
  <c r="Z145" i="3"/>
  <c r="V145" i="3"/>
  <c r="U145" i="3"/>
  <c r="T145" i="3"/>
  <c r="S145" i="3"/>
  <c r="R145" i="3"/>
  <c r="Q145" i="3"/>
  <c r="AE144" i="3"/>
  <c r="AD144" i="3"/>
  <c r="AC144" i="3"/>
  <c r="AB144" i="3"/>
  <c r="AA144" i="3"/>
  <c r="Z144" i="3"/>
  <c r="V144" i="3"/>
  <c r="U144" i="3"/>
  <c r="T144" i="3"/>
  <c r="S144" i="3"/>
  <c r="R144" i="3"/>
  <c r="Q144" i="3"/>
  <c r="AE143" i="3"/>
  <c r="AD143" i="3"/>
  <c r="AC143" i="3"/>
  <c r="AB143" i="3"/>
  <c r="AA143" i="3"/>
  <c r="Z143" i="3"/>
  <c r="V143" i="3"/>
  <c r="U143" i="3"/>
  <c r="T143" i="3"/>
  <c r="S143" i="3"/>
  <c r="R143" i="3"/>
  <c r="Q143" i="3"/>
  <c r="AE142" i="3"/>
  <c r="AD142" i="3"/>
  <c r="AC142" i="3"/>
  <c r="AB142" i="3"/>
  <c r="AA142" i="3"/>
  <c r="Z142" i="3"/>
  <c r="V142" i="3"/>
  <c r="U142" i="3"/>
  <c r="T142" i="3"/>
  <c r="S142" i="3"/>
  <c r="R142" i="3"/>
  <c r="Q142" i="3"/>
  <c r="AE141" i="3"/>
  <c r="AD141" i="3"/>
  <c r="AC141" i="3"/>
  <c r="AB141" i="3"/>
  <c r="AA141" i="3"/>
  <c r="Z141" i="3"/>
  <c r="V141" i="3"/>
  <c r="U141" i="3"/>
  <c r="T141" i="3"/>
  <c r="S141" i="3"/>
  <c r="R141" i="3"/>
  <c r="Q141" i="3"/>
  <c r="AE140" i="3"/>
  <c r="AD140" i="3"/>
  <c r="AC140" i="3"/>
  <c r="AB140" i="3"/>
  <c r="AA140" i="3"/>
  <c r="Z140" i="3"/>
  <c r="V140" i="3"/>
  <c r="U140" i="3"/>
  <c r="T140" i="3"/>
  <c r="S140" i="3"/>
  <c r="R140" i="3"/>
  <c r="Q140" i="3"/>
  <c r="AE139" i="3"/>
  <c r="AD139" i="3"/>
  <c r="AC139" i="3"/>
  <c r="AB139" i="3"/>
  <c r="AA139" i="3"/>
  <c r="Z139" i="3"/>
  <c r="V139" i="3"/>
  <c r="U139" i="3"/>
  <c r="T139" i="3"/>
  <c r="S139" i="3"/>
  <c r="R139" i="3"/>
  <c r="Q139" i="3"/>
  <c r="AE135" i="3"/>
  <c r="AD135" i="3"/>
  <c r="AC135" i="3"/>
  <c r="AB135" i="3"/>
  <c r="AA135" i="3"/>
  <c r="Z135" i="3"/>
  <c r="V135" i="3"/>
  <c r="U135" i="3"/>
  <c r="T135" i="3"/>
  <c r="S135" i="3"/>
  <c r="R135" i="3"/>
  <c r="Q135" i="3"/>
  <c r="AE134" i="3"/>
  <c r="AD134" i="3"/>
  <c r="AC134" i="3"/>
  <c r="AB134" i="3"/>
  <c r="AA134" i="3"/>
  <c r="Z134" i="3"/>
  <c r="V134" i="3"/>
  <c r="U134" i="3"/>
  <c r="T134" i="3"/>
  <c r="S134" i="3"/>
  <c r="R134" i="3"/>
  <c r="Q134" i="3"/>
  <c r="AE133" i="3"/>
  <c r="AD133" i="3"/>
  <c r="AC133" i="3"/>
  <c r="AB133" i="3"/>
  <c r="AA133" i="3"/>
  <c r="Z133" i="3"/>
  <c r="V133" i="3"/>
  <c r="U133" i="3"/>
  <c r="T133" i="3"/>
  <c r="S133" i="3"/>
  <c r="R133" i="3"/>
  <c r="Q133" i="3"/>
  <c r="AE132" i="3"/>
  <c r="AD132" i="3"/>
  <c r="AC132" i="3"/>
  <c r="AB132" i="3"/>
  <c r="AA132" i="3"/>
  <c r="Z132" i="3"/>
  <c r="V132" i="3"/>
  <c r="U132" i="3"/>
  <c r="T132" i="3"/>
  <c r="S132" i="3"/>
  <c r="R132" i="3"/>
  <c r="Q132" i="3"/>
  <c r="AE131" i="3"/>
  <c r="AD131" i="3"/>
  <c r="AC131" i="3"/>
  <c r="AB131" i="3"/>
  <c r="AA131" i="3"/>
  <c r="Z131" i="3"/>
  <c r="V131" i="3"/>
  <c r="U131" i="3"/>
  <c r="T131" i="3"/>
  <c r="S131" i="3"/>
  <c r="R131" i="3"/>
  <c r="Q131" i="3"/>
  <c r="AE130" i="3"/>
  <c r="AD130" i="3"/>
  <c r="AC130" i="3"/>
  <c r="AB130" i="3"/>
  <c r="AA130" i="3"/>
  <c r="Z130" i="3"/>
  <c r="V130" i="3"/>
  <c r="U130" i="3"/>
  <c r="T130" i="3"/>
  <c r="S130" i="3"/>
  <c r="R130" i="3"/>
  <c r="Q130" i="3"/>
  <c r="AE129" i="3"/>
  <c r="AD129" i="3"/>
  <c r="AC129" i="3"/>
  <c r="AB129" i="3"/>
  <c r="AA129" i="3"/>
  <c r="Z129" i="3"/>
  <c r="V129" i="3"/>
  <c r="U129" i="3"/>
  <c r="T129" i="3"/>
  <c r="S129" i="3"/>
  <c r="R129" i="3"/>
  <c r="Q129" i="3"/>
  <c r="AE128" i="3"/>
  <c r="AD128" i="3"/>
  <c r="AC128" i="3"/>
  <c r="AB128" i="3"/>
  <c r="AA128" i="3"/>
  <c r="Z128" i="3"/>
  <c r="V128" i="3"/>
  <c r="U128" i="3"/>
  <c r="T128" i="3"/>
  <c r="S128" i="3"/>
  <c r="R128" i="3"/>
  <c r="Q128" i="3"/>
  <c r="AE127" i="3"/>
  <c r="AD127" i="3"/>
  <c r="AC127" i="3"/>
  <c r="AB127" i="3"/>
  <c r="AA127" i="3"/>
  <c r="Z127" i="3"/>
  <c r="V127" i="3"/>
  <c r="U127" i="3"/>
  <c r="T127" i="3"/>
  <c r="S127" i="3"/>
  <c r="R127" i="3"/>
  <c r="Q127" i="3"/>
  <c r="AE123" i="3"/>
  <c r="AD123" i="3"/>
  <c r="AC123" i="3"/>
  <c r="AB123" i="3"/>
  <c r="AA123" i="3"/>
  <c r="Z123" i="3"/>
  <c r="V123" i="3"/>
  <c r="U123" i="3"/>
  <c r="T123" i="3"/>
  <c r="S123" i="3"/>
  <c r="R123" i="3"/>
  <c r="Q123" i="3"/>
  <c r="AE122" i="3"/>
  <c r="AD122" i="3"/>
  <c r="AC122" i="3"/>
  <c r="AB122" i="3"/>
  <c r="AA122" i="3"/>
  <c r="Z122" i="3"/>
  <c r="V122" i="3"/>
  <c r="U122" i="3"/>
  <c r="T122" i="3"/>
  <c r="S122" i="3"/>
  <c r="R122" i="3"/>
  <c r="Q122" i="3"/>
  <c r="AE121" i="3"/>
  <c r="AD121" i="3"/>
  <c r="AC121" i="3"/>
  <c r="AB121" i="3"/>
  <c r="AA121" i="3"/>
  <c r="Z121" i="3"/>
  <c r="V121" i="3"/>
  <c r="U121" i="3"/>
  <c r="T121" i="3"/>
  <c r="S121" i="3"/>
  <c r="R121" i="3"/>
  <c r="Q121" i="3"/>
  <c r="AE120" i="3"/>
  <c r="AD120" i="3"/>
  <c r="AC120" i="3"/>
  <c r="AB120" i="3"/>
  <c r="AA120" i="3"/>
  <c r="Z120" i="3"/>
  <c r="V120" i="3"/>
  <c r="U120" i="3"/>
  <c r="T120" i="3"/>
  <c r="S120" i="3"/>
  <c r="R120" i="3"/>
  <c r="Q120" i="3"/>
  <c r="AE119" i="3"/>
  <c r="AD119" i="3"/>
  <c r="AC119" i="3"/>
  <c r="AB119" i="3"/>
  <c r="AA119" i="3"/>
  <c r="Z119" i="3"/>
  <c r="V119" i="3"/>
  <c r="U119" i="3"/>
  <c r="T119" i="3"/>
  <c r="S119" i="3"/>
  <c r="R119" i="3"/>
  <c r="Q119" i="3"/>
  <c r="AE118" i="3"/>
  <c r="AD118" i="3"/>
  <c r="AC118" i="3"/>
  <c r="AB118" i="3"/>
  <c r="AA118" i="3"/>
  <c r="Z118" i="3"/>
  <c r="V118" i="3"/>
  <c r="U118" i="3"/>
  <c r="T118" i="3"/>
  <c r="S118" i="3"/>
  <c r="R118" i="3"/>
  <c r="Q118" i="3"/>
  <c r="AE117" i="3"/>
  <c r="AD117" i="3"/>
  <c r="AC117" i="3"/>
  <c r="AB117" i="3"/>
  <c r="AA117" i="3"/>
  <c r="Z117" i="3"/>
  <c r="V117" i="3"/>
  <c r="U117" i="3"/>
  <c r="T117" i="3"/>
  <c r="S117" i="3"/>
  <c r="R117" i="3"/>
  <c r="Q117" i="3"/>
  <c r="AE116" i="3"/>
  <c r="AD116" i="3"/>
  <c r="AC116" i="3"/>
  <c r="AB116" i="3"/>
  <c r="AA116" i="3"/>
  <c r="Z116" i="3"/>
  <c r="V116" i="3"/>
  <c r="U116" i="3"/>
  <c r="T116" i="3"/>
  <c r="S116" i="3"/>
  <c r="R116" i="3"/>
  <c r="Q116" i="3"/>
  <c r="AE115" i="3"/>
  <c r="AD115" i="3"/>
  <c r="AC115" i="3"/>
  <c r="AB115" i="3"/>
  <c r="AA115" i="3"/>
  <c r="Z115" i="3"/>
  <c r="V115" i="3"/>
  <c r="U115" i="3"/>
  <c r="T115" i="3"/>
  <c r="S115" i="3"/>
  <c r="R115" i="3"/>
  <c r="Q115" i="3"/>
  <c r="AE111" i="3"/>
  <c r="AD111" i="3"/>
  <c r="AC111" i="3"/>
  <c r="AB111" i="3"/>
  <c r="AA111" i="3"/>
  <c r="Z111" i="3"/>
  <c r="V111" i="3"/>
  <c r="U111" i="3"/>
  <c r="T111" i="3"/>
  <c r="S111" i="3"/>
  <c r="R111" i="3"/>
  <c r="Q111" i="3"/>
  <c r="AE110" i="3"/>
  <c r="AD110" i="3"/>
  <c r="AC110" i="3"/>
  <c r="AB110" i="3"/>
  <c r="AA110" i="3"/>
  <c r="Z110" i="3"/>
  <c r="V110" i="3"/>
  <c r="U110" i="3"/>
  <c r="T110" i="3"/>
  <c r="S110" i="3"/>
  <c r="R110" i="3"/>
  <c r="Q110" i="3"/>
  <c r="AE109" i="3"/>
  <c r="AD109" i="3"/>
  <c r="AC109" i="3"/>
  <c r="AB109" i="3"/>
  <c r="AA109" i="3"/>
  <c r="Z109" i="3"/>
  <c r="V109" i="3"/>
  <c r="U109" i="3"/>
  <c r="T109" i="3"/>
  <c r="S109" i="3"/>
  <c r="R109" i="3"/>
  <c r="Q109" i="3"/>
  <c r="AE108" i="3"/>
  <c r="AD108" i="3"/>
  <c r="AC108" i="3"/>
  <c r="AB108" i="3"/>
  <c r="AA108" i="3"/>
  <c r="Z108" i="3"/>
  <c r="V108" i="3"/>
  <c r="U108" i="3"/>
  <c r="T108" i="3"/>
  <c r="S108" i="3"/>
  <c r="R108" i="3"/>
  <c r="Q108" i="3"/>
  <c r="AE107" i="3"/>
  <c r="AD107" i="3"/>
  <c r="AC107" i="3"/>
  <c r="AB107" i="3"/>
  <c r="AA107" i="3"/>
  <c r="Z107" i="3"/>
  <c r="V107" i="3"/>
  <c r="U107" i="3"/>
  <c r="T107" i="3"/>
  <c r="S107" i="3"/>
  <c r="R107" i="3"/>
  <c r="Q107" i="3"/>
  <c r="AE106" i="3"/>
  <c r="AD106" i="3"/>
  <c r="AC106" i="3"/>
  <c r="AB106" i="3"/>
  <c r="AA106" i="3"/>
  <c r="Z106" i="3"/>
  <c r="V106" i="3"/>
  <c r="U106" i="3"/>
  <c r="T106" i="3"/>
  <c r="S106" i="3"/>
  <c r="R106" i="3"/>
  <c r="Q106" i="3"/>
  <c r="AE105" i="3"/>
  <c r="AD105" i="3"/>
  <c r="AC105" i="3"/>
  <c r="AB105" i="3"/>
  <c r="AA105" i="3"/>
  <c r="Z105" i="3"/>
  <c r="V105" i="3"/>
  <c r="U105" i="3"/>
  <c r="T105" i="3"/>
  <c r="S105" i="3"/>
  <c r="R105" i="3"/>
  <c r="Q105" i="3"/>
  <c r="AE104" i="3"/>
  <c r="AD104" i="3"/>
  <c r="AC104" i="3"/>
  <c r="AB104" i="3"/>
  <c r="AA104" i="3"/>
  <c r="Z104" i="3"/>
  <c r="V104" i="3"/>
  <c r="U104" i="3"/>
  <c r="T104" i="3"/>
  <c r="S104" i="3"/>
  <c r="R104" i="3"/>
  <c r="Q104" i="3"/>
  <c r="AE103" i="3"/>
  <c r="AD103" i="3"/>
  <c r="AC103" i="3"/>
  <c r="AB103" i="3"/>
  <c r="AA103" i="3"/>
  <c r="Z103" i="3"/>
  <c r="V103" i="3"/>
  <c r="U103" i="3"/>
  <c r="T103" i="3"/>
  <c r="S103" i="3"/>
  <c r="R103" i="3"/>
  <c r="Q103" i="3"/>
  <c r="AE99" i="3"/>
  <c r="AD99" i="3"/>
  <c r="AC99" i="3"/>
  <c r="AB99" i="3"/>
  <c r="AA99" i="3"/>
  <c r="Z99" i="3"/>
  <c r="V99" i="3"/>
  <c r="U99" i="3"/>
  <c r="T99" i="3"/>
  <c r="S99" i="3"/>
  <c r="R99" i="3"/>
  <c r="Q99" i="3"/>
  <c r="AE98" i="3"/>
  <c r="AD98" i="3"/>
  <c r="AC98" i="3"/>
  <c r="AB98" i="3"/>
  <c r="AA98" i="3"/>
  <c r="Z98" i="3"/>
  <c r="V98" i="3"/>
  <c r="U98" i="3"/>
  <c r="T98" i="3"/>
  <c r="S98" i="3"/>
  <c r="R98" i="3"/>
  <c r="Q98" i="3"/>
  <c r="AE97" i="3"/>
  <c r="AD97" i="3"/>
  <c r="AC97" i="3"/>
  <c r="AB97" i="3"/>
  <c r="AA97" i="3"/>
  <c r="Z97" i="3"/>
  <c r="V97" i="3"/>
  <c r="U97" i="3"/>
  <c r="T97" i="3"/>
  <c r="S97" i="3"/>
  <c r="R97" i="3"/>
  <c r="Q97" i="3"/>
  <c r="AE93" i="3"/>
  <c r="AD93" i="3"/>
  <c r="AC93" i="3"/>
  <c r="AB93" i="3"/>
  <c r="AA93" i="3"/>
  <c r="Z93" i="3"/>
  <c r="V93" i="3"/>
  <c r="U93" i="3"/>
  <c r="T93" i="3"/>
  <c r="S93" i="3"/>
  <c r="R93" i="3"/>
  <c r="Q93" i="3"/>
  <c r="AE92" i="3"/>
  <c r="AD92" i="3"/>
  <c r="AC92" i="3"/>
  <c r="AB92" i="3"/>
  <c r="AA92" i="3"/>
  <c r="Z92" i="3"/>
  <c r="V92" i="3"/>
  <c r="U92" i="3"/>
  <c r="T92" i="3"/>
  <c r="S92" i="3"/>
  <c r="R92" i="3"/>
  <c r="Q92" i="3"/>
  <c r="AE91" i="3"/>
  <c r="AD91" i="3"/>
  <c r="AC91" i="3"/>
  <c r="AB91" i="3"/>
  <c r="AA91" i="3"/>
  <c r="Z91" i="3"/>
  <c r="V91" i="3"/>
  <c r="U91" i="3"/>
  <c r="T91" i="3"/>
  <c r="S91" i="3"/>
  <c r="R91" i="3"/>
  <c r="Q91" i="3"/>
  <c r="AE87" i="3"/>
  <c r="AD87" i="3"/>
  <c r="AC87" i="3"/>
  <c r="AB87" i="3"/>
  <c r="AA87" i="3"/>
  <c r="Z87" i="3"/>
  <c r="V87" i="3"/>
  <c r="U87" i="3"/>
  <c r="T87" i="3"/>
  <c r="S87" i="3"/>
  <c r="R87" i="3"/>
  <c r="Q87" i="3"/>
  <c r="AE86" i="3"/>
  <c r="AD86" i="3"/>
  <c r="AC86" i="3"/>
  <c r="AB86" i="3"/>
  <c r="AA86" i="3"/>
  <c r="Z86" i="3"/>
  <c r="V86" i="3"/>
  <c r="U86" i="3"/>
  <c r="T86" i="3"/>
  <c r="S86" i="3"/>
  <c r="R86" i="3"/>
  <c r="Q86" i="3"/>
  <c r="AE85" i="3"/>
  <c r="AD85" i="3"/>
  <c r="AC85" i="3"/>
  <c r="AB85" i="3"/>
  <c r="AA85" i="3"/>
  <c r="Z85" i="3"/>
  <c r="V85" i="3"/>
  <c r="U85" i="3"/>
  <c r="T85" i="3"/>
  <c r="S85" i="3"/>
  <c r="R85" i="3"/>
  <c r="Q85" i="3"/>
  <c r="V79" i="3"/>
  <c r="U79" i="3"/>
  <c r="T79" i="3"/>
  <c r="S79" i="3"/>
  <c r="R79" i="3"/>
  <c r="Q79" i="3"/>
  <c r="AE75" i="3"/>
  <c r="AD75" i="3"/>
  <c r="AC75" i="3"/>
  <c r="AB75" i="3"/>
  <c r="AA75" i="3"/>
  <c r="Z75" i="3"/>
  <c r="AE74" i="3"/>
  <c r="AD74" i="3"/>
  <c r="AC74" i="3"/>
  <c r="AB74" i="3"/>
  <c r="AA74" i="3"/>
  <c r="Z74" i="3"/>
  <c r="AE73" i="3"/>
  <c r="AD73" i="3"/>
  <c r="AC73" i="3"/>
  <c r="AB73" i="3"/>
  <c r="AA73" i="3"/>
  <c r="Z73" i="3"/>
  <c r="V73" i="3"/>
  <c r="U73" i="3"/>
  <c r="T73" i="3"/>
  <c r="S73" i="3"/>
  <c r="R73" i="3"/>
  <c r="Q73" i="3"/>
  <c r="AE69" i="3"/>
  <c r="AD69" i="3"/>
  <c r="AC69" i="3"/>
  <c r="AB69" i="3"/>
  <c r="AA69" i="3"/>
  <c r="Z69" i="3"/>
  <c r="V69" i="3"/>
  <c r="U69" i="3"/>
  <c r="T69" i="3"/>
  <c r="S69" i="3"/>
  <c r="R69" i="3"/>
  <c r="Q69" i="3"/>
  <c r="AE65" i="3"/>
  <c r="AD65" i="3"/>
  <c r="AC65" i="3"/>
  <c r="AB65" i="3"/>
  <c r="AA65" i="3"/>
  <c r="Z65" i="3"/>
  <c r="V65" i="3"/>
  <c r="U65" i="3"/>
  <c r="T65" i="3"/>
  <c r="S65" i="3"/>
  <c r="R65" i="3"/>
  <c r="Q65" i="3"/>
  <c r="AE61" i="3"/>
  <c r="AD61" i="3"/>
  <c r="AC61" i="3"/>
  <c r="AB61" i="3"/>
  <c r="AA61" i="3"/>
  <c r="Z61" i="3"/>
  <c r="V61" i="3"/>
  <c r="U61" i="3"/>
  <c r="T61" i="3"/>
  <c r="S61" i="3"/>
  <c r="R61" i="3"/>
  <c r="Q61" i="3"/>
  <c r="V57" i="3"/>
  <c r="U57" i="3"/>
  <c r="T57" i="3"/>
  <c r="S57" i="3"/>
  <c r="R57" i="3"/>
  <c r="Q57" i="3"/>
  <c r="V56" i="3"/>
  <c r="U56" i="3"/>
  <c r="T56" i="3"/>
  <c r="S56" i="3"/>
  <c r="R56" i="3"/>
  <c r="Q56" i="3"/>
  <c r="V55" i="3"/>
  <c r="U55" i="3"/>
  <c r="T55" i="3"/>
  <c r="S55" i="3"/>
  <c r="R55" i="3"/>
  <c r="Q55" i="3"/>
  <c r="V54" i="3"/>
  <c r="U54" i="3"/>
  <c r="T54" i="3"/>
  <c r="S54" i="3"/>
  <c r="R54" i="3"/>
  <c r="Q54" i="3"/>
  <c r="AE53" i="3"/>
  <c r="AD53" i="3"/>
  <c r="AC53" i="3"/>
  <c r="AB53" i="3"/>
  <c r="AA53" i="3"/>
  <c r="Z53" i="3"/>
  <c r="V53" i="3"/>
  <c r="U53" i="3"/>
  <c r="T53" i="3"/>
  <c r="S53" i="3"/>
  <c r="R53" i="3"/>
  <c r="Q53" i="3"/>
  <c r="AE49" i="3"/>
  <c r="AD49" i="3"/>
  <c r="AC49" i="3"/>
  <c r="AB49" i="3"/>
  <c r="AA49" i="3"/>
  <c r="Z49" i="3"/>
  <c r="V49" i="3"/>
  <c r="U49" i="3"/>
  <c r="T49" i="3"/>
  <c r="S49" i="3"/>
  <c r="R49" i="3"/>
  <c r="Q49" i="3"/>
  <c r="AE45" i="3"/>
  <c r="AD45" i="3"/>
  <c r="AC45" i="3"/>
  <c r="AB45" i="3"/>
  <c r="AA45" i="3"/>
  <c r="Z45" i="3"/>
  <c r="V45" i="3"/>
  <c r="U45" i="3"/>
  <c r="T45" i="3"/>
  <c r="S45" i="3"/>
  <c r="R45" i="3"/>
  <c r="Q45" i="3"/>
  <c r="AE41" i="3"/>
  <c r="AD41" i="3"/>
  <c r="AC41" i="3"/>
  <c r="AB41" i="3"/>
  <c r="AA41" i="3"/>
  <c r="Z41" i="3"/>
  <c r="V41" i="3"/>
  <c r="U41" i="3"/>
  <c r="T41" i="3"/>
  <c r="S41" i="3"/>
  <c r="R41" i="3"/>
  <c r="Q41" i="3"/>
  <c r="AE37" i="3"/>
  <c r="AD37" i="3"/>
  <c r="AC37" i="3"/>
  <c r="AB37" i="3"/>
  <c r="AA37" i="3"/>
  <c r="Z37" i="3"/>
  <c r="V37" i="3"/>
  <c r="U37" i="3"/>
  <c r="T37" i="3"/>
  <c r="S37" i="3"/>
  <c r="R37" i="3"/>
  <c r="Q37" i="3"/>
  <c r="P37" i="2"/>
  <c r="O37" i="2"/>
  <c r="N37" i="2"/>
  <c r="M37" i="2"/>
  <c r="L37" i="2"/>
  <c r="K37" i="2"/>
  <c r="P36" i="2"/>
  <c r="O36" i="2"/>
  <c r="N36" i="2"/>
  <c r="M36" i="2"/>
  <c r="L36" i="2"/>
  <c r="K36" i="2"/>
  <c r="P35" i="2"/>
  <c r="O35" i="2"/>
  <c r="N35" i="2"/>
  <c r="M35" i="2"/>
  <c r="L35" i="2"/>
  <c r="K35" i="2"/>
  <c r="P34" i="2"/>
  <c r="O34" i="2"/>
  <c r="N34" i="2"/>
  <c r="M34" i="2"/>
  <c r="L34" i="2"/>
  <c r="K34" i="2"/>
  <c r="P33" i="2"/>
  <c r="O33" i="2"/>
  <c r="N33" i="2"/>
  <c r="M33" i="2"/>
  <c r="L33" i="2"/>
  <c r="K33" i="2"/>
  <c r="P32" i="2"/>
  <c r="O32" i="2"/>
  <c r="N32" i="2"/>
  <c r="M32" i="2"/>
  <c r="L32" i="2"/>
  <c r="K32" i="2"/>
  <c r="G32" i="2"/>
  <c r="F32" i="2"/>
  <c r="E32" i="2"/>
  <c r="D32" i="2"/>
  <c r="C32" i="2"/>
  <c r="B32" i="2"/>
  <c r="P31" i="2"/>
  <c r="O31" i="2"/>
  <c r="N31" i="2"/>
  <c r="M31" i="2"/>
  <c r="L31" i="2"/>
  <c r="K31" i="2"/>
  <c r="G31" i="2"/>
  <c r="F31" i="2"/>
  <c r="E31" i="2"/>
  <c r="D31" i="2"/>
  <c r="C31" i="2"/>
  <c r="B31" i="2"/>
  <c r="P26" i="2"/>
  <c r="O26" i="2"/>
  <c r="N26" i="2"/>
  <c r="M26" i="2"/>
  <c r="L26" i="2"/>
  <c r="K26" i="2"/>
  <c r="P25" i="2"/>
  <c r="O25" i="2"/>
  <c r="N25" i="2"/>
  <c r="M25" i="2"/>
  <c r="L25" i="2"/>
  <c r="K25" i="2"/>
  <c r="P24" i="2"/>
  <c r="O24" i="2"/>
  <c r="N24" i="2"/>
  <c r="M24" i="2"/>
  <c r="L24" i="2"/>
  <c r="K24" i="2"/>
  <c r="P23" i="2"/>
  <c r="O23" i="2"/>
  <c r="N23" i="2"/>
  <c r="M23" i="2"/>
  <c r="L23" i="2"/>
  <c r="K23" i="2"/>
  <c r="G23" i="2"/>
  <c r="F23" i="2"/>
  <c r="E23" i="2"/>
  <c r="D23" i="2"/>
  <c r="C23" i="2"/>
  <c r="B23" i="2"/>
  <c r="P22" i="2"/>
  <c r="O22" i="2"/>
  <c r="N22" i="2"/>
  <c r="M22" i="2"/>
  <c r="L22" i="2"/>
  <c r="K22" i="2"/>
  <c r="G22" i="2"/>
  <c r="F22" i="2"/>
  <c r="E22" i="2"/>
  <c r="D22" i="2"/>
  <c r="C22" i="2"/>
  <c r="B22" i="2"/>
  <c r="Y21" i="2"/>
  <c r="X21" i="2"/>
  <c r="W21" i="2"/>
  <c r="V21" i="2"/>
  <c r="U21" i="2"/>
  <c r="T21" i="2"/>
  <c r="P21" i="2"/>
  <c r="O21" i="2"/>
  <c r="N21" i="2"/>
  <c r="M21" i="2"/>
  <c r="L21" i="2"/>
  <c r="K21" i="2"/>
  <c r="G21" i="2"/>
  <c r="F21" i="2"/>
  <c r="E21" i="2"/>
  <c r="D21" i="2"/>
  <c r="C21" i="2"/>
  <c r="B21" i="2"/>
  <c r="AH20" i="2"/>
  <c r="AH18" i="2" s="1"/>
  <c r="AG20" i="2"/>
  <c r="AG18" i="2" s="1"/>
  <c r="AF20" i="2"/>
  <c r="AF18" i="2" s="1"/>
  <c r="AE20" i="2"/>
  <c r="AE18" i="2" s="1"/>
  <c r="AD20" i="2"/>
  <c r="AD18" i="2" s="1"/>
  <c r="AC20" i="2"/>
  <c r="Y20" i="2"/>
  <c r="X20" i="2"/>
  <c r="W20" i="2"/>
  <c r="V20" i="2"/>
  <c r="U20" i="2"/>
  <c r="T20" i="2"/>
  <c r="P20" i="2"/>
  <c r="O20" i="2"/>
  <c r="N20" i="2"/>
  <c r="M20" i="2"/>
  <c r="L20" i="2"/>
  <c r="K20" i="2"/>
  <c r="G20" i="2"/>
  <c r="F20" i="2"/>
  <c r="E20" i="2"/>
  <c r="D20" i="2"/>
  <c r="C20" i="2"/>
  <c r="B20" i="2"/>
  <c r="AH13" i="2"/>
  <c r="AG13" i="2"/>
  <c r="AF13" i="2"/>
  <c r="AE13" i="2"/>
  <c r="AD13" i="2"/>
  <c r="AC13" i="2"/>
  <c r="Y13" i="2"/>
  <c r="X13" i="2"/>
  <c r="W13" i="2"/>
  <c r="V13" i="2"/>
  <c r="U13" i="2"/>
  <c r="T13" i="2"/>
  <c r="AH12" i="2"/>
  <c r="AG12" i="2"/>
  <c r="AF12" i="2"/>
  <c r="AE12" i="2"/>
  <c r="AD12" i="2"/>
  <c r="AC12" i="2"/>
  <c r="Y12" i="2"/>
  <c r="X12" i="2"/>
  <c r="W12" i="2"/>
  <c r="V12" i="2"/>
  <c r="U12" i="2"/>
  <c r="T12" i="2"/>
  <c r="AH11" i="2"/>
  <c r="AG11" i="2"/>
  <c r="AF11" i="2"/>
  <c r="AE11" i="2"/>
  <c r="AD11" i="2"/>
  <c r="AC11" i="2"/>
  <c r="Y11" i="2"/>
  <c r="X11" i="2"/>
  <c r="W11" i="2"/>
  <c r="V11" i="2"/>
  <c r="U11" i="2"/>
  <c r="T11" i="2"/>
  <c r="G11" i="2"/>
  <c r="F11" i="2"/>
  <c r="E11" i="2"/>
  <c r="D11" i="2"/>
  <c r="C11" i="2"/>
  <c r="B11" i="2"/>
  <c r="AH10" i="2"/>
  <c r="AG10" i="2"/>
  <c r="AF10" i="2"/>
  <c r="AE10" i="2"/>
  <c r="AD10" i="2"/>
  <c r="AC10" i="2"/>
  <c r="Y10" i="2"/>
  <c r="X10" i="2"/>
  <c r="W10" i="2"/>
  <c r="V10" i="2"/>
  <c r="U10" i="2"/>
  <c r="T10" i="2"/>
  <c r="G10" i="2"/>
  <c r="F10" i="2"/>
  <c r="E10" i="2"/>
  <c r="D10" i="2"/>
  <c r="C10" i="2"/>
  <c r="B10" i="2"/>
  <c r="AH9" i="2"/>
  <c r="AG9" i="2"/>
  <c r="AF9" i="2"/>
  <c r="AE9" i="2"/>
  <c r="AD9" i="2"/>
  <c r="AC9" i="2"/>
  <c r="Y9" i="2"/>
  <c r="X9" i="2"/>
  <c r="W9" i="2"/>
  <c r="V9" i="2"/>
  <c r="U9" i="2"/>
  <c r="T9" i="2"/>
  <c r="G9" i="2"/>
  <c r="F9" i="2"/>
  <c r="E9" i="2"/>
  <c r="D9" i="2"/>
  <c r="C9" i="2"/>
  <c r="B9" i="2"/>
  <c r="AH8" i="2"/>
  <c r="AG8" i="2"/>
  <c r="AF8" i="2"/>
  <c r="AE8" i="2"/>
  <c r="AD8" i="2"/>
  <c r="AC8" i="2"/>
  <c r="Y8" i="2"/>
  <c r="X8" i="2"/>
  <c r="W8" i="2"/>
  <c r="V8" i="2"/>
  <c r="U8" i="2"/>
  <c r="T8" i="2"/>
  <c r="G8" i="2"/>
  <c r="F8" i="2"/>
  <c r="E8" i="2"/>
  <c r="D8" i="2"/>
  <c r="C8" i="2"/>
  <c r="B8" i="2"/>
  <c r="AH7" i="2"/>
  <c r="AG7" i="2"/>
  <c r="AF7" i="2"/>
  <c r="AE7" i="2"/>
  <c r="AD7" i="2"/>
  <c r="AC7" i="2"/>
  <c r="Y7" i="2"/>
  <c r="X7" i="2"/>
  <c r="W7" i="2"/>
  <c r="V7" i="2"/>
  <c r="U7" i="2"/>
  <c r="T7" i="2"/>
  <c r="G7" i="2"/>
  <c r="F7" i="2"/>
  <c r="E7" i="2"/>
  <c r="D7" i="2"/>
  <c r="C7" i="2"/>
  <c r="B7" i="2"/>
  <c r="AH6" i="2"/>
  <c r="AG6" i="2"/>
  <c r="AF6" i="2"/>
  <c r="AE6" i="2"/>
  <c r="AD6" i="2"/>
  <c r="AC6" i="2"/>
  <c r="Y6" i="2"/>
  <c r="X6" i="2"/>
  <c r="W6" i="2"/>
  <c r="V6" i="2"/>
  <c r="U6" i="2"/>
  <c r="T6" i="2"/>
  <c r="G6" i="2"/>
  <c r="F6" i="2"/>
  <c r="E6" i="2"/>
  <c r="D6" i="2"/>
  <c r="C6" i="2"/>
  <c r="B6" i="2"/>
  <c r="AH5" i="2"/>
  <c r="AG5" i="2"/>
  <c r="AF5" i="2"/>
  <c r="AE5" i="2"/>
  <c r="AD5" i="2"/>
  <c r="AC5" i="2"/>
  <c r="Y5" i="2"/>
  <c r="X5" i="2"/>
  <c r="W5" i="2"/>
  <c r="V5" i="2"/>
  <c r="U5" i="2"/>
  <c r="T5" i="2"/>
  <c r="G5" i="2"/>
  <c r="F5" i="2"/>
  <c r="E5" i="2"/>
  <c r="D5" i="2"/>
  <c r="C5" i="2"/>
  <c r="AB38" i="6" l="1"/>
  <c r="A59" i="6"/>
  <c r="AB23" i="6"/>
  <c r="AB59" i="6"/>
  <c r="J66" i="6"/>
  <c r="J59" i="6"/>
  <c r="J3" i="6"/>
  <c r="A3" i="6"/>
  <c r="S3" i="6"/>
  <c r="S38" i="6"/>
  <c r="S18" i="6"/>
  <c r="AB3" i="6"/>
  <c r="S23" i="6"/>
  <c r="S32" i="6"/>
  <c r="A44" i="6"/>
  <c r="V18" i="2"/>
  <c r="W18" i="2"/>
  <c r="U18" i="2"/>
  <c r="B3" i="2"/>
  <c r="G18" i="2"/>
  <c r="N18" i="2"/>
  <c r="W164" i="3"/>
  <c r="W215" i="3"/>
  <c r="V3" i="2"/>
  <c r="AG3" i="2"/>
  <c r="AF160" i="3"/>
  <c r="AF162" i="3"/>
  <c r="AF216" i="3"/>
  <c r="AF41" i="3"/>
  <c r="F11" i="3" s="1"/>
  <c r="W55" i="3"/>
  <c r="W129" i="3"/>
  <c r="W133" i="3"/>
  <c r="W144" i="3"/>
  <c r="W153" i="3"/>
  <c r="W155" i="3"/>
  <c r="W160" i="3"/>
  <c r="AF3" i="2"/>
  <c r="W93" i="3"/>
  <c r="W107" i="3"/>
  <c r="W122" i="3"/>
  <c r="W212" i="3"/>
  <c r="AI6" i="2"/>
  <c r="D3" i="2"/>
  <c r="AI8" i="2"/>
  <c r="AI10" i="2"/>
  <c r="E29" i="2"/>
  <c r="P29" i="2"/>
  <c r="Q33" i="2"/>
  <c r="Q36" i="2"/>
  <c r="AF69" i="3"/>
  <c r="M19" i="3" s="1"/>
  <c r="W86" i="3"/>
  <c r="W103" i="3"/>
  <c r="W109" i="3"/>
  <c r="W111" i="3"/>
  <c r="W118" i="3"/>
  <c r="AF205" i="3"/>
  <c r="AF210" i="3"/>
  <c r="X18" i="2"/>
  <c r="AF99" i="3"/>
  <c r="W140" i="3"/>
  <c r="W151" i="3"/>
  <c r="W169" i="3"/>
  <c r="W176" i="3"/>
  <c r="W190" i="3"/>
  <c r="W199" i="3"/>
  <c r="W201" i="3"/>
  <c r="W205" i="3"/>
  <c r="M18" i="2"/>
  <c r="D18" i="2"/>
  <c r="AI20" i="2"/>
  <c r="H22" i="2"/>
  <c r="AF87" i="3"/>
  <c r="AF143" i="3"/>
  <c r="W183" i="3"/>
  <c r="W194" i="3"/>
  <c r="N3" i="2"/>
  <c r="Z9" i="2"/>
  <c r="AF73" i="3"/>
  <c r="W85" i="3"/>
  <c r="AF134" i="3"/>
  <c r="AF152" i="3"/>
  <c r="AF189" i="3"/>
  <c r="AH3" i="2"/>
  <c r="F29" i="2"/>
  <c r="W53" i="3"/>
  <c r="W130" i="3"/>
  <c r="W132" i="3"/>
  <c r="AF177" i="3"/>
  <c r="AF213" i="3"/>
  <c r="X3" i="2"/>
  <c r="C29" i="2"/>
  <c r="AF118" i="3"/>
  <c r="AF120" i="3"/>
  <c r="W170" i="3"/>
  <c r="L3" i="2"/>
  <c r="W3" i="2"/>
  <c r="Z6" i="2"/>
  <c r="Z11" i="2"/>
  <c r="AI12" i="2"/>
  <c r="E18" i="2"/>
  <c r="P18" i="2"/>
  <c r="Q24" i="2"/>
  <c r="H32" i="2"/>
  <c r="Q35" i="2"/>
  <c r="W65" i="3"/>
  <c r="M10" i="3" s="1"/>
  <c r="W87" i="3"/>
  <c r="W92" i="3"/>
  <c r="AF97" i="3"/>
  <c r="AF106" i="3"/>
  <c r="W116" i="3"/>
  <c r="AF122" i="3"/>
  <c r="AF127" i="3"/>
  <c r="W134" i="3"/>
  <c r="W139" i="3"/>
  <c r="AF141" i="3"/>
  <c r="AF150" i="3"/>
  <c r="AF164" i="3"/>
  <c r="W175" i="3"/>
  <c r="W177" i="3"/>
  <c r="W182" i="3"/>
  <c r="AF187" i="3"/>
  <c r="AF193" i="3"/>
  <c r="W203" i="3"/>
  <c r="AF212" i="3"/>
  <c r="H5" i="2"/>
  <c r="M3" i="2"/>
  <c r="Z20" i="2"/>
  <c r="F18" i="2"/>
  <c r="Z21" i="2"/>
  <c r="Q25" i="2"/>
  <c r="G29" i="2"/>
  <c r="W45" i="3"/>
  <c r="F13" i="3" s="1"/>
  <c r="AF49" i="3"/>
  <c r="F18" i="3" s="1"/>
  <c r="W79" i="3"/>
  <c r="M16" i="3" s="1"/>
  <c r="W97" i="3"/>
  <c r="W99" i="3"/>
  <c r="AF104" i="3"/>
  <c r="AF110" i="3"/>
  <c r="W120" i="3"/>
  <c r="AF129" i="3"/>
  <c r="AF131" i="3"/>
  <c r="W141" i="3"/>
  <c r="W143" i="3"/>
  <c r="AF145" i="3"/>
  <c r="AF154" i="3"/>
  <c r="W162" i="3"/>
  <c r="AF169" i="3"/>
  <c r="AF171" i="3"/>
  <c r="W187" i="3"/>
  <c r="W189" i="3"/>
  <c r="AF191" i="3"/>
  <c r="AF200" i="3"/>
  <c r="W210" i="3"/>
  <c r="AF214" i="3"/>
  <c r="C3" i="2"/>
  <c r="Y3" i="2"/>
  <c r="H7" i="2"/>
  <c r="Q23" i="2"/>
  <c r="Q31" i="2"/>
  <c r="W41" i="3"/>
  <c r="F10" i="3" s="1"/>
  <c r="W56" i="3"/>
  <c r="AF61" i="3"/>
  <c r="M9" i="3" s="1"/>
  <c r="AF91" i="3"/>
  <c r="W104" i="3"/>
  <c r="W106" i="3"/>
  <c r="AF108" i="3"/>
  <c r="AF117" i="3"/>
  <c r="W127" i="3"/>
  <c r="AF133" i="3"/>
  <c r="AF135" i="3"/>
  <c r="W145" i="3"/>
  <c r="W150" i="3"/>
  <c r="AF159" i="3"/>
  <c r="AF176" i="3"/>
  <c r="AF181" i="3"/>
  <c r="W191" i="3"/>
  <c r="AF198" i="3"/>
  <c r="AF204" i="3"/>
  <c r="H6" i="2"/>
  <c r="AI5" i="2"/>
  <c r="O3" i="2"/>
  <c r="H8" i="2"/>
  <c r="Z8" i="2"/>
  <c r="H9" i="2"/>
  <c r="AI13" i="2"/>
  <c r="Q20" i="2"/>
  <c r="L18" i="2"/>
  <c r="L29" i="2"/>
  <c r="W54" i="3"/>
  <c r="W73" i="3"/>
  <c r="M21" i="3" s="1"/>
  <c r="AF75" i="3"/>
  <c r="AF98" i="3"/>
  <c r="W108" i="3"/>
  <c r="W110" i="3"/>
  <c r="AF115" i="3"/>
  <c r="AF121" i="3"/>
  <c r="W131" i="3"/>
  <c r="AF140" i="3"/>
  <c r="AF142" i="3"/>
  <c r="W152" i="3"/>
  <c r="W154" i="3"/>
  <c r="AF163" i="3"/>
  <c r="W171" i="3"/>
  <c r="AF183" i="3"/>
  <c r="AF188" i="3"/>
  <c r="W193" i="3"/>
  <c r="W198" i="3"/>
  <c r="W200" i="3"/>
  <c r="AF202" i="3"/>
  <c r="AF211" i="3"/>
  <c r="W214" i="3"/>
  <c r="W216" i="3"/>
  <c r="E3" i="2"/>
  <c r="P3" i="2"/>
  <c r="AD3" i="2"/>
  <c r="AI7" i="2"/>
  <c r="H10" i="2"/>
  <c r="Z10" i="2"/>
  <c r="H11" i="2"/>
  <c r="Z12" i="2"/>
  <c r="H23" i="2"/>
  <c r="H31" i="2"/>
  <c r="M29" i="2"/>
  <c r="Q34" i="2"/>
  <c r="AF37" i="3"/>
  <c r="F9" i="3" s="1"/>
  <c r="W49" i="3"/>
  <c r="F14" i="3" s="1"/>
  <c r="W69" i="3"/>
  <c r="M13" i="3" s="1"/>
  <c r="AF86" i="3"/>
  <c r="W91" i="3"/>
  <c r="AF103" i="3"/>
  <c r="AF105" i="3"/>
  <c r="W115" i="3"/>
  <c r="W117" i="3"/>
  <c r="AF119" i="3"/>
  <c r="AF128" i="3"/>
  <c r="W135" i="3"/>
  <c r="AF144" i="3"/>
  <c r="AF149" i="3"/>
  <c r="W159" i="3"/>
  <c r="AF161" i="3"/>
  <c r="W181" i="3"/>
  <c r="AF190" i="3"/>
  <c r="AF192" i="3"/>
  <c r="W202" i="3"/>
  <c r="W204" i="3"/>
  <c r="AF209" i="3"/>
  <c r="O18" i="2"/>
  <c r="F3" i="2"/>
  <c r="Z13" i="2"/>
  <c r="H20" i="2"/>
  <c r="Q21" i="2"/>
  <c r="N29" i="2"/>
  <c r="AF45" i="3"/>
  <c r="F16" i="3" s="1"/>
  <c r="AF53" i="3"/>
  <c r="M14" i="3" s="1"/>
  <c r="W61" i="3"/>
  <c r="M8" i="3" s="1"/>
  <c r="AF85" i="3"/>
  <c r="AF93" i="3"/>
  <c r="W98" i="3"/>
  <c r="AF107" i="3"/>
  <c r="AF109" i="3"/>
  <c r="W119" i="3"/>
  <c r="W121" i="3"/>
  <c r="AF123" i="3"/>
  <c r="AF132" i="3"/>
  <c r="W142" i="3"/>
  <c r="AF151" i="3"/>
  <c r="AF153" i="3"/>
  <c r="W161" i="3"/>
  <c r="W163" i="3"/>
  <c r="AF165" i="3"/>
  <c r="AF175" i="3"/>
  <c r="W188" i="3"/>
  <c r="AF194" i="3"/>
  <c r="AF199" i="3"/>
  <c r="W209" i="3"/>
  <c r="W211" i="3"/>
  <c r="AF215" i="3"/>
  <c r="Z5" i="2"/>
  <c r="AE3" i="2"/>
  <c r="AI9" i="2"/>
  <c r="Q37" i="2"/>
  <c r="G3" i="2"/>
  <c r="U3" i="2"/>
  <c r="Z7" i="2"/>
  <c r="AI11" i="2"/>
  <c r="C18" i="2"/>
  <c r="Y18" i="2"/>
  <c r="Q22" i="2"/>
  <c r="Q26" i="2"/>
  <c r="D29" i="2"/>
  <c r="O29" i="2"/>
  <c r="Q32" i="2"/>
  <c r="W37" i="3"/>
  <c r="F8" i="3" s="1"/>
  <c r="W57" i="3"/>
  <c r="AF65" i="3"/>
  <c r="M11" i="3" s="1"/>
  <c r="AF74" i="3"/>
  <c r="AF92" i="3"/>
  <c r="W105" i="3"/>
  <c r="AF111" i="3"/>
  <c r="AF116" i="3"/>
  <c r="W123" i="3"/>
  <c r="W128" i="3"/>
  <c r="AF130" i="3"/>
  <c r="AF139" i="3"/>
  <c r="W149" i="3"/>
  <c r="AF155" i="3"/>
  <c r="W165" i="3"/>
  <c r="AF170" i="3"/>
  <c r="AF182" i="3"/>
  <c r="W192" i="3"/>
  <c r="AF201" i="3"/>
  <c r="AF203" i="3"/>
  <c r="W213" i="3"/>
  <c r="AC18" i="2"/>
  <c r="AB18" i="2" s="1"/>
  <c r="H21" i="2"/>
  <c r="K29" i="2"/>
  <c r="AC3" i="2"/>
  <c r="T18" i="2"/>
  <c r="B29" i="2"/>
  <c r="T3" i="2"/>
  <c r="K3" i="2"/>
  <c r="K18" i="2"/>
  <c r="B18" i="2"/>
  <c r="A18" i="2" s="1"/>
  <c r="S3" i="2" l="1"/>
  <c r="S18" i="2"/>
  <c r="J18" i="2"/>
  <c r="J3" i="2"/>
  <c r="A29" i="2"/>
  <c r="A3" i="2"/>
  <c r="AB3" i="2"/>
  <c r="J29" i="2"/>
  <c r="H26" i="3"/>
  <c r="F21" i="3"/>
  <c r="L26" i="3"/>
  <c r="I28" i="3"/>
  <c r="G27" i="3"/>
  <c r="G26" i="3"/>
  <c r="J29" i="3"/>
  <c r="L28" i="3"/>
  <c r="I30" i="3"/>
  <c r="G28" i="3"/>
  <c r="J30" i="3"/>
  <c r="L30" i="3"/>
  <c r="K27" i="3"/>
  <c r="M22" i="3"/>
  <c r="K29" i="3"/>
  <c r="G29" i="3"/>
  <c r="L27" i="3"/>
  <c r="J27" i="3"/>
  <c r="K30" i="3"/>
  <c r="H30" i="3"/>
  <c r="K28" i="3"/>
  <c r="J28" i="3"/>
  <c r="H28" i="3"/>
  <c r="G30" i="3"/>
  <c r="H27" i="3"/>
  <c r="J26" i="3"/>
  <c r="I26" i="3"/>
  <c r="H29" i="3"/>
  <c r="L29" i="3"/>
  <c r="I29" i="3"/>
  <c r="K26" i="3"/>
  <c r="I27" i="3"/>
  <c r="M26" i="3" l="1"/>
  <c r="M28" i="3"/>
  <c r="M30" i="3"/>
  <c r="M27" i="3"/>
  <c r="M29" i="3"/>
  <c r="J6" i="7"/>
  <c r="I6" i="7"/>
  <c r="K6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Elieser Aguilar</author>
    <author>UER Guairá</author>
  </authors>
  <commentList>
    <comment ref="A5" authorId="0" shapeId="0" xr:uid="{00000000-0006-0000-0100-000019000000}">
      <text>
        <r>
          <rPr>
            <sz val="11"/>
            <color theme="1"/>
            <rFont val="Calibri"/>
            <family val="2"/>
            <scheme val="minor"/>
          </rPr>
          <t>CIE-10:
Mielitis transversa aguda en enfermedad desmielinizante del sistema nervioso central</t>
        </r>
      </text>
    </comment>
    <comment ref="J5" authorId="0" shapeId="0" xr:uid="{00000000-0006-0000-0100-00001A000000}">
      <text>
        <r>
          <rPr>
            <sz val="11"/>
            <color theme="1"/>
            <rFont val="Calibri"/>
            <family val="2"/>
            <scheme val="minor"/>
          </rPr>
          <t>CIE-10:
Escarlatina</t>
        </r>
      </text>
    </comment>
    <comment ref="S5" authorId="0" shapeId="0" xr:uid="{00000000-0006-0000-0100-00001B000000}">
      <text>
        <r>
          <rPr>
            <sz val="11"/>
            <color theme="1"/>
            <rFont val="Calibri"/>
            <family val="2"/>
            <scheme val="minor"/>
          </rPr>
          <t>CIE-10:
Escarlatina</t>
        </r>
      </text>
    </comment>
    <comment ref="AB5" authorId="0" shapeId="0" xr:uid="{00000000-0006-0000-0100-00001C000000}">
      <text>
        <r>
          <rPr>
            <sz val="11"/>
            <color theme="1"/>
            <rFont val="Calibri"/>
            <family val="2"/>
            <scheme val="minor"/>
          </rPr>
          <t>CIE-10:
Faringitis Aguda</t>
        </r>
      </text>
    </comment>
    <comment ref="A6" authorId="0" shapeId="0" xr:uid="{00000000-0006-0000-0100-00001D000000}">
      <text>
        <r>
          <rPr>
            <sz val="11"/>
            <color theme="1"/>
            <rFont val="Calibri"/>
            <family val="2"/>
            <scheme val="minor"/>
          </rPr>
          <t>CIE-10:
Polineuropatía inflamatoria</t>
        </r>
      </text>
    </comment>
    <comment ref="J6" authorId="0" shapeId="0" xr:uid="{00000000-0006-0000-0100-00001E000000}">
      <text>
        <r>
          <rPr>
            <sz val="11"/>
            <color theme="1"/>
            <rFont val="Calibri"/>
            <family val="2"/>
            <scheme val="minor"/>
          </rPr>
          <t>CIE-10:
Exantema súbito [sexta enfermedad]</t>
        </r>
      </text>
    </comment>
    <comment ref="S6" authorId="0" shapeId="0" xr:uid="{00000000-0006-0000-0100-00001F000000}">
      <text>
        <r>
          <rPr>
            <sz val="11"/>
            <color theme="1"/>
            <rFont val="Calibri"/>
            <family val="2"/>
            <scheme val="minor"/>
          </rPr>
          <t>CIE-10:
Exantema súbito [sexta enfermedad]</t>
        </r>
      </text>
    </comment>
    <comment ref="AB6" authorId="0" shapeId="0" xr:uid="{00000000-0006-0000-0100-000020000000}">
      <text>
        <r>
          <rPr>
            <sz val="11"/>
            <color theme="1"/>
            <rFont val="Calibri"/>
            <family val="2"/>
            <scheme val="minor"/>
          </rPr>
          <t>CIE-10:
Amigdalitis aguda</t>
        </r>
      </text>
    </comment>
    <comment ref="A7" authorId="0" shapeId="0" xr:uid="{00000000-0006-0000-0100-000021000000}">
      <text>
        <r>
          <rPr>
            <sz val="11"/>
            <color theme="1"/>
            <rFont val="Calibri"/>
            <family val="2"/>
            <scheme val="minor"/>
          </rPr>
          <t>CIE-10:
Miopatía, no especificada</t>
        </r>
      </text>
    </comment>
    <comment ref="J7" authorId="0" shapeId="0" xr:uid="{00000000-0006-0000-0100-000022000000}">
      <text>
        <r>
          <rPr>
            <sz val="11"/>
            <color theme="1"/>
            <rFont val="Calibri"/>
            <family val="2"/>
            <scheme val="minor"/>
          </rPr>
          <t>CIE-10:
Eritema infeccioso [quinta enfermedad]</t>
        </r>
      </text>
    </comment>
    <comment ref="S7" authorId="0" shapeId="0" xr:uid="{00000000-0006-0000-0100-000023000000}">
      <text>
        <r>
          <rPr>
            <sz val="11"/>
            <color theme="1"/>
            <rFont val="Calibri"/>
            <family val="2"/>
            <scheme val="minor"/>
          </rPr>
          <t>CIE-10:
Eritema infeccioso [quinta enfermedad]</t>
        </r>
      </text>
    </comment>
    <comment ref="AB7" authorId="0" shapeId="0" xr:uid="{00000000-0006-0000-0100-000024000000}">
      <text>
        <r>
          <rPr>
            <sz val="11"/>
            <color theme="1"/>
            <rFont val="Calibri"/>
            <family val="2"/>
            <scheme val="minor"/>
          </rPr>
          <t>CIE-10:
Laringitis y traqueitis aguda</t>
        </r>
      </text>
    </comment>
    <comment ref="A8" authorId="0" shapeId="0" xr:uid="{00000000-0006-0000-0100-000025000000}">
      <text>
        <r>
          <rPr>
            <sz val="11"/>
            <color theme="1"/>
            <rFont val="Calibri"/>
            <family val="2"/>
            <scheme val="minor"/>
          </rPr>
          <t>CIE-10:
Paraplejia (paraparesia) y tetraplejia (tetraparesia)</t>
        </r>
      </text>
    </comment>
    <comment ref="J8" authorId="0" shapeId="0" xr:uid="{00000000-0006-0000-0100-000026000000}">
      <text>
        <r>
          <rPr>
            <sz val="11"/>
            <color theme="1"/>
            <rFont val="Calibri"/>
            <family val="2"/>
            <scheme val="minor"/>
          </rPr>
          <t>CIE-10:
Dermatitis atópica, no especificada</t>
        </r>
      </text>
    </comment>
    <comment ref="S8" authorId="0" shapeId="0" xr:uid="{00000000-0006-0000-0100-000027000000}">
      <text>
        <r>
          <rPr>
            <sz val="11"/>
            <color theme="1"/>
            <rFont val="Calibri"/>
            <family val="2"/>
            <scheme val="minor"/>
          </rPr>
          <t>CIE-10:
Dermatitis atópica, no especificada</t>
        </r>
      </text>
    </comment>
    <comment ref="AB8" authorId="0" shapeId="0" xr:uid="{00000000-0006-0000-0100-000028000000}">
      <text>
        <r>
          <rPr>
            <sz val="11"/>
            <color theme="1"/>
            <rFont val="Calibri"/>
            <family val="2"/>
            <scheme val="minor"/>
          </rPr>
          <t>CIE-10:
Difteria faríngea</t>
        </r>
      </text>
    </comment>
    <comment ref="A9" authorId="0" shapeId="0" xr:uid="{00000000-0006-0000-0100-000029000000}">
      <text>
        <r>
          <rPr>
            <sz val="11"/>
            <color theme="1"/>
            <rFont val="Calibri"/>
            <family val="2"/>
            <scheme val="minor"/>
          </rPr>
          <t>CIE-10:
Otros síntomas y signos que involucran los sistemas nervioso y osteomuscular y los no especificados</t>
        </r>
      </text>
    </comment>
    <comment ref="J9" authorId="0" shapeId="0" xr:uid="{00000000-0006-0000-0100-00002A000000}">
      <text>
        <r>
          <rPr>
            <sz val="11"/>
            <color theme="1"/>
            <rFont val="Calibri"/>
            <family val="2"/>
            <scheme val="minor"/>
          </rPr>
          <t>CIE-10:
Dermatitis, no especificada</t>
        </r>
      </text>
    </comment>
    <comment ref="S9" authorId="0" shapeId="0" xr:uid="{00000000-0006-0000-0100-00002B000000}">
      <text>
        <r>
          <rPr>
            <sz val="11"/>
            <color theme="1"/>
            <rFont val="Calibri"/>
            <family val="2"/>
            <scheme val="minor"/>
          </rPr>
          <t>CIE-10:
Dermatitis, no especificada</t>
        </r>
      </text>
    </comment>
    <comment ref="AB9" authorId="0" shapeId="0" xr:uid="{00000000-0006-0000-0100-00002C000000}">
      <text>
        <r>
          <rPr>
            <sz val="11"/>
            <color theme="1"/>
            <rFont val="Calibri"/>
            <family val="2"/>
            <scheme val="minor"/>
          </rPr>
          <t>CIE-10:
Difteria nasofaríngea</t>
        </r>
      </text>
    </comment>
    <comment ref="A10" authorId="0" shapeId="0" xr:uid="{00000000-0006-0000-0100-00002D000000}">
      <text>
        <r>
          <rPr>
            <sz val="11"/>
            <color theme="1"/>
            <rFont val="Calibri"/>
            <family val="2"/>
            <scheme val="minor"/>
          </rPr>
          <t>CIE-10:
Efecto tóxico de insecticidas organofosforados y carbamatos</t>
        </r>
      </text>
    </comment>
    <comment ref="J10" authorId="0" shapeId="0" xr:uid="{00000000-0006-0000-0100-00002E000000}">
      <text>
        <r>
          <rPr>
            <sz val="11"/>
            <color theme="1"/>
            <rFont val="Calibri"/>
            <family val="2"/>
            <scheme val="minor"/>
          </rPr>
          <t>CIE-10:
Urticaria, no especificada</t>
        </r>
      </text>
    </comment>
    <comment ref="S10" authorId="0" shapeId="0" xr:uid="{00000000-0006-0000-0100-00002F000000}">
      <text>
        <r>
          <rPr>
            <sz val="11"/>
            <color theme="1"/>
            <rFont val="Calibri"/>
            <family val="2"/>
            <scheme val="minor"/>
          </rPr>
          <t>CIE-10:
Urticaria, no especificada</t>
        </r>
      </text>
    </comment>
    <comment ref="AB10" authorId="0" shapeId="0" xr:uid="{00000000-0006-0000-0100-000030000000}">
      <text>
        <r>
          <rPr>
            <sz val="11"/>
            <color theme="1"/>
            <rFont val="Calibri"/>
            <family val="2"/>
            <scheme val="minor"/>
          </rPr>
          <t>CIE-10:
Difteria laríngea</t>
        </r>
      </text>
    </comment>
    <comment ref="A11" authorId="0" shapeId="0" xr:uid="{00000000-0006-0000-0100-000031000000}">
      <text>
        <r>
          <rPr>
            <sz val="11"/>
            <color theme="1"/>
            <rFont val="Calibri"/>
            <family val="2"/>
            <scheme val="minor"/>
          </rPr>
          <t>CIE-10:
Poliomielitis aguda</t>
        </r>
      </text>
    </comment>
    <comment ref="J11" authorId="0" shapeId="0" xr:uid="{00000000-0006-0000-0100-000032000000}">
      <text>
        <r>
          <rPr>
            <sz val="11"/>
            <color theme="1"/>
            <rFont val="Calibri"/>
            <family val="2"/>
            <scheme val="minor"/>
          </rPr>
          <t>CIE-10:
Afección eritematosa, no especificada</t>
        </r>
      </text>
    </comment>
    <comment ref="S11" authorId="0" shapeId="0" xr:uid="{00000000-0006-0000-0100-000033000000}">
      <text>
        <r>
          <rPr>
            <sz val="11"/>
            <color theme="1"/>
            <rFont val="Calibri"/>
            <family val="2"/>
            <scheme val="minor"/>
          </rPr>
          <t>CIE-10:
Afección eritematosa, no especificada</t>
        </r>
      </text>
    </comment>
    <comment ref="AB11" authorId="0" shapeId="0" xr:uid="{00000000-0006-0000-0100-000034000000}">
      <text>
        <r>
          <rPr>
            <sz val="11"/>
            <color theme="1"/>
            <rFont val="Calibri"/>
            <family val="2"/>
            <scheme val="minor"/>
          </rPr>
          <t>CIE-10:
Difteria cutánea</t>
        </r>
      </text>
    </comment>
    <comment ref="J12" authorId="0" shapeId="0" xr:uid="{00000000-0006-0000-0100-000035000000}">
      <text>
        <r>
          <rPr>
            <sz val="11"/>
            <color theme="1"/>
            <rFont val="Calibri"/>
            <family val="2"/>
            <scheme val="minor"/>
          </rPr>
          <t>CIE-10:
Exantema y otras erupciones cutáneas inespecíficas</t>
        </r>
      </text>
    </comment>
    <comment ref="S12" authorId="0" shapeId="0" xr:uid="{00000000-0006-0000-0100-000036000000}">
      <text>
        <r>
          <rPr>
            <sz val="11"/>
            <color theme="1"/>
            <rFont val="Calibri"/>
            <family val="2"/>
            <scheme val="minor"/>
          </rPr>
          <t>CIE-10:
Exantema y otras erupciones cutáneas inespecíficas</t>
        </r>
      </text>
    </comment>
    <comment ref="AB12" authorId="0" shapeId="0" xr:uid="{00000000-0006-0000-0100-000037000000}">
      <text>
        <r>
          <rPr>
            <sz val="11"/>
            <color theme="1"/>
            <rFont val="Calibri"/>
            <family val="2"/>
            <scheme val="minor"/>
          </rPr>
          <t>CIE-10:
Otras difterias</t>
        </r>
      </text>
    </comment>
    <comment ref="J13" authorId="0" shapeId="0" xr:uid="{00000000-0006-0000-0100-000038000000}">
      <text>
        <r>
          <rPr>
            <sz val="11"/>
            <color theme="1"/>
            <rFont val="Calibri"/>
            <family val="2"/>
            <scheme val="minor"/>
          </rPr>
          <t>CIE-10:
Rubéola [sarampión alemán]</t>
        </r>
      </text>
    </comment>
    <comment ref="S13" authorId="0" shapeId="0" xr:uid="{00000000-0006-0000-0100-000039000000}">
      <text>
        <r>
          <rPr>
            <sz val="11"/>
            <color theme="1"/>
            <rFont val="Calibri"/>
            <family val="2"/>
            <scheme val="minor"/>
          </rPr>
          <t>CIE-10:
Sarampión</t>
        </r>
      </text>
    </comment>
    <comment ref="AB13" authorId="0" shapeId="0" xr:uid="{00000000-0006-0000-0100-00003A000000}">
      <text>
        <r>
          <rPr>
            <sz val="11"/>
            <color theme="1"/>
            <rFont val="Calibri"/>
            <family val="2"/>
            <scheme val="minor"/>
          </rPr>
          <t>CIE-10:
Difteria, no especificada</t>
        </r>
      </text>
    </comment>
    <comment ref="J14" authorId="0" shapeId="0" xr:uid="{00000000-0006-0000-0100-00003B000000}">
      <text>
        <r>
          <rPr>
            <sz val="11"/>
            <color theme="1"/>
            <rFont val="Calibri"/>
            <family val="2"/>
            <scheme val="minor"/>
          </rPr>
          <t>CIE-10:
Contacto con y exposición a rubéola</t>
        </r>
      </text>
    </comment>
    <comment ref="J15" authorId="0" shapeId="0" xr:uid="{00000000-0006-0000-0100-00003C000000}">
      <text>
        <r>
          <rPr>
            <sz val="11"/>
            <color theme="1"/>
            <rFont val="Calibri"/>
            <family val="2"/>
            <scheme val="minor"/>
          </rPr>
          <t>CIE-10:
Síndrome de rubéola congénita</t>
        </r>
      </text>
    </comment>
    <comment ref="A20" authorId="0" shapeId="0" xr:uid="{00000000-0006-0000-0100-000055000000}">
      <text>
        <r>
          <rPr>
            <sz val="11"/>
            <color theme="1"/>
            <rFont val="Calibri"/>
            <family val="2"/>
            <scheme val="minor"/>
          </rPr>
          <t>CIE-10:
Tos ferina, no especificada</t>
        </r>
      </text>
    </comment>
    <comment ref="J20" authorId="1" shapeId="0" xr:uid="{019B91E0-2008-46FD-A824-8BA9D8A587DD}">
      <text>
        <r>
          <rPr>
            <sz val="9"/>
            <color indexed="81"/>
            <rFont val="Tahoma"/>
            <family val="2"/>
          </rPr>
          <t>CIE-10:
Parotiditis</t>
        </r>
      </text>
    </comment>
    <comment ref="S20" authorId="0" shapeId="0" xr:uid="{00000000-0006-0000-0100-000056000000}">
      <text>
        <r>
          <rPr>
            <sz val="11"/>
            <color theme="1"/>
            <rFont val="Calibri"/>
            <family val="2"/>
            <scheme val="minor"/>
          </rPr>
          <t>CIE-10:
Tétanos neonatal</t>
        </r>
      </text>
    </comment>
    <comment ref="AB20" authorId="0" shapeId="0" xr:uid="{00000000-0006-0000-0100-000057000000}">
      <text>
        <r>
          <rPr>
            <sz val="11"/>
            <color theme="1"/>
            <rFont val="Calibri"/>
            <family val="2"/>
            <scheme val="minor"/>
          </rPr>
          <t>CIE-10:
Otros tétanos</t>
        </r>
      </text>
    </comment>
    <comment ref="A21" authorId="0" shapeId="0" xr:uid="{00000000-0006-0000-0100-000058000000}">
      <text>
        <r>
          <rPr>
            <sz val="11"/>
            <color theme="1"/>
            <rFont val="Calibri"/>
            <family val="2"/>
            <scheme val="minor"/>
          </rPr>
          <t>CIE-10:
Tos Ferina (Coqueluche)</t>
        </r>
      </text>
    </comment>
    <comment ref="J21" authorId="0" shapeId="0" xr:uid="{00000000-0006-0000-0100-000059000000}">
      <text>
        <r>
          <rPr>
            <sz val="11"/>
            <color theme="1"/>
            <rFont val="Calibri"/>
            <family val="2"/>
            <scheme val="minor"/>
          </rPr>
          <t>CIE-10:
Parotiditis infecciosa</t>
        </r>
      </text>
    </comment>
    <comment ref="S21" authorId="0" shapeId="0" xr:uid="{00000000-0006-0000-0100-00005A000000}">
      <text>
        <r>
          <rPr>
            <sz val="11"/>
            <color theme="1"/>
            <rFont val="Calibri"/>
            <family val="2"/>
            <scheme val="minor"/>
          </rPr>
          <t>CIE-10:
Tétanos obstétrico</t>
        </r>
      </text>
    </comment>
    <comment ref="A22" authorId="0" shapeId="0" xr:uid="{00000000-0006-0000-0100-00005B000000}">
      <text>
        <r>
          <rPr>
            <sz val="11"/>
            <color theme="1"/>
            <rFont val="Calibri"/>
            <family val="2"/>
            <scheme val="minor"/>
          </rPr>
          <t>CIE-10:
Tos ferina debida a Bordetella parapertussis</t>
        </r>
      </text>
    </comment>
    <comment ref="J22" authorId="0" shapeId="0" xr:uid="{00000000-0006-0000-0100-00005C000000}">
      <text>
        <r>
          <rPr>
            <sz val="11"/>
            <color theme="1"/>
            <rFont val="Calibri"/>
            <family val="2"/>
            <scheme val="minor"/>
          </rPr>
          <t>CIE-10:
 Parotiditis infecciosa con orquitis</t>
        </r>
      </text>
    </comment>
    <comment ref="A23" authorId="0" shapeId="0" xr:uid="{00000000-0006-0000-0100-00005D000000}">
      <text>
        <r>
          <rPr>
            <sz val="11"/>
            <color theme="1"/>
            <rFont val="Calibri"/>
            <family val="2"/>
            <scheme val="minor"/>
          </rPr>
          <t>CIE-10:
Tos ferina debida a otras especies de Bordetella</t>
        </r>
      </text>
    </comment>
    <comment ref="J23" authorId="0" shapeId="0" xr:uid="{00000000-0006-0000-0100-00005E000000}">
      <text>
        <r>
          <rPr>
            <sz val="11"/>
            <color theme="1"/>
            <rFont val="Calibri"/>
            <family val="2"/>
            <scheme val="minor"/>
          </rPr>
          <t>CIE-10:
Parotiditis infecciosa con meningitis</t>
        </r>
      </text>
    </comment>
    <comment ref="J24" authorId="0" shapeId="0" xr:uid="{00000000-0006-0000-0100-00005F000000}">
      <text>
        <r>
          <rPr>
            <sz val="11"/>
            <color theme="1"/>
            <rFont val="Calibri"/>
            <family val="2"/>
            <scheme val="minor"/>
          </rPr>
          <t>CIE-10:
Parotiditis infecciosa con encefalitis, meningoencefalitis</t>
        </r>
      </text>
    </comment>
    <comment ref="J25" authorId="0" shapeId="0" xr:uid="{00000000-0006-0000-0100-000060000000}">
      <text>
        <r>
          <rPr>
            <sz val="11"/>
            <color theme="1"/>
            <rFont val="Calibri"/>
            <family val="2"/>
            <scheme val="minor"/>
          </rPr>
          <t>CIE-10:
Parotiditis infecciosa con pancreatitis</t>
        </r>
      </text>
    </comment>
    <comment ref="J26" authorId="0" shapeId="0" xr:uid="{00000000-0006-0000-0100-000061000000}">
      <text>
        <r>
          <rPr>
            <sz val="11"/>
            <color theme="1"/>
            <rFont val="Calibri"/>
            <family val="2"/>
            <scheme val="minor"/>
          </rPr>
          <t>CIE-10:
Parotiditis infecciosa con otras complicaciones</t>
        </r>
      </text>
    </comment>
    <comment ref="A31" authorId="0" shapeId="0" xr:uid="{00000000-0006-0000-0100-00006E000000}">
      <text>
        <r>
          <rPr>
            <sz val="11"/>
            <color theme="1"/>
            <rFont val="Calibri"/>
            <family val="2"/>
            <scheme val="minor"/>
          </rPr>
          <t>CIE-10:
Otros cambios de la piel y los no especificados</t>
        </r>
      </text>
    </comment>
    <comment ref="J31" authorId="0" shapeId="0" xr:uid="{00000000-0006-0000-0100-00006F000000}">
      <text>
        <r>
          <rPr>
            <sz val="11"/>
            <color theme="1"/>
            <rFont val="Calibri"/>
            <family val="2"/>
            <scheme val="minor"/>
          </rPr>
          <t>CIE-10:
 Efectos adversos de otras vacunas y sustancias biológicas, y las no especificadas</t>
        </r>
      </text>
    </comment>
    <comment ref="A32" authorId="0" shapeId="0" xr:uid="{00000000-0006-0000-0100-000070000000}">
      <text>
        <r>
          <rPr>
            <sz val="11"/>
            <color theme="1"/>
            <rFont val="Calibri"/>
            <family val="2"/>
            <scheme val="minor"/>
          </rPr>
          <t>CIE-10:
Dermatitis de contacto, forma no especificada</t>
        </r>
      </text>
    </comment>
    <comment ref="J32" authorId="0" shapeId="0" xr:uid="{00000000-0006-0000-0100-000071000000}">
      <text>
        <r>
          <rPr>
            <sz val="11"/>
            <color theme="1"/>
            <rFont val="Calibri"/>
            <family val="2"/>
            <scheme val="minor"/>
          </rPr>
          <t>CIE-10:
Efectos adversos de vacunas virales</t>
        </r>
      </text>
    </comment>
    <comment ref="A33" authorId="1" shapeId="0" xr:uid="{26B0E27A-B0AA-4A9F-9D23-F94059A28092}">
      <text>
        <r>
          <rPr>
            <sz val="9"/>
            <color indexed="81"/>
            <rFont val="Tahoma"/>
            <family val="2"/>
          </rPr>
          <t>CIE-10:
Varicela</t>
        </r>
      </text>
    </comment>
    <comment ref="J33" authorId="0" shapeId="0" xr:uid="{00000000-0006-0000-0100-000072000000}">
      <text>
        <r>
          <rPr>
            <sz val="11"/>
            <color theme="1"/>
            <rFont val="Calibri"/>
            <family val="2"/>
            <scheme val="minor"/>
          </rPr>
          <t>CIE-10:
Efectos adversos de vacunas contra rickettsias</t>
        </r>
      </text>
    </comment>
    <comment ref="J34" authorId="0" shapeId="0" xr:uid="{00000000-0006-0000-0100-000073000000}">
      <text>
        <r>
          <rPr>
            <sz val="11"/>
            <color theme="1"/>
            <rFont val="Calibri"/>
            <family val="2"/>
            <scheme val="minor"/>
          </rPr>
          <t>CIE-10:
Efectos adversos de vacunas antiprotozoarias</t>
        </r>
      </text>
    </comment>
    <comment ref="J35" authorId="0" shapeId="0" xr:uid="{00000000-0006-0000-0100-000074000000}">
      <text>
        <r>
          <rPr>
            <sz val="11"/>
            <color theme="1"/>
            <rFont val="Calibri"/>
            <family val="2"/>
            <scheme val="minor"/>
          </rPr>
          <t>CIE-10:
Efectos adversos de la inmunoglobulina</t>
        </r>
      </text>
    </comment>
    <comment ref="J36" authorId="0" shapeId="0" xr:uid="{00000000-0006-0000-0100-000075000000}">
      <text>
        <r>
          <rPr>
            <sz val="11"/>
            <color theme="1"/>
            <rFont val="Calibri"/>
            <family val="2"/>
            <scheme val="minor"/>
          </rPr>
          <t>CIE-10:
Efectos adversos de otras vacunas y sustancias biológicas especificadas</t>
        </r>
      </text>
    </comment>
    <comment ref="J37" authorId="0" shapeId="0" xr:uid="{00000000-0006-0000-0100-000076000000}">
      <text>
        <r>
          <rPr>
            <sz val="11"/>
            <color theme="1"/>
            <rFont val="Calibri"/>
            <family val="2"/>
            <scheme val="minor"/>
          </rPr>
          <t>CIE-10:
Efectos adversos de vacunas o sustancias biológicas no especificadas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  <author>Elieser Aguilar</author>
  </authors>
  <commentList>
    <comment ref="P37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CIE-10:
Cólera</t>
        </r>
      </text>
    </comment>
    <comment ref="Y37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CIE-10:
Fiebre amarilla</t>
        </r>
      </text>
    </comment>
    <comment ref="P41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CIE-10:
Peste</t>
        </r>
      </text>
    </comment>
    <comment ref="Y41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A80:
Poliomielitis aguda</t>
        </r>
      </text>
    </comment>
    <comment ref="P45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CIE-10:
Rubéola [sarampión alemán]</t>
        </r>
      </text>
    </comment>
    <comment ref="Y45" authorId="1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CIE-10:
Sarampión</t>
        </r>
      </text>
    </comment>
    <comment ref="P49" authorId="1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CIE-10:
Síndrome de rubéola congénita</t>
        </r>
      </text>
    </comment>
    <comment ref="Y49" authorId="1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CIE-10:
Tétanos neonatal</t>
        </r>
      </text>
    </comment>
    <comment ref="P53" authorId="1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CIE-10:
Paludismo [malaria] debido a Plasmodium falciparum</t>
        </r>
      </text>
    </comment>
    <comment ref="Y53" authorId="1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CIE-10:
Conjuntivitis viral</t>
        </r>
      </text>
    </comment>
    <comment ref="P54" authorId="1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CIE-10:
Paludismo [malaria] debido a Plasmodium vivax</t>
        </r>
      </text>
    </comment>
    <comment ref="P55" authorId="1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CIE-10:
Paludismo [malaria] debido a Plasmodium malariae</t>
        </r>
      </text>
    </comment>
    <comment ref="P56" authorId="1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CIE-10:
Otro paludismo [malaria] confirmado parasitológicamente</t>
        </r>
      </text>
    </comment>
    <comment ref="P57" authorId="1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CIE-10:
Paludismo [malaria] no especificado</t>
        </r>
      </text>
    </comment>
    <comment ref="P61" authorId="1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CIE-10:
Parotiditis infecciosa</t>
        </r>
      </text>
    </comment>
    <comment ref="Y61" authorId="1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CIE-10:
Varicela</t>
        </r>
      </text>
    </comment>
    <comment ref="P65" authorId="1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CIE-10:
Hepatitis aguda tipo A</t>
        </r>
      </text>
    </comment>
    <comment ref="Y65" authorId="1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CIE-10:
Hepatitis viral, sin otra especificación</t>
        </r>
      </text>
    </comment>
    <comment ref="P69" authorId="1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CIE-10:
Otras intoxicaciones alimentarias bacterianas, no clasificadas en otra parte</t>
        </r>
      </text>
    </comment>
    <comment ref="Y69" authorId="1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CIE-10:
Sífilis congénita</t>
        </r>
      </text>
    </comment>
    <comment ref="P73" authorId="1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CIE-10:
Sífilis que complica el embarazo, el parto y el puerperio</t>
        </r>
      </text>
    </comment>
    <comment ref="Y73" authorId="1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CIE-10:
Sífilis precoz</t>
        </r>
      </text>
    </comment>
    <comment ref="Y74" authorId="1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CIE-10:
Sífilis tardía</t>
        </r>
      </text>
    </comment>
    <comment ref="Y75" authorId="1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>CIE-10:
Otras sífilis y las no especificadas</t>
        </r>
      </text>
    </comment>
    <comment ref="P79" authorId="1" shapeId="0" xr:uid="{00000000-0006-0000-0200-000019000000}">
      <text>
        <r>
          <rPr>
            <sz val="11"/>
            <color theme="1"/>
            <rFont val="Calibri"/>
            <family val="2"/>
            <scheme val="minor"/>
          </rPr>
          <t>CIE-10:
Exantema súbito [sexta enfermedad]</t>
        </r>
      </text>
    </comment>
    <comment ref="P80" authorId="1" shapeId="0" xr:uid="{B7490482-B448-4379-BFD6-FC7AC0FF5E10}">
      <text>
        <r>
          <rPr>
            <sz val="9"/>
            <color indexed="81"/>
            <rFont val="Tahoma"/>
            <family val="2"/>
          </rPr>
          <t>CIE-10:
Eritema infeccioso [quinta enfermedad]</t>
        </r>
      </text>
    </comment>
    <comment ref="P81" authorId="1" shapeId="0" xr:uid="{FB985A86-C64B-4064-B4FD-3EB8737891EE}">
      <text>
        <r>
          <rPr>
            <sz val="9"/>
            <color indexed="81"/>
            <rFont val="Tahoma"/>
            <family val="2"/>
          </rPr>
          <t>CIE-10:
Estomatitis vesicular enteroviral con exantema</t>
        </r>
      </text>
    </comment>
    <comment ref="P85" authorId="1" shapeId="0" xr:uid="{00000000-0006-0000-0200-00001A000000}">
      <text>
        <r>
          <rPr>
            <sz val="11"/>
            <color theme="1"/>
            <rFont val="Calibri"/>
            <family val="2"/>
            <scheme val="minor"/>
          </rPr>
          <t>CIE-10:
Rinofaringitis aguda [resfriado común]</t>
        </r>
      </text>
    </comment>
    <comment ref="Y85" authorId="1" shapeId="0" xr:uid="{00000000-0006-0000-0200-00001B000000}">
      <text>
        <r>
          <rPr>
            <sz val="11"/>
            <color theme="1"/>
            <rFont val="Calibri"/>
            <family val="2"/>
            <scheme val="minor"/>
          </rPr>
          <t>CIE-10:
Rinofaringitis aguda [resfriado común]</t>
        </r>
      </text>
    </comment>
    <comment ref="P86" authorId="1" shapeId="0" xr:uid="{00000000-0006-0000-0200-00001C000000}">
      <text>
        <r>
          <rPr>
            <sz val="11"/>
            <color theme="1"/>
            <rFont val="Calibri"/>
            <family val="2"/>
            <scheme val="minor"/>
          </rPr>
          <t>CIE-10:
Influenza debida a otro virus de la influenza identificado</t>
        </r>
      </text>
    </comment>
    <comment ref="Y86" authorId="1" shapeId="0" xr:uid="{00000000-0006-0000-0200-00001D000000}">
      <text>
        <r>
          <rPr>
            <sz val="11"/>
            <color theme="1"/>
            <rFont val="Calibri"/>
            <family val="2"/>
            <scheme val="minor"/>
          </rPr>
          <t>CIE-10:
Influenza debida a otro virus de la influenza identificado</t>
        </r>
      </text>
    </comment>
    <comment ref="P87" authorId="1" shapeId="0" xr:uid="{00000000-0006-0000-0200-00001E000000}">
      <text>
        <r>
          <rPr>
            <sz val="11"/>
            <color theme="1"/>
            <rFont val="Calibri"/>
            <family val="2"/>
            <scheme val="minor"/>
          </rPr>
          <t>CIE-10:
Influenza debida a virus no identificado</t>
        </r>
      </text>
    </comment>
    <comment ref="Y87" authorId="1" shapeId="0" xr:uid="{00000000-0006-0000-0200-00001F000000}">
      <text>
        <r>
          <rPr>
            <sz val="11"/>
            <color theme="1"/>
            <rFont val="Calibri"/>
            <family val="2"/>
            <scheme val="minor"/>
          </rPr>
          <t>CIE-10:
Influenza debida a virus no identificado</t>
        </r>
      </text>
    </comment>
    <comment ref="P91" authorId="1" shapeId="0" xr:uid="{00000000-0006-0000-0200-000020000000}">
      <text>
        <r>
          <rPr>
            <sz val="11"/>
            <color theme="1"/>
            <rFont val="Calibri"/>
            <family val="2"/>
            <scheme val="minor"/>
          </rPr>
          <t>CIE-10:
Rinofaringitis aguda [resfriado común]</t>
        </r>
      </text>
    </comment>
    <comment ref="Y91" authorId="1" shapeId="0" xr:uid="{00000000-0006-0000-0200-000021000000}">
      <text>
        <r>
          <rPr>
            <sz val="11"/>
            <color theme="1"/>
            <rFont val="Calibri"/>
            <family val="2"/>
            <scheme val="minor"/>
          </rPr>
          <t>CIE-10:
Rinofaringitis aguda [resfriado común]</t>
        </r>
      </text>
    </comment>
    <comment ref="P92" authorId="1" shapeId="0" xr:uid="{00000000-0006-0000-0200-000022000000}">
      <text>
        <r>
          <rPr>
            <sz val="11"/>
            <color theme="1"/>
            <rFont val="Calibri"/>
            <family val="2"/>
            <scheme val="minor"/>
          </rPr>
          <t>CIE-10:
Influenza debida a otro virus de la influenza identificado</t>
        </r>
      </text>
    </comment>
    <comment ref="Y92" authorId="1" shapeId="0" xr:uid="{00000000-0006-0000-0200-000023000000}">
      <text>
        <r>
          <rPr>
            <sz val="11"/>
            <color theme="1"/>
            <rFont val="Calibri"/>
            <family val="2"/>
            <scheme val="minor"/>
          </rPr>
          <t>CIE-10:
Influenza debida a otro virus de la influenza identificado</t>
        </r>
      </text>
    </comment>
    <comment ref="P93" authorId="1" shapeId="0" xr:uid="{00000000-0006-0000-0200-000024000000}">
      <text>
        <r>
          <rPr>
            <sz val="11"/>
            <color theme="1"/>
            <rFont val="Calibri"/>
            <family val="2"/>
            <scheme val="minor"/>
          </rPr>
          <t>CIE-10:
Influenza debida a virus no identificado</t>
        </r>
      </text>
    </comment>
    <comment ref="Y93" authorId="1" shapeId="0" xr:uid="{00000000-0006-0000-0200-000025000000}">
      <text>
        <r>
          <rPr>
            <sz val="11"/>
            <color theme="1"/>
            <rFont val="Calibri"/>
            <family val="2"/>
            <scheme val="minor"/>
          </rPr>
          <t>CIE-10:
Influenza debida a virus no identificado</t>
        </r>
      </text>
    </comment>
    <comment ref="P97" authorId="1" shapeId="0" xr:uid="{00000000-0006-0000-0200-000026000000}">
      <text>
        <r>
          <rPr>
            <sz val="11"/>
            <color theme="1"/>
            <rFont val="Calibri"/>
            <family val="2"/>
            <scheme val="minor"/>
          </rPr>
          <t>CIE-10:
Rinofaringitis aguda [resfriado común]</t>
        </r>
      </text>
    </comment>
    <comment ref="Y97" authorId="1" shapeId="0" xr:uid="{00000000-0006-0000-0200-000027000000}">
      <text>
        <r>
          <rPr>
            <sz val="11"/>
            <color theme="1"/>
            <rFont val="Calibri"/>
            <family val="2"/>
            <scheme val="minor"/>
          </rPr>
          <t>CIE-10:
Rinofaringitis aguda [resfriado común]</t>
        </r>
      </text>
    </comment>
    <comment ref="P98" authorId="1" shapeId="0" xr:uid="{00000000-0006-0000-0200-000028000000}">
      <text>
        <r>
          <rPr>
            <sz val="11"/>
            <color theme="1"/>
            <rFont val="Calibri"/>
            <family val="2"/>
            <scheme val="minor"/>
          </rPr>
          <t>CIE-10:
Influenza debida a otro virus de la influenza identificado</t>
        </r>
      </text>
    </comment>
    <comment ref="Y98" authorId="1" shapeId="0" xr:uid="{00000000-0006-0000-0200-000029000000}">
      <text>
        <r>
          <rPr>
            <sz val="11"/>
            <color theme="1"/>
            <rFont val="Calibri"/>
            <family val="2"/>
            <scheme val="minor"/>
          </rPr>
          <t>CIE-10:
Influenza debida a otro virus de la influenza identificado</t>
        </r>
      </text>
    </comment>
    <comment ref="P99" authorId="1" shapeId="0" xr:uid="{00000000-0006-0000-0200-00002A000000}">
      <text>
        <r>
          <rPr>
            <sz val="11"/>
            <color theme="1"/>
            <rFont val="Calibri"/>
            <family val="2"/>
            <scheme val="minor"/>
          </rPr>
          <t>CIE-10:
Influenza debida a virus no identificado</t>
        </r>
      </text>
    </comment>
    <comment ref="Y99" authorId="1" shapeId="0" xr:uid="{00000000-0006-0000-0200-00002B000000}">
      <text>
        <r>
          <rPr>
            <sz val="11"/>
            <color theme="1"/>
            <rFont val="Calibri"/>
            <family val="2"/>
            <scheme val="minor"/>
          </rPr>
          <t>CIE-10:
Influenza debida a virus no identificado</t>
        </r>
      </text>
    </comment>
    <comment ref="P103" authorId="0" shapeId="0" xr:uid="{625F7DEF-83D3-4564-A9A3-97FF66982730}">
      <text>
        <r>
          <rPr>
            <sz val="11"/>
            <color theme="1"/>
            <rFont val="Calibri"/>
            <family val="2"/>
            <scheme val="minor"/>
          </rPr>
          <t>CIE-10:
Sinusitis aguda</t>
        </r>
      </text>
    </comment>
    <comment ref="Y103" authorId="0" shapeId="0" xr:uid="{11D7D941-1EE2-4E8E-B5ED-C3685D948A06}">
      <text>
        <r>
          <rPr>
            <sz val="11"/>
            <color theme="1"/>
            <rFont val="Calibri"/>
            <family val="2"/>
            <scheme val="minor"/>
          </rPr>
          <t>CIE-10:
Sinusitis aguda</t>
        </r>
      </text>
    </comment>
    <comment ref="P104" authorId="0" shapeId="0" xr:uid="{CBE2B1BB-AADA-4F4A-BB09-1B760C47FB85}">
      <text>
        <r>
          <rPr>
            <sz val="11"/>
            <color theme="1"/>
            <rFont val="Calibri"/>
            <family val="2"/>
            <scheme val="minor"/>
          </rPr>
          <t>CIE-10:
Faringitis aguda</t>
        </r>
      </text>
    </comment>
    <comment ref="Y104" authorId="0" shapeId="0" xr:uid="{27A67DC2-AF0C-462B-B3A7-EDCE71ED9018}">
      <text>
        <r>
          <rPr>
            <sz val="11"/>
            <color theme="1"/>
            <rFont val="Calibri"/>
            <family val="2"/>
            <scheme val="minor"/>
          </rPr>
          <t>CIE-10:
Faringitis aguda</t>
        </r>
      </text>
    </comment>
    <comment ref="P105" authorId="0" shapeId="0" xr:uid="{8831ECE9-1007-437E-B094-43CAEF3B8BB1}">
      <text>
        <r>
          <rPr>
            <sz val="11"/>
            <color theme="1"/>
            <rFont val="Calibri"/>
            <family val="2"/>
            <scheme val="minor"/>
          </rPr>
          <t>CIE-10:
Amigdalitis aguda</t>
        </r>
      </text>
    </comment>
    <comment ref="Y105" authorId="0" shapeId="0" xr:uid="{1D4CCF36-8DBF-4F6A-B8AE-88305B900A07}">
      <text>
        <r>
          <rPr>
            <sz val="11"/>
            <color theme="1"/>
            <rFont val="Calibri"/>
            <family val="2"/>
            <scheme val="minor"/>
          </rPr>
          <t>CIE-10:
Amigdalitis aguda</t>
        </r>
      </text>
    </comment>
    <comment ref="P106" authorId="0" shapeId="0" xr:uid="{452984D8-0E5F-42E6-B790-0B38ECE4FF50}">
      <text>
        <r>
          <rPr>
            <sz val="11"/>
            <color theme="1"/>
            <rFont val="Calibri"/>
            <family val="2"/>
            <scheme val="minor"/>
          </rPr>
          <t>CIE-10:
Laringitis y traqueítis agudas</t>
        </r>
      </text>
    </comment>
    <comment ref="Y106" authorId="0" shapeId="0" xr:uid="{89263B55-A7CF-459E-96ED-E0947342CCC3}">
      <text>
        <r>
          <rPr>
            <sz val="11"/>
            <color theme="1"/>
            <rFont val="Calibri"/>
            <family val="2"/>
            <scheme val="minor"/>
          </rPr>
          <t>CIE-10:
Laringitis y traqueítis agudas</t>
        </r>
      </text>
    </comment>
    <comment ref="P107" authorId="0" shapeId="0" xr:uid="{EE1EB698-E93B-49FA-8C93-19939BBAAD41}">
      <text>
        <r>
          <rPr>
            <sz val="11"/>
            <color theme="1"/>
            <rFont val="Calibri"/>
            <family val="2"/>
            <scheme val="minor"/>
          </rPr>
          <t>CIE-10:
Laringitis obstructiva aguda [crup] y epiglotitis</t>
        </r>
      </text>
    </comment>
    <comment ref="Y107" authorId="0" shapeId="0" xr:uid="{42312267-FC7A-4542-A027-992F84347896}">
      <text>
        <r>
          <rPr>
            <sz val="11"/>
            <color theme="1"/>
            <rFont val="Calibri"/>
            <family val="2"/>
            <scheme val="minor"/>
          </rPr>
          <t>CIE-10:
Laringitis obstructiva aguda [crup] y epiglotitis</t>
        </r>
      </text>
    </comment>
    <comment ref="P108" authorId="0" shapeId="0" xr:uid="{48952837-430D-4280-B2FB-FDF4BB84CB4B}">
      <text>
        <r>
          <rPr>
            <sz val="11"/>
            <color theme="1"/>
            <rFont val="Calibri"/>
            <family val="2"/>
            <scheme val="minor"/>
          </rPr>
          <t>CIE-10:
Infecciones agudas de las vías respiratorias superiores, de sitios múltiples o no especificados</t>
        </r>
      </text>
    </comment>
    <comment ref="Y108" authorId="0" shapeId="0" xr:uid="{94382913-4092-4832-8E7A-683A04BF5B52}">
      <text>
        <r>
          <rPr>
            <sz val="11"/>
            <color theme="1"/>
            <rFont val="Calibri"/>
            <family val="2"/>
            <scheme val="minor"/>
          </rPr>
          <t>CIE-10:
Infecciones agudas de las vías respiratorias superiores, de sitios múltiples o no especificados</t>
        </r>
      </text>
    </comment>
    <comment ref="P109" authorId="0" shapeId="0" xr:uid="{49E659EA-12BF-4EEF-ABE2-96115844B19E}">
      <text>
        <r>
          <rPr>
            <sz val="11"/>
            <color theme="1"/>
            <rFont val="Calibri"/>
            <family val="2"/>
            <scheme val="minor"/>
          </rPr>
          <t>CIE-10:
Bronquitis aguda</t>
        </r>
      </text>
    </comment>
    <comment ref="Y109" authorId="0" shapeId="0" xr:uid="{4875CCF9-928B-47B6-B48F-C826958B36CB}">
      <text>
        <r>
          <rPr>
            <sz val="11"/>
            <color theme="1"/>
            <rFont val="Calibri"/>
            <family val="2"/>
            <scheme val="minor"/>
          </rPr>
          <t>CIE-10:
Bronquitis aguda</t>
        </r>
      </text>
    </comment>
    <comment ref="P110" authorId="0" shapeId="0" xr:uid="{9292CC0B-C5F7-448E-B153-31A254953D81}">
      <text/>
    </comment>
    <comment ref="Y110" authorId="0" shapeId="0" xr:uid="{68FE84D9-FD55-4703-A794-47633D45BE31}">
      <text/>
    </comment>
    <comment ref="P111" authorId="0" shapeId="0" xr:uid="{5DB069D7-E4B2-4C2F-8D33-D5FE9199E68B}">
      <text>
        <r>
          <rPr>
            <sz val="11"/>
            <color theme="1"/>
            <rFont val="Calibri"/>
            <family val="2"/>
            <scheme val="minor"/>
          </rPr>
          <t>CIE-10:
Infección aguda no especificada de las vías respiratorias inferiores</t>
        </r>
      </text>
    </comment>
    <comment ref="Y111" authorId="0" shapeId="0" xr:uid="{1EC6446C-08FD-4F61-BD30-70783185C057}">
      <text>
        <r>
          <rPr>
            <sz val="11"/>
            <color theme="1"/>
            <rFont val="Calibri"/>
            <family val="2"/>
            <scheme val="minor"/>
          </rPr>
          <t>CIE-10:
Infección aguda no especificada de las vías respiratorias inferiores</t>
        </r>
      </text>
    </comment>
    <comment ref="P115" authorId="0" shapeId="0" xr:uid="{53ADC560-3D78-45C9-8383-431D40BCB7D6}">
      <text>
        <r>
          <rPr>
            <sz val="11"/>
            <color theme="1"/>
            <rFont val="Calibri"/>
            <family val="2"/>
            <scheme val="minor"/>
          </rPr>
          <t>CIE-10:
Sinusitis aguda</t>
        </r>
      </text>
    </comment>
    <comment ref="Y115" authorId="0" shapeId="0" xr:uid="{67366A0F-A72B-4894-B0D4-03B50B31F680}">
      <text>
        <r>
          <rPr>
            <sz val="11"/>
            <color theme="1"/>
            <rFont val="Calibri"/>
            <family val="2"/>
            <scheme val="minor"/>
          </rPr>
          <t>CIE-10:
Sinusitis aguda</t>
        </r>
      </text>
    </comment>
    <comment ref="P116" authorId="0" shapeId="0" xr:uid="{93E4E927-586C-4208-A966-39FF343BA019}">
      <text>
        <r>
          <rPr>
            <sz val="11"/>
            <color theme="1"/>
            <rFont val="Calibri"/>
            <family val="2"/>
            <scheme val="minor"/>
          </rPr>
          <t>CIE-10:
Faringitis aguda</t>
        </r>
      </text>
    </comment>
    <comment ref="Y116" authorId="0" shapeId="0" xr:uid="{9348911D-0B9B-4093-AF99-AD4FEFAB3B01}">
      <text>
        <r>
          <rPr>
            <sz val="11"/>
            <color theme="1"/>
            <rFont val="Calibri"/>
            <family val="2"/>
            <scheme val="minor"/>
          </rPr>
          <t>CIE-10:
Faringitis aguda</t>
        </r>
      </text>
    </comment>
    <comment ref="P117" authorId="0" shapeId="0" xr:uid="{DF4C0E71-2C87-4230-AA0F-85121A7F4519}">
      <text>
        <r>
          <rPr>
            <sz val="11"/>
            <color theme="1"/>
            <rFont val="Calibri"/>
            <family val="2"/>
            <scheme val="minor"/>
          </rPr>
          <t>CIE-10:
Amigdalitis aguda</t>
        </r>
      </text>
    </comment>
    <comment ref="Y117" authorId="0" shapeId="0" xr:uid="{C7AF048C-6453-43CC-B99F-D60712F73F65}">
      <text>
        <r>
          <rPr>
            <sz val="11"/>
            <color theme="1"/>
            <rFont val="Calibri"/>
            <family val="2"/>
            <scheme val="minor"/>
          </rPr>
          <t>CIE-10:
Amigdalitis aguda</t>
        </r>
      </text>
    </comment>
    <comment ref="P118" authorId="0" shapeId="0" xr:uid="{7244DF91-06D8-410F-BEEB-F8772FCDA751}">
      <text>
        <r>
          <rPr>
            <sz val="11"/>
            <color theme="1"/>
            <rFont val="Calibri"/>
            <family val="2"/>
            <scheme val="minor"/>
          </rPr>
          <t>CIE-10:
Laringitis y traqueítis agudas</t>
        </r>
      </text>
    </comment>
    <comment ref="Y118" authorId="0" shapeId="0" xr:uid="{F1307663-2F42-4E33-8913-347247F24773}">
      <text>
        <r>
          <rPr>
            <sz val="11"/>
            <color theme="1"/>
            <rFont val="Calibri"/>
            <family val="2"/>
            <scheme val="minor"/>
          </rPr>
          <t>CIE-10:
Laringitis y traqueítis agudas</t>
        </r>
      </text>
    </comment>
    <comment ref="P119" authorId="0" shapeId="0" xr:uid="{CE5B7B9E-62EF-4D15-A9C1-029ED271EE74}">
      <text>
        <r>
          <rPr>
            <sz val="11"/>
            <color theme="1"/>
            <rFont val="Calibri"/>
            <family val="2"/>
            <scheme val="minor"/>
          </rPr>
          <t>CIE-10:
Laringitis obstructiva aguda [crup] y epiglotitis</t>
        </r>
      </text>
    </comment>
    <comment ref="Y119" authorId="0" shapeId="0" xr:uid="{0F81E158-8FCF-4D0D-9BDC-F20B220256F0}">
      <text>
        <r>
          <rPr>
            <sz val="11"/>
            <color theme="1"/>
            <rFont val="Calibri"/>
            <family val="2"/>
            <scheme val="minor"/>
          </rPr>
          <t>CIE-10:
Laringitis obstructiva aguda [crup] y epiglotitis</t>
        </r>
      </text>
    </comment>
    <comment ref="P120" authorId="0" shapeId="0" xr:uid="{80BBF5A8-3D70-4E97-BEBD-BADCE5B78137}">
      <text>
        <r>
          <rPr>
            <sz val="11"/>
            <color theme="1"/>
            <rFont val="Calibri"/>
            <family val="2"/>
            <scheme val="minor"/>
          </rPr>
          <t>CIE-10:
Infecciones agudas de las vías respiratorias superiores, de sitios múltiples o no especificados</t>
        </r>
      </text>
    </comment>
    <comment ref="Y120" authorId="0" shapeId="0" xr:uid="{2A118E29-E2DB-478A-B23A-0DA24116FC2A}">
      <text>
        <r>
          <rPr>
            <sz val="11"/>
            <color theme="1"/>
            <rFont val="Calibri"/>
            <family val="2"/>
            <scheme val="minor"/>
          </rPr>
          <t>CIE-10:
Infecciones agudas de las vías respiratorias superiores, de sitios múltiples o no especificados</t>
        </r>
      </text>
    </comment>
    <comment ref="P121" authorId="0" shapeId="0" xr:uid="{971FE20A-85E1-49F5-ABEE-78506817A532}">
      <text>
        <r>
          <rPr>
            <sz val="11"/>
            <color theme="1"/>
            <rFont val="Calibri"/>
            <family val="2"/>
            <scheme val="minor"/>
          </rPr>
          <t>CIE-10:
Bronquitis aguda</t>
        </r>
      </text>
    </comment>
    <comment ref="Y121" authorId="0" shapeId="0" xr:uid="{0663C926-5C43-4310-B7B7-6262D1574A9E}">
      <text>
        <r>
          <rPr>
            <sz val="11"/>
            <color theme="1"/>
            <rFont val="Calibri"/>
            <family val="2"/>
            <scheme val="minor"/>
          </rPr>
          <t>CIE-10:
Bronquitis aguda</t>
        </r>
      </text>
    </comment>
    <comment ref="P122" authorId="0" shapeId="0" xr:uid="{F72C6AEB-6374-4DCB-B26C-97E28F81E751}">
      <text/>
    </comment>
    <comment ref="Y122" authorId="0" shapeId="0" xr:uid="{ED6301BE-C6BE-4339-9B0C-FA2751C07581}">
      <text/>
    </comment>
    <comment ref="P123" authorId="0" shapeId="0" xr:uid="{3C8CE917-6C89-4A34-B9C9-3B140FD84E26}">
      <text>
        <r>
          <rPr>
            <sz val="11"/>
            <color theme="1"/>
            <rFont val="Calibri"/>
            <family val="2"/>
            <scheme val="minor"/>
          </rPr>
          <t>CIE-10:
Infección aguda no especificada de las vías respiratorias inferiores</t>
        </r>
      </text>
    </comment>
    <comment ref="Y123" authorId="0" shapeId="0" xr:uid="{AF1BB03D-B0F4-434A-BA69-5E7748834A47}">
      <text>
        <r>
          <rPr>
            <sz val="11"/>
            <color theme="1"/>
            <rFont val="Calibri"/>
            <family val="2"/>
            <scheme val="minor"/>
          </rPr>
          <t>CIE-10:
Infección aguda no especificada de las vías respiratorias inferiores</t>
        </r>
      </text>
    </comment>
    <comment ref="P127" authorId="0" shapeId="0" xr:uid="{F4A58D52-7BB9-4351-B60C-A5CCBC982B21}">
      <text>
        <r>
          <rPr>
            <sz val="11"/>
            <color theme="1"/>
            <rFont val="Calibri"/>
            <family val="2"/>
            <scheme val="minor"/>
          </rPr>
          <t>CIE-10:
Sinusitis aguda</t>
        </r>
      </text>
    </comment>
    <comment ref="Y127" authorId="0" shapeId="0" xr:uid="{C94C35AE-357F-4A76-BC5F-959F8FD72A5F}">
      <text>
        <r>
          <rPr>
            <sz val="11"/>
            <color theme="1"/>
            <rFont val="Calibri"/>
            <family val="2"/>
            <scheme val="minor"/>
          </rPr>
          <t>CIE-10:
Sinusitis aguda</t>
        </r>
      </text>
    </comment>
    <comment ref="P128" authorId="0" shapeId="0" xr:uid="{C9C65E7B-B623-49F6-91F0-C99D649839CA}">
      <text>
        <r>
          <rPr>
            <sz val="11"/>
            <color theme="1"/>
            <rFont val="Calibri"/>
            <family val="2"/>
            <scheme val="minor"/>
          </rPr>
          <t>CIE-10:
Faringitis aguda</t>
        </r>
      </text>
    </comment>
    <comment ref="Y128" authorId="0" shapeId="0" xr:uid="{2D4D402E-7464-4E2B-89E4-42F0C685CBF5}">
      <text>
        <r>
          <rPr>
            <sz val="11"/>
            <color theme="1"/>
            <rFont val="Calibri"/>
            <family val="2"/>
            <scheme val="minor"/>
          </rPr>
          <t>CIE-10:
Faringitis aguda</t>
        </r>
      </text>
    </comment>
    <comment ref="P129" authorId="0" shapeId="0" xr:uid="{F5BE55D4-66DB-449B-9C52-B22344EFA18D}">
      <text>
        <r>
          <rPr>
            <sz val="11"/>
            <color theme="1"/>
            <rFont val="Calibri"/>
            <family val="2"/>
            <scheme val="minor"/>
          </rPr>
          <t>CIE-10:
Amigdalitis aguda</t>
        </r>
      </text>
    </comment>
    <comment ref="Y129" authorId="0" shapeId="0" xr:uid="{4D0B311A-567A-49F4-9DA0-68F82389E082}">
      <text>
        <r>
          <rPr>
            <sz val="11"/>
            <color theme="1"/>
            <rFont val="Calibri"/>
            <family val="2"/>
            <scheme val="minor"/>
          </rPr>
          <t>CIE-10:
Amigdalitis aguda</t>
        </r>
      </text>
    </comment>
    <comment ref="P130" authorId="0" shapeId="0" xr:uid="{CA8F1FE3-A72D-4680-911E-92E01077A2B0}">
      <text>
        <r>
          <rPr>
            <sz val="11"/>
            <color theme="1"/>
            <rFont val="Calibri"/>
            <family val="2"/>
            <scheme val="minor"/>
          </rPr>
          <t>CIE-10:
Laringitis y traqueítis agudas</t>
        </r>
      </text>
    </comment>
    <comment ref="Y130" authorId="0" shapeId="0" xr:uid="{A6E6D681-AF55-4451-9E86-930EBAAA34CA}">
      <text>
        <r>
          <rPr>
            <sz val="11"/>
            <color theme="1"/>
            <rFont val="Calibri"/>
            <family val="2"/>
            <scheme val="minor"/>
          </rPr>
          <t>CIE-10:
Laringitis y traqueítis agudas</t>
        </r>
      </text>
    </comment>
    <comment ref="P131" authorId="0" shapeId="0" xr:uid="{ADD8E9DB-5FBB-41D4-B934-5C77ED5B6587}">
      <text>
        <r>
          <rPr>
            <sz val="11"/>
            <color theme="1"/>
            <rFont val="Calibri"/>
            <family val="2"/>
            <scheme val="minor"/>
          </rPr>
          <t>CIE-10:
Laringitis obstructiva aguda [crup] y epiglotitis</t>
        </r>
      </text>
    </comment>
    <comment ref="Y131" authorId="0" shapeId="0" xr:uid="{60527834-EF3D-4EED-8F77-B088B925D822}">
      <text>
        <r>
          <rPr>
            <sz val="11"/>
            <color theme="1"/>
            <rFont val="Calibri"/>
            <family val="2"/>
            <scheme val="minor"/>
          </rPr>
          <t>CIE-10:
Laringitis obstructiva aguda [crup] y epiglotitis</t>
        </r>
      </text>
    </comment>
    <comment ref="P132" authorId="0" shapeId="0" xr:uid="{0644F9D3-6E0C-4D65-B14A-D62D0B6D01B3}">
      <text>
        <r>
          <rPr>
            <sz val="11"/>
            <color theme="1"/>
            <rFont val="Calibri"/>
            <family val="2"/>
            <scheme val="minor"/>
          </rPr>
          <t>CIE-10:
Infecciones agudas de las vías respiratorias superiores, de sitios múltiples o no especificados</t>
        </r>
      </text>
    </comment>
    <comment ref="Y132" authorId="0" shapeId="0" xr:uid="{DE987BBC-EB00-46C4-8F43-D3736FB9B858}">
      <text>
        <r>
          <rPr>
            <sz val="11"/>
            <color theme="1"/>
            <rFont val="Calibri"/>
            <family val="2"/>
            <scheme val="minor"/>
          </rPr>
          <t>CIE-10:
Infecciones agudas de las vías respiratorias superiores, de sitios múltiples o no especificados</t>
        </r>
      </text>
    </comment>
    <comment ref="P133" authorId="0" shapeId="0" xr:uid="{778C9DCF-9ECE-4AF0-B3E8-7317E76FBCBF}">
      <text>
        <r>
          <rPr>
            <sz val="11"/>
            <color theme="1"/>
            <rFont val="Calibri"/>
            <family val="2"/>
            <scheme val="minor"/>
          </rPr>
          <t>CIE-10:
Bronquitis aguda</t>
        </r>
      </text>
    </comment>
    <comment ref="Y133" authorId="0" shapeId="0" xr:uid="{ED37C7CD-85AB-4E19-BC04-365147267437}">
      <text>
        <r>
          <rPr>
            <sz val="11"/>
            <color theme="1"/>
            <rFont val="Calibri"/>
            <family val="2"/>
            <scheme val="minor"/>
          </rPr>
          <t>CIE-10:
Bronquitis aguda</t>
        </r>
      </text>
    </comment>
    <comment ref="P134" authorId="0" shapeId="0" xr:uid="{AAB1116D-C743-471D-A281-08B05C776298}">
      <text/>
    </comment>
    <comment ref="Y134" authorId="0" shapeId="0" xr:uid="{9240D04B-D8AD-49B4-AEF5-8CD719F19E10}">
      <text/>
    </comment>
    <comment ref="P135" authorId="0" shapeId="0" xr:uid="{7A74071F-695C-4EC1-8B18-5A1D0CD23CED}">
      <text>
        <r>
          <rPr>
            <sz val="11"/>
            <color theme="1"/>
            <rFont val="Calibri"/>
            <family val="2"/>
            <scheme val="minor"/>
          </rPr>
          <t>CIE-10:
Infección aguda no especificada de las vías respiratorias inferiores</t>
        </r>
      </text>
    </comment>
    <comment ref="Y135" authorId="0" shapeId="0" xr:uid="{DF3EC711-EC67-4F07-AAF2-FF28AECDE39C}">
      <text>
        <r>
          <rPr>
            <sz val="11"/>
            <color theme="1"/>
            <rFont val="Calibri"/>
            <family val="2"/>
            <scheme val="minor"/>
          </rPr>
          <t>CIE-10:
Infección aguda no especificada de las vías respiratorias inferiores</t>
        </r>
      </text>
    </comment>
    <comment ref="P139" authorId="0" shapeId="0" xr:uid="{8A644BEE-26FE-42F3-9FCC-FEB02FE055E8}">
      <text>
        <r>
          <rPr>
            <sz val="11"/>
            <color theme="1"/>
            <rFont val="Calibri"/>
            <family val="2"/>
            <scheme val="minor"/>
          </rPr>
          <t>CIE-10:
Neumonía viral, no clasificada en otra parte</t>
        </r>
      </text>
    </comment>
    <comment ref="Y139" authorId="0" shapeId="0" xr:uid="{DA099EB1-E1A0-4F8D-AABB-0060C7B7E0F1}">
      <text>
        <r>
          <rPr>
            <sz val="11"/>
            <color theme="1"/>
            <rFont val="Calibri"/>
            <family val="2"/>
            <scheme val="minor"/>
          </rPr>
          <t>CIE-10:
Neumonía viral, no clasificada en otra parte</t>
        </r>
      </text>
    </comment>
    <comment ref="P140" authorId="0" shapeId="0" xr:uid="{44F62AE9-6FD0-45A9-864E-D62DC372104E}">
      <text>
        <r>
          <rPr>
            <sz val="11"/>
            <color theme="1"/>
            <rFont val="Calibri"/>
            <family val="2"/>
            <scheme val="minor"/>
          </rPr>
          <t>CIE-10:
Amigdalitis aguda</t>
        </r>
      </text>
    </comment>
    <comment ref="Y140" authorId="0" shapeId="0" xr:uid="{61DE7DFB-D0BF-4087-A94D-034788FC4113}">
      <text>
        <r>
          <rPr>
            <sz val="11"/>
            <color theme="1"/>
            <rFont val="Calibri"/>
            <family val="2"/>
            <scheme val="minor"/>
          </rPr>
          <t>CIE-10:
Amigdalitis aguda</t>
        </r>
      </text>
    </comment>
    <comment ref="P141" authorId="0" shapeId="0" xr:uid="{420F2B8D-1C7C-401D-BAE2-65597D54C87F}">
      <text>
        <r>
          <rPr>
            <sz val="11"/>
            <color theme="1"/>
            <rFont val="Calibri"/>
            <family val="2"/>
            <scheme val="minor"/>
          </rPr>
          <t>CIE-10:
Neumonía debida a Haemophilus influenzae</t>
        </r>
      </text>
    </comment>
    <comment ref="Y141" authorId="0" shapeId="0" xr:uid="{60CCF4FC-9C11-4FE2-A0DD-C8CA317DCEAC}">
      <text>
        <r>
          <rPr>
            <sz val="11"/>
            <color theme="1"/>
            <rFont val="Calibri"/>
            <family val="2"/>
            <scheme val="minor"/>
          </rPr>
          <t>CIE-10:
Neumonía debida a Haemophilus influenzae</t>
        </r>
      </text>
    </comment>
    <comment ref="P142" authorId="0" shapeId="0" xr:uid="{49A1718F-C0AF-4915-9E37-127098527B59}">
      <text>
        <r>
          <rPr>
            <sz val="11"/>
            <color theme="1"/>
            <rFont val="Calibri"/>
            <family val="2"/>
            <scheme val="minor"/>
          </rPr>
          <t>CIE-10:
Neumonía bacteriana, no clasificada en otra parte</t>
        </r>
      </text>
    </comment>
    <comment ref="Y142" authorId="0" shapeId="0" xr:uid="{7B407851-D85B-4018-B9AA-E1CA2F6ACEBD}">
      <text>
        <r>
          <rPr>
            <sz val="11"/>
            <color theme="1"/>
            <rFont val="Calibri"/>
            <family val="2"/>
            <scheme val="minor"/>
          </rPr>
          <t>CIE-10:
Neumonía bacteriana, no clasificada en otra parte</t>
        </r>
      </text>
    </comment>
    <comment ref="P143" authorId="0" shapeId="0" xr:uid="{4BF07F23-981A-4EB1-8E27-7E665B724FD7}">
      <text>
        <r>
          <rPr>
            <sz val="11"/>
            <color theme="1"/>
            <rFont val="Calibri"/>
            <family val="2"/>
            <scheme val="minor"/>
          </rPr>
          <t>CIE-10:
Neumonía debida a otros microorganismos infecciosos, no clasificados en otra parte</t>
        </r>
      </text>
    </comment>
    <comment ref="Y143" authorId="0" shapeId="0" xr:uid="{BDFBABE3-30D8-4607-9217-21EFB02E6978}">
      <text>
        <r>
          <rPr>
            <sz val="11"/>
            <color theme="1"/>
            <rFont val="Calibri"/>
            <family val="2"/>
            <scheme val="minor"/>
          </rPr>
          <t>CIE-10:
Neumonía debida a otros microorganismos infecciosos, no clasificados en otra parte</t>
        </r>
      </text>
    </comment>
    <comment ref="P144" authorId="0" shapeId="0" xr:uid="{4567B529-7396-414D-AEAE-705026858F9F}">
      <text>
        <r>
          <rPr>
            <sz val="11"/>
            <color theme="1"/>
            <rFont val="Calibri"/>
            <family val="2"/>
            <scheme val="minor"/>
          </rPr>
          <t>CIE-10:
Neumonía en enfermedades clasificadas en otra parte</t>
        </r>
      </text>
    </comment>
    <comment ref="Y144" authorId="0" shapeId="0" xr:uid="{459C8E3A-7E05-4E20-85A7-6BEAF950B38C}">
      <text>
        <r>
          <rPr>
            <sz val="11"/>
            <color theme="1"/>
            <rFont val="Calibri"/>
            <family val="2"/>
            <scheme val="minor"/>
          </rPr>
          <t>CIE-10:
Neumonía en enfermedades clasificadas en otra parte</t>
        </r>
      </text>
    </comment>
    <comment ref="P145" authorId="0" shapeId="0" xr:uid="{9559248C-0D42-4461-AC91-FC96C9F98668}">
      <text>
        <r>
          <rPr>
            <sz val="11"/>
            <color theme="1"/>
            <rFont val="Calibri"/>
            <family val="2"/>
            <scheme val="minor"/>
          </rPr>
          <t>CIE-10:
Neumonía, organismo no especificado</t>
        </r>
      </text>
    </comment>
    <comment ref="Y145" authorId="0" shapeId="0" xr:uid="{EA2CE834-B4C1-4038-9250-BA1AC8A8589B}">
      <text>
        <r>
          <rPr>
            <sz val="11"/>
            <color theme="1"/>
            <rFont val="Calibri"/>
            <family val="2"/>
            <scheme val="minor"/>
          </rPr>
          <t>CIE-10:
Neumonía, organismo no especificado</t>
        </r>
      </text>
    </comment>
    <comment ref="P149" authorId="0" shapeId="0" xr:uid="{F600E806-C150-4DF5-8280-27530300BD7F}">
      <text>
        <r>
          <rPr>
            <sz val="11"/>
            <color theme="1"/>
            <rFont val="Calibri"/>
            <family val="2"/>
            <scheme val="minor"/>
          </rPr>
          <t>CIE-10:
Neumonía viral, no clasificada en otra parte</t>
        </r>
      </text>
    </comment>
    <comment ref="Y149" authorId="0" shapeId="0" xr:uid="{5CFA51BE-00FA-4032-A102-DB50B97744AD}">
      <text>
        <r>
          <rPr>
            <sz val="11"/>
            <color theme="1"/>
            <rFont val="Calibri"/>
            <family val="2"/>
            <scheme val="minor"/>
          </rPr>
          <t>CIE-10:
Neumonía viral, no clasificada en otra parte</t>
        </r>
      </text>
    </comment>
    <comment ref="P150" authorId="0" shapeId="0" xr:uid="{7EA96473-D62A-48FB-8C38-F3CDB50017E6}">
      <text>
        <r>
          <rPr>
            <sz val="11"/>
            <color theme="1"/>
            <rFont val="Calibri"/>
            <family val="2"/>
            <scheme val="minor"/>
          </rPr>
          <t>CIE-10:
Amigdalitis aguda</t>
        </r>
      </text>
    </comment>
    <comment ref="Y150" authorId="0" shapeId="0" xr:uid="{4E9A6F2B-B1E5-4CD8-B385-B05A924CE49B}">
      <text>
        <r>
          <rPr>
            <sz val="11"/>
            <color theme="1"/>
            <rFont val="Calibri"/>
            <family val="2"/>
            <scheme val="minor"/>
          </rPr>
          <t>CIE-10:
Amigdalitis aguda</t>
        </r>
      </text>
    </comment>
    <comment ref="P151" authorId="0" shapeId="0" xr:uid="{21FC9FAE-9BF9-4159-9B72-04E6F8825B25}">
      <text>
        <r>
          <rPr>
            <sz val="11"/>
            <color theme="1"/>
            <rFont val="Calibri"/>
            <family val="2"/>
            <scheme val="minor"/>
          </rPr>
          <t>CIE-10:
Neumonía debida a Haemophilus influenzae</t>
        </r>
      </text>
    </comment>
    <comment ref="Y151" authorId="0" shapeId="0" xr:uid="{0E86D6F5-0403-4867-9FC9-3283251E34F5}">
      <text>
        <r>
          <rPr>
            <sz val="11"/>
            <color theme="1"/>
            <rFont val="Calibri"/>
            <family val="2"/>
            <scheme val="minor"/>
          </rPr>
          <t>CIE-10:
Neumonía debida a Haemophilus influenzae</t>
        </r>
      </text>
    </comment>
    <comment ref="P152" authorId="0" shapeId="0" xr:uid="{DF2DFAC1-562E-4D20-85F9-879F2A8EC904}">
      <text>
        <r>
          <rPr>
            <sz val="11"/>
            <color theme="1"/>
            <rFont val="Calibri"/>
            <family val="2"/>
            <scheme val="minor"/>
          </rPr>
          <t>CIE-10:
Neumonía bacteriana, no clasificada en otra parte</t>
        </r>
      </text>
    </comment>
    <comment ref="Y152" authorId="0" shapeId="0" xr:uid="{007F1CCD-4098-46B1-98C1-F5179CFC1AEE}">
      <text>
        <r>
          <rPr>
            <sz val="11"/>
            <color theme="1"/>
            <rFont val="Calibri"/>
            <family val="2"/>
            <scheme val="minor"/>
          </rPr>
          <t>CIE-10:
Neumonía bacteriana, no clasificada en otra parte</t>
        </r>
      </text>
    </comment>
    <comment ref="P153" authorId="0" shapeId="0" xr:uid="{D3E14B7F-C77C-4A10-870B-F87B5C98EAA0}">
      <text>
        <r>
          <rPr>
            <sz val="11"/>
            <color theme="1"/>
            <rFont val="Calibri"/>
            <family val="2"/>
            <scheme val="minor"/>
          </rPr>
          <t>CIE-10:
Neumonía debida a otros microorganismos infecciosos, no clasificados en otra parte</t>
        </r>
      </text>
    </comment>
    <comment ref="Y153" authorId="0" shapeId="0" xr:uid="{9A3CB915-25D6-4877-921F-702467DA0CC0}">
      <text>
        <r>
          <rPr>
            <sz val="11"/>
            <color theme="1"/>
            <rFont val="Calibri"/>
            <family val="2"/>
            <scheme val="minor"/>
          </rPr>
          <t>CIE-10:
Neumonía debida a otros microorganismos infecciosos, no clasificados en otra parte</t>
        </r>
      </text>
    </comment>
    <comment ref="P154" authorId="0" shapeId="0" xr:uid="{7015F144-A9F0-4A68-8F57-971F499E0374}">
      <text>
        <r>
          <rPr>
            <sz val="11"/>
            <color theme="1"/>
            <rFont val="Calibri"/>
            <family val="2"/>
            <scheme val="minor"/>
          </rPr>
          <t>CIE-10:
Neumonía en enfermedades clasificadas en otra parte</t>
        </r>
      </text>
    </comment>
    <comment ref="Y154" authorId="0" shapeId="0" xr:uid="{E49140D1-ECAA-4C4E-8D0D-13ECF7C5EFA3}">
      <text>
        <r>
          <rPr>
            <sz val="11"/>
            <color theme="1"/>
            <rFont val="Calibri"/>
            <family val="2"/>
            <scheme val="minor"/>
          </rPr>
          <t>CIE-10:
Neumonía en enfermedades clasificadas en otra parte</t>
        </r>
      </text>
    </comment>
    <comment ref="P155" authorId="0" shapeId="0" xr:uid="{BB7622E1-81F4-493F-B27C-CBCFF018A461}">
      <text>
        <r>
          <rPr>
            <sz val="11"/>
            <color theme="1"/>
            <rFont val="Calibri"/>
            <family val="2"/>
            <scheme val="minor"/>
          </rPr>
          <t>CIE-10:
Neumonía, organismo no especificado</t>
        </r>
      </text>
    </comment>
    <comment ref="Y155" authorId="0" shapeId="0" xr:uid="{72346AAF-4374-435A-B3F3-7D08E8A01D83}">
      <text>
        <r>
          <rPr>
            <sz val="11"/>
            <color theme="1"/>
            <rFont val="Calibri"/>
            <family val="2"/>
            <scheme val="minor"/>
          </rPr>
          <t>CIE-10:
Neumonía, organismo no especificado</t>
        </r>
      </text>
    </comment>
    <comment ref="P159" authorId="0" shapeId="0" xr:uid="{FBA1122A-39F0-4F45-806A-738B6DAEF465}">
      <text>
        <r>
          <rPr>
            <sz val="11"/>
            <color theme="1"/>
            <rFont val="Calibri"/>
            <family val="2"/>
            <scheme val="minor"/>
          </rPr>
          <t>CIE-10:
Neumonía viral, no clasificada en otra parte</t>
        </r>
      </text>
    </comment>
    <comment ref="Y159" authorId="0" shapeId="0" xr:uid="{36EC2402-F835-42AB-B0B2-936A3EF76CC4}">
      <text>
        <r>
          <rPr>
            <sz val="11"/>
            <color theme="1"/>
            <rFont val="Calibri"/>
            <family val="2"/>
            <scheme val="minor"/>
          </rPr>
          <t>CIE-10:
Neumonía viral, no clasificada en otra parte</t>
        </r>
      </text>
    </comment>
    <comment ref="P160" authorId="0" shapeId="0" xr:uid="{9FB2E4C8-EA80-4BFD-9427-50B22666E8A3}">
      <text>
        <r>
          <rPr>
            <sz val="11"/>
            <color theme="1"/>
            <rFont val="Calibri"/>
            <family val="2"/>
            <scheme val="minor"/>
          </rPr>
          <t>CIE-10:
Amigdalitis aguda</t>
        </r>
      </text>
    </comment>
    <comment ref="Y160" authorId="0" shapeId="0" xr:uid="{017A3E0E-6473-410B-B060-829A2836C563}">
      <text>
        <r>
          <rPr>
            <sz val="11"/>
            <color theme="1"/>
            <rFont val="Calibri"/>
            <family val="2"/>
            <scheme val="minor"/>
          </rPr>
          <t>CIE-10:
Amigdalitis aguda</t>
        </r>
      </text>
    </comment>
    <comment ref="P161" authorId="0" shapeId="0" xr:uid="{81D921B5-C157-48F7-8026-B32896C384FF}">
      <text>
        <r>
          <rPr>
            <sz val="11"/>
            <color theme="1"/>
            <rFont val="Calibri"/>
            <family val="2"/>
            <scheme val="minor"/>
          </rPr>
          <t>CIE-10:
Neumonía debida a Haemophilus influenzae</t>
        </r>
      </text>
    </comment>
    <comment ref="Y161" authorId="0" shapeId="0" xr:uid="{5D95F806-CA71-46AE-BF75-27564D074D20}">
      <text>
        <r>
          <rPr>
            <sz val="11"/>
            <color theme="1"/>
            <rFont val="Calibri"/>
            <family val="2"/>
            <scheme val="minor"/>
          </rPr>
          <t>CIE-10:
Neumonía debida a Haemophilus influenzae</t>
        </r>
      </text>
    </comment>
    <comment ref="P162" authorId="0" shapeId="0" xr:uid="{DC3474C8-371A-4708-9517-3CFFF5501B56}">
      <text>
        <r>
          <rPr>
            <sz val="11"/>
            <color theme="1"/>
            <rFont val="Calibri"/>
            <family val="2"/>
            <scheme val="minor"/>
          </rPr>
          <t>CIE-10:
Neumonía bacteriana, no clasificada en otra parte</t>
        </r>
      </text>
    </comment>
    <comment ref="Y162" authorId="0" shapeId="0" xr:uid="{113F9195-EDC6-4C4D-8388-0DE14F1B5A2F}">
      <text>
        <r>
          <rPr>
            <sz val="11"/>
            <color theme="1"/>
            <rFont val="Calibri"/>
            <family val="2"/>
            <scheme val="minor"/>
          </rPr>
          <t>CIE-10:
Neumonía bacteriana, no clasificada en otra parte</t>
        </r>
      </text>
    </comment>
    <comment ref="P163" authorId="0" shapeId="0" xr:uid="{5224F376-B115-460B-AE17-2E9321F802E3}">
      <text>
        <r>
          <rPr>
            <sz val="11"/>
            <color theme="1"/>
            <rFont val="Calibri"/>
            <family val="2"/>
            <scheme val="minor"/>
          </rPr>
          <t>CIE-10:
Neumonía debida a otros microorganismos infecciosos, no clasificados en otra parte</t>
        </r>
      </text>
    </comment>
    <comment ref="Y163" authorId="0" shapeId="0" xr:uid="{29181177-B60E-4AA2-9872-3FE73D2217BE}">
      <text>
        <r>
          <rPr>
            <sz val="11"/>
            <color theme="1"/>
            <rFont val="Calibri"/>
            <family val="2"/>
            <scheme val="minor"/>
          </rPr>
          <t>CIE-10:
Neumonía debida a otros microorganismos infecciosos, no clasificados en otra parte</t>
        </r>
      </text>
    </comment>
    <comment ref="P164" authorId="0" shapeId="0" xr:uid="{B600A961-3D31-4D6F-92A0-F490F6AC984F}">
      <text>
        <r>
          <rPr>
            <sz val="11"/>
            <color theme="1"/>
            <rFont val="Calibri"/>
            <family val="2"/>
            <scheme val="minor"/>
          </rPr>
          <t>CIE-10:
Neumonía en enfermedades clasificadas en otra parte</t>
        </r>
      </text>
    </comment>
    <comment ref="Y164" authorId="0" shapeId="0" xr:uid="{A0D74BB9-1119-4C79-93F2-2A459EB2E9D5}">
      <text>
        <r>
          <rPr>
            <sz val="11"/>
            <color theme="1"/>
            <rFont val="Calibri"/>
            <family val="2"/>
            <scheme val="minor"/>
          </rPr>
          <t>CIE-10:
Neumonía en enfermedades clasificadas en otra parte</t>
        </r>
      </text>
    </comment>
    <comment ref="P165" authorId="0" shapeId="0" xr:uid="{5A6F5FC9-79AE-44D8-B3E5-AA5DBCEFEAEE}">
      <text>
        <r>
          <rPr>
            <sz val="11"/>
            <color theme="1"/>
            <rFont val="Calibri"/>
            <family val="2"/>
            <scheme val="minor"/>
          </rPr>
          <t>CIE-10:
Neumonía, organismo no especificado</t>
        </r>
      </text>
    </comment>
    <comment ref="Y165" authorId="0" shapeId="0" xr:uid="{5099ACFA-C00E-4AEC-8266-BCB3E86AF217}">
      <text>
        <r>
          <rPr>
            <sz val="11"/>
            <color theme="1"/>
            <rFont val="Calibri"/>
            <family val="2"/>
            <scheme val="minor"/>
          </rPr>
          <t>CIE-10:
Neumonía, organismo no especificado</t>
        </r>
      </text>
    </comment>
    <comment ref="P169" authorId="0" shapeId="0" xr:uid="{9CE4FC17-DD38-430D-AC45-E4B5922CF198}">
      <text>
        <r>
          <rPr>
            <sz val="11"/>
            <color theme="1"/>
            <rFont val="Calibri"/>
            <family val="2"/>
            <scheme val="minor"/>
          </rPr>
          <t>CIE-10:
Absceso del pulmón y del mediastino</t>
        </r>
      </text>
    </comment>
    <comment ref="Y169" authorId="0" shapeId="0" xr:uid="{86C64515-2DE4-4DA3-AB8D-E1D310F24FB2}">
      <text>
        <r>
          <rPr>
            <sz val="11"/>
            <color theme="1"/>
            <rFont val="Calibri"/>
            <family val="2"/>
            <scheme val="minor"/>
          </rPr>
          <t>CIE-10:
Absceso del pulmón y del mediastino</t>
        </r>
      </text>
    </comment>
    <comment ref="P170" authorId="0" shapeId="0" xr:uid="{D5EEB432-7DAA-485D-AC8B-0335FD3BF619}">
      <text>
        <r>
          <rPr>
            <sz val="11"/>
            <color theme="1"/>
            <rFont val="Calibri"/>
            <family val="2"/>
            <scheme val="minor"/>
          </rPr>
          <t>CIE-10:
Piotórax</t>
        </r>
      </text>
    </comment>
    <comment ref="Y170" authorId="0" shapeId="0" xr:uid="{E60F8617-1FE1-4150-BF7D-18C6BAB16CA6}">
      <text>
        <r>
          <rPr>
            <sz val="11"/>
            <color theme="1"/>
            <rFont val="Calibri"/>
            <family val="2"/>
            <scheme val="minor"/>
          </rPr>
          <t>CIE-10:
Piotórax</t>
        </r>
      </text>
    </comment>
    <comment ref="P171" authorId="0" shapeId="0" xr:uid="{FFF055FB-3A77-409A-BDF7-A082C7FEF1AF}">
      <text>
        <r>
          <rPr>
            <sz val="11"/>
            <color theme="1"/>
            <rFont val="Calibri"/>
            <family val="2"/>
            <scheme val="minor"/>
          </rPr>
          <t>CIE-10:
Derrame pleural no clasificado en otra parte</t>
        </r>
      </text>
    </comment>
    <comment ref="Y171" authorId="0" shapeId="0" xr:uid="{82AACDA5-8AE8-4A77-AE94-AB64CB26BE76}">
      <text>
        <r>
          <rPr>
            <sz val="11"/>
            <color theme="1"/>
            <rFont val="Calibri"/>
            <family val="2"/>
            <scheme val="minor"/>
          </rPr>
          <t>CIE-10:
Derrame pleural no clasificado en otra parte</t>
        </r>
      </text>
    </comment>
    <comment ref="P175" authorId="0" shapeId="0" xr:uid="{CB4A0B13-F2A6-43EE-B0BB-7B183ABB271C}">
      <text>
        <r>
          <rPr>
            <sz val="11"/>
            <color theme="1"/>
            <rFont val="Calibri"/>
            <family val="2"/>
            <scheme val="minor"/>
          </rPr>
          <t>CIE-10:
Absceso del pulmón y del mediastino</t>
        </r>
      </text>
    </comment>
    <comment ref="Y175" authorId="0" shapeId="0" xr:uid="{2186F776-6F8B-476C-A1FD-45185B0FA3C1}">
      <text>
        <r>
          <rPr>
            <sz val="11"/>
            <color theme="1"/>
            <rFont val="Calibri"/>
            <family val="2"/>
            <scheme val="minor"/>
          </rPr>
          <t>CIE-10:
Absceso del pulmón y del mediastino</t>
        </r>
      </text>
    </comment>
    <comment ref="P176" authorId="0" shapeId="0" xr:uid="{51651AAE-B24E-4EF0-9029-EE8C7C9A68D7}">
      <text>
        <r>
          <rPr>
            <sz val="11"/>
            <color theme="1"/>
            <rFont val="Calibri"/>
            <family val="2"/>
            <scheme val="minor"/>
          </rPr>
          <t>CIE-10:
Piotórax</t>
        </r>
      </text>
    </comment>
    <comment ref="Y176" authorId="0" shapeId="0" xr:uid="{22354B1B-973B-4003-BD40-6B25CA1E0EEF}">
      <text>
        <r>
          <rPr>
            <sz val="11"/>
            <color theme="1"/>
            <rFont val="Calibri"/>
            <family val="2"/>
            <scheme val="minor"/>
          </rPr>
          <t>CIE-10:
Piotórax</t>
        </r>
      </text>
    </comment>
    <comment ref="P177" authorId="0" shapeId="0" xr:uid="{5F37676E-16EA-4B7D-9BDF-473D468C187F}">
      <text>
        <r>
          <rPr>
            <sz val="11"/>
            <color theme="1"/>
            <rFont val="Calibri"/>
            <family val="2"/>
            <scheme val="minor"/>
          </rPr>
          <t>CIE-10:
Derrame pleural no clasificado en otra parte</t>
        </r>
      </text>
    </comment>
    <comment ref="Y177" authorId="0" shapeId="0" xr:uid="{A69BCCE0-64D6-417E-9864-BB7C61612224}">
      <text>
        <r>
          <rPr>
            <sz val="11"/>
            <color theme="1"/>
            <rFont val="Calibri"/>
            <family val="2"/>
            <scheme val="minor"/>
          </rPr>
          <t>CIE-10:
Derrame pleural no clasificado en otra parte</t>
        </r>
      </text>
    </comment>
    <comment ref="P181" authorId="0" shapeId="0" xr:uid="{EB7F1E4A-2511-46AB-8FEF-672616F8D243}">
      <text>
        <r>
          <rPr>
            <sz val="11"/>
            <color theme="1"/>
            <rFont val="Calibri"/>
            <family val="2"/>
            <scheme val="minor"/>
          </rPr>
          <t>CIE-10:
Absceso del pulmón y del mediastino</t>
        </r>
      </text>
    </comment>
    <comment ref="Y181" authorId="0" shapeId="0" xr:uid="{51256FB1-748E-4547-9E00-474909D59799}">
      <text>
        <r>
          <rPr>
            <sz val="11"/>
            <color theme="1"/>
            <rFont val="Calibri"/>
            <family val="2"/>
            <scheme val="minor"/>
          </rPr>
          <t>CIE-10:
Absceso del pulmón y del mediastino</t>
        </r>
      </text>
    </comment>
    <comment ref="P182" authorId="0" shapeId="0" xr:uid="{A75AC2F2-75E9-4776-A1E2-1246B44F60E2}">
      <text>
        <r>
          <rPr>
            <sz val="11"/>
            <color theme="1"/>
            <rFont val="Calibri"/>
            <family val="2"/>
            <scheme val="minor"/>
          </rPr>
          <t>CIE-10:
Piotórax</t>
        </r>
      </text>
    </comment>
    <comment ref="Y182" authorId="0" shapeId="0" xr:uid="{0D82BDC3-CD97-4B44-B01B-F7A082AC1FB4}">
      <text>
        <r>
          <rPr>
            <sz val="11"/>
            <color theme="1"/>
            <rFont val="Calibri"/>
            <family val="2"/>
            <scheme val="minor"/>
          </rPr>
          <t>CIE-10:
Piotórax</t>
        </r>
      </text>
    </comment>
    <comment ref="P183" authorId="0" shapeId="0" xr:uid="{F7402441-8B7D-4177-9FC3-FB589819D6FA}">
      <text>
        <r>
          <rPr>
            <sz val="11"/>
            <color theme="1"/>
            <rFont val="Calibri"/>
            <family val="2"/>
            <scheme val="minor"/>
          </rPr>
          <t>CIE-10:
Derrame pleural no clasificado en otra parte</t>
        </r>
      </text>
    </comment>
    <comment ref="Y183" authorId="0" shapeId="0" xr:uid="{BDA1D914-BA9D-4731-8FF9-26218F094D64}">
      <text>
        <r>
          <rPr>
            <sz val="11"/>
            <color theme="1"/>
            <rFont val="Calibri"/>
            <family val="2"/>
            <scheme val="minor"/>
          </rPr>
          <t>CIE-10:
Derrame pleural no clasificado en otra parte</t>
        </r>
      </text>
    </comment>
    <comment ref="P187" authorId="0" shapeId="0" xr:uid="{E4552C78-370C-499A-A342-8C9D6AD81FBB}">
      <text>
        <r>
          <rPr>
            <sz val="11"/>
            <color theme="1"/>
            <rFont val="Calibri"/>
            <family val="2"/>
            <scheme val="minor"/>
          </rPr>
          <t>CIE-10:
Enteritis debida a Salmonella</t>
        </r>
      </text>
    </comment>
    <comment ref="Y187" authorId="0" shapeId="0" xr:uid="{AEA36561-ED13-4A56-B195-2891823B7526}">
      <text>
        <r>
          <rPr>
            <sz val="11"/>
            <color theme="1"/>
            <rFont val="Calibri"/>
            <family val="2"/>
            <scheme val="minor"/>
          </rPr>
          <t>CIE-10:
Enteritis debida a Salmonella</t>
        </r>
      </text>
    </comment>
    <comment ref="P188" authorId="0" shapeId="0" xr:uid="{EA2803E3-E2F5-487D-9E0D-216E4FC3DC40}">
      <text>
        <r>
          <rPr>
            <sz val="11"/>
            <color theme="1"/>
            <rFont val="Calibri"/>
            <family val="2"/>
            <scheme val="minor"/>
          </rPr>
          <t>CIE-10:
Shigelosis</t>
        </r>
      </text>
    </comment>
    <comment ref="Y188" authorId="0" shapeId="0" xr:uid="{71D84705-ADA7-413C-B6A0-A279C74A16AC}">
      <text>
        <r>
          <rPr>
            <sz val="11"/>
            <color theme="1"/>
            <rFont val="Calibri"/>
            <family val="2"/>
            <scheme val="minor"/>
          </rPr>
          <t>CIE-10:
Shigelosis</t>
        </r>
      </text>
    </comment>
    <comment ref="P189" authorId="0" shapeId="0" xr:uid="{9AB8686A-8772-4668-A775-F2E3C4D3AB6C}">
      <text>
        <r>
          <rPr>
            <sz val="11"/>
            <color theme="1"/>
            <rFont val="Calibri"/>
            <family val="2"/>
            <scheme val="minor"/>
          </rPr>
          <t>CIE-10:
Otras infecciones intestinales bacterianas</t>
        </r>
      </text>
    </comment>
    <comment ref="Y189" authorId="0" shapeId="0" xr:uid="{A2B55075-0926-43D2-B700-19F2CE4F279A}">
      <text>
        <r>
          <rPr>
            <sz val="11"/>
            <color theme="1"/>
            <rFont val="Calibri"/>
            <family val="2"/>
            <scheme val="minor"/>
          </rPr>
          <t>CIE-10:
Otras infecciones intestinales bacterianas</t>
        </r>
      </text>
    </comment>
    <comment ref="P190" authorId="0" shapeId="0" xr:uid="{43872836-77F5-4042-B1F0-8677E7816701}">
      <text>
        <r>
          <rPr>
            <sz val="11"/>
            <color theme="1"/>
            <rFont val="Calibri"/>
            <family val="2"/>
            <scheme val="minor"/>
          </rPr>
          <t>CIE-10:
Otras intoxicaciones alimentarias bacterianas, no clasificadas en otra parte</t>
        </r>
      </text>
    </comment>
    <comment ref="Y190" authorId="0" shapeId="0" xr:uid="{40472943-3D3D-49B2-A3B6-D960DA200F6C}">
      <text>
        <r>
          <rPr>
            <sz val="11"/>
            <color theme="1"/>
            <rFont val="Calibri"/>
            <family val="2"/>
            <scheme val="minor"/>
          </rPr>
          <t>CIE-10:
Otras intoxicaciones alimentarias bacterianas, no clasificadas en otra parte</t>
        </r>
      </text>
    </comment>
    <comment ref="P191" authorId="0" shapeId="0" xr:uid="{4F4A3818-BD14-4327-828C-71AA9782D39D}">
      <text>
        <r>
          <rPr>
            <sz val="11"/>
            <color theme="1"/>
            <rFont val="Calibri"/>
            <family val="2"/>
            <scheme val="minor"/>
          </rPr>
          <t>CIE-10:
Disentería amebiana aguda</t>
        </r>
      </text>
    </comment>
    <comment ref="Y191" authorId="0" shapeId="0" xr:uid="{59FE0D39-ABAC-4582-A9FA-A0BF0EDFDF21}">
      <text>
        <r>
          <rPr>
            <sz val="11"/>
            <color theme="1"/>
            <rFont val="Calibri"/>
            <family val="2"/>
            <scheme val="minor"/>
          </rPr>
          <t>CIE-10:
Disentería amebiana aguda</t>
        </r>
      </text>
    </comment>
    <comment ref="P192" authorId="0" shapeId="0" xr:uid="{78668DC2-7F26-4833-8211-359A9067AE4B}">
      <text>
        <r>
          <rPr>
            <sz val="11"/>
            <color theme="1"/>
            <rFont val="Calibri"/>
            <family val="2"/>
            <scheme val="minor"/>
          </rPr>
          <t>CIE-10:
Otras enfermedades intestinales debidas a protozoarios</t>
        </r>
      </text>
    </comment>
    <comment ref="Y192" authorId="0" shapeId="0" xr:uid="{57B65F74-8AE7-4EEC-A6F1-5B238B86F07F}">
      <text>
        <r>
          <rPr>
            <sz val="11"/>
            <color theme="1"/>
            <rFont val="Calibri"/>
            <family val="2"/>
            <scheme val="minor"/>
          </rPr>
          <t>CIE-10:
Otras enfermedades intestinales debidas a protozoarios</t>
        </r>
      </text>
    </comment>
    <comment ref="P193" authorId="0" shapeId="0" xr:uid="{D9EEC853-95F6-40D5-838A-F4F768B7C791}">
      <text>
        <r>
          <rPr>
            <sz val="11"/>
            <color theme="1"/>
            <rFont val="Calibri"/>
            <family val="2"/>
            <scheme val="minor"/>
          </rPr>
          <t>CIE-10:
Infecciones intestinales debidas a virus y otros organismos especificados</t>
        </r>
      </text>
    </comment>
    <comment ref="Y193" authorId="0" shapeId="0" xr:uid="{DEF1D472-6E3B-4FE3-ADD6-7A69A03177F5}">
      <text>
        <r>
          <rPr>
            <sz val="11"/>
            <color theme="1"/>
            <rFont val="Calibri"/>
            <family val="2"/>
            <scheme val="minor"/>
          </rPr>
          <t>CIE-10:
Infecciones intestinales debidas a virus y otros organismos especificados</t>
        </r>
      </text>
    </comment>
    <comment ref="P194" authorId="0" shapeId="0" xr:uid="{6FBA2263-E9A9-42AD-941D-51300D6EFA99}">
      <text>
        <r>
          <rPr>
            <sz val="11"/>
            <color theme="1"/>
            <rFont val="Calibri"/>
            <family val="2"/>
            <scheme val="minor"/>
          </rPr>
          <t>CIE-10:
Diarrea y gastroenteritis de presunto origen infeccioso</t>
        </r>
      </text>
    </comment>
    <comment ref="Y194" authorId="0" shapeId="0" xr:uid="{403A0C71-DBAA-4056-A813-DB42E0420D3C}">
      <text>
        <r>
          <rPr>
            <sz val="11"/>
            <color theme="1"/>
            <rFont val="Calibri"/>
            <family val="2"/>
            <scheme val="minor"/>
          </rPr>
          <t>CIE-10:
Diarrea y gastroenteritis de presunto origen infeccioso</t>
        </r>
      </text>
    </comment>
    <comment ref="P198" authorId="0" shapeId="0" xr:uid="{4CD422A0-F6F2-46E3-8837-FB7E22EE0839}">
      <text>
        <r>
          <rPr>
            <sz val="11"/>
            <color theme="1"/>
            <rFont val="Calibri"/>
            <family val="2"/>
            <scheme val="minor"/>
          </rPr>
          <t>CIE-10:
Enteritis debida a Salmonella</t>
        </r>
      </text>
    </comment>
    <comment ref="Y198" authorId="0" shapeId="0" xr:uid="{5D034A0B-712B-45D5-B409-38EDECCBC850}">
      <text>
        <r>
          <rPr>
            <sz val="11"/>
            <color theme="1"/>
            <rFont val="Calibri"/>
            <family val="2"/>
            <scheme val="minor"/>
          </rPr>
          <t>CIE-10:
Enteritis debida a Salmonella</t>
        </r>
      </text>
    </comment>
    <comment ref="P199" authorId="0" shapeId="0" xr:uid="{7C9E4B9A-FCBF-44CF-A9B1-D2E0A4F4218A}">
      <text>
        <r>
          <rPr>
            <sz val="11"/>
            <color theme="1"/>
            <rFont val="Calibri"/>
            <family val="2"/>
            <scheme val="minor"/>
          </rPr>
          <t>CIE-10:
Shigelosis</t>
        </r>
      </text>
    </comment>
    <comment ref="Y199" authorId="0" shapeId="0" xr:uid="{6BE18E4B-1569-424F-B35F-D44161483E99}">
      <text>
        <r>
          <rPr>
            <sz val="11"/>
            <color theme="1"/>
            <rFont val="Calibri"/>
            <family val="2"/>
            <scheme val="minor"/>
          </rPr>
          <t>CIE-10:
Shigelosis</t>
        </r>
      </text>
    </comment>
    <comment ref="P200" authorId="0" shapeId="0" xr:uid="{FB83CADE-10F8-4D3A-86EF-BE156F242752}">
      <text>
        <r>
          <rPr>
            <sz val="11"/>
            <color theme="1"/>
            <rFont val="Calibri"/>
            <family val="2"/>
            <scheme val="minor"/>
          </rPr>
          <t>CIE-10:
Otras infecciones intestinales bacterianas</t>
        </r>
      </text>
    </comment>
    <comment ref="Y200" authorId="0" shapeId="0" xr:uid="{3DE44E65-CEC2-47E3-A101-9AAE58CB46E5}">
      <text>
        <r>
          <rPr>
            <sz val="11"/>
            <color theme="1"/>
            <rFont val="Calibri"/>
            <family val="2"/>
            <scheme val="minor"/>
          </rPr>
          <t>CIE-10:
Otras infecciones intestinales bacterianas</t>
        </r>
      </text>
    </comment>
    <comment ref="P201" authorId="0" shapeId="0" xr:uid="{A5711024-CED8-4C54-8099-E186897E64EB}">
      <text>
        <r>
          <rPr>
            <sz val="11"/>
            <color theme="1"/>
            <rFont val="Calibri"/>
            <family val="2"/>
            <scheme val="minor"/>
          </rPr>
          <t>CIE-10:
Otras intoxicaciones alimentarias bacterianas, no clasificadas en otra parte</t>
        </r>
      </text>
    </comment>
    <comment ref="Y201" authorId="0" shapeId="0" xr:uid="{C2E7C15B-40A1-4DC2-8896-A8A3C70B6522}">
      <text>
        <r>
          <rPr>
            <sz val="11"/>
            <color theme="1"/>
            <rFont val="Calibri"/>
            <family val="2"/>
            <scheme val="minor"/>
          </rPr>
          <t>CIE-10:
Otras intoxicaciones alimentarias bacterianas, no clasificadas en otra parte</t>
        </r>
      </text>
    </comment>
    <comment ref="P202" authorId="0" shapeId="0" xr:uid="{C45D33BF-3076-4F1A-8162-D3D6304EDCAC}">
      <text>
        <r>
          <rPr>
            <sz val="11"/>
            <color theme="1"/>
            <rFont val="Calibri"/>
            <family val="2"/>
            <scheme val="minor"/>
          </rPr>
          <t>CIE-10:
Disentería amebiana aguda</t>
        </r>
      </text>
    </comment>
    <comment ref="Y202" authorId="0" shapeId="0" xr:uid="{F771D024-2711-4FEE-AF50-F095C45C2FE6}">
      <text>
        <r>
          <rPr>
            <sz val="11"/>
            <color theme="1"/>
            <rFont val="Calibri"/>
            <family val="2"/>
            <scheme val="minor"/>
          </rPr>
          <t>CIE-10:
Disentería amebiana aguda</t>
        </r>
      </text>
    </comment>
    <comment ref="P203" authorId="0" shapeId="0" xr:uid="{EEA2FF69-340B-42EE-AB0C-BB173DDA7A3A}">
      <text>
        <r>
          <rPr>
            <sz val="11"/>
            <color theme="1"/>
            <rFont val="Calibri"/>
            <family val="2"/>
            <scheme val="minor"/>
          </rPr>
          <t>CIE-10:
Otras enfermedades intestinales debidas a protozoarios</t>
        </r>
      </text>
    </comment>
    <comment ref="Y203" authorId="0" shapeId="0" xr:uid="{EA97AFA0-23CD-49D7-B0D4-BCA2434DFB0E}">
      <text>
        <r>
          <rPr>
            <sz val="11"/>
            <color theme="1"/>
            <rFont val="Calibri"/>
            <family val="2"/>
            <scheme val="minor"/>
          </rPr>
          <t>CIE-10:
Otras enfermedades intestinales debidas a protozoarios</t>
        </r>
      </text>
    </comment>
    <comment ref="P204" authorId="0" shapeId="0" xr:uid="{581D6DCC-FAA1-4F02-8F93-80BB8960D59A}">
      <text>
        <r>
          <rPr>
            <sz val="11"/>
            <color theme="1"/>
            <rFont val="Calibri"/>
            <family val="2"/>
            <scheme val="minor"/>
          </rPr>
          <t>CIE-10:
Infecciones intestinales debidas a virus y otros organismos especificados</t>
        </r>
      </text>
    </comment>
    <comment ref="Y204" authorId="0" shapeId="0" xr:uid="{230EAF1A-6F2A-4EC0-B26D-5E66E40E3410}">
      <text>
        <r>
          <rPr>
            <sz val="11"/>
            <color theme="1"/>
            <rFont val="Calibri"/>
            <family val="2"/>
            <scheme val="minor"/>
          </rPr>
          <t>CIE-10:
Infecciones intestinales debidas a virus y otros organismos especificados</t>
        </r>
      </text>
    </comment>
    <comment ref="P205" authorId="0" shapeId="0" xr:uid="{20D75F06-BFD1-4064-B6C0-164B4437ED27}">
      <text>
        <r>
          <rPr>
            <sz val="11"/>
            <color theme="1"/>
            <rFont val="Calibri"/>
            <family val="2"/>
            <scheme val="minor"/>
          </rPr>
          <t>CIE-10:
Diarrea y gastroenteritis de presunto origen infeccioso</t>
        </r>
      </text>
    </comment>
    <comment ref="Y205" authorId="0" shapeId="0" xr:uid="{D4281D54-4126-4F92-97D7-E7692F9C65E2}">
      <text>
        <r>
          <rPr>
            <sz val="11"/>
            <color theme="1"/>
            <rFont val="Calibri"/>
            <family val="2"/>
            <scheme val="minor"/>
          </rPr>
          <t>CIE-10:
Diarrea y gastroenteritis de presunto origen infeccioso</t>
        </r>
      </text>
    </comment>
    <comment ref="P209" authorId="0" shapeId="0" xr:uid="{D51E4DC0-7ADF-46D3-BCDF-14AFF41529A2}">
      <text>
        <r>
          <rPr>
            <sz val="11"/>
            <color theme="1"/>
            <rFont val="Calibri"/>
            <family val="2"/>
            <scheme val="minor"/>
          </rPr>
          <t>CIE-10:
Enteritis debida a Salmonella</t>
        </r>
      </text>
    </comment>
    <comment ref="Y209" authorId="0" shapeId="0" xr:uid="{8954330B-BFC2-4244-9F80-3D5C85B97EC3}">
      <text>
        <r>
          <rPr>
            <sz val="11"/>
            <color theme="1"/>
            <rFont val="Calibri"/>
            <family val="2"/>
            <scheme val="minor"/>
          </rPr>
          <t>CIE-10:
Enteritis debida a Salmonella</t>
        </r>
      </text>
    </comment>
    <comment ref="P210" authorId="0" shapeId="0" xr:uid="{B250AC8E-EFFF-4CB9-80B7-0AE492CEB750}">
      <text>
        <r>
          <rPr>
            <sz val="11"/>
            <color theme="1"/>
            <rFont val="Calibri"/>
            <family val="2"/>
            <scheme val="minor"/>
          </rPr>
          <t>CIE-10:
Shigelosis</t>
        </r>
      </text>
    </comment>
    <comment ref="Y210" authorId="0" shapeId="0" xr:uid="{4B4F09BF-40C6-4AAA-B30D-4F6D504A5DA4}">
      <text>
        <r>
          <rPr>
            <sz val="11"/>
            <color theme="1"/>
            <rFont val="Calibri"/>
            <family val="2"/>
            <scheme val="minor"/>
          </rPr>
          <t>CIE-10:
Shigelosis</t>
        </r>
      </text>
    </comment>
    <comment ref="P211" authorId="0" shapeId="0" xr:uid="{D1E29249-6864-492E-8579-33179F57AD16}">
      <text>
        <r>
          <rPr>
            <sz val="11"/>
            <color theme="1"/>
            <rFont val="Calibri"/>
            <family val="2"/>
            <scheme val="minor"/>
          </rPr>
          <t>CIE-10:
Otras infecciones intestinales bacterianas</t>
        </r>
      </text>
    </comment>
    <comment ref="Y211" authorId="0" shapeId="0" xr:uid="{0E6C79BC-725F-4CAA-BC12-20F9BB724FE0}">
      <text>
        <r>
          <rPr>
            <sz val="11"/>
            <color theme="1"/>
            <rFont val="Calibri"/>
            <family val="2"/>
            <scheme val="minor"/>
          </rPr>
          <t>CIE-10:
Otras infecciones intestinales bacterianas</t>
        </r>
      </text>
    </comment>
    <comment ref="P212" authorId="0" shapeId="0" xr:uid="{B9D9E24D-F9B2-4A2F-B2CD-F6CCB083CB3B}">
      <text>
        <r>
          <rPr>
            <sz val="11"/>
            <color theme="1"/>
            <rFont val="Calibri"/>
            <family val="2"/>
            <scheme val="minor"/>
          </rPr>
          <t>CIE-10:
Otras intoxicaciones alimentarias bacterianas, no clasificadas en otra parte</t>
        </r>
      </text>
    </comment>
    <comment ref="Y212" authorId="0" shapeId="0" xr:uid="{7D78AF00-45BD-44FB-8730-7836413F7BF0}">
      <text>
        <r>
          <rPr>
            <sz val="11"/>
            <color theme="1"/>
            <rFont val="Calibri"/>
            <family val="2"/>
            <scheme val="minor"/>
          </rPr>
          <t>CIE-10:
Otras intoxicaciones alimentarias bacterianas, no clasificadas en otra parte</t>
        </r>
      </text>
    </comment>
    <comment ref="P213" authorId="0" shapeId="0" xr:uid="{77B99E23-A7F8-408F-B479-2F6F650CEC11}">
      <text>
        <r>
          <rPr>
            <sz val="11"/>
            <color theme="1"/>
            <rFont val="Calibri"/>
            <family val="2"/>
            <scheme val="minor"/>
          </rPr>
          <t>CIE-10:
Disentería amebiana aguda</t>
        </r>
      </text>
    </comment>
    <comment ref="Y213" authorId="0" shapeId="0" xr:uid="{818F2960-7979-4CC4-8C50-BCF349D69FF8}">
      <text>
        <r>
          <rPr>
            <sz val="11"/>
            <color theme="1"/>
            <rFont val="Calibri"/>
            <family val="2"/>
            <scheme val="minor"/>
          </rPr>
          <t>CIE-10:
Disentería amebiana aguda</t>
        </r>
      </text>
    </comment>
    <comment ref="P214" authorId="0" shapeId="0" xr:uid="{2F913A79-8CB8-4944-A29E-C55A55080D48}">
      <text>
        <r>
          <rPr>
            <sz val="11"/>
            <color theme="1"/>
            <rFont val="Calibri"/>
            <family val="2"/>
            <scheme val="minor"/>
          </rPr>
          <t>CIE-10:
Otras enfermedades intestinales debidas a protozoarios</t>
        </r>
      </text>
    </comment>
    <comment ref="Y214" authorId="0" shapeId="0" xr:uid="{7EF6D628-96C9-425D-98B4-E858AF1727A2}">
      <text>
        <r>
          <rPr>
            <sz val="11"/>
            <color theme="1"/>
            <rFont val="Calibri"/>
            <family val="2"/>
            <scheme val="minor"/>
          </rPr>
          <t>CIE-10:
Otras enfermedades intestinales debidas a protozoarios</t>
        </r>
      </text>
    </comment>
    <comment ref="P215" authorId="0" shapeId="0" xr:uid="{423E4EF8-21C3-444A-98D9-9D138D603FE8}">
      <text>
        <r>
          <rPr>
            <sz val="11"/>
            <color theme="1"/>
            <rFont val="Calibri"/>
            <family val="2"/>
            <scheme val="minor"/>
          </rPr>
          <t>CIE-10:
Infecciones intestinales debidas a virus y otros organismos especificados</t>
        </r>
      </text>
    </comment>
    <comment ref="Y215" authorId="0" shapeId="0" xr:uid="{4188DF72-79A0-4833-B779-DD376EDA0557}">
      <text>
        <r>
          <rPr>
            <sz val="11"/>
            <color theme="1"/>
            <rFont val="Calibri"/>
            <family val="2"/>
            <scheme val="minor"/>
          </rPr>
          <t>CIE-10:
Infecciones intestinales debidas a virus y otros organismos especificados</t>
        </r>
      </text>
    </comment>
    <comment ref="P216" authorId="0" shapeId="0" xr:uid="{8DDC01E7-7393-4D93-A6E3-BFF97E467F00}">
      <text>
        <r>
          <rPr>
            <sz val="11"/>
            <color theme="1"/>
            <rFont val="Calibri"/>
            <family val="2"/>
            <scheme val="minor"/>
          </rPr>
          <t>CIE-10:
Diarrea y gastroenteritis de presunto origen infeccioso</t>
        </r>
      </text>
    </comment>
    <comment ref="Y216" authorId="0" shapeId="0" xr:uid="{4ED0B7FA-93DF-49B6-BBCF-97EB1D622327}">
      <text>
        <r>
          <rPr>
            <sz val="11"/>
            <color theme="1"/>
            <rFont val="Calibri"/>
            <family val="2"/>
            <scheme val="minor"/>
          </rPr>
          <t>CIE-10:
Diarrea y gastroenteritis de presunto origen infeccioso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UER Guairá</author>
  </authors>
  <commentList>
    <comment ref="A5" authorId="0" shapeId="0" xr:uid="{BB3A9A7F-6999-4EAD-83C1-774391DF5131}">
      <text>
        <r>
          <rPr>
            <sz val="9"/>
            <color indexed="81"/>
            <rFont val="Tahoma"/>
            <family val="2"/>
          </rPr>
          <t>CIE-10:
Fiebres tifoidea y paratifoidea</t>
        </r>
      </text>
    </comment>
    <comment ref="J5" authorId="0" shapeId="0" xr:uid="{8C0276CA-6729-474F-B7E3-11B01286F413}">
      <text>
        <r>
          <rPr>
            <sz val="9"/>
            <color indexed="81"/>
            <rFont val="Tahoma"/>
            <family val="2"/>
          </rPr>
          <t>CIE-10:
Otras intoxicaciones alimentarias bacterianas, no clasificadas en otra parte</t>
        </r>
      </text>
    </comment>
    <comment ref="S5" authorId="0" shapeId="0" xr:uid="{3C9AE5E9-751E-4313-9B2D-EF7352A5F2D7}">
      <text>
        <r>
          <rPr>
            <sz val="9"/>
            <color indexed="81"/>
            <rFont val="Tahoma"/>
            <family val="2"/>
          </rPr>
          <t>CIE-10:
Botulismo</t>
        </r>
      </text>
    </comment>
    <comment ref="AB5" authorId="0" shapeId="0" xr:uid="{9D55C2AC-97AA-452A-922D-A665615549F1}">
      <text>
        <r>
          <rPr>
            <sz val="9"/>
            <color indexed="81"/>
            <rFont val="Tahoma"/>
            <family val="2"/>
          </rPr>
          <t>CIE-10:
Brucelosis</t>
        </r>
      </text>
    </comment>
    <comment ref="A6" authorId="0" shapeId="0" xr:uid="{0B68B9B5-B9B5-4DE5-86DD-E3C73775F405}">
      <text>
        <r>
          <rPr>
            <sz val="9"/>
            <color indexed="81"/>
            <rFont val="Tahoma"/>
            <family val="2"/>
          </rPr>
          <t>CIE-10:
Otras infecciones debidas a Salmonella</t>
        </r>
      </text>
    </comment>
    <comment ref="J6" authorId="0" shapeId="0" xr:uid="{B6351E1B-C2B9-4673-BF8C-500D05607B2D}">
      <text>
        <r>
          <rPr>
            <sz val="9"/>
            <color indexed="81"/>
            <rFont val="Tahoma"/>
            <family val="2"/>
          </rPr>
          <t>CIE-10:
Efecto tóxico del alcohol</t>
        </r>
      </text>
    </comment>
    <comment ref="A7" authorId="0" shapeId="0" xr:uid="{702551F8-AFE8-4BC9-92EE-5E7FC26950AB}">
      <text>
        <r>
          <rPr>
            <sz val="9"/>
            <color indexed="81"/>
            <rFont val="Tahoma"/>
            <family val="2"/>
          </rPr>
          <t>CIE-10:
Shigelosis</t>
        </r>
      </text>
    </comment>
    <comment ref="J7" authorId="0" shapeId="0" xr:uid="{4682B3FA-A15B-4E5A-BC91-7ED853CFAFAE}">
      <text>
        <r>
          <rPr>
            <sz val="9"/>
            <color indexed="81"/>
            <rFont val="Tahoma"/>
            <family val="2"/>
          </rPr>
          <t>CIE-10:
Efecto tóxico de metales</t>
        </r>
      </text>
    </comment>
    <comment ref="A8" authorId="0" shapeId="0" xr:uid="{148BCE53-6D88-425F-9B74-6575BAA2C97B}">
      <text>
        <r>
          <rPr>
            <sz val="9"/>
            <color indexed="81"/>
            <rFont val="Tahoma"/>
            <family val="2"/>
          </rPr>
          <t>CIE-10:
Otras infecciones intestinales bacterianas</t>
        </r>
      </text>
    </comment>
    <comment ref="J8" authorId="0" shapeId="0" xr:uid="{A8045903-4972-4D67-9146-40A21F6499A6}">
      <text>
        <r>
          <rPr>
            <sz val="9"/>
            <color indexed="81"/>
            <rFont val="Tahoma"/>
            <family val="2"/>
          </rPr>
          <t>CIE-10:
Insecticidas organofosforados y carbamatos</t>
        </r>
      </text>
    </comment>
    <comment ref="A9" authorId="0" shapeId="0" xr:uid="{83BF6469-FDEA-47D6-8793-C978FF2B2001}">
      <text>
        <r>
          <rPr>
            <sz val="9"/>
            <color indexed="81"/>
            <rFont val="Tahoma"/>
            <family val="2"/>
          </rPr>
          <t>CIE-10:
Otras intoxicaciones alimentarias bacterianas, no clasificadas en otra parte</t>
        </r>
      </text>
    </comment>
    <comment ref="A10" authorId="0" shapeId="0" xr:uid="{BAB13462-1FCE-44B9-87C5-966580CCC6FC}">
      <text>
        <r>
          <rPr>
            <sz val="9"/>
            <color indexed="81"/>
            <rFont val="Tahoma"/>
            <family val="2"/>
          </rPr>
          <t>CIE-10:
Amebiasis</t>
        </r>
      </text>
    </comment>
    <comment ref="S10" authorId="0" shapeId="0" xr:uid="{A1AA2177-622E-4D56-986A-9356545710F9}">
      <text>
        <r>
          <rPr>
            <sz val="9"/>
            <color indexed="81"/>
            <rFont val="Tahoma"/>
            <family val="2"/>
          </rPr>
          <t>CIE-10:
Carbunco [ántrax]</t>
        </r>
      </text>
    </comment>
    <comment ref="AB10" authorId="0" shapeId="0" xr:uid="{130C89F8-ADF1-4F4D-ACDE-7EC1A59322C6}">
      <text>
        <r>
          <rPr>
            <sz val="9"/>
            <color indexed="81"/>
            <rFont val="Tahoma"/>
            <family val="2"/>
          </rPr>
          <t>CIE-10:
Enfermedad de Chagas</t>
        </r>
      </text>
    </comment>
    <comment ref="A11" authorId="0" shapeId="0" xr:uid="{D293604E-B5D6-404E-97DF-0872A723EC14}">
      <text>
        <r>
          <rPr>
            <sz val="9"/>
            <color indexed="81"/>
            <rFont val="Tahoma"/>
            <family val="2"/>
          </rPr>
          <t>CIE-10:
Otras enfermedades intestinales debidas a protozoarios</t>
        </r>
      </text>
    </comment>
    <comment ref="A12" authorId="0" shapeId="0" xr:uid="{8E3C5616-B8C1-4D1A-BCE2-E88ED91C6E7D}">
      <text>
        <r>
          <rPr>
            <sz val="9"/>
            <color indexed="81"/>
            <rFont val="Tahoma"/>
            <family val="2"/>
          </rPr>
          <t>CIE-10:
Infecciones intestinales debidas a virus y otros organismos especificados</t>
        </r>
      </text>
    </comment>
    <comment ref="A13" authorId="0" shapeId="0" xr:uid="{D4B1D2FB-FAAB-48D8-BFD5-90715604C113}">
      <text>
        <r>
          <rPr>
            <sz val="9"/>
            <color indexed="81"/>
            <rFont val="Tahoma"/>
            <family val="2"/>
          </rPr>
          <t>CIE-10:
Diarrea y gastroenteritis de presunto origen infeccioso</t>
        </r>
      </text>
    </comment>
    <comment ref="A14" authorId="0" shapeId="0" xr:uid="{D0A1C377-000A-4F28-A6AE-B06CD0E66A6C}">
      <text>
        <r>
          <rPr>
            <sz val="9"/>
            <color indexed="81"/>
            <rFont val="Tahoma"/>
            <family val="2"/>
          </rPr>
          <t>CIE-10:
Carbunco [ántrax]</t>
        </r>
      </text>
    </comment>
    <comment ref="A15" authorId="0" shapeId="0" xr:uid="{EDFCE95B-0A70-4705-B8EC-A5C2622F057D}">
      <text>
        <r>
          <rPr>
            <sz val="9"/>
            <color indexed="81"/>
            <rFont val="Tahoma"/>
            <family val="2"/>
          </rPr>
          <t>CIE-10.
Brucelosis</t>
        </r>
      </text>
    </comment>
    <comment ref="J15" authorId="0" shapeId="0" xr:uid="{3F2FB611-EEA8-447D-82C7-2A9F14198202}">
      <text>
        <r>
          <rPr>
            <sz val="9"/>
            <color indexed="81"/>
            <rFont val="Tahoma"/>
            <family val="2"/>
          </rPr>
          <t>CIE-10:
Enfermedad por virus Chikungunya</t>
        </r>
      </text>
    </comment>
    <comment ref="S15" authorId="0" shapeId="0" xr:uid="{7A2DE52A-FC07-40A9-9CDE-191402EF6FE2}">
      <text>
        <r>
          <rPr>
            <sz val="9"/>
            <color indexed="81"/>
            <rFont val="Tahoma"/>
            <family val="2"/>
          </rPr>
          <t>CIE-10:
Cólera</t>
        </r>
      </text>
    </comment>
    <comment ref="AB15" authorId="0" shapeId="0" xr:uid="{7054556C-E0E3-4408-A889-28E031E137AB}">
      <text>
        <r>
          <rPr>
            <sz val="9"/>
            <color indexed="81"/>
            <rFont val="Tahoma"/>
            <family val="2"/>
          </rPr>
          <t>CIE-10:
Tos ferina debida a Bordetella pertussis</t>
        </r>
      </text>
    </comment>
    <comment ref="A16" authorId="0" shapeId="0" xr:uid="{F6FBA71D-C1EB-4DF3-8580-18C826F98E0A}">
      <text>
        <r>
          <rPr>
            <sz val="9"/>
            <color indexed="81"/>
            <rFont val="Tahoma"/>
            <family val="2"/>
          </rPr>
          <t>CIE-10:
Listeriosis</t>
        </r>
      </text>
    </comment>
    <comment ref="A17" authorId="0" shapeId="0" xr:uid="{FAE96684-F476-4D21-B725-6F406DD7ACFE}">
      <text>
        <r>
          <rPr>
            <sz val="9"/>
            <color indexed="81"/>
            <rFont val="Tahoma"/>
            <family val="2"/>
          </rPr>
          <t>CIE-10:
Hepatitis aguda tipo A</t>
        </r>
      </text>
    </comment>
    <comment ref="A18" authorId="0" shapeId="0" xr:uid="{6597CD0F-5349-400F-AAE9-BCF611C73760}">
      <text>
        <r>
          <rPr>
            <sz val="9"/>
            <color indexed="81"/>
            <rFont val="Tahoma"/>
            <family val="2"/>
          </rPr>
          <t>CIE-10:
Otras infecciones debidas a trematodos</t>
        </r>
      </text>
    </comment>
    <comment ref="A19" authorId="0" shapeId="0" xr:uid="{D18914F4-23C1-4415-9F81-F492228000B7}">
      <text>
        <r>
          <rPr>
            <sz val="9"/>
            <color indexed="81"/>
            <rFont val="Tahoma"/>
            <family val="2"/>
          </rPr>
          <t>CIE-10:
Equinococosis</t>
        </r>
      </text>
    </comment>
    <comment ref="A20" authorId="0" shapeId="0" xr:uid="{BBA76B97-FEF3-4243-8CC1-8C1284CBE7F5}">
      <text>
        <r>
          <rPr>
            <sz val="9"/>
            <color indexed="81"/>
            <rFont val="Tahoma"/>
            <family val="2"/>
          </rPr>
          <t>CIE-10:
Teniasis</t>
        </r>
      </text>
    </comment>
    <comment ref="J20" authorId="0" shapeId="0" xr:uid="{B75F641C-40CD-4ACC-AB45-418A653F2B1C}">
      <text>
        <r>
          <rPr>
            <sz val="9"/>
            <color indexed="81"/>
            <rFont val="Tahoma"/>
            <family val="2"/>
          </rPr>
          <t>CIE-10:
Fiebre del dengue [dengue clásico]</t>
        </r>
      </text>
    </comment>
    <comment ref="S20" authorId="0" shapeId="0" xr:uid="{5F0614E5-0AC2-484B-B763-395ED43D1E24}">
      <text>
        <r>
          <rPr>
            <sz val="9"/>
            <color indexed="81"/>
            <rFont val="Tahoma"/>
            <family val="2"/>
          </rPr>
          <t>CIE-10:
Difteria</t>
        </r>
      </text>
    </comment>
    <comment ref="AB20" authorId="0" shapeId="0" xr:uid="{6636859E-72F1-4799-A4E9-8D4997C1FA0F}">
      <text>
        <r>
          <rPr>
            <sz val="9"/>
            <color indexed="81"/>
            <rFont val="Tahoma"/>
            <family val="2"/>
          </rPr>
          <t>CIE-10:
Enfermedad de Creutzfeldt-Jakob</t>
        </r>
      </text>
    </comment>
    <comment ref="A21" authorId="0" shapeId="0" xr:uid="{CA73C17E-15AA-42E7-BC42-43B760A71E0D}">
      <text>
        <r>
          <rPr>
            <sz val="9"/>
            <color indexed="81"/>
            <rFont val="Tahoma"/>
            <family val="2"/>
          </rPr>
          <t>CIE-10:
Cisticercosis</t>
        </r>
      </text>
    </comment>
    <comment ref="A22" authorId="0" shapeId="0" xr:uid="{BD7C8B48-269B-4CAC-8D99-CEF39FD281DD}">
      <text>
        <r>
          <rPr>
            <sz val="9"/>
            <color indexed="81"/>
            <rFont val="Tahoma"/>
            <family val="2"/>
          </rPr>
          <t>CIE-10:
Difilobotriasis y esparganosis</t>
        </r>
      </text>
    </comment>
    <comment ref="A23" authorId="0" shapeId="0" xr:uid="{7D54B7AE-8762-484A-9680-23B4BB402F31}">
      <text>
        <r>
          <rPr>
            <sz val="9"/>
            <color indexed="81"/>
            <rFont val="Tahoma"/>
            <family val="2"/>
          </rPr>
          <t>CIE-10:
Triquinosis</t>
        </r>
      </text>
    </comment>
    <comment ref="A24" authorId="0" shapeId="0" xr:uid="{D90CA752-0048-4203-BC59-297A2D8C9C78}">
      <text>
        <r>
          <rPr>
            <sz val="9"/>
            <color indexed="81"/>
            <rFont val="Tahoma"/>
            <family val="2"/>
          </rPr>
          <t>CIE-10:
Tricuriasis</t>
        </r>
      </text>
    </comment>
    <comment ref="J25" authorId="0" shapeId="0" xr:uid="{CEEBD8AA-A2B0-44DA-BBBD-E314C0CFEAA1}">
      <text>
        <r>
          <rPr>
            <sz val="9"/>
            <color indexed="81"/>
            <rFont val="Tahoma"/>
            <family val="2"/>
          </rPr>
          <t>CIE-10:
Fiebre del dengue hemorrágico</t>
        </r>
      </text>
    </comment>
    <comment ref="S25" authorId="0" shapeId="0" xr:uid="{96E24F39-32F0-4612-858D-C8DE9DB6A7C6}">
      <text>
        <r>
          <rPr>
            <sz val="9"/>
            <color indexed="81"/>
            <rFont val="Tahoma"/>
            <family val="2"/>
          </rPr>
          <t>CIE-10:
Fiebre amarilla selvática</t>
        </r>
      </text>
    </comment>
    <comment ref="AB25" authorId="0" shapeId="0" xr:uid="{26E2CCA9-9083-4248-81D8-9254043FB389}">
      <text>
        <r>
          <rPr>
            <sz val="9"/>
            <color indexed="81"/>
            <rFont val="Tahoma"/>
            <family val="2"/>
          </rPr>
          <t>CIE-10:
Fiebre tifoidea</t>
        </r>
      </text>
    </comment>
    <comment ref="S26" authorId="0" shapeId="0" xr:uid="{E1E64775-3E4E-4511-83EA-974883C914BF}">
      <text>
        <r>
          <rPr>
            <sz val="9"/>
            <color indexed="81"/>
            <rFont val="Tahoma"/>
            <family val="2"/>
          </rPr>
          <t>CIE-10:
Fiebre amarilla urbana</t>
        </r>
      </text>
    </comment>
    <comment ref="AB26" authorId="0" shapeId="0" xr:uid="{0E6460FB-BE89-4983-A958-D0DC2D47A3CA}">
      <text>
        <r>
          <rPr>
            <sz val="9"/>
            <color indexed="81"/>
            <rFont val="Tahoma"/>
            <family val="2"/>
          </rPr>
          <t>CIE-10:
Fiebre paratifoidea A</t>
        </r>
      </text>
    </comment>
    <comment ref="S27" authorId="0" shapeId="0" xr:uid="{E9446F21-170E-481B-96F6-ED7AD34D21FA}">
      <text>
        <r>
          <rPr>
            <sz val="9"/>
            <color indexed="81"/>
            <rFont val="Tahoma"/>
            <family val="2"/>
          </rPr>
          <t>CIE-10:
Fiebre amarilla, no especificada</t>
        </r>
      </text>
    </comment>
    <comment ref="AB27" authorId="0" shapeId="0" xr:uid="{1AFFBCF2-4270-4C54-BB69-D6B88AF6F73E}">
      <text>
        <r>
          <rPr>
            <sz val="9"/>
            <color indexed="81"/>
            <rFont val="Tahoma"/>
            <family val="2"/>
          </rPr>
          <t>CIE-10:
Fiebre paratifoidea B</t>
        </r>
      </text>
    </comment>
    <comment ref="AB28" authorId="0" shapeId="0" xr:uid="{27B76C83-68A1-4963-B42C-CDC3C00E8992}">
      <text>
        <r>
          <rPr>
            <sz val="9"/>
            <color indexed="81"/>
            <rFont val="Tahoma"/>
            <family val="2"/>
          </rPr>
          <t>CIE-10:
Fiebre paratifoidea C</t>
        </r>
      </text>
    </comment>
    <comment ref="AB29" authorId="0" shapeId="0" xr:uid="{87D1059B-3729-47CD-B190-A666E8B7D9D7}">
      <text>
        <r>
          <rPr>
            <sz val="9"/>
            <color indexed="81"/>
            <rFont val="Tahoma"/>
            <family val="2"/>
          </rPr>
          <t>CIE-10:
Fiebre paratifoidea, no especificada</t>
        </r>
      </text>
    </comment>
    <comment ref="A30" authorId="0" shapeId="0" xr:uid="{843ECC9F-9D6E-4E17-878A-2AC9A9FDA431}">
      <text>
        <r>
          <rPr>
            <sz val="9"/>
            <color indexed="81"/>
            <rFont val="Tahoma"/>
            <family val="2"/>
          </rPr>
          <t>CIE-10:
Hepatitis aguda tipo A</t>
        </r>
      </text>
    </comment>
    <comment ref="J30" authorId="0" shapeId="0" xr:uid="{59BA0DBE-8290-4035-9FC8-AE150ACB624D}">
      <text>
        <r>
          <rPr>
            <sz val="9"/>
            <color indexed="81"/>
            <rFont val="Tahoma"/>
            <family val="2"/>
          </rPr>
          <t>CIE-10:
Síndrome (cardio)-pulmonar por hantavirus [SPH] [SCPH] (J17.1)</t>
        </r>
      </text>
    </comment>
    <comment ref="S34" authorId="0" shapeId="0" xr:uid="{6B9DFFF9-961A-4A32-AC00-E507C1BDADF4}">
      <text>
        <r>
          <rPr>
            <sz val="9"/>
            <color indexed="81"/>
            <rFont val="Tahoma"/>
            <family val="2"/>
          </rPr>
          <t>CIE-10:
Leishmaniasis cutánea</t>
        </r>
      </text>
    </comment>
    <comment ref="A35" authorId="0" shapeId="0" xr:uid="{E5A917C5-6F7E-4871-9CB3-9D8440759C1E}">
      <text>
        <r>
          <rPr>
            <sz val="9"/>
            <color indexed="81"/>
            <rFont val="Tahoma"/>
            <family val="2"/>
          </rPr>
          <t>CIE-10:
Hepatitis aguda tipo B</t>
        </r>
      </text>
    </comment>
    <comment ref="J35" authorId="0" shapeId="0" xr:uid="{C983324E-3496-4B1A-8DDB-B57232A37AA3}">
      <text>
        <r>
          <rPr>
            <sz val="9"/>
            <color indexed="81"/>
            <rFont val="Tahoma"/>
            <family val="2"/>
          </rPr>
          <t>CIE-10:
Hepatitis aguda tipo C</t>
        </r>
      </text>
    </comment>
    <comment ref="S35" authorId="0" shapeId="0" xr:uid="{50C827E7-C10C-4058-9BB8-8022A8BD1E1F}">
      <text>
        <r>
          <rPr>
            <sz val="9"/>
            <color indexed="81"/>
            <rFont val="Tahoma"/>
            <family val="2"/>
          </rPr>
          <t>CIE-10:
Leishmaniasis mucocutánea</t>
        </r>
      </text>
    </comment>
    <comment ref="AB35" authorId="0" shapeId="0" xr:uid="{459670E3-69CA-4346-8F1F-577EE6DBF6C9}">
      <text>
        <r>
          <rPr>
            <sz val="9"/>
            <color indexed="81"/>
            <rFont val="Tahoma"/>
            <family val="2"/>
          </rPr>
          <t>CIE-10:
Leishmaniasis visceral</t>
        </r>
      </text>
    </comment>
    <comment ref="A40" authorId="0" shapeId="0" xr:uid="{549EF3C1-FF15-468F-A890-510011B4BD68}">
      <text>
        <r>
          <rPr>
            <sz val="9"/>
            <color indexed="81"/>
            <rFont val="Tahoma"/>
            <family val="2"/>
          </rPr>
          <t>CIE-10:
Lepra [enfermedad de Hansen]</t>
        </r>
      </text>
    </comment>
    <comment ref="J40" authorId="0" shapeId="0" xr:uid="{9E231E12-AC74-40BC-A66F-90C95BCA85DD}">
      <text>
        <r>
          <rPr>
            <sz val="9"/>
            <color indexed="81"/>
            <rFont val="Tahoma"/>
            <family val="2"/>
          </rPr>
          <t>CIE-10:
Leptospirosis</t>
        </r>
      </text>
    </comment>
    <comment ref="S40" authorId="0" shapeId="0" xr:uid="{4DC00019-ED97-4E2F-A0D7-19EFF8055DE2}">
      <text>
        <r>
          <rPr>
            <sz val="9"/>
            <color indexed="81"/>
            <rFont val="Tahoma"/>
            <family val="2"/>
          </rPr>
          <t>CIE-10:
Enfermedad meningocócica</t>
        </r>
      </text>
    </comment>
    <comment ref="AB40" authorId="0" shapeId="0" xr:uid="{424D556E-681E-46EA-9BD4-B4F6C5051B23}">
      <text>
        <r>
          <rPr>
            <sz val="9"/>
            <color indexed="81"/>
            <rFont val="Tahoma"/>
            <family val="2"/>
          </rPr>
          <t>CIE-10:
Meningitis apiógena</t>
        </r>
      </text>
    </comment>
    <comment ref="S41" authorId="0" shapeId="0" xr:uid="{4E23DAED-CCD7-437E-83DB-64AFB69C335D}">
      <text>
        <r>
          <rPr>
            <sz val="9"/>
            <color indexed="81"/>
            <rFont val="Tahoma"/>
            <family val="2"/>
          </rPr>
          <t>CIE-10.
Meningitis bacteriana, no clasificada en otra parte</t>
        </r>
      </text>
    </comment>
    <comment ref="AB41" authorId="0" shapeId="0" xr:uid="{51BB5817-7C1D-42CD-BD23-73C458811195}">
      <text>
        <r>
          <rPr>
            <sz val="9"/>
            <color indexed="81"/>
            <rFont val="Tahoma"/>
            <family val="2"/>
          </rPr>
          <t>CIE-10.
Meningitis viral</t>
        </r>
      </text>
    </comment>
    <comment ref="A46" authorId="0" shapeId="0" xr:uid="{EDC39199-9733-4787-BF50-6CDAA96006B2}">
      <text>
        <r>
          <rPr>
            <sz val="9"/>
            <color indexed="81"/>
            <rFont val="Tahoma"/>
            <family val="2"/>
          </rPr>
          <t>CIE-10:
Paludismo [malaria] debido a Plasmodium falciparum</t>
        </r>
      </text>
    </comment>
    <comment ref="J46" authorId="0" shapeId="0" xr:uid="{F50085BD-39AD-4716-837D-09E550379F65}">
      <text>
        <r>
          <rPr>
            <sz val="9"/>
            <color indexed="81"/>
            <rFont val="Tahoma"/>
            <family val="2"/>
          </rPr>
          <t>CIE-10:
Erisipeloide</t>
        </r>
      </text>
    </comment>
    <comment ref="S46" authorId="0" shapeId="0" xr:uid="{D838BD8E-5138-4AF2-909A-B0F6260A4D03}">
      <text>
        <r>
          <rPr>
            <sz val="9"/>
            <color indexed="81"/>
            <rFont val="Tahoma"/>
            <family val="2"/>
          </rPr>
          <t>CIE-10:
Peste</t>
        </r>
      </text>
    </comment>
    <comment ref="AB46" authorId="0" shapeId="0" xr:uid="{0DDC9D7B-1C99-4861-BD74-2245B51AB6EF}">
      <text>
        <r>
          <rPr>
            <sz val="9"/>
            <color indexed="81"/>
            <rFont val="Tahoma"/>
            <family val="2"/>
          </rPr>
          <t>CIE-10:
Poliomielitis aguda</t>
        </r>
      </text>
    </comment>
    <comment ref="A47" authorId="0" shapeId="0" xr:uid="{F2050FB5-2479-499B-8D7A-68CB40CEE01A}">
      <text>
        <r>
          <rPr>
            <sz val="9"/>
            <color indexed="81"/>
            <rFont val="Tahoma"/>
            <family val="2"/>
          </rPr>
          <t>CIE-10:
Paludismo [malaria] debido a Plasmodium vivax</t>
        </r>
      </text>
    </comment>
    <comment ref="A48" authorId="0" shapeId="0" xr:uid="{CA94ADC0-0439-49DF-9000-25322BA0F949}">
      <text>
        <r>
          <rPr>
            <sz val="9"/>
            <color indexed="81"/>
            <rFont val="Tahoma"/>
            <family val="2"/>
          </rPr>
          <t>CIE-10:
Paludismo [malaria] debido a Plasmodium malariae</t>
        </r>
      </text>
    </comment>
    <comment ref="A49" authorId="0" shapeId="0" xr:uid="{5295DB51-12EC-4FED-8CC9-7E674853B27C}">
      <text>
        <r>
          <rPr>
            <sz val="9"/>
            <color indexed="81"/>
            <rFont val="Tahoma"/>
            <family val="2"/>
          </rPr>
          <t>CIE-10:
Otro paludismo [malaria] confirmado parasitológicamente</t>
        </r>
      </text>
    </comment>
    <comment ref="A50" authorId="0" shapeId="0" xr:uid="{8F577F00-430E-4FB2-A969-17C9ABE590E1}">
      <text>
        <r>
          <rPr>
            <sz val="9"/>
            <color indexed="81"/>
            <rFont val="Tahoma"/>
            <family val="2"/>
          </rPr>
          <t>CIE-10:
Paludismo [malaria] no especificado</t>
        </r>
      </text>
    </comment>
    <comment ref="J51" authorId="0" shapeId="0" xr:uid="{91C5B142-5F82-407E-8937-9A096EE7663A}">
      <text>
        <r>
          <rPr>
            <sz val="9"/>
            <color indexed="81"/>
            <rFont val="Tahoma"/>
            <family val="2"/>
          </rPr>
          <t>CIE-10:
Infección debida a Chlamydia psittaci</t>
        </r>
      </text>
    </comment>
    <comment ref="S51" authorId="0" shapeId="0" xr:uid="{1FD6E0F0-4DF6-47DF-9D0B-453DC7525B60}">
      <text>
        <r>
          <rPr>
            <sz val="9"/>
            <color indexed="81"/>
            <rFont val="Tahoma"/>
            <family val="2"/>
          </rPr>
          <t>CIE-10:
Rabia</t>
        </r>
      </text>
    </comment>
    <comment ref="AB51" authorId="0" shapeId="0" xr:uid="{F2ACEB22-E459-4AD5-9CEC-7C44E0B76844}">
      <text>
        <r>
          <rPr>
            <sz val="9"/>
            <color indexed="81"/>
            <rFont val="Tahoma"/>
            <family val="2"/>
          </rPr>
          <t>CIE-10:
Enteritis debida a rotavirus</t>
        </r>
      </text>
    </comment>
    <comment ref="A56" authorId="0" shapeId="0" xr:uid="{BDE803E9-6B76-4D04-99FB-2179A4DE2414}">
      <text>
        <r>
          <rPr>
            <sz val="9"/>
            <color indexed="81"/>
            <rFont val="Tahoma"/>
            <family val="2"/>
          </rPr>
          <t>CIE-10:
Rubéola [sarampión alemán]</t>
        </r>
      </text>
    </comment>
    <comment ref="J56" authorId="0" shapeId="0" xr:uid="{AB607DFA-384E-4DCE-B1B4-392DAF2F4A10}">
      <text>
        <r>
          <rPr>
            <sz val="9"/>
            <color indexed="81"/>
            <rFont val="Tahoma"/>
            <family val="2"/>
          </rPr>
          <t>CIE-10:
Síndrome de rubéola congénita</t>
        </r>
      </text>
    </comment>
    <comment ref="S56" authorId="0" shapeId="0" xr:uid="{094A7066-F6A5-4238-8D7D-7E9D7FAD014F}">
      <text>
        <r>
          <rPr>
            <sz val="9"/>
            <color indexed="81"/>
            <rFont val="Tahoma"/>
            <family val="2"/>
          </rPr>
          <t>CIE-10:
Sarampión</t>
        </r>
      </text>
    </comment>
    <comment ref="AB56" authorId="0" shapeId="0" xr:uid="{64D8E9E2-3EB2-4381-B0AA-2A0AAB8C27CA}">
      <text>
        <r>
          <rPr>
            <sz val="9"/>
            <color indexed="81"/>
            <rFont val="Tahoma"/>
            <family val="2"/>
          </rPr>
          <t>CIE-10:
Infección debida a Escherichia coli enterohemorrágica</t>
        </r>
      </text>
    </comment>
    <comment ref="A61" authorId="0" shapeId="0" xr:uid="{AEAA402B-989A-4176-B420-6BC8F11F6FD1}">
      <text>
        <r>
          <rPr>
            <sz val="9"/>
            <color indexed="81"/>
            <rFont val="Tahoma"/>
            <family val="2"/>
          </rPr>
          <t>CIE-10:
Sífilis congénita</t>
        </r>
      </text>
    </comment>
    <comment ref="J61" authorId="0" shapeId="0" xr:uid="{BF7F1044-A008-4BDD-9954-2C803D2C89CC}">
      <text>
        <r>
          <rPr>
            <sz val="9"/>
            <color indexed="81"/>
            <rFont val="Tahoma"/>
            <family val="2"/>
          </rPr>
          <t>CIE-10:
Infección debida a Coronavirus, de sitio no especificado</t>
        </r>
      </text>
    </comment>
    <comment ref="S61" authorId="0" shapeId="0" xr:uid="{4BB1A320-9CCD-427C-B1D1-140A9B7FAC3A}">
      <text>
        <r>
          <rPr>
            <sz val="9"/>
            <color indexed="81"/>
            <rFont val="Tahoma"/>
            <family val="2"/>
          </rPr>
          <t>CIE-10:
Tétanos otras edades</t>
        </r>
      </text>
    </comment>
    <comment ref="AB61" authorId="0" shapeId="0" xr:uid="{AAD973DE-17D2-43A4-A6A1-78EB7B7B1F5E}">
      <text>
        <r>
          <rPr>
            <sz val="9"/>
            <color indexed="81"/>
            <rFont val="Tahoma"/>
            <family val="2"/>
          </rPr>
          <t>CIE-10:
Tuberculosis respiratoria, confirmada bacteriológica e histológicamente</t>
        </r>
      </text>
    </comment>
    <comment ref="A62" authorId="0" shapeId="0" xr:uid="{72714CAF-998D-43FD-8FC3-CAECA6BE5BA2}">
      <text>
        <r>
          <rPr>
            <sz val="9"/>
            <color indexed="81"/>
            <rFont val="Tahoma"/>
            <family val="2"/>
          </rPr>
          <t>CIE-10:
Sífilis precoz</t>
        </r>
      </text>
    </comment>
    <comment ref="J62" authorId="0" shapeId="0" xr:uid="{840EE933-6BBE-4191-B26B-EF695666EB93}">
      <text>
        <r>
          <rPr>
            <sz val="9"/>
            <color indexed="81"/>
            <rFont val="Tahoma"/>
            <family val="2"/>
          </rPr>
          <t>CIE-10:
síndrome respiratorio agudo grave [SRAG]</t>
        </r>
      </text>
    </comment>
    <comment ref="AB62" authorId="0" shapeId="0" xr:uid="{D5B268A3-6F60-4255-B274-60B6F91C6669}">
      <text>
        <r>
          <rPr>
            <sz val="9"/>
            <color indexed="81"/>
            <rFont val="Tahoma"/>
            <family val="2"/>
          </rPr>
          <t>CIE-10:
Tuberculosis respiratoria, no confirmada bacteriológica o histológicamente</t>
        </r>
      </text>
    </comment>
    <comment ref="A63" authorId="0" shapeId="0" xr:uid="{8B479FDD-E445-454B-B5D2-E54C4DF7D1EB}">
      <text>
        <r>
          <rPr>
            <sz val="9"/>
            <color indexed="81"/>
            <rFont val="Tahoma"/>
            <family val="2"/>
          </rPr>
          <t>CIE-10:
Sífilis tardía</t>
        </r>
      </text>
    </comment>
    <comment ref="J63" authorId="0" shapeId="0" xr:uid="{5C4C61B6-5E33-43D2-A29B-CC74643864A8}">
      <text>
        <r>
          <rPr>
            <sz val="9"/>
            <color indexed="81"/>
            <rFont val="Tahoma"/>
            <family val="2"/>
          </rPr>
          <t>CIE-10:
COVID-19</t>
        </r>
      </text>
    </comment>
    <comment ref="AB63" authorId="0" shapeId="0" xr:uid="{A9532EE5-0E6E-4BD8-8DBC-A36A6C5A9F35}">
      <text>
        <r>
          <rPr>
            <sz val="9"/>
            <color indexed="81"/>
            <rFont val="Tahoma"/>
            <family val="2"/>
          </rPr>
          <t>CIE-10:
Tuberculosis del sistema nervioso</t>
        </r>
      </text>
    </comment>
    <comment ref="AB64" authorId="0" shapeId="0" xr:uid="{9F13CEDF-5AB7-4ABA-A74F-D648FB6224E2}">
      <text>
        <r>
          <rPr>
            <sz val="9"/>
            <color indexed="81"/>
            <rFont val="Tahoma"/>
            <family val="2"/>
          </rPr>
          <t>CIE-10:
Tuberculosis de otros órganos</t>
        </r>
      </text>
    </comment>
    <comment ref="AB65" authorId="0" shapeId="0" xr:uid="{112F2301-49D7-426C-BE3D-F893601557D4}">
      <text>
        <r>
          <rPr>
            <sz val="9"/>
            <color indexed="81"/>
            <rFont val="Tahoma"/>
            <family val="2"/>
          </rPr>
          <t>CIE-10:
Tuberculosis miliar</t>
        </r>
      </text>
    </comment>
    <comment ref="A68" authorId="0" shapeId="0" xr:uid="{0BB3F904-8FEF-4325-A6CE-C6E98BB6F114}">
      <text>
        <r>
          <rPr>
            <sz val="9"/>
            <color indexed="81"/>
            <rFont val="Tahoma"/>
            <family val="2"/>
          </rPr>
          <t>CIE-10:
Varicela</t>
        </r>
      </text>
    </comment>
    <comment ref="J68" authorId="0" shapeId="0" xr:uid="{51C84AE4-E7B3-4164-899A-4D5896083DC7}">
      <text>
        <r>
          <rPr>
            <sz val="9"/>
            <color indexed="81"/>
            <rFont val="Tahoma"/>
            <family val="2"/>
          </rPr>
          <t>CIE-10:
Enfermedad por virus de la inmunodeficiencia humana [VIH], resultante en enfermedades ­infecciosas y parasitarias</t>
        </r>
      </text>
    </comment>
    <comment ref="J69" authorId="0" shapeId="0" xr:uid="{EE4FA49A-DFED-4FA4-9DB6-84EC50DCBCBD}">
      <text>
        <r>
          <rPr>
            <sz val="9"/>
            <color indexed="81"/>
            <rFont val="Tahoma"/>
            <family val="2"/>
          </rPr>
          <t>CIE-10:
Enfermedad por virus de la inmunodeficiencia humana [VIH], resultante en tumores malignos</t>
        </r>
      </text>
    </comment>
    <comment ref="J70" authorId="0" shapeId="0" xr:uid="{D9B86F0C-DEE8-4FE6-AC1A-895FB76CEB9A}">
      <text>
        <r>
          <rPr>
            <sz val="9"/>
            <color indexed="81"/>
            <rFont val="Tahoma"/>
            <family val="2"/>
          </rPr>
          <t>CIE-10:
Enfermedad por virus de la inmunodeficiencia humana [VIH], resultante en otras enfermedades especificadas</t>
        </r>
      </text>
    </comment>
    <comment ref="J71" authorId="0" shapeId="0" xr:uid="{2EE142AE-4039-444D-9BA0-71DB1F916723}">
      <text>
        <r>
          <rPr>
            <sz val="9"/>
            <color indexed="81"/>
            <rFont val="Tahoma"/>
            <family val="2"/>
          </rPr>
          <t>CIE-10:
Enfermedad por virus de la inmunodeficiencia humana [VIH], resultante en otras afecciones</t>
        </r>
      </text>
    </comment>
    <comment ref="J72" authorId="0" shapeId="0" xr:uid="{8C6C70BE-6634-4670-A2CD-B05ADF52738F}">
      <text>
        <r>
          <rPr>
            <sz val="9"/>
            <color indexed="81"/>
            <rFont val="Tahoma"/>
            <family val="2"/>
          </rPr>
          <t>CIE-10:
Enfermedad por virus de la inmunodeficiencia humana [VIH], sin otra especificación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Elieser Aguilar</author>
    <author>UER Guairá</author>
  </authors>
  <commentList>
    <comment ref="D3" authorId="0" shapeId="0" xr:uid="{6039EE95-84B7-4820-9997-3EF5AE7DD721}">
      <text>
        <r>
          <rPr>
            <sz val="9"/>
            <color indexed="81"/>
            <rFont val="Tahoma"/>
            <family val="2"/>
          </rPr>
          <t>Notificación:
Colectiva Semanal</t>
        </r>
      </text>
    </comment>
    <comment ref="M3" authorId="0" shapeId="0" xr:uid="{59C595A4-31AE-4D18-8C3E-48A2B080BE30}">
      <text>
        <r>
          <rPr>
            <sz val="9"/>
            <color indexed="81"/>
            <rFont val="Tahoma"/>
            <family val="2"/>
          </rPr>
          <t>Notificación:
Individual Inmediato</t>
        </r>
      </text>
    </comment>
    <comment ref="V3" authorId="0" shapeId="0" xr:uid="{97BD32B7-28E5-497E-8D6D-1061FE833B80}">
      <text>
        <r>
          <rPr>
            <sz val="9"/>
            <color indexed="81"/>
            <rFont val="Tahoma"/>
            <family val="2"/>
          </rPr>
          <t>Notificación:
Individual Inmediato</t>
        </r>
      </text>
    </comment>
    <comment ref="AE3" authorId="1" shapeId="0" xr:uid="{D6A4254F-858D-49B4-8A66-E63D9F474BB4}">
      <text>
        <r>
          <rPr>
            <sz val="9"/>
            <color indexed="81"/>
            <rFont val="Tahoma"/>
            <family val="2"/>
          </rPr>
          <t>Notificación:
Individual Inmediato</t>
        </r>
      </text>
    </comment>
    <comment ref="AN3" authorId="0" shapeId="0" xr:uid="{5E3829E4-7449-446D-B3BC-675884EB64F8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AW3" authorId="0" shapeId="0" xr:uid="{85B8E1CE-B4A1-4F87-B659-B3F50584E52B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BF3" authorId="0" shapeId="0" xr:uid="{4EBC5D64-7B63-4210-ADE2-6DCCBA0F72B9}">
      <text>
        <r>
          <rPr>
            <sz val="9"/>
            <color indexed="81"/>
            <rFont val="Tahoma"/>
            <family val="2"/>
          </rPr>
          <t>Notificación:
Individual Inmediato</t>
        </r>
      </text>
    </comment>
    <comment ref="BO3" authorId="0" shapeId="0" xr:uid="{C23A5CF3-B201-41F5-B13E-FB11E2DC0F29}">
      <text>
        <r>
          <rPr>
            <sz val="9"/>
            <color indexed="81"/>
            <rFont val="Tahoma"/>
            <family val="2"/>
          </rPr>
          <t>Notificación:
Individual Inmediato</t>
        </r>
      </text>
    </comment>
    <comment ref="BX3" authorId="0" shapeId="0" xr:uid="{980BAD32-E75B-456B-B391-93A22CD235C3}">
      <text>
        <r>
          <rPr>
            <sz val="9"/>
            <color indexed="81"/>
            <rFont val="Tahoma"/>
            <family val="2"/>
          </rPr>
          <t>Notificación:
Individual Inmediato</t>
        </r>
      </text>
    </comment>
    <comment ref="CG3" authorId="0" shapeId="0" xr:uid="{0CE955C9-96AE-4632-8EC7-F0646FF28C81}">
      <text>
        <r>
          <rPr>
            <sz val="9"/>
            <color indexed="81"/>
            <rFont val="Tahoma"/>
            <family val="2"/>
          </rPr>
          <t>Notificación:
Individual Inmediato</t>
        </r>
      </text>
    </comment>
    <comment ref="CP3" authorId="0" shapeId="0" xr:uid="{04403AFA-95E3-47F9-82BF-794DC0F26633}">
      <text>
        <r>
          <rPr>
            <sz val="9"/>
            <color indexed="81"/>
            <rFont val="Tahoma"/>
            <family val="2"/>
          </rPr>
          <t>Notificación:
Individual Inmediato</t>
        </r>
      </text>
    </comment>
    <comment ref="CY3" authorId="0" shapeId="0" xr:uid="{1B7EB5A1-D443-4DED-B63C-A42EBE8F88E5}">
      <text>
        <r>
          <rPr>
            <sz val="9"/>
            <color indexed="81"/>
            <rFont val="Tahoma"/>
            <family val="2"/>
          </rPr>
          <t>Notificación:
Individual Inmediata</t>
        </r>
      </text>
    </comment>
    <comment ref="DH3" authorId="0" shapeId="0" xr:uid="{2361E09D-01ED-41D4-B6B3-370850CEC45E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DQ3" authorId="0" shapeId="0" xr:uid="{1500F551-A591-4893-B784-5B51E7D55119}">
      <text>
        <r>
          <rPr>
            <sz val="9"/>
            <color indexed="81"/>
            <rFont val="Tahoma"/>
            <family val="2"/>
          </rPr>
          <t>Notificación:
Agrupada Mensual</t>
        </r>
      </text>
    </comment>
    <comment ref="DZ3" authorId="0" shapeId="0" xr:uid="{11D45314-214C-4116-90CB-5D1C11E111FF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D5" authorId="0" shapeId="0" xr:uid="{C49A983D-7A5E-446D-9511-73994418B4FB}">
      <text>
        <r>
          <rPr>
            <sz val="9"/>
            <color indexed="81"/>
            <rFont val="Tahoma"/>
            <family val="2"/>
          </rPr>
          <t>CIE-10:
Rinofaringitis aguda [resfriado común]</t>
        </r>
      </text>
    </comment>
    <comment ref="M5" authorId="0" shapeId="0" xr:uid="{183FA906-F3C9-4E31-BC2E-B2999D1E8207}">
      <text>
        <r>
          <rPr>
            <sz val="9"/>
            <color indexed="81"/>
            <rFont val="Tahoma"/>
            <family val="2"/>
          </rPr>
          <t xml:space="preserve">CIE-10:
Meningitis bacteriana, no especificada </t>
        </r>
      </text>
    </comment>
    <comment ref="V5" authorId="0" shapeId="0" xr:uid="{8628A077-AA03-4BF5-8B88-FF227F19BDA9}">
      <text>
        <r>
          <rPr>
            <sz val="9"/>
            <color indexed="81"/>
            <rFont val="Tahoma"/>
            <family val="2"/>
          </rPr>
          <t xml:space="preserve">CIE-10:
Tos ferina, no especificada </t>
        </r>
      </text>
    </comment>
    <comment ref="D6" authorId="0" shapeId="0" xr:uid="{4F1B211B-EDCB-43BF-8D01-9FD758B2A79D}">
      <text>
        <r>
          <rPr>
            <sz val="9"/>
            <color indexed="81"/>
            <rFont val="Tahoma"/>
            <family val="2"/>
          </rPr>
          <t>CIE-10:
Faringitis aguda, no especificada</t>
        </r>
      </text>
    </comment>
    <comment ref="M6" authorId="0" shapeId="0" xr:uid="{64B1F0E0-A289-443D-89CA-85EC108032DB}">
      <text>
        <r>
          <rPr>
            <sz val="9"/>
            <color indexed="81"/>
            <rFont val="Tahoma"/>
            <family val="2"/>
          </rPr>
          <t>CIE-10.
Meningitis apiógena</t>
        </r>
      </text>
    </comment>
    <comment ref="V6" authorId="0" shapeId="0" xr:uid="{9A4F2DF2-5888-4FFC-883E-E6803C2FE866}">
      <text>
        <r>
          <rPr>
            <sz val="9"/>
            <color indexed="81"/>
            <rFont val="Tahoma"/>
            <family val="2"/>
          </rPr>
          <t>Notificación:
Individual Inmediato</t>
        </r>
      </text>
    </comment>
    <comment ref="AE6" authorId="1" shapeId="0" xr:uid="{86968B69-4E0A-4E63-9413-2E0B12E5D6D1}">
      <text>
        <r>
          <rPr>
            <sz val="9"/>
            <color indexed="81"/>
            <rFont val="Tahoma"/>
            <family val="2"/>
          </rPr>
          <t>Notificación:
Individual Inmediato</t>
        </r>
      </text>
    </comment>
    <comment ref="BF6" authorId="0" shapeId="0" xr:uid="{FDCADEB1-81D3-44DA-A879-F7D3B6EBFA09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BO6" authorId="0" shapeId="0" xr:uid="{7CA98B16-B88D-4B3E-ADD0-15AFC1CE4C40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BX6" authorId="0" shapeId="0" xr:uid="{902244EA-C3AF-45FB-A742-7F6245017BD7}">
      <text>
        <r>
          <rPr>
            <sz val="9"/>
            <color indexed="81"/>
            <rFont val="Tahoma"/>
            <family val="2"/>
          </rPr>
          <t>Notificación:
Individual Inmediato</t>
        </r>
      </text>
    </comment>
    <comment ref="CP6" authorId="0" shapeId="0" xr:uid="{8F259F4A-B809-47DF-9471-372A6FA84470}">
      <text>
        <r>
          <rPr>
            <sz val="9"/>
            <color indexed="81"/>
            <rFont val="Tahoma"/>
            <family val="2"/>
          </rPr>
          <t>Notificación:
Listado de Contactos</t>
        </r>
      </text>
    </comment>
    <comment ref="DH6" authorId="0" shapeId="0" xr:uid="{B1C1AB81-9D5D-4E65-B563-3151989371C8}">
      <text>
        <r>
          <rPr>
            <sz val="9"/>
            <color indexed="81"/>
            <rFont val="Tahoma"/>
            <family val="2"/>
          </rPr>
          <t>Notificación:
Caso Sospechoso:
Individual Inmediato
Caso Confirmado:
Individual dentro de 24hs.</t>
        </r>
      </text>
    </comment>
    <comment ref="D7" authorId="0" shapeId="0" xr:uid="{056F50E7-D5C6-4D6F-A8A0-0DAA29559794}">
      <text>
        <r>
          <rPr>
            <sz val="9"/>
            <color indexed="81"/>
            <rFont val="Tahoma"/>
            <family val="2"/>
          </rPr>
          <t>CIE-10:
Laringitis y traqueítis agudas</t>
        </r>
      </text>
    </comment>
    <comment ref="M7" authorId="0" shapeId="0" xr:uid="{6DF38956-295D-4F20-B0C2-8F5BFA5AB725}">
      <text>
        <r>
          <rPr>
            <sz val="9"/>
            <color indexed="81"/>
            <rFont val="Tahoma"/>
            <family val="2"/>
          </rPr>
          <t>Notificación:
Individual Inmediato</t>
        </r>
      </text>
    </comment>
    <comment ref="AN7" authorId="1" shapeId="0" xr:uid="{22597594-7A36-4535-9FA0-E0943CC3A45E}">
      <text>
        <r>
          <rPr>
            <sz val="9"/>
            <color indexed="81"/>
            <rFont val="Tahoma"/>
            <family val="2"/>
          </rPr>
          <t>Notificación:
Individual Inmediato</t>
        </r>
      </text>
    </comment>
    <comment ref="D8" authorId="0" shapeId="0" xr:uid="{380BC367-42B8-4D21-8B87-C842253EF488}">
      <text>
        <r>
          <rPr>
            <sz val="9"/>
            <color indexed="81"/>
            <rFont val="Tahoma"/>
            <family val="2"/>
          </rPr>
          <t>CIE-10:
Infecciones agudas de las vías respiratorias superiores, de sitios múltiples o no especificados</t>
        </r>
      </text>
    </comment>
    <comment ref="V8" authorId="0" shapeId="0" xr:uid="{FBB4DA4C-E510-4F5A-A7EB-B30FD8C16CF6}">
      <text>
        <r>
          <rPr>
            <sz val="9"/>
            <color indexed="81"/>
            <rFont val="Tahoma"/>
            <family val="2"/>
          </rPr>
          <t xml:space="preserve">CIE-10:
Tos ferina, no especificada </t>
        </r>
      </text>
    </comment>
    <comment ref="AW8" authorId="0" shapeId="0" xr:uid="{F7B468CD-3CF2-4425-A777-BA272785BD15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D9" authorId="0" shapeId="0" xr:uid="{D7471EEC-361E-4AFA-9CC3-BFA3EAAF09D5}">
      <text>
        <r>
          <rPr>
            <sz val="9"/>
            <color indexed="81"/>
            <rFont val="Tahoma"/>
            <family val="2"/>
          </rPr>
          <t>CIE-10:
Influenza con otras manifestaciones respiratorias, debida a otro virus de la influenza identificado</t>
        </r>
      </text>
    </comment>
    <comment ref="M9" authorId="0" shapeId="0" xr:uid="{A59AAE20-1E6E-4CDB-B90E-ABB050F09913}">
      <text>
        <r>
          <rPr>
            <sz val="9"/>
            <color indexed="81"/>
            <rFont val="Tahoma"/>
            <family val="2"/>
          </rPr>
          <t xml:space="preserve">CIE-10:
Meningitis bacteriana, no especificada </t>
        </r>
      </text>
    </comment>
    <comment ref="V9" authorId="0" shapeId="0" xr:uid="{CD6AF3F4-F0D6-4F89-9BB7-685E26041CF5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BF9" authorId="0" shapeId="0" xr:uid="{0DFE1D90-44D6-4D25-8181-E9DAC217CDD6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BO9" authorId="0" shapeId="0" xr:uid="{1EF66C80-D5B2-4B09-9575-D43EA694C326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BX9" authorId="0" shapeId="0" xr:uid="{7396A79B-2A11-423F-99E7-7B1DB7D9FBFC}">
      <text>
        <r>
          <rPr>
            <sz val="9"/>
            <color indexed="81"/>
            <rFont val="Tahoma"/>
            <family val="2"/>
          </rPr>
          <t>Notificación:
Individual Inmediato</t>
        </r>
      </text>
    </comment>
    <comment ref="CP9" authorId="0" shapeId="0" xr:uid="{645F314C-01EE-41B8-BB37-2CE1C8C6F24F}">
      <text>
        <r>
          <rPr>
            <sz val="9"/>
            <color indexed="81"/>
            <rFont val="Tahoma"/>
            <family val="2"/>
          </rPr>
          <t>Notificación:
Individual Inmediato</t>
        </r>
      </text>
    </comment>
    <comment ref="D10" authorId="0" shapeId="0" xr:uid="{017AF429-18AC-45BC-A4C4-83D584E24625}">
      <text>
        <r>
          <rPr>
            <sz val="9"/>
            <color indexed="81"/>
            <rFont val="Tahoma"/>
            <family val="2"/>
          </rPr>
          <t>CIE-10:
Influenza con otras manifestaciones respiratorias, virus no identificado</t>
        </r>
      </text>
    </comment>
    <comment ref="M10" authorId="0" shapeId="0" xr:uid="{515586FD-ECCC-4892-A9BE-81D772A62DAD}">
      <text>
        <r>
          <rPr>
            <sz val="9"/>
            <color indexed="81"/>
            <rFont val="Tahoma"/>
            <family val="2"/>
          </rPr>
          <t>CIE-10.
Meningoencefalitis y meningomielitis bacterianas, no clasificadas en otra parte</t>
        </r>
      </text>
    </comment>
    <comment ref="AN10" authorId="1" shapeId="0" xr:uid="{2B0049CC-E75B-4DE8-83D8-592BA09D8F61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D11" authorId="1" shapeId="0" xr:uid="{1F1F6490-8514-4F7C-9EE9-283916FB62D5}">
      <text>
        <r>
          <rPr>
            <sz val="9"/>
            <color indexed="81"/>
            <rFont val="Tahoma"/>
            <family val="2"/>
          </rPr>
          <t>Notificación:
(IRAB) Colectiva Semanal
(IRAG) Individual Semanal
(IRAGi) Individual Inmediato</t>
        </r>
      </text>
    </comment>
    <comment ref="M11" authorId="0" shapeId="0" xr:uid="{93B769CD-5AF7-4DBB-A19A-4A5AAE87F9DA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V11" authorId="0" shapeId="0" xr:uid="{FF8AF5EC-D83A-44A2-8956-2B856545A8BF}">
      <text>
        <r>
          <rPr>
            <sz val="9"/>
            <color indexed="81"/>
            <rFont val="Tahoma"/>
            <family val="2"/>
          </rPr>
          <t>CIE-10:
Tos ferina debida a Bordetella pertussis</t>
        </r>
      </text>
    </comment>
    <comment ref="AE11" authorId="1" shapeId="0" xr:uid="{992661B4-488D-4EF8-922B-31531EC2F2AC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AW11" authorId="0" shapeId="0" xr:uid="{1659F4DF-12B9-46DB-BAD6-1C347B0B9EC7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V12" authorId="0" shapeId="0" xr:uid="{86DE58C0-6CAB-498B-96B0-A7EE002D5D59}">
      <text>
        <r>
          <rPr>
            <sz val="9"/>
            <color indexed="81"/>
            <rFont val="Tahoma"/>
            <family val="2"/>
          </rPr>
          <t>CIE-10:
Tos ferina debida a Bordetella parapertussis</t>
        </r>
      </text>
    </comment>
    <comment ref="BF12" authorId="0" shapeId="0" xr:uid="{F8C358FB-A7F6-4D73-913F-F4D1EF4FB898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D13" authorId="0" shapeId="0" xr:uid="{27F3FC2E-1AD6-4C9D-96CF-1D390FF4B856}">
      <text>
        <r>
          <rPr>
            <sz val="9"/>
            <color indexed="81"/>
            <rFont val="Tahoma"/>
            <family val="2"/>
          </rPr>
          <t>CIE-10:
Influenza debida a virus de la influenza aviar identificado</t>
        </r>
      </text>
    </comment>
    <comment ref="M13" authorId="0" shapeId="0" xr:uid="{7EDA8C79-E26F-4E7F-9A41-92AF53449219}">
      <text>
        <r>
          <rPr>
            <sz val="9"/>
            <color indexed="81"/>
            <rFont val="Tahoma"/>
            <family val="2"/>
          </rPr>
          <t>CIE-10.
Meningitis por hemófilos</t>
        </r>
      </text>
    </comment>
    <comment ref="V13" authorId="0" shapeId="0" xr:uid="{9F1E68EC-106C-4A18-999A-052CC0AB96DC}">
      <text>
        <r>
          <rPr>
            <sz val="9"/>
            <color indexed="81"/>
            <rFont val="Tahoma"/>
            <family val="2"/>
          </rPr>
          <t xml:space="preserve">CIE-10:
Tos ferina debida a otras especies de Bordetella </t>
        </r>
      </text>
    </comment>
    <comment ref="AN13" authorId="1" shapeId="0" xr:uid="{62572941-0447-4FB7-96F3-D7EABE56F071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BO13" authorId="0" shapeId="0" xr:uid="{6D0B6360-5708-49F3-AFBF-000B50418E7A}">
      <text>
        <r>
          <rPr>
            <sz val="9"/>
            <color indexed="81"/>
            <rFont val="Tahoma"/>
            <family val="2"/>
          </rPr>
          <t>Notificación:
Semanal</t>
        </r>
      </text>
    </comment>
    <comment ref="D14" authorId="0" shapeId="0" xr:uid="{D4BC0552-CBA8-4C73-9ECD-AE1DA98BEBD4}">
      <text>
        <r>
          <rPr>
            <sz val="9"/>
            <color indexed="81"/>
            <rFont val="Tahoma"/>
            <family val="2"/>
          </rPr>
          <t>CIE-10:
Influenza con neumonía, debida a otro virus de la influenza identificado</t>
        </r>
      </text>
    </comment>
    <comment ref="M14" authorId="0" shapeId="0" xr:uid="{C38661F3-5F2D-4282-A304-9DE8C8B1D333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D15" authorId="0" shapeId="0" xr:uid="{CB0EB540-E4B8-4F8C-B57F-64CA61129A42}">
      <text>
        <r>
          <rPr>
            <sz val="9"/>
            <color indexed="81"/>
            <rFont val="Tahoma"/>
            <family val="2"/>
          </rPr>
          <t>CIE-10:
Influenza con neumonía, virus no identificado (Bronco)neumonía gripal, no especificada o sin identificación del virus específico</t>
        </r>
      </text>
    </comment>
    <comment ref="V15" authorId="0" shapeId="0" xr:uid="{C55FDC01-80DB-44A0-8578-A7639F932B85}">
      <text>
        <r>
          <rPr>
            <sz val="9"/>
            <color indexed="81"/>
            <rFont val="Tahoma"/>
            <family val="2"/>
          </rPr>
          <t>Notificación:
Individual Inmediato</t>
        </r>
      </text>
    </comment>
    <comment ref="AE15" authorId="1" shapeId="0" xr:uid="{55BEA9F4-BF68-4A9A-9558-792F06C36A8C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D16" authorId="0" shapeId="0" xr:uid="{C70CD032-77A9-4192-968B-754EF819A3B4}">
      <text>
        <r>
          <rPr>
            <sz val="9"/>
            <color indexed="81"/>
            <rFont val="Tahoma"/>
            <family val="2"/>
          </rPr>
          <t>CIE-10:
Neumonía viral, no clasificada en otra parte</t>
        </r>
      </text>
    </comment>
    <comment ref="M16" authorId="0" shapeId="0" xr:uid="{7D20D77E-9B72-4067-AD72-FA4544C3043D}">
      <text>
        <r>
          <rPr>
            <sz val="9"/>
            <color indexed="81"/>
            <rFont val="Tahoma"/>
            <family val="2"/>
          </rPr>
          <t>CIE-10:
Meningitis neumocócica</t>
        </r>
      </text>
    </comment>
    <comment ref="BF16" authorId="0" shapeId="0" xr:uid="{70A1C931-C49C-4E73-85A4-6ED875BC3320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D17" authorId="0" shapeId="0" xr:uid="{B4D67257-BA35-43AF-96A7-7B26ABCE5FE0}">
      <text>
        <r>
          <rPr>
            <sz val="9"/>
            <color indexed="81"/>
            <rFont val="Tahoma"/>
            <family val="2"/>
          </rPr>
          <t>CIE-10:
Neumonía debida a Streptococcus pneumoniae</t>
        </r>
      </text>
    </comment>
    <comment ref="M17" authorId="0" shapeId="0" xr:uid="{BCE30241-8182-4125-9FB2-3A79872ACDB9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D18" authorId="0" shapeId="0" xr:uid="{A86B74DF-21E9-4CE2-A050-3448BC25771C}">
      <text>
        <r>
          <rPr>
            <sz val="9"/>
            <color indexed="81"/>
            <rFont val="Tahoma"/>
            <family val="2"/>
          </rPr>
          <t>CIE-10:
Neumonía debida a Haemophilus influenzae</t>
        </r>
      </text>
    </comment>
    <comment ref="V18" authorId="0" shapeId="0" xr:uid="{2C19A299-48F9-4A6A-8B9C-502E83D64D15}">
      <text>
        <r>
          <rPr>
            <sz val="9"/>
            <color indexed="81"/>
            <rFont val="Tahoma"/>
            <family val="2"/>
          </rPr>
          <t>Notificación:
Individual Inmediato</t>
        </r>
      </text>
    </comment>
    <comment ref="AE18" authorId="1" shapeId="0" xr:uid="{59764EA1-906A-49A4-90F7-D318C22912EA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D19" authorId="0" shapeId="0" xr:uid="{0B3B5418-86C8-4D9A-BC81-1D082CC79D37}">
      <text>
        <r>
          <rPr>
            <sz val="9"/>
            <color indexed="81"/>
            <rFont val="Tahoma"/>
            <family val="2"/>
          </rPr>
          <t>CIE-10:
Neumonía bacteriana, no clasificada en otra parte</t>
        </r>
      </text>
    </comment>
    <comment ref="M19" authorId="0" shapeId="0" xr:uid="{78C01CFA-77AE-4716-B299-FC4414F2DC49}">
      <text>
        <r>
          <rPr>
            <sz val="9"/>
            <color indexed="81"/>
            <rFont val="Tahoma"/>
            <family val="2"/>
          </rPr>
          <t>CIE-10:
Enfermedad meningocócica</t>
        </r>
      </text>
    </comment>
    <comment ref="AN19" authorId="1" shapeId="0" xr:uid="{B4CB8A24-6DCD-4A50-9175-3A043A6352B0}">
      <text>
        <r>
          <rPr>
            <sz val="9"/>
            <color indexed="81"/>
            <rFont val="Tahoma"/>
            <family val="2"/>
          </rPr>
          <t>Notificación:
Individual Inmediato</t>
        </r>
      </text>
    </comment>
    <comment ref="AW19" authorId="0" shapeId="0" xr:uid="{E4E62AD5-1D1D-4ED4-94F0-AA55A98CA678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BF19" authorId="0" shapeId="0" xr:uid="{F0CC6570-DF5B-4CBF-898B-F7C98D88242E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DH19" authorId="0" shapeId="0" xr:uid="{5FCA2E91-1CA1-455C-961A-75007AE9523C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D20" authorId="0" shapeId="0" xr:uid="{B4D33F28-ED9B-4E80-85D9-162FB2C87938}">
      <text>
        <r>
          <rPr>
            <sz val="9"/>
            <color indexed="81"/>
            <rFont val="Tahoma"/>
            <family val="2"/>
          </rPr>
          <t>CIE-10:
Neumonía debida a otros microorganismos infecciosos, no clasificados en otra parte</t>
        </r>
      </text>
    </comment>
    <comment ref="M20" authorId="0" shapeId="0" xr:uid="{C7069E37-3DE0-4354-B8EB-12D3ECA63203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V20" authorId="0" shapeId="0" xr:uid="{8A1B3FB1-DB57-4C1C-B8A4-EC9FF80A51E3}">
      <text>
        <r>
          <rPr>
            <sz val="9"/>
            <color indexed="81"/>
            <rFont val="Tahoma"/>
            <family val="2"/>
          </rPr>
          <t>CIE-10:
Faringitis aguda</t>
        </r>
      </text>
    </comment>
    <comment ref="CG20" authorId="0" shapeId="0" xr:uid="{1B058DB9-CF32-409D-9EC0-BFF7266BC8BD}">
      <text>
        <r>
          <rPr>
            <sz val="9"/>
            <color indexed="81"/>
            <rFont val="Tahoma"/>
            <family val="2"/>
          </rPr>
          <t>Notificación:
Individual Inmediato</t>
        </r>
      </text>
    </comment>
    <comment ref="D21" authorId="0" shapeId="0" xr:uid="{C56828EA-281A-48BD-97A3-BB41112BE564}">
      <text>
        <r>
          <rPr>
            <sz val="9"/>
            <color indexed="81"/>
            <rFont val="Tahoma"/>
            <family val="2"/>
          </rPr>
          <t>CIE-10:
Neumonía en enfermedades clasificadas en otra parte</t>
        </r>
      </text>
    </comment>
    <comment ref="V21" authorId="0" shapeId="0" xr:uid="{3ED4E171-745B-413C-81A4-4D6387A498B8}">
      <text>
        <r>
          <rPr>
            <sz val="9"/>
            <color indexed="81"/>
            <rFont val="Tahoma"/>
            <family val="2"/>
          </rPr>
          <t>CIE-10:
Amigdalitis aguda</t>
        </r>
      </text>
    </comment>
    <comment ref="AE21" authorId="1" shapeId="0" xr:uid="{2F7C0F3C-B293-4635-9809-BE85516F5AB8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D22" authorId="0" shapeId="0" xr:uid="{44911F56-F231-4D48-8CE5-4AB54DB925AA}">
      <text>
        <r>
          <rPr>
            <sz val="9"/>
            <color indexed="81"/>
            <rFont val="Tahoma"/>
            <family val="2"/>
          </rPr>
          <t>CIE-10:
Neumonía, organismo no especificado</t>
        </r>
      </text>
    </comment>
    <comment ref="M22" authorId="0" shapeId="0" xr:uid="{EE389E04-9FB0-45CB-B7A5-FBF0BFCD8E7D}">
      <text>
        <r>
          <rPr>
            <sz val="9"/>
            <color indexed="81"/>
            <rFont val="Tahoma"/>
            <family val="2"/>
          </rPr>
          <t>CIE-10:
Otras meningitis bacterianas</t>
        </r>
      </text>
    </comment>
    <comment ref="V22" authorId="0" shapeId="0" xr:uid="{D5B07265-6225-4EA5-BED4-6978C7530D1C}">
      <text>
        <r>
          <rPr>
            <sz val="9"/>
            <color indexed="81"/>
            <rFont val="Tahoma"/>
            <family val="2"/>
          </rPr>
          <t>CIE-10:
Laringitis y traqueítis agudas</t>
        </r>
      </text>
    </comment>
    <comment ref="DH22" authorId="0" shapeId="0" xr:uid="{27D42B8C-6361-439F-873C-845497E2D527}">
      <text>
        <r>
          <rPr>
            <sz val="9"/>
            <color indexed="81"/>
            <rFont val="Tahoma"/>
            <family val="2"/>
          </rPr>
          <t>Notificación:
Caso Sospechoso:
Individual Inmediato
Caso Confirmado:
Individual dentro de 24hs.</t>
        </r>
      </text>
    </comment>
    <comment ref="D23" authorId="0" shapeId="0" xr:uid="{409873C0-C296-4285-A720-2A0C3276B569}">
      <text>
        <r>
          <rPr>
            <sz val="9"/>
            <color indexed="81"/>
            <rFont val="Tahoma"/>
            <family val="2"/>
          </rPr>
          <t>CIE-10:
Enfermedades respiratorias inferiores agudas (Bronquitis aguda - bronquiolitis aguda)</t>
        </r>
      </text>
    </comment>
    <comment ref="M23" authorId="0" shapeId="0" xr:uid="{5D4F1EF8-8271-4200-AA35-3130A7CF2B85}">
      <text>
        <r>
          <rPr>
            <sz val="9"/>
            <color indexed="81"/>
            <rFont val="Tahoma"/>
            <family val="2"/>
          </rPr>
          <t>Notificación:
Individual Inmediato</t>
        </r>
      </text>
    </comment>
    <comment ref="V23" authorId="0" shapeId="0" xr:uid="{A0007609-AD40-4E71-BBCD-B00C6F2C5EAC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AN23" authorId="1" shapeId="0" xr:uid="{694ECB08-CCEF-4167-ADA6-D3C27C0BD28D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BF23" authorId="0" shapeId="0" xr:uid="{431D8616-5972-4CAD-8B90-ADD1DED6DAEB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D24" authorId="0" shapeId="0" xr:uid="{85CB9B22-B6CB-4EC5-BE10-6B11EA1FD22D}">
      <text>
        <r>
          <rPr>
            <sz val="9"/>
            <color indexed="81"/>
            <rFont val="Tahoma"/>
            <family val="2"/>
          </rPr>
          <t>CIE-10:
Bronquitis aguda</t>
        </r>
      </text>
    </comment>
    <comment ref="AE24" authorId="1" shapeId="0" xr:uid="{6ED423A7-C6B8-49A3-A94E-0F365D8EF85F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D25" authorId="0" shapeId="0" xr:uid="{2EE92F44-89F5-4835-9E66-FAE965634233}">
      <text>
        <r>
          <rPr>
            <sz val="9"/>
            <color indexed="81"/>
            <rFont val="Tahoma"/>
            <family val="2"/>
          </rPr>
          <t>CIE-10:
Bronquiolitis aguda</t>
        </r>
      </text>
    </comment>
    <comment ref="M25" authorId="0" shapeId="0" xr:uid="{5778EEB0-A33B-4FD0-873F-F32B796A6C05}">
      <text>
        <r>
          <rPr>
            <sz val="9"/>
            <color indexed="81"/>
            <rFont val="Tahoma"/>
            <family val="2"/>
          </rPr>
          <t>CIE-10:
Encefalitis viral, no especificada</t>
        </r>
      </text>
    </comment>
    <comment ref="V25" authorId="0" shapeId="0" xr:uid="{AEAE46A1-1F48-48F3-8620-599570DC0A6D}">
      <text>
        <r>
          <rPr>
            <sz val="9"/>
            <color indexed="81"/>
            <rFont val="Tahoma"/>
            <family val="2"/>
          </rPr>
          <t>CIE-10:
Difteria faríngea</t>
        </r>
      </text>
    </comment>
    <comment ref="BO25" authorId="0" shapeId="0" xr:uid="{6239B40B-3069-4341-9696-8913EC2CF65C}">
      <text>
        <r>
          <rPr>
            <sz val="9"/>
            <color indexed="81"/>
            <rFont val="Tahoma"/>
            <family val="2"/>
          </rPr>
          <t>Notificación:
Semanal</t>
        </r>
      </text>
    </comment>
    <comment ref="D26" authorId="0" shapeId="0" xr:uid="{4B6BFF71-6594-430D-820C-515F998D8E38}">
      <text>
        <r>
          <rPr>
            <sz val="9"/>
            <color indexed="81"/>
            <rFont val="Tahoma"/>
            <family val="2"/>
          </rPr>
          <t>CIE-10:
Infección aguda no especificada de las vías respiratorias inferiores</t>
        </r>
      </text>
    </comment>
    <comment ref="M26" authorId="0" shapeId="0" xr:uid="{7AAC896E-1A15-4099-B404-1BBC6EC7CF72}">
      <text>
        <r>
          <rPr>
            <sz val="9"/>
            <color indexed="81"/>
            <rFont val="Tahoma"/>
            <family val="2"/>
          </rPr>
          <t>CIE-10.
Meningitis viral, sin otra especificación</t>
        </r>
      </text>
    </comment>
    <comment ref="V26" authorId="0" shapeId="0" xr:uid="{54F65E30-0DA8-4BC9-AA39-616D3F2471F5}">
      <text>
        <r>
          <rPr>
            <sz val="9"/>
            <color indexed="81"/>
            <rFont val="Tahoma"/>
            <family val="2"/>
          </rPr>
          <t>CIE-10:
Difteria nasofaríngea</t>
        </r>
      </text>
    </comment>
    <comment ref="BF26" authorId="0" shapeId="0" xr:uid="{100DA608-EA6D-475A-90C5-162D49FB0598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D27" authorId="0" shapeId="0" xr:uid="{594CEE2F-A96C-44C2-BC13-A0A97BF64962}">
      <text>
        <r>
          <rPr>
            <sz val="9"/>
            <color indexed="81"/>
            <rFont val="Tahoma"/>
            <family val="2"/>
          </rPr>
          <t>CIE-10:
Síndrome respiratorio agudo severo (SARS).</t>
        </r>
      </text>
    </comment>
    <comment ref="M27" authorId="0" shapeId="0" xr:uid="{EE1EDA11-D183-4052-BD26-2805FEC7802F}">
      <text>
        <r>
          <rPr>
            <sz val="9"/>
            <color indexed="81"/>
            <rFont val="Tahoma"/>
            <family val="2"/>
          </rPr>
          <t>CIE-10:
Meningitis apiógena</t>
        </r>
      </text>
    </comment>
    <comment ref="V27" authorId="0" shapeId="0" xr:uid="{BD6B59FD-1F43-4106-BF6B-042E3643CE33}">
      <text>
        <r>
          <rPr>
            <sz val="9"/>
            <color indexed="81"/>
            <rFont val="Tahoma"/>
            <family val="2"/>
          </rPr>
          <t>CIE-10:
Difteria laríngea</t>
        </r>
      </text>
    </comment>
    <comment ref="AN27" authorId="1" shapeId="0" xr:uid="{539659B2-FE5D-478B-88AA-18F6AD78A5E0}">
      <text>
        <r>
          <rPr>
            <sz val="9"/>
            <color indexed="81"/>
            <rFont val="Tahoma"/>
            <family val="2"/>
          </rPr>
          <t>Notificación:
Individual Inmediato</t>
        </r>
      </text>
    </comment>
    <comment ref="D28" authorId="1" shapeId="0" xr:uid="{90BFB397-AD5C-4C36-A4FA-7C5D3C661C9A}">
      <text>
        <r>
          <rPr>
            <sz val="9"/>
            <color indexed="81"/>
            <rFont val="Tahoma"/>
            <family val="2"/>
          </rPr>
          <t>Notificación:
Individual Semanal</t>
        </r>
      </text>
    </comment>
    <comment ref="M28" authorId="0" shapeId="0" xr:uid="{C239011F-BFBE-4029-AD28-A221F68AEAC7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V28" authorId="0" shapeId="0" xr:uid="{8D48219A-5461-49CF-BBB7-68585BBB4750}">
      <text>
        <r>
          <rPr>
            <sz val="9"/>
            <color indexed="81"/>
            <rFont val="Tahoma"/>
            <family val="2"/>
          </rPr>
          <t>CIE-10:
Difteria cutánea</t>
        </r>
      </text>
    </comment>
    <comment ref="AE28" authorId="1" shapeId="0" xr:uid="{D765A59D-0112-4F0D-839E-4CE637A62897}">
      <text>
        <r>
          <rPr>
            <sz val="9"/>
            <color indexed="81"/>
            <rFont val="Tahoma"/>
            <family val="2"/>
          </rPr>
          <t>Notificación:
Individual Inmediato</t>
        </r>
      </text>
    </comment>
    <comment ref="V29" authorId="0" shapeId="0" xr:uid="{2DECB0C2-F971-4B03-BA91-D4C0D5D557BA}">
      <text>
        <r>
          <rPr>
            <sz val="9"/>
            <color indexed="81"/>
            <rFont val="Tahoma"/>
            <family val="2"/>
          </rPr>
          <t>CIE-10:
Otras difterias</t>
        </r>
      </text>
    </comment>
    <comment ref="BF29" authorId="0" shapeId="0" xr:uid="{84907FED-B8C8-49B1-B6BE-49060BFC26BB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CG29" authorId="0" shapeId="0" xr:uid="{226D1472-3A02-4F83-9031-7A37B9269160}">
      <text>
        <r>
          <rPr>
            <sz val="9"/>
            <color indexed="81"/>
            <rFont val="Tahoma"/>
            <family val="2"/>
          </rPr>
          <t>Notificación:
Individual Inmediato</t>
        </r>
      </text>
    </comment>
    <comment ref="D30" authorId="0" shapeId="0" xr:uid="{39A085DD-72BB-4BDA-AFAA-7912533A33EC}">
      <text>
        <r>
          <rPr>
            <sz val="9"/>
            <color indexed="81"/>
            <rFont val="Tahoma"/>
            <family val="2"/>
          </rPr>
          <t>CIE-10:
Rinofaringitis aguda [resfriado común]</t>
        </r>
      </text>
    </comment>
    <comment ref="M30" authorId="0" shapeId="0" xr:uid="{E856D14D-03A4-444D-87AA-1BB38D387A3A}">
      <text>
        <r>
          <rPr>
            <sz val="9"/>
            <color indexed="81"/>
            <rFont val="Tahoma"/>
            <family val="2"/>
          </rPr>
          <t>CIE-10:
Encefalitis viral transmitida por mosquitos</t>
        </r>
      </text>
    </comment>
    <comment ref="V30" authorId="0" shapeId="0" xr:uid="{9D135D81-2B4E-444E-9ACB-A1E11899AD90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D31" authorId="0" shapeId="0" xr:uid="{5F5FE0ED-6A42-4DBA-A9E2-DB54C8C375D6}">
      <text>
        <r>
          <rPr>
            <sz val="9"/>
            <color indexed="81"/>
            <rFont val="Tahoma"/>
            <family val="2"/>
          </rPr>
          <t>CIE-10:
Faringitis aguda, no especificada</t>
        </r>
      </text>
    </comment>
    <comment ref="M31" authorId="0" shapeId="0" xr:uid="{0A2EBA72-AE1D-4A62-AB4C-672AFD6B6C4B}">
      <text>
        <r>
          <rPr>
            <sz val="9"/>
            <color indexed="81"/>
            <rFont val="Tahoma"/>
            <family val="2"/>
          </rPr>
          <t xml:space="preserve">CIE-10:
Encefalitis viral transmitida por garrapatas </t>
        </r>
      </text>
    </comment>
    <comment ref="AE31" authorId="1" shapeId="0" xr:uid="{F5419034-47C2-4C77-8EA8-7DD8AFC2E9EE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AN31" authorId="1" shapeId="0" xr:uid="{C3004F60-18E2-4A38-A62D-264782DFA333}">
      <text>
        <r>
          <rPr>
            <sz val="9"/>
            <color indexed="81"/>
            <rFont val="Tahoma"/>
            <family val="2"/>
          </rPr>
          <t>Notificación:
Individual Inmediato</t>
        </r>
      </text>
    </comment>
    <comment ref="D32" authorId="0" shapeId="0" xr:uid="{2938F1BB-A1E3-4779-BAF7-E0E0F3492C87}">
      <text>
        <r>
          <rPr>
            <sz val="9"/>
            <color indexed="81"/>
            <rFont val="Tahoma"/>
            <family val="2"/>
          </rPr>
          <t>CIE-10:
Laringitis y traqueítis agudas</t>
        </r>
      </text>
    </comment>
    <comment ref="M32" authorId="0" shapeId="0" xr:uid="{BF7E76E3-9E3C-4142-80FF-4716CC694BF7}">
      <text>
        <r>
          <rPr>
            <sz val="9"/>
            <color indexed="81"/>
            <rFont val="Tahoma"/>
            <family val="2"/>
          </rPr>
          <t>CIE-10:
Otras encefalitis virales, no clasificadas en otra parte</t>
        </r>
      </text>
    </comment>
    <comment ref="V32" authorId="0" shapeId="0" xr:uid="{20E76083-F227-44A7-AB43-9912DF346857}">
      <text>
        <r>
          <rPr>
            <sz val="9"/>
            <color indexed="81"/>
            <rFont val="Tahoma"/>
            <family val="2"/>
          </rPr>
          <t>CIE-10:
Difteria, no especificada</t>
        </r>
      </text>
    </comment>
    <comment ref="CG32" authorId="0" shapeId="0" xr:uid="{281F9143-7E0A-46AA-9211-4227412BFA4F}">
      <text>
        <r>
          <rPr>
            <sz val="9"/>
            <color indexed="81"/>
            <rFont val="Tahoma"/>
            <family val="2"/>
          </rPr>
          <t>Notificación:
Individual Inmediato</t>
        </r>
      </text>
    </comment>
    <comment ref="D33" authorId="0" shapeId="0" xr:uid="{243BC747-CBBF-4B77-BE76-B4DA21494FB6}">
      <text>
        <r>
          <rPr>
            <sz val="9"/>
            <color indexed="81"/>
            <rFont val="Tahoma"/>
            <family val="2"/>
          </rPr>
          <t>CIE-10:
Infecciones agudas de las vías respiratorias superiores, de sitios múltiples o no especificados</t>
        </r>
      </text>
    </comment>
    <comment ref="M33" authorId="0" shapeId="0" xr:uid="{836ECA52-9521-4901-BDFC-8CBBA2704B51}">
      <text>
        <r>
          <rPr>
            <sz val="9"/>
            <color indexed="81"/>
            <rFont val="Tahoma"/>
            <family val="2"/>
          </rPr>
          <t>CIE-10:
Meningitis viral</t>
        </r>
      </text>
    </comment>
    <comment ref="D34" authorId="0" shapeId="0" xr:uid="{6340A77E-FB95-4F06-82D6-4000C3489952}">
      <text>
        <r>
          <rPr>
            <sz val="9"/>
            <color indexed="81"/>
            <rFont val="Tahoma"/>
            <family val="2"/>
          </rPr>
          <t>CIE-10:
Influenza con otras manifestaciones respiratorias, debida a otro virus de la i</t>
        </r>
      </text>
    </comment>
    <comment ref="M34" authorId="0" shapeId="0" xr:uid="{7A81B97F-E414-408C-B422-6D1A9BEDD77D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V34" authorId="0" shapeId="0" xr:uid="{811A7EA2-91C1-4C49-821A-CF8514117499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AN34" authorId="1" shapeId="0" xr:uid="{AD4F15E1-BE1A-4957-80E3-0146CBBDC209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BF34" authorId="0" shapeId="0" xr:uid="{FDFDC1F8-1ACF-4553-9944-2B926C26BBCC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D35" authorId="0" shapeId="0" xr:uid="{88682442-AEDD-45F1-A695-0ABE284FDA4D}">
      <text>
        <r>
          <rPr>
            <sz val="9"/>
            <color indexed="81"/>
            <rFont val="Tahoma"/>
            <family val="2"/>
          </rPr>
          <t>CIE-10:
Influenza con otras manifestaciones respiratorias, virus no identificado</t>
        </r>
      </text>
    </comment>
    <comment ref="D36" authorId="1" shapeId="0" xr:uid="{010AC942-B3D1-4D67-8058-88B09EBD0CFA}">
      <text>
        <r>
          <rPr>
            <sz val="9"/>
            <color indexed="81"/>
            <rFont val="Tahoma"/>
            <family val="2"/>
          </rPr>
          <t>Notificación:
Individual Inmediato</t>
        </r>
      </text>
    </comment>
    <comment ref="M36" authorId="0" shapeId="0" xr:uid="{8B07B88A-E9F1-427A-9B97-C0A56B48D13F}">
      <text>
        <r>
          <rPr>
            <sz val="9"/>
            <color indexed="81"/>
            <rFont val="Tahoma"/>
            <family val="2"/>
          </rPr>
          <t>CIE-10:
Meningitis en otras enfermedades infecciosas y parasitarias clasificadas en otra parte</t>
        </r>
      </text>
    </comment>
    <comment ref="V37" authorId="0" shapeId="0" xr:uid="{7EE464A7-1BBC-44ED-BED4-5159E814B923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AE37" authorId="1" shapeId="0" xr:uid="{13764E69-E47C-4A00-95C2-9DBE6B6A686B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D38" authorId="0" shapeId="0" xr:uid="{E4021677-572D-45C9-946D-4ABC1AE893C0}">
      <text>
        <r>
          <rPr>
            <sz val="9"/>
            <color indexed="81"/>
            <rFont val="Tahoma"/>
            <family val="2"/>
          </rPr>
          <t>CIE-10:
Síndrome respiratorio agudo severo, sin especificar.</t>
        </r>
      </text>
    </comment>
    <comment ref="AN38" authorId="1" shapeId="0" xr:uid="{FAE125E3-EC67-464E-B0A7-E2759B9A0177}">
      <text>
        <r>
          <rPr>
            <sz val="9"/>
            <color indexed="81"/>
            <rFont val="Tahoma"/>
            <family val="2"/>
          </rPr>
          <t>Notificación:
Individual Inmediato</t>
        </r>
      </text>
    </comment>
    <comment ref="BF38" authorId="0" shapeId="0" xr:uid="{90C64F3E-D1E0-4B1F-83EF-7470F9AD7006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D39" authorId="1" shapeId="0" xr:uid="{C7F61FD8-6593-47F6-9910-EF4E259F3515}">
      <text>
        <r>
          <rPr>
            <sz val="9"/>
            <color indexed="81"/>
            <rFont val="Tahoma"/>
            <family val="2"/>
          </rPr>
          <t>Notificación:
Individual Inmediato</t>
        </r>
      </text>
    </comment>
    <comment ref="BO39" authorId="0" shapeId="0" xr:uid="{61FB6D5E-902F-455F-BA62-F33272472283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D41" authorId="0" shapeId="0" xr:uid="{F08093CA-DF4C-47EE-BAE0-05FE95B8BD91}">
      <text>
        <r>
          <rPr>
            <sz val="9"/>
            <color indexed="81"/>
            <rFont val="Tahoma"/>
            <family val="2"/>
          </rPr>
          <t>CIE-10:
COVID-19, virus no identificado (diagnosticado clínicamente)</t>
        </r>
      </text>
    </comment>
    <comment ref="AE41" authorId="1" shapeId="0" xr:uid="{89472540-717A-4F1B-BAA4-C49933732A78}">
      <text>
        <r>
          <rPr>
            <sz val="9"/>
            <color indexed="81"/>
            <rFont val="Tahoma"/>
            <family val="2"/>
          </rPr>
          <t>Notificación:
Individual dentro de 24hs de la detección de la alteración neurológica</t>
        </r>
      </text>
    </comment>
    <comment ref="AN41" authorId="1" shapeId="0" xr:uid="{FA5CC45E-4A51-4327-8352-7575486FA855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D42" authorId="1" shapeId="0" xr:uid="{A18A5982-CB24-467A-BC7C-94A982F8CF21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BF42" authorId="0" shapeId="0" xr:uid="{33C20083-341B-4D54-8749-3B801810236A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BO43" authorId="0" shapeId="0" xr:uid="{08065EB2-FA1E-4043-89AC-672AF0C98C56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D44" authorId="0" shapeId="0" xr:uid="{33ABC9CB-ADCF-4A9B-96B0-C4DBC6399EE3}">
      <text>
        <r>
          <rPr>
            <sz val="9"/>
            <color indexed="81"/>
            <rFont val="Tahoma"/>
            <family val="2"/>
          </rPr>
          <t>CIE-10:
Enfermedad respiratoria aguda debido al coronavirus SARS-CoV-2.</t>
        </r>
      </text>
    </comment>
    <comment ref="AN44" authorId="1" shapeId="0" xr:uid="{EAFE0241-3853-47A4-838D-CD5066EF681F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CG44" authorId="0" shapeId="0" xr:uid="{C4625AD4-5625-47B3-A4F4-4697790CDEB8}">
      <text>
        <r>
          <rPr>
            <sz val="9"/>
            <color indexed="81"/>
            <rFont val="Tahoma"/>
            <family val="2"/>
          </rPr>
          <t>Notificación:
Individual Inmediato</t>
        </r>
      </text>
    </comment>
    <comment ref="D45" authorId="0" shapeId="0" xr:uid="{8938EBEC-22F6-4DA4-99A3-40C18FAB515A}">
      <text>
        <r>
          <rPr>
            <sz val="9"/>
            <color indexed="81"/>
            <rFont val="Tahoma"/>
            <family val="2"/>
          </rPr>
          <t>CIE-10:
 Síndrome inflamatorio multisistémico asociado con COVID-19, no especificado</t>
        </r>
      </text>
    </comment>
    <comment ref="V45" authorId="0" shapeId="0" xr:uid="{3A88C0E6-0F6C-456C-9BB8-877C8A6D7A88}">
      <text>
        <r>
          <rPr>
            <sz val="9"/>
            <color indexed="81"/>
            <rFont val="Tahoma"/>
            <family val="2"/>
          </rPr>
          <t>Notificación:
Individual Inmediato</t>
        </r>
      </text>
    </comment>
    <comment ref="BF45" authorId="0" shapeId="0" xr:uid="{2BC8BB2E-29E3-48FE-A146-D258F33C99B3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BO46" authorId="0" shapeId="0" xr:uid="{146BADCE-9654-4B5D-B8FF-8C49EF67AF40}">
      <text>
        <r>
          <rPr>
            <sz val="9"/>
            <color indexed="81"/>
            <rFont val="Tahoma"/>
            <family val="2"/>
          </rPr>
          <t>Notificación:
Individual dentro de 24hs
Utilice código adicional para identificar: Ej. disentería 
por Shigella asociada  (A03.9) infección por E. Coli asociada 
(B96.2-)</t>
        </r>
      </text>
    </comment>
    <comment ref="D47" authorId="1" shapeId="0" xr:uid="{1CE7B56E-D79E-4046-A240-35484077E488}">
      <text>
        <r>
          <rPr>
            <sz val="9"/>
            <color indexed="81"/>
            <rFont val="Tahoma"/>
            <family val="2"/>
          </rPr>
          <t>Notificación:
Individual Inmediato</t>
        </r>
      </text>
    </comment>
    <comment ref="AN47" authorId="1" shapeId="0" xr:uid="{90794353-565B-4686-9271-A1A2F50F1FA4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BF48" authorId="0" shapeId="0" xr:uid="{184E44A4-CD5A-492B-B423-D594941AA55F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D49" authorId="0" shapeId="0" xr:uid="{ACF19619-519B-4B61-B358-E3B31179F775}">
      <text>
        <r>
          <rPr>
            <sz val="9"/>
            <color indexed="81"/>
            <rFont val="Tahoma"/>
            <family val="2"/>
          </rPr>
          <t>CIE-10:
Observación por sospecha de tuberculosis</t>
        </r>
      </text>
    </comment>
    <comment ref="AE49" authorId="1" shapeId="0" xr:uid="{BB3E695F-5E7A-442B-914B-7FF05042709E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D50" authorId="1" shapeId="0" xr:uid="{01B62C91-4D2F-4F98-8B01-6F4552464429}">
      <text>
        <r>
          <rPr>
            <sz val="9"/>
            <color indexed="81"/>
            <rFont val="Tahoma"/>
            <family val="2"/>
          </rPr>
          <t>Notificación:
Individual Inmediato</t>
        </r>
      </text>
    </comment>
    <comment ref="BO50" authorId="0" shapeId="0" xr:uid="{B347DF2D-F2E6-4D35-B0AF-389F2118143F}">
      <text>
        <r>
          <rPr>
            <sz val="9"/>
            <color indexed="81"/>
            <rFont val="Tahoma"/>
            <family val="2"/>
          </rPr>
          <t>Notificación:
Caso Sospechoso:
Individual Inmediato
Caso Confirmado:
Individual dentro de 24hs.</t>
        </r>
      </text>
    </comment>
    <comment ref="BF51" authorId="0" shapeId="0" xr:uid="{CAA8B14E-AB6C-4E70-BE0F-59D1A55FA3FF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D52" authorId="0" shapeId="0" xr:uid="{E4189CD9-6AC9-4BE9-8BA6-DD3699E1D389}">
      <text>
        <r>
          <rPr>
            <sz val="9"/>
            <color indexed="81"/>
            <rFont val="Tahoma"/>
            <family val="2"/>
          </rPr>
          <t>CIE-10:
Hemoptisis</t>
        </r>
      </text>
    </comment>
    <comment ref="AE52" authorId="1" shapeId="0" xr:uid="{67259693-19C4-40AD-BF7B-8EDAEBA2BD8A}">
      <text>
        <r>
          <rPr>
            <sz val="9"/>
            <color indexed="81"/>
            <rFont val="Tahoma"/>
            <family val="2"/>
          </rPr>
          <t>Notificación:
Individual dentro de 24hs de la detección de la microcefalia</t>
        </r>
      </text>
    </comment>
    <comment ref="D53" authorId="1" shapeId="0" xr:uid="{DD2C7102-5A06-4B41-A544-5CD23754E870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V53" authorId="0" shapeId="0" xr:uid="{BCB80C36-EFE0-4FC2-8838-F9B3A1AF93CB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BO53" authorId="0" shapeId="0" xr:uid="{3EB0FEAC-6297-429B-994E-014BD535D4EC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D55" authorId="0" shapeId="0" xr:uid="{B5D69971-64FD-4CA2-B3DB-72A98258B589}">
      <text>
        <r>
          <rPr>
            <sz val="9"/>
            <color indexed="81"/>
            <rFont val="Tahoma"/>
            <family val="2"/>
          </rPr>
          <t>CIE-10:
Tuberculosis respiratoria, confirmada bacteriológica e histológicamente</t>
        </r>
      </text>
    </comment>
    <comment ref="AE55" authorId="1" shapeId="0" xr:uid="{1944F95F-9BF4-4CD6-A41E-66FEC07B2956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BF55" authorId="1" shapeId="0" xr:uid="{B7B6B062-7C5E-4281-8F2D-4444F5BBB2E8}">
      <text>
        <r>
          <rPr>
            <sz val="9"/>
            <color indexed="81"/>
            <rFont val="Tahoma"/>
            <family val="2"/>
          </rPr>
          <t>Notificación:
Individual Inmediato</t>
        </r>
      </text>
    </comment>
    <comment ref="D56" authorId="1" shapeId="0" xr:uid="{C71332AD-DB4E-4D14-9CAA-A2196109C3BB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BO56" authorId="0" shapeId="0" xr:uid="{09F7400C-3412-4D2B-8A73-09C2657D17BB}">
      <text>
        <r>
          <rPr>
            <sz val="9"/>
            <color indexed="81"/>
            <rFont val="Tahoma"/>
            <family val="2"/>
          </rPr>
          <t>Notificación:
Caso Sospechoso:
Individual Inmediato
Caso Confirmado:
Individual dentro de 24hs.</t>
        </r>
      </text>
    </comment>
    <comment ref="V57" authorId="0" shapeId="0" xr:uid="{10479447-57B6-43FF-B6FB-A80083049391}">
      <text>
        <r>
          <rPr>
            <sz val="9"/>
            <color indexed="81"/>
            <rFont val="Tahoma"/>
            <family val="2"/>
          </rPr>
          <t>Notificación:
Individual Inmediato</t>
        </r>
      </text>
    </comment>
    <comment ref="D58" authorId="0" shapeId="0" xr:uid="{9330C3B3-4D8A-4A35-9413-9C535B5E624E}">
      <text>
        <r>
          <rPr>
            <sz val="9"/>
            <color indexed="81"/>
            <rFont val="Tahoma"/>
            <family val="2"/>
          </rPr>
          <t>CIE-10:
Tuberculosis respiratoria, no confirmada bacteriológica o histológicamente</t>
        </r>
      </text>
    </comment>
    <comment ref="BF58" authorId="0" shapeId="0" xr:uid="{EFBB9FD5-6FD6-4E2B-A5D8-F41389B25285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D59" authorId="1" shapeId="0" xr:uid="{23AF0E49-E44C-438C-B626-1AA5D0E6A718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AE59" authorId="1" shapeId="0" xr:uid="{C520A5B2-B2F5-4072-BF92-844F775417CA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BO59" authorId="0" shapeId="0" xr:uid="{E974F765-5F6D-47C8-9975-4656324F85EA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D61" authorId="0" shapeId="0" xr:uid="{B6FE67D6-1F67-4E17-9B36-44E88F8E1262}">
      <text>
        <r>
          <rPr>
            <sz val="9"/>
            <color indexed="81"/>
            <rFont val="Tahoma"/>
            <family val="2"/>
          </rPr>
          <t>CIE-10:
Tuberculosis del sistema nervioso</t>
        </r>
      </text>
    </comment>
    <comment ref="BF61" authorId="0" shapeId="0" xr:uid="{15B1AA85-ED4C-4446-8F29-76C106F0E8F0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D62" authorId="1" shapeId="0" xr:uid="{498CCB7D-A7CD-4EB0-B8AB-35BBB9E2E3CC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AE62" authorId="1" shapeId="0" xr:uid="{6268077B-A2E2-48B6-A635-13C55D894CED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D64" authorId="0" shapeId="0" xr:uid="{BCDB258D-F3BD-40A2-B753-2F54385D2EBA}">
      <text>
        <r>
          <rPr>
            <sz val="9"/>
            <color indexed="81"/>
            <rFont val="Tahoma"/>
            <family val="2"/>
          </rPr>
          <t>CIE-10:
Tuberculosis de otros órganos</t>
        </r>
      </text>
    </comment>
    <comment ref="D65" authorId="1" shapeId="0" xr:uid="{04C251E7-2CA3-4379-8D61-D0F677758A42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AE65" authorId="1" shapeId="0" xr:uid="{3BC36E73-4941-4615-AFA2-6E5DB0F3FBE6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D67" authorId="0" shapeId="0" xr:uid="{CDB9352F-42A1-4E8D-8E49-C6D6D33FF2FF}">
      <text>
        <r>
          <rPr>
            <sz val="9"/>
            <color indexed="81"/>
            <rFont val="Tahoma"/>
            <family val="2"/>
          </rPr>
          <t>CIE-10:
Tuberculosis miliar</t>
        </r>
      </text>
    </comment>
    <comment ref="V67" authorId="0" shapeId="0" xr:uid="{4628CA92-ADD9-4945-8E69-EAA7539C19EB}">
      <text>
        <r>
          <rPr>
            <sz val="9"/>
            <color indexed="81"/>
            <rFont val="Tahoma"/>
            <family val="2"/>
          </rPr>
          <t>Notificación:
Individual Inmediato</t>
        </r>
      </text>
    </comment>
    <comment ref="D68" authorId="1" shapeId="0" xr:uid="{E20BF422-1861-46D2-9386-3F82F54AB7C6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BF68" authorId="0" shapeId="0" xr:uid="{56132CCA-917D-4EA3-AD79-3A3D48BEF580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AE69" authorId="1" shapeId="0" xr:uid="{7DBD9917-9437-41D5-A4CC-C80CDACF8D21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D70" authorId="0" shapeId="0" xr:uid="{7C8DE05C-9E8A-4FC5-9AC9-281A7A56E1ED}">
      <text>
        <r>
          <rPr>
            <sz val="9"/>
            <color indexed="81"/>
            <rFont val="Tahoma"/>
            <family val="2"/>
          </rPr>
          <t>CIE-10:
Tuberculosis congénita</t>
        </r>
      </text>
    </comment>
    <comment ref="V70" authorId="0" shapeId="0" xr:uid="{9F884B2E-C551-4D6C-8762-CC60BEBB881D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BO70" authorId="0" shapeId="0" xr:uid="{0D255F9F-05AC-4CE4-A949-AC9530E89632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D71" authorId="1" shapeId="0" xr:uid="{344E15B7-5282-4765-A307-30C98DC9E4F1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BF71" authorId="0" shapeId="0" xr:uid="{09123038-8CCA-4C6E-A58E-DB1FD546B1AC}">
      <text>
        <r>
          <rPr>
            <sz val="9"/>
            <color indexed="81"/>
            <rFont val="Tahoma"/>
            <family val="2"/>
          </rPr>
          <t>Notificación:
Listado de Contactos</t>
        </r>
      </text>
    </comment>
    <comment ref="D73" authorId="0" shapeId="0" xr:uid="{8659E78E-CC41-4B58-8FDE-363AF16D62AE}">
      <text>
        <r>
          <rPr>
            <sz val="9"/>
            <color indexed="81"/>
            <rFont val="Tahoma"/>
            <family val="2"/>
          </rPr>
          <t>CIE-10:
Enfermedad por VIH, resultante en infección por micobacterias</t>
        </r>
      </text>
    </comment>
    <comment ref="V73" authorId="0" shapeId="0" xr:uid="{B547DCBE-830A-4207-9AA7-DB7B8F978D10}">
      <text>
        <r>
          <rPr>
            <sz val="9"/>
            <color indexed="81"/>
            <rFont val="Tahoma"/>
            <family val="2"/>
          </rPr>
          <t>Notificación:
En listado de contactos</t>
        </r>
      </text>
    </comment>
    <comment ref="AE73" authorId="1" shapeId="0" xr:uid="{E4754B89-073A-4D15-9560-F6EB13F3E1CF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D74" authorId="1" shapeId="0" xr:uid="{7EFB203C-3828-4C9C-9E26-9DEE6710075F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BF74" authorId="0" shapeId="0" xr:uid="{DE398DB6-5D5B-44FB-8B91-39FDFD84102A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D76" authorId="0" shapeId="0" xr:uid="{0B0391A6-AC75-4C9A-9D38-FFF4FFD2E2F6}">
      <text>
        <r>
          <rPr>
            <sz val="9"/>
            <color indexed="81"/>
            <rFont val="Tahoma"/>
            <family val="2"/>
          </rPr>
          <t>CIE-10:
Portador de agentes de otras enfermedades bacterianas especificadas</t>
        </r>
      </text>
    </comment>
    <comment ref="V76" authorId="0" shapeId="0" xr:uid="{E8B9E238-119A-4823-8FC9-19F6C8FBD94A}">
      <text>
        <r>
          <rPr>
            <sz val="9"/>
            <color indexed="81"/>
            <rFont val="Tahoma"/>
            <family val="2"/>
          </rPr>
          <t>Notificación:
Individual dentro de 24hs del nacimiento</t>
        </r>
      </text>
    </comment>
    <comment ref="D77" authorId="1" shapeId="0" xr:uid="{395FA69E-87BA-4433-9E9A-F29C294BEED6}">
      <text>
        <r>
          <rPr>
            <sz val="9"/>
            <color indexed="81"/>
            <rFont val="Tahoma"/>
            <family val="2"/>
          </rPr>
          <t>Notificación:
En ficha de contactos</t>
        </r>
      </text>
    </comment>
    <comment ref="AE77" authorId="1" shapeId="0" xr:uid="{5749C8E5-2B2E-43CA-8299-1446E0AB45FB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D79" authorId="0" shapeId="0" xr:uid="{4E327F19-8F9F-4150-BD0A-093A6D8A7FF2}">
      <text>
        <r>
          <rPr>
            <sz val="9"/>
            <color indexed="81"/>
            <rFont val="Tahoma"/>
            <family val="2"/>
          </rPr>
          <t>CIE-10:
Contacto con y exposición a tuberculosis</t>
        </r>
      </text>
    </comment>
    <comment ref="V79" authorId="0" shapeId="0" xr:uid="{A3AE34BE-BDE5-4D8A-8D26-CA111B1F286E}">
      <text>
        <r>
          <rPr>
            <sz val="9"/>
            <color indexed="81"/>
            <rFont val="Tahoma"/>
            <family val="2"/>
          </rPr>
          <t>Notificación:
Individual dentro de 24hs de confirmado</t>
        </r>
      </text>
    </comment>
    <comment ref="AE81" authorId="1" shapeId="0" xr:uid="{77DEAF55-4323-467C-8727-5AC9EA346495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V83" authorId="0" shapeId="0" xr:uid="{1B4307F7-A532-4B29-B041-7053568A2D17}">
      <text>
        <r>
          <rPr>
            <sz val="9"/>
            <color indexed="81"/>
            <rFont val="Tahoma"/>
            <family val="2"/>
          </rPr>
          <t>Notificación:
Individual Inmediato</t>
        </r>
      </text>
    </comment>
    <comment ref="AE88" authorId="1" shapeId="0" xr:uid="{E3BF526A-BD1B-4368-80C6-29CB11796C5A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AE91" authorId="1" shapeId="0" xr:uid="{65C02886-EFDB-47E5-972F-7EB79BC5FD2F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V93" authorId="0" shapeId="0" xr:uid="{AD578BD3-420C-4749-BC5E-4614CB06C3A9}">
      <text>
        <r>
          <rPr>
            <sz val="9"/>
            <color indexed="81"/>
            <rFont val="Tahoma"/>
            <family val="2"/>
          </rPr>
          <t>Notificación:
Individual Inmediato</t>
        </r>
      </text>
    </comment>
    <comment ref="AE94" authorId="1" shapeId="0" xr:uid="{217051DD-6991-43CB-8137-C5DCCFCD8AFA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V96" authorId="0" shapeId="0" xr:uid="{E658B366-1F67-4624-A4BC-F3D6DAD1CAA0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AE97" authorId="1" shapeId="0" xr:uid="{41198D43-5384-4BCC-957F-6B5696B911D6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V100" authorId="0" shapeId="0" xr:uid="{1C47A143-FF3E-4E18-86A9-2D3BBE85CBCC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AE101" authorId="1" shapeId="0" xr:uid="{7F1706C7-69AB-4061-8B09-66848C8B4BA5}">
      <text>
        <r>
          <rPr>
            <sz val="9"/>
            <color indexed="81"/>
            <rFont val="Tahoma"/>
            <family val="2"/>
          </rPr>
          <t>Notificación:
Individual Inmediato</t>
        </r>
      </text>
    </comment>
    <comment ref="V104" authorId="0" shapeId="0" xr:uid="{274E2E05-C5B0-4428-BBB2-9CEDC856CB39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AE105" authorId="1" shapeId="0" xr:uid="{CE3A7568-B518-4E40-828D-2F55A445D1B2}">
      <text>
        <r>
          <rPr>
            <sz val="9"/>
            <color indexed="81"/>
            <rFont val="Tahoma"/>
            <family val="2"/>
          </rPr>
          <t>Notificación:
Individual Inmediato</t>
        </r>
      </text>
    </comment>
    <comment ref="V108" authorId="0" shapeId="0" xr:uid="{D44C0869-E1D1-48C4-8D61-C1BFF66388E0}">
      <text>
        <r>
          <rPr>
            <sz val="9"/>
            <color indexed="81"/>
            <rFont val="Tahoma"/>
            <family val="2"/>
          </rPr>
          <t>Notificación:
Individual Inmediato</t>
        </r>
      </text>
    </comment>
    <comment ref="AE109" authorId="1" shapeId="0" xr:uid="{F408134A-42B5-43C1-BF8E-C4777AD86A40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V111" authorId="0" shapeId="0" xr:uid="{83FC6E58-9281-42A2-9707-34BD28281132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AE115" authorId="1" shapeId="0" xr:uid="{F5D48AC4-9F5D-4D09-946B-3512D7683B37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</commentList>
</comments>
</file>

<file path=xl/sharedStrings.xml><?xml version="1.0" encoding="utf-8"?>
<sst xmlns="http://schemas.openxmlformats.org/spreadsheetml/2006/main" count="3173" uniqueCount="781">
  <si>
    <t>Datos de la Dependencia</t>
  </si>
  <si>
    <t>Datos del Paciente</t>
  </si>
  <si>
    <t>Datos del Diagnostico</t>
  </si>
  <si>
    <t>Datos de la Preconsulta</t>
  </si>
  <si>
    <t>Datos del Procedimiento</t>
  </si>
  <si>
    <t>Datos del Admisionista</t>
  </si>
  <si>
    <t>Datos de Enfermería</t>
  </si>
  <si>
    <t>Fecha</t>
  </si>
  <si>
    <t>Hora de Admisión</t>
  </si>
  <si>
    <t>Fin de consulta</t>
  </si>
  <si>
    <t>Cod.Establecimiento</t>
  </si>
  <si>
    <t>Tipo de Consulta</t>
  </si>
  <si>
    <t>Profesional de la Salud</t>
  </si>
  <si>
    <t>Especialidad</t>
  </si>
  <si>
    <t>Cédula Identidad</t>
  </si>
  <si>
    <t>Nombres y Apellidos PACIENTE</t>
  </si>
  <si>
    <t>Sexo</t>
  </si>
  <si>
    <t>Edad</t>
  </si>
  <si>
    <t>Edad Detallado</t>
  </si>
  <si>
    <t>Etnia</t>
  </si>
  <si>
    <t>Departamento de residencia</t>
  </si>
  <si>
    <t>Distrito de residencia</t>
  </si>
  <si>
    <t>Barrio de residencia</t>
  </si>
  <si>
    <t>Area de residencia</t>
  </si>
  <si>
    <t>Nuevo en el Año</t>
  </si>
  <si>
    <t>Asegurado</t>
  </si>
  <si>
    <t>Seguro</t>
  </si>
  <si>
    <t>Viene Referido</t>
  </si>
  <si>
    <t>Motivo de Consulta</t>
  </si>
  <si>
    <t>CODCIE10</t>
  </si>
  <si>
    <t>Diagnóstico 1</t>
  </si>
  <si>
    <t>CODCIE10Nuevo</t>
  </si>
  <si>
    <t>CODCIE102</t>
  </si>
  <si>
    <t>Diagnóstico 2</t>
  </si>
  <si>
    <t>CODCIE10Nuevo3</t>
  </si>
  <si>
    <t>CODCIE104</t>
  </si>
  <si>
    <t>Diagnóstico 3</t>
  </si>
  <si>
    <t>CODCIE10Nuevo5</t>
  </si>
  <si>
    <t>CODCIE106</t>
  </si>
  <si>
    <t>Diagnóstico 4</t>
  </si>
  <si>
    <t>CODCIE10Nuevo7</t>
  </si>
  <si>
    <t>CODCIE108</t>
  </si>
  <si>
    <t>Diagnóstico 5</t>
  </si>
  <si>
    <t>CODCIE10Nuevo9</t>
  </si>
  <si>
    <t>CODCIE1010</t>
  </si>
  <si>
    <t>Diagnóstico 6</t>
  </si>
  <si>
    <t>CODCIE10Nuevo11</t>
  </si>
  <si>
    <t>Embarazada</t>
  </si>
  <si>
    <t>Semanas de Gestación</t>
  </si>
  <si>
    <t>Se refiere</t>
  </si>
  <si>
    <t>Se interna</t>
  </si>
  <si>
    <t>Motivo Preconsulta</t>
  </si>
  <si>
    <t>Estado Nutricional</t>
  </si>
  <si>
    <t>Presion Arterial Sistólica PAS</t>
  </si>
  <si>
    <t>Presion Arterial diastólica PAD</t>
  </si>
  <si>
    <t>Peso (Kg)</t>
  </si>
  <si>
    <t>Talla (m)</t>
  </si>
  <si>
    <t>IMC</t>
  </si>
  <si>
    <t>Circunferencia Abdominal (cm)</t>
  </si>
  <si>
    <t>HbA1C (%)</t>
  </si>
  <si>
    <t>Alimentación</t>
  </si>
  <si>
    <t>CODCIE9 1</t>
  </si>
  <si>
    <t>Procedimiento</t>
  </si>
  <si>
    <t>Estado</t>
  </si>
  <si>
    <t>CODCIE9 2</t>
  </si>
  <si>
    <t>Procedimiento12</t>
  </si>
  <si>
    <t>Estado13</t>
  </si>
  <si>
    <t>CODCIE9 3</t>
  </si>
  <si>
    <t>Procedimiento14</t>
  </si>
  <si>
    <t>Estado15</t>
  </si>
  <si>
    <t>CODCIE9 4</t>
  </si>
  <si>
    <t>Procedimiento16</t>
  </si>
  <si>
    <t>Estado17</t>
  </si>
  <si>
    <t>CODCIE9 5</t>
  </si>
  <si>
    <t>Procedimiento18</t>
  </si>
  <si>
    <t>Estado19</t>
  </si>
  <si>
    <t>CODCIE9 6</t>
  </si>
  <si>
    <t>Procedimiento20</t>
  </si>
  <si>
    <t>Estado21</t>
  </si>
  <si>
    <t>Usuario ADMISIONISTA</t>
  </si>
  <si>
    <t>Nombre y apellido ADMISIONISTA</t>
  </si>
  <si>
    <t>Usuario ENFERMERIA</t>
  </si>
  <si>
    <t>Nombre y apellido ENFERMERIA</t>
  </si>
  <si>
    <t>GUAIRA</t>
  </si>
  <si>
    <t>L20.9</t>
  </si>
  <si>
    <t>ENFERMEDADES PREVENIBLES POR VACUNA</t>
  </si>
  <si>
    <t>Seleccione Establecimiento</t>
  </si>
  <si>
    <t>PARALISIS FLACIDA AGUDA</t>
  </si>
  <si>
    <t>RUBEOLA</t>
  </si>
  <si>
    <t>&lt;-- ENFERMEDAD FEBRIL EXANTEMATICA --&gt;</t>
  </si>
  <si>
    <t>SARAMPION</t>
  </si>
  <si>
    <t>DIFTERIA</t>
  </si>
  <si>
    <t>(Todas)</t>
  </si>
  <si>
    <t>CIE-10</t>
  </si>
  <si>
    <t>D1</t>
  </si>
  <si>
    <t>D2</t>
  </si>
  <si>
    <t>D3</t>
  </si>
  <si>
    <t>D4</t>
  </si>
  <si>
    <t>D5</t>
  </si>
  <si>
    <t>D6</t>
  </si>
  <si>
    <t>TOT</t>
  </si>
  <si>
    <t>G37.3</t>
  </si>
  <si>
    <t>A38*</t>
  </si>
  <si>
    <t>G61*</t>
  </si>
  <si>
    <t>B08.2</t>
  </si>
  <si>
    <t>G72.9</t>
  </si>
  <si>
    <t>B08.3</t>
  </si>
  <si>
    <t>G82*</t>
  </si>
  <si>
    <t>A36.0</t>
  </si>
  <si>
    <t>R29.8</t>
  </si>
  <si>
    <t>L30.9</t>
  </si>
  <si>
    <t>A36.1</t>
  </si>
  <si>
    <t>T60.0</t>
  </si>
  <si>
    <t>L50.9</t>
  </si>
  <si>
    <t>A36.2</t>
  </si>
  <si>
    <t>A80*</t>
  </si>
  <si>
    <t>L53.9</t>
  </si>
  <si>
    <t>A36.3</t>
  </si>
  <si>
    <t>R21*</t>
  </si>
  <si>
    <t>A36.8</t>
  </si>
  <si>
    <t>B06*</t>
  </si>
  <si>
    <t>B05*</t>
  </si>
  <si>
    <t>A36.9</t>
  </si>
  <si>
    <t>Z20.4</t>
  </si>
  <si>
    <t>P35.0</t>
  </si>
  <si>
    <t>COQUELUCHE</t>
  </si>
  <si>
    <t>PAROTIDITIS</t>
  </si>
  <si>
    <t>TETANOS NEONATAL</t>
  </si>
  <si>
    <t>TETANOS OTRAS EDADES</t>
  </si>
  <si>
    <t>A37.9</t>
  </si>
  <si>
    <t>B26*</t>
  </si>
  <si>
    <t>A33*</t>
  </si>
  <si>
    <t>A35*</t>
  </si>
  <si>
    <t>A37.0</t>
  </si>
  <si>
    <t>B26.9</t>
  </si>
  <si>
    <t>A34*</t>
  </si>
  <si>
    <t>A37.1</t>
  </si>
  <si>
    <t>B26.0</t>
  </si>
  <si>
    <t>A37.8</t>
  </si>
  <si>
    <t>B26.1</t>
  </si>
  <si>
    <t>B26.2</t>
  </si>
  <si>
    <t>B26.3</t>
  </si>
  <si>
    <t>OBSERVACIÓN:  El * Después del CIE-10 significa que contará todos los que empiecen con ese código, por ejemplo: A00*-&gt; contará todos los que empiecen con A00 ej. A00.0 , A00.1, A00.8, etc. Esto es para que no se escapen CIE-10 más específicos no enumerados.</t>
  </si>
  <si>
    <t>B26.8</t>
  </si>
  <si>
    <t>VARICELA</t>
  </si>
  <si>
    <t>ESAVI</t>
  </si>
  <si>
    <t>R23.8</t>
  </si>
  <si>
    <t>B01*</t>
  </si>
  <si>
    <t>Y59.0</t>
  </si>
  <si>
    <t>Y59.1</t>
  </si>
  <si>
    <t>Y59.2</t>
  </si>
  <si>
    <t>Y59.3</t>
  </si>
  <si>
    <t>Y59.8</t>
  </si>
  <si>
    <t>Y59.9</t>
  </si>
  <si>
    <t>PLANILLA SEMANAL DE ENOS (PSENOS)</t>
  </si>
  <si>
    <t>DIRECCIÓN GENERAL DE VIGILANCIA DE LA SALUD</t>
  </si>
  <si>
    <t xml:space="preserve">PLANILLA SEMANAL DE ENFERMEDADES O EVENTOS DE NOTIFICACIÓN OBLIGATORIA (PSENO) </t>
  </si>
  <si>
    <t>Región Sanitaria:</t>
  </si>
  <si>
    <t xml:space="preserve">Semana epidemiológica/año: </t>
  </si>
  <si>
    <t>Grupo 1 (G1): Enfermedades de importancia para el RSI* y aquellas controladas, eliminadas y en vías de eliminación</t>
  </si>
  <si>
    <t>Grupo 2 (G2): Enfermedades infecciosas de importancia para la vigilancia epidemiológica</t>
  </si>
  <si>
    <t>G1-Parte 1: Enfermedades de importancia para el RSI*</t>
  </si>
  <si>
    <t>Enfermedad</t>
  </si>
  <si>
    <t>Código CIE-10</t>
  </si>
  <si>
    <t>N°  Sospechosos</t>
  </si>
  <si>
    <t>N° Confirmados</t>
  </si>
  <si>
    <t>G2-Parte 1: Enfermedades de importancia por riesgo de brotes</t>
  </si>
  <si>
    <t>N° Casos</t>
  </si>
  <si>
    <t>Cólera</t>
  </si>
  <si>
    <t>A00</t>
  </si>
  <si>
    <t>Parotiditis infecciosa/Paperas</t>
  </si>
  <si>
    <t>B26</t>
  </si>
  <si>
    <t>Fiebre amarilla</t>
  </si>
  <si>
    <t>A95</t>
  </si>
  <si>
    <t>Varicela</t>
  </si>
  <si>
    <t>B01</t>
  </si>
  <si>
    <t>Peste</t>
  </si>
  <si>
    <t>A20</t>
  </si>
  <si>
    <t>Hepatitis A</t>
  </si>
  <si>
    <t>B15</t>
  </si>
  <si>
    <t>Poliomielitis aguda</t>
  </si>
  <si>
    <t>A80</t>
  </si>
  <si>
    <t>Hepatitis viral sin otra especificación</t>
  </si>
  <si>
    <t>B19</t>
  </si>
  <si>
    <t>G1-Parte 2: Descripción de la situación país en cuanto a las enfermedades controladas, eliminadas y en vías de eliminación.</t>
  </si>
  <si>
    <t>Rubéola</t>
  </si>
  <si>
    <t>B06</t>
  </si>
  <si>
    <t>Enfermedades transmitidas por alimentos (ETA)</t>
  </si>
  <si>
    <t>A05</t>
  </si>
  <si>
    <t>Síndrome de Rubéola congénita</t>
  </si>
  <si>
    <t>Conjuntivitis viral</t>
  </si>
  <si>
    <t>B30, B30.1, B30.2, B30.3</t>
  </si>
  <si>
    <t>Sarampión</t>
  </si>
  <si>
    <t>B05</t>
  </si>
  <si>
    <t>Otras enfermedades víricas caracterizadas por lesiones en piel y de las membranas mucosas</t>
  </si>
  <si>
    <t>B08.2, B08.3, B08.4</t>
  </si>
  <si>
    <t>Tétanos neonatal</t>
  </si>
  <si>
    <t>A33</t>
  </si>
  <si>
    <t>G2-Parte 2: Infecciones con modo de transmisión predominantemente sexual - ITS**</t>
  </si>
  <si>
    <t>Sífilis congénita</t>
  </si>
  <si>
    <t>A50</t>
  </si>
  <si>
    <t>Paludismo</t>
  </si>
  <si>
    <t>B50, B51, B52, B53, B54</t>
  </si>
  <si>
    <t>Sífilis en la embarazada</t>
  </si>
  <si>
    <t>O98.1</t>
  </si>
  <si>
    <t>Sífilis (todos los casos)</t>
  </si>
  <si>
    <t>A51, A52, A53</t>
  </si>
  <si>
    <t>Grupo 3 (G3): Enfermedades o eventos de importancia para la vigilancia por conjunto de signos y síntomas.</t>
  </si>
  <si>
    <t>Enfermedades o eventos</t>
  </si>
  <si>
    <t>Grupos de edades en años</t>
  </si>
  <si>
    <t>N° totales</t>
  </si>
  <si>
    <t>Menor de 1 año</t>
  </si>
  <si>
    <t>1-4</t>
  </si>
  <si>
    <t>5-19</t>
  </si>
  <si>
    <t>20-59</t>
  </si>
  <si>
    <t>60 y más</t>
  </si>
  <si>
    <t>Sin dato de edad</t>
  </si>
  <si>
    <t>Enfermedad tipo Influenza (ETI)</t>
  </si>
  <si>
    <t>J00, J10, J11</t>
  </si>
  <si>
    <t>IRA- No neumonías</t>
  </si>
  <si>
    <t>J01, J02, J03, J04, J05, J06, J20, J21, J22</t>
  </si>
  <si>
    <t>Neumonías***</t>
  </si>
  <si>
    <t>J12, J13, J14, J15, J16, J17, J18</t>
  </si>
  <si>
    <t>IRAG-Neumonías graves</t>
  </si>
  <si>
    <t>J85, J86, J90</t>
  </si>
  <si>
    <t>Diarreas agudas</t>
  </si>
  <si>
    <t>A02.0, A03, A04, A05, A06.0, A07, A08, A09</t>
  </si>
  <si>
    <t>*RSI: Reglamento Sanitario Internacional, 2015-Anexo 2.</t>
  </si>
  <si>
    <t>**ITS: Según CIE-10, Infecciones con modo de transmisión predominantemente sexual (A50-A53).</t>
  </si>
  <si>
    <t>***Si alguno de estos códigos requiere hospitalización, clasificar como "IRAG-Neumonías graves"</t>
  </si>
  <si>
    <t>Observación: _________________________________________________________________________________</t>
  </si>
  <si>
    <t>Total de Servicios notificantes de la semana:</t>
  </si>
  <si>
    <t>Actualizado Enero/2020</t>
  </si>
  <si>
    <t>Firma y Nombre del responsable del llenado de la Planilla: _________________________________________________________</t>
  </si>
  <si>
    <t>G1: COLERA</t>
  </si>
  <si>
    <t>G1: FIEBRE AMARRILA</t>
  </si>
  <si>
    <t>A00*</t>
  </si>
  <si>
    <t>A95*</t>
  </si>
  <si>
    <t>G1: PESTE</t>
  </si>
  <si>
    <t>G1: POLIOMIELITIS AGUDA</t>
  </si>
  <si>
    <t>A20*</t>
  </si>
  <si>
    <t>G1: RUBEOLA</t>
  </si>
  <si>
    <t>G1: SARAMPION</t>
  </si>
  <si>
    <t>G1: SINDROME DE RUBEOLA CONGENITA</t>
  </si>
  <si>
    <t>G1: TETANOS NEONATAL</t>
  </si>
  <si>
    <t>G1: PALUDISMO</t>
  </si>
  <si>
    <t>G2: CONJUNTIVITIS VIRAL</t>
  </si>
  <si>
    <t>B50*</t>
  </si>
  <si>
    <t>B30*</t>
  </si>
  <si>
    <t>B51*</t>
  </si>
  <si>
    <t>B52*</t>
  </si>
  <si>
    <t>B53*</t>
  </si>
  <si>
    <t>B54*</t>
  </si>
  <si>
    <t>G2: PAROTIDISTIS INFECCIOSA / PAPERAS</t>
  </si>
  <si>
    <t>G2: VARICELA</t>
  </si>
  <si>
    <t>G2: HEPATITIS A</t>
  </si>
  <si>
    <t>G2: HEPATITIS VIRAL SIN OTRA ESPECIFICACION</t>
  </si>
  <si>
    <t>B15*</t>
  </si>
  <si>
    <t>B19*</t>
  </si>
  <si>
    <t>G2: ENF. TRANSMITIDAS POR ALIMENTOS (ETA)</t>
  </si>
  <si>
    <t>G2: SIFILIS CONGENITA</t>
  </si>
  <si>
    <t>A05*</t>
  </si>
  <si>
    <t>A50*</t>
  </si>
  <si>
    <t>G2: SIFILIS EN LA EMBARAZADA</t>
  </si>
  <si>
    <t>G2: SIFILIS (TODOS LOS CASOS)</t>
  </si>
  <si>
    <t>A51*</t>
  </si>
  <si>
    <t>A52*</t>
  </si>
  <si>
    <t>A53*</t>
  </si>
  <si>
    <t>G2: ENF. VIRICAS. LESIONES PIEL Y MEMB. MUCOSAS</t>
  </si>
  <si>
    <t>G3: ENF. TIPO INFLUENZA (ETI) &lt; 1 AÑO</t>
  </si>
  <si>
    <t>G3: ENF. TIPO INFLUENZA (ETI) 1-4 AÑOS</t>
  </si>
  <si>
    <t>J00*</t>
  </si>
  <si>
    <t>J10*</t>
  </si>
  <si>
    <t>J11*</t>
  </si>
  <si>
    <t>G3: ENF. TIPO INFLUENZA (ETI) 5-19 AÑOS</t>
  </si>
  <si>
    <t>G3: ENF. TIPO INFLUENZA (ETI) 20-59 AÑOS</t>
  </si>
  <si>
    <t>G3: ENF. TIPO INFLUENZA (ETI) 60 Y MAS AÑOS</t>
  </si>
  <si>
    <t>G3: ENF. TIPO INFLUENZA (ETI) SD AÑOS</t>
  </si>
  <si>
    <t>G3: IRA - NO NEUMONIAS (IRANN) &lt; 1 AÑO</t>
  </si>
  <si>
    <t>G3: IRA - NO NEUMONIAS (IRANN) 1-4 AÑOS</t>
  </si>
  <si>
    <t>G3: IRA - NO NEUMONIAS (IRANN) 5-19 AÑOS</t>
  </si>
  <si>
    <t>G3: IRA - NO NEUMONIAS (IRANN) 20-59 AÑOS</t>
  </si>
  <si>
    <t>G3: IRA - NO NEUMONIAS (IRANN) 60 Y MAS AÑOS</t>
  </si>
  <si>
    <t>G3: IRA - NO NEUMONIAS (IRANN) SD AÑOS</t>
  </si>
  <si>
    <t>G3: NEUMONIAS (NEU) &lt; 1 AÑO</t>
  </si>
  <si>
    <t>G3: NEUMONIAS (NEU) 1-4 AÑOS</t>
  </si>
  <si>
    <t>G3: NEUMONIAS (NEU) 5-19 AÑOS</t>
  </si>
  <si>
    <t>G3: NEUMONIAS (NEU) 20-59 AÑOS</t>
  </si>
  <si>
    <t>G3: NEUMONIAS (NEU) 60 Y MAS AÑOS</t>
  </si>
  <si>
    <t>G3: NEUMONIAS (NEU) SD AÑOS</t>
  </si>
  <si>
    <t>G3: IRAG - NEU. GRAVES (IRAGNG) &lt; 1 AÑO</t>
  </si>
  <si>
    <t>G3: IRAG - NEU. GRAVES (IRAGNG) 1-4 AÑOS</t>
  </si>
  <si>
    <t>G3: IRAG - NEU. GRAVES (IRAGNG) 5-19 AÑOS</t>
  </si>
  <si>
    <t>G3: IRAG - NEU. GRAVES (IRAGNG) 20-59 AÑOS</t>
  </si>
  <si>
    <t>G3: IRAG - NEU. GRAVES (IRAGNG) 60 Y MAS AÑOS</t>
  </si>
  <si>
    <t>G3: IRAG - NEU. GRAVES (IRAGNG) SD AÑOS</t>
  </si>
  <si>
    <t>G3: DIARREAS AGUDAS (DA) &lt; 1 AÑO</t>
  </si>
  <si>
    <t>G3: DIARREAS AGUDAS (DA) 1-4 AÑOS</t>
  </si>
  <si>
    <t>A02.0</t>
  </si>
  <si>
    <t>A06.0</t>
  </si>
  <si>
    <t>G3: DIARREAS AGUDAS (DA) 5-19 AÑOS</t>
  </si>
  <si>
    <t>G3: DIARREAS AGUDAS (DA) 20-59 AÑOS</t>
  </si>
  <si>
    <t>G3: DIARREAS AGUDAS (DA) 60 Y MAS AÑOS</t>
  </si>
  <si>
    <t>G3: DIARREAS AGUDAS (DA) SD AÑOS</t>
  </si>
  <si>
    <t>J01*</t>
  </si>
  <si>
    <t>J02*</t>
  </si>
  <si>
    <t>J03*</t>
  </si>
  <si>
    <t>J04*</t>
  </si>
  <si>
    <t>J05*</t>
  </si>
  <si>
    <t>J06*</t>
  </si>
  <si>
    <t>J20*</t>
  </si>
  <si>
    <t>J21*</t>
  </si>
  <si>
    <t>J22*</t>
  </si>
  <si>
    <t>J12*</t>
  </si>
  <si>
    <t>J13*</t>
  </si>
  <si>
    <t>J14*</t>
  </si>
  <si>
    <t>J15*</t>
  </si>
  <si>
    <t>J16*</t>
  </si>
  <si>
    <t>J17*</t>
  </si>
  <si>
    <t>J18*</t>
  </si>
  <si>
    <t>J85*</t>
  </si>
  <si>
    <t>J86*</t>
  </si>
  <si>
    <t>J90*</t>
  </si>
  <si>
    <t>A03*</t>
  </si>
  <si>
    <t>A04*</t>
  </si>
  <si>
    <t>A07*</t>
  </si>
  <si>
    <t>A08*</t>
  </si>
  <si>
    <t>A09*</t>
  </si>
  <si>
    <t>Y59*</t>
  </si>
  <si>
    <t>ETA - INFECCIONES ALIMENTARIAS</t>
  </si>
  <si>
    <t>ETA - INTOXICACIONES ALIMENTARIAS</t>
  </si>
  <si>
    <t>A01*</t>
  </si>
  <si>
    <t>A02*</t>
  </si>
  <si>
    <t>A06*</t>
  </si>
  <si>
    <t>A22*</t>
  </si>
  <si>
    <t>A23*</t>
  </si>
  <si>
    <t>A32*</t>
  </si>
  <si>
    <t>B66*</t>
  </si>
  <si>
    <t>B67*</t>
  </si>
  <si>
    <t>B68*</t>
  </si>
  <si>
    <t>B69*</t>
  </si>
  <si>
    <t>B70*</t>
  </si>
  <si>
    <t>B75*</t>
  </si>
  <si>
    <t>B79*</t>
  </si>
  <si>
    <t>T51*</t>
  </si>
  <si>
    <t>T56*</t>
  </si>
  <si>
    <r>
      <t xml:space="preserve">Enf. de Transmisión. Alimentaria         </t>
    </r>
    <r>
      <rPr>
        <b/>
        <sz val="12"/>
        <color theme="3"/>
        <rFont val="Calibri"/>
        <family val="2"/>
        <scheme val="minor"/>
      </rPr>
      <t>↓</t>
    </r>
    <r>
      <rPr>
        <b/>
        <sz val="11"/>
        <color theme="3"/>
        <rFont val="Calibri"/>
        <family val="2"/>
        <scheme val="minor"/>
      </rPr>
      <t xml:space="preserve">             (ETA)            </t>
    </r>
    <r>
      <rPr>
        <b/>
        <sz val="12"/>
        <color theme="3"/>
        <rFont val="Calibri"/>
        <family val="2"/>
        <scheme val="minor"/>
      </rPr>
      <t>↓</t>
    </r>
  </si>
  <si>
    <t>BOTULISMO alimentario, por heridas, del lactante</t>
  </si>
  <si>
    <t>A05.1</t>
  </si>
  <si>
    <t>BRUCELOSIS</t>
  </si>
  <si>
    <t>CARBUNCO (ÁNTRAX)</t>
  </si>
  <si>
    <t>CHAGAS</t>
  </si>
  <si>
    <t>B57*</t>
  </si>
  <si>
    <t>CHIKUNGUNYA</t>
  </si>
  <si>
    <t>A92.0</t>
  </si>
  <si>
    <t>COLERA</t>
  </si>
  <si>
    <t>COQUELUCHE, TOS CONVULSA, TOS FERINA</t>
  </si>
  <si>
    <t>DENGUE SIN SIGNOS DE ALARMA</t>
  </si>
  <si>
    <t>A90*</t>
  </si>
  <si>
    <t>A91*</t>
  </si>
  <si>
    <t>DENGUE CON SIGNOS DE ALAR., DENGUE GRAVE</t>
  </si>
  <si>
    <t>OTRAS (EXTENDIDA) SEGÚN GUIA NACIONAL DE VIGILANCIA</t>
  </si>
  <si>
    <t>A36*</t>
  </si>
  <si>
    <t>ENCEFALOPATIA ESPONGIFORME SUBAGUDA</t>
  </si>
  <si>
    <t>A81.0</t>
  </si>
  <si>
    <t>FIEBRE AMARILLA SELVATICA Y URBANA</t>
  </si>
  <si>
    <t>A95.0</t>
  </si>
  <si>
    <t>A95.1</t>
  </si>
  <si>
    <t>A95.9</t>
  </si>
  <si>
    <t>FIEBRE TIFOIDEA Y PARATIFOIDEA</t>
  </si>
  <si>
    <t>A01.0</t>
  </si>
  <si>
    <t>A01.1</t>
  </si>
  <si>
    <t>A01.2</t>
  </si>
  <si>
    <t>A01.3</t>
  </si>
  <si>
    <t>A01.4</t>
  </si>
  <si>
    <t>B33.4</t>
  </si>
  <si>
    <t>HANTAVIROSIS</t>
  </si>
  <si>
    <t>HEPATITIS VIRICA A</t>
  </si>
  <si>
    <t>HEPATITIS VIRICA B</t>
  </si>
  <si>
    <t>B16*</t>
  </si>
  <si>
    <t>HEPATITIS VIRICA C</t>
  </si>
  <si>
    <t>B17.1</t>
  </si>
  <si>
    <t>B55.1</t>
  </si>
  <si>
    <t>LEISHMANIASIS CUTÁNEA Y MUCOCUTANEA</t>
  </si>
  <si>
    <t>B55.2</t>
  </si>
  <si>
    <t>LEISHMANIASIS VISCERAL</t>
  </si>
  <si>
    <t>B55.0</t>
  </si>
  <si>
    <t>LEPRA</t>
  </si>
  <si>
    <t>A30*</t>
  </si>
  <si>
    <t>LEPTOSPIROSIS</t>
  </si>
  <si>
    <t>A27*</t>
  </si>
  <si>
    <t>A39*</t>
  </si>
  <si>
    <t>G00*</t>
  </si>
  <si>
    <t>MENINGOENCEFALITIS VIRALES Y NO PIÓGENA</t>
  </si>
  <si>
    <t>G03.0</t>
  </si>
  <si>
    <t>A87*</t>
  </si>
  <si>
    <t>MENINGOENCEFALITIS BACTERIANAS/TUBERCULOSA</t>
  </si>
  <si>
    <t>PALUDISMO</t>
  </si>
  <si>
    <t>PESTE</t>
  </si>
  <si>
    <t>POLIOMIELITIS</t>
  </si>
  <si>
    <t>PSITACOSIS</t>
  </si>
  <si>
    <t>A70*</t>
  </si>
  <si>
    <t>RABIA</t>
  </si>
  <si>
    <t>A82*</t>
  </si>
  <si>
    <t>ROTAVIRUS</t>
  </si>
  <si>
    <t>A08.0</t>
  </si>
  <si>
    <t>RUBEOLA CONGÉNITA</t>
  </si>
  <si>
    <t>SIFILIS</t>
  </si>
  <si>
    <t>SRAS - MERS (CORONAVIRUS)</t>
  </si>
  <si>
    <t>U04.9</t>
  </si>
  <si>
    <t>B34.2</t>
  </si>
  <si>
    <t>SINDROME UREMICO HEMOLITICO(SUH)</t>
  </si>
  <si>
    <t>A04.3</t>
  </si>
  <si>
    <t>TUBERCULOSIS</t>
  </si>
  <si>
    <t>U07*</t>
  </si>
  <si>
    <t>A15*</t>
  </si>
  <si>
    <t>A16*</t>
  </si>
  <si>
    <t>A17*</t>
  </si>
  <si>
    <t>A18*</t>
  </si>
  <si>
    <t>A19*</t>
  </si>
  <si>
    <t>VIH-SIDA</t>
  </si>
  <si>
    <t>B20*</t>
  </si>
  <si>
    <t>B21*</t>
  </si>
  <si>
    <t>B22*</t>
  </si>
  <si>
    <t>B23*</t>
  </si>
  <si>
    <t>B24</t>
  </si>
  <si>
    <t>I -Respiratorios</t>
  </si>
  <si>
    <t>Influenza y otros virus respiratorios</t>
  </si>
  <si>
    <t>Infeccion respiratoria aguda superior (IRAS)</t>
  </si>
  <si>
    <t>J02.9</t>
  </si>
  <si>
    <t>J10.1</t>
  </si>
  <si>
    <t>J11.1</t>
  </si>
  <si>
    <t>J09</t>
  </si>
  <si>
    <t>J10.0</t>
  </si>
  <si>
    <t>J11.0</t>
  </si>
  <si>
    <t>J19*</t>
  </si>
  <si>
    <t>U04*</t>
  </si>
  <si>
    <t>Enfermedad tipo influenza (ETI)</t>
  </si>
  <si>
    <t>Infeccion respiratoria aguda (IRAB) (IRAG) (IRAGi)</t>
  </si>
  <si>
    <t>Sindrome respiratorio agudo severo SARS sin especificar ag,</t>
  </si>
  <si>
    <t>SARS-CoV 2 sin agente identificado</t>
  </si>
  <si>
    <t>U07.2</t>
  </si>
  <si>
    <t>SARS-CoV 2 con agente identificado</t>
  </si>
  <si>
    <t>U07.1</t>
  </si>
  <si>
    <t>U10.9</t>
  </si>
  <si>
    <t>Tuberculosis</t>
  </si>
  <si>
    <t>Observación por sospecha de TB: sintomático respirarorio</t>
  </si>
  <si>
    <t>Z03.0</t>
  </si>
  <si>
    <t>Hemoptisis</t>
  </si>
  <si>
    <t>R04.2</t>
  </si>
  <si>
    <t>TB respiratoria CON confirmación bacteriológica o histológia</t>
  </si>
  <si>
    <t>TB respiratoria SIN confirmación bacteriológica o histológia</t>
  </si>
  <si>
    <t>TB del sistema nervioso cualquier localización</t>
  </si>
  <si>
    <t>TB de otros órganos cualquier localización</t>
  </si>
  <si>
    <t>TB miliar</t>
  </si>
  <si>
    <t>TB congénita</t>
  </si>
  <si>
    <t>P37.0</t>
  </si>
  <si>
    <t>TB co-infección con HIV</t>
  </si>
  <si>
    <t>B20.0</t>
  </si>
  <si>
    <t>TB latente</t>
  </si>
  <si>
    <t>Z22.3</t>
  </si>
  <si>
    <t>Contacto o exposición a tuberculosis</t>
  </si>
  <si>
    <t>Z20.1</t>
  </si>
  <si>
    <t>Síndrome meníngeo</t>
  </si>
  <si>
    <t>G00.9</t>
  </si>
  <si>
    <t>G04.2</t>
  </si>
  <si>
    <t>Meningitis con LCR purulento o bacteriana no clasificada</t>
  </si>
  <si>
    <t>II - Meningitis / encefalitis todas</t>
  </si>
  <si>
    <t>Meningitis/encefalitis</t>
  </si>
  <si>
    <t>III - Inmunoprevenibles</t>
  </si>
  <si>
    <t>Coqueluche/tos convulsa</t>
  </si>
  <si>
    <t>Síndrome coqueluchoide</t>
  </si>
  <si>
    <t>IV - Vectoriales</t>
  </si>
  <si>
    <t>Arbovirosis en General</t>
  </si>
  <si>
    <t>Fiebre indiferenciada por picadura de mosq. Sindrome febril</t>
  </si>
  <si>
    <t>A92.9</t>
  </si>
  <si>
    <t>V - Zoonóticos</t>
  </si>
  <si>
    <t>Brucelosis</t>
  </si>
  <si>
    <t>Brucelosis cualquier especie de Brucella sp.</t>
  </si>
  <si>
    <t>VI - Dermatológicos</t>
  </si>
  <si>
    <t>Lepra</t>
  </si>
  <si>
    <t>Zonas cutáneas de anestesia, hipoestesia o parestesia</t>
  </si>
  <si>
    <t>R20.0</t>
  </si>
  <si>
    <t>R20.1</t>
  </si>
  <si>
    <t>R20.2</t>
  </si>
  <si>
    <t>VII - Infec. de transm. sexual - hepatitis B</t>
  </si>
  <si>
    <t>Hepatitis B</t>
  </si>
  <si>
    <t>HBsAg positivo</t>
  </si>
  <si>
    <t>Z22.5</t>
  </si>
  <si>
    <t>VIII - Gastroentéricos</t>
  </si>
  <si>
    <t>Colera</t>
  </si>
  <si>
    <t>Colera no especificado</t>
  </si>
  <si>
    <t>A00.9</t>
  </si>
  <si>
    <t>IX - Eventos por animales ponzoñosos</t>
  </si>
  <si>
    <t>Envenenamiento por animales ponzoñosos</t>
  </si>
  <si>
    <t>Efecto tóxico por serpiente cualquier intencionalidad</t>
  </si>
  <si>
    <t>T63.0</t>
  </si>
  <si>
    <t>X - Intoxicaciones químicas</t>
  </si>
  <si>
    <t>Intoxicaciones por sustancias químicas</t>
  </si>
  <si>
    <t>Intoxicaciones por medicamentos</t>
  </si>
  <si>
    <t>XI - Enfermedades desconocidas</t>
  </si>
  <si>
    <t>Enfermedades desconocidas, exposiciones</t>
  </si>
  <si>
    <t>Observación por sospecha de determinadas enfermedades</t>
  </si>
  <si>
    <t>Z03.8</t>
  </si>
  <si>
    <t>XII - Brotes de cualquier etiología</t>
  </si>
  <si>
    <t>Brote de cualquier etiología bajo sospecha</t>
  </si>
  <si>
    <t>XIII - Enfermedades emergentes</t>
  </si>
  <si>
    <t>Otras enfermedades emergentes</t>
  </si>
  <si>
    <t>Enfermedad de Creutz-feldt-Jakob(Encefalopatía espongiforme)</t>
  </si>
  <si>
    <t>XIV - Infecciones atribuidas a la atención en salud</t>
  </si>
  <si>
    <t>Infecciones atribuidas a la atención de salud</t>
  </si>
  <si>
    <t>IAAS</t>
  </si>
  <si>
    <t>XV - Eventos adversos de vacunación e inmunización</t>
  </si>
  <si>
    <t>Eventos adversos atribuidos a la vacunación</t>
  </si>
  <si>
    <t>G00.0</t>
  </si>
  <si>
    <t>Meningitis por Haemophilus influenzae</t>
  </si>
  <si>
    <t>Meningitis por Streptococcus pneumoniae</t>
  </si>
  <si>
    <t>G00.1</t>
  </si>
  <si>
    <t>Meningitis y otras formas invasivas por Neisseria meningitidis</t>
  </si>
  <si>
    <t>Meningitis por otros agentes bacterianos</t>
  </si>
  <si>
    <t>G00.8</t>
  </si>
  <si>
    <t>A86*</t>
  </si>
  <si>
    <t>A87.9</t>
  </si>
  <si>
    <t>Meningitis/encefalitis a LCR claro</t>
  </si>
  <si>
    <t>Meningo_x0002_encefalitis viral con agente especificado</t>
  </si>
  <si>
    <t>A83*</t>
  </si>
  <si>
    <t>A84*</t>
  </si>
  <si>
    <t>A85*</t>
  </si>
  <si>
    <t>Meningitis por otros agentes infecciosos</t>
  </si>
  <si>
    <t>G02*</t>
  </si>
  <si>
    <t>Tos convulsa sin especificar agente</t>
  </si>
  <si>
    <t>Tos convulsa con agente identificado</t>
  </si>
  <si>
    <t>Pseudomem_x0002_branas en vías respiratorias altas</t>
  </si>
  <si>
    <t>Difteria</t>
  </si>
  <si>
    <t>Amigdalitis/faringitis/laringitis con presencia de membrana</t>
  </si>
  <si>
    <t>Difteria en cualquiera de sus formas</t>
  </si>
  <si>
    <t>Difteria sin especificar forma</t>
  </si>
  <si>
    <t>Parotiditis</t>
  </si>
  <si>
    <t>Parotiditis sin complicaciones Fiebre urliana</t>
  </si>
  <si>
    <t>Parotiditis en cualquiera de sus formas</t>
  </si>
  <si>
    <t>Poliomielitis</t>
  </si>
  <si>
    <t>Parálisis fláccida aguda en menores de 15 años</t>
  </si>
  <si>
    <t>Poliomielitis en cualquiera de sus formas y origen de virus polio</t>
  </si>
  <si>
    <t>Rubeola</t>
  </si>
  <si>
    <t>Erupciones cutáneas febril</t>
  </si>
  <si>
    <t>Sospecha de rubéola</t>
  </si>
  <si>
    <t>Rubéola en cualquiera de sus formas</t>
  </si>
  <si>
    <t>Contacto o exposición a rubéola</t>
  </si>
  <si>
    <t>Hijo de madre positiva para rubéola en periodo agudo durante el embarazo</t>
  </si>
  <si>
    <t>Sospecha de sarampión</t>
  </si>
  <si>
    <t>Sarampión en cualquiera de sus formas</t>
  </si>
  <si>
    <t>Tétanos</t>
  </si>
  <si>
    <t>Tétanos neonatal y obstétrico</t>
  </si>
  <si>
    <t>Tétanos otras edades</t>
  </si>
  <si>
    <t>Varicela en cualquiera de sus formas y sin especificar</t>
  </si>
  <si>
    <t>Erupción papulovesicular</t>
  </si>
  <si>
    <t>Fiebre no especificada / otras fiebres</t>
  </si>
  <si>
    <t>R50.8</t>
  </si>
  <si>
    <t>R50.9</t>
  </si>
  <si>
    <t>Chikungunya</t>
  </si>
  <si>
    <t>Enfermedad por virus Chikungunya (fiebre o grave)</t>
  </si>
  <si>
    <t>Dengue en cualquiera de sus formas</t>
  </si>
  <si>
    <t>Dengue sin signos de alarma (dengue clásico)</t>
  </si>
  <si>
    <t>A97.0</t>
  </si>
  <si>
    <t>Dengue con signos de alarma</t>
  </si>
  <si>
    <t>A97.1</t>
  </si>
  <si>
    <t>Dengue grave</t>
  </si>
  <si>
    <t>A97.2</t>
  </si>
  <si>
    <t>A97.9</t>
  </si>
  <si>
    <t>Dengue sin especificar cuadro clínico</t>
  </si>
  <si>
    <t>R17*</t>
  </si>
  <si>
    <t>Ictericia sin especificar(síndrome ictérico)</t>
  </si>
  <si>
    <t>Fiebre amarilla cualquier ciclo de transmisión</t>
  </si>
  <si>
    <t>Zika</t>
  </si>
  <si>
    <t>Enfermedad por virus Zika</t>
  </si>
  <si>
    <t>U06.9</t>
  </si>
  <si>
    <t>A92.5</t>
  </si>
  <si>
    <t>Síndrome neurológico asociado a virus Zika (SNaZ)</t>
  </si>
  <si>
    <t>G62.9</t>
  </si>
  <si>
    <t>G05*</t>
  </si>
  <si>
    <t>G04*</t>
  </si>
  <si>
    <t>G52*</t>
  </si>
  <si>
    <t>G53*</t>
  </si>
  <si>
    <t>Hijo de madre con infección aguda por virus zika durante el embarazo</t>
  </si>
  <si>
    <t>Z20.8</t>
  </si>
  <si>
    <t>Microcefalia</t>
  </si>
  <si>
    <t>Q02*</t>
  </si>
  <si>
    <t>P35.4</t>
  </si>
  <si>
    <t>Síndrome congénito asociado a virus zika (SCaZ)</t>
  </si>
  <si>
    <t>Chagas</t>
  </si>
  <si>
    <t>Screening para chagas en embarazadas, bancos de sangre y en &lt; de 5 años</t>
  </si>
  <si>
    <t>Z11.6</t>
  </si>
  <si>
    <t>Niño recién nacido de madre positiva</t>
  </si>
  <si>
    <t>Chagas agudo vectorial</t>
  </si>
  <si>
    <t>B57.0</t>
  </si>
  <si>
    <t>B57.1</t>
  </si>
  <si>
    <t>Chagas agudo congénito</t>
  </si>
  <si>
    <t>Chagas agudo transfusional</t>
  </si>
  <si>
    <t>Chagas agudo alimentario</t>
  </si>
  <si>
    <t>B57.2</t>
  </si>
  <si>
    <t>B57.3</t>
  </si>
  <si>
    <t>B57.4</t>
  </si>
  <si>
    <t>B57.5</t>
  </si>
  <si>
    <t>Leishmaniasis</t>
  </si>
  <si>
    <t>Leishmaniasis cutánea</t>
  </si>
  <si>
    <t>Leishmaniasis mucocutánea</t>
  </si>
  <si>
    <t>Leishmaniasis visceral</t>
  </si>
  <si>
    <t>B55.9</t>
  </si>
  <si>
    <t>Leishmaniasis, no especificada</t>
  </si>
  <si>
    <t>Malaria</t>
  </si>
  <si>
    <t xml:space="preserve">Síndrome febril intermitente o paroxístico </t>
  </si>
  <si>
    <t>Malaria por cualquier tipo de Plasmodium</t>
  </si>
  <si>
    <t>Malaria sin confirmación parasitológica</t>
  </si>
  <si>
    <t>L25*</t>
  </si>
  <si>
    <t>https://dgvs.mspbs.gov.py/files/guiaNacional/Guia_de_Vigilancia_2022_act_6_junio.pdf</t>
  </si>
  <si>
    <t>https://dgvs.mspbs.gov.py/files/guiaNacional/Guia-Vigilancia-2015.pdf</t>
  </si>
  <si>
    <t>Fiebres 
hemorrágicas 
virales</t>
  </si>
  <si>
    <t>Fiebre 
hemorrágica sin 
especificar</t>
  </si>
  <si>
    <t>A99*</t>
  </si>
  <si>
    <t>Ébola</t>
  </si>
  <si>
    <t>A98.4</t>
  </si>
  <si>
    <t>A96*</t>
  </si>
  <si>
    <t>A98*</t>
  </si>
  <si>
    <t>Otras fiebres hemorrágicas virales</t>
  </si>
  <si>
    <t>Hantavirosis</t>
  </si>
  <si>
    <t>Síndrome cardiopulmonar por hantavirus</t>
  </si>
  <si>
    <t xml:space="preserve"> Leptospirosis</t>
  </si>
  <si>
    <t>Ictericia sin especificar (síndrome ictérico)</t>
  </si>
  <si>
    <t xml:space="preserve">  Rabia</t>
  </si>
  <si>
    <t>Exposición al virus rábico silvestre o urbano</t>
  </si>
  <si>
    <t>Z20.3</t>
  </si>
  <si>
    <t>Rabia silvestre</t>
  </si>
  <si>
    <t>A82.0</t>
  </si>
  <si>
    <t>Rabia urbana</t>
  </si>
  <si>
    <t>A82.1</t>
  </si>
  <si>
    <t xml:space="preserve"> Rabia</t>
  </si>
  <si>
    <t>A82.9</t>
  </si>
  <si>
    <t>Lepra indeterminada</t>
  </si>
  <si>
    <t>A30.0</t>
  </si>
  <si>
    <t>Lepra en cualquiera de sus formas</t>
  </si>
  <si>
    <t>A30.1</t>
  </si>
  <si>
    <t>A30.2</t>
  </si>
  <si>
    <t>A30.3</t>
  </si>
  <si>
    <t>A30.4</t>
  </si>
  <si>
    <t>A30.5</t>
  </si>
  <si>
    <t>A30.8</t>
  </si>
  <si>
    <t>Lepra no especificada la forma</t>
  </si>
  <si>
    <t>A30.9</t>
  </si>
  <si>
    <t xml:space="preserve"> Hepatitis B aguda</t>
  </si>
  <si>
    <t>Hepatitis B crónica</t>
  </si>
  <si>
    <t>B18*</t>
  </si>
  <si>
    <t>Contacto o exposición a hepatitis viral</t>
  </si>
  <si>
    <t>Z20.5</t>
  </si>
  <si>
    <t>Hepatitis C</t>
  </si>
  <si>
    <t>Hepatitis C aguda</t>
  </si>
  <si>
    <t>Hepatitis C crónica</t>
  </si>
  <si>
    <t>B18.2</t>
  </si>
  <si>
    <t>Sífilis</t>
  </si>
  <si>
    <t>A53.0</t>
  </si>
  <si>
    <t>Infección debida a Treponema pallidum</t>
  </si>
  <si>
    <t>Serología positiva para sífilis</t>
  </si>
  <si>
    <t>A53.9</t>
  </si>
  <si>
    <t>A51.0</t>
  </si>
  <si>
    <t>A51.1</t>
  </si>
  <si>
    <t>A51.2</t>
  </si>
  <si>
    <t>Sífilis primaria cualquier localización</t>
  </si>
  <si>
    <t>Sífilis secundaria</t>
  </si>
  <si>
    <t>A51.3</t>
  </si>
  <si>
    <t>A51.4</t>
  </si>
  <si>
    <t>Sífilis precoz sin especificar</t>
  </si>
  <si>
    <t>A51.5</t>
  </si>
  <si>
    <t>A51.9</t>
  </si>
  <si>
    <t>Sífilis tardía cualquier especificación</t>
  </si>
  <si>
    <t>Sífilis que complica el embarazo, parto o puerperio.</t>
  </si>
  <si>
    <t>098.1</t>
  </si>
  <si>
    <t xml:space="preserve"> Recién nacido de madre positiva</t>
  </si>
  <si>
    <t>Z20.2</t>
  </si>
  <si>
    <t xml:space="preserve"> Sífilis congénita</t>
  </si>
  <si>
    <t xml:space="preserve"> Pruebas de laboratorio no concluyentes</t>
  </si>
  <si>
    <t>R75*</t>
  </si>
  <si>
    <t>Infección por VIH asintomática</t>
  </si>
  <si>
    <t>Z21*</t>
  </si>
  <si>
    <t>Enfermedad por VIH con cualquier resultante</t>
  </si>
  <si>
    <t>B24*</t>
  </si>
  <si>
    <t>Enfermedad por VIH que complica el embarazo, parto o puerperio</t>
  </si>
  <si>
    <t>O98.7</t>
  </si>
  <si>
    <t>Contacto o exposición al VIH</t>
  </si>
  <si>
    <t>Z20.6</t>
  </si>
  <si>
    <t>Recién nacido de madre VIH positivo</t>
  </si>
  <si>
    <t xml:space="preserve"> Cólera debido a Vibrio cholerae O1, biotipo cholerae</t>
  </si>
  <si>
    <t>A00.0</t>
  </si>
  <si>
    <t xml:space="preserve"> Cólera debido a Vibrio cholerae O1, biotipo El Tor</t>
  </si>
  <si>
    <t>A00.1</t>
  </si>
  <si>
    <t>Enfermedad diarreica aguda en menores de 5 años (EDA)</t>
  </si>
  <si>
    <t xml:space="preserve"> Enfermedad diarreica aguda en menores de 5 años (EDA)</t>
  </si>
  <si>
    <t>Rotavirus (enteritis por) en menores de 5 años hospitalizados</t>
  </si>
  <si>
    <t>Hepatitis aguda tipo A</t>
  </si>
  <si>
    <t>Síndrome urémico hemolítico Síndrome urémico hemolítico</t>
  </si>
  <si>
    <t>Síndrome Urémico hemolítico</t>
  </si>
  <si>
    <t>D59.3</t>
  </si>
  <si>
    <t>Síndrome Urémico hemolítico con agente identificado</t>
  </si>
  <si>
    <t xml:space="preserve"> Toxoinfecciones de transmisión alimentaria (agua y alimentos)</t>
  </si>
  <si>
    <t>A22.2</t>
  </si>
  <si>
    <t>Intoxicaciones bacterianas alimentarias otras</t>
  </si>
  <si>
    <t>Infecciones intestinales otras</t>
  </si>
  <si>
    <t>Triquinosis</t>
  </si>
  <si>
    <t>Fiebre tifoidea y paratifoidea</t>
  </si>
  <si>
    <t>Botulismo alimentario</t>
  </si>
  <si>
    <t>T60*</t>
  </si>
  <si>
    <t>T61*</t>
  </si>
  <si>
    <t>T62*</t>
  </si>
  <si>
    <t>Efecto tóxico por escorpión cualquier intencionalidad</t>
  </si>
  <si>
    <t>T63.2</t>
  </si>
  <si>
    <t>Efecto tóxico por araña cualquier intencionalidad</t>
  </si>
  <si>
    <t>T63.3</t>
  </si>
  <si>
    <t>T36*</t>
  </si>
  <si>
    <t>T37*</t>
  </si>
  <si>
    <t>T38*</t>
  </si>
  <si>
    <t>T39*</t>
  </si>
  <si>
    <t>T40*</t>
  </si>
  <si>
    <t>T41*</t>
  </si>
  <si>
    <t>T42*</t>
  </si>
  <si>
    <t>T43*</t>
  </si>
  <si>
    <t>T44*</t>
  </si>
  <si>
    <t>T45*</t>
  </si>
  <si>
    <t>T46*</t>
  </si>
  <si>
    <t>T47*</t>
  </si>
  <si>
    <t>T48*</t>
  </si>
  <si>
    <t>T50*</t>
  </si>
  <si>
    <t>T49*</t>
  </si>
  <si>
    <t>Intoxicaciones por otros químicos</t>
  </si>
  <si>
    <t>Intoxicaciones por monóxido de carbono</t>
  </si>
  <si>
    <t>T58*</t>
  </si>
  <si>
    <t>T52*</t>
  </si>
  <si>
    <t>T53*</t>
  </si>
  <si>
    <t>T54*</t>
  </si>
  <si>
    <t>T55*</t>
  </si>
  <si>
    <t>T57*</t>
  </si>
  <si>
    <t>Intoxicaciones por otros gases y vapores</t>
  </si>
  <si>
    <t>T59.0</t>
  </si>
  <si>
    <t>T59.1</t>
  </si>
  <si>
    <t>T59.2</t>
  </si>
  <si>
    <t>T59.3</t>
  </si>
  <si>
    <t>T59.4</t>
  </si>
  <si>
    <t>T59.5</t>
  </si>
  <si>
    <t>T59.6</t>
  </si>
  <si>
    <t>T59.7</t>
  </si>
  <si>
    <t>T59.8</t>
  </si>
  <si>
    <t>T59.9</t>
  </si>
  <si>
    <t>Intoxicaciones por pesticidas</t>
  </si>
  <si>
    <t>T60.1</t>
  </si>
  <si>
    <t>T60.2</t>
  </si>
  <si>
    <t>T60.3</t>
  </si>
  <si>
    <t>T60.4</t>
  </si>
  <si>
    <t>T60.5</t>
  </si>
  <si>
    <t>T60.6</t>
  </si>
  <si>
    <t>T60.7</t>
  </si>
  <si>
    <t>T60.8</t>
  </si>
  <si>
    <t>T60.9</t>
  </si>
  <si>
    <t>Contacto o exposición a enfermedades transmisibles de notificación inmediata</t>
  </si>
  <si>
    <t>Z20*</t>
  </si>
  <si>
    <t>Enfermedad desconocida</t>
  </si>
  <si>
    <t>Z03.9</t>
  </si>
  <si>
    <t>Peste (todas sus formas)</t>
  </si>
  <si>
    <t>A20.0</t>
  </si>
  <si>
    <t>A20.1</t>
  </si>
  <si>
    <t>A20.2</t>
  </si>
  <si>
    <t>A20.3</t>
  </si>
  <si>
    <t>A20.4</t>
  </si>
  <si>
    <t>A20.5</t>
  </si>
  <si>
    <t>A20.6</t>
  </si>
  <si>
    <t>A20.7</t>
  </si>
  <si>
    <t>A20.8</t>
  </si>
  <si>
    <t>A20.9</t>
  </si>
  <si>
    <t>Virus de Nilo Occidental (fiebre)</t>
  </si>
  <si>
    <t>A92.3</t>
  </si>
  <si>
    <t>Viruela</t>
  </si>
  <si>
    <t>B03*</t>
  </si>
  <si>
    <t>Estos CIE-10 se extrajeron de la Guia Nacional de Vigilancia 2022. Pag. 27 al 41.</t>
  </si>
  <si>
    <t>Estos CIE-10 se extrajeron de la Guia Nacional de Vigilancia 2015. Pag. 32 al 290.</t>
  </si>
  <si>
    <t>B08.4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</si>
</sst>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3C0A]General"/>
    <numFmt numFmtId="165" formatCode="dd/mm/yyyy;@"/>
  </numFmts>
  <fonts count="34">
    <font>
      <sz val="11"/>
      <color theme="1"/>
      <name val="Calibri"/>
      <family val="2"/>
      <scheme val="minor"/>
    </font>
    <font>
      <b/>
      <sz val="12"/>
      <color theme="1"/>
      <name val="Times News Roman"/>
      <family val="2"/>
    </font>
    <font>
      <sz val="11"/>
      <color theme="1"/>
      <name val="Calibri"/>
      <family val="2"/>
    </font>
    <font>
      <sz val="11"/>
      <color rgb="FF00610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3"/>
      <color theme="3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0"/>
      <color rgb="FF000000"/>
      <name val="Arial1"/>
    </font>
    <font>
      <b/>
      <sz val="10"/>
      <color rgb="FF000000"/>
      <name val="Arial Black"/>
      <family val="2"/>
    </font>
    <font>
      <sz val="9"/>
      <color rgb="FF000000"/>
      <name val="Arial1"/>
    </font>
    <font>
      <b/>
      <sz val="9"/>
      <color rgb="FF000000"/>
      <name val="Arial1"/>
    </font>
    <font>
      <sz val="9"/>
      <color rgb="FF000000"/>
      <name val="Calibri"/>
      <family val="2"/>
    </font>
    <font>
      <sz val="8"/>
      <color rgb="FF000000"/>
      <name val="Arial1"/>
    </font>
    <font>
      <b/>
      <sz val="8"/>
      <color rgb="FF000000"/>
      <name val="Arial1"/>
    </font>
    <font>
      <b/>
      <sz val="7"/>
      <color rgb="FF000000"/>
      <name val="Arial1"/>
    </font>
    <font>
      <sz val="11"/>
      <color rgb="FF000000"/>
      <name val="Arial"/>
      <family val="2"/>
    </font>
    <font>
      <sz val="8"/>
      <color rgb="FF000000"/>
      <name val="Arial"/>
      <family val="2"/>
    </font>
    <font>
      <sz val="8"/>
      <color rgb="FF000000"/>
      <name val="Calibri"/>
      <family val="2"/>
    </font>
    <font>
      <sz val="10"/>
      <color rgb="FF000000"/>
      <name val="Calibri"/>
      <family val="2"/>
    </font>
    <font>
      <sz val="8"/>
      <color rgb="FFAFABAB"/>
      <name val="Arial1"/>
    </font>
    <font>
      <sz val="12"/>
      <color rgb="FF006100"/>
      <name val="Calibri"/>
      <family val="2"/>
      <scheme val="minor"/>
    </font>
    <font>
      <sz val="14"/>
      <color rgb="FF006100"/>
      <name val="Calibri"/>
      <family val="2"/>
      <scheme val="minor"/>
    </font>
    <font>
      <b/>
      <sz val="10"/>
      <color theme="3" tint="-0.249977111117893"/>
      <name val="Calibri"/>
      <family val="2"/>
      <scheme val="minor"/>
    </font>
    <font>
      <sz val="18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11"/>
      <color theme="3"/>
      <name val="Calibri"/>
      <family val="2"/>
      <scheme val="minor"/>
    </font>
    <font>
      <b/>
      <sz val="12"/>
      <color theme="3"/>
      <name val="Calibri"/>
      <family val="2"/>
      <scheme val="minor"/>
    </font>
    <font>
      <sz val="8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7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2F2F2"/>
      </patternFill>
    </fill>
  </fills>
  <borders count="5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/>
      <top style="thin">
        <color rgb="FF3F3F3F"/>
      </top>
      <bottom style="thin">
        <color rgb="FF7F7F7F"/>
      </bottom>
      <diagonal/>
    </border>
    <border>
      <left/>
      <right/>
      <top style="thin">
        <color rgb="FF3F3F3F"/>
      </top>
      <bottom style="thin">
        <color rgb="FF7F7F7F"/>
      </bottom>
      <diagonal/>
    </border>
    <border>
      <left/>
      <right style="thin">
        <color rgb="FF7F7F7F"/>
      </right>
      <top style="thin">
        <color rgb="FF3F3F3F"/>
      </top>
      <bottom style="thin">
        <color rgb="FF7F7F7F"/>
      </bottom>
      <diagonal/>
    </border>
    <border>
      <left style="thin">
        <color rgb="FF3F3F3F"/>
      </left>
      <right/>
      <top style="thick">
        <color theme="4"/>
      </top>
      <bottom style="thin">
        <color rgb="FF3F3F3F"/>
      </bottom>
      <diagonal/>
    </border>
    <border>
      <left/>
      <right/>
      <top style="thick">
        <color theme="4"/>
      </top>
      <bottom style="thin">
        <color rgb="FF3F3F3F"/>
      </bottom>
      <diagonal/>
    </border>
    <border>
      <left/>
      <right style="thin">
        <color rgb="FF3F3F3F"/>
      </right>
      <top style="thick">
        <color theme="4"/>
      </top>
      <bottom style="thin">
        <color rgb="FF3F3F3F"/>
      </bottom>
      <diagonal/>
    </border>
  </borders>
  <cellStyleXfs count="16">
    <xf numFmtId="0" fontId="0" fillId="0" borderId="1"/>
    <xf numFmtId="0" fontId="3" fillId="2" borderId="1"/>
    <xf numFmtId="0" fontId="5" fillId="0" borderId="1"/>
    <xf numFmtId="0" fontId="6" fillId="0" borderId="2"/>
    <xf numFmtId="0" fontId="4" fillId="3" borderId="1"/>
    <xf numFmtId="0" fontId="4" fillId="4" borderId="1"/>
    <xf numFmtId="0" fontId="4" fillId="5" borderId="1"/>
    <xf numFmtId="0" fontId="7" fillId="6" borderId="1"/>
    <xf numFmtId="164" fontId="8" fillId="0" borderId="1">
      <alignment vertical="center"/>
    </xf>
    <xf numFmtId="0" fontId="17" fillId="0" borderId="1"/>
    <xf numFmtId="9" fontId="17" fillId="0" borderId="1"/>
    <xf numFmtId="0" fontId="27" fillId="0" borderId="0" applyNumberFormat="0" applyFill="0" applyBorder="0" applyAlignment="0" applyProtection="0"/>
    <xf numFmtId="0" fontId="30" fillId="0" borderId="47" applyNumberFormat="0" applyFill="0" applyAlignment="0" applyProtection="0"/>
    <xf numFmtId="0" fontId="31" fillId="10" borderId="49" applyNumberFormat="0" applyAlignment="0" applyProtection="0"/>
    <xf numFmtId="0" fontId="32" fillId="10" borderId="48" applyNumberFormat="0" applyAlignment="0" applyProtection="0"/>
    <xf numFmtId="0" fontId="33" fillId="0" borderId="1" applyNumberFormat="0" applyFill="0" applyBorder="0" applyAlignment="0" applyProtection="0"/>
  </cellStyleXfs>
  <cellXfs count="157">
    <xf numFmtId="0" fontId="0" fillId="0" borderId="0" xfId="0" applyBorder="1"/>
    <xf numFmtId="0" fontId="0" fillId="0" borderId="0" xfId="0" pivotButton="1" applyBorder="1"/>
    <xf numFmtId="0" fontId="0" fillId="0" borderId="1" xfId="0"/>
    <xf numFmtId="0" fontId="0" fillId="0" borderId="0" xfId="0" applyBorder="1" applyAlignment="1">
      <alignment horizontal="center"/>
    </xf>
    <xf numFmtId="0" fontId="4" fillId="4" borderId="0" xfId="5" applyBorder="1"/>
    <xf numFmtId="0" fontId="4" fillId="5" borderId="0" xfId="6" applyBorder="1"/>
    <xf numFmtId="0" fontId="4" fillId="3" borderId="0" xfId="4" applyBorder="1"/>
    <xf numFmtId="0" fontId="4" fillId="5" borderId="1" xfId="6"/>
    <xf numFmtId="0" fontId="0" fillId="0" borderId="1" xfId="0" applyAlignment="1">
      <alignment horizontal="center"/>
    </xf>
    <xf numFmtId="0" fontId="4" fillId="5" borderId="1" xfId="6" applyAlignment="1">
      <alignment horizontal="center"/>
    </xf>
    <xf numFmtId="0" fontId="7" fillId="6" borderId="1" xfId="7" applyAlignment="1">
      <alignment horizontal="center"/>
    </xf>
    <xf numFmtId="0" fontId="2" fillId="0" borderId="1" xfId="0" applyFont="1" applyAlignment="1">
      <alignment horizontal="center"/>
    </xf>
    <xf numFmtId="164" fontId="11" fillId="8" borderId="1" xfId="8" applyFont="1" applyFill="1" applyAlignment="1">
      <alignment horizontal="left"/>
    </xf>
    <xf numFmtId="164" fontId="11" fillId="8" borderId="1" xfId="8" applyFont="1" applyFill="1">
      <alignment vertical="center"/>
    </xf>
    <xf numFmtId="164" fontId="11" fillId="8" borderId="1" xfId="8" applyFont="1" applyFill="1" applyAlignment="1"/>
    <xf numFmtId="164" fontId="12" fillId="8" borderId="1" xfId="8" applyFont="1" applyFill="1" applyAlignment="1">
      <alignment horizontal="center" vertical="center"/>
    </xf>
    <xf numFmtId="164" fontId="12" fillId="8" borderId="5" xfId="8" applyFont="1" applyFill="1" applyBorder="1" applyAlignment="1">
      <alignment horizontal="center" vertical="center"/>
    </xf>
    <xf numFmtId="164" fontId="13" fillId="8" borderId="1" xfId="8" applyFont="1" applyFill="1">
      <alignment vertical="center"/>
    </xf>
    <xf numFmtId="165" fontId="11" fillId="8" borderId="1" xfId="8" applyNumberFormat="1" applyFont="1" applyFill="1" applyAlignment="1">
      <alignment horizontal="right" vertical="center"/>
    </xf>
    <xf numFmtId="164" fontId="11" fillId="8" borderId="1" xfId="8" applyFont="1" applyFill="1" applyAlignment="1">
      <alignment horizontal="left" vertical="center"/>
    </xf>
    <xf numFmtId="164" fontId="13" fillId="8" borderId="1" xfId="8" applyFont="1" applyFill="1" applyAlignment="1"/>
    <xf numFmtId="164" fontId="11" fillId="8" borderId="1" xfId="8" applyFont="1" applyFill="1" applyAlignment="1">
      <alignment horizontal="right" vertical="center"/>
    </xf>
    <xf numFmtId="164" fontId="14" fillId="8" borderId="1" xfId="8" applyFont="1" applyFill="1">
      <alignment vertical="center"/>
    </xf>
    <xf numFmtId="164" fontId="15" fillId="0" borderId="11" xfId="8" applyFont="1" applyBorder="1" applyAlignment="1">
      <alignment horizontal="left" vertical="center"/>
    </xf>
    <xf numFmtId="164" fontId="16" fillId="0" borderId="11" xfId="8" applyFont="1" applyBorder="1" applyAlignment="1">
      <alignment horizontal="center" vertical="center" wrapText="1"/>
    </xf>
    <xf numFmtId="164" fontId="16" fillId="0" borderId="12" xfId="8" applyFont="1" applyBorder="1" applyAlignment="1">
      <alignment horizontal="center" vertical="center" wrapText="1"/>
    </xf>
    <xf numFmtId="164" fontId="15" fillId="0" borderId="11" xfId="8" applyFont="1" applyBorder="1" applyAlignment="1">
      <alignment horizontal="center" vertical="center" wrapText="1"/>
    </xf>
    <xf numFmtId="164" fontId="15" fillId="0" borderId="12" xfId="8" applyFont="1" applyBorder="1" applyAlignment="1">
      <alignment horizontal="center" vertical="center"/>
    </xf>
    <xf numFmtId="164" fontId="14" fillId="0" borderId="15" xfId="8" applyFont="1" applyBorder="1" applyAlignment="1">
      <alignment horizontal="left" vertical="center" wrapText="1"/>
    </xf>
    <xf numFmtId="164" fontId="14" fillId="0" borderId="15" xfId="8" applyFont="1" applyBorder="1" applyAlignment="1">
      <alignment horizontal="center" vertical="center"/>
    </xf>
    <xf numFmtId="164" fontId="17" fillId="0" borderId="15" xfId="8" applyFont="1" applyBorder="1" applyAlignment="1">
      <alignment horizontal="center" vertical="center" wrapText="1"/>
    </xf>
    <xf numFmtId="164" fontId="17" fillId="0" borderId="17" xfId="8" applyFont="1" applyBorder="1" applyAlignment="1">
      <alignment horizontal="center" vertical="center"/>
    </xf>
    <xf numFmtId="0" fontId="4" fillId="4" borderId="1" xfId="5"/>
    <xf numFmtId="164" fontId="14" fillId="0" borderId="15" xfId="8" applyFont="1" applyBorder="1" applyAlignment="1">
      <alignment horizontal="left" vertical="center"/>
    </xf>
    <xf numFmtId="164" fontId="17" fillId="0" borderId="15" xfId="8" applyFont="1" applyBorder="1" applyAlignment="1">
      <alignment horizontal="center" vertical="center"/>
    </xf>
    <xf numFmtId="164" fontId="14" fillId="0" borderId="22" xfId="8" applyFont="1" applyBorder="1">
      <alignment vertical="center"/>
    </xf>
    <xf numFmtId="164" fontId="14" fillId="0" borderId="22" xfId="8" applyFont="1" applyBorder="1" applyAlignment="1">
      <alignment horizontal="center" vertical="center"/>
    </xf>
    <xf numFmtId="164" fontId="17" fillId="0" borderId="22" xfId="8" applyFont="1" applyBorder="1" applyAlignment="1">
      <alignment horizontal="center" vertical="center"/>
    </xf>
    <xf numFmtId="164" fontId="11" fillId="0" borderId="22" xfId="8" applyFont="1" applyBorder="1" applyAlignment="1">
      <alignment horizontal="center" vertical="center" wrapText="1"/>
    </xf>
    <xf numFmtId="164" fontId="17" fillId="0" borderId="23" xfId="8" applyFont="1" applyBorder="1" applyAlignment="1">
      <alignment horizontal="center" vertical="center"/>
    </xf>
    <xf numFmtId="164" fontId="14" fillId="0" borderId="15" xfId="8" applyFont="1" applyBorder="1" applyAlignment="1">
      <alignment horizontal="center" vertical="center" wrapText="1"/>
    </xf>
    <xf numFmtId="164" fontId="14" fillId="0" borderId="29" xfId="8" applyFont="1" applyBorder="1" applyAlignment="1">
      <alignment horizontal="center" vertical="center" wrapText="1"/>
    </xf>
    <xf numFmtId="164" fontId="17" fillId="0" borderId="31" xfId="8" applyFont="1" applyBorder="1" applyAlignment="1">
      <alignment horizontal="center" vertical="center"/>
    </xf>
    <xf numFmtId="164" fontId="14" fillId="0" borderId="16" xfId="8" applyFont="1" applyBorder="1" applyAlignment="1">
      <alignment horizontal="center" vertical="center" wrapText="1"/>
    </xf>
    <xf numFmtId="49" fontId="14" fillId="0" borderId="15" xfId="10" applyNumberFormat="1" applyFont="1" applyBorder="1" applyAlignment="1">
      <alignment horizontal="center" vertical="center"/>
    </xf>
    <xf numFmtId="49" fontId="14" fillId="0" borderId="15" xfId="8" applyNumberFormat="1" applyFont="1" applyBorder="1" applyAlignment="1">
      <alignment horizontal="center" vertical="center"/>
    </xf>
    <xf numFmtId="164" fontId="17" fillId="0" borderId="16" xfId="8" applyFont="1" applyBorder="1" applyAlignment="1">
      <alignment horizontal="center" vertical="center"/>
    </xf>
    <xf numFmtId="164" fontId="17" fillId="0" borderId="30" xfId="8" applyFont="1" applyBorder="1" applyAlignment="1">
      <alignment horizontal="center" vertical="center"/>
    </xf>
    <xf numFmtId="164" fontId="18" fillId="8" borderId="1" xfId="8" applyFont="1" applyFill="1" applyAlignment="1"/>
    <xf numFmtId="164" fontId="18" fillId="8" borderId="1" xfId="8" applyFont="1" applyFill="1">
      <alignment vertical="center"/>
    </xf>
    <xf numFmtId="164" fontId="8" fillId="8" borderId="1" xfId="8" applyFill="1">
      <alignment vertical="center"/>
    </xf>
    <xf numFmtId="164" fontId="0" fillId="8" borderId="1" xfId="8" applyFont="1" applyFill="1">
      <alignment vertical="center"/>
    </xf>
    <xf numFmtId="164" fontId="19" fillId="8" borderId="1" xfId="8" applyFont="1" applyFill="1">
      <alignment vertical="center"/>
    </xf>
    <xf numFmtId="164" fontId="20" fillId="8" borderId="1" xfId="8" applyFont="1" applyFill="1">
      <alignment vertical="center"/>
    </xf>
    <xf numFmtId="164" fontId="18" fillId="8" borderId="1" xfId="8" applyFont="1" applyFill="1" applyAlignment="1">
      <alignment horizontal="right" vertical="center"/>
    </xf>
    <xf numFmtId="164" fontId="13" fillId="8" borderId="35" xfId="8" applyFont="1" applyFill="1" applyBorder="1" applyAlignment="1">
      <alignment horizontal="left" vertical="center"/>
    </xf>
    <xf numFmtId="164" fontId="20" fillId="8" borderId="1" xfId="8" applyFont="1" applyFill="1" applyAlignment="1">
      <alignment horizontal="left" vertical="center" wrapText="1"/>
    </xf>
    <xf numFmtId="164" fontId="20" fillId="8" borderId="1" xfId="8" applyFont="1" applyFill="1" applyAlignment="1">
      <alignment horizontal="left" vertical="center"/>
    </xf>
    <xf numFmtId="164" fontId="13" fillId="8" borderId="1" xfId="8" applyFont="1" applyFill="1" applyAlignment="1">
      <alignment horizontal="center" vertical="center"/>
    </xf>
    <xf numFmtId="164" fontId="13" fillId="8" borderId="1" xfId="8" applyFont="1" applyFill="1" applyAlignment="1">
      <alignment horizontal="left" vertical="top" wrapText="1"/>
    </xf>
    <xf numFmtId="164" fontId="13" fillId="8" borderId="1" xfId="8" applyFont="1" applyFill="1" applyAlignment="1">
      <alignment vertical="center" wrapText="1"/>
    </xf>
    <xf numFmtId="164" fontId="19" fillId="8" borderId="1" xfId="8" applyFont="1" applyFill="1" applyAlignment="1">
      <alignment horizontal="center" vertical="center"/>
    </xf>
    <xf numFmtId="164" fontId="18" fillId="8" borderId="1" xfId="8" applyFont="1" applyFill="1" applyAlignment="1">
      <alignment horizontal="center" vertical="center"/>
    </xf>
    <xf numFmtId="164" fontId="21" fillId="8" borderId="1" xfId="8" applyFont="1" applyFill="1" applyAlignment="1">
      <alignment horizontal="center" vertical="center"/>
    </xf>
    <xf numFmtId="164" fontId="19" fillId="8" borderId="1" xfId="8" applyFont="1" applyFill="1" applyAlignment="1">
      <alignment horizontal="left" vertical="top"/>
    </xf>
    <xf numFmtId="0" fontId="4" fillId="0" borderId="1" xfId="5" applyFill="1"/>
    <xf numFmtId="0" fontId="4" fillId="0" borderId="1" xfId="6" applyFill="1" applyAlignment="1">
      <alignment horizontal="center"/>
    </xf>
    <xf numFmtId="0" fontId="0" fillId="9" borderId="1" xfId="0" applyFill="1" applyAlignment="1">
      <alignment horizontal="center"/>
    </xf>
    <xf numFmtId="0" fontId="25" fillId="0" borderId="1" xfId="0" applyFont="1" applyAlignment="1">
      <alignment horizontal="center" vertical="center" wrapText="1"/>
    </xf>
    <xf numFmtId="0" fontId="5" fillId="0" borderId="1" xfId="2" applyAlignment="1">
      <alignment vertical="center"/>
    </xf>
    <xf numFmtId="0" fontId="25" fillId="0" borderId="1" xfId="0" applyFont="1" applyAlignment="1">
      <alignment vertical="top" wrapText="1"/>
    </xf>
    <xf numFmtId="14" fontId="2" fillId="0" borderId="1" xfId="0" applyNumberFormat="1" applyFont="1" applyAlignment="1">
      <alignment horizontal="center"/>
    </xf>
    <xf numFmtId="14" fontId="0" fillId="0" borderId="0" xfId="0" applyNumberFormat="1" applyBorder="1"/>
    <xf numFmtId="14" fontId="0" fillId="0" borderId="1" xfId="0" applyNumberFormat="1"/>
    <xf numFmtId="0" fontId="25" fillId="0" borderId="0" xfId="0" applyFont="1" applyBorder="1" applyAlignment="1">
      <alignment vertical="top" wrapText="1"/>
    </xf>
    <xf numFmtId="0" fontId="1" fillId="0" borderId="42" xfId="0" applyFont="1" applyBorder="1" applyAlignment="1">
      <alignment horizontal="center"/>
    </xf>
    <xf numFmtId="0" fontId="0" fillId="0" borderId="4" xfId="0" applyBorder="1"/>
    <xf numFmtId="0" fontId="0" fillId="0" borderId="3" xfId="0" applyBorder="1"/>
    <xf numFmtId="0" fontId="23" fillId="2" borderId="1" xfId="1" applyFont="1" applyAlignment="1">
      <alignment horizontal="center" vertical="center" wrapText="1"/>
    </xf>
    <xf numFmtId="0" fontId="0" fillId="0" borderId="1" xfId="0"/>
    <xf numFmtId="0" fontId="6" fillId="0" borderId="2" xfId="3" applyAlignment="1">
      <alignment horizontal="center"/>
    </xf>
    <xf numFmtId="0" fontId="0" fillId="0" borderId="2" xfId="0" applyBorder="1"/>
    <xf numFmtId="0" fontId="6" fillId="0" borderId="2" xfId="3" applyAlignment="1">
      <alignment horizontal="right"/>
    </xf>
    <xf numFmtId="0" fontId="5" fillId="0" borderId="1" xfId="2" applyAlignment="1">
      <alignment horizontal="center" vertical="center"/>
    </xf>
    <xf numFmtId="0" fontId="25" fillId="0" borderId="1" xfId="0" applyFont="1" applyAlignment="1">
      <alignment horizontal="center" vertical="center" wrapText="1"/>
    </xf>
    <xf numFmtId="0" fontId="0" fillId="0" borderId="0" xfId="0" applyBorder="1"/>
    <xf numFmtId="0" fontId="24" fillId="0" borderId="1" xfId="3" applyFont="1" applyBorder="1" applyAlignment="1">
      <alignment horizontal="center" vertical="top"/>
    </xf>
    <xf numFmtId="0" fontId="6" fillId="0" borderId="2" xfId="3" applyAlignment="1">
      <alignment horizontal="left"/>
    </xf>
    <xf numFmtId="164" fontId="14" fillId="0" borderId="9" xfId="8" applyFont="1" applyBorder="1" applyAlignment="1">
      <alignment horizontal="left" vertical="center" wrapText="1"/>
    </xf>
    <xf numFmtId="0" fontId="0" fillId="0" borderId="10" xfId="0" applyBorder="1"/>
    <xf numFmtId="0" fontId="0" fillId="0" borderId="14" xfId="0" applyBorder="1"/>
    <xf numFmtId="0" fontId="0" fillId="0" borderId="19" xfId="0" applyBorder="1"/>
    <xf numFmtId="0" fontId="0" fillId="0" borderId="13" xfId="0" applyBorder="1"/>
    <xf numFmtId="164" fontId="10" fillId="7" borderId="1" xfId="8" applyFont="1" applyFill="1" applyAlignment="1">
      <alignment horizontal="center" vertical="center"/>
    </xf>
    <xf numFmtId="164" fontId="17" fillId="0" borderId="17" xfId="8" applyFont="1" applyBorder="1" applyAlignment="1">
      <alignment horizontal="center" vertical="center"/>
    </xf>
    <xf numFmtId="0" fontId="0" fillId="0" borderId="12" xfId="0" applyBorder="1"/>
    <xf numFmtId="164" fontId="14" fillId="0" borderId="15" xfId="8" applyFont="1" applyBorder="1" applyAlignment="1">
      <alignment horizontal="left" vertical="center" wrapText="1"/>
    </xf>
    <xf numFmtId="0" fontId="0" fillId="0" borderId="16" xfId="0" applyBorder="1"/>
    <xf numFmtId="164" fontId="12" fillId="7" borderId="6" xfId="8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164" fontId="14" fillId="0" borderId="15" xfId="8" applyFont="1" applyBorder="1" applyAlignment="1">
      <alignment horizontal="center" vertical="center"/>
    </xf>
    <xf numFmtId="0" fontId="0" fillId="0" borderId="11" xfId="0" applyBorder="1"/>
    <xf numFmtId="164" fontId="14" fillId="0" borderId="41" xfId="8" applyFont="1" applyBorder="1" applyAlignment="1">
      <alignment horizontal="left" vertical="center" wrapText="1"/>
    </xf>
    <xf numFmtId="164" fontId="14" fillId="0" borderId="15" xfId="8" applyFont="1" applyBorder="1" applyAlignment="1">
      <alignment horizontal="center" vertical="center" wrapText="1"/>
    </xf>
    <xf numFmtId="0" fontId="0" fillId="0" borderId="25" xfId="0" applyBorder="1"/>
    <xf numFmtId="164" fontId="15" fillId="0" borderId="33" xfId="8" applyFont="1" applyBorder="1" applyAlignment="1">
      <alignment horizontal="center" vertical="center"/>
    </xf>
    <xf numFmtId="0" fontId="0" fillId="0" borderId="34" xfId="0" applyBorder="1"/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17" fillId="0" borderId="15" xfId="9" applyBorder="1" applyAlignment="1">
      <alignment horizontal="center" vertical="center"/>
    </xf>
    <xf numFmtId="164" fontId="17" fillId="0" borderId="15" xfId="8" applyFont="1" applyBorder="1" applyAlignment="1">
      <alignment horizontal="center" vertical="center"/>
    </xf>
    <xf numFmtId="164" fontId="14" fillId="0" borderId="29" xfId="8" applyFont="1" applyBorder="1" applyAlignment="1">
      <alignment horizontal="left" vertical="center"/>
    </xf>
    <xf numFmtId="0" fontId="0" fillId="0" borderId="30" xfId="0" applyBorder="1"/>
    <xf numFmtId="164" fontId="14" fillId="0" borderId="42" xfId="8" applyFont="1" applyBorder="1" applyAlignment="1">
      <alignment horizontal="center" vertical="center" wrapText="1"/>
    </xf>
    <xf numFmtId="164" fontId="15" fillId="0" borderId="11" xfId="8" applyFont="1" applyBorder="1" applyAlignment="1">
      <alignment horizontal="center" vertical="center"/>
    </xf>
    <xf numFmtId="164" fontId="12" fillId="7" borderId="6" xfId="8" applyFont="1" applyFill="1" applyBorder="1" applyAlignment="1">
      <alignment horizontal="center" vertical="center"/>
    </xf>
    <xf numFmtId="164" fontId="15" fillId="0" borderId="32" xfId="8" applyFont="1" applyBorder="1" applyAlignment="1">
      <alignment horizontal="center" vertical="center" wrapText="1"/>
    </xf>
    <xf numFmtId="0" fontId="0" fillId="0" borderId="36" xfId="0" applyBorder="1"/>
    <xf numFmtId="0" fontId="0" fillId="0" borderId="37" xfId="0" applyBorder="1"/>
    <xf numFmtId="164" fontId="15" fillId="0" borderId="13" xfId="8" applyFont="1" applyBorder="1" applyAlignment="1">
      <alignment horizontal="center" vertical="center" wrapText="1"/>
    </xf>
    <xf numFmtId="0" fontId="0" fillId="0" borderId="35" xfId="0" applyBorder="1"/>
    <xf numFmtId="164" fontId="14" fillId="0" borderId="15" xfId="8" applyFont="1" applyBorder="1" applyAlignment="1">
      <alignment horizontal="left" vertical="center"/>
    </xf>
    <xf numFmtId="0" fontId="0" fillId="0" borderId="18" xfId="0" applyBorder="1"/>
    <xf numFmtId="0" fontId="0" fillId="0" borderId="20" xfId="0" applyBorder="1"/>
    <xf numFmtId="164" fontId="14" fillId="0" borderId="15" xfId="8" applyFont="1" applyBorder="1" applyAlignment="1">
      <alignment horizontal="left" vertical="top" wrapText="1"/>
    </xf>
    <xf numFmtId="0" fontId="0" fillId="0" borderId="24" xfId="0" applyBorder="1"/>
    <xf numFmtId="164" fontId="14" fillId="0" borderId="43" xfId="8" applyFont="1" applyBorder="1" applyAlignment="1">
      <alignment horizontal="left" vertical="center" wrapText="1"/>
    </xf>
    <xf numFmtId="0" fontId="0" fillId="0" borderId="44" xfId="0" applyBorder="1"/>
    <xf numFmtId="164" fontId="14" fillId="0" borderId="42" xfId="8" applyFont="1" applyBorder="1" applyAlignment="1">
      <alignment horizontal="center" vertical="center"/>
    </xf>
    <xf numFmtId="164" fontId="14" fillId="0" borderId="21" xfId="8" applyFont="1" applyBorder="1" applyAlignment="1">
      <alignment horizontal="left" vertical="center" wrapText="1"/>
    </xf>
    <xf numFmtId="0" fontId="0" fillId="0" borderId="27" xfId="0" applyBorder="1"/>
    <xf numFmtId="0" fontId="0" fillId="0" borderId="28" xfId="0" applyBorder="1"/>
    <xf numFmtId="164" fontId="15" fillId="0" borderId="12" xfId="8" applyFont="1" applyBorder="1" applyAlignment="1">
      <alignment horizontal="center" vertical="center"/>
    </xf>
    <xf numFmtId="0" fontId="18" fillId="8" borderId="1" xfId="9" applyFont="1" applyFill="1" applyAlignment="1">
      <alignment horizontal="right" wrapText="1"/>
    </xf>
    <xf numFmtId="0" fontId="0" fillId="0" borderId="26" xfId="0" applyBorder="1"/>
    <xf numFmtId="0" fontId="22" fillId="2" borderId="1" xfId="1" applyFont="1" applyAlignment="1">
      <alignment horizontal="center" vertical="center"/>
    </xf>
    <xf numFmtId="164" fontId="9" fillId="7" borderId="1" xfId="8" applyFont="1" applyFill="1" applyAlignment="1">
      <alignment horizontal="center" vertical="center"/>
    </xf>
    <xf numFmtId="164" fontId="14" fillId="0" borderId="45" xfId="8" applyFont="1" applyBorder="1" applyAlignment="1">
      <alignment horizontal="center" vertical="center" wrapText="1"/>
    </xf>
    <xf numFmtId="0" fontId="0" fillId="0" borderId="46" xfId="0" applyBorder="1"/>
    <xf numFmtId="0" fontId="33" fillId="0" borderId="0" xfId="15" applyBorder="1" applyAlignment="1">
      <alignment horizontal="center" vertical="top" wrapText="1"/>
    </xf>
    <xf numFmtId="0" fontId="25" fillId="0" borderId="0" xfId="0" applyFont="1" applyBorder="1" applyAlignment="1">
      <alignment horizontal="center" vertical="top" wrapText="1"/>
    </xf>
    <xf numFmtId="0" fontId="25" fillId="0" borderId="1" xfId="0" applyFont="1" applyAlignment="1">
      <alignment horizontal="center" vertical="top" wrapText="1"/>
    </xf>
    <xf numFmtId="0" fontId="28" fillId="0" borderId="2" xfId="3" applyFont="1" applyAlignment="1">
      <alignment horizontal="center"/>
    </xf>
    <xf numFmtId="0" fontId="27" fillId="0" borderId="1" xfId="11" applyBorder="1" applyAlignment="1">
      <alignment horizontal="center" wrapText="1"/>
    </xf>
    <xf numFmtId="0" fontId="32" fillId="10" borderId="50" xfId="14" applyBorder="1" applyAlignment="1">
      <alignment horizontal="center"/>
    </xf>
    <xf numFmtId="0" fontId="32" fillId="10" borderId="51" xfId="14" applyBorder="1" applyAlignment="1">
      <alignment horizontal="center"/>
    </xf>
    <xf numFmtId="0" fontId="32" fillId="10" borderId="52" xfId="14" applyBorder="1" applyAlignment="1">
      <alignment horizontal="center"/>
    </xf>
    <xf numFmtId="0" fontId="32" fillId="10" borderId="48" xfId="14" applyAlignment="1">
      <alignment horizontal="center" wrapText="1"/>
    </xf>
    <xf numFmtId="0" fontId="32" fillId="10" borderId="48" xfId="14" applyAlignment="1">
      <alignment horizontal="center"/>
    </xf>
    <xf numFmtId="0" fontId="31" fillId="10" borderId="49" xfId="13" applyAlignment="1">
      <alignment horizontal="center"/>
    </xf>
    <xf numFmtId="0" fontId="30" fillId="0" borderId="47" xfId="12" applyAlignment="1">
      <alignment horizontal="center"/>
    </xf>
    <xf numFmtId="0" fontId="31" fillId="10" borderId="49" xfId="13" applyAlignment="1">
      <alignment horizontal="center" wrapText="1"/>
    </xf>
    <xf numFmtId="0" fontId="31" fillId="10" borderId="53" xfId="13" applyBorder="1" applyAlignment="1">
      <alignment horizontal="center"/>
    </xf>
    <xf numFmtId="0" fontId="31" fillId="10" borderId="54" xfId="13" applyBorder="1" applyAlignment="1">
      <alignment horizontal="center"/>
    </xf>
    <xf numFmtId="0" fontId="31" fillId="10" borderId="55" xfId="13" applyBorder="1" applyAlignment="1">
      <alignment horizontal="center"/>
    </xf>
  </cellXfs>
  <cellStyles count="16">
    <cellStyle name="20% - Énfasis4" xfId="5" builtinId="42"/>
    <cellStyle name="40% - Énfasis6" xfId="6" builtinId="51"/>
    <cellStyle name="60% - Énfasis3" xfId="4" builtinId="40"/>
    <cellStyle name="Bueno" xfId="1" builtinId="26"/>
    <cellStyle name="Cálculo" xfId="14" builtinId="22"/>
    <cellStyle name="Encabezado 1" xfId="12" builtinId="16"/>
    <cellStyle name="Encabezado 4" xfId="11" builtinId="19"/>
    <cellStyle name="Énfasis4" xfId="7" builtinId="41"/>
    <cellStyle name="Excel Built-in Normal" xfId="8" xr:uid="{00000000-0005-0000-0000-000008000000}"/>
    <cellStyle name="Hipervínculo" xfId="15" builtinId="8"/>
    <cellStyle name="Normal" xfId="0" builtinId="0"/>
    <cellStyle name="Normal 3" xfId="9" xr:uid="{00000000-0005-0000-0000-000009000000}"/>
    <cellStyle name="Porcentaje 2" xfId="10" xr:uid="{00000000-0005-0000-0000-00000A000000}"/>
    <cellStyle name="Salida" xfId="13" builtinId="21"/>
    <cellStyle name="Título" xfId="2" builtinId="15"/>
    <cellStyle name="Título 2" xfId="3" builtinId="17"/>
  </cellStyles>
  <dxfs count="207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19" formatCode="d/m/yyyy"/>
    </dxf>
    <dxf>
      <border>
        <bottom style="medium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  <alignment horizontal="center" vertical="bottom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UER Guairá" refreshedDate="45805.372719328705" createdVersion="8" refreshedVersion="8" minRefreshableVersion="3" recordCount="299998" xr:uid="{00000000-000A-0000-FFFF-FFFF04000000}">
  <cacheSource type="worksheet">
    <worksheetSource name="BASE"/>
  </cacheSource>
  <cacheFields count="76">
    <cacheField name="Fecha" numFmtId="14">
      <sharedItems containsNonDate="0" containsString="0" containsBlank="1"/>
    </cacheField>
    <cacheField name="Hora de Admisión" numFmtId="0">
      <sharedItems containsNonDate="0" containsString="0" containsBlank="1"/>
    </cacheField>
    <cacheField name="Fin de consulta" numFmtId="0">
      <sharedItems containsNonDate="0" containsString="0" containsBlank="1"/>
    </cacheField>
    <cacheField name="Cod.Establecimiento" numFmtId="0">
      <sharedItems containsNonDate="0" containsBlank="1" count="32">
        <m/>
        <s v="04.-006-309-GENERAL EUGENIO A. GARAY" u="1"/>
        <s v="04.-007-203-H.D. - COLONIA INDEPENDENCIA" u="1"/>
        <s v="04.-001-101-H.R. - VILLARRICA" u="1"/>
        <s v="04.-009-204-ITURBE" u="1"/>
        <s v="04.-010-209-JOSE FASSARDI" u="1"/>
        <s v="04.-003-210-MAURICIO JOSE TROCHE" u="1"/>
        <s v="04.-012-303-NATALICIO TALAVERA" u="1"/>
        <s v="04.-014-205-SAN SALVADOR" u="1"/>
        <s v="04.-002-356-USF - VALLE PÉ" u="1"/>
        <s v="04.-001-348-USF- 14 DE MAYO" u="1"/>
        <s v="04.-001-370-USF- HOSPITAL-I SAN MIGUEL" u="1"/>
        <s v="04.-001-338-USF- MA. AUXILIADORA" u="1"/>
        <s v="04.-013-306-USF- ÑUMI" u="1"/>
        <s v="04.-008-327-USF-ITAPE" u="1"/>
        <s v="04.-012-332-USF-NATALICIO TALAVERA" u="1"/>
        <s v="04.-001-358-USF-RINCÓN" u="1"/>
        <s v="04.-014-333-USF-SAN SALVADOR" u="1"/>
        <s v="04.-001-206-USF-VILLARRICA" u="1"/>
        <s v="04.-015-334-USF-YATAITY" u="1"/>
        <s v="04.-001-505-CLINICA MUNICIPAL" u="1"/>
        <s v="04.-008-211-ITAPE" u="1"/>
        <s v="04.-017-202-PASO YOBAI" u="1"/>
        <s v="04.-001-504-POLICLINICO SAN MIGUEL" u="1"/>
        <s v="04.-004-314-USF- CORONEL MARTINEZ (TEBICUARY)" u="1"/>
        <s v="04.-005-313-USF- FELIX PEREZ CARDOZO" u="1"/>
        <s v="04.-018-316-USF- LOMA PINDO" u="1"/>
        <s v="04.-006-321-USF-GRAL. A. GARAY" u="1"/>
        <s v="04.-009-336-USF-ITURBE" u="1"/>
        <s v="04.-010-330-USF-JOSE FASSARDI" u="1"/>
        <s v="04.-011-331-USF-MBOCAYATY" u="1"/>
        <s v="04.-017-335-USF-PASO YOBAI" u="1"/>
      </sharedItems>
    </cacheField>
    <cacheField name="Tipo de Consulta" numFmtId="0">
      <sharedItems containsNonDate="0" containsString="0" containsBlank="1"/>
    </cacheField>
    <cacheField name="Profesional de la Salud" numFmtId="0">
      <sharedItems containsNonDate="0" containsString="0" containsBlank="1"/>
    </cacheField>
    <cacheField name="Especialidad" numFmtId="0">
      <sharedItems containsNonDate="0" containsString="0" containsBlank="1"/>
    </cacheField>
    <cacheField name="Cédula Identidad" numFmtId="0">
      <sharedItems containsNonDate="0" containsString="0" containsBlank="1"/>
    </cacheField>
    <cacheField name="Nombres y Apellidos PACIENTE" numFmtId="0">
      <sharedItems containsNonDate="0" containsString="0" containsBlank="1"/>
    </cacheField>
    <cacheField name="Sexo" numFmtId="0">
      <sharedItems containsNonDate="0" containsString="0" containsBlank="1"/>
    </cacheField>
    <cacheField name="Edad" numFmtId="0">
      <sharedItems containsNonDate="0" containsString="0" containsBlank="1"/>
    </cacheField>
    <cacheField name="Edad Detallado" numFmtId="0">
      <sharedItems containsNonDate="0" containsString="0" containsBlank="1"/>
    </cacheField>
    <cacheField name="Etnia" numFmtId="0">
      <sharedItems containsNonDate="0" containsString="0" containsBlank="1"/>
    </cacheField>
    <cacheField name="Departamento de residencia" numFmtId="0">
      <sharedItems containsNonDate="0" containsString="0" containsBlank="1"/>
    </cacheField>
    <cacheField name="Distrito de residencia" numFmtId="0">
      <sharedItems containsNonDate="0" containsString="0" containsBlank="1"/>
    </cacheField>
    <cacheField name="Barrio de residencia" numFmtId="0">
      <sharedItems containsNonDate="0" containsString="0" containsBlank="1"/>
    </cacheField>
    <cacheField name="Area de residencia" numFmtId="0">
      <sharedItems containsNonDate="0" containsString="0" containsBlank="1"/>
    </cacheField>
    <cacheField name="Nuevo en el Año" numFmtId="0">
      <sharedItems containsNonDate="0" containsString="0" containsBlank="1"/>
    </cacheField>
    <cacheField name="Asegurado" numFmtId="0">
      <sharedItems containsNonDate="0" containsString="0" containsBlank="1"/>
    </cacheField>
    <cacheField name="Seguro" numFmtId="0">
      <sharedItems containsNonDate="0" containsString="0" containsBlank="1"/>
    </cacheField>
    <cacheField name="Viene Referido" numFmtId="0">
      <sharedItems containsNonDate="0" containsString="0" containsBlank="1"/>
    </cacheField>
    <cacheField name="Motivo de Consulta" numFmtId="0">
      <sharedItems containsNonDate="0" containsString="0" containsBlank="1"/>
    </cacheField>
    <cacheField name="CODCIE10" numFmtId="0">
      <sharedItems containsNonDate="0" containsString="0" containsBlank="1"/>
    </cacheField>
    <cacheField name="Diagnóstico 1" numFmtId="0">
      <sharedItems containsNonDate="0" containsString="0" containsBlank="1"/>
    </cacheField>
    <cacheField name="CODCIE10Nuevo" numFmtId="0">
      <sharedItems containsNonDate="0" containsString="0" containsBlank="1"/>
    </cacheField>
    <cacheField name="CODCIE102" numFmtId="0">
      <sharedItems containsNonDate="0" containsString="0" containsBlank="1"/>
    </cacheField>
    <cacheField name="Diagnóstico 2" numFmtId="0">
      <sharedItems containsNonDate="0" containsString="0" containsBlank="1"/>
    </cacheField>
    <cacheField name="CODCIE10Nuevo3" numFmtId="0">
      <sharedItems containsNonDate="0" containsString="0" containsBlank="1"/>
    </cacheField>
    <cacheField name="CODCIE104" numFmtId="0">
      <sharedItems containsNonDate="0" containsString="0" containsBlank="1"/>
    </cacheField>
    <cacheField name="Diagnóstico 3" numFmtId="0">
      <sharedItems containsNonDate="0" containsString="0" containsBlank="1"/>
    </cacheField>
    <cacheField name="CODCIE10Nuevo5" numFmtId="0">
      <sharedItems containsNonDate="0" containsString="0" containsBlank="1"/>
    </cacheField>
    <cacheField name="CODCIE106" numFmtId="0">
      <sharedItems containsNonDate="0" containsString="0" containsBlank="1"/>
    </cacheField>
    <cacheField name="Diagnóstico 4" numFmtId="0">
      <sharedItems containsNonDate="0" containsString="0" containsBlank="1"/>
    </cacheField>
    <cacheField name="CODCIE10Nuevo7" numFmtId="0">
      <sharedItems containsNonDate="0" containsString="0" containsBlank="1"/>
    </cacheField>
    <cacheField name="CODCIE108" numFmtId="0">
      <sharedItems containsNonDate="0" containsString="0" containsBlank="1"/>
    </cacheField>
    <cacheField name="Diagnóstico 5" numFmtId="0">
      <sharedItems containsNonDate="0" containsString="0" containsBlank="1"/>
    </cacheField>
    <cacheField name="CODCIE10Nuevo9" numFmtId="0">
      <sharedItems containsNonDate="0" containsString="0" containsBlank="1"/>
    </cacheField>
    <cacheField name="CODCIE1010" numFmtId="0">
      <sharedItems containsNonDate="0" containsString="0" containsBlank="1"/>
    </cacheField>
    <cacheField name="Diagnóstico 6" numFmtId="0">
      <sharedItems containsNonDate="0" containsString="0" containsBlank="1"/>
    </cacheField>
    <cacheField name="CODCIE10Nuevo11" numFmtId="0">
      <sharedItems containsNonDate="0" containsString="0" containsBlank="1"/>
    </cacheField>
    <cacheField name="Embarazada" numFmtId="0">
      <sharedItems containsNonDate="0" containsString="0" containsBlank="1"/>
    </cacheField>
    <cacheField name="Semanas de Gestación" numFmtId="0">
      <sharedItems containsNonDate="0" containsString="0" containsBlank="1"/>
    </cacheField>
    <cacheField name="Se refiere" numFmtId="0">
      <sharedItems containsNonDate="0" containsString="0" containsBlank="1"/>
    </cacheField>
    <cacheField name="Se interna" numFmtId="0">
      <sharedItems containsNonDate="0" containsString="0" containsBlank="1"/>
    </cacheField>
    <cacheField name="Motivo Preconsulta" numFmtId="0">
      <sharedItems containsNonDate="0" containsString="0" containsBlank="1"/>
    </cacheField>
    <cacheField name="Estado Nutricional" numFmtId="0">
      <sharedItems containsNonDate="0" containsString="0" containsBlank="1"/>
    </cacheField>
    <cacheField name="Presion Arterial Sistólica PAS" numFmtId="0">
      <sharedItems containsNonDate="0" containsString="0" containsBlank="1"/>
    </cacheField>
    <cacheField name="Presion Arterial diastólica PAD" numFmtId="0">
      <sharedItems containsNonDate="0" containsString="0" containsBlank="1"/>
    </cacheField>
    <cacheField name="Peso (Kg)" numFmtId="0">
      <sharedItems containsNonDate="0" containsString="0" containsBlank="1"/>
    </cacheField>
    <cacheField name="Talla (m)" numFmtId="0">
      <sharedItems containsNonDate="0" containsString="0" containsBlank="1"/>
    </cacheField>
    <cacheField name="IMC" numFmtId="0">
      <sharedItems containsNonDate="0" containsString="0" containsBlank="1"/>
    </cacheField>
    <cacheField name="Circunferencia Abdominal (cm)" numFmtId="0">
      <sharedItems containsNonDate="0" containsString="0" containsBlank="1"/>
    </cacheField>
    <cacheField name="HbA1C (%)" numFmtId="0">
      <sharedItems containsNonDate="0" containsString="0" containsBlank="1"/>
    </cacheField>
    <cacheField name="Alimentación" numFmtId="0">
      <sharedItems containsNonDate="0" containsString="0" containsBlank="1"/>
    </cacheField>
    <cacheField name="CODCIE9 1" numFmtId="0">
      <sharedItems containsNonDate="0" containsString="0" containsBlank="1"/>
    </cacheField>
    <cacheField name="Procedimiento" numFmtId="0">
      <sharedItems containsNonDate="0" containsString="0" containsBlank="1"/>
    </cacheField>
    <cacheField name="Estado" numFmtId="0">
      <sharedItems containsNonDate="0" containsString="0" containsBlank="1"/>
    </cacheField>
    <cacheField name="CODCIE9 2" numFmtId="0">
      <sharedItems containsNonDate="0" containsString="0" containsBlank="1"/>
    </cacheField>
    <cacheField name="Procedimiento12" numFmtId="0">
      <sharedItems containsNonDate="0" containsString="0" containsBlank="1"/>
    </cacheField>
    <cacheField name="Estado13" numFmtId="0">
      <sharedItems containsNonDate="0" containsString="0" containsBlank="1"/>
    </cacheField>
    <cacheField name="CODCIE9 3" numFmtId="0">
      <sharedItems containsNonDate="0" containsString="0" containsBlank="1"/>
    </cacheField>
    <cacheField name="Procedimiento14" numFmtId="0">
      <sharedItems containsNonDate="0" containsString="0" containsBlank="1"/>
    </cacheField>
    <cacheField name="Estado15" numFmtId="0">
      <sharedItems containsNonDate="0" containsString="0" containsBlank="1"/>
    </cacheField>
    <cacheField name="CODCIE9 4" numFmtId="0">
      <sharedItems containsNonDate="0" containsString="0" containsBlank="1"/>
    </cacheField>
    <cacheField name="Procedimiento16" numFmtId="0">
      <sharedItems containsNonDate="0" containsString="0" containsBlank="1"/>
    </cacheField>
    <cacheField name="Estado17" numFmtId="0">
      <sharedItems containsNonDate="0" containsString="0" containsBlank="1"/>
    </cacheField>
    <cacheField name="CODCIE9 5" numFmtId="0">
      <sharedItems containsNonDate="0" containsString="0" containsBlank="1"/>
    </cacheField>
    <cacheField name="Procedimiento18" numFmtId="0">
      <sharedItems containsNonDate="0" containsString="0" containsBlank="1"/>
    </cacheField>
    <cacheField name="Estado19" numFmtId="0">
      <sharedItems containsNonDate="0" containsString="0" containsBlank="1"/>
    </cacheField>
    <cacheField name="CODCIE9 6" numFmtId="0">
      <sharedItems containsNonDate="0" containsString="0" containsBlank="1"/>
    </cacheField>
    <cacheField name="Procedimiento20" numFmtId="0">
      <sharedItems containsNonDate="0" containsString="0" containsBlank="1"/>
    </cacheField>
    <cacheField name="Estado21" numFmtId="0">
      <sharedItems containsNonDate="0" containsString="0" containsBlank="1"/>
    </cacheField>
    <cacheField name="Usuario ADMISIONISTA" numFmtId="0">
      <sharedItems containsNonDate="0" containsString="0" containsBlank="1"/>
    </cacheField>
    <cacheField name="Nombre y apellido ADMISIONISTA" numFmtId="0">
      <sharedItems containsNonDate="0" containsString="0" containsBlank="1"/>
    </cacheField>
    <cacheField name="Usuario ENFERMERIA" numFmtId="0">
      <sharedItems containsNonDate="0" containsString="0" containsBlank="1"/>
    </cacheField>
    <cacheField name="Nombre y apellido ENFERMERIA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laDinámica1" cacheId="9" applyNumberFormats="0" applyBorderFormats="0" applyFontFormats="0" applyPatternFormats="0" applyAlignmentFormats="0" applyWidthHeightFormats="1" dataCaption="Valores" updatedVersion="8" minRefreshableVersion="3" showDrill="0" useAutoFormatting="1" itemPrintTitles="1" createdVersion="8" indent="0" showHeaders="0" outline="1" outlineData="1" multipleFieldFilters="0">
  <location ref="AJ4" firstHeaderRow="0" firstDataRow="0" firstDataCol="0" rowPageCount="1" colPageCount="1"/>
  <pivotFields count="76">
    <pivotField showAll="0"/>
    <pivotField showAll="0"/>
    <pivotField showAll="0"/>
    <pivotField axis="axisPage" showAll="0">
      <items count="33">
        <item x="0"/>
        <item m="1" x="20"/>
        <item m="1" x="1"/>
        <item m="1" x="2"/>
        <item m="1" x="3"/>
        <item m="1" x="21"/>
        <item m="1" x="4"/>
        <item m="1" x="5"/>
        <item m="1" x="6"/>
        <item m="1" x="7"/>
        <item m="1" x="22"/>
        <item m="1" x="23"/>
        <item m="1" x="8"/>
        <item m="1" x="9"/>
        <item m="1" x="10"/>
        <item m="1" x="24"/>
        <item m="1" x="25"/>
        <item m="1" x="11"/>
        <item m="1" x="26"/>
        <item m="1" x="12"/>
        <item m="1" x="13"/>
        <item m="1" x="27"/>
        <item m="1" x="14"/>
        <item m="1" x="28"/>
        <item m="1" x="29"/>
        <item m="1" x="30"/>
        <item m="1" x="15"/>
        <item m="1" x="31"/>
        <item m="1" x="16"/>
        <item m="1" x="17"/>
        <item m="1" x="18"/>
        <item m="1" x="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ageFields count="1">
    <pageField fld="3" hier="-1"/>
  </page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TablaDinámica3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N5" firstHeaderRow="0" firstDataRow="0" firstDataCol="0" rowPageCount="1" colPageCount="1"/>
  <pivotFields count="76">
    <pivotField showAll="0"/>
    <pivotField showAll="0"/>
    <pivotField showAll="0"/>
    <pivotField axis="axisPage" showAll="0">
      <items count="33">
        <item x="0"/>
        <item m="1" x="20"/>
        <item m="1" x="1"/>
        <item m="1" x="2"/>
        <item m="1" x="3"/>
        <item m="1" x="21"/>
        <item m="1" x="4"/>
        <item m="1" x="5"/>
        <item m="1" x="6"/>
        <item m="1" x="7"/>
        <item m="1" x="22"/>
        <item m="1" x="23"/>
        <item m="1" x="8"/>
        <item m="1" x="9"/>
        <item m="1" x="10"/>
        <item m="1" x="24"/>
        <item m="1" x="25"/>
        <item m="1" x="11"/>
        <item m="1" x="26"/>
        <item m="1" x="12"/>
        <item m="1" x="13"/>
        <item m="1" x="27"/>
        <item m="1" x="14"/>
        <item m="1" x="28"/>
        <item m="1" x="29"/>
        <item m="1" x="30"/>
        <item m="1" x="15"/>
        <item m="1" x="31"/>
        <item m="1" x="16"/>
        <item m="1" x="17"/>
        <item m="1" x="18"/>
        <item m="1" x="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ageFields count="1">
    <pageField fld="3" hier="-1"/>
  </page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361410-22F4-4859-87AF-1327E409FB1E}" name="TablaDinámica1" cacheId="9" applyNumberFormats="0" applyBorderFormats="0" applyFontFormats="0" applyPatternFormats="0" applyAlignmentFormats="0" applyWidthHeightFormats="1" dataCaption="Valores" updatedVersion="8" minRefreshableVersion="3" showDrill="0" useAutoFormatting="1" itemPrintTitles="1" createdVersion="8" indent="0" showHeaders="0" outline="1" outlineData="1" multipleFieldFilters="0">
  <location ref="AJ4" firstHeaderRow="0" firstDataRow="0" firstDataCol="0" rowPageCount="1" colPageCount="1"/>
  <pivotFields count="76">
    <pivotField showAll="0"/>
    <pivotField showAll="0"/>
    <pivotField showAll="0"/>
    <pivotField axis="axisPage" showAll="0">
      <items count="33">
        <item x="0"/>
        <item m="1" x="20"/>
        <item m="1" x="1"/>
        <item m="1" x="2"/>
        <item m="1" x="3"/>
        <item m="1" x="21"/>
        <item m="1" x="4"/>
        <item m="1" x="5"/>
        <item m="1" x="6"/>
        <item m="1" x="7"/>
        <item m="1" x="22"/>
        <item m="1" x="23"/>
        <item m="1" x="8"/>
        <item m="1" x="9"/>
        <item m="1" x="10"/>
        <item m="1" x="24"/>
        <item m="1" x="25"/>
        <item m="1" x="11"/>
        <item m="1" x="26"/>
        <item m="1" x="12"/>
        <item m="1" x="13"/>
        <item m="1" x="27"/>
        <item m="1" x="14"/>
        <item m="1" x="28"/>
        <item m="1" x="29"/>
        <item m="1" x="30"/>
        <item m="1" x="15"/>
        <item m="1" x="31"/>
        <item m="1" x="16"/>
        <item m="1" x="17"/>
        <item m="1" x="18"/>
        <item m="1" x="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ageFields count="1">
    <pageField fld="3" hier="-1"/>
  </page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079574-2A29-4263-87E7-5249848EAFCD}" name="TablaDinámica1" cacheId="9" applyNumberFormats="0" applyBorderFormats="0" applyFontFormats="0" applyPatternFormats="0" applyAlignmentFormats="0" applyWidthHeightFormats="1" dataCaption="Valores" updatedVersion="8" minRefreshableVersion="3" showDrill="0" useAutoFormatting="1" itemPrintTitles="1" createdVersion="8" indent="0" showHeaders="0" outline="1" outlineData="1" multipleFieldFilters="0">
  <location ref="A4" firstHeaderRow="0" firstDataRow="0" firstDataCol="0" rowPageCount="1" colPageCount="1"/>
  <pivotFields count="76">
    <pivotField showAll="0"/>
    <pivotField showAll="0"/>
    <pivotField showAll="0"/>
    <pivotField axis="axisPage" showAll="0">
      <items count="33">
        <item x="0"/>
        <item m="1" x="20"/>
        <item m="1" x="1"/>
        <item m="1" x="2"/>
        <item m="1" x="3"/>
        <item m="1" x="21"/>
        <item m="1" x="4"/>
        <item m="1" x="5"/>
        <item m="1" x="6"/>
        <item m="1" x="7"/>
        <item m="1" x="22"/>
        <item m="1" x="23"/>
        <item m="1" x="8"/>
        <item m="1" x="9"/>
        <item m="1" x="10"/>
        <item m="1" x="24"/>
        <item m="1" x="25"/>
        <item m="1" x="11"/>
        <item m="1" x="26"/>
        <item m="1" x="12"/>
        <item m="1" x="13"/>
        <item m="1" x="27"/>
        <item m="1" x="14"/>
        <item m="1" x="28"/>
        <item m="1" x="29"/>
        <item m="1" x="30"/>
        <item m="1" x="15"/>
        <item m="1" x="31"/>
        <item m="1" x="16"/>
        <item m="1" x="17"/>
        <item m="1" x="18"/>
        <item m="1" x="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ageFields count="1">
    <pageField fld="3" hier="-1"/>
  </page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SE" displayName="BASE" ref="A2:BX300000" totalsRowShown="0" headerRowDxfId="2078" headerRowBorderDxfId="2077">
  <autoFilter ref="A2:BX300000" xr:uid="{00000000-0009-0000-0100-000001000000}"/>
  <tableColumns count="76">
    <tableColumn id="1" xr3:uid="{00000000-0010-0000-0000-000001000000}" name="Fecha" dataDxfId="2076"/>
    <tableColumn id="2" xr3:uid="{00000000-0010-0000-0000-000002000000}" name="Hora de Admisión"/>
    <tableColumn id="3" xr3:uid="{00000000-0010-0000-0000-000003000000}" name="Fin de consulta"/>
    <tableColumn id="4" xr3:uid="{00000000-0010-0000-0000-000004000000}" name="Cod.Establecimiento"/>
    <tableColumn id="5" xr3:uid="{00000000-0010-0000-0000-000005000000}" name="Tipo de Consulta"/>
    <tableColumn id="6" xr3:uid="{00000000-0010-0000-0000-000006000000}" name="Profesional de la Salud"/>
    <tableColumn id="7" xr3:uid="{00000000-0010-0000-0000-000007000000}" name="Especialidad"/>
    <tableColumn id="8" xr3:uid="{00000000-0010-0000-0000-000008000000}" name="Cédula Identidad"/>
    <tableColumn id="9" xr3:uid="{00000000-0010-0000-0000-000009000000}" name="Nombres y Apellidos PACIENTE"/>
    <tableColumn id="10" xr3:uid="{00000000-0010-0000-0000-00000A000000}" name="Sexo"/>
    <tableColumn id="11" xr3:uid="{00000000-0010-0000-0000-00000B000000}" name="Edad"/>
    <tableColumn id="12" xr3:uid="{00000000-0010-0000-0000-00000C000000}" name="Edad Detallado"/>
    <tableColumn id="13" xr3:uid="{00000000-0010-0000-0000-00000D000000}" name="Etnia"/>
    <tableColumn id="14" xr3:uid="{00000000-0010-0000-0000-00000E000000}" name="Departamento de residencia"/>
    <tableColumn id="15" xr3:uid="{00000000-0010-0000-0000-00000F000000}" name="Distrito de residencia"/>
    <tableColumn id="16" xr3:uid="{00000000-0010-0000-0000-000010000000}" name="Barrio de residencia"/>
    <tableColumn id="17" xr3:uid="{00000000-0010-0000-0000-000011000000}" name="Area de residencia"/>
    <tableColumn id="18" xr3:uid="{00000000-0010-0000-0000-000012000000}" name="Nuevo en el Año"/>
    <tableColumn id="19" xr3:uid="{00000000-0010-0000-0000-000013000000}" name="Asegurado"/>
    <tableColumn id="20" xr3:uid="{00000000-0010-0000-0000-000014000000}" name="Seguro"/>
    <tableColumn id="21" xr3:uid="{00000000-0010-0000-0000-000015000000}" name="Viene Referido"/>
    <tableColumn id="22" xr3:uid="{00000000-0010-0000-0000-000016000000}" name="Motivo de Consulta"/>
    <tableColumn id="23" xr3:uid="{00000000-0010-0000-0000-000017000000}" name="CODCIE10"/>
    <tableColumn id="24" xr3:uid="{00000000-0010-0000-0000-000018000000}" name="Diagnóstico 1"/>
    <tableColumn id="25" xr3:uid="{00000000-0010-0000-0000-000019000000}" name="CODCIE10Nuevo"/>
    <tableColumn id="26" xr3:uid="{00000000-0010-0000-0000-00001A000000}" name="CODCIE102"/>
    <tableColumn id="27" xr3:uid="{00000000-0010-0000-0000-00001B000000}" name="Diagnóstico 2"/>
    <tableColumn id="28" xr3:uid="{00000000-0010-0000-0000-00001C000000}" name="CODCIE10Nuevo3"/>
    <tableColumn id="29" xr3:uid="{00000000-0010-0000-0000-00001D000000}" name="CODCIE104"/>
    <tableColumn id="30" xr3:uid="{00000000-0010-0000-0000-00001E000000}" name="Diagnóstico 3"/>
    <tableColumn id="31" xr3:uid="{00000000-0010-0000-0000-00001F000000}" name="CODCIE10Nuevo5"/>
    <tableColumn id="32" xr3:uid="{00000000-0010-0000-0000-000020000000}" name="CODCIE106"/>
    <tableColumn id="33" xr3:uid="{00000000-0010-0000-0000-000021000000}" name="Diagnóstico 4"/>
    <tableColumn id="34" xr3:uid="{00000000-0010-0000-0000-000022000000}" name="CODCIE10Nuevo7"/>
    <tableColumn id="35" xr3:uid="{00000000-0010-0000-0000-000023000000}" name="CODCIE108"/>
    <tableColumn id="36" xr3:uid="{00000000-0010-0000-0000-000024000000}" name="Diagnóstico 5"/>
    <tableColumn id="37" xr3:uid="{00000000-0010-0000-0000-000025000000}" name="CODCIE10Nuevo9"/>
    <tableColumn id="38" xr3:uid="{00000000-0010-0000-0000-000026000000}" name="CODCIE1010"/>
    <tableColumn id="39" xr3:uid="{00000000-0010-0000-0000-000027000000}" name="Diagnóstico 6"/>
    <tableColumn id="40" xr3:uid="{00000000-0010-0000-0000-000028000000}" name="CODCIE10Nuevo11"/>
    <tableColumn id="41" xr3:uid="{00000000-0010-0000-0000-000029000000}" name="Embarazada"/>
    <tableColumn id="42" xr3:uid="{00000000-0010-0000-0000-00002A000000}" name="Semanas de Gestación"/>
    <tableColumn id="43" xr3:uid="{00000000-0010-0000-0000-00002B000000}" name="Se refiere"/>
    <tableColumn id="44" xr3:uid="{00000000-0010-0000-0000-00002C000000}" name="Se interna"/>
    <tableColumn id="45" xr3:uid="{00000000-0010-0000-0000-00002D000000}" name="Motivo Preconsulta"/>
    <tableColumn id="46" xr3:uid="{00000000-0010-0000-0000-00002E000000}" name="Estado Nutricional"/>
    <tableColumn id="47" xr3:uid="{00000000-0010-0000-0000-00002F000000}" name="Presion Arterial Sistólica PAS"/>
    <tableColumn id="48" xr3:uid="{00000000-0010-0000-0000-000030000000}" name="Presion Arterial diastólica PAD"/>
    <tableColumn id="49" xr3:uid="{00000000-0010-0000-0000-000031000000}" name="Peso (Kg)"/>
    <tableColumn id="50" xr3:uid="{00000000-0010-0000-0000-000032000000}" name="Talla (m)"/>
    <tableColumn id="51" xr3:uid="{00000000-0010-0000-0000-000033000000}" name="IMC"/>
    <tableColumn id="52" xr3:uid="{00000000-0010-0000-0000-000034000000}" name="Circunferencia Abdominal (cm)"/>
    <tableColumn id="53" xr3:uid="{00000000-0010-0000-0000-000035000000}" name="HbA1C (%)"/>
    <tableColumn id="54" xr3:uid="{00000000-0010-0000-0000-000036000000}" name="Alimentación"/>
    <tableColumn id="55" xr3:uid="{00000000-0010-0000-0000-000037000000}" name="CODCIE9 1"/>
    <tableColumn id="56" xr3:uid="{00000000-0010-0000-0000-000038000000}" name="Procedimiento"/>
    <tableColumn id="57" xr3:uid="{00000000-0010-0000-0000-000039000000}" name="Estado"/>
    <tableColumn id="58" xr3:uid="{00000000-0010-0000-0000-00003A000000}" name="CODCIE9 2"/>
    <tableColumn id="59" xr3:uid="{00000000-0010-0000-0000-00003B000000}" name="Procedimiento12"/>
    <tableColumn id="60" xr3:uid="{00000000-0010-0000-0000-00003C000000}" name="Estado13"/>
    <tableColumn id="61" xr3:uid="{00000000-0010-0000-0000-00003D000000}" name="CODCIE9 3"/>
    <tableColumn id="62" xr3:uid="{00000000-0010-0000-0000-00003E000000}" name="Procedimiento14"/>
    <tableColumn id="63" xr3:uid="{00000000-0010-0000-0000-00003F000000}" name="Estado15"/>
    <tableColumn id="64" xr3:uid="{00000000-0010-0000-0000-000040000000}" name="CODCIE9 4"/>
    <tableColumn id="65" xr3:uid="{00000000-0010-0000-0000-000041000000}" name="Procedimiento16"/>
    <tableColumn id="66" xr3:uid="{00000000-0010-0000-0000-000042000000}" name="Estado17"/>
    <tableColumn id="67" xr3:uid="{00000000-0010-0000-0000-000043000000}" name="CODCIE9 5"/>
    <tableColumn id="68" xr3:uid="{00000000-0010-0000-0000-000044000000}" name="Procedimiento18"/>
    <tableColumn id="69" xr3:uid="{00000000-0010-0000-0000-000045000000}" name="Estado19"/>
    <tableColumn id="70" xr3:uid="{00000000-0010-0000-0000-000046000000}" name="CODCIE9 6"/>
    <tableColumn id="71" xr3:uid="{00000000-0010-0000-0000-000047000000}" name="Procedimiento20"/>
    <tableColumn id="72" xr3:uid="{00000000-0010-0000-0000-000048000000}" name="Estado21"/>
    <tableColumn id="73" xr3:uid="{00000000-0010-0000-0000-000049000000}" name="Usuario ADMISIONISTA"/>
    <tableColumn id="74" xr3:uid="{00000000-0010-0000-0000-00004A000000}" name="Nombre y apellido ADMISIONISTA"/>
    <tableColumn id="75" xr3:uid="{00000000-0010-0000-0000-00004B000000}" name="Usuario ENFERMERIA"/>
    <tableColumn id="76" xr3:uid="{00000000-0010-0000-0000-00004C000000}" name="Nombre y apellido ENFERMERIA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PV_PARALISIS_FLACIDA_AGUDA" displayName="EPV_PARALISIS_FLACIDA_AGUDA" ref="A4:H11" totalsRowShown="0" headerRowDxfId="2075">
  <autoFilter ref="A4:H11" xr:uid="{00000000-0009-0000-0100-000002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0100-000001000000}" name="CIE-10" dataCellStyle="20% - Énfasis4"/>
    <tableColumn id="2" xr3:uid="{00000000-0010-0000-0100-000002000000}" name="D1" dataDxfId="2074">
      <calculatedColumnFormula>IF($AK$2="(Todas)",COUNTIF(BASE[CODCIE10],EPV_PARALISIS_FLACIDA_AGUDA[[#This Row],[CIE-10]]),COUNTIFS(BASE[Cod.Establecimiento],$AK$2,BASE[CODCIE10],EPV_PARALISIS_FLACIDA_AGUDA[[#This Row],[CIE-10]]))</calculatedColumnFormula>
    </tableColumn>
    <tableColumn id="3" xr3:uid="{00000000-0010-0000-0100-000003000000}" name="D2" dataDxfId="2073">
      <calculatedColumnFormula>IF($AK$2="(Todas)",COUNTIF(BASE[CODCIE102],EPV_PARALISIS_FLACIDA_AGUDA[[#This Row],[CIE-10]]),COUNTIFS(BASE[Cod.Establecimiento],$AK$2,BASE[CODCIE102],EPV_PARALISIS_FLACIDA_AGUDA[[#This Row],[CIE-10]]))</calculatedColumnFormula>
    </tableColumn>
    <tableColumn id="4" xr3:uid="{00000000-0010-0000-0100-000004000000}" name="D3" dataDxfId="2072">
      <calculatedColumnFormula>IF($AK$2="(Todas)",COUNTIF(BASE[CODCIE104],EPV_PARALISIS_FLACIDA_AGUDA[[#This Row],[CIE-10]]),COUNTIFS(BASE[Cod.Establecimiento],$AK$2,BASE[CODCIE104],EPV_PARALISIS_FLACIDA_AGUDA[[#This Row],[CIE-10]]))</calculatedColumnFormula>
    </tableColumn>
    <tableColumn id="5" xr3:uid="{00000000-0010-0000-0100-000005000000}" name="D4" dataDxfId="2071">
      <calculatedColumnFormula>IF($AK$2="(Todas)",COUNTIF(BASE[CODCIE106],EPV_PARALISIS_FLACIDA_AGUDA[[#This Row],[CIE-10]]),COUNTIFS(BASE[Cod.Establecimiento],$AK$2,BASE[CODCIE106],EPV_PARALISIS_FLACIDA_AGUDA[[#This Row],[CIE-10]]))</calculatedColumnFormula>
    </tableColumn>
    <tableColumn id="6" xr3:uid="{00000000-0010-0000-0100-000006000000}" name="D5" dataDxfId="2070">
      <calculatedColumnFormula>IF($AK$2="(Todas)",COUNTIF(BASE[CODCIE108],EPV_PARALISIS_FLACIDA_AGUDA[[#This Row],[CIE-10]]),COUNTIFS(BASE[Cod.Establecimiento],$AK$2,BASE[CODCIE108],EPV_PARALISIS_FLACIDA_AGUDA[[#This Row],[CIE-10]]))</calculatedColumnFormula>
    </tableColumn>
    <tableColumn id="7" xr3:uid="{00000000-0010-0000-0100-000007000000}" name="D6" dataDxfId="2069">
      <calculatedColumnFormula>IF($AK$2="(Todas)",COUNTIF(BASE[CODCIE1010],EPV_PARALISIS_FLACIDA_AGUDA[[#This Row],[CIE-10]]),COUNTIFS(BASE[Cod.Establecimiento],$AK$2,BASE[CODCIE1010],EPV_PARALISIS_FLACIDA_AGUDA[[#This Row],[CIE-10]]))</calculatedColumnFormula>
    </tableColumn>
    <tableColumn id="8" xr3:uid="{00000000-0010-0000-0100-000008000000}" name="TOT" dataDxfId="2068">
      <calculatedColumnFormula>SUM(EPV_PARALISIS_FLACIDA_AGUDA[[#This Row],[D1]:[D6]])</calculatedColumnFormula>
    </tableColumn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EPV_RUBEOLA" displayName="EPV_RUBEOLA" ref="J4:Q15" totalsRowShown="0" headerRowDxfId="2067">
  <autoFilter ref="J4:Q15" xr:uid="{00000000-0009-0000-0100-000003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0200-000001000000}" name="CIE-10" dataCellStyle="20% - Énfasis4"/>
    <tableColumn id="2" xr3:uid="{00000000-0010-0000-0200-000002000000}" name="D1" dataDxfId="2066">
      <calculatedColumnFormula>IF($AK$2="(Todas)",COUNTIF(BASE[CODCIE10],EPV_RUBEOLA[[#This Row],[CIE-10]]),COUNTIFS(BASE[Cod.Establecimiento],$AK$2,BASE[CODCIE10],EPV_RUBEOLA[[#This Row],[CIE-10]]))</calculatedColumnFormula>
    </tableColumn>
    <tableColumn id="3" xr3:uid="{00000000-0010-0000-0200-000003000000}" name="D2" dataDxfId="2065">
      <calculatedColumnFormula>IF($AK$2="(Todas)",COUNTIF(BASE[CODCIE102],EPV_RUBEOLA[[#This Row],[CIE-10]]),COUNTIFS(BASE[Cod.Establecimiento],$AK$2,BASE[CODCIE102],EPV_RUBEOLA[[#This Row],[CIE-10]]))</calculatedColumnFormula>
    </tableColumn>
    <tableColumn id="4" xr3:uid="{00000000-0010-0000-0200-000004000000}" name="D3" dataDxfId="2064">
      <calculatedColumnFormula>IF($AK$2="(Todas)",COUNTIF(BASE[CODCIE104],EPV_RUBEOLA[[#This Row],[CIE-10]]),COUNTIFS(BASE[Cod.Establecimiento],$AK$2,BASE[CODCIE104],EPV_RUBEOLA[[#This Row],[CIE-10]]))</calculatedColumnFormula>
    </tableColumn>
    <tableColumn id="5" xr3:uid="{00000000-0010-0000-0200-000005000000}" name="D4" dataDxfId="2063">
      <calculatedColumnFormula>IF($AK$2="(Todas)",COUNTIF(BASE[CODCIE106],EPV_RUBEOLA[[#This Row],[CIE-10]]),COUNTIFS(BASE[Cod.Establecimiento],$AK$2,BASE[CODCIE106],EPV_RUBEOLA[[#This Row],[CIE-10]]))</calculatedColumnFormula>
    </tableColumn>
    <tableColumn id="6" xr3:uid="{00000000-0010-0000-0200-000006000000}" name="D5" dataDxfId="2062">
      <calculatedColumnFormula>IF($AK$2="(Todas)",COUNTIF(BASE[CODCIE108],EPV_RUBEOLA[[#This Row],[CIE-10]]),COUNTIFS(BASE[Cod.Establecimiento],$AK$2,BASE[CODCIE108],EPV_RUBEOLA[[#This Row],[CIE-10]]))</calculatedColumnFormula>
    </tableColumn>
    <tableColumn id="7" xr3:uid="{00000000-0010-0000-0200-000007000000}" name="D6" dataDxfId="2061">
      <calculatedColumnFormula>IF($AK$2="(Todas)",COUNTIF(BASE[CODCIE1010],EPV_RUBEOLA[[#This Row],[CIE-10]]),COUNTIFS(BASE[Cod.Establecimiento],$AK$2,BASE[CODCIE1010],EPV_RUBEOLA[[#This Row],[CIE-10]]))</calculatedColumnFormula>
    </tableColumn>
    <tableColumn id="8" xr3:uid="{00000000-0010-0000-0200-000008000000}" name="TOT" dataDxfId="2060" dataCellStyle="40% - Énfasis6">
      <calculatedColumnFormula>SUM(EPV_RUBEOLA[[#This Row],[D1]:[D6]])</calculatedColumnFormula>
    </tableColumn>
  </tableColumns>
  <tableStyleInfo name="TableStyleLight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EPV_SARAMPION" displayName="EPV_SARAMPION" ref="S4:Z13" totalsRowShown="0" headerRowDxfId="2059">
  <autoFilter ref="S4:Z13" xr:uid="{00000000-0009-0000-0100-000004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0300-000001000000}" name="CIE-10" dataCellStyle="20% - Énfasis4"/>
    <tableColumn id="2" xr3:uid="{00000000-0010-0000-0300-000002000000}" name="D1" dataDxfId="2058">
      <calculatedColumnFormula>IF($AK$2="(Todas)",COUNTIF(BASE[CODCIE10],EPV_SARAMPION[[#This Row],[CIE-10]]),COUNTIFS(BASE[Cod.Establecimiento],$AK$2,BASE[CODCIE10],EPV_SARAMPION[[#This Row],[CIE-10]]))</calculatedColumnFormula>
    </tableColumn>
    <tableColumn id="3" xr3:uid="{00000000-0010-0000-0300-000003000000}" name="D2" dataDxfId="2057">
      <calculatedColumnFormula>IF($AK$2="(Todas)",COUNTIF(BASE[CODCIE102],EPV_SARAMPION[[#This Row],[CIE-10]]),COUNTIFS(BASE[Cod.Establecimiento],$AK$2,BASE[CODCIE102],EPV_SARAMPION[[#This Row],[CIE-10]]))</calculatedColumnFormula>
    </tableColumn>
    <tableColumn id="4" xr3:uid="{00000000-0010-0000-0300-000004000000}" name="D3" dataDxfId="2056">
      <calculatedColumnFormula>IF($AK$2="(Todas)",COUNTIF(BASE[CODCIE104],EPV_SARAMPION[[#This Row],[CIE-10]]),COUNTIFS(BASE[Cod.Establecimiento],$AK$2,BASE[CODCIE104],EPV_SARAMPION[[#This Row],[CIE-10]]))</calculatedColumnFormula>
    </tableColumn>
    <tableColumn id="5" xr3:uid="{00000000-0010-0000-0300-000005000000}" name="D4" dataDxfId="2055">
      <calculatedColumnFormula>IF($AK$2="(Todas)",COUNTIF(BASE[CODCIE106],EPV_SARAMPION[[#This Row],[CIE-10]]),COUNTIFS(BASE[Cod.Establecimiento],$AK$2,BASE[CODCIE106],EPV_SARAMPION[[#This Row],[CIE-10]]))</calculatedColumnFormula>
    </tableColumn>
    <tableColumn id="6" xr3:uid="{00000000-0010-0000-0300-000006000000}" name="D5" dataDxfId="2054">
      <calculatedColumnFormula>IF($AK$2="(Todas)",COUNTIF(BASE[CODCIE108],EPV_SARAMPION[[#This Row],[CIE-10]]),COUNTIFS(BASE[Cod.Establecimiento],$AK$2,BASE[CODCIE108],EPV_SARAMPION[[#This Row],[CIE-10]]))</calculatedColumnFormula>
    </tableColumn>
    <tableColumn id="7" xr3:uid="{00000000-0010-0000-0300-000007000000}" name="D6" dataDxfId="2053">
      <calculatedColumnFormula>IF($AK$2="(Todas)",COUNTIF(BASE[CODCIE1010],EPV_SARAMPION[[#This Row],[CIE-10]]),COUNTIFS(BASE[Cod.Establecimiento],$AK$2,BASE[CODCIE1010],EPV_SARAMPION[[#This Row],[CIE-10]]))</calculatedColumnFormula>
    </tableColumn>
    <tableColumn id="8" xr3:uid="{00000000-0010-0000-0300-000008000000}" name="TOT" dataDxfId="2052" dataCellStyle="40% - Énfasis6">
      <calculatedColumnFormula>SUM(EPV_SARAMPION[[#This Row],[D1]:[D6]])</calculatedColumnFormula>
    </tableColumn>
  </tableColumns>
  <tableStyleInfo name="TableStyleLight1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EPV_DIFTERIA" displayName="EPV_DIFTERIA" ref="AB4:AI13" totalsRowShown="0" headerRowDxfId="2051">
  <autoFilter ref="AB4:AI13" xr:uid="{00000000-0009-0000-0100-000005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0400-000001000000}" name="CIE-10" dataCellStyle="20% - Énfasis4"/>
    <tableColumn id="2" xr3:uid="{00000000-0010-0000-0400-000002000000}" name="D1" dataDxfId="2050">
      <calculatedColumnFormula>IF($AK$2="(Todas)",COUNTIF(BASE[CODCIE10],EPV_DIFTERIA[[#This Row],[CIE-10]]),COUNTIFS(BASE[Cod.Establecimiento],$AK$2,BASE[CODCIE10],EPV_DIFTERIA[[#This Row],[CIE-10]]))</calculatedColumnFormula>
    </tableColumn>
    <tableColumn id="3" xr3:uid="{00000000-0010-0000-0400-000003000000}" name="D2" dataDxfId="2049">
      <calculatedColumnFormula>IF($AK$2="(Todas)",COUNTIF(BASE[CODCIE102],EPV_DIFTERIA[[#This Row],[CIE-10]]),COUNTIFS(BASE[Cod.Establecimiento],$AK$2,BASE[CODCIE102],EPV_DIFTERIA[[#This Row],[CIE-10]]))</calculatedColumnFormula>
    </tableColumn>
    <tableColumn id="4" xr3:uid="{00000000-0010-0000-0400-000004000000}" name="D3" dataDxfId="2048">
      <calculatedColumnFormula>IF($AK$2="(Todas)",COUNTIF(BASE[CODCIE104],EPV_DIFTERIA[[#This Row],[CIE-10]]),COUNTIFS(BASE[Cod.Establecimiento],$AK$2,BASE[CODCIE104],EPV_DIFTERIA[[#This Row],[CIE-10]]))</calculatedColumnFormula>
    </tableColumn>
    <tableColumn id="5" xr3:uid="{00000000-0010-0000-0400-000005000000}" name="D4" dataDxfId="2047">
      <calculatedColumnFormula>IF($AK$2="(Todas)",COUNTIF(BASE[CODCIE106],EPV_DIFTERIA[[#This Row],[CIE-10]]),COUNTIFS(BASE[Cod.Establecimiento],$AK$2,BASE[CODCIE106],EPV_DIFTERIA[[#This Row],[CIE-10]]))</calculatedColumnFormula>
    </tableColumn>
    <tableColumn id="6" xr3:uid="{00000000-0010-0000-0400-000006000000}" name="D5" dataDxfId="2046">
      <calculatedColumnFormula>IF($AK$2="(Todas)",COUNTIF(BASE[CODCIE108],EPV_DIFTERIA[[#This Row],[CIE-10]]),COUNTIFS(BASE[Cod.Establecimiento],$AK$2,BASE[CODCIE108],EPV_DIFTERIA[[#This Row],[CIE-10]]))</calculatedColumnFormula>
    </tableColumn>
    <tableColumn id="7" xr3:uid="{00000000-0010-0000-0400-000007000000}" name="D6" dataDxfId="2045">
      <calculatedColumnFormula>IF($AK$2="(Todas)",COUNTIF(BASE[CODCIE1010],EPV_DIFTERIA[[#This Row],[CIE-10]]),COUNTIFS(BASE[Cod.Establecimiento],$AK$2,BASE[CODCIE1010],EPV_DIFTERIA[[#This Row],[CIE-10]]))</calculatedColumnFormula>
    </tableColumn>
    <tableColumn id="8" xr3:uid="{00000000-0010-0000-0400-000008000000}" name="TOT" dataDxfId="2044" dataCellStyle="40% - Énfasis6">
      <calculatedColumnFormula>SUM(EPV_DIFTERIA[[#This Row],[D1]:[D6]])</calculatedColumnFormula>
    </tableColumn>
  </tableColumns>
  <tableStyleInfo name="TableStyleLight1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EPV_COQUELUCHE" displayName="EPV_COQUELUCHE" ref="A19:H23" totalsRowShown="0" headerRowDxfId="2043">
  <autoFilter ref="A19:H23" xr:uid="{00000000-0009-0000-0100-000006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0500-000001000000}" name="CIE-10" dataCellStyle="20% - Énfasis4"/>
    <tableColumn id="2" xr3:uid="{00000000-0010-0000-0500-000002000000}" name="D1" dataDxfId="2042">
      <calculatedColumnFormula>IF($AK$2="(Todas)",COUNTIF(BASE[CODCIE10],EPV_COQUELUCHE[[#This Row],[CIE-10]]),COUNTIFS(BASE[Cod.Establecimiento],$AK$2,BASE[CODCIE10],EPV_COQUELUCHE[[#This Row],[CIE-10]]))</calculatedColumnFormula>
    </tableColumn>
    <tableColumn id="3" xr3:uid="{00000000-0010-0000-0500-000003000000}" name="D2" dataDxfId="2041">
      <calculatedColumnFormula>IF($AK$2="(Todas)",COUNTIF(BASE[CODCIE102],EPV_COQUELUCHE[[#This Row],[CIE-10]]),COUNTIFS(BASE[Cod.Establecimiento],$AK$2,BASE[CODCIE102],EPV_COQUELUCHE[[#This Row],[CIE-10]]))</calculatedColumnFormula>
    </tableColumn>
    <tableColumn id="4" xr3:uid="{00000000-0010-0000-0500-000004000000}" name="D3" dataDxfId="2040">
      <calculatedColumnFormula>IF($AK$2="(Todas)",COUNTIF(BASE[CODCIE104],EPV_COQUELUCHE[[#This Row],[CIE-10]]),COUNTIFS(BASE[Cod.Establecimiento],$AK$2,BASE[CODCIE104],EPV_COQUELUCHE[[#This Row],[CIE-10]]))</calculatedColumnFormula>
    </tableColumn>
    <tableColumn id="5" xr3:uid="{00000000-0010-0000-0500-000005000000}" name="D4" dataDxfId="2039">
      <calculatedColumnFormula>IF($AK$2="(Todas)",COUNTIF(BASE[CODCIE106],EPV_COQUELUCHE[[#This Row],[CIE-10]]),COUNTIFS(BASE[Cod.Establecimiento],$AK$2,BASE[CODCIE106],EPV_COQUELUCHE[[#This Row],[CIE-10]]))</calculatedColumnFormula>
    </tableColumn>
    <tableColumn id="6" xr3:uid="{00000000-0010-0000-0500-000006000000}" name="D5" dataDxfId="2038">
      <calculatedColumnFormula>IF($AK$2="(Todas)",COUNTIF(BASE[CODCIE108],EPV_COQUELUCHE[[#This Row],[CIE-10]]),COUNTIFS(BASE[Cod.Establecimiento],$AK$2,BASE[CODCIE108],EPV_COQUELUCHE[[#This Row],[CIE-10]]))</calculatedColumnFormula>
    </tableColumn>
    <tableColumn id="7" xr3:uid="{00000000-0010-0000-0500-000007000000}" name="D6" dataDxfId="2037">
      <calculatedColumnFormula>IF($AK$2="(Todas)",COUNTIF(BASE[CODCIE1010],EPV_COQUELUCHE[[#This Row],[CIE-10]]),COUNTIFS(BASE[Cod.Establecimiento],$AK$2,BASE[CODCIE1010],EPV_COQUELUCHE[[#This Row],[CIE-10]]))</calculatedColumnFormula>
    </tableColumn>
    <tableColumn id="8" xr3:uid="{00000000-0010-0000-0500-000008000000}" name="TOT" dataDxfId="2036" dataCellStyle="40% - Énfasis6">
      <calculatedColumnFormula>SUM(EPV_COQUELUCHE[[#This Row],[D1]:[D6]])</calculatedColumnFormula>
    </tableColumn>
  </tableColumns>
  <tableStyleInfo name="TableStyleLight1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EPV_PAROTIDITIS" displayName="EPV_PAROTIDITIS" ref="J19:Q26" totalsRowShown="0" headerRowDxfId="2035">
  <autoFilter ref="J19:Q26" xr:uid="{00000000-0009-0000-0100-000007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0600-000001000000}" name="CIE-10" dataCellStyle="20% - Énfasis4"/>
    <tableColumn id="2" xr3:uid="{00000000-0010-0000-0600-000002000000}" name="D1" dataDxfId="2034">
      <calculatedColumnFormula>IF($AK$2="(Todas)",COUNTIF(BASE[CODCIE10],EPV_PAROTIDITIS[[#This Row],[CIE-10]]),COUNTIFS(BASE[Cod.Establecimiento],$AK$2,BASE[CODCIE10],EPV_PAROTIDITIS[[#This Row],[CIE-10]]))</calculatedColumnFormula>
    </tableColumn>
    <tableColumn id="3" xr3:uid="{00000000-0010-0000-0600-000003000000}" name="D2" dataDxfId="2033">
      <calculatedColumnFormula>IF($AK$2="(Todas)",COUNTIF(BASE[CODCIE102],EPV_PAROTIDITIS[[#This Row],[CIE-10]]),COUNTIFS(BASE[Cod.Establecimiento],$AK$2,BASE[CODCIE102],EPV_PAROTIDITIS[[#This Row],[CIE-10]]))</calculatedColumnFormula>
    </tableColumn>
    <tableColumn id="4" xr3:uid="{00000000-0010-0000-0600-000004000000}" name="D3" dataDxfId="2032">
      <calculatedColumnFormula>IF($AK$2="(Todas)",COUNTIF(BASE[CODCIE104],EPV_PAROTIDITIS[[#This Row],[CIE-10]]),COUNTIFS(BASE[Cod.Establecimiento],$AK$2,BASE[CODCIE104],EPV_PAROTIDITIS[[#This Row],[CIE-10]]))</calculatedColumnFormula>
    </tableColumn>
    <tableColumn id="5" xr3:uid="{00000000-0010-0000-0600-000005000000}" name="D4" dataDxfId="2031">
      <calculatedColumnFormula>IF($AK$2="(Todas)",COUNTIF(BASE[CODCIE106],EPV_PAROTIDITIS[[#This Row],[CIE-10]]),COUNTIFS(BASE[Cod.Establecimiento],$AK$2,BASE[CODCIE106],EPV_PAROTIDITIS[[#This Row],[CIE-10]]))</calculatedColumnFormula>
    </tableColumn>
    <tableColumn id="6" xr3:uid="{00000000-0010-0000-0600-000006000000}" name="D5" dataDxfId="2030">
      <calculatedColumnFormula>IF($AK$2="(Todas)",COUNTIF(BASE[CODCIE108],EPV_PAROTIDITIS[[#This Row],[CIE-10]]),COUNTIFS(BASE[Cod.Establecimiento],$AK$2,BASE[CODCIE108],EPV_PAROTIDITIS[[#This Row],[CIE-10]]))</calculatedColumnFormula>
    </tableColumn>
    <tableColumn id="7" xr3:uid="{00000000-0010-0000-0600-000007000000}" name="D6" dataDxfId="2029">
      <calculatedColumnFormula>IF($AK$2="(Todas)",COUNTIF(BASE[CODCIE1010],EPV_PAROTIDITIS[[#This Row],[CIE-10]]),COUNTIFS(BASE[Cod.Establecimiento],$AK$2,BASE[CODCIE1010],EPV_PAROTIDITIS[[#This Row],[CIE-10]]))</calculatedColumnFormula>
    </tableColumn>
    <tableColumn id="8" xr3:uid="{00000000-0010-0000-0600-000008000000}" name="TOT" dataDxfId="2028" dataCellStyle="40% - Énfasis6">
      <calculatedColumnFormula>SUM(EPV_PAROTIDITIS[[#This Row],[D1]:[D6]])</calculatedColumnFormula>
    </tableColumn>
  </tableColumns>
  <tableStyleInfo name="TableStyleLight1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EPV_TETANOS_NEONATAL" displayName="EPV_TETANOS_NEONATAL" ref="S19:Z21" totalsRowShown="0" headerRowDxfId="2027">
  <autoFilter ref="S19:Z21" xr:uid="{00000000-0009-0000-0100-000008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0700-000001000000}" name="CIE-10" dataCellStyle="20% - Énfasis4"/>
    <tableColumn id="2" xr3:uid="{00000000-0010-0000-0700-000002000000}" name="D1" dataDxfId="2026">
      <calculatedColumnFormula>IF($AK$2="(Todas)",COUNTIF(BASE[CODCIE10],EPV_TETANOS_NEONATAL[[#This Row],[CIE-10]]),COUNTIFS(BASE[Cod.Establecimiento],$AK$2,BASE[CODCIE10],EPV_TETANOS_NEONATAL[[#This Row],[CIE-10]]))</calculatedColumnFormula>
    </tableColumn>
    <tableColumn id="3" xr3:uid="{00000000-0010-0000-0700-000003000000}" name="D2" dataDxfId="2025">
      <calculatedColumnFormula>IF($AK$2="(Todas)",COUNTIF(BASE[CODCIE102],EPV_TETANOS_NEONATAL[[#This Row],[CIE-10]]),COUNTIFS(BASE[Cod.Establecimiento],$AK$2,BASE[CODCIE102],EPV_TETANOS_NEONATAL[[#This Row],[CIE-10]]))</calculatedColumnFormula>
    </tableColumn>
    <tableColumn id="4" xr3:uid="{00000000-0010-0000-0700-000004000000}" name="D3" dataDxfId="2024">
      <calculatedColumnFormula>IF($AK$2="(Todas)",COUNTIF(BASE[CODCIE104],EPV_TETANOS_NEONATAL[[#This Row],[CIE-10]]),COUNTIFS(BASE[Cod.Establecimiento],$AK$2,BASE[CODCIE104],EPV_TETANOS_NEONATAL[[#This Row],[CIE-10]]))</calculatedColumnFormula>
    </tableColumn>
    <tableColumn id="5" xr3:uid="{00000000-0010-0000-0700-000005000000}" name="D4" dataDxfId="2023">
      <calculatedColumnFormula>IF($AK$2="(Todas)",COUNTIF(BASE[CODCIE106],EPV_TETANOS_NEONATAL[[#This Row],[CIE-10]]),COUNTIFS(BASE[Cod.Establecimiento],$AK$2,BASE[CODCIE106],EPV_TETANOS_NEONATAL[[#This Row],[CIE-10]]))</calculatedColumnFormula>
    </tableColumn>
    <tableColumn id="6" xr3:uid="{00000000-0010-0000-0700-000006000000}" name="D5" dataDxfId="2022">
      <calculatedColumnFormula>IF($AK$2="(Todas)",COUNTIF(BASE[CODCIE108],EPV_TETANOS_NEONATAL[[#This Row],[CIE-10]]),COUNTIFS(BASE[Cod.Establecimiento],$AK$2,BASE[CODCIE108],EPV_TETANOS_NEONATAL[[#This Row],[CIE-10]]))</calculatedColumnFormula>
    </tableColumn>
    <tableColumn id="7" xr3:uid="{00000000-0010-0000-0700-000007000000}" name="D6" dataDxfId="2021">
      <calculatedColumnFormula>IF($AK$2="(Todas)",COUNTIF(BASE[CODCIE1010],EPV_TETANOS_NEONATAL[[#This Row],[CIE-10]]),COUNTIFS(BASE[Cod.Establecimiento],$AK$2,BASE[CODCIE1010],EPV_TETANOS_NEONATAL[[#This Row],[CIE-10]]))</calculatedColumnFormula>
    </tableColumn>
    <tableColumn id="8" xr3:uid="{00000000-0010-0000-0700-000008000000}" name="TOT" dataDxfId="2020" dataCellStyle="40% - Énfasis6">
      <calculatedColumnFormula>SUM(EPV_TETANOS_NEONATAL[[#This Row],[D1]:[D6]])</calculatedColumnFormula>
    </tableColumn>
  </tableColumns>
  <tableStyleInfo name="TableStyleLight1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EPV_TETANOS_OTRAS_EDADES" displayName="EPV_TETANOS_OTRAS_EDADES" ref="AB19:AI20" totalsRowShown="0" headerRowDxfId="2019">
  <autoFilter ref="AB19:AI20" xr:uid="{00000000-0009-0000-0100-000009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0800-000001000000}" name="CIE-10" dataCellStyle="20% - Énfasis4"/>
    <tableColumn id="2" xr3:uid="{00000000-0010-0000-0800-000002000000}" name="D1" dataDxfId="2018">
      <calculatedColumnFormula>IF($AK$2="(Todas)",COUNTIF(BASE[CODCIE10],EPV_TETANOS_OTRAS_EDADES[[#This Row],[CIE-10]]),COUNTIFS(BASE[Cod.Establecimiento],$AK$2,BASE[CODCIE10],EPV_TETANOS_OTRAS_EDADES[[#This Row],[CIE-10]]))</calculatedColumnFormula>
    </tableColumn>
    <tableColumn id="3" xr3:uid="{00000000-0010-0000-0800-000003000000}" name="D2" dataDxfId="2017">
      <calculatedColumnFormula>IF($AK$2="(Todas)",COUNTIF(BASE[CODCIE102],EPV_TETANOS_OTRAS_EDADES[[#This Row],[CIE-10]]),COUNTIFS(BASE[Cod.Establecimiento],$AK$2,BASE[CODCIE102],EPV_TETANOS_OTRAS_EDADES[[#This Row],[CIE-10]]))</calculatedColumnFormula>
    </tableColumn>
    <tableColumn id="4" xr3:uid="{00000000-0010-0000-0800-000004000000}" name="D3" dataDxfId="2016">
      <calculatedColumnFormula>IF($AK$2="(Todas)",COUNTIF(BASE[CODCIE104],EPV_TETANOS_OTRAS_EDADES[[#This Row],[CIE-10]]),COUNTIFS(BASE[Cod.Establecimiento],$AK$2,BASE[CODCIE104],EPV_TETANOS_OTRAS_EDADES[[#This Row],[CIE-10]]))</calculatedColumnFormula>
    </tableColumn>
    <tableColumn id="5" xr3:uid="{00000000-0010-0000-0800-000005000000}" name="D4" dataDxfId="2015">
      <calculatedColumnFormula>IF($AK$2="(Todas)",COUNTIF(BASE[CODCIE106],EPV_TETANOS_OTRAS_EDADES[[#This Row],[CIE-10]]),COUNTIFS(BASE[Cod.Establecimiento],$AK$2,BASE[CODCIE106],EPV_TETANOS_OTRAS_EDADES[[#This Row],[CIE-10]]))</calculatedColumnFormula>
    </tableColumn>
    <tableColumn id="6" xr3:uid="{00000000-0010-0000-0800-000006000000}" name="D5" dataDxfId="2014">
      <calculatedColumnFormula>IF($AK$2="(Todas)",COUNTIF(BASE[CODCIE108],EPV_TETANOS_OTRAS_EDADES[[#This Row],[CIE-10]]),COUNTIFS(BASE[Cod.Establecimiento],$AK$2,BASE[CODCIE108],EPV_TETANOS_OTRAS_EDADES[[#This Row],[CIE-10]]))</calculatedColumnFormula>
    </tableColumn>
    <tableColumn id="7" xr3:uid="{00000000-0010-0000-0800-000007000000}" name="D6" dataDxfId="2013">
      <calculatedColumnFormula>IF($AK$2="(Todas)",COUNTIF(BASE[CODCIE1010],EPV_TETANOS_OTRAS_EDADES[[#This Row],[CIE-10]]),COUNTIFS(BASE[Cod.Establecimiento],$AK$2,BASE[CODCIE1010],EPV_TETANOS_OTRAS_EDADES[[#This Row],[CIE-10]]))</calculatedColumnFormula>
    </tableColumn>
    <tableColumn id="8" xr3:uid="{00000000-0010-0000-0800-000008000000}" name="TOT" dataDxfId="2012" dataCellStyle="40% - Énfasis6">
      <calculatedColumnFormula>SUM(EPV_TETANOS_OTRAS_EDADES[[#This Row],[D1]:[D6]])</calculatedColumnFormula>
    </tableColumn>
  </tableColumns>
  <tableStyleInfo name="TableStyleLight1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EPV_VARICELA" displayName="EPV_VARICELA" ref="A30:H33" totalsRowShown="0" headerRowDxfId="2011">
  <autoFilter ref="A30:H33" xr:uid="{00000000-0009-0000-0100-00000A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0900-000001000000}" name="CIE-10" dataCellStyle="20% - Énfasis4"/>
    <tableColumn id="2" xr3:uid="{00000000-0010-0000-0900-000002000000}" name="D1" dataDxfId="2010">
      <calculatedColumnFormula>IF($AK$2="(Todas)",COUNTIF(BASE[CODCIE10],EPV_VARICELA[[#This Row],[CIE-10]]),COUNTIFS(BASE[Cod.Establecimiento],$AK$2,BASE[CODCIE10],EPV_VARICELA[[#This Row],[CIE-10]]))</calculatedColumnFormula>
    </tableColumn>
    <tableColumn id="3" xr3:uid="{00000000-0010-0000-0900-000003000000}" name="D2" dataDxfId="2009">
      <calculatedColumnFormula>IF($AK$2="(Todas)",COUNTIF(BASE[CODCIE102],EPV_VARICELA[[#This Row],[CIE-10]]),COUNTIFS(BASE[Cod.Establecimiento],$AK$2,BASE[CODCIE102],EPV_VARICELA[[#This Row],[CIE-10]]))</calculatedColumnFormula>
    </tableColumn>
    <tableColumn id="4" xr3:uid="{00000000-0010-0000-0900-000004000000}" name="D3" dataDxfId="2008">
      <calculatedColumnFormula>IF($AK$2="(Todas)",COUNTIF(BASE[CODCIE104],EPV_VARICELA[[#This Row],[CIE-10]]),COUNTIFS(BASE[Cod.Establecimiento],$AK$2,BASE[CODCIE104],EPV_VARICELA[[#This Row],[CIE-10]]))</calculatedColumnFormula>
    </tableColumn>
    <tableColumn id="5" xr3:uid="{00000000-0010-0000-0900-000005000000}" name="D4" dataDxfId="2007">
      <calculatedColumnFormula>IF($AK$2="(Todas)",COUNTIF(BASE[CODCIE106],EPV_VARICELA[[#This Row],[CIE-10]]),COUNTIFS(BASE[Cod.Establecimiento],$AK$2,BASE[CODCIE106],EPV_VARICELA[[#This Row],[CIE-10]]))</calculatedColumnFormula>
    </tableColumn>
    <tableColumn id="6" xr3:uid="{00000000-0010-0000-0900-000006000000}" name="D5" dataDxfId="2006">
      <calculatedColumnFormula>IF($AK$2="(Todas)",COUNTIF(BASE[CODCIE108],EPV_VARICELA[[#This Row],[CIE-10]]),COUNTIFS(BASE[Cod.Establecimiento],$AK$2,BASE[CODCIE108],EPV_VARICELA[[#This Row],[CIE-10]]))</calculatedColumnFormula>
    </tableColumn>
    <tableColumn id="7" xr3:uid="{00000000-0010-0000-0900-000007000000}" name="D6" dataDxfId="2005">
      <calculatedColumnFormula>IF($AK$2="(Todas)",COUNTIF(BASE[CODCIE1010],EPV_VARICELA[[#This Row],[CIE-10]]),COUNTIFS(BASE[Cod.Establecimiento],$AK$2,BASE[CODCIE1010],EPV_VARICELA[[#This Row],[CIE-10]]))</calculatedColumnFormula>
    </tableColumn>
    <tableColumn id="8" xr3:uid="{00000000-0010-0000-0900-000008000000}" name="TOT" dataDxfId="2004" dataCellStyle="40% - Énfasis6">
      <calculatedColumnFormula>SUM(EPV_VARICELA[[#This Row],[D1]:[D6]])</calculatedColumnFormula>
    </tableColumn>
  </tableColumns>
  <tableStyleInfo name="TableStyleLight1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EPV_ESAVI" displayName="EPV_ESAVI" ref="J30:Q37" totalsRowShown="0" headerRowDxfId="2003">
  <autoFilter ref="J30:Q37" xr:uid="{00000000-0009-0000-0100-00000B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0A00-000001000000}" name="CIE-10" dataCellStyle="20% - Énfasis4"/>
    <tableColumn id="2" xr3:uid="{00000000-0010-0000-0A00-000002000000}" name="D1" dataDxfId="2002">
      <calculatedColumnFormula>IF($AK$2="(Todas)",COUNTIF(BASE[CODCIE10],EPV_ESAVI[[#This Row],[CIE-10]]),COUNTIFS(BASE[Cod.Establecimiento],$AK$2,BASE[CODCIE10],EPV_ESAVI[[#This Row],[CIE-10]]))</calculatedColumnFormula>
    </tableColumn>
    <tableColumn id="3" xr3:uid="{00000000-0010-0000-0A00-000003000000}" name="D2" dataDxfId="2001">
      <calculatedColumnFormula>IF($AK$2="(Todas)",COUNTIF(BASE[CODCIE102],EPV_ESAVI[[#This Row],[CIE-10]]),COUNTIFS(BASE[Cod.Establecimiento],$AK$2,BASE[CODCIE102],EPV_ESAVI[[#This Row],[CIE-10]]))</calculatedColumnFormula>
    </tableColumn>
    <tableColumn id="4" xr3:uid="{00000000-0010-0000-0A00-000004000000}" name="D3" dataDxfId="2000">
      <calculatedColumnFormula>IF($AK$2="(Todas)",COUNTIF(BASE[CODCIE104],EPV_ESAVI[[#This Row],[CIE-10]]),COUNTIFS(BASE[Cod.Establecimiento],$AK$2,BASE[CODCIE104],EPV_ESAVI[[#This Row],[CIE-10]]))</calculatedColumnFormula>
    </tableColumn>
    <tableColumn id="5" xr3:uid="{00000000-0010-0000-0A00-000005000000}" name="D4" dataDxfId="1999">
      <calculatedColumnFormula>IF($AK$2="(Todas)",COUNTIF(BASE[CODCIE106],EPV_ESAVI[[#This Row],[CIE-10]]),COUNTIFS(BASE[Cod.Establecimiento],$AK$2,BASE[CODCIE106],EPV_ESAVI[[#This Row],[CIE-10]]))</calculatedColumnFormula>
    </tableColumn>
    <tableColumn id="6" xr3:uid="{00000000-0010-0000-0A00-000006000000}" name="D5" dataDxfId="1998">
      <calculatedColumnFormula>IF($AK$2="(Todas)",COUNTIF(BASE[CODCIE108],EPV_ESAVI[[#This Row],[CIE-10]]),COUNTIFS(BASE[Cod.Establecimiento],$AK$2,BASE[CODCIE108],EPV_ESAVI[[#This Row],[CIE-10]]))</calculatedColumnFormula>
    </tableColumn>
    <tableColumn id="7" xr3:uid="{00000000-0010-0000-0A00-000007000000}" name="D6" dataDxfId="1997">
      <calculatedColumnFormula>IF($AK$2="(Todas)",COUNTIF(BASE[CODCIE1010],EPV_ESAVI[[#This Row],[CIE-10]]),COUNTIFS(BASE[Cod.Establecimiento],$AK$2,BASE[CODCIE1010],EPV_ESAVI[[#This Row],[CIE-10]]))</calculatedColumnFormula>
    </tableColumn>
    <tableColumn id="8" xr3:uid="{00000000-0010-0000-0A00-000008000000}" name="TOT" dataDxfId="1996" dataCellStyle="40% - Énfasis6">
      <calculatedColumnFormula>SUM(EPV_ESAVI[[#This Row],[D1]:[D6]])</calculatedColumnFormula>
    </tableColumn>
  </tableColumns>
  <tableStyleInfo name="TableStyleLight1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ENOS_G1_COLERA" displayName="ENOS_G1_COLERA" ref="P36:W37" totalsRowShown="0" headerRowDxfId="1995">
  <autoFilter ref="P36:W37" xr:uid="{00000000-0009-0000-0100-00000C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0B00-000001000000}" name="CIE-10" dataCellStyle="20% - Énfasis4"/>
    <tableColumn id="2" xr3:uid="{00000000-0010-0000-0B00-000002000000}" name="D1" dataDxfId="1994">
      <calculatedColumnFormula>IF($O$3="(Todas)",COUNTIF(BASE[CODCIE10],ENOS_G1_COLERA[[#This Row],[CIE-10]]),COUNTIFS(BASE[Cod.Establecimiento],$O$3,BASE[CODCIE10],ENOS_G1_COLERA[[#This Row],[CIE-10]]))</calculatedColumnFormula>
    </tableColumn>
    <tableColumn id="3" xr3:uid="{00000000-0010-0000-0B00-000003000000}" name="D2" dataDxfId="1993">
      <calculatedColumnFormula>IF($O$3="(Todas)",COUNTIF(BASE[CODCIE102],ENOS_G1_COLERA[[#This Row],[CIE-10]]),COUNTIFS(BASE[Cod.Establecimiento],$O$3,BASE[CODCIE102],ENOS_G1_COLERA[[#This Row],[CIE-10]]))</calculatedColumnFormula>
    </tableColumn>
    <tableColumn id="4" xr3:uid="{00000000-0010-0000-0B00-000004000000}" name="D3" dataDxfId="1992">
      <calculatedColumnFormula>IF($O$3="(Todas)",COUNTIF(BASE[CODCIE104],ENOS_G1_COLERA[[#This Row],[CIE-10]]),COUNTIFS(BASE[Cod.Establecimiento],$O$3,BASE[CODCIE104],ENOS_G1_COLERA[[#This Row],[CIE-10]]))</calculatedColumnFormula>
    </tableColumn>
    <tableColumn id="5" xr3:uid="{00000000-0010-0000-0B00-000005000000}" name="D4" dataDxfId="1991">
      <calculatedColumnFormula>IF($O$3="(Todas)",COUNTIF(BASE[CODCIE106],ENOS_G1_COLERA[[#This Row],[CIE-10]]),COUNTIFS(BASE[Cod.Establecimiento],$O$3,BASE[CODCIE106],ENOS_G1_COLERA[[#This Row],[CIE-10]]))</calculatedColumnFormula>
    </tableColumn>
    <tableColumn id="6" xr3:uid="{00000000-0010-0000-0B00-000006000000}" name="D5" dataDxfId="1990">
      <calculatedColumnFormula>IF($O$3="(Todas)",COUNTIF(BASE[CODCIE108],ENOS_G1_COLERA[[#This Row],[CIE-10]]),COUNTIFS(BASE[Cod.Establecimiento],$O$3,BASE[CODCIE108],ENOS_G1_COLERA[[#This Row],[CIE-10]]))</calculatedColumnFormula>
    </tableColumn>
    <tableColumn id="7" xr3:uid="{00000000-0010-0000-0B00-000007000000}" name="D6" dataDxfId="1989">
      <calculatedColumnFormula>IF($O$3="(Todas)",COUNTIF(BASE[CODCIE1010],ENOS_G1_COLERA[[#This Row],[CIE-10]]),COUNTIFS(BASE[Cod.Establecimiento],$O$3,BASE[CODCIE1010],ENOS_G1_COLERA[[#This Row],[CIE-10]]))</calculatedColumnFormula>
    </tableColumn>
    <tableColumn id="8" xr3:uid="{00000000-0010-0000-0B00-000008000000}" name="TOT" dataDxfId="1988">
      <calculatedColumnFormula>SUM(ENOS_G1_COLERA[[#This Row],[D1]:[D6]])</calculatedColumnFormula>
    </tableColumn>
  </tableColumns>
  <tableStyleInfo name="TableStyleLight1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ENOS_G1_FIEBRE_AMARILLA" displayName="ENOS_G1_FIEBRE_AMARILLA" ref="Y36:AF37" totalsRowShown="0" headerRowDxfId="1987">
  <autoFilter ref="Y36:AF37" xr:uid="{00000000-0009-0000-0100-00000D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0C00-000001000000}" name="CIE-10" dataCellStyle="20% - Énfasis4"/>
    <tableColumn id="2" xr3:uid="{00000000-0010-0000-0C00-000002000000}" name="D1" dataDxfId="1986">
      <calculatedColumnFormula>IF($O$3="(Todas)",COUNTIF(BASE[CODCIE10],ENOS_G1_FIEBRE_AMARILLA[[#This Row],[CIE-10]]),COUNTIFS(BASE[Cod.Establecimiento],$O$3,BASE[CODCIE10],ENOS_G1_FIEBRE_AMARILLA[[#This Row],[CIE-10]]))</calculatedColumnFormula>
    </tableColumn>
    <tableColumn id="3" xr3:uid="{00000000-0010-0000-0C00-000003000000}" name="D2" dataDxfId="1985">
      <calculatedColumnFormula>IF($O$3="(Todas)",COUNTIF(BASE[CODCIE102],ENOS_G1_FIEBRE_AMARILLA[[#This Row],[CIE-10]]),COUNTIFS(BASE[Cod.Establecimiento],$O$3,BASE[CODCIE102],ENOS_G1_FIEBRE_AMARILLA[[#This Row],[CIE-10]]))</calculatedColumnFormula>
    </tableColumn>
    <tableColumn id="4" xr3:uid="{00000000-0010-0000-0C00-000004000000}" name="D3" dataDxfId="1984">
      <calculatedColumnFormula>IF($O$3="(Todas)",COUNTIF(BASE[CODCIE104],ENOS_G1_FIEBRE_AMARILLA[[#This Row],[CIE-10]]),COUNTIFS(BASE[Cod.Establecimiento],$O$3,BASE[CODCIE104],ENOS_G1_FIEBRE_AMARILLA[[#This Row],[CIE-10]]))</calculatedColumnFormula>
    </tableColumn>
    <tableColumn id="5" xr3:uid="{00000000-0010-0000-0C00-000005000000}" name="D4" dataDxfId="1983">
      <calculatedColumnFormula>IF($O$3="(Todas)",COUNTIF(BASE[CODCIE106],ENOS_G1_FIEBRE_AMARILLA[[#This Row],[CIE-10]]),COUNTIFS(BASE[Cod.Establecimiento],$O$3,BASE[CODCIE106],ENOS_G1_FIEBRE_AMARILLA[[#This Row],[CIE-10]]))</calculatedColumnFormula>
    </tableColumn>
    <tableColumn id="6" xr3:uid="{00000000-0010-0000-0C00-000006000000}" name="D5" dataDxfId="1982">
      <calculatedColumnFormula>IF($O$3="(Todas)",COUNTIF(BASE[CODCIE108],ENOS_G1_FIEBRE_AMARILLA[[#This Row],[CIE-10]]),COUNTIFS(BASE[Cod.Establecimiento],$O$3,BASE[CODCIE108],ENOS_G1_FIEBRE_AMARILLA[[#This Row],[CIE-10]]))</calculatedColumnFormula>
    </tableColumn>
    <tableColumn id="7" xr3:uid="{00000000-0010-0000-0C00-000007000000}" name="D6" dataDxfId="1981">
      <calculatedColumnFormula>IF($O$3="(Todas)",COUNTIF(BASE[CODCIE1010],ENOS_G1_FIEBRE_AMARILLA[[#This Row],[CIE-10]]),COUNTIFS(BASE[Cod.Establecimiento],$O$3,BASE[CODCIE1010],ENOS_G1_FIEBRE_AMARILLA[[#This Row],[CIE-10]]))</calculatedColumnFormula>
    </tableColumn>
    <tableColumn id="8" xr3:uid="{00000000-0010-0000-0C00-000008000000}" name="TOT" dataDxfId="1980">
      <calculatedColumnFormula>SUM(ENOS_G1_FIEBRE_AMARILLA[[#This Row],[D1]:[D6]])</calculatedColumnFormula>
    </tableColumn>
  </tableColumns>
  <tableStyleInfo name="TableStyleLight1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ENOS_G1_PESTE" displayName="ENOS_G1_PESTE" ref="P40:W41" totalsRowShown="0" headerRowDxfId="1979">
  <autoFilter ref="P40:W41" xr:uid="{00000000-0009-0000-0100-00000E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0D00-000001000000}" name="CIE-10" dataCellStyle="20% - Énfasis4"/>
    <tableColumn id="2" xr3:uid="{00000000-0010-0000-0D00-000002000000}" name="D1" dataDxfId="1978">
      <calculatedColumnFormula>IF($O$3="(Todas)",COUNTIF(BASE[CODCIE10],ENOS_G1_PESTE[[#This Row],[CIE-10]]),COUNTIFS(BASE[Cod.Establecimiento],$O$3,BASE[CODCIE10],ENOS_G1_PESTE[[#This Row],[CIE-10]]))</calculatedColumnFormula>
    </tableColumn>
    <tableColumn id="3" xr3:uid="{00000000-0010-0000-0D00-000003000000}" name="D2" dataDxfId="1977">
      <calculatedColumnFormula>IF($O$3="(Todas)",COUNTIF(BASE[CODCIE102],ENOS_G1_PESTE[[#This Row],[CIE-10]]),COUNTIFS(BASE[Cod.Establecimiento],$O$3,BASE[CODCIE102],ENOS_G1_PESTE[[#This Row],[CIE-10]]))</calculatedColumnFormula>
    </tableColumn>
    <tableColumn id="4" xr3:uid="{00000000-0010-0000-0D00-000004000000}" name="D3" dataDxfId="1976">
      <calculatedColumnFormula>IF($O$3="(Todas)",COUNTIF(BASE[CODCIE104],ENOS_G1_PESTE[[#This Row],[CIE-10]]),COUNTIFS(BASE[Cod.Establecimiento],$O$3,BASE[CODCIE104],ENOS_G1_PESTE[[#This Row],[CIE-10]]))</calculatedColumnFormula>
    </tableColumn>
    <tableColumn id="5" xr3:uid="{00000000-0010-0000-0D00-000005000000}" name="D4" dataDxfId="1975">
      <calculatedColumnFormula>IF($O$3="(Todas)",COUNTIF(BASE[CODCIE106],ENOS_G1_PESTE[[#This Row],[CIE-10]]),COUNTIFS(BASE[Cod.Establecimiento],$O$3,BASE[CODCIE106],ENOS_G1_PESTE[[#This Row],[CIE-10]]))</calculatedColumnFormula>
    </tableColumn>
    <tableColumn id="6" xr3:uid="{00000000-0010-0000-0D00-000006000000}" name="D5" dataDxfId="1974">
      <calculatedColumnFormula>IF($O$3="(Todas)",COUNTIF(BASE[CODCIE108],ENOS_G1_PESTE[[#This Row],[CIE-10]]),COUNTIFS(BASE[Cod.Establecimiento],$O$3,BASE[CODCIE108],ENOS_G1_PESTE[[#This Row],[CIE-10]]))</calculatedColumnFormula>
    </tableColumn>
    <tableColumn id="7" xr3:uid="{00000000-0010-0000-0D00-000007000000}" name="D6" dataDxfId="1973">
      <calculatedColumnFormula>IF($O$3="(Todas)",COUNTIF(BASE[CODCIE1010],ENOS_G1_PESTE[[#This Row],[CIE-10]]),COUNTIFS(BASE[Cod.Establecimiento],$O$3,BASE[CODCIE1010],ENOS_G1_PESTE[[#This Row],[CIE-10]]))</calculatedColumnFormula>
    </tableColumn>
    <tableColumn id="8" xr3:uid="{00000000-0010-0000-0D00-000008000000}" name="TOT" dataDxfId="1972">
      <calculatedColumnFormula>SUM(ENOS_G1_PESTE[[#This Row],[D1]:[D6]])</calculatedColumnFormula>
    </tableColumn>
  </tableColumns>
  <tableStyleInfo name="TableStyleLight1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ENOS_G1_POLIOMIELITIS_AGUDA" displayName="ENOS_G1_POLIOMIELITIS_AGUDA" ref="Y40:AF41" totalsRowShown="0" headerRowDxfId="1971">
  <autoFilter ref="Y40:AF41" xr:uid="{00000000-0009-0000-0100-00000F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0E00-000001000000}" name="CIE-10" dataCellStyle="20% - Énfasis4"/>
    <tableColumn id="2" xr3:uid="{00000000-0010-0000-0E00-000002000000}" name="D1" dataDxfId="1970">
      <calculatedColumnFormula>IF($O$3="(Todas)",COUNTIF(BASE[CODCIE10],ENOS_G1_POLIOMIELITIS_AGUDA[[#This Row],[CIE-10]]),COUNTIFS(BASE[Cod.Establecimiento],$O$3,BASE[CODCIE10],ENOS_G1_POLIOMIELITIS_AGUDA[[#This Row],[CIE-10]]))</calculatedColumnFormula>
    </tableColumn>
    <tableColumn id="3" xr3:uid="{00000000-0010-0000-0E00-000003000000}" name="D2" dataDxfId="1969">
      <calculatedColumnFormula>IF($O$3="(Todas)",COUNTIF(BASE[CODCIE102],ENOS_G1_POLIOMIELITIS_AGUDA[[#This Row],[CIE-10]]),COUNTIFS(BASE[Cod.Establecimiento],$O$3,BASE[CODCIE102],ENOS_G1_POLIOMIELITIS_AGUDA[[#This Row],[CIE-10]]))</calculatedColumnFormula>
    </tableColumn>
    <tableColumn id="4" xr3:uid="{00000000-0010-0000-0E00-000004000000}" name="D3" dataDxfId="1968">
      <calculatedColumnFormula>IF($O$3="(Todas)",COUNTIF(BASE[CODCIE104],ENOS_G1_POLIOMIELITIS_AGUDA[[#This Row],[CIE-10]]),COUNTIFS(BASE[Cod.Establecimiento],$O$3,BASE[CODCIE104],ENOS_G1_POLIOMIELITIS_AGUDA[[#This Row],[CIE-10]]))</calculatedColumnFormula>
    </tableColumn>
    <tableColumn id="5" xr3:uid="{00000000-0010-0000-0E00-000005000000}" name="D4" dataDxfId="1967">
      <calculatedColumnFormula>IF($O$3="(Todas)",COUNTIF(BASE[CODCIE106],ENOS_G1_POLIOMIELITIS_AGUDA[[#This Row],[CIE-10]]),COUNTIFS(BASE[Cod.Establecimiento],$O$3,BASE[CODCIE106],ENOS_G1_POLIOMIELITIS_AGUDA[[#This Row],[CIE-10]]))</calculatedColumnFormula>
    </tableColumn>
    <tableColumn id="6" xr3:uid="{00000000-0010-0000-0E00-000006000000}" name="D5" dataDxfId="1966">
      <calculatedColumnFormula>IF($O$3="(Todas)",COUNTIF(BASE[CODCIE108],ENOS_G1_POLIOMIELITIS_AGUDA[[#This Row],[CIE-10]]),COUNTIFS(BASE[Cod.Establecimiento],$O$3,BASE[CODCIE108],ENOS_G1_POLIOMIELITIS_AGUDA[[#This Row],[CIE-10]]))</calculatedColumnFormula>
    </tableColumn>
    <tableColumn id="7" xr3:uid="{00000000-0010-0000-0E00-000007000000}" name="D6" dataDxfId="1965">
      <calculatedColumnFormula>IF($O$3="(Todas)",COUNTIF(BASE[CODCIE1010],ENOS_G1_POLIOMIELITIS_AGUDA[[#This Row],[CIE-10]]),COUNTIFS(BASE[Cod.Establecimiento],$O$3,BASE[CODCIE1010],ENOS_G1_POLIOMIELITIS_AGUDA[[#This Row],[CIE-10]]))</calculatedColumnFormula>
    </tableColumn>
    <tableColumn id="8" xr3:uid="{00000000-0010-0000-0E00-000008000000}" name="TOT" dataDxfId="1964">
      <calculatedColumnFormula>SUM(ENOS_G1_POLIOMIELITIS_AGUDA[[#This Row],[D1]:[D6]])</calculatedColumnFormula>
    </tableColumn>
  </tableColumns>
  <tableStyleInfo name="TableStyleLight1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ENOS_G1_RUBEOLA" displayName="ENOS_G1_RUBEOLA" ref="P44:W45" totalsRowShown="0" headerRowDxfId="1963">
  <autoFilter ref="P44:W45" xr:uid="{00000000-0009-0000-0100-000010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0F00-000001000000}" name="CIE-10" dataCellStyle="20% - Énfasis4"/>
    <tableColumn id="2" xr3:uid="{00000000-0010-0000-0F00-000002000000}" name="D1" dataDxfId="1962">
      <calculatedColumnFormula>IF($O$3="(Todas)",COUNTIF(BASE[CODCIE10],ENOS_G1_RUBEOLA[[#This Row],[CIE-10]]),COUNTIFS(BASE[Cod.Establecimiento],$O$3,BASE[CODCIE10],ENOS_G1_RUBEOLA[[#This Row],[CIE-10]]))</calculatedColumnFormula>
    </tableColumn>
    <tableColumn id="3" xr3:uid="{00000000-0010-0000-0F00-000003000000}" name="D2" dataDxfId="1961">
      <calculatedColumnFormula>IF($O$3="(Todas)",COUNTIF(BASE[CODCIE102],ENOS_G1_RUBEOLA[[#This Row],[CIE-10]]),COUNTIFS(BASE[Cod.Establecimiento],$O$3,BASE[CODCIE102],ENOS_G1_RUBEOLA[[#This Row],[CIE-10]]))</calculatedColumnFormula>
    </tableColumn>
    <tableColumn id="4" xr3:uid="{00000000-0010-0000-0F00-000004000000}" name="D3" dataDxfId="1960">
      <calculatedColumnFormula>IF($O$3="(Todas)",COUNTIF(BASE[CODCIE104],ENOS_G1_RUBEOLA[[#This Row],[CIE-10]]),COUNTIFS(BASE[Cod.Establecimiento],$O$3,BASE[CODCIE104],ENOS_G1_RUBEOLA[[#This Row],[CIE-10]]))</calculatedColumnFormula>
    </tableColumn>
    <tableColumn id="5" xr3:uid="{00000000-0010-0000-0F00-000005000000}" name="D4" dataDxfId="1959">
      <calculatedColumnFormula>IF($O$3="(Todas)",COUNTIF(BASE[CODCIE106],ENOS_G1_RUBEOLA[[#This Row],[CIE-10]]),COUNTIFS(BASE[Cod.Establecimiento],$O$3,BASE[CODCIE106],ENOS_G1_RUBEOLA[[#This Row],[CIE-10]]))</calculatedColumnFormula>
    </tableColumn>
    <tableColumn id="6" xr3:uid="{00000000-0010-0000-0F00-000006000000}" name="D5" dataDxfId="1958">
      <calculatedColumnFormula>IF($O$3="(Todas)",COUNTIF(BASE[CODCIE108],ENOS_G1_RUBEOLA[[#This Row],[CIE-10]]),COUNTIFS(BASE[Cod.Establecimiento],$O$3,BASE[CODCIE108],ENOS_G1_RUBEOLA[[#This Row],[CIE-10]]))</calculatedColumnFormula>
    </tableColumn>
    <tableColumn id="7" xr3:uid="{00000000-0010-0000-0F00-000007000000}" name="D6" dataDxfId="1957">
      <calculatedColumnFormula>IF($O$3="(Todas)",COUNTIF(BASE[CODCIE1010],ENOS_G1_RUBEOLA[[#This Row],[CIE-10]]),COUNTIFS(BASE[Cod.Establecimiento],$O$3,BASE[CODCIE1010],ENOS_G1_RUBEOLA[[#This Row],[CIE-10]]))</calculatedColumnFormula>
    </tableColumn>
    <tableColumn id="8" xr3:uid="{00000000-0010-0000-0F00-000008000000}" name="TOT" dataDxfId="1956">
      <calculatedColumnFormula>SUM(ENOS_G1_RUBEOLA[[#This Row],[D1]:[D6]])</calculatedColumnFormula>
    </tableColumn>
  </tableColumns>
  <tableStyleInfo name="TableStyleLight1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ENOS_G1_SINDROME_DE_RUBEOLA_CONGENITA" displayName="ENOS_G1_SINDROME_DE_RUBEOLA_CONGENITA" ref="P48:W49" totalsRowShown="0" headerRowDxfId="1955">
  <autoFilter ref="P48:W49" xr:uid="{00000000-0009-0000-0100-00001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1000-000001000000}" name="CIE-10" dataCellStyle="20% - Énfasis4"/>
    <tableColumn id="2" xr3:uid="{00000000-0010-0000-1000-000002000000}" name="D1" dataDxfId="1954">
      <calculatedColumnFormula>IF($O$3="(Todas)",COUNTIF(BASE[CODCIE10],ENOS_G1_SINDROME_DE_RUBEOLA_CONGENITA[[#This Row],[CIE-10]]),COUNTIFS(BASE[Cod.Establecimiento],$O$3,BASE[CODCIE10],ENOS_G1_SINDROME_DE_RUBEOLA_CONGENITA[[#This Row],[CIE-10]]))</calculatedColumnFormula>
    </tableColumn>
    <tableColumn id="3" xr3:uid="{00000000-0010-0000-1000-000003000000}" name="D2" dataDxfId="1953">
      <calculatedColumnFormula>IF($O$3="(Todas)",COUNTIF(BASE[CODCIE102],ENOS_G1_SINDROME_DE_RUBEOLA_CONGENITA[[#This Row],[CIE-10]]),COUNTIFS(BASE[Cod.Establecimiento],$O$3,BASE[CODCIE102],ENOS_G1_SINDROME_DE_RUBEOLA_CONGENITA[[#This Row],[CIE-10]]))</calculatedColumnFormula>
    </tableColumn>
    <tableColumn id="4" xr3:uid="{00000000-0010-0000-1000-000004000000}" name="D3" dataDxfId="1952">
      <calculatedColumnFormula>IF($O$3="(Todas)",COUNTIF(BASE[CODCIE104],ENOS_G1_SINDROME_DE_RUBEOLA_CONGENITA[[#This Row],[CIE-10]]),COUNTIFS(BASE[Cod.Establecimiento],$O$3,BASE[CODCIE104],ENOS_G1_SINDROME_DE_RUBEOLA_CONGENITA[[#This Row],[CIE-10]]))</calculatedColumnFormula>
    </tableColumn>
    <tableColumn id="5" xr3:uid="{00000000-0010-0000-1000-000005000000}" name="D4" dataDxfId="1951">
      <calculatedColumnFormula>IF($O$3="(Todas)",COUNTIF(BASE[CODCIE106],ENOS_G1_SINDROME_DE_RUBEOLA_CONGENITA[[#This Row],[CIE-10]]),COUNTIFS(BASE[Cod.Establecimiento],$O$3,BASE[CODCIE106],ENOS_G1_SINDROME_DE_RUBEOLA_CONGENITA[[#This Row],[CIE-10]]))</calculatedColumnFormula>
    </tableColumn>
    <tableColumn id="6" xr3:uid="{00000000-0010-0000-1000-000006000000}" name="D5" dataDxfId="1950">
      <calculatedColumnFormula>IF($O$3="(Todas)",COUNTIF(BASE[CODCIE108],ENOS_G1_SINDROME_DE_RUBEOLA_CONGENITA[[#This Row],[CIE-10]]),COUNTIFS(BASE[Cod.Establecimiento],$O$3,BASE[CODCIE108],ENOS_G1_SINDROME_DE_RUBEOLA_CONGENITA[[#This Row],[CIE-10]]))</calculatedColumnFormula>
    </tableColumn>
    <tableColumn id="7" xr3:uid="{00000000-0010-0000-1000-000007000000}" name="D6" dataDxfId="1949">
      <calculatedColumnFormula>IF($O$3="(Todas)",COUNTIF(BASE[CODCIE1010],ENOS_G1_SINDROME_DE_RUBEOLA_CONGENITA[[#This Row],[CIE-10]]),COUNTIFS(BASE[Cod.Establecimiento],$O$3,BASE[CODCIE1010],ENOS_G1_SINDROME_DE_RUBEOLA_CONGENITA[[#This Row],[CIE-10]]))</calculatedColumnFormula>
    </tableColumn>
    <tableColumn id="8" xr3:uid="{00000000-0010-0000-1000-000008000000}" name="TOT" dataDxfId="1948">
      <calculatedColumnFormula>SUM(ENOS_G1_SINDROME_DE_RUBEOLA_CONGENITA[[#This Row],[D1]:[D6]])</calculatedColumnFormula>
    </tableColumn>
  </tableColumns>
  <tableStyleInfo name="TableStyleLight1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ENOS_G1_SARAMPION" displayName="ENOS_G1_SARAMPION" ref="Y44:AF45" totalsRowShown="0" headerRowDxfId="1947">
  <autoFilter ref="Y44:AF45" xr:uid="{00000000-0009-0000-0100-000012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1100-000001000000}" name="CIE-10" dataCellStyle="20% - Énfasis4"/>
    <tableColumn id="2" xr3:uid="{00000000-0010-0000-1100-000002000000}" name="D1" dataDxfId="1946">
      <calculatedColumnFormula>IF($O$3="(Todas)",COUNTIF(BASE[CODCIE10],ENOS_G1_SARAMPION[[#This Row],[CIE-10]]),COUNTIFS(BASE[Cod.Establecimiento],$O$3,BASE[CODCIE10],ENOS_G1_SARAMPION[[#This Row],[CIE-10]]))</calculatedColumnFormula>
    </tableColumn>
    <tableColumn id="3" xr3:uid="{00000000-0010-0000-1100-000003000000}" name="D2" dataDxfId="1945">
      <calculatedColumnFormula>IF($O$3="(Todas)",COUNTIF(BASE[CODCIE102],ENOS_G1_SARAMPION[[#This Row],[CIE-10]]),COUNTIFS(BASE[Cod.Establecimiento],$O$3,BASE[CODCIE102],ENOS_G1_SARAMPION[[#This Row],[CIE-10]]))</calculatedColumnFormula>
    </tableColumn>
    <tableColumn id="4" xr3:uid="{00000000-0010-0000-1100-000004000000}" name="D3" dataDxfId="1944">
      <calculatedColumnFormula>IF($O$3="(Todas)",COUNTIF(BASE[CODCIE104],ENOS_G1_SARAMPION[[#This Row],[CIE-10]]),COUNTIFS(BASE[Cod.Establecimiento],$O$3,BASE[CODCIE104],ENOS_G1_SARAMPION[[#This Row],[CIE-10]]))</calculatedColumnFormula>
    </tableColumn>
    <tableColumn id="5" xr3:uid="{00000000-0010-0000-1100-000005000000}" name="D4" dataDxfId="1943">
      <calculatedColumnFormula>IF($O$3="(Todas)",COUNTIF(BASE[CODCIE106],ENOS_G1_SARAMPION[[#This Row],[CIE-10]]),COUNTIFS(BASE[Cod.Establecimiento],$O$3,BASE[CODCIE106],ENOS_G1_SARAMPION[[#This Row],[CIE-10]]))</calculatedColumnFormula>
    </tableColumn>
    <tableColumn id="6" xr3:uid="{00000000-0010-0000-1100-000006000000}" name="D5" dataDxfId="1942">
      <calculatedColumnFormula>IF($O$3="(Todas)",COUNTIF(BASE[CODCIE108],ENOS_G1_SARAMPION[[#This Row],[CIE-10]]),COUNTIFS(BASE[Cod.Establecimiento],$O$3,BASE[CODCIE108],ENOS_G1_SARAMPION[[#This Row],[CIE-10]]))</calculatedColumnFormula>
    </tableColumn>
    <tableColumn id="7" xr3:uid="{00000000-0010-0000-1100-000007000000}" name="D6" dataDxfId="1941">
      <calculatedColumnFormula>IF($O$3="(Todas)",COUNTIF(BASE[CODCIE1010],ENOS_G1_SARAMPION[[#This Row],[CIE-10]]),COUNTIFS(BASE[Cod.Establecimiento],$O$3,BASE[CODCIE1010],ENOS_G1_SARAMPION[[#This Row],[CIE-10]]))</calculatedColumnFormula>
    </tableColumn>
    <tableColumn id="8" xr3:uid="{00000000-0010-0000-1100-000008000000}" name="TOT" dataDxfId="1940">
      <calculatedColumnFormula>SUM(ENOS_G1_SARAMPION[[#This Row],[D1]:[D6]])</calculatedColumnFormula>
    </tableColumn>
  </tableColumns>
  <tableStyleInfo name="TableStyleLight1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ENOS_G1_TETANOS_NEONATAL" displayName="ENOS_G1_TETANOS_NEONATAL" ref="Y48:AF49" totalsRowShown="0" headerRowDxfId="1939">
  <autoFilter ref="Y48:AF49" xr:uid="{00000000-0009-0000-0100-000013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1200-000001000000}" name="CIE-10" dataCellStyle="20% - Énfasis4"/>
    <tableColumn id="2" xr3:uid="{00000000-0010-0000-1200-000002000000}" name="D1" dataDxfId="1938">
      <calculatedColumnFormula>IF($O$3="(Todas)",COUNTIF(BASE[CODCIE10],ENOS_G1_TETANOS_NEONATAL[[#This Row],[CIE-10]]),COUNTIFS(BASE[Cod.Establecimiento],$O$3,BASE[CODCIE10],ENOS_G1_TETANOS_NEONATAL[[#This Row],[CIE-10]]))</calculatedColumnFormula>
    </tableColumn>
    <tableColumn id="3" xr3:uid="{00000000-0010-0000-1200-000003000000}" name="D2" dataDxfId="1937">
      <calculatedColumnFormula>IF($O$3="(Todas)",COUNTIF(BASE[CODCIE102],ENOS_G1_TETANOS_NEONATAL[[#This Row],[CIE-10]]),COUNTIFS(BASE[Cod.Establecimiento],$O$3,BASE[CODCIE102],ENOS_G1_TETANOS_NEONATAL[[#This Row],[CIE-10]]))</calculatedColumnFormula>
    </tableColumn>
    <tableColumn id="4" xr3:uid="{00000000-0010-0000-1200-000004000000}" name="D3" dataDxfId="1936">
      <calculatedColumnFormula>IF($O$3="(Todas)",COUNTIF(BASE[CODCIE104],ENOS_G1_TETANOS_NEONATAL[[#This Row],[CIE-10]]),COUNTIFS(BASE[Cod.Establecimiento],$O$3,BASE[CODCIE104],ENOS_G1_TETANOS_NEONATAL[[#This Row],[CIE-10]]))</calculatedColumnFormula>
    </tableColumn>
    <tableColumn id="5" xr3:uid="{00000000-0010-0000-1200-000005000000}" name="D4" dataDxfId="1935">
      <calculatedColumnFormula>IF($O$3="(Todas)",COUNTIF(BASE[CODCIE106],ENOS_G1_TETANOS_NEONATAL[[#This Row],[CIE-10]]),COUNTIFS(BASE[Cod.Establecimiento],$O$3,BASE[CODCIE106],ENOS_G1_TETANOS_NEONATAL[[#This Row],[CIE-10]]))</calculatedColumnFormula>
    </tableColumn>
    <tableColumn id="6" xr3:uid="{00000000-0010-0000-1200-000006000000}" name="D5" dataDxfId="1934">
      <calculatedColumnFormula>IF($O$3="(Todas)",COUNTIF(BASE[CODCIE108],ENOS_G1_TETANOS_NEONATAL[[#This Row],[CIE-10]]),COUNTIFS(BASE[Cod.Establecimiento],$O$3,BASE[CODCIE108],ENOS_G1_TETANOS_NEONATAL[[#This Row],[CIE-10]]))</calculatedColumnFormula>
    </tableColumn>
    <tableColumn id="7" xr3:uid="{00000000-0010-0000-1200-000007000000}" name="D6" dataDxfId="1933">
      <calculatedColumnFormula>IF($O$3="(Todas)",COUNTIF(BASE[CODCIE1010],ENOS_G1_TETANOS_NEONATAL[[#This Row],[CIE-10]]),COUNTIFS(BASE[Cod.Establecimiento],$O$3,BASE[CODCIE1010],ENOS_G1_TETANOS_NEONATAL[[#This Row],[CIE-10]]))</calculatedColumnFormula>
    </tableColumn>
    <tableColumn id="8" xr3:uid="{00000000-0010-0000-1200-000008000000}" name="TOT" dataDxfId="1932">
      <calculatedColumnFormula>SUM(ENOS_G1_TETANOS_NEONATAL[[#This Row],[D1]:[D6]])</calculatedColumnFormula>
    </tableColumn>
  </tableColumns>
  <tableStyleInfo name="TableStyleLight1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ENOS_G1_PALUDISMO" displayName="ENOS_G1_PALUDISMO" ref="P52:W57" totalsRowShown="0" headerRowDxfId="1931">
  <autoFilter ref="P52:W57" xr:uid="{00000000-0009-0000-0100-000014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1300-000001000000}" name="CIE-10" dataCellStyle="20% - Énfasis4"/>
    <tableColumn id="2" xr3:uid="{00000000-0010-0000-1300-000002000000}" name="D1" dataDxfId="1930">
      <calculatedColumnFormula>IF($O$3="(Todas)",COUNTIF(BASE[CODCIE10],ENOS_G1_PALUDISMO[[#This Row],[CIE-10]]),COUNTIFS(BASE[Cod.Establecimiento],$O$3,BASE[CODCIE10],ENOS_G1_PALUDISMO[[#This Row],[CIE-10]]))</calculatedColumnFormula>
    </tableColumn>
    <tableColumn id="3" xr3:uid="{00000000-0010-0000-1300-000003000000}" name="D2" dataDxfId="1929">
      <calculatedColumnFormula>IF($O$3="(Todas)",COUNTIF(BASE[CODCIE102],ENOS_G1_PALUDISMO[[#This Row],[CIE-10]]),COUNTIFS(BASE[Cod.Establecimiento],$O$3,BASE[CODCIE102],ENOS_G1_PALUDISMO[[#This Row],[CIE-10]]))</calculatedColumnFormula>
    </tableColumn>
    <tableColumn id="4" xr3:uid="{00000000-0010-0000-1300-000004000000}" name="D3" dataDxfId="1928">
      <calculatedColumnFormula>IF($O$3="(Todas)",COUNTIF(BASE[CODCIE104],ENOS_G1_PALUDISMO[[#This Row],[CIE-10]]),COUNTIFS(BASE[Cod.Establecimiento],$O$3,BASE[CODCIE104],ENOS_G1_PALUDISMO[[#This Row],[CIE-10]]))</calculatedColumnFormula>
    </tableColumn>
    <tableColumn id="5" xr3:uid="{00000000-0010-0000-1300-000005000000}" name="D4" dataDxfId="1927">
      <calculatedColumnFormula>IF($O$3="(Todas)",COUNTIF(BASE[CODCIE106],ENOS_G1_PALUDISMO[[#This Row],[CIE-10]]),COUNTIFS(BASE[Cod.Establecimiento],$O$3,BASE[CODCIE106],ENOS_G1_PALUDISMO[[#This Row],[CIE-10]]))</calculatedColumnFormula>
    </tableColumn>
    <tableColumn id="6" xr3:uid="{00000000-0010-0000-1300-000006000000}" name="D5" dataDxfId="1926">
      <calculatedColumnFormula>IF($O$3="(Todas)",COUNTIF(BASE[CODCIE108],ENOS_G1_PALUDISMO[[#This Row],[CIE-10]]),COUNTIFS(BASE[Cod.Establecimiento],$O$3,BASE[CODCIE108],ENOS_G1_PALUDISMO[[#This Row],[CIE-10]]))</calculatedColumnFormula>
    </tableColumn>
    <tableColumn id="7" xr3:uid="{00000000-0010-0000-1300-000007000000}" name="D6" dataDxfId="1925">
      <calculatedColumnFormula>IF($O$3="(Todas)",COUNTIF(BASE[CODCIE1010],ENOS_G1_PALUDISMO[[#This Row],[CIE-10]]),COUNTIFS(BASE[Cod.Establecimiento],$O$3,BASE[CODCIE1010],ENOS_G1_PALUDISMO[[#This Row],[CIE-10]]))</calculatedColumnFormula>
    </tableColumn>
    <tableColumn id="8" xr3:uid="{00000000-0010-0000-1300-000008000000}" name="TOT" dataDxfId="1924" dataCellStyle="40% - Énfasis6">
      <calculatedColumnFormula>SUM(ENOS_G1_PALUDISMO[[#This Row],[D1]:[D6]])</calculatedColumnFormula>
    </tableColumn>
  </tableColumns>
  <tableStyleInfo name="TableStyleLight1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ENOS_G2_CONJUNTIVITIS_VIRAL" displayName="ENOS_G2_CONJUNTIVITIS_VIRAL" ref="Y52:AF53" totalsRowShown="0" headerRowDxfId="1923">
  <autoFilter ref="Y52:AF53" xr:uid="{00000000-0009-0000-0100-000015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1400-000001000000}" name="CIE-10" dataCellStyle="20% - Énfasis4"/>
    <tableColumn id="2" xr3:uid="{00000000-0010-0000-1400-000002000000}" name="D1" dataDxfId="1922">
      <calculatedColumnFormula>IF($O$3="(Todas)",COUNTIF(BASE[CODCIE10],ENOS_G2_CONJUNTIVITIS_VIRAL[[#This Row],[CIE-10]]),COUNTIFS(BASE[Cod.Establecimiento],$O$3,BASE[CODCIE10],ENOS_G2_CONJUNTIVITIS_VIRAL[[#This Row],[CIE-10]]))</calculatedColumnFormula>
    </tableColumn>
    <tableColumn id="3" xr3:uid="{00000000-0010-0000-1400-000003000000}" name="D2" dataDxfId="1921">
      <calculatedColumnFormula>IF($O$3="(Todas)",COUNTIF(BASE[CODCIE102],ENOS_G2_CONJUNTIVITIS_VIRAL[[#This Row],[CIE-10]]),COUNTIFS(BASE[Cod.Establecimiento],$O$3,BASE[CODCIE102],ENOS_G2_CONJUNTIVITIS_VIRAL[[#This Row],[CIE-10]]))</calculatedColumnFormula>
    </tableColumn>
    <tableColumn id="4" xr3:uid="{00000000-0010-0000-1400-000004000000}" name="D3" dataDxfId="1920">
      <calculatedColumnFormula>IF($O$3="(Todas)",COUNTIF(BASE[CODCIE104],ENOS_G2_CONJUNTIVITIS_VIRAL[[#This Row],[CIE-10]]),COUNTIFS(BASE[Cod.Establecimiento],$O$3,BASE[CODCIE104],ENOS_G2_CONJUNTIVITIS_VIRAL[[#This Row],[CIE-10]]))</calculatedColumnFormula>
    </tableColumn>
    <tableColumn id="5" xr3:uid="{00000000-0010-0000-1400-000005000000}" name="D4" dataDxfId="1919">
      <calculatedColumnFormula>IF($O$3="(Todas)",COUNTIF(BASE[CODCIE106],ENOS_G2_CONJUNTIVITIS_VIRAL[[#This Row],[CIE-10]]),COUNTIFS(BASE[Cod.Establecimiento],$O$3,BASE[CODCIE106],ENOS_G2_CONJUNTIVITIS_VIRAL[[#This Row],[CIE-10]]))</calculatedColumnFormula>
    </tableColumn>
    <tableColumn id="6" xr3:uid="{00000000-0010-0000-1400-000006000000}" name="D5" dataDxfId="1918">
      <calculatedColumnFormula>IF($O$3="(Todas)",COUNTIF(BASE[CODCIE108],ENOS_G2_CONJUNTIVITIS_VIRAL[[#This Row],[CIE-10]]),COUNTIFS(BASE[Cod.Establecimiento],$O$3,BASE[CODCIE108],ENOS_G2_CONJUNTIVITIS_VIRAL[[#This Row],[CIE-10]]))</calculatedColumnFormula>
    </tableColumn>
    <tableColumn id="7" xr3:uid="{00000000-0010-0000-1400-000007000000}" name="D6" dataDxfId="1917">
      <calculatedColumnFormula>IF($O$3="(Todas)",COUNTIF(BASE[CODCIE1010],ENOS_G2_CONJUNTIVITIS_VIRAL[[#This Row],[CIE-10]]),COUNTIFS(BASE[Cod.Establecimiento],$O$3,BASE[CODCIE1010],ENOS_G2_CONJUNTIVITIS_VIRAL[[#This Row],[CIE-10]]))</calculatedColumnFormula>
    </tableColumn>
    <tableColumn id="8" xr3:uid="{00000000-0010-0000-1400-000008000000}" name="TOT" dataDxfId="1916" dataCellStyle="40% - Énfasis6">
      <calculatedColumnFormula>SUM(ENOS_G2_CONJUNTIVITIS_VIRAL[[#This Row],[D1]:[D6]])</calculatedColumnFormula>
    </tableColumn>
  </tableColumns>
  <tableStyleInfo name="TableStyleLight1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ENOS_G2_PAROTIDITIS_INFECCIOSA_PAPERAS" displayName="ENOS_G2_PAROTIDITIS_INFECCIOSA_PAPERAS" ref="P60:W61" totalsRowShown="0" headerRowDxfId="1915">
  <autoFilter ref="P60:W61" xr:uid="{00000000-0009-0000-0100-000016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1500-000001000000}" name="CIE-10" dataCellStyle="20% - Énfasis4"/>
    <tableColumn id="2" xr3:uid="{00000000-0010-0000-1500-000002000000}" name="D1" dataDxfId="1914">
      <calculatedColumnFormula>IF($O$3="(Todas)",COUNTIF(BASE[CODCIE10],ENOS_G2_PAROTIDITIS_INFECCIOSA_PAPERAS[[#This Row],[CIE-10]]),COUNTIFS(BASE[Cod.Establecimiento],$O$3,BASE[CODCIE10],ENOS_G2_PAROTIDITIS_INFECCIOSA_PAPERAS[[#This Row],[CIE-10]]))</calculatedColumnFormula>
    </tableColumn>
    <tableColumn id="3" xr3:uid="{00000000-0010-0000-1500-000003000000}" name="D2" dataDxfId="1913">
      <calculatedColumnFormula>IF($O$3="(Todas)",COUNTIF(BASE[CODCIE102],ENOS_G2_PAROTIDITIS_INFECCIOSA_PAPERAS[[#This Row],[CIE-10]]),COUNTIFS(BASE[Cod.Establecimiento],$O$3,BASE[CODCIE102],ENOS_G2_PAROTIDITIS_INFECCIOSA_PAPERAS[[#This Row],[CIE-10]]))</calculatedColumnFormula>
    </tableColumn>
    <tableColumn id="4" xr3:uid="{00000000-0010-0000-1500-000004000000}" name="D3" dataDxfId="1912">
      <calculatedColumnFormula>IF($O$3="(Todas)",COUNTIF(BASE[CODCIE104],ENOS_G2_PAROTIDITIS_INFECCIOSA_PAPERAS[[#This Row],[CIE-10]]),COUNTIFS(BASE[Cod.Establecimiento],$O$3,BASE[CODCIE104],ENOS_G2_PAROTIDITIS_INFECCIOSA_PAPERAS[[#This Row],[CIE-10]]))</calculatedColumnFormula>
    </tableColumn>
    <tableColumn id="5" xr3:uid="{00000000-0010-0000-1500-000005000000}" name="D4" dataDxfId="1911">
      <calculatedColumnFormula>IF($O$3="(Todas)",COUNTIF(BASE[CODCIE106],ENOS_G2_PAROTIDITIS_INFECCIOSA_PAPERAS[[#This Row],[CIE-10]]),COUNTIFS(BASE[Cod.Establecimiento],$O$3,BASE[CODCIE106],ENOS_G2_PAROTIDITIS_INFECCIOSA_PAPERAS[[#This Row],[CIE-10]]))</calculatedColumnFormula>
    </tableColumn>
    <tableColumn id="6" xr3:uid="{00000000-0010-0000-1500-000006000000}" name="D5" dataDxfId="1910">
      <calculatedColumnFormula>IF($O$3="(Todas)",COUNTIF(BASE[CODCIE108],ENOS_G2_PAROTIDITIS_INFECCIOSA_PAPERAS[[#This Row],[CIE-10]]),COUNTIFS(BASE[Cod.Establecimiento],$O$3,BASE[CODCIE108],ENOS_G2_PAROTIDITIS_INFECCIOSA_PAPERAS[[#This Row],[CIE-10]]))</calculatedColumnFormula>
    </tableColumn>
    <tableColumn id="7" xr3:uid="{00000000-0010-0000-1500-000007000000}" name="D6" dataDxfId="1909">
      <calculatedColumnFormula>IF($O$3="(Todas)",COUNTIF(BASE[CODCIE1010],ENOS_G2_PAROTIDITIS_INFECCIOSA_PAPERAS[[#This Row],[CIE-10]]),COUNTIFS(BASE[Cod.Establecimiento],$O$3,BASE[CODCIE1010],ENOS_G2_PAROTIDITIS_INFECCIOSA_PAPERAS[[#This Row],[CIE-10]]))</calculatedColumnFormula>
    </tableColumn>
    <tableColumn id="8" xr3:uid="{00000000-0010-0000-1500-000008000000}" name="TOT" dataDxfId="1908" dataCellStyle="40% - Énfasis6">
      <calculatedColumnFormula>SUM(ENOS_G2_PAROTIDITIS_INFECCIOSA_PAPERAS[[#This Row],[D1]:[D6]])</calculatedColumnFormula>
    </tableColumn>
  </tableColumns>
  <tableStyleInfo name="TableStyleLight1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ENOS_G2_VARICELA" displayName="ENOS_G2_VARICELA" ref="Y60:AF61" totalsRowShown="0" headerRowDxfId="1907">
  <autoFilter ref="Y60:AF61" xr:uid="{00000000-0009-0000-0100-000017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1600-000001000000}" name="CIE-10" dataCellStyle="20% - Énfasis4"/>
    <tableColumn id="2" xr3:uid="{00000000-0010-0000-1600-000002000000}" name="D1" dataDxfId="1906">
      <calculatedColumnFormula>IF($O$3="(Todas)",COUNTIF(BASE[CODCIE10],ENOS_G2_VARICELA[[#This Row],[CIE-10]]),COUNTIFS(BASE[Cod.Establecimiento],$O$3,BASE[CODCIE10],ENOS_G2_VARICELA[[#This Row],[CIE-10]]))</calculatedColumnFormula>
    </tableColumn>
    <tableColumn id="3" xr3:uid="{00000000-0010-0000-1600-000003000000}" name="D2" dataDxfId="1905">
      <calculatedColumnFormula>IF($O$3="(Todas)",COUNTIF(BASE[CODCIE102],ENOS_G2_VARICELA[[#This Row],[CIE-10]]),COUNTIFS(BASE[Cod.Establecimiento],$O$3,BASE[CODCIE102],ENOS_G2_VARICELA[[#This Row],[CIE-10]]))</calculatedColumnFormula>
    </tableColumn>
    <tableColumn id="4" xr3:uid="{00000000-0010-0000-1600-000004000000}" name="D3" dataDxfId="1904">
      <calculatedColumnFormula>IF($O$3="(Todas)",COUNTIF(BASE[CODCIE104],ENOS_G2_VARICELA[[#This Row],[CIE-10]]),COUNTIFS(BASE[Cod.Establecimiento],$O$3,BASE[CODCIE104],ENOS_G2_VARICELA[[#This Row],[CIE-10]]))</calculatedColumnFormula>
    </tableColumn>
    <tableColumn id="5" xr3:uid="{00000000-0010-0000-1600-000005000000}" name="D4" dataDxfId="1903">
      <calculatedColumnFormula>IF($O$3="(Todas)",COUNTIF(BASE[CODCIE106],ENOS_G2_VARICELA[[#This Row],[CIE-10]]),COUNTIFS(BASE[Cod.Establecimiento],$O$3,BASE[CODCIE106],ENOS_G2_VARICELA[[#This Row],[CIE-10]]))</calculatedColumnFormula>
    </tableColumn>
    <tableColumn id="6" xr3:uid="{00000000-0010-0000-1600-000006000000}" name="D5" dataDxfId="1902">
      <calculatedColumnFormula>IF($O$3="(Todas)",COUNTIF(BASE[CODCIE108],ENOS_G2_VARICELA[[#This Row],[CIE-10]]),COUNTIFS(BASE[Cod.Establecimiento],$O$3,BASE[CODCIE108],ENOS_G2_VARICELA[[#This Row],[CIE-10]]))</calculatedColumnFormula>
    </tableColumn>
    <tableColumn id="7" xr3:uid="{00000000-0010-0000-1600-000007000000}" name="D6" dataDxfId="1901">
      <calculatedColumnFormula>IF($O$3="(Todas)",COUNTIF(BASE[CODCIE1010],ENOS_G2_VARICELA[[#This Row],[CIE-10]]),COUNTIFS(BASE[Cod.Establecimiento],$O$3,BASE[CODCIE1010],ENOS_G2_VARICELA[[#This Row],[CIE-10]]))</calculatedColumnFormula>
    </tableColumn>
    <tableColumn id="8" xr3:uid="{00000000-0010-0000-1600-000008000000}" name="TOT" dataDxfId="1900" dataCellStyle="40% - Énfasis6">
      <calculatedColumnFormula>SUM(ENOS_G2_VARICELA[[#This Row],[D1]:[D6]])</calculatedColumnFormula>
    </tableColumn>
  </tableColumns>
  <tableStyleInfo name="TableStyleLight1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ENOS_G2_HEPATITIS_A" displayName="ENOS_G2_HEPATITIS_A" ref="P64:W65" totalsRowShown="0" headerRowDxfId="1899">
  <autoFilter ref="P64:W65" xr:uid="{00000000-0009-0000-0100-000018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1700-000001000000}" name="CIE-10" dataCellStyle="20% - Énfasis4"/>
    <tableColumn id="2" xr3:uid="{00000000-0010-0000-1700-000002000000}" name="D1" dataDxfId="1898">
      <calculatedColumnFormula>IF($O$3="(Todas)",COUNTIF(BASE[CODCIE10],ENOS_G2_HEPATITIS_A[[#This Row],[CIE-10]]),COUNTIFS(BASE[Cod.Establecimiento],$O$3,BASE[CODCIE10],ENOS_G2_HEPATITIS_A[[#This Row],[CIE-10]]))</calculatedColumnFormula>
    </tableColumn>
    <tableColumn id="3" xr3:uid="{00000000-0010-0000-1700-000003000000}" name="D2" dataDxfId="1897">
      <calculatedColumnFormula>IF($O$3="(Todas)",COUNTIF(BASE[CODCIE102],ENOS_G2_HEPATITIS_A[[#This Row],[CIE-10]]),COUNTIFS(BASE[Cod.Establecimiento],$O$3,BASE[CODCIE102],ENOS_G2_HEPATITIS_A[[#This Row],[CIE-10]]))</calculatedColumnFormula>
    </tableColumn>
    <tableColumn id="4" xr3:uid="{00000000-0010-0000-1700-000004000000}" name="D3" dataDxfId="1896">
      <calculatedColumnFormula>IF($O$3="(Todas)",COUNTIF(BASE[CODCIE104],ENOS_G2_HEPATITIS_A[[#This Row],[CIE-10]]),COUNTIFS(BASE[Cod.Establecimiento],$O$3,BASE[CODCIE104],ENOS_G2_HEPATITIS_A[[#This Row],[CIE-10]]))</calculatedColumnFormula>
    </tableColumn>
    <tableColumn id="5" xr3:uid="{00000000-0010-0000-1700-000005000000}" name="D4" dataDxfId="1895">
      <calculatedColumnFormula>IF($O$3="(Todas)",COUNTIF(BASE[CODCIE106],ENOS_G2_HEPATITIS_A[[#This Row],[CIE-10]]),COUNTIFS(BASE[Cod.Establecimiento],$O$3,BASE[CODCIE106],ENOS_G2_HEPATITIS_A[[#This Row],[CIE-10]]))</calculatedColumnFormula>
    </tableColumn>
    <tableColumn id="6" xr3:uid="{00000000-0010-0000-1700-000006000000}" name="D5" dataDxfId="1894">
      <calculatedColumnFormula>IF($O$3="(Todas)",COUNTIF(BASE[CODCIE108],ENOS_G2_HEPATITIS_A[[#This Row],[CIE-10]]),COUNTIFS(BASE[Cod.Establecimiento],$O$3,BASE[CODCIE108],ENOS_G2_HEPATITIS_A[[#This Row],[CIE-10]]))</calculatedColumnFormula>
    </tableColumn>
    <tableColumn id="7" xr3:uid="{00000000-0010-0000-1700-000007000000}" name="D6" dataDxfId="1893">
      <calculatedColumnFormula>IF($O$3="(Todas)",COUNTIF(BASE[CODCIE1010],ENOS_G2_HEPATITIS_A[[#This Row],[CIE-10]]),COUNTIFS(BASE[Cod.Establecimiento],$O$3,BASE[CODCIE1010],ENOS_G2_HEPATITIS_A[[#This Row],[CIE-10]]))</calculatedColumnFormula>
    </tableColumn>
    <tableColumn id="8" xr3:uid="{00000000-0010-0000-1700-000008000000}" name="TOT" dataDxfId="1892" dataCellStyle="40% - Énfasis6">
      <calculatedColumnFormula>SUM(ENOS_G2_HEPATITIS_A[[#This Row],[D1]:[D6]])</calculatedColumnFormula>
    </tableColumn>
  </tableColumns>
  <tableStyleInfo name="TableStyleLight1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ENOS_G2_HEPATITIS_VIRAL_SIN_OTRA_ESPECIFIACION" displayName="ENOS_G2_HEPATITIS_VIRAL_SIN_OTRA_ESPECIFIACION" ref="Y64:AF65" totalsRowShown="0" headerRowDxfId="1891">
  <autoFilter ref="Y64:AF65" xr:uid="{00000000-0009-0000-0100-000019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1800-000001000000}" name="CIE-10" dataCellStyle="20% - Énfasis4"/>
    <tableColumn id="2" xr3:uid="{00000000-0010-0000-1800-000002000000}" name="D1" dataDxfId="1890">
      <calculatedColumnFormula>IF($O$3="(Todas)",COUNTIF(BASE[CODCIE10],ENOS_G2_HEPATITIS_VIRAL_SIN_OTRA_ESPECIFIACION[[#This Row],[CIE-10]]),COUNTIFS(BASE[Cod.Establecimiento],$O$3,BASE[CODCIE10],ENOS_G2_HEPATITIS_VIRAL_SIN_OTRA_ESPECIFIACION[[#This Row],[CIE-10]]))</calculatedColumnFormula>
    </tableColumn>
    <tableColumn id="3" xr3:uid="{00000000-0010-0000-1800-000003000000}" name="D2" dataDxfId="1889">
      <calculatedColumnFormula>IF($O$3="(Todas)",COUNTIF(BASE[CODCIE102],ENOS_G2_HEPATITIS_VIRAL_SIN_OTRA_ESPECIFIACION[[#This Row],[CIE-10]]),COUNTIFS(BASE[Cod.Establecimiento],$O$3,BASE[CODCIE102],ENOS_G2_HEPATITIS_VIRAL_SIN_OTRA_ESPECIFIACION[[#This Row],[CIE-10]]))</calculatedColumnFormula>
    </tableColumn>
    <tableColumn id="4" xr3:uid="{00000000-0010-0000-1800-000004000000}" name="D3" dataDxfId="1888">
      <calculatedColumnFormula>IF($O$3="(Todas)",COUNTIF(BASE[CODCIE104],ENOS_G2_HEPATITIS_VIRAL_SIN_OTRA_ESPECIFIACION[[#This Row],[CIE-10]]),COUNTIFS(BASE[Cod.Establecimiento],$O$3,BASE[CODCIE104],ENOS_G2_HEPATITIS_VIRAL_SIN_OTRA_ESPECIFIACION[[#This Row],[CIE-10]]))</calculatedColumnFormula>
    </tableColumn>
    <tableColumn id="5" xr3:uid="{00000000-0010-0000-1800-000005000000}" name="D4" dataDxfId="1887">
      <calculatedColumnFormula>IF($O$3="(Todas)",COUNTIF(BASE[CODCIE106],ENOS_G2_HEPATITIS_VIRAL_SIN_OTRA_ESPECIFIACION[[#This Row],[CIE-10]]),COUNTIFS(BASE[Cod.Establecimiento],$O$3,BASE[CODCIE106],ENOS_G2_HEPATITIS_VIRAL_SIN_OTRA_ESPECIFIACION[[#This Row],[CIE-10]]))</calculatedColumnFormula>
    </tableColumn>
    <tableColumn id="6" xr3:uid="{00000000-0010-0000-1800-000006000000}" name="D5" dataDxfId="1886">
      <calculatedColumnFormula>IF($O$3="(Todas)",COUNTIF(BASE[CODCIE108],ENOS_G2_HEPATITIS_VIRAL_SIN_OTRA_ESPECIFIACION[[#This Row],[CIE-10]]),COUNTIFS(BASE[Cod.Establecimiento],$O$3,BASE[CODCIE108],ENOS_G2_HEPATITIS_VIRAL_SIN_OTRA_ESPECIFIACION[[#This Row],[CIE-10]]))</calculatedColumnFormula>
    </tableColumn>
    <tableColumn id="7" xr3:uid="{00000000-0010-0000-1800-000007000000}" name="D6" dataDxfId="1885">
      <calculatedColumnFormula>IF($O$3="(Todas)",COUNTIF(BASE[CODCIE1010],ENOS_G2_HEPATITIS_VIRAL_SIN_OTRA_ESPECIFIACION[[#This Row],[CIE-10]]),COUNTIFS(BASE[Cod.Establecimiento],$O$3,BASE[CODCIE1010],ENOS_G2_HEPATITIS_VIRAL_SIN_OTRA_ESPECIFIACION[[#This Row],[CIE-10]]))</calculatedColumnFormula>
    </tableColumn>
    <tableColumn id="8" xr3:uid="{00000000-0010-0000-1800-000008000000}" name="TOT" dataDxfId="1884" dataCellStyle="40% - Énfasis6">
      <calculatedColumnFormula>SUM(ENOS_G2_HEPATITIS_VIRAL_SIN_OTRA_ESPECIFIACION[[#This Row],[D1]:[D6]])</calculatedColumnFormula>
    </tableColumn>
  </tableColumns>
  <tableStyleInfo name="TableStyleLight1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ENOS_G2_ETA" displayName="ENOS_G2_ETA" ref="P68:W69" totalsRowShown="0" headerRowDxfId="1883">
  <autoFilter ref="P68:W69" xr:uid="{00000000-0009-0000-0100-00001A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1900-000001000000}" name="CIE-10" dataCellStyle="20% - Énfasis4"/>
    <tableColumn id="2" xr3:uid="{00000000-0010-0000-1900-000002000000}" name="D1" dataDxfId="1882">
      <calculatedColumnFormula>IF($O$3="(Todas)",COUNTIF(BASE[CODCIE10],ENOS_G2_ETA[[#This Row],[CIE-10]]),COUNTIFS(BASE[Cod.Establecimiento],$O$3,BASE[CODCIE10],ENOS_G2_ETA[[#This Row],[CIE-10]]))</calculatedColumnFormula>
    </tableColumn>
    <tableColumn id="3" xr3:uid="{00000000-0010-0000-1900-000003000000}" name="D2" dataDxfId="1881">
      <calculatedColumnFormula>IF($O$3="(Todas)",COUNTIF(BASE[CODCIE102],ENOS_G2_ETA[[#This Row],[CIE-10]]),COUNTIFS(BASE[Cod.Establecimiento],$O$3,BASE[CODCIE102],ENOS_G2_ETA[[#This Row],[CIE-10]]))</calculatedColumnFormula>
    </tableColumn>
    <tableColumn id="4" xr3:uid="{00000000-0010-0000-1900-000004000000}" name="D3" dataDxfId="1880">
      <calculatedColumnFormula>IF($O$3="(Todas)",COUNTIF(BASE[CODCIE104],ENOS_G2_ETA[[#This Row],[CIE-10]]),COUNTIFS(BASE[Cod.Establecimiento],$O$3,BASE[CODCIE104],ENOS_G2_ETA[[#This Row],[CIE-10]]))</calculatedColumnFormula>
    </tableColumn>
    <tableColumn id="5" xr3:uid="{00000000-0010-0000-1900-000005000000}" name="D4" dataDxfId="1879">
      <calculatedColumnFormula>IF($O$3="(Todas)",COUNTIF(BASE[CODCIE106],ENOS_G2_ETA[[#This Row],[CIE-10]]),COUNTIFS(BASE[Cod.Establecimiento],$O$3,BASE[CODCIE106],ENOS_G2_ETA[[#This Row],[CIE-10]]))</calculatedColumnFormula>
    </tableColumn>
    <tableColumn id="6" xr3:uid="{00000000-0010-0000-1900-000006000000}" name="D5" dataDxfId="1878">
      <calculatedColumnFormula>IF($O$3="(Todas)",COUNTIF(BASE[CODCIE108],ENOS_G2_ETA[[#This Row],[CIE-10]]),COUNTIFS(BASE[Cod.Establecimiento],$O$3,BASE[CODCIE108],ENOS_G2_ETA[[#This Row],[CIE-10]]))</calculatedColumnFormula>
    </tableColumn>
    <tableColumn id="7" xr3:uid="{00000000-0010-0000-1900-000007000000}" name="D6" dataDxfId="1877">
      <calculatedColumnFormula>IF($O$3="(Todas)",COUNTIF(BASE[CODCIE1010],ENOS_G2_ETA[[#This Row],[CIE-10]]),COUNTIFS(BASE[Cod.Establecimiento],$O$3,BASE[CODCIE1010],ENOS_G2_ETA[[#This Row],[CIE-10]]))</calculatedColumnFormula>
    </tableColumn>
    <tableColumn id="8" xr3:uid="{00000000-0010-0000-1900-000008000000}" name="TOT" dataDxfId="1876" dataCellStyle="40% - Énfasis6">
      <calculatedColumnFormula>SUM(ENOS_G2_ETA[[#This Row],[D1]:[D6]])</calculatedColumnFormula>
    </tableColumn>
  </tableColumns>
  <tableStyleInfo name="TableStyleLight1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ENOS_G2_SIFILIS_CONGENITA" displayName="ENOS_G2_SIFILIS_CONGENITA" ref="Y68:AF69" totalsRowShown="0" headerRowDxfId="1875">
  <autoFilter ref="Y68:AF69" xr:uid="{00000000-0009-0000-0100-00001B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1A00-000001000000}" name="CIE-10" dataCellStyle="20% - Énfasis4"/>
    <tableColumn id="2" xr3:uid="{00000000-0010-0000-1A00-000002000000}" name="D1" dataDxfId="1874">
      <calculatedColumnFormula>IF($O$3="(Todas)",COUNTIF(BASE[CODCIE10],ENOS_G2_SIFILIS_CONGENITA[[#This Row],[CIE-10]]),COUNTIFS(BASE[Cod.Establecimiento],$O$3,BASE[CODCIE10],ENOS_G2_SIFILIS_CONGENITA[[#This Row],[CIE-10]]))</calculatedColumnFormula>
    </tableColumn>
    <tableColumn id="3" xr3:uid="{00000000-0010-0000-1A00-000003000000}" name="D2" dataDxfId="1873">
      <calculatedColumnFormula>IF($O$3="(Todas)",COUNTIF(BASE[CODCIE102],ENOS_G2_SIFILIS_CONGENITA[[#This Row],[CIE-10]]),COUNTIFS(BASE[Cod.Establecimiento],$O$3,BASE[CODCIE102],ENOS_G2_SIFILIS_CONGENITA[[#This Row],[CIE-10]]))</calculatedColumnFormula>
    </tableColumn>
    <tableColumn id="4" xr3:uid="{00000000-0010-0000-1A00-000004000000}" name="D3" dataDxfId="1872">
      <calculatedColumnFormula>IF($O$3="(Todas)",COUNTIF(BASE[CODCIE104],ENOS_G2_SIFILIS_CONGENITA[[#This Row],[CIE-10]]),COUNTIFS(BASE[Cod.Establecimiento],$O$3,BASE[CODCIE104],ENOS_G2_SIFILIS_CONGENITA[[#This Row],[CIE-10]]))</calculatedColumnFormula>
    </tableColumn>
    <tableColumn id="5" xr3:uid="{00000000-0010-0000-1A00-000005000000}" name="D4" dataDxfId="1871">
      <calculatedColumnFormula>IF($O$3="(Todas)",COUNTIF(BASE[CODCIE106],ENOS_G2_SIFILIS_CONGENITA[[#This Row],[CIE-10]]),COUNTIFS(BASE[Cod.Establecimiento],$O$3,BASE[CODCIE106],ENOS_G2_SIFILIS_CONGENITA[[#This Row],[CIE-10]]))</calculatedColumnFormula>
    </tableColumn>
    <tableColumn id="6" xr3:uid="{00000000-0010-0000-1A00-000006000000}" name="D5" dataDxfId="1870">
      <calculatedColumnFormula>IF($O$3="(Todas)",COUNTIF(BASE[CODCIE108],ENOS_G2_SIFILIS_CONGENITA[[#This Row],[CIE-10]]),COUNTIFS(BASE[Cod.Establecimiento],$O$3,BASE[CODCIE108],ENOS_G2_SIFILIS_CONGENITA[[#This Row],[CIE-10]]))</calculatedColumnFormula>
    </tableColumn>
    <tableColumn id="7" xr3:uid="{00000000-0010-0000-1A00-000007000000}" name="D6" dataDxfId="1869">
      <calculatedColumnFormula>IF($O$3="(Todas)",COUNTIF(BASE[CODCIE1010],ENOS_G2_SIFILIS_CONGENITA[[#This Row],[CIE-10]]),COUNTIFS(BASE[Cod.Establecimiento],$O$3,BASE[CODCIE1010],ENOS_G2_SIFILIS_CONGENITA[[#This Row],[CIE-10]]))</calculatedColumnFormula>
    </tableColumn>
    <tableColumn id="8" xr3:uid="{00000000-0010-0000-1A00-000008000000}" name="TOT" dataDxfId="1868" dataCellStyle="40% - Énfasis6">
      <calculatedColumnFormula>SUM(ENOS_G2_SIFILIS_CONGENITA[[#This Row],[D1]:[D6]])</calculatedColumnFormula>
    </tableColumn>
  </tableColumns>
  <tableStyleInfo name="TableStyleLight1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ENOS_G2_SIFILIS_EMBARAZADA" displayName="ENOS_G2_SIFILIS_EMBARAZADA" ref="P72:W73" totalsRowShown="0" headerRowDxfId="1867">
  <autoFilter ref="P72:W73" xr:uid="{00000000-0009-0000-0100-00001C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1B00-000001000000}" name="CIE-10" dataCellStyle="20% - Énfasis4"/>
    <tableColumn id="2" xr3:uid="{00000000-0010-0000-1B00-000002000000}" name="D1" dataDxfId="1866">
      <calculatedColumnFormula>IF($O$3="(Todas)",COUNTIF(BASE[CODCIE10],ENOS_G2_SIFILIS_EMBARAZADA[[#This Row],[CIE-10]]),COUNTIFS(BASE[Cod.Establecimiento],$O$3,BASE[CODCIE10],ENOS_G2_SIFILIS_EMBARAZADA[[#This Row],[CIE-10]]))</calculatedColumnFormula>
    </tableColumn>
    <tableColumn id="3" xr3:uid="{00000000-0010-0000-1B00-000003000000}" name="D2" dataDxfId="1865">
      <calculatedColumnFormula>IF($O$3="(Todas)",COUNTIF(BASE[CODCIE102],ENOS_G2_SIFILIS_EMBARAZADA[[#This Row],[CIE-10]]),COUNTIFS(BASE[Cod.Establecimiento],$O$3,BASE[CODCIE102],ENOS_G2_SIFILIS_EMBARAZADA[[#This Row],[CIE-10]]))</calculatedColumnFormula>
    </tableColumn>
    <tableColumn id="4" xr3:uid="{00000000-0010-0000-1B00-000004000000}" name="D3" dataDxfId="1864">
      <calculatedColumnFormula>IF($O$3="(Todas)",COUNTIF(BASE[CODCIE104],ENOS_G2_SIFILIS_EMBARAZADA[[#This Row],[CIE-10]]),COUNTIFS(BASE[Cod.Establecimiento],$O$3,BASE[CODCIE104],ENOS_G2_SIFILIS_EMBARAZADA[[#This Row],[CIE-10]]))</calculatedColumnFormula>
    </tableColumn>
    <tableColumn id="5" xr3:uid="{00000000-0010-0000-1B00-000005000000}" name="D4" dataDxfId="1863">
      <calculatedColumnFormula>IF($O$3="(Todas)",COUNTIF(BASE[CODCIE106],ENOS_G2_SIFILIS_EMBARAZADA[[#This Row],[CIE-10]]),COUNTIFS(BASE[Cod.Establecimiento],$O$3,BASE[CODCIE106],ENOS_G2_SIFILIS_EMBARAZADA[[#This Row],[CIE-10]]))</calculatedColumnFormula>
    </tableColumn>
    <tableColumn id="6" xr3:uid="{00000000-0010-0000-1B00-000006000000}" name="D5" dataDxfId="1862">
      <calculatedColumnFormula>IF($O$3="(Todas)",COUNTIF(BASE[CODCIE108],ENOS_G2_SIFILIS_EMBARAZADA[[#This Row],[CIE-10]]),COUNTIFS(BASE[Cod.Establecimiento],$O$3,BASE[CODCIE108],ENOS_G2_SIFILIS_EMBARAZADA[[#This Row],[CIE-10]]))</calculatedColumnFormula>
    </tableColumn>
    <tableColumn id="7" xr3:uid="{00000000-0010-0000-1B00-000007000000}" name="D6" dataDxfId="1861">
      <calculatedColumnFormula>IF($O$3="(Todas)",COUNTIF(BASE[CODCIE1010],ENOS_G2_SIFILIS_EMBARAZADA[[#This Row],[CIE-10]]),COUNTIFS(BASE[Cod.Establecimiento],$O$3,BASE[CODCIE1010],ENOS_G2_SIFILIS_EMBARAZADA[[#This Row],[CIE-10]]))</calculatedColumnFormula>
    </tableColumn>
    <tableColumn id="8" xr3:uid="{00000000-0010-0000-1B00-000008000000}" name="TOT" dataDxfId="1860" dataCellStyle="40% - Énfasis6">
      <calculatedColumnFormula>SUM(ENOS_G2_SIFILIS_EMBARAZADA[[#This Row],[D1]:[D6]])</calculatedColumnFormula>
    </tableColumn>
  </tableColumns>
  <tableStyleInfo name="TableStyleLight1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ENOS_G2_SIFILIS_TODOS_LOS_CASOS" displayName="ENOS_G2_SIFILIS_TODOS_LOS_CASOS" ref="Y72:AF75" totalsRowShown="0" headerRowDxfId="1859">
  <autoFilter ref="Y72:AF75" xr:uid="{00000000-0009-0000-0100-00001D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1C00-000001000000}" name="CIE-10" dataCellStyle="20% - Énfasis4"/>
    <tableColumn id="2" xr3:uid="{00000000-0010-0000-1C00-000002000000}" name="D1" dataDxfId="1858">
      <calculatedColumnFormula>IF($O$3="(Todas)",COUNTIF(BASE[CODCIE10],ENOS_G2_SIFILIS_TODOS_LOS_CASOS[[#This Row],[CIE-10]]),COUNTIFS(BASE[Cod.Establecimiento],$O$3,BASE[CODCIE10],ENOS_G2_SIFILIS_TODOS_LOS_CASOS[[#This Row],[CIE-10]]))</calculatedColumnFormula>
    </tableColumn>
    <tableColumn id="3" xr3:uid="{00000000-0010-0000-1C00-000003000000}" name="D2" dataDxfId="1857">
      <calculatedColumnFormula>IF($O$3="(Todas)",COUNTIF(BASE[CODCIE102],ENOS_G2_SIFILIS_TODOS_LOS_CASOS[[#This Row],[CIE-10]]),COUNTIFS(BASE[Cod.Establecimiento],$O$3,BASE[CODCIE102],ENOS_G2_SIFILIS_TODOS_LOS_CASOS[[#This Row],[CIE-10]]))</calculatedColumnFormula>
    </tableColumn>
    <tableColumn id="4" xr3:uid="{00000000-0010-0000-1C00-000004000000}" name="D3" dataDxfId="1856">
      <calculatedColumnFormula>IF($O$3="(Todas)",COUNTIF(BASE[CODCIE104],ENOS_G2_SIFILIS_TODOS_LOS_CASOS[[#This Row],[CIE-10]]),COUNTIFS(BASE[Cod.Establecimiento],$O$3,BASE[CODCIE104],ENOS_G2_SIFILIS_TODOS_LOS_CASOS[[#This Row],[CIE-10]]))</calculatedColumnFormula>
    </tableColumn>
    <tableColumn id="5" xr3:uid="{00000000-0010-0000-1C00-000005000000}" name="D4" dataDxfId="1855">
      <calculatedColumnFormula>IF($O$3="(Todas)",COUNTIF(BASE[CODCIE106],ENOS_G2_SIFILIS_TODOS_LOS_CASOS[[#This Row],[CIE-10]]),COUNTIFS(BASE[Cod.Establecimiento],$O$3,BASE[CODCIE106],ENOS_G2_SIFILIS_TODOS_LOS_CASOS[[#This Row],[CIE-10]]))</calculatedColumnFormula>
    </tableColumn>
    <tableColumn id="6" xr3:uid="{00000000-0010-0000-1C00-000006000000}" name="D5" dataDxfId="1854">
      <calculatedColumnFormula>IF($O$3="(Todas)",COUNTIF(BASE[CODCIE108],ENOS_G2_SIFILIS_TODOS_LOS_CASOS[[#This Row],[CIE-10]]),COUNTIFS(BASE[Cod.Establecimiento],$O$3,BASE[CODCIE108],ENOS_G2_SIFILIS_TODOS_LOS_CASOS[[#This Row],[CIE-10]]))</calculatedColumnFormula>
    </tableColumn>
    <tableColumn id="7" xr3:uid="{00000000-0010-0000-1C00-000007000000}" name="D6" dataDxfId="1853">
      <calculatedColumnFormula>IF($O$3="(Todas)",COUNTIF(BASE[CODCIE1010],ENOS_G2_SIFILIS_TODOS_LOS_CASOS[[#This Row],[CIE-10]]),COUNTIFS(BASE[Cod.Establecimiento],$O$3,BASE[CODCIE1010],ENOS_G2_SIFILIS_TODOS_LOS_CASOS[[#This Row],[CIE-10]]))</calculatedColumnFormula>
    </tableColumn>
    <tableColumn id="8" xr3:uid="{00000000-0010-0000-1C00-000008000000}" name="TOT" dataDxfId="1852" dataCellStyle="40% - Énfasis6">
      <calculatedColumnFormula>SUM(ENOS_G2_SIFILIS_TODOS_LOS_CASOS[[#This Row],[D1]:[D6]])</calculatedColumnFormula>
    </tableColumn>
  </tableColumns>
  <tableStyleInfo name="TableStyleLight1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ENOS_G2_ENF_VIRICAS_LESIONES_PIEL_Y_MEMB_MUCOSAS" displayName="ENOS_G2_ENF_VIRICAS_LESIONES_PIEL_Y_MEMB_MUCOSAS" ref="P78:W81" totalsRowShown="0" headerRowDxfId="1851">
  <autoFilter ref="P78:W81" xr:uid="{00000000-0009-0000-0100-00001E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1D00-000001000000}" name="CIE-10" dataCellStyle="20% - Énfasis4"/>
    <tableColumn id="2" xr3:uid="{00000000-0010-0000-1D00-000002000000}" name="D1" dataDxfId="1850">
      <calculatedColumnFormula>IF($O$3="(Todas)",COUNTIF(BASE[CODCIE10],ENOS_G2_ENF_VIRICAS_LESIONES_PIEL_Y_MEMB_MUCOSAS[[#This Row],[CIE-10]]),COUNTIFS(BASE[Cod.Establecimiento],$O$3,BASE[CODCIE10],ENOS_G2_ENF_VIRICAS_LESIONES_PIEL_Y_MEMB_MUCOSAS[[#This Row],[CIE-10]]))</calculatedColumnFormula>
    </tableColumn>
    <tableColumn id="3" xr3:uid="{00000000-0010-0000-1D00-000003000000}" name="D2" dataDxfId="1849">
      <calculatedColumnFormula>IF($O$3="(Todas)",COUNTIF(BASE[CODCIE102],ENOS_G2_ENF_VIRICAS_LESIONES_PIEL_Y_MEMB_MUCOSAS[[#This Row],[CIE-10]]),COUNTIFS(BASE[Cod.Establecimiento],$O$3,BASE[CODCIE102],ENOS_G2_ENF_VIRICAS_LESIONES_PIEL_Y_MEMB_MUCOSAS[[#This Row],[CIE-10]]))</calculatedColumnFormula>
    </tableColumn>
    <tableColumn id="4" xr3:uid="{00000000-0010-0000-1D00-000004000000}" name="D3" dataDxfId="1848">
      <calculatedColumnFormula>IF($O$3="(Todas)",COUNTIF(BASE[CODCIE104],ENOS_G2_ENF_VIRICAS_LESIONES_PIEL_Y_MEMB_MUCOSAS[[#This Row],[CIE-10]]),COUNTIFS(BASE[Cod.Establecimiento],$O$3,BASE[CODCIE104],ENOS_G2_ENF_VIRICAS_LESIONES_PIEL_Y_MEMB_MUCOSAS[[#This Row],[CIE-10]]))</calculatedColumnFormula>
    </tableColumn>
    <tableColumn id="5" xr3:uid="{00000000-0010-0000-1D00-000005000000}" name="D4" dataDxfId="1847">
      <calculatedColumnFormula>IF($O$3="(Todas)",COUNTIF(BASE[CODCIE106],ENOS_G2_ENF_VIRICAS_LESIONES_PIEL_Y_MEMB_MUCOSAS[[#This Row],[CIE-10]]),COUNTIFS(BASE[Cod.Establecimiento],$O$3,BASE[CODCIE106],ENOS_G2_ENF_VIRICAS_LESIONES_PIEL_Y_MEMB_MUCOSAS[[#This Row],[CIE-10]]))</calculatedColumnFormula>
    </tableColumn>
    <tableColumn id="6" xr3:uid="{00000000-0010-0000-1D00-000006000000}" name="D5" dataDxfId="1846">
      <calculatedColumnFormula>IF($O$3="(Todas)",COUNTIF(BASE[CODCIE108],ENOS_G2_ENF_VIRICAS_LESIONES_PIEL_Y_MEMB_MUCOSAS[[#This Row],[CIE-10]]),COUNTIFS(BASE[Cod.Establecimiento],$O$3,BASE[CODCIE108],ENOS_G2_ENF_VIRICAS_LESIONES_PIEL_Y_MEMB_MUCOSAS[[#This Row],[CIE-10]]))</calculatedColumnFormula>
    </tableColumn>
    <tableColumn id="7" xr3:uid="{00000000-0010-0000-1D00-000007000000}" name="D6" dataDxfId="1845">
      <calculatedColumnFormula>IF($O$3="(Todas)",COUNTIF(BASE[CODCIE1010],ENOS_G2_ENF_VIRICAS_LESIONES_PIEL_Y_MEMB_MUCOSAS[[#This Row],[CIE-10]]),COUNTIFS(BASE[Cod.Establecimiento],$O$3,BASE[CODCIE1010],ENOS_G2_ENF_VIRICAS_LESIONES_PIEL_Y_MEMB_MUCOSAS[[#This Row],[CIE-10]]))</calculatedColumnFormula>
    </tableColumn>
    <tableColumn id="8" xr3:uid="{00000000-0010-0000-1D00-000008000000}" name="TOT" dataDxfId="1844" dataCellStyle="40% - Énfasis6">
      <calculatedColumnFormula>SUM(ENOS_G2_ENF_VIRICAS_LESIONES_PIEL_Y_MEMB_MUCOSAS[[#This Row],[D1]:[D6]])</calculatedColumnFormula>
    </tableColumn>
  </tableColumns>
  <tableStyleInfo name="TableStyleLight1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ENOS_G3_ETI_MENOR_QUE_1_AÑO" displayName="ENOS_G3_ETI_MENOR_QUE_1_AÑO" ref="P84:W87" totalsRowShown="0" headerRowDxfId="1843">
  <autoFilter ref="P84:W87" xr:uid="{00000000-0009-0000-0100-00001F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1E00-000001000000}" name="CIE-10" dataCellStyle="20% - Énfasis4"/>
    <tableColumn id="2" xr3:uid="{00000000-0010-0000-1E00-000002000000}" name="D1" dataDxfId="1842">
      <calculatedColumnFormula>IF($O$3="(Todas)",COUNTIFS(BASE[CODCIE10],ENOS_G3_ETI_MENOR_QUE_1_AÑO[[#This Row],[CIE-10]],BASE[Edad],"&lt;1"),COUNTIFS(BASE[Cod.Establecimiento],$O$3,BASE[CODCIE10],ENOS_G3_ETI_MENOR_QUE_1_AÑO[[#This Row],[CIE-10]],BASE[Edad],"&lt;1"))</calculatedColumnFormula>
    </tableColumn>
    <tableColumn id="3" xr3:uid="{00000000-0010-0000-1E00-000003000000}" name="D2" dataDxfId="1841">
      <calculatedColumnFormula>IF($O$3="(Todas)",COUNTIFS(BASE[CODCIE102],ENOS_G3_ETI_MENOR_QUE_1_AÑO[[#This Row],[CIE-10]],BASE[Edad],"&lt;1"),COUNTIFS(BASE[Cod.Establecimiento],$O$3,BASE[CODCIE102],ENOS_G3_ETI_MENOR_QUE_1_AÑO[[#This Row],[CIE-10]],BASE[Edad],"&lt;1"))</calculatedColumnFormula>
    </tableColumn>
    <tableColumn id="4" xr3:uid="{00000000-0010-0000-1E00-000004000000}" name="D3" dataDxfId="1840">
      <calculatedColumnFormula>IF($O$3="(Todas)",COUNTIFS(BASE[CODCIE104],ENOS_G3_ETI_MENOR_QUE_1_AÑO[[#This Row],[CIE-10]],BASE[Edad],"&lt;1"),COUNTIFS(BASE[Cod.Establecimiento],$O$3,BASE[CODCIE104],ENOS_G3_ETI_MENOR_QUE_1_AÑO[[#This Row],[CIE-10]],BASE[Edad],"&lt;1"))</calculatedColumnFormula>
    </tableColumn>
    <tableColumn id="5" xr3:uid="{00000000-0010-0000-1E00-000005000000}" name="D4" dataDxfId="1839">
      <calculatedColumnFormula>IF($O$3="(Todas)",COUNTIFS(BASE[CODCIE106],ENOS_G3_ETI_MENOR_QUE_1_AÑO[[#This Row],[CIE-10]],BASE[Edad],"&lt;1"),COUNTIFS(BASE[Cod.Establecimiento],$O$3,BASE[CODCIE106],ENOS_G3_ETI_MENOR_QUE_1_AÑO[[#This Row],[CIE-10]],BASE[Edad],"&lt;1"))</calculatedColumnFormula>
    </tableColumn>
    <tableColumn id="6" xr3:uid="{00000000-0010-0000-1E00-000006000000}" name="D5" dataDxfId="1838">
      <calculatedColumnFormula>IF($O$3="(Todas)",COUNTIFS(BASE[CODCIE108],ENOS_G3_ETI_MENOR_QUE_1_AÑO[[#This Row],[CIE-10]],BASE[Edad],"&lt;1"),COUNTIFS(BASE[Cod.Establecimiento],$O$3,BASE[CODCIE108],ENOS_G3_ETI_MENOR_QUE_1_AÑO[[#This Row],[CIE-10]],BASE[Edad],"&lt;1"))</calculatedColumnFormula>
    </tableColumn>
    <tableColumn id="7" xr3:uid="{00000000-0010-0000-1E00-000007000000}" name="D6" dataDxfId="1837">
      <calculatedColumnFormula>IF($O$3="(Todas)",COUNTIFS(BASE[CODCIE1010],ENOS_G3_ETI_MENOR_QUE_1_AÑO[[#This Row],[CIE-10]],BASE[Edad],"&lt;1"),COUNTIFS(BASE[Cod.Establecimiento],$O$3,BASE[CODCIE1010],ENOS_G3_ETI_MENOR_QUE_1_AÑO[[#This Row],[CIE-10]],BASE[Edad],"&lt;1"))</calculatedColumnFormula>
    </tableColumn>
    <tableColumn id="8" xr3:uid="{00000000-0010-0000-1E00-000008000000}" name="TOT" dataDxfId="1836" dataCellStyle="40% - Énfasis6">
      <calculatedColumnFormula>SUM(ENOS_G3_ETI_MENOR_QUE_1_AÑO[[#This Row],[D1]:[D6]])</calculatedColumnFormula>
    </tableColumn>
  </tableColumns>
  <tableStyleInfo name="TableStyleLight1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ENOS_G3_ETI_1_4_AÑOS" displayName="ENOS_G3_ETI_1_4_AÑOS" ref="Y84:AF87" totalsRowShown="0" headerRowDxfId="1835">
  <autoFilter ref="Y84:AF87" xr:uid="{00000000-0009-0000-0100-000020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1F00-000001000000}" name="CIE-10" dataCellStyle="20% - Énfasis4"/>
    <tableColumn id="2" xr3:uid="{00000000-0010-0000-1F00-000002000000}" name="D1" dataDxfId="1834">
      <calculatedColumnFormula>IF($O$3="(Todas)",COUNTIFS(BASE[CODCIE10],ENOS_G3_ETI_1_4_AÑOS[[#This Row],[CIE-10]],BASE[Edad],"&gt;=1",BASE[Edad],"&lt;=4"),COUNTIFS(BASE[Cod.Establecimiento],$O$3,BASE[CODCIE10],ENOS_G3_ETI_1_4_AÑOS[[#This Row],[CIE-10]],BASE[Edad],"&gt;=1",BASE[Edad],"&lt;=4"))</calculatedColumnFormula>
    </tableColumn>
    <tableColumn id="3" xr3:uid="{00000000-0010-0000-1F00-000003000000}" name="D2" dataDxfId="1833">
      <calculatedColumnFormula>IF($O$3="(Todas)",COUNTIFS(BASE[CODCIE102],ENOS_G3_ETI_1_4_AÑOS[[#This Row],[CIE-10]],BASE[Edad],"&gt;=1",BASE[Edad],"&lt;=4"),COUNTIFS(BASE[Cod.Establecimiento],$O$3,BASE[CODCIE102],ENOS_G3_ETI_1_4_AÑOS[[#This Row],[CIE-10]],BASE[Edad],"&gt;=1",BASE[Edad],"&lt;=4"))</calculatedColumnFormula>
    </tableColumn>
    <tableColumn id="4" xr3:uid="{00000000-0010-0000-1F00-000004000000}" name="D3" dataDxfId="1832">
      <calculatedColumnFormula>IF($O$3="(Todas)",COUNTIFS(BASE[CODCIE104],ENOS_G3_ETI_1_4_AÑOS[[#This Row],[CIE-10]],BASE[Edad],"&gt;=1",BASE[Edad],"&lt;=4"),COUNTIFS(BASE[Cod.Establecimiento],$O$3,BASE[CODCIE104],ENOS_G3_ETI_1_4_AÑOS[[#This Row],[CIE-10]],BASE[Edad],"&gt;=1",BASE[Edad],"&lt;=4"))</calculatedColumnFormula>
    </tableColumn>
    <tableColumn id="5" xr3:uid="{00000000-0010-0000-1F00-000005000000}" name="D4" dataDxfId="1831">
      <calculatedColumnFormula>IF($O$3="(Todas)",COUNTIFS(BASE[CODCIE106],ENOS_G3_ETI_1_4_AÑOS[[#This Row],[CIE-10]],BASE[Edad],"&gt;=1",BASE[Edad],"&lt;=4"),COUNTIFS(BASE[Cod.Establecimiento],$O$3,BASE[CODCIE106],ENOS_G3_ETI_1_4_AÑOS[[#This Row],[CIE-10]],BASE[Edad],"&gt;=1",BASE[Edad],"&lt;=4"))</calculatedColumnFormula>
    </tableColumn>
    <tableColumn id="6" xr3:uid="{00000000-0010-0000-1F00-000006000000}" name="D5" dataDxfId="1830">
      <calculatedColumnFormula>IF($O$3="(Todas)",COUNTIFS(BASE[CODCIE108],ENOS_G3_ETI_1_4_AÑOS[[#This Row],[CIE-10]],BASE[Edad],"&gt;=1",BASE[Edad],"&lt;=4"),COUNTIFS(BASE[Cod.Establecimiento],$O$3,BASE[CODCIE108],ENOS_G3_ETI_1_4_AÑOS[[#This Row],[CIE-10]],BASE[Edad],"&gt;=1",BASE[Edad],"&lt;=4"))</calculatedColumnFormula>
    </tableColumn>
    <tableColumn id="7" xr3:uid="{00000000-0010-0000-1F00-000007000000}" name="D6" dataDxfId="1829">
      <calculatedColumnFormula>IF($O$3="(Todas)",COUNTIFS(BASE[CODCIE1010],ENOS_G3_ETI_1_4_AÑOS[[#This Row],[CIE-10]],BASE[Edad],"&gt;=1",BASE[Edad],"&lt;=4"),COUNTIFS(BASE[Cod.Establecimiento],$O$3,BASE[CODCIE1010],ENOS_G3_ETI_1_4_AÑOS[[#This Row],[CIE-10]],BASE[Edad],"&gt;=1",BASE[Edad],"&lt;=4"))</calculatedColumnFormula>
    </tableColumn>
    <tableColumn id="8" xr3:uid="{00000000-0010-0000-1F00-000008000000}" name="TOT" dataDxfId="1828" dataCellStyle="40% - Énfasis6">
      <calculatedColumnFormula>SUM(ENOS_G3_ETI_1_4_AÑOS[[#This Row],[D1]:[D6]])</calculatedColumnFormula>
    </tableColumn>
  </tableColumns>
  <tableStyleInfo name="TableStyleLight1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ENOS_G3_ETI_5_19_AÑOS" displayName="ENOS_G3_ETI_5_19_AÑOS" ref="P90:W93" totalsRowShown="0" headerRowDxfId="1827">
  <autoFilter ref="P90:W93" xr:uid="{00000000-0009-0000-0100-00002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2000-000001000000}" name="CIE-10" dataCellStyle="20% - Énfasis4"/>
    <tableColumn id="2" xr3:uid="{00000000-0010-0000-2000-000002000000}" name="D1" dataDxfId="1826">
      <calculatedColumnFormula>IF($O$3="(Todas)",COUNTIFS(BASE[CODCIE10],ENOS_G3_ETI_5_19_AÑOS[[#This Row],[CIE-10]],BASE[Edad],"&gt;=5",BASE[Edad],"&lt;=19"),COUNTIFS(BASE[Cod.Establecimiento],$O$3,BASE[CODCIE10],ENOS_G3_ETI_5_19_AÑOS[[#This Row],[CIE-10]],BASE[Edad],"&gt;=5",BASE[Edad],"&lt;=19"))</calculatedColumnFormula>
    </tableColumn>
    <tableColumn id="3" xr3:uid="{00000000-0010-0000-2000-000003000000}" name="D2" dataDxfId="1825">
      <calculatedColumnFormula>IF($O$3="(Todas)",COUNTIFS(BASE[CODCIE102],ENOS_G3_ETI_5_19_AÑOS[[#This Row],[CIE-10]],BASE[Edad],"&gt;=5",BASE[Edad],"&lt;=19"),COUNTIFS(BASE[Cod.Establecimiento],$O$3,BASE[CODCIE102],ENOS_G3_ETI_5_19_AÑOS[[#This Row],[CIE-10]],BASE[Edad],"&gt;=5",BASE[Edad],"&lt;=19"))</calculatedColumnFormula>
    </tableColumn>
    <tableColumn id="4" xr3:uid="{00000000-0010-0000-2000-000004000000}" name="D3" dataDxfId="1824">
      <calculatedColumnFormula>IF($O$3="(Todas)",COUNTIFS(BASE[CODCIE104],ENOS_G3_ETI_5_19_AÑOS[[#This Row],[CIE-10]],BASE[Edad],"&gt;=5",BASE[Edad],"&lt;=19"),COUNTIFS(BASE[Cod.Establecimiento],$O$3,BASE[CODCIE104],ENOS_G3_ETI_5_19_AÑOS[[#This Row],[CIE-10]],BASE[Edad],"&gt;=5",BASE[Edad],"&lt;=19"))</calculatedColumnFormula>
    </tableColumn>
    <tableColumn id="5" xr3:uid="{00000000-0010-0000-2000-000005000000}" name="D4" dataDxfId="1823">
      <calculatedColumnFormula>IF($O$3="(Todas)",COUNTIFS(BASE[CODCIE106],ENOS_G3_ETI_5_19_AÑOS[[#This Row],[CIE-10]],BASE[Edad],"&gt;=5",BASE[Edad],"&lt;=19"),COUNTIFS(BASE[Cod.Establecimiento],$O$3,BASE[CODCIE106],ENOS_G3_ETI_5_19_AÑOS[[#This Row],[CIE-10]],BASE[Edad],"&gt;=5",BASE[Edad],"&lt;=19"))</calculatedColumnFormula>
    </tableColumn>
    <tableColumn id="6" xr3:uid="{00000000-0010-0000-2000-000006000000}" name="D5" dataDxfId="1822">
      <calculatedColumnFormula>IF($O$3="(Todas)",COUNTIFS(BASE[CODCIE108],ENOS_G3_ETI_5_19_AÑOS[[#This Row],[CIE-10]],BASE[Edad],"&gt;=5",BASE[Edad],"&lt;=19"),COUNTIFS(BASE[Cod.Establecimiento],$O$3,BASE[CODCIE108],ENOS_G3_ETI_5_19_AÑOS[[#This Row],[CIE-10]],BASE[Edad],"&gt;=5",BASE[Edad],"&lt;=19"))</calculatedColumnFormula>
    </tableColumn>
    <tableColumn id="7" xr3:uid="{00000000-0010-0000-2000-000007000000}" name="D6" dataDxfId="1821">
      <calculatedColumnFormula>IF($O$3="(Todas)",COUNTIFS(BASE[CODCIE1010],ENOS_G3_ETI_5_19_AÑOS[[#This Row],[CIE-10]],BASE[Edad],"&gt;=5",BASE[Edad],"&lt;=19"),COUNTIFS(BASE[Cod.Establecimiento],$O$3,BASE[CODCIE1010],ENOS_G3_ETI_5_19_AÑOS[[#This Row],[CIE-10]],BASE[Edad],"&gt;=5",BASE[Edad],"&lt;=19"))</calculatedColumnFormula>
    </tableColumn>
    <tableColumn id="8" xr3:uid="{00000000-0010-0000-2000-000008000000}" name="TOT" dataDxfId="1820" dataCellStyle="40% - Énfasis6">
      <calculatedColumnFormula>SUM(ENOS_G3_ETI_5_19_AÑOS[[#This Row],[D1]:[D6]])</calculatedColumnFormula>
    </tableColumn>
  </tableColumns>
  <tableStyleInfo name="TableStyleLight1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ENOS_G3_ETI_20_59_AÑOS" displayName="ENOS_G3_ETI_20_59_AÑOS" ref="Y90:AF93" totalsRowShown="0" headerRowDxfId="1819">
  <autoFilter ref="Y90:AF93" xr:uid="{00000000-0009-0000-0100-000022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2100-000001000000}" name="CIE-10" dataCellStyle="20% - Énfasis4"/>
    <tableColumn id="2" xr3:uid="{00000000-0010-0000-2100-000002000000}" name="D1" dataDxfId="1818">
      <calculatedColumnFormula>IF($O$3="(Todas)",COUNTIFS(BASE[CODCIE10],ENOS_G3_ETI_20_59_AÑOS[[#This Row],[CIE-10]],BASE[Edad],"&gt;=20",BASE[Edad],"&lt;=59"),COUNTIFS(BASE[Cod.Establecimiento],$O$3,BASE[CODCIE10],ENOS_G3_ETI_20_59_AÑOS[[#This Row],[CIE-10]],BASE[Edad],"&gt;=20",BASE[Edad],"&lt;=59"))</calculatedColumnFormula>
    </tableColumn>
    <tableColumn id="3" xr3:uid="{00000000-0010-0000-2100-000003000000}" name="D2" dataDxfId="1817">
      <calculatedColumnFormula>IF($O$3="(Todas)",COUNTIFS(BASE[CODCIE102],ENOS_G3_ETI_20_59_AÑOS[[#This Row],[CIE-10]],BASE[Edad],"&gt;=20",BASE[Edad],"&lt;=59"),COUNTIFS(BASE[Cod.Establecimiento],$O$3,BASE[CODCIE102],ENOS_G3_ETI_20_59_AÑOS[[#This Row],[CIE-10]],BASE[Edad],"&gt;=20",BASE[Edad],"&lt;=59"))</calculatedColumnFormula>
    </tableColumn>
    <tableColumn id="4" xr3:uid="{00000000-0010-0000-2100-000004000000}" name="D3" dataDxfId="1816">
      <calculatedColumnFormula>IF($O$3="(Todas)",COUNTIFS(BASE[CODCIE104],ENOS_G3_ETI_20_59_AÑOS[[#This Row],[CIE-10]],BASE[Edad],"&gt;=20",BASE[Edad],"&lt;=59"),COUNTIFS(BASE[Cod.Establecimiento],$O$3,BASE[CODCIE104],ENOS_G3_ETI_20_59_AÑOS[[#This Row],[CIE-10]],BASE[Edad],"&gt;=20",BASE[Edad],"&lt;=59"))</calculatedColumnFormula>
    </tableColumn>
    <tableColumn id="5" xr3:uid="{00000000-0010-0000-2100-000005000000}" name="D4" dataDxfId="1815">
      <calculatedColumnFormula>IF($O$3="(Todas)",COUNTIFS(BASE[CODCIE106],ENOS_G3_ETI_20_59_AÑOS[[#This Row],[CIE-10]],BASE[Edad],"&gt;=20",BASE[Edad],"&lt;=59"),COUNTIFS(BASE[Cod.Establecimiento],$O$3,BASE[CODCIE106],ENOS_G3_ETI_20_59_AÑOS[[#This Row],[CIE-10]],BASE[Edad],"&gt;=20",BASE[Edad],"&lt;=59"))</calculatedColumnFormula>
    </tableColumn>
    <tableColumn id="6" xr3:uid="{00000000-0010-0000-2100-000006000000}" name="D5" dataDxfId="1814">
      <calculatedColumnFormula>IF($O$3="(Todas)",COUNTIFS(BASE[CODCIE108],ENOS_G3_ETI_20_59_AÑOS[[#This Row],[CIE-10]],BASE[Edad],"&gt;=20",BASE[Edad],"&lt;=59"),COUNTIFS(BASE[Cod.Establecimiento],$O$3,BASE[CODCIE108],ENOS_G3_ETI_20_59_AÑOS[[#This Row],[CIE-10]],BASE[Edad],"&gt;=20",BASE[Edad],"&lt;=59"))</calculatedColumnFormula>
    </tableColumn>
    <tableColumn id="7" xr3:uid="{00000000-0010-0000-2100-000007000000}" name="D6" dataDxfId="1813">
      <calculatedColumnFormula>IF($O$3="(Todas)",COUNTIFS(BASE[CODCIE1010],ENOS_G3_ETI_20_59_AÑOS[[#This Row],[CIE-10]],BASE[Edad],"&gt;=20",BASE[Edad],"&lt;=59"),COUNTIFS(BASE[Cod.Establecimiento],$O$3,BASE[CODCIE1010],ENOS_G3_ETI_20_59_AÑOS[[#This Row],[CIE-10]],BASE[Edad],"&gt;=20",BASE[Edad],"&lt;=59"))</calculatedColumnFormula>
    </tableColumn>
    <tableColumn id="8" xr3:uid="{00000000-0010-0000-2100-000008000000}" name="TOT" dataDxfId="1812" dataCellStyle="40% - Énfasis6">
      <calculatedColumnFormula>SUM(ENOS_G3_ETI_20_59_AÑOS[[#This Row],[D1]:[D6]])</calculatedColumnFormula>
    </tableColumn>
  </tableColumns>
  <tableStyleInfo name="TableStyleLight1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ENOS_G3_ETI_60_MAS_AÑOS" displayName="ENOS_G3_ETI_60_MAS_AÑOS" ref="P96:W99" totalsRowShown="0" headerRowDxfId="1811">
  <autoFilter ref="P96:W99" xr:uid="{00000000-0009-0000-0100-000023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2200-000001000000}" name="CIE-10" dataCellStyle="20% - Énfasis4"/>
    <tableColumn id="2" xr3:uid="{00000000-0010-0000-2200-000002000000}" name="D1" dataDxfId="1810">
      <calculatedColumnFormula>IF($O$3="(Todas)",COUNTIFS(BASE[CODCIE10],ENOS_G3_ETI_60_MAS_AÑOS[[#This Row],[CIE-10]],BASE[Edad],"&gt;=60"),COUNTIFS(BASE[Cod.Establecimiento],$O$3,BASE[CODCIE10],ENOS_G3_ETI_60_MAS_AÑOS[[#This Row],[CIE-10]],BASE[Edad],"&gt;=60"))</calculatedColumnFormula>
    </tableColumn>
    <tableColumn id="3" xr3:uid="{00000000-0010-0000-2200-000003000000}" name="D2" dataDxfId="1809">
      <calculatedColumnFormula>IF($O$3="(Todas)",COUNTIFS(BASE[CODCIE102],ENOS_G3_ETI_60_MAS_AÑOS[[#This Row],[CIE-10]],BASE[Edad],"&gt;=60"),COUNTIFS(BASE[Cod.Establecimiento],$O$3,BASE[CODCIE102],ENOS_G3_ETI_60_MAS_AÑOS[[#This Row],[CIE-10]],BASE[Edad],"&gt;=60"))</calculatedColumnFormula>
    </tableColumn>
    <tableColumn id="4" xr3:uid="{00000000-0010-0000-2200-000004000000}" name="D3" dataDxfId="1808">
      <calculatedColumnFormula>IF($O$3="(Todas)",COUNTIFS(BASE[CODCIE104],ENOS_G3_ETI_60_MAS_AÑOS[[#This Row],[CIE-10]],BASE[Edad],"&gt;=60"),COUNTIFS(BASE[Cod.Establecimiento],$O$3,BASE[CODCIE104],ENOS_G3_ETI_60_MAS_AÑOS[[#This Row],[CIE-10]],BASE[Edad],"&gt;=60"))</calculatedColumnFormula>
    </tableColumn>
    <tableColumn id="5" xr3:uid="{00000000-0010-0000-2200-000005000000}" name="D4" dataDxfId="1807">
      <calculatedColumnFormula>IF($O$3="(Todas)",COUNTIFS(BASE[CODCIE106],ENOS_G3_ETI_60_MAS_AÑOS[[#This Row],[CIE-10]],BASE[Edad],"&gt;=60"),COUNTIFS(BASE[Cod.Establecimiento],$O$3,BASE[CODCIE106],ENOS_G3_ETI_60_MAS_AÑOS[[#This Row],[CIE-10]],BASE[Edad],"&gt;=60"))</calculatedColumnFormula>
    </tableColumn>
    <tableColumn id="6" xr3:uid="{00000000-0010-0000-2200-000006000000}" name="D5" dataDxfId="1806">
      <calculatedColumnFormula>IF($O$3="(Todas)",COUNTIFS(BASE[CODCIE108],ENOS_G3_ETI_60_MAS_AÑOS[[#This Row],[CIE-10]],BASE[Edad],"&gt;=60"),COUNTIFS(BASE[Cod.Establecimiento],$O$3,BASE[CODCIE108],ENOS_G3_ETI_60_MAS_AÑOS[[#This Row],[CIE-10]],BASE[Edad],"&gt;=60"))</calculatedColumnFormula>
    </tableColumn>
    <tableColumn id="7" xr3:uid="{00000000-0010-0000-2200-000007000000}" name="D6" dataDxfId="1805">
      <calculatedColumnFormula>IF($O$3="(Todas)",COUNTIFS(BASE[CODCIE1010],ENOS_G3_ETI_60_MAS_AÑOS[[#This Row],[CIE-10]],BASE[Edad],"&gt;=60"),COUNTIFS(BASE[Cod.Establecimiento],$O$3,BASE[CODCIE1010],ENOS_G3_ETI_60_MAS_AÑOS[[#This Row],[CIE-10]],BASE[Edad],"&gt;=60"))</calculatedColumnFormula>
    </tableColumn>
    <tableColumn id="8" xr3:uid="{00000000-0010-0000-2200-000008000000}" name="TOT" dataDxfId="1804" dataCellStyle="40% - Énfasis6">
      <calculatedColumnFormula>SUM(ENOS_G3_ETI_60_MAS_AÑOS[[#This Row],[D1]:[D6]])</calculatedColumnFormula>
    </tableColumn>
  </tableColumns>
  <tableStyleInfo name="TableStyleLight1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3000000}" name="ENOS_G3_ETI_SD_AÑOS" displayName="ENOS_G3_ETI_SD_AÑOS" ref="Y96:AF99" totalsRowShown="0" headerRowDxfId="1803">
  <autoFilter ref="Y96:AF99" xr:uid="{00000000-0009-0000-0100-000024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2300-000001000000}" name="CIE-10" dataCellStyle="20% - Énfasis4"/>
    <tableColumn id="2" xr3:uid="{00000000-0010-0000-2300-000002000000}" name="D1" dataDxfId="1802">
      <calculatedColumnFormula>IF($O$3="(Todas)",COUNTIFS(BASE[CODCIE10],ENOS_G3_ETI_SD_AÑOS[[#This Row],[CIE-10]],BASE[Edad],""),COUNTIFS(BASE[Cod.Establecimiento],$O$3,BASE[CODCIE10],ENOS_G3_ETI_SD_AÑOS[[#This Row],[CIE-10]],BASE[Edad],""))</calculatedColumnFormula>
    </tableColumn>
    <tableColumn id="3" xr3:uid="{00000000-0010-0000-2300-000003000000}" name="D2" dataDxfId="1801">
      <calculatedColumnFormula>IF($O$3="(Todas)",COUNTIFS(BASE[CODCIE102],ENOS_G3_ETI_SD_AÑOS[[#This Row],[CIE-10]],BASE[Edad],""),COUNTIFS(BASE[Cod.Establecimiento],$O$3,BASE[CODCIE102],ENOS_G3_ETI_SD_AÑOS[[#This Row],[CIE-10]],BASE[Edad],""))</calculatedColumnFormula>
    </tableColumn>
    <tableColumn id="4" xr3:uid="{00000000-0010-0000-2300-000004000000}" name="D3" dataDxfId="1800">
      <calculatedColumnFormula>IF($O$3="(Todas)",COUNTIFS(BASE[CODCIE104],ENOS_G3_ETI_SD_AÑOS[[#This Row],[CIE-10]],BASE[Edad],""),COUNTIFS(BASE[Cod.Establecimiento],$O$3,BASE[CODCIE104],ENOS_G3_ETI_SD_AÑOS[[#This Row],[CIE-10]],BASE[Edad],""))</calculatedColumnFormula>
    </tableColumn>
    <tableColumn id="5" xr3:uid="{00000000-0010-0000-2300-000005000000}" name="D4" dataDxfId="1799">
      <calculatedColumnFormula>IF($O$3="(Todas)",COUNTIFS(BASE[CODCIE106],ENOS_G3_ETI_SD_AÑOS[[#This Row],[CIE-10]],BASE[Edad],""),COUNTIFS(BASE[Cod.Establecimiento],$O$3,BASE[CODCIE106],ENOS_G3_ETI_SD_AÑOS[[#This Row],[CIE-10]],BASE[Edad],""))</calculatedColumnFormula>
    </tableColumn>
    <tableColumn id="6" xr3:uid="{00000000-0010-0000-2300-000006000000}" name="D5" dataDxfId="1798">
      <calculatedColumnFormula>IF($O$3="(Todas)",COUNTIFS(BASE[CODCIE108],ENOS_G3_ETI_SD_AÑOS[[#This Row],[CIE-10]],BASE[Edad],""),COUNTIFS(BASE[Cod.Establecimiento],$O$3,BASE[CODCIE108],ENOS_G3_ETI_SD_AÑOS[[#This Row],[CIE-10]],BASE[Edad],""))</calculatedColumnFormula>
    </tableColumn>
    <tableColumn id="7" xr3:uid="{00000000-0010-0000-2300-000007000000}" name="D6" dataDxfId="1797">
      <calculatedColumnFormula>IF($O$3="(Todas)",COUNTIFS(BASE[CODCIE1010],ENOS_G3_ETI_SD_AÑOS[[#This Row],[CIE-10]],BASE[Edad],""),COUNTIFS(BASE[Cod.Establecimiento],$O$3,BASE[CODCIE1010],ENOS_G3_ETI_SD_AÑOS[[#This Row],[CIE-10]],BASE[Edad],""))</calculatedColumnFormula>
    </tableColumn>
    <tableColumn id="8" xr3:uid="{00000000-0010-0000-2300-000008000000}" name="TOT" dataDxfId="1796" dataCellStyle="40% - Énfasis6">
      <calculatedColumnFormula>SUM(ENOS_G3_ETI_SD_AÑOS[[#This Row],[D1]:[D6]])</calculatedColumnFormula>
    </tableColumn>
  </tableColumns>
  <tableStyleInfo name="TableStyleLight1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4000000}" name="ENOS_G3_IRANN_MENOR_QUE_1_AÑO" displayName="ENOS_G3_IRANN_MENOR_QUE_1_AÑO" ref="P102:W111" totalsRowShown="0" headerRowDxfId="1795">
  <autoFilter ref="P102:W111" xr:uid="{00000000-0009-0000-0100-000025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2400-000001000000}" name="CIE-10" dataCellStyle="20% - Énfasis4"/>
    <tableColumn id="2" xr3:uid="{00000000-0010-0000-2400-000002000000}" name="D1" dataDxfId="1794">
      <calculatedColumnFormula>IF($O$3="(Todas)",COUNTIFS(BASE[CODCIE10],ENOS_G3_IRANN_MENOR_QUE_1_AÑO[[#This Row],[CIE-10]],BASE[Edad],"&lt;1"),COUNTIFS(BASE[Cod.Establecimiento],$O$3,BASE[CODCIE10],ENOS_G3_IRANN_MENOR_QUE_1_AÑO[[#This Row],[CIE-10]],BASE[Edad],"&lt;1"))</calculatedColumnFormula>
    </tableColumn>
    <tableColumn id="3" xr3:uid="{00000000-0010-0000-2400-000003000000}" name="D2" dataDxfId="1793">
      <calculatedColumnFormula>IF($O$3="(Todas)",COUNTIFS(BASE[CODCIE102],ENOS_G3_IRANN_MENOR_QUE_1_AÑO[[#This Row],[CIE-10]],BASE[Edad],"&lt;1"),COUNTIFS(BASE[Cod.Establecimiento],$O$3,BASE[CODCIE102],ENOS_G3_IRANN_MENOR_QUE_1_AÑO[[#This Row],[CIE-10]],BASE[Edad],"&lt;1"))</calculatedColumnFormula>
    </tableColumn>
    <tableColumn id="4" xr3:uid="{00000000-0010-0000-2400-000004000000}" name="D3" dataDxfId="1792">
      <calculatedColumnFormula>IF($O$3="(Todas)",COUNTIFS(BASE[CODCIE104],ENOS_G3_IRANN_MENOR_QUE_1_AÑO[[#This Row],[CIE-10]],BASE[Edad],"&lt;1"),COUNTIFS(BASE[Cod.Establecimiento],$O$3,BASE[CODCIE104],ENOS_G3_IRANN_MENOR_QUE_1_AÑO[[#This Row],[CIE-10]],BASE[Edad],"&lt;1"))</calculatedColumnFormula>
    </tableColumn>
    <tableColumn id="5" xr3:uid="{00000000-0010-0000-2400-000005000000}" name="D4" dataDxfId="1791">
      <calculatedColumnFormula>IF($O$3="(Todas)",COUNTIFS(BASE[CODCIE106],ENOS_G3_IRANN_MENOR_QUE_1_AÑO[[#This Row],[CIE-10]],BASE[Edad],"&lt;1"),COUNTIFS(BASE[Cod.Establecimiento],$O$3,BASE[CODCIE106],ENOS_G3_IRANN_MENOR_QUE_1_AÑO[[#This Row],[CIE-10]],BASE[Edad],"&lt;1"))</calculatedColumnFormula>
    </tableColumn>
    <tableColumn id="6" xr3:uid="{00000000-0010-0000-2400-000006000000}" name="D5" dataDxfId="1790">
      <calculatedColumnFormula>IF($O$3="(Todas)",COUNTIFS(BASE[CODCIE108],ENOS_G3_IRANN_MENOR_QUE_1_AÑO[[#This Row],[CIE-10]],BASE[Edad],"&lt;1"),COUNTIFS(BASE[Cod.Establecimiento],$O$3,BASE[CODCIE108],ENOS_G3_IRANN_MENOR_QUE_1_AÑO[[#This Row],[CIE-10]],BASE[Edad],"&lt;1"))</calculatedColumnFormula>
    </tableColumn>
    <tableColumn id="7" xr3:uid="{00000000-0010-0000-2400-000007000000}" name="D6" dataDxfId="1789">
      <calculatedColumnFormula>IF($O$3="(Todas)",COUNTIFS(BASE[CODCIE1010],ENOS_G3_IRANN_MENOR_QUE_1_AÑO[[#This Row],[CIE-10]],BASE[Edad],"&lt;1"),COUNTIFS(BASE[Cod.Establecimiento],$O$3,BASE[CODCIE1010],ENOS_G3_IRANN_MENOR_QUE_1_AÑO[[#This Row],[CIE-10]],BASE[Edad],"&lt;1"))</calculatedColumnFormula>
    </tableColumn>
    <tableColumn id="8" xr3:uid="{00000000-0010-0000-2400-000008000000}" name="TOT" dataDxfId="1788" dataCellStyle="40% - Énfasis6">
      <calculatedColumnFormula>SUM(ENOS_G3_IRANN_MENOR_QUE_1_AÑO[[#This Row],[D1]:[D6]])</calculatedColumnFormula>
    </tableColumn>
  </tableColumns>
  <tableStyleInfo name="TableStyleLight1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5000000}" name="ENOS_G3_IRANN_1_4_AÑOS" displayName="ENOS_G3_IRANN_1_4_AÑOS" ref="Y102:AF111" totalsRowShown="0" headerRowDxfId="1787">
  <autoFilter ref="Y102:AF111" xr:uid="{00000000-0009-0000-0100-000026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2500-000001000000}" name="CIE-10" dataCellStyle="20% - Énfasis4"/>
    <tableColumn id="2" xr3:uid="{00000000-0010-0000-2500-000002000000}" name="D1" dataDxfId="1786">
      <calculatedColumnFormula>IF($O$3="(Todas)",COUNTIFS(BASE[CODCIE10],ENOS_G3_IRANN_1_4_AÑOS[[#This Row],[CIE-10]],BASE[Edad],"&gt;=1",BASE[Edad],"&lt;=4"),COUNTIFS(BASE[Cod.Establecimiento],$O$3,BASE[CODCIE10],ENOS_G3_IRANN_1_4_AÑOS[[#This Row],[CIE-10]],BASE[Edad],"&gt;=1",BASE[Edad],"&lt;=4"))</calculatedColumnFormula>
    </tableColumn>
    <tableColumn id="3" xr3:uid="{00000000-0010-0000-2500-000003000000}" name="D2" dataDxfId="1785">
      <calculatedColumnFormula>IF($O$3="(Todas)",COUNTIFS(BASE[CODCIE102],ENOS_G3_IRANN_1_4_AÑOS[[#This Row],[CIE-10]],BASE[Edad],"&gt;=1",BASE[Edad],"&lt;=4"),COUNTIFS(BASE[Cod.Establecimiento],$O$3,BASE[CODCIE102],ENOS_G3_IRANN_1_4_AÑOS[[#This Row],[CIE-10]],BASE[Edad],"&gt;=1",BASE[Edad],"&lt;=4"))</calculatedColumnFormula>
    </tableColumn>
    <tableColumn id="4" xr3:uid="{00000000-0010-0000-2500-000004000000}" name="D3" dataDxfId="1784">
      <calculatedColumnFormula>IF($O$3="(Todas)",COUNTIFS(BASE[CODCIE104],ENOS_G3_IRANN_1_4_AÑOS[[#This Row],[CIE-10]],BASE[Edad],"&gt;=1",BASE[Edad],"&lt;=4"),COUNTIFS(BASE[Cod.Establecimiento],$O$3,BASE[CODCIE104],ENOS_G3_IRANN_1_4_AÑOS[[#This Row],[CIE-10]],BASE[Edad],"&gt;=1",BASE[Edad],"&lt;=4"))</calculatedColumnFormula>
    </tableColumn>
    <tableColumn id="5" xr3:uid="{00000000-0010-0000-2500-000005000000}" name="D4" dataDxfId="1783">
      <calculatedColumnFormula>IF($O$3="(Todas)",COUNTIFS(BASE[CODCIE106],ENOS_G3_IRANN_1_4_AÑOS[[#This Row],[CIE-10]],BASE[Edad],"&gt;=1",BASE[Edad],"&lt;=4"),COUNTIFS(BASE[Cod.Establecimiento],$O$3,BASE[CODCIE106],ENOS_G3_IRANN_1_4_AÑOS[[#This Row],[CIE-10]],BASE[Edad],"&gt;=1",BASE[Edad],"&lt;=4"))</calculatedColumnFormula>
    </tableColumn>
    <tableColumn id="6" xr3:uid="{00000000-0010-0000-2500-000006000000}" name="D5" dataDxfId="1782">
      <calculatedColumnFormula>IF($O$3="(Todas)",COUNTIFS(BASE[CODCIE108],ENOS_G3_IRANN_1_4_AÑOS[[#This Row],[CIE-10]],BASE[Edad],"&gt;=1",BASE[Edad],"&lt;=4"),COUNTIFS(BASE[Cod.Establecimiento],$O$3,BASE[CODCIE108],ENOS_G3_IRANN_1_4_AÑOS[[#This Row],[CIE-10]],BASE[Edad],"&gt;=1",BASE[Edad],"&lt;=4"))</calculatedColumnFormula>
    </tableColumn>
    <tableColumn id="7" xr3:uid="{00000000-0010-0000-2500-000007000000}" name="D6" dataDxfId="1781">
      <calculatedColumnFormula>IF($O$3="(Todas)",COUNTIFS(BASE[CODCIE1010],ENOS_G3_IRANN_1_4_AÑOS[[#This Row],[CIE-10]],BASE[Edad],"&gt;=1",BASE[Edad],"&lt;=4"),COUNTIFS(BASE[Cod.Establecimiento],$O$3,BASE[CODCIE1010],ENOS_G3_IRANN_1_4_AÑOS[[#This Row],[CIE-10]],BASE[Edad],"&gt;=1",BASE[Edad],"&lt;=4"))</calculatedColumnFormula>
    </tableColumn>
    <tableColumn id="8" xr3:uid="{00000000-0010-0000-2500-000008000000}" name="TOT" dataDxfId="1780" dataCellStyle="40% - Énfasis6">
      <calculatedColumnFormula>SUM(ENOS_G3_IRANN_1_4_AÑOS[[#This Row],[D1]:[D6]])</calculatedColumnFormula>
    </tableColumn>
  </tableColumns>
  <tableStyleInfo name="TableStyleLight1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6000000}" name="ENOS_G3_IRANN_5_19_AÑOS" displayName="ENOS_G3_IRANN_5_19_AÑOS" ref="P114:W123" totalsRowShown="0" headerRowDxfId="1779">
  <autoFilter ref="P114:W123" xr:uid="{00000000-0009-0000-0100-000027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2600-000001000000}" name="CIE-10" dataCellStyle="20% - Énfasis4"/>
    <tableColumn id="2" xr3:uid="{00000000-0010-0000-2600-000002000000}" name="D1" dataDxfId="1778">
      <calculatedColumnFormula>IF($O$3="(Todas)",COUNTIFS(BASE[CODCIE10],ENOS_G3_IRANN_5_19_AÑOS[[#This Row],[CIE-10]],BASE[Edad],"&gt;=5",BASE[Edad],"&lt;=19"),COUNTIFS(BASE[Cod.Establecimiento],$O$3,BASE[CODCIE10],ENOS_G3_IRANN_5_19_AÑOS[[#This Row],[CIE-10]],BASE[Edad],"&gt;=5",BASE[Edad],"&lt;=19"))</calculatedColumnFormula>
    </tableColumn>
    <tableColumn id="3" xr3:uid="{00000000-0010-0000-2600-000003000000}" name="D2" dataDxfId="1777">
      <calculatedColumnFormula>IF($O$3="(Todas)",COUNTIFS(BASE[CODCIE102],ENOS_G3_IRANN_5_19_AÑOS[[#This Row],[CIE-10]],BASE[Edad],"&gt;=5",BASE[Edad],"&lt;=19"),COUNTIFS(BASE[Cod.Establecimiento],$O$3,BASE[CODCIE102],ENOS_G3_IRANN_5_19_AÑOS[[#This Row],[CIE-10]],BASE[Edad],"&gt;=5",BASE[Edad],"&lt;=19"))</calculatedColumnFormula>
    </tableColumn>
    <tableColumn id="4" xr3:uid="{00000000-0010-0000-2600-000004000000}" name="D3" dataDxfId="1776">
      <calculatedColumnFormula>IF($O$3="(Todas)",COUNTIFS(BASE[CODCIE104],ENOS_G3_IRANN_5_19_AÑOS[[#This Row],[CIE-10]],BASE[Edad],"&gt;=5",BASE[Edad],"&lt;=19"),COUNTIFS(BASE[Cod.Establecimiento],$O$3,BASE[CODCIE104],ENOS_G3_IRANN_5_19_AÑOS[[#This Row],[CIE-10]],BASE[Edad],"&gt;=5",BASE[Edad],"&lt;=19"))</calculatedColumnFormula>
    </tableColumn>
    <tableColumn id="5" xr3:uid="{00000000-0010-0000-2600-000005000000}" name="D4" dataDxfId="1775">
      <calculatedColumnFormula>IF($O$3="(Todas)",COUNTIFS(BASE[CODCIE106],ENOS_G3_IRANN_5_19_AÑOS[[#This Row],[CIE-10]],BASE[Edad],"&gt;=5",BASE[Edad],"&lt;=19"),COUNTIFS(BASE[Cod.Establecimiento],$O$3,BASE[CODCIE106],ENOS_G3_IRANN_5_19_AÑOS[[#This Row],[CIE-10]],BASE[Edad],"&gt;=5",BASE[Edad],"&lt;=19"))</calculatedColumnFormula>
    </tableColumn>
    <tableColumn id="6" xr3:uid="{00000000-0010-0000-2600-000006000000}" name="D5" dataDxfId="1774">
      <calculatedColumnFormula>IF($O$3="(Todas)",COUNTIFS(BASE[CODCIE108],ENOS_G3_IRANN_5_19_AÑOS[[#This Row],[CIE-10]],BASE[Edad],"&gt;=5",BASE[Edad],"&lt;=19"),COUNTIFS(BASE[Cod.Establecimiento],$O$3,BASE[CODCIE108],ENOS_G3_IRANN_5_19_AÑOS[[#This Row],[CIE-10]],BASE[Edad],"&gt;=5",BASE[Edad],"&lt;=19"))</calculatedColumnFormula>
    </tableColumn>
    <tableColumn id="7" xr3:uid="{00000000-0010-0000-2600-000007000000}" name="D6" dataDxfId="1773">
      <calculatedColumnFormula>IF($O$3="(Todas)",COUNTIFS(BASE[CODCIE1010],ENOS_G3_IRANN_5_19_AÑOS[[#This Row],[CIE-10]],BASE[Edad],"&gt;=5",BASE[Edad],"&lt;=19"),COUNTIFS(BASE[Cod.Establecimiento],$O$3,BASE[CODCIE1010],ENOS_G3_IRANN_5_19_AÑOS[[#This Row],[CIE-10]],BASE[Edad],"&gt;=5",BASE[Edad],"&lt;=19"))</calculatedColumnFormula>
    </tableColumn>
    <tableColumn id="8" xr3:uid="{00000000-0010-0000-2600-000008000000}" name="TOT" dataDxfId="1772" dataCellStyle="40% - Énfasis6">
      <calculatedColumnFormula>SUM(ENOS_G3_IRANN_5_19_AÑOS[[#This Row],[D1]:[D6]])</calculatedColumnFormula>
    </tableColumn>
  </tableColumns>
  <tableStyleInfo name="TableStyleLight1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7000000}" name="ENOS_G3_IRANN_20_59_AÑOS" displayName="ENOS_G3_IRANN_20_59_AÑOS" ref="Y114:AF123" totalsRowShown="0" headerRowDxfId="1771">
  <autoFilter ref="Y114:AF123" xr:uid="{00000000-0009-0000-0100-000028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2700-000001000000}" name="CIE-10" dataCellStyle="20% - Énfasis4"/>
    <tableColumn id="2" xr3:uid="{00000000-0010-0000-2700-000002000000}" name="D1" dataDxfId="1770">
      <calculatedColumnFormula>IF($O$3="(Todas)",COUNTIFS(BASE[CODCIE10],ENOS_G3_IRANN_20_59_AÑOS[[#This Row],[CIE-10]],BASE[Edad],"&gt;=20",BASE[Edad],"&lt;=59"),COUNTIFS(BASE[Cod.Establecimiento],$O$3,BASE[CODCIE10],ENOS_G3_IRANN_20_59_AÑOS[[#This Row],[CIE-10]],BASE[Edad],"&gt;=20",BASE[Edad],"&lt;=59"))</calculatedColumnFormula>
    </tableColumn>
    <tableColumn id="3" xr3:uid="{00000000-0010-0000-2700-000003000000}" name="D2" dataDxfId="1769">
      <calculatedColumnFormula>IF($O$3="(Todas)",COUNTIFS(BASE[CODCIE102],ENOS_G3_IRANN_20_59_AÑOS[[#This Row],[CIE-10]],BASE[Edad],"&gt;=20",BASE[Edad],"&lt;=59"),COUNTIFS(BASE[Cod.Establecimiento],$O$3,BASE[CODCIE102],ENOS_G3_IRANN_20_59_AÑOS[[#This Row],[CIE-10]],BASE[Edad],"&gt;=20",BASE[Edad],"&lt;=59"))</calculatedColumnFormula>
    </tableColumn>
    <tableColumn id="4" xr3:uid="{00000000-0010-0000-2700-000004000000}" name="D3" dataDxfId="1768">
      <calculatedColumnFormula>IF($O$3="(Todas)",COUNTIFS(BASE[CODCIE104],ENOS_G3_IRANN_20_59_AÑOS[[#This Row],[CIE-10]],BASE[Edad],"&gt;=20",BASE[Edad],"&lt;=59"),COUNTIFS(BASE[Cod.Establecimiento],$O$3,BASE[CODCIE104],ENOS_G3_IRANN_20_59_AÑOS[[#This Row],[CIE-10]],BASE[Edad],"&gt;=20",BASE[Edad],"&lt;=59"))</calculatedColumnFormula>
    </tableColumn>
    <tableColumn id="5" xr3:uid="{00000000-0010-0000-2700-000005000000}" name="D4" dataDxfId="1767">
      <calculatedColumnFormula>IF($O$3="(Todas)",COUNTIFS(BASE[CODCIE106],ENOS_G3_IRANN_20_59_AÑOS[[#This Row],[CIE-10]],BASE[Edad],"&gt;=20",BASE[Edad],"&lt;=59"),COUNTIFS(BASE[Cod.Establecimiento],$O$3,BASE[CODCIE106],ENOS_G3_IRANN_20_59_AÑOS[[#This Row],[CIE-10]],BASE[Edad],"&gt;=20",BASE[Edad],"&lt;=59"))</calculatedColumnFormula>
    </tableColumn>
    <tableColumn id="6" xr3:uid="{00000000-0010-0000-2700-000006000000}" name="D5" dataDxfId="1766">
      <calculatedColumnFormula>IF($O$3="(Todas)",COUNTIFS(BASE[CODCIE108],ENOS_G3_IRANN_20_59_AÑOS[[#This Row],[CIE-10]],BASE[Edad],"&gt;=20",BASE[Edad],"&lt;=59"),COUNTIFS(BASE[Cod.Establecimiento],$O$3,BASE[CODCIE108],ENOS_G3_IRANN_20_59_AÑOS[[#This Row],[CIE-10]],BASE[Edad],"&gt;=20",BASE[Edad],"&lt;=59"))</calculatedColumnFormula>
    </tableColumn>
    <tableColumn id="7" xr3:uid="{00000000-0010-0000-2700-000007000000}" name="D6" dataDxfId="1765">
      <calculatedColumnFormula>IF($O$3="(Todas)",COUNTIFS(BASE[CODCIE1010],ENOS_G3_IRANN_20_59_AÑOS[[#This Row],[CIE-10]],BASE[Edad],"&gt;=20",BASE[Edad],"&lt;=59"),COUNTIFS(BASE[Cod.Establecimiento],$O$3,BASE[CODCIE1010],ENOS_G3_IRANN_20_59_AÑOS[[#This Row],[CIE-10]],BASE[Edad],"&gt;=20",BASE[Edad],"&lt;=59"))</calculatedColumnFormula>
    </tableColumn>
    <tableColumn id="8" xr3:uid="{00000000-0010-0000-2700-000008000000}" name="TOT" dataDxfId="1764" dataCellStyle="40% - Énfasis6">
      <calculatedColumnFormula>SUM(ENOS_G3_IRANN_20_59_AÑOS[[#This Row],[D1]:[D6]])</calculatedColumnFormula>
    </tableColumn>
  </tableColumns>
  <tableStyleInfo name="TableStyleLight1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8000000}" name="ENOS_G3_IRANN_60_MAS_AÑOS" displayName="ENOS_G3_IRANN_60_MAS_AÑOS" ref="P126:W135" totalsRowShown="0" headerRowDxfId="1763">
  <autoFilter ref="P126:W135" xr:uid="{00000000-0009-0000-0100-000029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2800-000001000000}" name="CIE-10" dataCellStyle="20% - Énfasis4"/>
    <tableColumn id="2" xr3:uid="{00000000-0010-0000-2800-000002000000}" name="D1" dataDxfId="1762">
      <calculatedColumnFormula>IF($O$3="(Todas)",COUNTIFS(BASE[CODCIE10],ENOS_G3_IRANN_60_MAS_AÑOS[[#This Row],[CIE-10]],BASE[Edad],"&gt;=60"),COUNTIFS(BASE[Cod.Establecimiento],$O$3,BASE[CODCIE10],ENOS_G3_IRANN_60_MAS_AÑOS[[#This Row],[CIE-10]],BASE[Edad],"&gt;=60"))</calculatedColumnFormula>
    </tableColumn>
    <tableColumn id="3" xr3:uid="{00000000-0010-0000-2800-000003000000}" name="D2" dataDxfId="1761">
      <calculatedColumnFormula>IF($O$3="(Todas)",COUNTIFS(BASE[CODCIE102],ENOS_G3_IRANN_60_MAS_AÑOS[[#This Row],[CIE-10]],BASE[Edad],"&gt;=60"),COUNTIFS(BASE[Cod.Establecimiento],$O$3,BASE[CODCIE102],ENOS_G3_IRANN_60_MAS_AÑOS[[#This Row],[CIE-10]],BASE[Edad],"&gt;=60"))</calculatedColumnFormula>
    </tableColumn>
    <tableColumn id="4" xr3:uid="{00000000-0010-0000-2800-000004000000}" name="D3" dataDxfId="1760">
      <calculatedColumnFormula>IF($O$3="(Todas)",COUNTIFS(BASE[CODCIE104],ENOS_G3_IRANN_60_MAS_AÑOS[[#This Row],[CIE-10]],BASE[Edad],"&gt;=60"),COUNTIFS(BASE[Cod.Establecimiento],$O$3,BASE[CODCIE104],ENOS_G3_IRANN_60_MAS_AÑOS[[#This Row],[CIE-10]],BASE[Edad],"&gt;=60"))</calculatedColumnFormula>
    </tableColumn>
    <tableColumn id="5" xr3:uid="{00000000-0010-0000-2800-000005000000}" name="D4" dataDxfId="1759">
      <calculatedColumnFormula>IF($O$3="(Todas)",COUNTIFS(BASE[CODCIE106],ENOS_G3_IRANN_60_MAS_AÑOS[[#This Row],[CIE-10]],BASE[Edad],"&gt;=60"),COUNTIFS(BASE[Cod.Establecimiento],$O$3,BASE[CODCIE106],ENOS_G3_IRANN_60_MAS_AÑOS[[#This Row],[CIE-10]],BASE[Edad],"&gt;=60"))</calculatedColumnFormula>
    </tableColumn>
    <tableColumn id="6" xr3:uid="{00000000-0010-0000-2800-000006000000}" name="D5" dataDxfId="1758">
      <calculatedColumnFormula>IF($O$3="(Todas)",COUNTIFS(BASE[CODCIE108],ENOS_G3_IRANN_60_MAS_AÑOS[[#This Row],[CIE-10]],BASE[Edad],"&gt;=60"),COUNTIFS(BASE[Cod.Establecimiento],$O$3,BASE[CODCIE108],ENOS_G3_IRANN_60_MAS_AÑOS[[#This Row],[CIE-10]],BASE[Edad],"&gt;=60"))</calculatedColumnFormula>
    </tableColumn>
    <tableColumn id="7" xr3:uid="{00000000-0010-0000-2800-000007000000}" name="D6" dataDxfId="1757">
      <calculatedColumnFormula>IF($O$3="(Todas)",COUNTIFS(BASE[CODCIE1010],ENOS_G3_IRANN_60_MAS_AÑOS[[#This Row],[CIE-10]],BASE[Edad],"&gt;=60"),COUNTIFS(BASE[Cod.Establecimiento],$O$3,BASE[CODCIE1010],ENOS_G3_IRANN_60_MAS_AÑOS[[#This Row],[CIE-10]],BASE[Edad],"&gt;=60"))</calculatedColumnFormula>
    </tableColumn>
    <tableColumn id="8" xr3:uid="{00000000-0010-0000-2800-000008000000}" name="TOT" dataDxfId="1756" dataCellStyle="40% - Énfasis6">
      <calculatedColumnFormula>SUM(ENOS_G3_IRANN_60_MAS_AÑOS[[#This Row],[D1]:[D6]])</calculatedColumnFormula>
    </tableColumn>
  </tableColumns>
  <tableStyleInfo name="TableStyleLight1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9000000}" name="ENOS_G3_IRANN_SD_AÑOS" displayName="ENOS_G3_IRANN_SD_AÑOS" ref="Y126:AF135" totalsRowShown="0" headerRowDxfId="1755">
  <autoFilter ref="Y126:AF135" xr:uid="{00000000-0009-0000-0100-00002A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2900-000001000000}" name="CIE-10" dataCellStyle="20% - Énfasis4"/>
    <tableColumn id="2" xr3:uid="{00000000-0010-0000-2900-000002000000}" name="D1" dataDxfId="1754">
      <calculatedColumnFormula>IF($O$3="(Todas)",COUNTIFS(BASE[CODCIE10],ENOS_G3_IRANN_SD_AÑOS[[#This Row],[CIE-10]],BASE[Edad],""),COUNTIFS(BASE[Cod.Establecimiento],$O$3,BASE[CODCIE10],ENOS_G3_IRANN_SD_AÑOS[[#This Row],[CIE-10]],BASE[Edad],""))</calculatedColumnFormula>
    </tableColumn>
    <tableColumn id="3" xr3:uid="{00000000-0010-0000-2900-000003000000}" name="D2" dataDxfId="1753">
      <calculatedColumnFormula>IF($O$3="(Todas)",COUNTIFS(BASE[CODCIE102],ENOS_G3_IRANN_SD_AÑOS[[#This Row],[CIE-10]],BASE[Edad],""),COUNTIFS(BASE[Cod.Establecimiento],$O$3,BASE[CODCIE102],ENOS_G3_IRANN_SD_AÑOS[[#This Row],[CIE-10]],BASE[Edad],""))</calculatedColumnFormula>
    </tableColumn>
    <tableColumn id="4" xr3:uid="{00000000-0010-0000-2900-000004000000}" name="D3" dataDxfId="1752">
      <calculatedColumnFormula>IF($O$3="(Todas)",COUNTIFS(BASE[CODCIE104],ENOS_G3_IRANN_SD_AÑOS[[#This Row],[CIE-10]],BASE[Edad],""),COUNTIFS(BASE[Cod.Establecimiento],$O$3,BASE[CODCIE104],ENOS_G3_IRANN_SD_AÑOS[[#This Row],[CIE-10]],BASE[Edad],""))</calculatedColumnFormula>
    </tableColumn>
    <tableColumn id="5" xr3:uid="{00000000-0010-0000-2900-000005000000}" name="D4" dataDxfId="1751">
      <calculatedColumnFormula>IF($O$3="(Todas)",COUNTIFS(BASE[CODCIE106],ENOS_G3_IRANN_SD_AÑOS[[#This Row],[CIE-10]],BASE[Edad],""),COUNTIFS(BASE[Cod.Establecimiento],$O$3,BASE[CODCIE106],ENOS_G3_IRANN_SD_AÑOS[[#This Row],[CIE-10]],BASE[Edad],""))</calculatedColumnFormula>
    </tableColumn>
    <tableColumn id="6" xr3:uid="{00000000-0010-0000-2900-000006000000}" name="D5" dataDxfId="1750">
      <calculatedColumnFormula>IF($O$3="(Todas)",COUNTIFS(BASE[CODCIE108],ENOS_G3_IRANN_SD_AÑOS[[#This Row],[CIE-10]],BASE[Edad],""),COUNTIFS(BASE[Cod.Establecimiento],$O$3,BASE[CODCIE108],ENOS_G3_IRANN_SD_AÑOS[[#This Row],[CIE-10]],BASE[Edad],""))</calculatedColumnFormula>
    </tableColumn>
    <tableColumn id="7" xr3:uid="{00000000-0010-0000-2900-000007000000}" name="D6" dataDxfId="1749">
      <calculatedColumnFormula>IF($O$3="(Todas)",COUNTIFS(BASE[CODCIE1010],ENOS_G3_IRANN_SD_AÑOS[[#This Row],[CIE-10]],BASE[Edad],""),COUNTIFS(BASE[Cod.Establecimiento],$O$3,BASE[CODCIE1010],ENOS_G3_IRANN_SD_AÑOS[[#This Row],[CIE-10]],BASE[Edad],""))</calculatedColumnFormula>
    </tableColumn>
    <tableColumn id="8" xr3:uid="{00000000-0010-0000-2900-000008000000}" name="TOT" dataDxfId="1748" dataCellStyle="40% - Énfasis6">
      <calculatedColumnFormula>SUM(ENOS_G3_IRANN_SD_AÑOS[[#This Row],[D1]:[D6]])</calculatedColumnFormula>
    </tableColumn>
  </tableColumns>
  <tableStyleInfo name="TableStyleLight1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A000000}" name="ENOS_G3_NEU_MENOR_QUE_1_AÑO" displayName="ENOS_G3_NEU_MENOR_QUE_1_AÑO" ref="P138:W145" totalsRowShown="0" headerRowDxfId="1747">
  <autoFilter ref="P138:W145" xr:uid="{00000000-0009-0000-0100-00002B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2A00-000001000000}" name="CIE-10" dataCellStyle="20% - Énfasis4"/>
    <tableColumn id="2" xr3:uid="{00000000-0010-0000-2A00-000002000000}" name="D1" dataDxfId="1746">
      <calculatedColumnFormula>IF($O$3="(Todas)",COUNTIFS(BASE[CODCIE10],ENOS_G3_NEU_MENOR_QUE_1_AÑO[[#This Row],[CIE-10]],BASE[Edad],"&lt;1"),COUNTIFS(BASE[Cod.Establecimiento],$O$3,BASE[CODCIE10],ENOS_G3_NEU_MENOR_QUE_1_AÑO[[#This Row],[CIE-10]],BASE[Edad],"&lt;1"))</calculatedColumnFormula>
    </tableColumn>
    <tableColumn id="3" xr3:uid="{00000000-0010-0000-2A00-000003000000}" name="D2" dataDxfId="1745">
      <calculatedColumnFormula>IF($O$3="(Todas)",COUNTIFS(BASE[CODCIE102],ENOS_G3_NEU_MENOR_QUE_1_AÑO[[#This Row],[CIE-10]],BASE[Edad],"&lt;1"),COUNTIFS(BASE[Cod.Establecimiento],$O$3,BASE[CODCIE102],ENOS_G3_NEU_MENOR_QUE_1_AÑO[[#This Row],[CIE-10]],BASE[Edad],"&lt;1"))</calculatedColumnFormula>
    </tableColumn>
    <tableColumn id="4" xr3:uid="{00000000-0010-0000-2A00-000004000000}" name="D3" dataDxfId="1744">
      <calculatedColumnFormula>IF($O$3="(Todas)",COUNTIFS(BASE[CODCIE104],ENOS_G3_NEU_MENOR_QUE_1_AÑO[[#This Row],[CIE-10]],BASE[Edad],"&lt;1"),COUNTIFS(BASE[Cod.Establecimiento],$O$3,BASE[CODCIE104],ENOS_G3_NEU_MENOR_QUE_1_AÑO[[#This Row],[CIE-10]],BASE[Edad],"&lt;1"))</calculatedColumnFormula>
    </tableColumn>
    <tableColumn id="5" xr3:uid="{00000000-0010-0000-2A00-000005000000}" name="D4" dataDxfId="1743">
      <calculatedColumnFormula>IF($O$3="(Todas)",COUNTIFS(BASE[CODCIE106],ENOS_G3_NEU_MENOR_QUE_1_AÑO[[#This Row],[CIE-10]],BASE[Edad],"&lt;1"),COUNTIFS(BASE[Cod.Establecimiento],$O$3,BASE[CODCIE106],ENOS_G3_NEU_MENOR_QUE_1_AÑO[[#This Row],[CIE-10]],BASE[Edad],"&lt;1"))</calculatedColumnFormula>
    </tableColumn>
    <tableColumn id="6" xr3:uid="{00000000-0010-0000-2A00-000006000000}" name="D5" dataDxfId="1742">
      <calculatedColumnFormula>IF($O$3="(Todas)",COUNTIFS(BASE[CODCIE108],ENOS_G3_NEU_MENOR_QUE_1_AÑO[[#This Row],[CIE-10]],BASE[Edad],"&lt;1"),COUNTIFS(BASE[Cod.Establecimiento],$O$3,BASE[CODCIE108],ENOS_G3_NEU_MENOR_QUE_1_AÑO[[#This Row],[CIE-10]],BASE[Edad],"&lt;1"))</calculatedColumnFormula>
    </tableColumn>
    <tableColumn id="7" xr3:uid="{00000000-0010-0000-2A00-000007000000}" name="D6" dataDxfId="1741">
      <calculatedColumnFormula>IF($O$3="(Todas)",COUNTIFS(BASE[CODCIE1010],ENOS_G3_NEU_MENOR_QUE_1_AÑO[[#This Row],[CIE-10]],BASE[Edad],"&lt;1"),COUNTIFS(BASE[Cod.Establecimiento],$O$3,BASE[CODCIE1010],ENOS_G3_NEU_MENOR_QUE_1_AÑO[[#This Row],[CIE-10]],BASE[Edad],"&lt;1"))</calculatedColumnFormula>
    </tableColumn>
    <tableColumn id="8" xr3:uid="{00000000-0010-0000-2A00-000008000000}" name="TOT" dataDxfId="1740" dataCellStyle="40% - Énfasis6">
      <calculatedColumnFormula>SUM(ENOS_G3_NEU_MENOR_QUE_1_AÑO[[#This Row],[D1]:[D6]])</calculatedColumnFormula>
    </tableColumn>
  </tableColumns>
  <tableStyleInfo name="TableStyleLight1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2B000000}" name="ENOS_G3_NEU_1_4_AÑOS" displayName="ENOS_G3_NEU_1_4_AÑOS" ref="Y138:AF145" totalsRowShown="0" headerRowDxfId="1739">
  <autoFilter ref="Y138:AF145" xr:uid="{00000000-0009-0000-0100-00002C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2B00-000001000000}" name="CIE-10" dataCellStyle="20% - Énfasis4"/>
    <tableColumn id="2" xr3:uid="{00000000-0010-0000-2B00-000002000000}" name="D1" dataDxfId="1738">
      <calculatedColumnFormula>IF($O$3="(Todas)",COUNTIFS(BASE[CODCIE10],ENOS_G3_NEU_1_4_AÑOS[[#This Row],[CIE-10]],BASE[Edad],"&gt;=1",BASE[Edad],"&lt;=4"),COUNTIFS(BASE[Cod.Establecimiento],$O$3,BASE[CODCIE10],ENOS_G3_NEU_1_4_AÑOS[[#This Row],[CIE-10]],BASE[Edad],"&gt;=1",BASE[Edad],"&lt;=4"))</calculatedColumnFormula>
    </tableColumn>
    <tableColumn id="3" xr3:uid="{00000000-0010-0000-2B00-000003000000}" name="D2" dataDxfId="1737">
      <calculatedColumnFormula>IF($O$3="(Todas)",COUNTIFS(BASE[CODCIE102],ENOS_G3_NEU_1_4_AÑOS[[#This Row],[CIE-10]],BASE[Edad],"&gt;=1",BASE[Edad],"&lt;=4"),COUNTIFS(BASE[Cod.Establecimiento],$O$3,BASE[CODCIE102],ENOS_G3_NEU_1_4_AÑOS[[#This Row],[CIE-10]],BASE[Edad],"&gt;=1",BASE[Edad],"&lt;=4"))</calculatedColumnFormula>
    </tableColumn>
    <tableColumn id="4" xr3:uid="{00000000-0010-0000-2B00-000004000000}" name="D3" dataDxfId="1736">
      <calculatedColumnFormula>IF($O$3="(Todas)",COUNTIFS(BASE[CODCIE104],ENOS_G3_NEU_1_4_AÑOS[[#This Row],[CIE-10]],BASE[Edad],"&gt;=1",BASE[Edad],"&lt;=4"),COUNTIFS(BASE[Cod.Establecimiento],$O$3,BASE[CODCIE104],ENOS_G3_NEU_1_4_AÑOS[[#This Row],[CIE-10]],BASE[Edad],"&gt;=1",BASE[Edad],"&lt;=4"))</calculatedColumnFormula>
    </tableColumn>
    <tableColumn id="5" xr3:uid="{00000000-0010-0000-2B00-000005000000}" name="D4" dataDxfId="1735">
      <calculatedColumnFormula>IF($O$3="(Todas)",COUNTIFS(BASE[CODCIE106],ENOS_G3_NEU_1_4_AÑOS[[#This Row],[CIE-10]],BASE[Edad],"&gt;=1",BASE[Edad],"&lt;=4"),COUNTIFS(BASE[Cod.Establecimiento],$O$3,BASE[CODCIE106],ENOS_G3_NEU_1_4_AÑOS[[#This Row],[CIE-10]],BASE[Edad],"&gt;=1",BASE[Edad],"&lt;=4"))</calculatedColumnFormula>
    </tableColumn>
    <tableColumn id="6" xr3:uid="{00000000-0010-0000-2B00-000006000000}" name="D5" dataDxfId="1734">
      <calculatedColumnFormula>IF($O$3="(Todas)",COUNTIFS(BASE[CODCIE108],ENOS_G3_NEU_1_4_AÑOS[[#This Row],[CIE-10]],BASE[Edad],"&gt;=1",BASE[Edad],"&lt;=4"),COUNTIFS(BASE[Cod.Establecimiento],$O$3,BASE[CODCIE108],ENOS_G3_NEU_1_4_AÑOS[[#This Row],[CIE-10]],BASE[Edad],"&gt;=1",BASE[Edad],"&lt;=4"))</calculatedColumnFormula>
    </tableColumn>
    <tableColumn id="7" xr3:uid="{00000000-0010-0000-2B00-000007000000}" name="D6" dataDxfId="1733">
      <calculatedColumnFormula>IF($O$3="(Todas)",COUNTIFS(BASE[CODCIE1010],ENOS_G3_NEU_1_4_AÑOS[[#This Row],[CIE-10]],BASE[Edad],"&gt;=1",BASE[Edad],"&lt;=4"),COUNTIFS(BASE[Cod.Establecimiento],$O$3,BASE[CODCIE1010],ENOS_G3_NEU_1_4_AÑOS[[#This Row],[CIE-10]],BASE[Edad],"&gt;=1",BASE[Edad],"&lt;=4"))</calculatedColumnFormula>
    </tableColumn>
    <tableColumn id="8" xr3:uid="{00000000-0010-0000-2B00-000008000000}" name="TOT" dataDxfId="1732" dataCellStyle="40% - Énfasis6">
      <calculatedColumnFormula>SUM(ENOS_G3_NEU_1_4_AÑOS[[#This Row],[D1]:[D6]])</calculatedColumnFormula>
    </tableColumn>
  </tableColumns>
  <tableStyleInfo name="TableStyleLight1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2C000000}" name="ENOS_G3_NEU_5_19_AÑOS" displayName="ENOS_G3_NEU_5_19_AÑOS" ref="P148:W155" totalsRowShown="0" headerRowDxfId="1731">
  <autoFilter ref="P148:W155" xr:uid="{00000000-0009-0000-0100-00002D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2C00-000001000000}" name="CIE-10" dataCellStyle="20% - Énfasis4"/>
    <tableColumn id="2" xr3:uid="{00000000-0010-0000-2C00-000002000000}" name="D1" dataDxfId="1730">
      <calculatedColumnFormula>IF($O$3="(Todas)",COUNTIFS(BASE[CODCIE10],ENOS_G3_NEU_5_19_AÑOS[[#This Row],[CIE-10]],BASE[Edad],"&gt;=5",BASE[Edad],"&lt;=19"),COUNTIFS(BASE[Cod.Establecimiento],$O$3,BASE[CODCIE10],ENOS_G3_NEU_5_19_AÑOS[[#This Row],[CIE-10]],BASE[Edad],"&gt;=5",BASE[Edad],"&lt;=19"))</calculatedColumnFormula>
    </tableColumn>
    <tableColumn id="3" xr3:uid="{00000000-0010-0000-2C00-000003000000}" name="D2" dataDxfId="1729">
      <calculatedColumnFormula>IF($O$3="(Todas)",COUNTIFS(BASE[CODCIE102],ENOS_G3_NEU_5_19_AÑOS[[#This Row],[CIE-10]],BASE[Edad],"&gt;=5",BASE[Edad],"&lt;=19"),COUNTIFS(BASE[Cod.Establecimiento],$O$3,BASE[CODCIE102],ENOS_G3_NEU_5_19_AÑOS[[#This Row],[CIE-10]],BASE[Edad],"&gt;=5",BASE[Edad],"&lt;=19"))</calculatedColumnFormula>
    </tableColumn>
    <tableColumn id="4" xr3:uid="{00000000-0010-0000-2C00-000004000000}" name="D3" dataDxfId="1728">
      <calculatedColumnFormula>IF($O$3="(Todas)",COUNTIFS(BASE[CODCIE104],ENOS_G3_NEU_5_19_AÑOS[[#This Row],[CIE-10]],BASE[Edad],"&gt;=5",BASE[Edad],"&lt;=19"),COUNTIFS(BASE[Cod.Establecimiento],$O$3,BASE[CODCIE104],ENOS_G3_NEU_5_19_AÑOS[[#This Row],[CIE-10]],BASE[Edad],"&gt;=5",BASE[Edad],"&lt;=19"))</calculatedColumnFormula>
    </tableColumn>
    <tableColumn id="5" xr3:uid="{00000000-0010-0000-2C00-000005000000}" name="D4" dataDxfId="1727">
      <calculatedColumnFormula>IF($O$3="(Todas)",COUNTIFS(BASE[CODCIE106],ENOS_G3_NEU_5_19_AÑOS[[#This Row],[CIE-10]],BASE[Edad],"&gt;=5",BASE[Edad],"&lt;=19"),COUNTIFS(BASE[Cod.Establecimiento],$O$3,BASE[CODCIE106],ENOS_G3_NEU_5_19_AÑOS[[#This Row],[CIE-10]],BASE[Edad],"&gt;=5",BASE[Edad],"&lt;=19"))</calculatedColumnFormula>
    </tableColumn>
    <tableColumn id="6" xr3:uid="{00000000-0010-0000-2C00-000006000000}" name="D5" dataDxfId="1726">
      <calculatedColumnFormula>IF($O$3="(Todas)",COUNTIFS(BASE[CODCIE108],ENOS_G3_NEU_5_19_AÑOS[[#This Row],[CIE-10]],BASE[Edad],"&gt;=5",BASE[Edad],"&lt;=19"),COUNTIFS(BASE[Cod.Establecimiento],$O$3,BASE[CODCIE108],ENOS_G3_NEU_5_19_AÑOS[[#This Row],[CIE-10]],BASE[Edad],"&gt;=5",BASE[Edad],"&lt;=19"))</calculatedColumnFormula>
    </tableColumn>
    <tableColumn id="7" xr3:uid="{00000000-0010-0000-2C00-000007000000}" name="D6" dataDxfId="1725">
      <calculatedColumnFormula>IF($O$3="(Todas)",COUNTIFS(BASE[CODCIE1010],ENOS_G3_NEU_5_19_AÑOS[[#This Row],[CIE-10]],BASE[Edad],"&gt;=5",BASE[Edad],"&lt;=19"),COUNTIFS(BASE[Cod.Establecimiento],$O$3,BASE[CODCIE1010],ENOS_G3_NEU_5_19_AÑOS[[#This Row],[CIE-10]],BASE[Edad],"&gt;=5",BASE[Edad],"&lt;=19"))</calculatedColumnFormula>
    </tableColumn>
    <tableColumn id="8" xr3:uid="{00000000-0010-0000-2C00-000008000000}" name="TOT" dataDxfId="1724" dataCellStyle="40% - Énfasis6">
      <calculatedColumnFormula>SUM(ENOS_G3_NEU_5_19_AÑOS[[#This Row],[D1]:[D6]])</calculatedColumnFormula>
    </tableColumn>
  </tableColumns>
  <tableStyleInfo name="TableStyleLight1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2D000000}" name="ENOS_G3_NEU_20_59_AÑOS" displayName="ENOS_G3_NEU_20_59_AÑOS" ref="Y148:AF155" totalsRowShown="0" headerRowDxfId="1723">
  <autoFilter ref="Y148:AF155" xr:uid="{00000000-0009-0000-0100-00002E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2D00-000001000000}" name="CIE-10" dataCellStyle="20% - Énfasis4"/>
    <tableColumn id="2" xr3:uid="{00000000-0010-0000-2D00-000002000000}" name="D1" dataDxfId="1722">
      <calculatedColumnFormula>IF($O$3="(Todas)",COUNTIFS(BASE[CODCIE10],ENOS_G3_NEU_20_59_AÑOS[[#This Row],[CIE-10]],BASE[Edad],"&gt;=20",BASE[Edad],"&lt;=59"),COUNTIFS(BASE[Cod.Establecimiento],$O$3,BASE[CODCIE10],ENOS_G3_NEU_20_59_AÑOS[[#This Row],[CIE-10]],BASE[Edad],"&gt;=20",BASE[Edad],"&lt;=59"))</calculatedColumnFormula>
    </tableColumn>
    <tableColumn id="3" xr3:uid="{00000000-0010-0000-2D00-000003000000}" name="D2" dataDxfId="1721">
      <calculatedColumnFormula>IF($O$3="(Todas)",COUNTIFS(BASE[CODCIE102],ENOS_G3_NEU_20_59_AÑOS[[#This Row],[CIE-10]],BASE[Edad],"&gt;=20",BASE[Edad],"&lt;=59"),COUNTIFS(BASE[Cod.Establecimiento],$O$3,BASE[CODCIE102],ENOS_G3_NEU_20_59_AÑOS[[#This Row],[CIE-10]],BASE[Edad],"&gt;=20",BASE[Edad],"&lt;=59"))</calculatedColumnFormula>
    </tableColumn>
    <tableColumn id="4" xr3:uid="{00000000-0010-0000-2D00-000004000000}" name="D3" dataDxfId="1720">
      <calculatedColumnFormula>IF($O$3="(Todas)",COUNTIFS(BASE[CODCIE104],ENOS_G3_NEU_20_59_AÑOS[[#This Row],[CIE-10]],BASE[Edad],"&gt;=20",BASE[Edad],"&lt;=59"),COUNTIFS(BASE[Cod.Establecimiento],$O$3,BASE[CODCIE104],ENOS_G3_NEU_20_59_AÑOS[[#This Row],[CIE-10]],BASE[Edad],"&gt;=20",BASE[Edad],"&lt;=59"))</calculatedColumnFormula>
    </tableColumn>
    <tableColumn id="5" xr3:uid="{00000000-0010-0000-2D00-000005000000}" name="D4" dataDxfId="1719">
      <calculatedColumnFormula>IF($O$3="(Todas)",COUNTIFS(BASE[CODCIE106],ENOS_G3_NEU_20_59_AÑOS[[#This Row],[CIE-10]],BASE[Edad],"&gt;=20",BASE[Edad],"&lt;=59"),COUNTIFS(BASE[Cod.Establecimiento],$O$3,BASE[CODCIE106],ENOS_G3_NEU_20_59_AÑOS[[#This Row],[CIE-10]],BASE[Edad],"&gt;=20",BASE[Edad],"&lt;=59"))</calculatedColumnFormula>
    </tableColumn>
    <tableColumn id="6" xr3:uid="{00000000-0010-0000-2D00-000006000000}" name="D5" dataDxfId="1718">
      <calculatedColumnFormula>IF($O$3="(Todas)",COUNTIFS(BASE[CODCIE108],ENOS_G3_NEU_20_59_AÑOS[[#This Row],[CIE-10]],BASE[Edad],"&gt;=20",BASE[Edad],"&lt;=59"),COUNTIFS(BASE[Cod.Establecimiento],$O$3,BASE[CODCIE108],ENOS_G3_NEU_20_59_AÑOS[[#This Row],[CIE-10]],BASE[Edad],"&gt;=20",BASE[Edad],"&lt;=59"))</calculatedColumnFormula>
    </tableColumn>
    <tableColumn id="7" xr3:uid="{00000000-0010-0000-2D00-000007000000}" name="D6" dataDxfId="1717">
      <calculatedColumnFormula>IF($O$3="(Todas)",COUNTIFS(BASE[CODCIE1010],ENOS_G3_NEU_20_59_AÑOS[[#This Row],[CIE-10]],BASE[Edad],"&gt;=20",BASE[Edad],"&lt;=59"),COUNTIFS(BASE[Cod.Establecimiento],$O$3,BASE[CODCIE1010],ENOS_G3_NEU_20_59_AÑOS[[#This Row],[CIE-10]],BASE[Edad],"&gt;=20",BASE[Edad],"&lt;=59"))</calculatedColumnFormula>
    </tableColumn>
    <tableColumn id="8" xr3:uid="{00000000-0010-0000-2D00-000008000000}" name="TOT" dataDxfId="1716" dataCellStyle="40% - Énfasis6">
      <calculatedColumnFormula>SUM(ENOS_G3_NEU_20_59_AÑOS[[#This Row],[D1]:[D6]])</calculatedColumnFormula>
    </tableColumn>
  </tableColumns>
  <tableStyleInfo name="TableStyleLight1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2E000000}" name="ENOS_G3_NEU_60_MAS_AÑOS" displayName="ENOS_G3_NEU_60_MAS_AÑOS" ref="P158:W165" totalsRowShown="0" headerRowDxfId="1715">
  <autoFilter ref="P158:W165" xr:uid="{00000000-0009-0000-0100-00002F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2E00-000001000000}" name="CIE-10" dataCellStyle="20% - Énfasis4"/>
    <tableColumn id="2" xr3:uid="{00000000-0010-0000-2E00-000002000000}" name="D1" dataDxfId="1714">
      <calculatedColumnFormula>IF($O$3="(Todas)",COUNTIFS(BASE[CODCIE10],ENOS_G3_NEU_60_MAS_AÑOS[[#This Row],[CIE-10]],BASE[Edad],"&gt;=60"),COUNTIFS(BASE[Cod.Establecimiento],$O$3,BASE[CODCIE10],ENOS_G3_NEU_60_MAS_AÑOS[[#This Row],[CIE-10]],BASE[Edad],"&gt;=60"))</calculatedColumnFormula>
    </tableColumn>
    <tableColumn id="3" xr3:uid="{00000000-0010-0000-2E00-000003000000}" name="D2" dataDxfId="1713">
      <calculatedColumnFormula>IF($O$3="(Todas)",COUNTIFS(BASE[CODCIE102],ENOS_G3_NEU_60_MAS_AÑOS[[#This Row],[CIE-10]],BASE[Edad],"&gt;=60"),COUNTIFS(BASE[Cod.Establecimiento],$O$3,BASE[CODCIE102],ENOS_G3_NEU_60_MAS_AÑOS[[#This Row],[CIE-10]],BASE[Edad],"&gt;=60"))</calculatedColumnFormula>
    </tableColumn>
    <tableColumn id="4" xr3:uid="{00000000-0010-0000-2E00-000004000000}" name="D3" dataDxfId="1712">
      <calculatedColumnFormula>IF($O$3="(Todas)",COUNTIFS(BASE[CODCIE104],ENOS_G3_NEU_60_MAS_AÑOS[[#This Row],[CIE-10]],BASE[Edad],"&gt;=60"),COUNTIFS(BASE[Cod.Establecimiento],$O$3,BASE[CODCIE104],ENOS_G3_NEU_60_MAS_AÑOS[[#This Row],[CIE-10]],BASE[Edad],"&gt;=60"))</calculatedColumnFormula>
    </tableColumn>
    <tableColumn id="5" xr3:uid="{00000000-0010-0000-2E00-000005000000}" name="D4" dataDxfId="1711">
      <calculatedColumnFormula>IF($O$3="(Todas)",COUNTIFS(BASE[CODCIE106],ENOS_G3_NEU_60_MAS_AÑOS[[#This Row],[CIE-10]],BASE[Edad],"&gt;=60"),COUNTIFS(BASE[Cod.Establecimiento],$O$3,BASE[CODCIE106],ENOS_G3_NEU_60_MAS_AÑOS[[#This Row],[CIE-10]],BASE[Edad],"&gt;=60"))</calculatedColumnFormula>
    </tableColumn>
    <tableColumn id="6" xr3:uid="{00000000-0010-0000-2E00-000006000000}" name="D5" dataDxfId="1710">
      <calculatedColumnFormula>IF($O$3="(Todas)",COUNTIFS(BASE[CODCIE108],ENOS_G3_NEU_60_MAS_AÑOS[[#This Row],[CIE-10]],BASE[Edad],"&gt;=60"),COUNTIFS(BASE[Cod.Establecimiento],$O$3,BASE[CODCIE108],ENOS_G3_NEU_60_MAS_AÑOS[[#This Row],[CIE-10]],BASE[Edad],"&gt;=60"))</calculatedColumnFormula>
    </tableColumn>
    <tableColumn id="7" xr3:uid="{00000000-0010-0000-2E00-000007000000}" name="D6" dataDxfId="1709">
      <calculatedColumnFormula>IF($O$3="(Todas)",COUNTIFS(BASE[CODCIE1010],ENOS_G3_NEU_60_MAS_AÑOS[[#This Row],[CIE-10]],BASE[Edad],"&gt;=60"),COUNTIFS(BASE[Cod.Establecimiento],$O$3,BASE[CODCIE1010],ENOS_G3_NEU_60_MAS_AÑOS[[#This Row],[CIE-10]],BASE[Edad],"&gt;=60"))</calculatedColumnFormula>
    </tableColumn>
    <tableColumn id="8" xr3:uid="{00000000-0010-0000-2E00-000008000000}" name="TOT" dataDxfId="1708" dataCellStyle="40% - Énfasis6">
      <calculatedColumnFormula>SUM(ENOS_G3_NEU_60_MAS_AÑOS[[#This Row],[D1]:[D6]])</calculatedColumnFormula>
    </tableColumn>
  </tableColumns>
  <tableStyleInfo name="TableStyleLight1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2F000000}" name="ENOS_G3_NEU_SD_AÑOS" displayName="ENOS_G3_NEU_SD_AÑOS" ref="Y158:AF165" totalsRowShown="0" headerRowDxfId="1707">
  <autoFilter ref="Y158:AF165" xr:uid="{00000000-0009-0000-0100-000030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2F00-000001000000}" name="CIE-10" dataCellStyle="20% - Énfasis4"/>
    <tableColumn id="2" xr3:uid="{00000000-0010-0000-2F00-000002000000}" name="D1" dataDxfId="1706">
      <calculatedColumnFormula>IF($O$3="(Todas)",COUNTIFS(BASE[CODCIE10],ENOS_G3_NEU_SD_AÑOS[[#This Row],[CIE-10]],BASE[Edad],""),COUNTIFS(BASE[Cod.Establecimiento],$O$3,BASE[CODCIE10],ENOS_G3_NEU_SD_AÑOS[[#This Row],[CIE-10]],BASE[Edad],""))</calculatedColumnFormula>
    </tableColumn>
    <tableColumn id="3" xr3:uid="{00000000-0010-0000-2F00-000003000000}" name="D2" dataDxfId="1705">
      <calculatedColumnFormula>IF($O$3="(Todas)",COUNTIFS(BASE[CODCIE102],ENOS_G3_NEU_SD_AÑOS[[#This Row],[CIE-10]],BASE[Edad],""),COUNTIFS(BASE[Cod.Establecimiento],$O$3,BASE[CODCIE102],ENOS_G3_NEU_SD_AÑOS[[#This Row],[CIE-10]],BASE[Edad],""))</calculatedColumnFormula>
    </tableColumn>
    <tableColumn id="4" xr3:uid="{00000000-0010-0000-2F00-000004000000}" name="D3" dataDxfId="1704">
      <calculatedColumnFormula>IF($O$3="(Todas)",COUNTIFS(BASE[CODCIE104],ENOS_G3_NEU_SD_AÑOS[[#This Row],[CIE-10]],BASE[Edad],""),COUNTIFS(BASE[Cod.Establecimiento],$O$3,BASE[CODCIE104],ENOS_G3_NEU_SD_AÑOS[[#This Row],[CIE-10]],BASE[Edad],""))</calculatedColumnFormula>
    </tableColumn>
    <tableColumn id="5" xr3:uid="{00000000-0010-0000-2F00-000005000000}" name="D4" dataDxfId="1703">
      <calculatedColumnFormula>IF($O$3="(Todas)",COUNTIFS(BASE[CODCIE106],ENOS_G3_NEU_SD_AÑOS[[#This Row],[CIE-10]],BASE[Edad],""),COUNTIFS(BASE[Cod.Establecimiento],$O$3,BASE[CODCIE106],ENOS_G3_NEU_SD_AÑOS[[#This Row],[CIE-10]],BASE[Edad],""))</calculatedColumnFormula>
    </tableColumn>
    <tableColumn id="6" xr3:uid="{00000000-0010-0000-2F00-000006000000}" name="D5" dataDxfId="1702">
      <calculatedColumnFormula>IF($O$3="(Todas)",COUNTIFS(BASE[CODCIE108],ENOS_G3_NEU_SD_AÑOS[[#This Row],[CIE-10]],BASE[Edad],""),COUNTIFS(BASE[Cod.Establecimiento],$O$3,BASE[CODCIE108],ENOS_G3_NEU_SD_AÑOS[[#This Row],[CIE-10]],BASE[Edad],""))</calculatedColumnFormula>
    </tableColumn>
    <tableColumn id="7" xr3:uid="{00000000-0010-0000-2F00-000007000000}" name="D6" dataDxfId="1701">
      <calculatedColumnFormula>IF($O$3="(Todas)",COUNTIFS(BASE[CODCIE1010],ENOS_G3_NEU_SD_AÑOS[[#This Row],[CIE-10]],BASE[Edad],""),COUNTIFS(BASE[Cod.Establecimiento],$O$3,BASE[CODCIE1010],ENOS_G3_NEU_SD_AÑOS[[#This Row],[CIE-10]],BASE[Edad],""))</calculatedColumnFormula>
    </tableColumn>
    <tableColumn id="8" xr3:uid="{00000000-0010-0000-2F00-000008000000}" name="TOT" dataDxfId="1700" dataCellStyle="40% - Énfasis6">
      <calculatedColumnFormula>SUM(ENOS_G3_NEU_SD_AÑOS[[#This Row],[D1]:[D6]])</calculatedColumnFormula>
    </tableColumn>
  </tableColumns>
  <tableStyleInfo name="TableStyleLight1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30000000}" name="ENOS_G3_IRAGNG_MENOR_QUE_1_AÑO" displayName="ENOS_G3_IRAGNG_MENOR_QUE_1_AÑO" ref="P168:W171" totalsRowShown="0" headerRowDxfId="1699">
  <autoFilter ref="P168:W171" xr:uid="{00000000-0009-0000-0100-00003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3000-000001000000}" name="CIE-10" dataCellStyle="20% - Énfasis4"/>
    <tableColumn id="2" xr3:uid="{00000000-0010-0000-3000-000002000000}" name="D1" dataDxfId="1698">
      <calculatedColumnFormula>IF($O$3="(Todas)",COUNTIFS(BASE[CODCIE10],ENOS_G3_IRAGNG_MENOR_QUE_1_AÑO[[#This Row],[CIE-10]],BASE[Edad],"&lt;1"),COUNTIFS(BASE[Cod.Establecimiento],$O$3,BASE[CODCIE10],ENOS_G3_IRAGNG_MENOR_QUE_1_AÑO[[#This Row],[CIE-10]],BASE[Edad],"&lt;1"))</calculatedColumnFormula>
    </tableColumn>
    <tableColumn id="3" xr3:uid="{00000000-0010-0000-3000-000003000000}" name="D2" dataDxfId="1697">
      <calculatedColumnFormula>IF($O$3="(Todas)",COUNTIFS(BASE[CODCIE102],ENOS_G3_IRAGNG_MENOR_QUE_1_AÑO[[#This Row],[CIE-10]],BASE[Edad],"&lt;1"),COUNTIFS(BASE[Cod.Establecimiento],$O$3,BASE[CODCIE102],ENOS_G3_IRAGNG_MENOR_QUE_1_AÑO[[#This Row],[CIE-10]],BASE[Edad],"&lt;1"))</calculatedColumnFormula>
    </tableColumn>
    <tableColumn id="4" xr3:uid="{00000000-0010-0000-3000-000004000000}" name="D3" dataDxfId="1696">
      <calculatedColumnFormula>IF($O$3="(Todas)",COUNTIFS(BASE[CODCIE104],ENOS_G3_IRAGNG_MENOR_QUE_1_AÑO[[#This Row],[CIE-10]],BASE[Edad],"&lt;1"),COUNTIFS(BASE[Cod.Establecimiento],$O$3,BASE[CODCIE104],ENOS_G3_IRAGNG_MENOR_QUE_1_AÑO[[#This Row],[CIE-10]],BASE[Edad],"&lt;1"))</calculatedColumnFormula>
    </tableColumn>
    <tableColumn id="5" xr3:uid="{00000000-0010-0000-3000-000005000000}" name="D4" dataDxfId="1695">
      <calculatedColumnFormula>IF($O$3="(Todas)",COUNTIFS(BASE[CODCIE106],ENOS_G3_IRAGNG_MENOR_QUE_1_AÑO[[#This Row],[CIE-10]],BASE[Edad],"&lt;1"),COUNTIFS(BASE[Cod.Establecimiento],$O$3,BASE[CODCIE106],ENOS_G3_IRAGNG_MENOR_QUE_1_AÑO[[#This Row],[CIE-10]],BASE[Edad],"&lt;1"))</calculatedColumnFormula>
    </tableColumn>
    <tableColumn id="6" xr3:uid="{00000000-0010-0000-3000-000006000000}" name="D5" dataDxfId="1694">
      <calculatedColumnFormula>IF($O$3="(Todas)",COUNTIFS(BASE[CODCIE108],ENOS_G3_IRAGNG_MENOR_QUE_1_AÑO[[#This Row],[CIE-10]],BASE[Edad],"&lt;1"),COUNTIFS(BASE[Cod.Establecimiento],$O$3,BASE[CODCIE108],ENOS_G3_IRAGNG_MENOR_QUE_1_AÑO[[#This Row],[CIE-10]],BASE[Edad],"&lt;1"))</calculatedColumnFormula>
    </tableColumn>
    <tableColumn id="7" xr3:uid="{00000000-0010-0000-3000-000007000000}" name="D6" dataDxfId="1693">
      <calculatedColumnFormula>IF($O$3="(Todas)",COUNTIFS(BASE[CODCIE1010],ENOS_G3_IRAGNG_MENOR_QUE_1_AÑO[[#This Row],[CIE-10]],BASE[Edad],"&lt;1"),COUNTIFS(BASE[Cod.Establecimiento],$O$3,BASE[CODCIE1010],ENOS_G3_IRAGNG_MENOR_QUE_1_AÑO[[#This Row],[CIE-10]],BASE[Edad],"&lt;1"))</calculatedColumnFormula>
    </tableColumn>
    <tableColumn id="8" xr3:uid="{00000000-0010-0000-3000-000008000000}" name="TOT" dataDxfId="1692" dataCellStyle="40% - Énfasis6">
      <calculatedColumnFormula>SUM(ENOS_G3_IRAGNG_MENOR_QUE_1_AÑO[[#This Row],[D1]:[D6]])</calculatedColumnFormula>
    </tableColumn>
  </tableColumns>
  <tableStyleInfo name="TableStyleLight1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31000000}" name="ENOS_G3_IRAGNG_1_4_AÑOS" displayName="ENOS_G3_IRAGNG_1_4_AÑOS" ref="Y168:AF171" totalsRowShown="0" headerRowDxfId="1691">
  <autoFilter ref="Y168:AF171" xr:uid="{00000000-0009-0000-0100-000032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3100-000001000000}" name="CIE-10" dataCellStyle="20% - Énfasis4"/>
    <tableColumn id="2" xr3:uid="{00000000-0010-0000-3100-000002000000}" name="D1" dataDxfId="1690">
      <calculatedColumnFormula>IF($O$3="(Todas)",COUNTIFS(BASE[CODCIE10],ENOS_G3_IRAGNG_1_4_AÑOS[[#This Row],[CIE-10]],BASE[Edad],"&gt;=1",BASE[Edad],"&lt;=4"),COUNTIFS(BASE[Cod.Establecimiento],$O$3,BASE[CODCIE10],ENOS_G3_IRAGNG_1_4_AÑOS[[#This Row],[CIE-10]],BASE[Edad],"&gt;=1",BASE[Edad],"&lt;=4"))</calculatedColumnFormula>
    </tableColumn>
    <tableColumn id="3" xr3:uid="{00000000-0010-0000-3100-000003000000}" name="D2" dataDxfId="1689">
      <calculatedColumnFormula>IF($O$3="(Todas)",COUNTIFS(BASE[CODCIE102],ENOS_G3_IRAGNG_1_4_AÑOS[[#This Row],[CIE-10]],BASE[Edad],"&gt;=1",BASE[Edad],"&lt;=4"),COUNTIFS(BASE[Cod.Establecimiento],$O$3,BASE[CODCIE102],ENOS_G3_IRAGNG_1_4_AÑOS[[#This Row],[CIE-10]],BASE[Edad],"&gt;=1",BASE[Edad],"&lt;=4"))</calculatedColumnFormula>
    </tableColumn>
    <tableColumn id="4" xr3:uid="{00000000-0010-0000-3100-000004000000}" name="D3" dataDxfId="1688">
      <calculatedColumnFormula>IF($O$3="(Todas)",COUNTIFS(BASE[CODCIE104],ENOS_G3_IRAGNG_1_4_AÑOS[[#This Row],[CIE-10]],BASE[Edad],"&gt;=1",BASE[Edad],"&lt;=4"),COUNTIFS(BASE[Cod.Establecimiento],$O$3,BASE[CODCIE104],ENOS_G3_IRAGNG_1_4_AÑOS[[#This Row],[CIE-10]],BASE[Edad],"&gt;=1",BASE[Edad],"&lt;=4"))</calculatedColumnFormula>
    </tableColumn>
    <tableColumn id="5" xr3:uid="{00000000-0010-0000-3100-000005000000}" name="D4" dataDxfId="1687">
      <calculatedColumnFormula>IF($O$3="(Todas)",COUNTIFS(BASE[CODCIE106],ENOS_G3_IRAGNG_1_4_AÑOS[[#This Row],[CIE-10]],BASE[Edad],"&gt;=1",BASE[Edad],"&lt;=4"),COUNTIFS(BASE[Cod.Establecimiento],$O$3,BASE[CODCIE106],ENOS_G3_IRAGNG_1_4_AÑOS[[#This Row],[CIE-10]],BASE[Edad],"&gt;=1",BASE[Edad],"&lt;=4"))</calculatedColumnFormula>
    </tableColumn>
    <tableColumn id="6" xr3:uid="{00000000-0010-0000-3100-000006000000}" name="D5" dataDxfId="1686">
      <calculatedColumnFormula>IF($O$3="(Todas)",COUNTIFS(BASE[CODCIE108],ENOS_G3_IRAGNG_1_4_AÑOS[[#This Row],[CIE-10]],BASE[Edad],"&gt;=1",BASE[Edad],"&lt;=4"),COUNTIFS(BASE[Cod.Establecimiento],$O$3,BASE[CODCIE108],ENOS_G3_IRAGNG_1_4_AÑOS[[#This Row],[CIE-10]],BASE[Edad],"&gt;=1",BASE[Edad],"&lt;=4"))</calculatedColumnFormula>
    </tableColumn>
    <tableColumn id="7" xr3:uid="{00000000-0010-0000-3100-000007000000}" name="D6" dataDxfId="1685">
      <calculatedColumnFormula>IF($O$3="(Todas)",COUNTIFS(BASE[CODCIE1010],ENOS_G3_IRAGNG_1_4_AÑOS[[#This Row],[CIE-10]],BASE[Edad],"&gt;=1",BASE[Edad],"&lt;=4"),COUNTIFS(BASE[Cod.Establecimiento],$O$3,BASE[CODCIE1010],ENOS_G3_IRAGNG_1_4_AÑOS[[#This Row],[CIE-10]],BASE[Edad],"&gt;=1",BASE[Edad],"&lt;=4"))</calculatedColumnFormula>
    </tableColumn>
    <tableColumn id="8" xr3:uid="{00000000-0010-0000-3100-000008000000}" name="TOT" dataDxfId="1684" dataCellStyle="40% - Énfasis6">
      <calculatedColumnFormula>SUM(ENOS_G3_IRAGNG_1_4_AÑOS[[#This Row],[D1]:[D6]])</calculatedColumnFormula>
    </tableColumn>
  </tableColumns>
  <tableStyleInfo name="TableStyleLight1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00000000-000C-0000-FFFF-FFFF32000000}" name="ENOS_G3_IRAGNG_5_19_AÑOS" displayName="ENOS_G3_IRAGNG_5_19_AÑOS" ref="P174:W177" totalsRowShown="0" headerRowDxfId="1683">
  <autoFilter ref="P174:W177" xr:uid="{00000000-0009-0000-0100-000033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3200-000001000000}" name="CIE-10" dataCellStyle="20% - Énfasis4"/>
    <tableColumn id="2" xr3:uid="{00000000-0010-0000-3200-000002000000}" name="D1" dataDxfId="1682">
      <calculatedColumnFormula>IF($O$3="(Todas)",COUNTIFS(BASE[CODCIE10],ENOS_G3_IRAGNG_5_19_AÑOS[[#This Row],[CIE-10]],BASE[Edad],"&gt;=5",BASE[Edad],"&lt;=19"),COUNTIFS(BASE[Cod.Establecimiento],$O$3,BASE[CODCIE10],ENOS_G3_IRAGNG_5_19_AÑOS[[#This Row],[CIE-10]],BASE[Edad],"&gt;=5",BASE[Edad],"&lt;=19"))</calculatedColumnFormula>
    </tableColumn>
    <tableColumn id="3" xr3:uid="{00000000-0010-0000-3200-000003000000}" name="D2" dataDxfId="1681">
      <calculatedColumnFormula>IF($O$3="(Todas)",COUNTIFS(BASE[CODCIE102],ENOS_G3_IRAGNG_5_19_AÑOS[[#This Row],[CIE-10]],BASE[Edad],"&gt;=5",BASE[Edad],"&lt;=19"),COUNTIFS(BASE[Cod.Establecimiento],$O$3,BASE[CODCIE102],ENOS_G3_IRAGNG_5_19_AÑOS[[#This Row],[CIE-10]],BASE[Edad],"&gt;=5",BASE[Edad],"&lt;=19"))</calculatedColumnFormula>
    </tableColumn>
    <tableColumn id="4" xr3:uid="{00000000-0010-0000-3200-000004000000}" name="D3" dataDxfId="1680">
      <calculatedColumnFormula>IF($O$3="(Todas)",COUNTIFS(BASE[CODCIE104],ENOS_G3_IRAGNG_5_19_AÑOS[[#This Row],[CIE-10]],BASE[Edad],"&gt;=5",BASE[Edad],"&lt;=19"),COUNTIFS(BASE[Cod.Establecimiento],$O$3,BASE[CODCIE104],ENOS_G3_IRAGNG_5_19_AÑOS[[#This Row],[CIE-10]],BASE[Edad],"&gt;=5",BASE[Edad],"&lt;=19"))</calculatedColumnFormula>
    </tableColumn>
    <tableColumn id="5" xr3:uid="{00000000-0010-0000-3200-000005000000}" name="D4" dataDxfId="1679">
      <calculatedColumnFormula>IF($O$3="(Todas)",COUNTIFS(BASE[CODCIE106],ENOS_G3_IRAGNG_5_19_AÑOS[[#This Row],[CIE-10]],BASE[Edad],"&gt;=5",BASE[Edad],"&lt;=19"),COUNTIFS(BASE[Cod.Establecimiento],$O$3,BASE[CODCIE106],ENOS_G3_IRAGNG_5_19_AÑOS[[#This Row],[CIE-10]],BASE[Edad],"&gt;=5",BASE[Edad],"&lt;=19"))</calculatedColumnFormula>
    </tableColumn>
    <tableColumn id="6" xr3:uid="{00000000-0010-0000-3200-000006000000}" name="D5" dataDxfId="1678">
      <calculatedColumnFormula>IF($O$3="(Todas)",COUNTIFS(BASE[CODCIE108],ENOS_G3_IRAGNG_5_19_AÑOS[[#This Row],[CIE-10]],BASE[Edad],"&gt;=5",BASE[Edad],"&lt;=19"),COUNTIFS(BASE[Cod.Establecimiento],$O$3,BASE[CODCIE108],ENOS_G3_IRAGNG_5_19_AÑOS[[#This Row],[CIE-10]],BASE[Edad],"&gt;=5",BASE[Edad],"&lt;=19"))</calculatedColumnFormula>
    </tableColumn>
    <tableColumn id="7" xr3:uid="{00000000-0010-0000-3200-000007000000}" name="D6" dataDxfId="1677">
      <calculatedColumnFormula>IF($O$3="(Todas)",COUNTIFS(BASE[CODCIE1010],ENOS_G3_IRAGNG_5_19_AÑOS[[#This Row],[CIE-10]],BASE[Edad],"&gt;=5",BASE[Edad],"&lt;=19"),COUNTIFS(BASE[Cod.Establecimiento],$O$3,BASE[CODCIE1010],ENOS_G3_IRAGNG_5_19_AÑOS[[#This Row],[CIE-10]],BASE[Edad],"&gt;=5",BASE[Edad],"&lt;=19"))</calculatedColumnFormula>
    </tableColumn>
    <tableColumn id="8" xr3:uid="{00000000-0010-0000-3200-000008000000}" name="TOT" dataDxfId="1676" dataCellStyle="40% - Énfasis6">
      <calculatedColumnFormula>SUM(ENOS_G3_IRAGNG_5_19_AÑOS[[#This Row],[D1]:[D6]])</calculatedColumnFormula>
    </tableColumn>
  </tableColumns>
  <tableStyleInfo name="TableStyleLight1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0000000-000C-0000-FFFF-FFFF33000000}" name="ENOS_G3_IRAGNG_20_59_AÑOS" displayName="ENOS_G3_IRAGNG_20_59_AÑOS" ref="Y174:AF177" totalsRowShown="0" headerRowDxfId="1675">
  <autoFilter ref="Y174:AF177" xr:uid="{00000000-0009-0000-0100-000034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3300-000001000000}" name="CIE-10" dataCellStyle="20% - Énfasis4"/>
    <tableColumn id="2" xr3:uid="{00000000-0010-0000-3300-000002000000}" name="D1" dataDxfId="1674">
      <calculatedColumnFormula>IF($O$3="(Todas)",COUNTIFS(BASE[CODCIE10],ENOS_G3_IRAGNG_20_59_AÑOS[[#This Row],[CIE-10]],BASE[Edad],"&gt;=20",BASE[Edad],"&lt;=59"),COUNTIFS(BASE[Cod.Establecimiento],$O$3,BASE[CODCIE10],ENOS_G3_IRAGNG_20_59_AÑOS[[#This Row],[CIE-10]],BASE[Edad],"&gt;=20",BASE[Edad],"&lt;=59"))</calculatedColumnFormula>
    </tableColumn>
    <tableColumn id="3" xr3:uid="{00000000-0010-0000-3300-000003000000}" name="D2" dataDxfId="1673">
      <calculatedColumnFormula>IF($O$3="(Todas)",COUNTIFS(BASE[CODCIE102],ENOS_G3_IRAGNG_20_59_AÑOS[[#This Row],[CIE-10]],BASE[Edad],"&gt;=20",BASE[Edad],"&lt;=59"),COUNTIFS(BASE[Cod.Establecimiento],$O$3,BASE[CODCIE102],ENOS_G3_IRAGNG_20_59_AÑOS[[#This Row],[CIE-10]],BASE[Edad],"&gt;=20",BASE[Edad],"&lt;=59"))</calculatedColumnFormula>
    </tableColumn>
    <tableColumn id="4" xr3:uid="{00000000-0010-0000-3300-000004000000}" name="D3" dataDxfId="1672">
      <calculatedColumnFormula>IF($O$3="(Todas)",COUNTIFS(BASE[CODCIE104],ENOS_G3_IRAGNG_20_59_AÑOS[[#This Row],[CIE-10]],BASE[Edad],"&gt;=20",BASE[Edad],"&lt;=59"),COUNTIFS(BASE[Cod.Establecimiento],$O$3,BASE[CODCIE104],ENOS_G3_IRAGNG_20_59_AÑOS[[#This Row],[CIE-10]],BASE[Edad],"&gt;=20",BASE[Edad],"&lt;=59"))</calculatedColumnFormula>
    </tableColumn>
    <tableColumn id="5" xr3:uid="{00000000-0010-0000-3300-000005000000}" name="D4" dataDxfId="1671">
      <calculatedColumnFormula>IF($O$3="(Todas)",COUNTIFS(BASE[CODCIE106],ENOS_G3_IRAGNG_20_59_AÑOS[[#This Row],[CIE-10]],BASE[Edad],"&gt;=20",BASE[Edad],"&lt;=59"),COUNTIFS(BASE[Cod.Establecimiento],$O$3,BASE[CODCIE106],ENOS_G3_IRAGNG_20_59_AÑOS[[#This Row],[CIE-10]],BASE[Edad],"&gt;=20",BASE[Edad],"&lt;=59"))</calculatedColumnFormula>
    </tableColumn>
    <tableColumn id="6" xr3:uid="{00000000-0010-0000-3300-000006000000}" name="D5" dataDxfId="1670">
      <calculatedColumnFormula>IF($O$3="(Todas)",COUNTIFS(BASE[CODCIE108],ENOS_G3_IRAGNG_20_59_AÑOS[[#This Row],[CIE-10]],BASE[Edad],"&gt;=20",BASE[Edad],"&lt;=59"),COUNTIFS(BASE[Cod.Establecimiento],$O$3,BASE[CODCIE108],ENOS_G3_IRAGNG_20_59_AÑOS[[#This Row],[CIE-10]],BASE[Edad],"&gt;=20",BASE[Edad],"&lt;=59"))</calculatedColumnFormula>
    </tableColumn>
    <tableColumn id="7" xr3:uid="{00000000-0010-0000-3300-000007000000}" name="D6" dataDxfId="1669">
      <calculatedColumnFormula>IF($O$3="(Todas)",COUNTIFS(BASE[CODCIE1010],ENOS_G3_IRAGNG_20_59_AÑOS[[#This Row],[CIE-10]],BASE[Edad],"&gt;=20",BASE[Edad],"&lt;=59"),COUNTIFS(BASE[Cod.Establecimiento],$O$3,BASE[CODCIE1010],ENOS_G3_IRAGNG_20_59_AÑOS[[#This Row],[CIE-10]],BASE[Edad],"&gt;=20",BASE[Edad],"&lt;=59"))</calculatedColumnFormula>
    </tableColumn>
    <tableColumn id="8" xr3:uid="{00000000-0010-0000-3300-000008000000}" name="TOT" dataDxfId="1668" dataCellStyle="40% - Énfasis6">
      <calculatedColumnFormula>SUM(ENOS_G3_IRAGNG_20_59_AÑOS[[#This Row],[D1]:[D6]])</calculatedColumnFormula>
    </tableColumn>
  </tableColumns>
  <tableStyleInfo name="TableStyleLight1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00000000-000C-0000-FFFF-FFFF34000000}" name="ENOS_G3_IRAGNG_60_MAS_AÑOS" displayName="ENOS_G3_IRAGNG_60_MAS_AÑOS" ref="P180:W183" totalsRowShown="0" headerRowDxfId="1667">
  <autoFilter ref="P180:W183" xr:uid="{00000000-0009-0000-0100-000035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3400-000001000000}" name="CIE-10" dataCellStyle="20% - Énfasis4"/>
    <tableColumn id="2" xr3:uid="{00000000-0010-0000-3400-000002000000}" name="D1" dataDxfId="1666">
      <calculatedColumnFormula>IF($O$3="(Todas)",COUNTIFS(BASE[CODCIE10],ENOS_G3_IRAGNG_60_MAS_AÑOS[[#This Row],[CIE-10]],BASE[Edad],"&gt;=60"),COUNTIFS(BASE[Cod.Establecimiento],$O$3,BASE[CODCIE10],ENOS_G3_IRAGNG_60_MAS_AÑOS[[#This Row],[CIE-10]],BASE[Edad],"&gt;=60"))</calculatedColumnFormula>
    </tableColumn>
    <tableColumn id="3" xr3:uid="{00000000-0010-0000-3400-000003000000}" name="D2" dataDxfId="1665">
      <calculatedColumnFormula>IF($O$3="(Todas)",COUNTIFS(BASE[CODCIE102],ENOS_G3_IRAGNG_60_MAS_AÑOS[[#This Row],[CIE-10]],BASE[Edad],"&gt;=60"),COUNTIFS(BASE[Cod.Establecimiento],$O$3,BASE[CODCIE102],ENOS_G3_IRAGNG_60_MAS_AÑOS[[#This Row],[CIE-10]],BASE[Edad],"&gt;=60"))</calculatedColumnFormula>
    </tableColumn>
    <tableColumn id="4" xr3:uid="{00000000-0010-0000-3400-000004000000}" name="D3" dataDxfId="1664">
      <calculatedColumnFormula>IF($O$3="(Todas)",COUNTIFS(BASE[CODCIE104],ENOS_G3_IRAGNG_60_MAS_AÑOS[[#This Row],[CIE-10]],BASE[Edad],"&gt;=60"),COUNTIFS(BASE[Cod.Establecimiento],$O$3,BASE[CODCIE104],ENOS_G3_IRAGNG_60_MAS_AÑOS[[#This Row],[CIE-10]],BASE[Edad],"&gt;=60"))</calculatedColumnFormula>
    </tableColumn>
    <tableColumn id="5" xr3:uid="{00000000-0010-0000-3400-000005000000}" name="D4" dataDxfId="1663">
      <calculatedColumnFormula>IF($O$3="(Todas)",COUNTIFS(BASE[CODCIE106],ENOS_G3_IRAGNG_60_MAS_AÑOS[[#This Row],[CIE-10]],BASE[Edad],"&gt;=60"),COUNTIFS(BASE[Cod.Establecimiento],$O$3,BASE[CODCIE106],ENOS_G3_IRAGNG_60_MAS_AÑOS[[#This Row],[CIE-10]],BASE[Edad],"&gt;=60"))</calculatedColumnFormula>
    </tableColumn>
    <tableColumn id="6" xr3:uid="{00000000-0010-0000-3400-000006000000}" name="D5" dataDxfId="1662">
      <calculatedColumnFormula>IF($O$3="(Todas)",COUNTIFS(BASE[CODCIE108],ENOS_G3_IRAGNG_60_MAS_AÑOS[[#This Row],[CIE-10]],BASE[Edad],"&gt;=60"),COUNTIFS(BASE[Cod.Establecimiento],$O$3,BASE[CODCIE108],ENOS_G3_IRAGNG_60_MAS_AÑOS[[#This Row],[CIE-10]],BASE[Edad],"&gt;=60"))</calculatedColumnFormula>
    </tableColumn>
    <tableColumn id="7" xr3:uid="{00000000-0010-0000-3400-000007000000}" name="D6" dataDxfId="1661">
      <calculatedColumnFormula>IF($O$3="(Todas)",COUNTIFS(BASE[CODCIE1010],ENOS_G3_IRAGNG_60_MAS_AÑOS[[#This Row],[CIE-10]],BASE[Edad],"&gt;=60"),COUNTIFS(BASE[Cod.Establecimiento],$O$3,BASE[CODCIE1010],ENOS_G3_IRAGNG_60_MAS_AÑOS[[#This Row],[CIE-10]],BASE[Edad],"&gt;=60"))</calculatedColumnFormula>
    </tableColumn>
    <tableColumn id="8" xr3:uid="{00000000-0010-0000-3400-000008000000}" name="TOT" dataDxfId="1660" dataCellStyle="40% - Énfasis6">
      <calculatedColumnFormula>SUM(ENOS_G3_IRAGNG_60_MAS_AÑOS[[#This Row],[D1]:[D6]])</calculatedColumnFormula>
    </tableColumn>
  </tableColumns>
  <tableStyleInfo name="TableStyleLight1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0000000-000C-0000-FFFF-FFFF35000000}" name="ENOS_G3_IRAGNG_SD_AÑOS" displayName="ENOS_G3_IRAGNG_SD_AÑOS" ref="Y180:AF183" totalsRowShown="0" headerRowDxfId="1659">
  <autoFilter ref="Y180:AF183" xr:uid="{00000000-0009-0000-0100-000036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3500-000001000000}" name="CIE-10" dataCellStyle="20% - Énfasis4"/>
    <tableColumn id="2" xr3:uid="{00000000-0010-0000-3500-000002000000}" name="D1" dataDxfId="1658">
      <calculatedColumnFormula>IF($O$3="(Todas)",COUNTIFS(BASE[CODCIE10],ENOS_G3_IRAGNG_SD_AÑOS[[#This Row],[CIE-10]],BASE[Edad],""),COUNTIFS(BASE[Cod.Establecimiento],$O$3,BASE[CODCIE10],ENOS_G3_IRAGNG_SD_AÑOS[[#This Row],[CIE-10]],BASE[Edad],""))</calculatedColumnFormula>
    </tableColumn>
    <tableColumn id="3" xr3:uid="{00000000-0010-0000-3500-000003000000}" name="D2" dataDxfId="1657">
      <calculatedColumnFormula>IF($O$3="(Todas)",COUNTIFS(BASE[CODCIE102],ENOS_G3_IRAGNG_SD_AÑOS[[#This Row],[CIE-10]],BASE[Edad],""),COUNTIFS(BASE[Cod.Establecimiento],$O$3,BASE[CODCIE102],ENOS_G3_IRAGNG_SD_AÑOS[[#This Row],[CIE-10]],BASE[Edad],""))</calculatedColumnFormula>
    </tableColumn>
    <tableColumn id="4" xr3:uid="{00000000-0010-0000-3500-000004000000}" name="D3" dataDxfId="1656">
      <calculatedColumnFormula>IF($O$3="(Todas)",COUNTIFS(BASE[CODCIE104],ENOS_G3_IRAGNG_SD_AÑOS[[#This Row],[CIE-10]],BASE[Edad],""),COUNTIFS(BASE[Cod.Establecimiento],$O$3,BASE[CODCIE104],ENOS_G3_IRAGNG_SD_AÑOS[[#This Row],[CIE-10]],BASE[Edad],""))</calculatedColumnFormula>
    </tableColumn>
    <tableColumn id="5" xr3:uid="{00000000-0010-0000-3500-000005000000}" name="D4" dataDxfId="1655">
      <calculatedColumnFormula>IF($O$3="(Todas)",COUNTIFS(BASE[CODCIE106],ENOS_G3_IRAGNG_SD_AÑOS[[#This Row],[CIE-10]],BASE[Edad],""),COUNTIFS(BASE[Cod.Establecimiento],$O$3,BASE[CODCIE106],ENOS_G3_IRAGNG_SD_AÑOS[[#This Row],[CIE-10]],BASE[Edad],""))</calculatedColumnFormula>
    </tableColumn>
    <tableColumn id="6" xr3:uid="{00000000-0010-0000-3500-000006000000}" name="D5" dataDxfId="1654">
      <calculatedColumnFormula>IF($O$3="(Todas)",COUNTIFS(BASE[CODCIE108],ENOS_G3_IRAGNG_SD_AÑOS[[#This Row],[CIE-10]],BASE[Edad],""),COUNTIFS(BASE[Cod.Establecimiento],$O$3,BASE[CODCIE108],ENOS_G3_IRAGNG_SD_AÑOS[[#This Row],[CIE-10]],BASE[Edad],""))</calculatedColumnFormula>
    </tableColumn>
    <tableColumn id="7" xr3:uid="{00000000-0010-0000-3500-000007000000}" name="D6" dataDxfId="1653">
      <calculatedColumnFormula>IF($O$3="(Todas)",COUNTIFS(BASE[CODCIE1010],ENOS_G3_IRAGNG_SD_AÑOS[[#This Row],[CIE-10]],BASE[Edad],""),COUNTIFS(BASE[Cod.Establecimiento],$O$3,BASE[CODCIE1010],ENOS_G3_IRAGNG_SD_AÑOS[[#This Row],[CIE-10]],BASE[Edad],""))</calculatedColumnFormula>
    </tableColumn>
    <tableColumn id="8" xr3:uid="{00000000-0010-0000-3500-000008000000}" name="TOT" dataDxfId="1652" dataCellStyle="40% - Énfasis6">
      <calculatedColumnFormula>SUM(ENOS_G3_IRAGNG_SD_AÑOS[[#This Row],[D1]:[D6]])</calculatedColumnFormula>
    </tableColumn>
  </tableColumns>
  <tableStyleInfo name="TableStyleLight1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00000000-000C-0000-FFFF-FFFF36000000}" name="ENOS_G3_DA_MENOR_QUE_1_AÑO" displayName="ENOS_G3_DA_MENOR_QUE_1_AÑO" ref="P186:W194" totalsRowShown="0" headerRowDxfId="1651">
  <autoFilter ref="P186:W194" xr:uid="{00000000-0009-0000-0100-000037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3600-000001000000}" name="CIE-10" dataCellStyle="20% - Énfasis4"/>
    <tableColumn id="2" xr3:uid="{00000000-0010-0000-3600-000002000000}" name="D1" dataDxfId="1650">
      <calculatedColumnFormula>IF($O$3="(Todas)",COUNTIFS(BASE[CODCIE10],ENOS_G3_DA_MENOR_QUE_1_AÑO[[#This Row],[CIE-10]],BASE[Edad],"&lt;1"),COUNTIFS(BASE[Cod.Establecimiento],$O$3,BASE[CODCIE10],ENOS_G3_DA_MENOR_QUE_1_AÑO[[#This Row],[CIE-10]],BASE[Edad],"&lt;1"))</calculatedColumnFormula>
    </tableColumn>
    <tableColumn id="3" xr3:uid="{00000000-0010-0000-3600-000003000000}" name="D2" dataDxfId="1649">
      <calculatedColumnFormula>IF($O$3="(Todas)",COUNTIFS(BASE[CODCIE102],ENOS_G3_DA_MENOR_QUE_1_AÑO[[#This Row],[CIE-10]],BASE[Edad],"&lt;1"),COUNTIFS(BASE[Cod.Establecimiento],$O$3,BASE[CODCIE102],ENOS_G3_DA_MENOR_QUE_1_AÑO[[#This Row],[CIE-10]],BASE[Edad],"&lt;1"))</calculatedColumnFormula>
    </tableColumn>
    <tableColumn id="4" xr3:uid="{00000000-0010-0000-3600-000004000000}" name="D3" dataDxfId="1648">
      <calculatedColumnFormula>IF($O$3="(Todas)",COUNTIFS(BASE[CODCIE104],ENOS_G3_DA_MENOR_QUE_1_AÑO[[#This Row],[CIE-10]],BASE[Edad],"&lt;1"),COUNTIFS(BASE[Cod.Establecimiento],$O$3,BASE[CODCIE104],ENOS_G3_DA_MENOR_QUE_1_AÑO[[#This Row],[CIE-10]],BASE[Edad],"&lt;1"))</calculatedColumnFormula>
    </tableColumn>
    <tableColumn id="5" xr3:uid="{00000000-0010-0000-3600-000005000000}" name="D4" dataDxfId="1647">
      <calculatedColumnFormula>IF($O$3="(Todas)",COUNTIFS(BASE[CODCIE106],ENOS_G3_DA_MENOR_QUE_1_AÑO[[#This Row],[CIE-10]],BASE[Edad],"&lt;1"),COUNTIFS(BASE[Cod.Establecimiento],$O$3,BASE[CODCIE106],ENOS_G3_DA_MENOR_QUE_1_AÑO[[#This Row],[CIE-10]],BASE[Edad],"&lt;1"))</calculatedColumnFormula>
    </tableColumn>
    <tableColumn id="6" xr3:uid="{00000000-0010-0000-3600-000006000000}" name="D5" dataDxfId="1646">
      <calculatedColumnFormula>IF($O$3="(Todas)",COUNTIFS(BASE[CODCIE108],ENOS_G3_DA_MENOR_QUE_1_AÑO[[#This Row],[CIE-10]],BASE[Edad],"&lt;1"),COUNTIFS(BASE[Cod.Establecimiento],$O$3,BASE[CODCIE108],ENOS_G3_DA_MENOR_QUE_1_AÑO[[#This Row],[CIE-10]],BASE[Edad],"&lt;1"))</calculatedColumnFormula>
    </tableColumn>
    <tableColumn id="7" xr3:uid="{00000000-0010-0000-3600-000007000000}" name="D6" dataDxfId="1645">
      <calculatedColumnFormula>IF($O$3="(Todas)",COUNTIFS(BASE[CODCIE1010],ENOS_G3_DA_MENOR_QUE_1_AÑO[[#This Row],[CIE-10]],BASE[Edad],"&lt;1"),COUNTIFS(BASE[Cod.Establecimiento],$O$3,BASE[CODCIE1010],ENOS_G3_DA_MENOR_QUE_1_AÑO[[#This Row],[CIE-10]],BASE[Edad],"&lt;1"))</calculatedColumnFormula>
    </tableColumn>
    <tableColumn id="8" xr3:uid="{00000000-0010-0000-3600-000008000000}" name="TOT" dataDxfId="1644" dataCellStyle="40% - Énfasis6">
      <calculatedColumnFormula>SUM(ENOS_G3_DA_MENOR_QUE_1_AÑO[[#This Row],[D1]:[D6]])</calculatedColumnFormula>
    </tableColumn>
  </tableColumns>
  <tableStyleInfo name="TableStyleLight1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00000000-000C-0000-FFFF-FFFF37000000}" name="ENOS_G3_DA_1_4_AÑOS" displayName="ENOS_G3_DA_1_4_AÑOS" ref="Y186:AF194" totalsRowShown="0" headerRowDxfId="1643">
  <autoFilter ref="Y186:AF194" xr:uid="{00000000-0009-0000-0100-000038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3700-000001000000}" name="CIE-10" dataCellStyle="20% - Énfasis4"/>
    <tableColumn id="2" xr3:uid="{00000000-0010-0000-3700-000002000000}" name="D1" dataDxfId="1642">
      <calculatedColumnFormula>IF($O$3="(Todas)",COUNTIFS(BASE[CODCIE10],ENOS_G3_DA_1_4_AÑOS[[#This Row],[CIE-10]],BASE[Edad],"&gt;=1",BASE[Edad],"&lt;=4"),COUNTIFS(BASE[Cod.Establecimiento],$O$3,BASE[CODCIE10],ENOS_G3_DA_1_4_AÑOS[[#This Row],[CIE-10]],BASE[Edad],"&gt;=1",BASE[Edad],"&lt;=4"))</calculatedColumnFormula>
    </tableColumn>
    <tableColumn id="3" xr3:uid="{00000000-0010-0000-3700-000003000000}" name="D2" dataDxfId="1641">
      <calculatedColumnFormula>IF($O$3="(Todas)",COUNTIFS(BASE[CODCIE102],ENOS_G3_DA_1_4_AÑOS[[#This Row],[CIE-10]],BASE[Edad],"&gt;=1",BASE[Edad],"&lt;=4"),COUNTIFS(BASE[Cod.Establecimiento],$O$3,BASE[CODCIE102],ENOS_G3_DA_1_4_AÑOS[[#This Row],[CIE-10]],BASE[Edad],"&gt;=1",BASE[Edad],"&lt;=4"))</calculatedColumnFormula>
    </tableColumn>
    <tableColumn id="4" xr3:uid="{00000000-0010-0000-3700-000004000000}" name="D3" dataDxfId="1640">
      <calculatedColumnFormula>IF($O$3="(Todas)",COUNTIFS(BASE[CODCIE104],ENOS_G3_DA_1_4_AÑOS[[#This Row],[CIE-10]],BASE[Edad],"&gt;=1",BASE[Edad],"&lt;=4"),COUNTIFS(BASE[Cod.Establecimiento],$O$3,BASE[CODCIE104],ENOS_G3_DA_1_4_AÑOS[[#This Row],[CIE-10]],BASE[Edad],"&gt;=1",BASE[Edad],"&lt;=4"))</calculatedColumnFormula>
    </tableColumn>
    <tableColumn id="5" xr3:uid="{00000000-0010-0000-3700-000005000000}" name="D4" dataDxfId="1639">
      <calculatedColumnFormula>IF($O$3="(Todas)",COUNTIFS(BASE[CODCIE106],ENOS_G3_DA_1_4_AÑOS[[#This Row],[CIE-10]],BASE[Edad],"&gt;=1",BASE[Edad],"&lt;=4"),COUNTIFS(BASE[Cod.Establecimiento],$O$3,BASE[CODCIE106],ENOS_G3_DA_1_4_AÑOS[[#This Row],[CIE-10]],BASE[Edad],"&gt;=1",BASE[Edad],"&lt;=4"))</calculatedColumnFormula>
    </tableColumn>
    <tableColumn id="6" xr3:uid="{00000000-0010-0000-3700-000006000000}" name="D5" dataDxfId="1638">
      <calculatedColumnFormula>IF($O$3="(Todas)",COUNTIFS(BASE[CODCIE108],ENOS_G3_DA_1_4_AÑOS[[#This Row],[CIE-10]],BASE[Edad],"&gt;=1",BASE[Edad],"&lt;=4"),COUNTIFS(BASE[Cod.Establecimiento],$O$3,BASE[CODCIE108],ENOS_G3_DA_1_4_AÑOS[[#This Row],[CIE-10]],BASE[Edad],"&gt;=1",BASE[Edad],"&lt;=4"))</calculatedColumnFormula>
    </tableColumn>
    <tableColumn id="7" xr3:uid="{00000000-0010-0000-3700-000007000000}" name="D6" dataDxfId="1637">
      <calculatedColumnFormula>IF($O$3="(Todas)",COUNTIFS(BASE[CODCIE1010],ENOS_G3_DA_1_4_AÑOS[[#This Row],[CIE-10]],BASE[Edad],"&gt;=1",BASE[Edad],"&lt;=4"),COUNTIFS(BASE[Cod.Establecimiento],$O$3,BASE[CODCIE1010],ENOS_G3_DA_1_4_AÑOS[[#This Row],[CIE-10]],BASE[Edad],"&gt;=1",BASE[Edad],"&lt;=4"))</calculatedColumnFormula>
    </tableColumn>
    <tableColumn id="8" xr3:uid="{00000000-0010-0000-3700-000008000000}" name="TOT" dataDxfId="1636" dataCellStyle="40% - Énfasis6">
      <calculatedColumnFormula>SUM(ENOS_G3_DA_1_4_AÑOS[[#This Row],[D1]:[D6]])</calculatedColumnFormula>
    </tableColumn>
  </tableColumns>
  <tableStyleInfo name="TableStyleLight1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00000000-000C-0000-FFFF-FFFF38000000}" name="ENOS_G3_DA_5_19_AÑOS" displayName="ENOS_G3_DA_5_19_AÑOS" ref="P197:W205" totalsRowShown="0" headerRowDxfId="1635">
  <autoFilter ref="P197:W205" xr:uid="{00000000-0009-0000-0100-000039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3800-000001000000}" name="CIE-10" dataCellStyle="20% - Énfasis4"/>
    <tableColumn id="2" xr3:uid="{00000000-0010-0000-3800-000002000000}" name="D1" dataDxfId="1634">
      <calculatedColumnFormula>IF($O$3="(Todas)",COUNTIFS(BASE[CODCIE10],ENOS_G3_DA_5_19_AÑOS[[#This Row],[CIE-10]],BASE[Edad],"&gt;=5",BASE[Edad],"&lt;=19"),COUNTIFS(BASE[Cod.Establecimiento],$O$3,BASE[CODCIE10],ENOS_G3_DA_5_19_AÑOS[[#This Row],[CIE-10]],BASE[Edad],"&gt;=5",BASE[Edad],"&lt;=19"))</calculatedColumnFormula>
    </tableColumn>
    <tableColumn id="3" xr3:uid="{00000000-0010-0000-3800-000003000000}" name="D2" dataDxfId="1633">
      <calculatedColumnFormula>IF($O$3="(Todas)",COUNTIFS(BASE[CODCIE102],ENOS_G3_DA_5_19_AÑOS[[#This Row],[CIE-10]],BASE[Edad],"&gt;=5",BASE[Edad],"&lt;=19"),COUNTIFS(BASE[Cod.Establecimiento],$O$3,BASE[CODCIE102],ENOS_G3_DA_5_19_AÑOS[[#This Row],[CIE-10]],BASE[Edad],"&gt;=5",BASE[Edad],"&lt;=19"))</calculatedColumnFormula>
    </tableColumn>
    <tableColumn id="4" xr3:uid="{00000000-0010-0000-3800-000004000000}" name="D3" dataDxfId="1632">
      <calculatedColumnFormula>IF($O$3="(Todas)",COUNTIFS(BASE[CODCIE104],ENOS_G3_DA_5_19_AÑOS[[#This Row],[CIE-10]],BASE[Edad],"&gt;=5",BASE[Edad],"&lt;=19"),COUNTIFS(BASE[Cod.Establecimiento],$O$3,BASE[CODCIE104],ENOS_G3_DA_5_19_AÑOS[[#This Row],[CIE-10]],BASE[Edad],"&gt;=5",BASE[Edad],"&lt;=19"))</calculatedColumnFormula>
    </tableColumn>
    <tableColumn id="5" xr3:uid="{00000000-0010-0000-3800-000005000000}" name="D4" dataDxfId="1631">
      <calculatedColumnFormula>IF($O$3="(Todas)",COUNTIFS(BASE[CODCIE106],ENOS_G3_DA_5_19_AÑOS[[#This Row],[CIE-10]],BASE[Edad],"&gt;=5",BASE[Edad],"&lt;=19"),COUNTIFS(BASE[Cod.Establecimiento],$O$3,BASE[CODCIE106],ENOS_G3_DA_5_19_AÑOS[[#This Row],[CIE-10]],BASE[Edad],"&gt;=5",BASE[Edad],"&lt;=19"))</calculatedColumnFormula>
    </tableColumn>
    <tableColumn id="6" xr3:uid="{00000000-0010-0000-3800-000006000000}" name="D5" dataDxfId="1630">
      <calculatedColumnFormula>IF($O$3="(Todas)",COUNTIFS(BASE[CODCIE108],ENOS_G3_DA_5_19_AÑOS[[#This Row],[CIE-10]],BASE[Edad],"&gt;=5",BASE[Edad],"&lt;=19"),COUNTIFS(BASE[Cod.Establecimiento],$O$3,BASE[CODCIE108],ENOS_G3_DA_5_19_AÑOS[[#This Row],[CIE-10]],BASE[Edad],"&gt;=5",BASE[Edad],"&lt;=19"))</calculatedColumnFormula>
    </tableColumn>
    <tableColumn id="7" xr3:uid="{00000000-0010-0000-3800-000007000000}" name="D6" dataDxfId="1629">
      <calculatedColumnFormula>IF($O$3="(Todas)",COUNTIFS(BASE[CODCIE1010],ENOS_G3_DA_5_19_AÑOS[[#This Row],[CIE-10]],BASE[Edad],"&gt;=5",BASE[Edad],"&lt;=19"),COUNTIFS(BASE[Cod.Establecimiento],$O$3,BASE[CODCIE1010],ENOS_G3_DA_5_19_AÑOS[[#This Row],[CIE-10]],BASE[Edad],"&gt;=5",BASE[Edad],"&lt;=19"))</calculatedColumnFormula>
    </tableColumn>
    <tableColumn id="8" xr3:uid="{00000000-0010-0000-3800-000008000000}" name="TOT" dataDxfId="1628" dataCellStyle="40% - Énfasis6">
      <calculatedColumnFormula>SUM(ENOS_G3_DA_5_19_AÑOS[[#This Row],[D1]:[D6]])</calculatedColumnFormula>
    </tableColumn>
  </tableColumns>
  <tableStyleInfo name="TableStyleLight1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00000000-000C-0000-FFFF-FFFF39000000}" name="ENOS_G3_DA_20_59_AÑOS" displayName="ENOS_G3_DA_20_59_AÑOS" ref="Y197:AF205" totalsRowShown="0" headerRowDxfId="1627">
  <autoFilter ref="Y197:AF205" xr:uid="{00000000-0009-0000-0100-00003A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3900-000001000000}" name="CIE-10" dataCellStyle="20% - Énfasis4"/>
    <tableColumn id="2" xr3:uid="{00000000-0010-0000-3900-000002000000}" name="D1" dataDxfId="1626">
      <calculatedColumnFormula>IF($O$3="(Todas)",COUNTIFS(BASE[CODCIE10],ENOS_G3_DA_20_59_AÑOS[[#This Row],[CIE-10]],BASE[Edad],"&gt;=20",BASE[Edad],"&lt;=59"),COUNTIFS(BASE[Cod.Establecimiento],$O$3,BASE[CODCIE10],ENOS_G3_DA_20_59_AÑOS[[#This Row],[CIE-10]],BASE[Edad],"&gt;=20",BASE[Edad],"&lt;=59"))</calculatedColumnFormula>
    </tableColumn>
    <tableColumn id="3" xr3:uid="{00000000-0010-0000-3900-000003000000}" name="D2" dataDxfId="1625">
      <calculatedColumnFormula>IF($O$3="(Todas)",COUNTIFS(BASE[CODCIE102],ENOS_G3_DA_20_59_AÑOS[[#This Row],[CIE-10]],BASE[Edad],"&gt;=20",BASE[Edad],"&lt;=59"),COUNTIFS(BASE[Cod.Establecimiento],$O$3,BASE[CODCIE102],ENOS_G3_DA_20_59_AÑOS[[#This Row],[CIE-10]],BASE[Edad],"&gt;=20",BASE[Edad],"&lt;=59"))</calculatedColumnFormula>
    </tableColumn>
    <tableColumn id="4" xr3:uid="{00000000-0010-0000-3900-000004000000}" name="D3" dataDxfId="1624">
      <calculatedColumnFormula>IF($O$3="(Todas)",COUNTIFS(BASE[CODCIE104],ENOS_G3_DA_20_59_AÑOS[[#This Row],[CIE-10]],BASE[Edad],"&gt;=20",BASE[Edad],"&lt;=59"),COUNTIFS(BASE[Cod.Establecimiento],$O$3,BASE[CODCIE104],ENOS_G3_DA_20_59_AÑOS[[#This Row],[CIE-10]],BASE[Edad],"&gt;=20",BASE[Edad],"&lt;=59"))</calculatedColumnFormula>
    </tableColumn>
    <tableColumn id="5" xr3:uid="{00000000-0010-0000-3900-000005000000}" name="D4" dataDxfId="1623">
      <calculatedColumnFormula>IF($O$3="(Todas)",COUNTIFS(BASE[CODCIE106],ENOS_G3_DA_20_59_AÑOS[[#This Row],[CIE-10]],BASE[Edad],"&gt;=20",BASE[Edad],"&lt;=59"),COUNTIFS(BASE[Cod.Establecimiento],$O$3,BASE[CODCIE106],ENOS_G3_DA_20_59_AÑOS[[#This Row],[CIE-10]],BASE[Edad],"&gt;=20",BASE[Edad],"&lt;=59"))</calculatedColumnFormula>
    </tableColumn>
    <tableColumn id="6" xr3:uid="{00000000-0010-0000-3900-000006000000}" name="D5" dataDxfId="1622">
      <calculatedColumnFormula>IF($O$3="(Todas)",COUNTIFS(BASE[CODCIE108],ENOS_G3_DA_20_59_AÑOS[[#This Row],[CIE-10]],BASE[Edad],"&gt;=20",BASE[Edad],"&lt;=59"),COUNTIFS(BASE[Cod.Establecimiento],$O$3,BASE[CODCIE108],ENOS_G3_DA_20_59_AÑOS[[#This Row],[CIE-10]],BASE[Edad],"&gt;=20",BASE[Edad],"&lt;=59"))</calculatedColumnFormula>
    </tableColumn>
    <tableColumn id="7" xr3:uid="{00000000-0010-0000-3900-000007000000}" name="D6" dataDxfId="1621">
      <calculatedColumnFormula>IF($O$3="(Todas)",COUNTIFS(BASE[CODCIE1010],ENOS_G3_DA_20_59_AÑOS[[#This Row],[CIE-10]],BASE[Edad],"&gt;=20",BASE[Edad],"&lt;=59"),COUNTIFS(BASE[Cod.Establecimiento],$O$3,BASE[CODCIE1010],ENOS_G3_DA_20_59_AÑOS[[#This Row],[CIE-10]],BASE[Edad],"&gt;=20",BASE[Edad],"&lt;=59"))</calculatedColumnFormula>
    </tableColumn>
    <tableColumn id="8" xr3:uid="{00000000-0010-0000-3900-000008000000}" name="TOT" dataDxfId="1620" dataCellStyle="40% - Énfasis6">
      <calculatedColumnFormula>SUM(ENOS_G3_DA_20_59_AÑOS[[#This Row],[D1]:[D6]])</calculatedColumnFormula>
    </tableColumn>
  </tableColumns>
  <tableStyleInfo name="TableStyleLight1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00000000-000C-0000-FFFF-FFFF3A000000}" name="ENOS_G3_DA_60_MAS_AÑOS" displayName="ENOS_G3_DA_60_MAS_AÑOS" ref="P208:W216" totalsRowShown="0" headerRowDxfId="1619">
  <autoFilter ref="P208:W216" xr:uid="{00000000-0009-0000-0100-00003B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3A00-000001000000}" name="CIE-10" dataCellStyle="20% - Énfasis4"/>
    <tableColumn id="2" xr3:uid="{00000000-0010-0000-3A00-000002000000}" name="D1" dataDxfId="1618">
      <calculatedColumnFormula>IF($O$3="(Todas)",COUNTIFS(BASE[CODCIE10],ENOS_G3_DA_60_MAS_AÑOS[[#This Row],[CIE-10]],BASE[Edad],"&gt;=60"),COUNTIFS(BASE[Cod.Establecimiento],$O$3,BASE[CODCIE10],ENOS_G3_DA_60_MAS_AÑOS[[#This Row],[CIE-10]],BASE[Edad],"&gt;=60"))</calculatedColumnFormula>
    </tableColumn>
    <tableColumn id="3" xr3:uid="{00000000-0010-0000-3A00-000003000000}" name="D2" dataDxfId="1617">
      <calculatedColumnFormula>IF($O$3="(Todas)",COUNTIFS(BASE[CODCIE102],ENOS_G3_DA_60_MAS_AÑOS[[#This Row],[CIE-10]],BASE[Edad],"&gt;=60"),COUNTIFS(BASE[Cod.Establecimiento],$O$3,BASE[CODCIE102],ENOS_G3_DA_60_MAS_AÑOS[[#This Row],[CIE-10]],BASE[Edad],"&gt;=60"))</calculatedColumnFormula>
    </tableColumn>
    <tableColumn id="4" xr3:uid="{00000000-0010-0000-3A00-000004000000}" name="D3" dataDxfId="1616">
      <calculatedColumnFormula>IF($O$3="(Todas)",COUNTIFS(BASE[CODCIE104],ENOS_G3_DA_60_MAS_AÑOS[[#This Row],[CIE-10]],BASE[Edad],"&gt;=60"),COUNTIFS(BASE[Cod.Establecimiento],$O$3,BASE[CODCIE104],ENOS_G3_DA_60_MAS_AÑOS[[#This Row],[CIE-10]],BASE[Edad],"&gt;=60"))</calculatedColumnFormula>
    </tableColumn>
    <tableColumn id="5" xr3:uid="{00000000-0010-0000-3A00-000005000000}" name="D4" dataDxfId="1615">
      <calculatedColumnFormula>IF($O$3="(Todas)",COUNTIFS(BASE[CODCIE106],ENOS_G3_DA_60_MAS_AÑOS[[#This Row],[CIE-10]],BASE[Edad],"&gt;=60"),COUNTIFS(BASE[Cod.Establecimiento],$O$3,BASE[CODCIE106],ENOS_G3_DA_60_MAS_AÑOS[[#This Row],[CIE-10]],BASE[Edad],"&gt;=60"))</calculatedColumnFormula>
    </tableColumn>
    <tableColumn id="6" xr3:uid="{00000000-0010-0000-3A00-000006000000}" name="D5" dataDxfId="1614">
      <calculatedColumnFormula>IF($O$3="(Todas)",COUNTIFS(BASE[CODCIE108],ENOS_G3_DA_60_MAS_AÑOS[[#This Row],[CIE-10]],BASE[Edad],"&gt;=60"),COUNTIFS(BASE[Cod.Establecimiento],$O$3,BASE[CODCIE108],ENOS_G3_DA_60_MAS_AÑOS[[#This Row],[CIE-10]],BASE[Edad],"&gt;=60"))</calculatedColumnFormula>
    </tableColumn>
    <tableColumn id="7" xr3:uid="{00000000-0010-0000-3A00-000007000000}" name="D6" dataDxfId="1613">
      <calculatedColumnFormula>IF($O$3="(Todas)",COUNTIFS(BASE[CODCIE1010],ENOS_G3_DA_60_MAS_AÑOS[[#This Row],[CIE-10]],BASE[Edad],"&gt;=60"),COUNTIFS(BASE[Cod.Establecimiento],$O$3,BASE[CODCIE1010],ENOS_G3_DA_60_MAS_AÑOS[[#This Row],[CIE-10]],BASE[Edad],"&gt;=60"))</calculatedColumnFormula>
    </tableColumn>
    <tableColumn id="8" xr3:uid="{00000000-0010-0000-3A00-000008000000}" name="TOT" dataDxfId="1612" dataCellStyle="40% - Énfasis6">
      <calculatedColumnFormula>SUM(ENOS_G3_DA_60_MAS_AÑOS[[#This Row],[D1]:[D6]])</calculatedColumnFormula>
    </tableColumn>
  </tableColumns>
  <tableStyleInfo name="TableStyleLight1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00000000-000C-0000-FFFF-FFFF3B000000}" name="ENOS_G3_DA_SD_AÑOS" displayName="ENOS_G3_DA_SD_AÑOS" ref="Y208:AF216" totalsRowShown="0" headerRowDxfId="1611">
  <autoFilter ref="Y208:AF216" xr:uid="{00000000-0009-0000-0100-00003C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3B00-000001000000}" name="CIE-10" dataCellStyle="20% - Énfasis4"/>
    <tableColumn id="2" xr3:uid="{00000000-0010-0000-3B00-000002000000}" name="D1" dataDxfId="1610">
      <calculatedColumnFormula>IF($O$3="(Todas)",COUNTIFS(BASE[CODCIE10],ENOS_G3_DA_SD_AÑOS[[#This Row],[CIE-10]],BASE[Edad],""),COUNTIFS(BASE[Cod.Establecimiento],$O$3,BASE[CODCIE10],ENOS_G3_DA_SD_AÑOS[[#This Row],[CIE-10]],BASE[Edad],""))</calculatedColumnFormula>
    </tableColumn>
    <tableColumn id="3" xr3:uid="{00000000-0010-0000-3B00-000003000000}" name="D2" dataDxfId="1609">
      <calculatedColumnFormula>IF($O$3="(Todas)",COUNTIFS(BASE[CODCIE102],ENOS_G3_DA_SD_AÑOS[[#This Row],[CIE-10]],BASE[Edad],""),COUNTIFS(BASE[Cod.Establecimiento],$O$3,BASE[CODCIE102],ENOS_G3_DA_SD_AÑOS[[#This Row],[CIE-10]],BASE[Edad],""))</calculatedColumnFormula>
    </tableColumn>
    <tableColumn id="4" xr3:uid="{00000000-0010-0000-3B00-000004000000}" name="D3" dataDxfId="1608">
      <calculatedColumnFormula>IF($O$3="(Todas)",COUNTIFS(BASE[CODCIE104],ENOS_G3_DA_SD_AÑOS[[#This Row],[CIE-10]],BASE[Edad],""),COUNTIFS(BASE[Cod.Establecimiento],$O$3,BASE[CODCIE104],ENOS_G3_DA_SD_AÑOS[[#This Row],[CIE-10]],BASE[Edad],""))</calculatedColumnFormula>
    </tableColumn>
    <tableColumn id="5" xr3:uid="{00000000-0010-0000-3B00-000005000000}" name="D4" dataDxfId="1607">
      <calculatedColumnFormula>IF($O$3="(Todas)",COUNTIFS(BASE[CODCIE106],ENOS_G3_DA_SD_AÑOS[[#This Row],[CIE-10]],BASE[Edad],""),COUNTIFS(BASE[Cod.Establecimiento],$O$3,BASE[CODCIE106],ENOS_G3_DA_SD_AÑOS[[#This Row],[CIE-10]],BASE[Edad],""))</calculatedColumnFormula>
    </tableColumn>
    <tableColumn id="6" xr3:uid="{00000000-0010-0000-3B00-000006000000}" name="D5" dataDxfId="1606">
      <calculatedColumnFormula>IF($O$3="(Todas)",COUNTIFS(BASE[CODCIE108],ENOS_G3_DA_SD_AÑOS[[#This Row],[CIE-10]],BASE[Edad],""),COUNTIFS(BASE[Cod.Establecimiento],$O$3,BASE[CODCIE108],ENOS_G3_DA_SD_AÑOS[[#This Row],[CIE-10]],BASE[Edad],""))</calculatedColumnFormula>
    </tableColumn>
    <tableColumn id="7" xr3:uid="{00000000-0010-0000-3B00-000007000000}" name="D6" dataDxfId="1605">
      <calculatedColumnFormula>IF($O$3="(Todas)",COUNTIFS(BASE[CODCIE1010],ENOS_G3_DA_SD_AÑOS[[#This Row],[CIE-10]],BASE[Edad],""),COUNTIFS(BASE[Cod.Establecimiento],$O$3,BASE[CODCIE1010],ENOS_G3_DA_SD_AÑOS[[#This Row],[CIE-10]],BASE[Edad],""))</calculatedColumnFormula>
    </tableColumn>
    <tableColumn id="8" xr3:uid="{00000000-0010-0000-3B00-000008000000}" name="TOT" dataDxfId="1604" dataCellStyle="40% - Énfasis6">
      <calculatedColumnFormula>SUM(ENOS_G3_DA_SD_AÑOS[[#This Row],[D1]:[D6]])</calculatedColumnFormula>
    </tableColumn>
  </tableColumns>
  <tableStyleInfo name="TableStyleLight1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53F13FA4-3AEC-4CA5-85E6-E52654968246}" name="EPV_PARALISIS_FLACIDA_AGUDA62" displayName="EPV_PARALISIS_FLACIDA_AGUDA62" ref="A4:H24" totalsRowShown="0" headerRowDxfId="1603">
  <autoFilter ref="A4:H24" xr:uid="{00000000-0009-0000-0100-000002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B123C81F-0ED1-4645-96FC-0FD42A4C2EE8}" name="CIE-10" dataCellStyle="20% - Énfasis4"/>
    <tableColumn id="2" xr3:uid="{B4B46142-9045-4652-B05C-7A8ED2CDB91A}" name="D1" dataDxfId="1602">
      <calculatedColumnFormula>IF($AK$2="(Todas)",COUNTIF(BASE[CODCIE10],EPV_PARALISIS_FLACIDA_AGUDA62[[#This Row],[CIE-10]]),COUNTIFS(BASE[Cod.Establecimiento],$AK$2,BASE[CODCIE10],EPV_PARALISIS_FLACIDA_AGUDA62[[#This Row],[CIE-10]]))</calculatedColumnFormula>
    </tableColumn>
    <tableColumn id="3" xr3:uid="{D8D83546-6B4C-4FEA-938F-FE13E66762E1}" name="D2" dataDxfId="1601">
      <calculatedColumnFormula>IF($AK$2="(Todas)",COUNTIF(BASE[CODCIE102],EPV_PARALISIS_FLACIDA_AGUDA62[[#This Row],[CIE-10]]),COUNTIFS(BASE[Cod.Establecimiento],$AK$2,BASE[CODCIE102],EPV_PARALISIS_FLACIDA_AGUDA62[[#This Row],[CIE-10]]))</calculatedColumnFormula>
    </tableColumn>
    <tableColumn id="4" xr3:uid="{B8580DC6-B333-44FE-989C-A9BED9FBCBCA}" name="D3" dataDxfId="1600">
      <calculatedColumnFormula>IF($AK$2="(Todas)",COUNTIF(BASE[CODCIE104],EPV_PARALISIS_FLACIDA_AGUDA62[[#This Row],[CIE-10]]),COUNTIFS(BASE[Cod.Establecimiento],$AK$2,BASE[CODCIE104],EPV_PARALISIS_FLACIDA_AGUDA62[[#This Row],[CIE-10]]))</calculatedColumnFormula>
    </tableColumn>
    <tableColumn id="5" xr3:uid="{6F7EE3FC-0E79-4041-9B8E-E3C761383EAB}" name="D4" dataDxfId="1599">
      <calculatedColumnFormula>IF($AK$2="(Todas)",COUNTIF(BASE[CODCIE106],EPV_PARALISIS_FLACIDA_AGUDA62[[#This Row],[CIE-10]]),COUNTIFS(BASE[Cod.Establecimiento],$AK$2,BASE[CODCIE106],EPV_PARALISIS_FLACIDA_AGUDA62[[#This Row],[CIE-10]]))</calculatedColumnFormula>
    </tableColumn>
    <tableColumn id="6" xr3:uid="{00B77666-54EE-43FD-92F5-69C9935F31CD}" name="D5" dataDxfId="1598">
      <calculatedColumnFormula>IF($AK$2="(Todas)",COUNTIF(BASE[CODCIE108],EPV_PARALISIS_FLACIDA_AGUDA62[[#This Row],[CIE-10]]),COUNTIFS(BASE[Cod.Establecimiento],$AK$2,BASE[CODCIE108],EPV_PARALISIS_FLACIDA_AGUDA62[[#This Row],[CIE-10]]))</calculatedColumnFormula>
    </tableColumn>
    <tableColumn id="7" xr3:uid="{D03BB791-5454-41C3-B7F3-1A4EA87C9B7C}" name="D6" dataDxfId="1597">
      <calculatedColumnFormula>IF($AK$2="(Todas)",COUNTIF(BASE[CODCIE1010],EPV_PARALISIS_FLACIDA_AGUDA62[[#This Row],[CIE-10]]),COUNTIFS(BASE[Cod.Establecimiento],$AK$2,BASE[CODCIE1010],EPV_PARALISIS_FLACIDA_AGUDA62[[#This Row],[CIE-10]]))</calculatedColumnFormula>
    </tableColumn>
    <tableColumn id="8" xr3:uid="{2212AF58-376C-4BE7-A186-140CB21B73BE}" name="TOT" dataDxfId="1596">
      <calculatedColumnFormula>SUM(EPV_PARALISIS_FLACIDA_AGUDA62[[#This Row],[D1]:[D6]])</calculatedColumnFormula>
    </tableColumn>
  </tableColumns>
  <tableStyleInfo name="TableStyleLight1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7A57DFF7-2665-4669-B81A-DE387F174362}" name="EPV_RUBEOLA63" displayName="EPV_RUBEOLA63" ref="J4:Q8" totalsRowShown="0" headerRowDxfId="1595">
  <autoFilter ref="J4:Q8" xr:uid="{00000000-0009-0000-0100-000003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934F546A-C21F-4FE3-A2F6-0E01924C2E4A}" name="CIE-10" dataCellStyle="20% - Énfasis4"/>
    <tableColumn id="2" xr3:uid="{1ABC3470-8AF5-48A4-B4F1-8FC3294CEFC9}" name="D1" dataDxfId="1594">
      <calculatedColumnFormula>IF($AK$2="(Todas)",COUNTIF(BASE[CODCIE10],EPV_RUBEOLA63[[#This Row],[CIE-10]]),COUNTIFS(BASE[Cod.Establecimiento],$AK$2,BASE[CODCIE10],EPV_RUBEOLA63[[#This Row],[CIE-10]]))</calculatedColumnFormula>
    </tableColumn>
    <tableColumn id="3" xr3:uid="{7A5AD759-77CB-41E6-B0E5-4D4A9BC8138F}" name="D2" dataDxfId="1593">
      <calculatedColumnFormula>IF($AK$2="(Todas)",COUNTIF(BASE[CODCIE102],EPV_RUBEOLA63[[#This Row],[CIE-10]]),COUNTIFS(BASE[Cod.Establecimiento],$AK$2,BASE[CODCIE102],EPV_RUBEOLA63[[#This Row],[CIE-10]]))</calculatedColumnFormula>
    </tableColumn>
    <tableColumn id="4" xr3:uid="{AD429FD3-1839-4EF9-B7EC-648593681E70}" name="D3" dataDxfId="1592">
      <calculatedColumnFormula>IF($AK$2="(Todas)",COUNTIF(BASE[CODCIE104],EPV_RUBEOLA63[[#This Row],[CIE-10]]),COUNTIFS(BASE[Cod.Establecimiento],$AK$2,BASE[CODCIE104],EPV_RUBEOLA63[[#This Row],[CIE-10]]))</calculatedColumnFormula>
    </tableColumn>
    <tableColumn id="5" xr3:uid="{69581973-7B7D-4F70-957A-6D9471377369}" name="D4" dataDxfId="1591">
      <calculatedColumnFormula>IF($AK$2="(Todas)",COUNTIF(BASE[CODCIE106],EPV_RUBEOLA63[[#This Row],[CIE-10]]),COUNTIFS(BASE[Cod.Establecimiento],$AK$2,BASE[CODCIE106],EPV_RUBEOLA63[[#This Row],[CIE-10]]))</calculatedColumnFormula>
    </tableColumn>
    <tableColumn id="6" xr3:uid="{3120DBF6-601F-4D46-992F-0A8860C114E7}" name="D5" dataDxfId="1590">
      <calculatedColumnFormula>IF($AK$2="(Todas)",COUNTIF(BASE[CODCIE108],EPV_RUBEOLA63[[#This Row],[CIE-10]]),COUNTIFS(BASE[Cod.Establecimiento],$AK$2,BASE[CODCIE108],EPV_RUBEOLA63[[#This Row],[CIE-10]]))</calculatedColumnFormula>
    </tableColumn>
    <tableColumn id="7" xr3:uid="{D6CE3B5D-6F9A-45BC-9034-0F14EEDBC0D8}" name="D6" dataDxfId="1589">
      <calculatedColumnFormula>IF($AK$2="(Todas)",COUNTIF(BASE[CODCIE1010],EPV_RUBEOLA63[[#This Row],[CIE-10]]),COUNTIFS(BASE[Cod.Establecimiento],$AK$2,BASE[CODCIE1010],EPV_RUBEOLA63[[#This Row],[CIE-10]]))</calculatedColumnFormula>
    </tableColumn>
    <tableColumn id="8" xr3:uid="{D9178D6C-A7FE-4FC0-A980-69B38EF827E6}" name="TOT" dataDxfId="1588" dataCellStyle="40% - Énfasis6">
      <calculatedColumnFormula>SUM(EPV_RUBEOLA63[[#This Row],[D1]:[D6]])</calculatedColumnFormula>
    </tableColumn>
  </tableColumns>
  <tableStyleInfo name="TableStyleLight1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1B8C60B6-A60F-4588-BEB2-67A3C3922F94}" name="EPV_SARAMPION64" displayName="EPV_SARAMPION64" ref="S4:Z5" totalsRowShown="0" headerRowDxfId="1587">
  <autoFilter ref="S4:Z5" xr:uid="{00000000-0009-0000-0100-000004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5615E9B6-521F-47E5-B510-82682227D5C5}" name="CIE-10" dataCellStyle="20% - Énfasis4"/>
    <tableColumn id="2" xr3:uid="{33AD3036-B588-4B32-8C05-5188257D0D14}" name="D1" dataDxfId="1586">
      <calculatedColumnFormula>IF($AK$2="(Todas)",COUNTIF(BASE[CODCIE10],EPV_SARAMPION64[[#This Row],[CIE-10]]),COUNTIFS(BASE[Cod.Establecimiento],$AK$2,BASE[CODCIE10],EPV_SARAMPION64[[#This Row],[CIE-10]]))</calculatedColumnFormula>
    </tableColumn>
    <tableColumn id="3" xr3:uid="{0D2FD9C3-13D5-4810-ABB3-EFB0F357854D}" name="D2" dataDxfId="1585">
      <calculatedColumnFormula>IF($AK$2="(Todas)",COUNTIF(BASE[CODCIE102],EPV_SARAMPION64[[#This Row],[CIE-10]]),COUNTIFS(BASE[Cod.Establecimiento],$AK$2,BASE[CODCIE102],EPV_SARAMPION64[[#This Row],[CIE-10]]))</calculatedColumnFormula>
    </tableColumn>
    <tableColumn id="4" xr3:uid="{F3122303-F6CB-4C37-8C7D-C13708CBC5A8}" name="D3" dataDxfId="1584">
      <calculatedColumnFormula>IF($AK$2="(Todas)",COUNTIF(BASE[CODCIE104],EPV_SARAMPION64[[#This Row],[CIE-10]]),COUNTIFS(BASE[Cod.Establecimiento],$AK$2,BASE[CODCIE104],EPV_SARAMPION64[[#This Row],[CIE-10]]))</calculatedColumnFormula>
    </tableColumn>
    <tableColumn id="5" xr3:uid="{9AB0CFD0-8EC5-4483-A3FB-9CC5CA79D05C}" name="D4" dataDxfId="1583">
      <calculatedColumnFormula>IF($AK$2="(Todas)",COUNTIF(BASE[CODCIE106],EPV_SARAMPION64[[#This Row],[CIE-10]]),COUNTIFS(BASE[Cod.Establecimiento],$AK$2,BASE[CODCIE106],EPV_SARAMPION64[[#This Row],[CIE-10]]))</calculatedColumnFormula>
    </tableColumn>
    <tableColumn id="6" xr3:uid="{CBE7AAD3-AAAA-42B8-B0C8-BDD32F5EC28F}" name="D5" dataDxfId="1582">
      <calculatedColumnFormula>IF($AK$2="(Todas)",COUNTIF(BASE[CODCIE108],EPV_SARAMPION64[[#This Row],[CIE-10]]),COUNTIFS(BASE[Cod.Establecimiento],$AK$2,BASE[CODCIE108],EPV_SARAMPION64[[#This Row],[CIE-10]]))</calculatedColumnFormula>
    </tableColumn>
    <tableColumn id="7" xr3:uid="{B8AD53E9-776E-4CD3-B7BB-75E3C5652FB6}" name="D6" dataDxfId="1581">
      <calculatedColumnFormula>IF($AK$2="(Todas)",COUNTIF(BASE[CODCIE1010],EPV_SARAMPION64[[#This Row],[CIE-10]]),COUNTIFS(BASE[Cod.Establecimiento],$AK$2,BASE[CODCIE1010],EPV_SARAMPION64[[#This Row],[CIE-10]]))</calculatedColumnFormula>
    </tableColumn>
    <tableColumn id="8" xr3:uid="{60450E1A-3601-42F5-89CB-FEB78C2F51BF}" name="TOT" dataDxfId="1580" dataCellStyle="40% - Énfasis6">
      <calculatedColumnFormula>SUM(EPV_SARAMPION64[[#This Row],[D1]:[D6]])</calculatedColumnFormula>
    </tableColumn>
  </tableColumns>
  <tableStyleInfo name="TableStyleLight1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9EF0B2E1-5669-4B58-B9CD-EA330ABCDCC4}" name="EPV_DIFTERIA65" displayName="EPV_DIFTERIA65" ref="AB4:AI5" totalsRowShown="0" headerRowDxfId="1579">
  <autoFilter ref="AB4:AI5" xr:uid="{00000000-0009-0000-0100-000005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9A44CEFC-2958-4659-AE8B-16D5C275564A}" name="CIE-10" dataCellStyle="20% - Énfasis4"/>
    <tableColumn id="2" xr3:uid="{76B9CCC4-4A74-48E6-B72F-E8C14D5A981C}" name="D1" dataDxfId="1578">
      <calculatedColumnFormula>IF($AK$2="(Todas)",COUNTIF(BASE[CODCIE10],EPV_DIFTERIA65[[#This Row],[CIE-10]]),COUNTIFS(BASE[Cod.Establecimiento],$AK$2,BASE[CODCIE10],EPV_DIFTERIA65[[#This Row],[CIE-10]]))</calculatedColumnFormula>
    </tableColumn>
    <tableColumn id="3" xr3:uid="{1CF97495-2B6E-4122-AEDE-BDA518107496}" name="D2" dataDxfId="1577">
      <calculatedColumnFormula>IF($AK$2="(Todas)",COUNTIF(BASE[CODCIE102],EPV_DIFTERIA65[[#This Row],[CIE-10]]),COUNTIFS(BASE[Cod.Establecimiento],$AK$2,BASE[CODCIE102],EPV_DIFTERIA65[[#This Row],[CIE-10]]))</calculatedColumnFormula>
    </tableColumn>
    <tableColumn id="4" xr3:uid="{F05C382F-5E8B-495B-85C5-21A9DF462BAC}" name="D3" dataDxfId="1576">
      <calculatedColumnFormula>IF($AK$2="(Todas)",COUNTIF(BASE[CODCIE104],EPV_DIFTERIA65[[#This Row],[CIE-10]]),COUNTIFS(BASE[Cod.Establecimiento],$AK$2,BASE[CODCIE104],EPV_DIFTERIA65[[#This Row],[CIE-10]]))</calculatedColumnFormula>
    </tableColumn>
    <tableColumn id="5" xr3:uid="{37020E37-2165-4336-B882-C923D7E5E8FC}" name="D4" dataDxfId="1575">
      <calculatedColumnFormula>IF($AK$2="(Todas)",COUNTIF(BASE[CODCIE106],EPV_DIFTERIA65[[#This Row],[CIE-10]]),COUNTIFS(BASE[Cod.Establecimiento],$AK$2,BASE[CODCIE106],EPV_DIFTERIA65[[#This Row],[CIE-10]]))</calculatedColumnFormula>
    </tableColumn>
    <tableColumn id="6" xr3:uid="{87BAD790-F34C-4A1E-815A-B3ABA3541CCF}" name="D5" dataDxfId="1574">
      <calculatedColumnFormula>IF($AK$2="(Todas)",COUNTIF(BASE[CODCIE108],EPV_DIFTERIA65[[#This Row],[CIE-10]]),COUNTIFS(BASE[Cod.Establecimiento],$AK$2,BASE[CODCIE108],EPV_DIFTERIA65[[#This Row],[CIE-10]]))</calculatedColumnFormula>
    </tableColumn>
    <tableColumn id="7" xr3:uid="{21A51CA7-3840-4D1C-A3F0-C07814C891B8}" name="D6" dataDxfId="1573">
      <calculatedColumnFormula>IF($AK$2="(Todas)",COUNTIF(BASE[CODCIE1010],EPV_DIFTERIA65[[#This Row],[CIE-10]]),COUNTIFS(BASE[Cod.Establecimiento],$AK$2,BASE[CODCIE1010],EPV_DIFTERIA65[[#This Row],[CIE-10]]))</calculatedColumnFormula>
    </tableColumn>
    <tableColumn id="8" xr3:uid="{36616E31-DAE8-4F42-B07F-31D1305F9BDC}" name="TOT" dataDxfId="1572" dataCellStyle="40% - Énfasis6">
      <calculatedColumnFormula>SUM(EPV_DIFTERIA65[[#This Row],[D1]:[D6]])</calculatedColumnFormula>
    </tableColumn>
  </tableColumns>
  <tableStyleInfo name="TableStyleLight1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FB51FE38-31BD-46E0-A51C-16635163149B}" name="EPV_SARAMPION6466" displayName="EPV_SARAMPION6466" ref="S9:Z10" totalsRowShown="0" headerRowDxfId="1571">
  <autoFilter ref="S9:Z10" xr:uid="{FB51FE38-31BD-46E0-A51C-16635163149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33DFECBA-6F9A-4AAF-BF9C-B88F13788F43}" name="CIE-10" dataCellStyle="20% - Énfasis4"/>
    <tableColumn id="2" xr3:uid="{CD1FA7BA-C634-42C3-ABA1-9F276F75EE55}" name="D1" dataDxfId="1570">
      <calculatedColumnFormula>IF($AK$2="(Todas)",COUNTIF(BASE[CODCIE10],EPV_SARAMPION6466[[#This Row],[CIE-10]]),COUNTIFS(BASE[Cod.Establecimiento],$AK$2,BASE[CODCIE10],EPV_SARAMPION6466[[#This Row],[CIE-10]]))</calculatedColumnFormula>
    </tableColumn>
    <tableColumn id="3" xr3:uid="{FE7E333A-A9FF-4F28-A6A7-051886212EA1}" name="D2" dataDxfId="1569">
      <calculatedColumnFormula>IF($AK$2="(Todas)",COUNTIF(BASE[CODCIE102],EPV_SARAMPION6466[[#This Row],[CIE-10]]),COUNTIFS(BASE[Cod.Establecimiento],$AK$2,BASE[CODCIE102],EPV_SARAMPION6466[[#This Row],[CIE-10]]))</calculatedColumnFormula>
    </tableColumn>
    <tableColumn id="4" xr3:uid="{3022C22B-BF05-49B5-A20C-70DE7952FA5E}" name="D3" dataDxfId="1568">
      <calculatedColumnFormula>IF($AK$2="(Todas)",COUNTIF(BASE[CODCIE104],EPV_SARAMPION6466[[#This Row],[CIE-10]]),COUNTIFS(BASE[Cod.Establecimiento],$AK$2,BASE[CODCIE104],EPV_SARAMPION6466[[#This Row],[CIE-10]]))</calculatedColumnFormula>
    </tableColumn>
    <tableColumn id="5" xr3:uid="{543E2605-D224-42C2-8EF8-D775B9DC461A}" name="D4" dataDxfId="1567">
      <calculatedColumnFormula>IF($AK$2="(Todas)",COUNTIF(BASE[CODCIE106],EPV_SARAMPION6466[[#This Row],[CIE-10]]),COUNTIFS(BASE[Cod.Establecimiento],$AK$2,BASE[CODCIE106],EPV_SARAMPION6466[[#This Row],[CIE-10]]))</calculatedColumnFormula>
    </tableColumn>
    <tableColumn id="6" xr3:uid="{75C89E45-E514-444A-AAD5-DA5DA9D64BEF}" name="D5" dataDxfId="1566">
      <calculatedColumnFormula>IF($AK$2="(Todas)",COUNTIF(BASE[CODCIE108],EPV_SARAMPION6466[[#This Row],[CIE-10]]),COUNTIFS(BASE[Cod.Establecimiento],$AK$2,BASE[CODCIE108],EPV_SARAMPION6466[[#This Row],[CIE-10]]))</calculatedColumnFormula>
    </tableColumn>
    <tableColumn id="7" xr3:uid="{17A2F05F-CEA5-4FC9-AD06-4F7DC0B88B70}" name="D6" dataDxfId="1565">
      <calculatedColumnFormula>IF($AK$2="(Todas)",COUNTIF(BASE[CODCIE1010],EPV_SARAMPION6466[[#This Row],[CIE-10]]),COUNTIFS(BASE[Cod.Establecimiento],$AK$2,BASE[CODCIE1010],EPV_SARAMPION6466[[#This Row],[CIE-10]]))</calculatedColumnFormula>
    </tableColumn>
    <tableColumn id="8" xr3:uid="{4EA3E4D5-441A-40A5-B29F-8C24BF7F8248}" name="TOT" dataDxfId="1564" dataCellStyle="40% - Énfasis6">
      <calculatedColumnFormula>SUM(EPV_SARAMPION6466[[#This Row],[D1]:[D6]])</calculatedColumnFormula>
    </tableColumn>
  </tableColumns>
  <tableStyleInfo name="TableStyleLight1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5EF3DCEA-75AA-41B2-8BB9-90DB4BCD519F}" name="EPV_SARAMPION646667" displayName="EPV_SARAMPION646667" ref="AB9:AI10" totalsRowShown="0" headerRowDxfId="1563">
  <autoFilter ref="AB9:AI10" xr:uid="{5EF3DCEA-75AA-41B2-8BB9-90DB4BCD519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8868B14-8EDE-451D-BE9B-A2F4DB5A9663}" name="CIE-10" dataCellStyle="20% - Énfasis4"/>
    <tableColumn id="2" xr3:uid="{3CD560C2-2E2E-4CA7-88CB-7A037103725C}" name="D1" dataDxfId="1562">
      <calculatedColumnFormula>IF($AK$2="(Todas)",COUNTIF(BASE[CODCIE10],EPV_SARAMPION646667[[#This Row],[CIE-10]]),COUNTIFS(BASE[Cod.Establecimiento],$AK$2,BASE[CODCIE10],EPV_SARAMPION646667[[#This Row],[CIE-10]]))</calculatedColumnFormula>
    </tableColumn>
    <tableColumn id="3" xr3:uid="{F89B7E4B-113C-4775-BEAD-E0FE100F7200}" name="D2" dataDxfId="1561">
      <calculatedColumnFormula>IF($AK$2="(Todas)",COUNTIF(BASE[CODCIE102],EPV_SARAMPION646667[[#This Row],[CIE-10]]),COUNTIFS(BASE[Cod.Establecimiento],$AK$2,BASE[CODCIE102],EPV_SARAMPION646667[[#This Row],[CIE-10]]))</calculatedColumnFormula>
    </tableColumn>
    <tableColumn id="4" xr3:uid="{0B8685B8-E5ED-40FE-A0D8-7CB794D7A078}" name="D3" dataDxfId="1560">
      <calculatedColumnFormula>IF($AK$2="(Todas)",COUNTIF(BASE[CODCIE104],EPV_SARAMPION646667[[#This Row],[CIE-10]]),COUNTIFS(BASE[Cod.Establecimiento],$AK$2,BASE[CODCIE104],EPV_SARAMPION646667[[#This Row],[CIE-10]]))</calculatedColumnFormula>
    </tableColumn>
    <tableColumn id="5" xr3:uid="{17EFC107-BDC8-487D-B9E6-4082F7959AD3}" name="D4" dataDxfId="1559">
      <calculatedColumnFormula>IF($AK$2="(Todas)",COUNTIF(BASE[CODCIE106],EPV_SARAMPION646667[[#This Row],[CIE-10]]),COUNTIFS(BASE[Cod.Establecimiento],$AK$2,BASE[CODCIE106],EPV_SARAMPION646667[[#This Row],[CIE-10]]))</calculatedColumnFormula>
    </tableColumn>
    <tableColumn id="6" xr3:uid="{99E39ECA-C830-4668-BA00-BEFC89591BEC}" name="D5" dataDxfId="1558">
      <calculatedColumnFormula>IF($AK$2="(Todas)",COUNTIF(BASE[CODCIE108],EPV_SARAMPION646667[[#This Row],[CIE-10]]),COUNTIFS(BASE[Cod.Establecimiento],$AK$2,BASE[CODCIE108],EPV_SARAMPION646667[[#This Row],[CIE-10]]))</calculatedColumnFormula>
    </tableColumn>
    <tableColumn id="7" xr3:uid="{FF5746C8-CAA9-443E-9567-6F23C925B8CB}" name="D6" dataDxfId="1557">
      <calculatedColumnFormula>IF($AK$2="(Todas)",COUNTIF(BASE[CODCIE1010],EPV_SARAMPION646667[[#This Row],[CIE-10]]),COUNTIFS(BASE[Cod.Establecimiento],$AK$2,BASE[CODCIE1010],EPV_SARAMPION646667[[#This Row],[CIE-10]]))</calculatedColumnFormula>
    </tableColumn>
    <tableColumn id="8" xr3:uid="{82C40B3E-2A87-4583-B3E7-802611DF6167}" name="TOT" dataDxfId="1556" dataCellStyle="40% - Énfasis6">
      <calculatedColumnFormula>SUM(EPV_SARAMPION646667[[#This Row],[D1]:[D6]])</calculatedColumnFormula>
    </tableColumn>
  </tableColumns>
  <tableStyleInfo name="TableStyleLight1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1FAFF953-2103-4B3F-AF79-FCD4B91A9CE8}" name="EPV_SARAMPION646669" displayName="EPV_SARAMPION646669" ref="J14:Q15" totalsRowShown="0" headerRowDxfId="1555">
  <autoFilter ref="J14:Q15" xr:uid="{1FAFF953-2103-4B3F-AF79-FCD4B91A9CE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6DF1C762-E4F3-40EB-9D31-8C90AEB5C55E}" name="CIE-10" dataCellStyle="20% - Énfasis4"/>
    <tableColumn id="2" xr3:uid="{8AC04638-9889-42A1-B20B-EEA3586418E8}" name="D1" dataDxfId="1554">
      <calculatedColumnFormula>IF($AK$2="(Todas)",COUNTIF(BASE[CODCIE10],EPV_SARAMPION646669[[#This Row],[CIE-10]]),COUNTIFS(BASE[Cod.Establecimiento],$AK$2,BASE[CODCIE10],EPV_SARAMPION646669[[#This Row],[CIE-10]]))</calculatedColumnFormula>
    </tableColumn>
    <tableColumn id="3" xr3:uid="{0C78112E-3BDC-41B2-90E6-A4DC00C6E05B}" name="D2" dataDxfId="1553">
      <calculatedColumnFormula>IF($AK$2="(Todas)",COUNTIF(BASE[CODCIE102],EPV_SARAMPION646669[[#This Row],[CIE-10]]),COUNTIFS(BASE[Cod.Establecimiento],$AK$2,BASE[CODCIE102],EPV_SARAMPION646669[[#This Row],[CIE-10]]))</calculatedColumnFormula>
    </tableColumn>
    <tableColumn id="4" xr3:uid="{00CA6C97-5695-430F-81B7-329C758C0622}" name="D3" dataDxfId="1552">
      <calculatedColumnFormula>IF($AK$2="(Todas)",COUNTIF(BASE[CODCIE104],EPV_SARAMPION646669[[#This Row],[CIE-10]]),COUNTIFS(BASE[Cod.Establecimiento],$AK$2,BASE[CODCIE104],EPV_SARAMPION646669[[#This Row],[CIE-10]]))</calculatedColumnFormula>
    </tableColumn>
    <tableColumn id="5" xr3:uid="{0B22FB28-4C00-4BF8-BEBB-70570CB8EA5E}" name="D4" dataDxfId="1551">
      <calculatedColumnFormula>IF($AK$2="(Todas)",COUNTIF(BASE[CODCIE106],EPV_SARAMPION646669[[#This Row],[CIE-10]]),COUNTIFS(BASE[Cod.Establecimiento],$AK$2,BASE[CODCIE106],EPV_SARAMPION646669[[#This Row],[CIE-10]]))</calculatedColumnFormula>
    </tableColumn>
    <tableColumn id="6" xr3:uid="{7202E959-8BDA-404A-AC53-6EEDDB27808C}" name="D5" dataDxfId="1550">
      <calculatedColumnFormula>IF($AK$2="(Todas)",COUNTIF(BASE[CODCIE108],EPV_SARAMPION646669[[#This Row],[CIE-10]]),COUNTIFS(BASE[Cod.Establecimiento],$AK$2,BASE[CODCIE108],EPV_SARAMPION646669[[#This Row],[CIE-10]]))</calculatedColumnFormula>
    </tableColumn>
    <tableColumn id="7" xr3:uid="{BEC6A924-3CF0-4C9B-9FE2-F741DCEF9D66}" name="D6" dataDxfId="1549">
      <calculatedColumnFormula>IF($AK$2="(Todas)",COUNTIF(BASE[CODCIE1010],EPV_SARAMPION646669[[#This Row],[CIE-10]]),COUNTIFS(BASE[Cod.Establecimiento],$AK$2,BASE[CODCIE1010],EPV_SARAMPION646669[[#This Row],[CIE-10]]))</calculatedColumnFormula>
    </tableColumn>
    <tableColumn id="8" xr3:uid="{6974CF82-F9BC-4726-BC74-C5EC564A534D}" name="TOT" dataDxfId="1548" dataCellStyle="40% - Énfasis6">
      <calculatedColumnFormula>SUM(EPV_SARAMPION646669[[#This Row],[D1]:[D6]])</calculatedColumnFormula>
    </tableColumn>
  </tableColumns>
  <tableStyleInfo name="TableStyleLight1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A16E9F08-F8A6-4B73-901E-2CFF79F7173B}" name="EPV_SARAMPION646670" displayName="EPV_SARAMPION646670" ref="S14:Z15" totalsRowShown="0" headerRowDxfId="1547">
  <autoFilter ref="S14:Z15" xr:uid="{A16E9F08-F8A6-4B73-901E-2CFF79F7173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C79FE31-3122-4EE1-88FA-705D7D7C02D2}" name="CIE-10" dataCellStyle="20% - Énfasis4"/>
    <tableColumn id="2" xr3:uid="{9C078C2D-2B83-4592-A7E4-46922716F5F4}" name="D1" dataDxfId="1546">
      <calculatedColumnFormula>IF($AK$2="(Todas)",COUNTIF(BASE[CODCIE10],EPV_SARAMPION646670[[#This Row],[CIE-10]]),COUNTIFS(BASE[Cod.Establecimiento],$AK$2,BASE[CODCIE10],EPV_SARAMPION646670[[#This Row],[CIE-10]]))</calculatedColumnFormula>
    </tableColumn>
    <tableColumn id="3" xr3:uid="{C1ECA015-6545-4006-9960-5093F5A09692}" name="D2" dataDxfId="1545">
      <calculatedColumnFormula>IF($AK$2="(Todas)",COUNTIF(BASE[CODCIE102],EPV_SARAMPION646670[[#This Row],[CIE-10]]),COUNTIFS(BASE[Cod.Establecimiento],$AK$2,BASE[CODCIE102],EPV_SARAMPION646670[[#This Row],[CIE-10]]))</calculatedColumnFormula>
    </tableColumn>
    <tableColumn id="4" xr3:uid="{426B7827-307C-4F3F-A27A-023304D88E6A}" name="D3" dataDxfId="1544">
      <calculatedColumnFormula>IF($AK$2="(Todas)",COUNTIF(BASE[CODCIE104],EPV_SARAMPION646670[[#This Row],[CIE-10]]),COUNTIFS(BASE[Cod.Establecimiento],$AK$2,BASE[CODCIE104],EPV_SARAMPION646670[[#This Row],[CIE-10]]))</calculatedColumnFormula>
    </tableColumn>
    <tableColumn id="5" xr3:uid="{5CB74C07-C4F5-4FD1-8155-C05EE96BACAE}" name="D4" dataDxfId="1543">
      <calculatedColumnFormula>IF($AK$2="(Todas)",COUNTIF(BASE[CODCIE106],EPV_SARAMPION646670[[#This Row],[CIE-10]]),COUNTIFS(BASE[Cod.Establecimiento],$AK$2,BASE[CODCIE106],EPV_SARAMPION646670[[#This Row],[CIE-10]]))</calculatedColumnFormula>
    </tableColumn>
    <tableColumn id="6" xr3:uid="{A50B0798-32D6-4CD0-9B9D-71A2564F1B80}" name="D5" dataDxfId="1542">
      <calculatedColumnFormula>IF($AK$2="(Todas)",COUNTIF(BASE[CODCIE108],EPV_SARAMPION646670[[#This Row],[CIE-10]]),COUNTIFS(BASE[Cod.Establecimiento],$AK$2,BASE[CODCIE108],EPV_SARAMPION646670[[#This Row],[CIE-10]]))</calculatedColumnFormula>
    </tableColumn>
    <tableColumn id="7" xr3:uid="{389C4DB1-CD8B-4D61-BEEF-C132D864E480}" name="D6" dataDxfId="1541">
      <calculatedColumnFormula>IF($AK$2="(Todas)",COUNTIF(BASE[CODCIE1010],EPV_SARAMPION646670[[#This Row],[CIE-10]]),COUNTIFS(BASE[Cod.Establecimiento],$AK$2,BASE[CODCIE1010],EPV_SARAMPION646670[[#This Row],[CIE-10]]))</calculatedColumnFormula>
    </tableColumn>
    <tableColumn id="8" xr3:uid="{3C81530E-5BCA-4916-90BB-EBC8EEEAF548}" name="TOT" dataDxfId="1540" dataCellStyle="40% - Énfasis6">
      <calculatedColumnFormula>SUM(EPV_SARAMPION646670[[#This Row],[D1]:[D6]])</calculatedColumnFormula>
    </tableColumn>
  </tableColumns>
  <tableStyleInfo name="TableStyleLight1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F671C85D-95B4-41BF-8D46-94752F4C62D7}" name="EPV_SARAMPION646671" displayName="EPV_SARAMPION646671" ref="AB14:AI15" totalsRowShown="0" headerRowDxfId="1539">
  <autoFilter ref="AB14:AI15" xr:uid="{F671C85D-95B4-41BF-8D46-94752F4C62D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BC1AEB40-0E87-463C-9970-1C9F5DB24A7F}" name="CIE-10" dataCellStyle="20% - Énfasis4"/>
    <tableColumn id="2" xr3:uid="{F669145D-A2F8-4E24-994B-371A6709D035}" name="D1" dataDxfId="1538">
      <calculatedColumnFormula>IF($AK$2="(Todas)",COUNTIF(BASE[CODCIE10],EPV_SARAMPION646671[[#This Row],[CIE-10]]),COUNTIFS(BASE[Cod.Establecimiento],$AK$2,BASE[CODCIE10],EPV_SARAMPION646671[[#This Row],[CIE-10]]))</calculatedColumnFormula>
    </tableColumn>
    <tableColumn id="3" xr3:uid="{C54985AB-D894-4BFE-BEB5-6701AB4D366B}" name="D2" dataDxfId="1537">
      <calculatedColumnFormula>IF($AK$2="(Todas)",COUNTIF(BASE[CODCIE102],EPV_SARAMPION646671[[#This Row],[CIE-10]]),COUNTIFS(BASE[Cod.Establecimiento],$AK$2,BASE[CODCIE102],EPV_SARAMPION646671[[#This Row],[CIE-10]]))</calculatedColumnFormula>
    </tableColumn>
    <tableColumn id="4" xr3:uid="{1459E6F2-BBFA-477C-9ACD-7ABBDD09662E}" name="D3" dataDxfId="1536">
      <calculatedColumnFormula>IF($AK$2="(Todas)",COUNTIF(BASE[CODCIE104],EPV_SARAMPION646671[[#This Row],[CIE-10]]),COUNTIFS(BASE[Cod.Establecimiento],$AK$2,BASE[CODCIE104],EPV_SARAMPION646671[[#This Row],[CIE-10]]))</calculatedColumnFormula>
    </tableColumn>
    <tableColumn id="5" xr3:uid="{58658A07-0FCC-4F90-A9F7-2E01BD7E9978}" name="D4" dataDxfId="1535">
      <calculatedColumnFormula>IF($AK$2="(Todas)",COUNTIF(BASE[CODCIE106],EPV_SARAMPION646671[[#This Row],[CIE-10]]),COUNTIFS(BASE[Cod.Establecimiento],$AK$2,BASE[CODCIE106],EPV_SARAMPION646671[[#This Row],[CIE-10]]))</calculatedColumnFormula>
    </tableColumn>
    <tableColumn id="6" xr3:uid="{D99D62FD-2EF4-470F-A8E5-780FC528B840}" name="D5" dataDxfId="1534">
      <calculatedColumnFormula>IF($AK$2="(Todas)",COUNTIF(BASE[CODCIE108],EPV_SARAMPION646671[[#This Row],[CIE-10]]),COUNTIFS(BASE[Cod.Establecimiento],$AK$2,BASE[CODCIE108],EPV_SARAMPION646671[[#This Row],[CIE-10]]))</calculatedColumnFormula>
    </tableColumn>
    <tableColumn id="7" xr3:uid="{DCC8BD2B-AD2A-46E9-9482-C3DB50A01135}" name="D6" dataDxfId="1533">
      <calculatedColumnFormula>IF($AK$2="(Todas)",COUNTIF(BASE[CODCIE1010],EPV_SARAMPION646671[[#This Row],[CIE-10]]),COUNTIFS(BASE[Cod.Establecimiento],$AK$2,BASE[CODCIE1010],EPV_SARAMPION646671[[#This Row],[CIE-10]]))</calculatedColumnFormula>
    </tableColumn>
    <tableColumn id="8" xr3:uid="{322F59E6-AD54-4DF1-B249-907C52F7EC3C}" name="TOT" dataDxfId="1532" dataCellStyle="40% - Énfasis6">
      <calculatedColumnFormula>SUM(EPV_SARAMPION646671[[#This Row],[D1]:[D6]])</calculatedColumnFormula>
    </tableColumn>
  </tableColumns>
  <tableStyleInfo name="TableStyleLight1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181B938C-8099-483F-9E6E-D467972AC99D}" name="EPV_SARAMPION64666972" displayName="EPV_SARAMPION64666972" ref="J19:Q20" totalsRowShown="0" headerRowDxfId="1531">
  <autoFilter ref="J19:Q20" xr:uid="{181B938C-8099-483F-9E6E-D467972AC99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65AA5B8F-4C76-4019-B93B-6FACA3C236FD}" name="CIE-10" dataCellStyle="20% - Énfasis4"/>
    <tableColumn id="2" xr3:uid="{406A6D3C-2575-44BB-8C9E-7B0A6A96CC80}" name="D1" dataDxfId="1530">
      <calculatedColumnFormula>IF($AK$2="(Todas)",COUNTIF(BASE[CODCIE10],EPV_SARAMPION64666972[[#This Row],[CIE-10]]),COUNTIFS(BASE[Cod.Establecimiento],$AK$2,BASE[CODCIE10],EPV_SARAMPION64666972[[#This Row],[CIE-10]]))</calculatedColumnFormula>
    </tableColumn>
    <tableColumn id="3" xr3:uid="{37D83C66-F006-4A09-BB66-C7DE19A2064E}" name="D2" dataDxfId="1529">
      <calculatedColumnFormula>IF($AK$2="(Todas)",COUNTIF(BASE[CODCIE102],EPV_SARAMPION64666972[[#This Row],[CIE-10]]),COUNTIFS(BASE[Cod.Establecimiento],$AK$2,BASE[CODCIE102],EPV_SARAMPION64666972[[#This Row],[CIE-10]]))</calculatedColumnFormula>
    </tableColumn>
    <tableColumn id="4" xr3:uid="{04F51DF8-B531-47C0-BC53-EB20DEB31D54}" name="D3" dataDxfId="1528">
      <calculatedColumnFormula>IF($AK$2="(Todas)",COUNTIF(BASE[CODCIE104],EPV_SARAMPION64666972[[#This Row],[CIE-10]]),COUNTIFS(BASE[Cod.Establecimiento],$AK$2,BASE[CODCIE104],EPV_SARAMPION64666972[[#This Row],[CIE-10]]))</calculatedColumnFormula>
    </tableColumn>
    <tableColumn id="5" xr3:uid="{0D15CFF3-E2DA-41BD-8DE1-EB897435197E}" name="D4" dataDxfId="1527">
      <calculatedColumnFormula>IF($AK$2="(Todas)",COUNTIF(BASE[CODCIE106],EPV_SARAMPION64666972[[#This Row],[CIE-10]]),COUNTIFS(BASE[Cod.Establecimiento],$AK$2,BASE[CODCIE106],EPV_SARAMPION64666972[[#This Row],[CIE-10]]))</calculatedColumnFormula>
    </tableColumn>
    <tableColumn id="6" xr3:uid="{A3F864DA-EE68-42B3-93FD-06562AC14A4D}" name="D5" dataDxfId="1526">
      <calculatedColumnFormula>IF($AK$2="(Todas)",COUNTIF(BASE[CODCIE108],EPV_SARAMPION64666972[[#This Row],[CIE-10]]),COUNTIFS(BASE[Cod.Establecimiento],$AK$2,BASE[CODCIE108],EPV_SARAMPION64666972[[#This Row],[CIE-10]]))</calculatedColumnFormula>
    </tableColumn>
    <tableColumn id="7" xr3:uid="{4207AF59-D9E5-449C-B992-3837606E84AC}" name="D6" dataDxfId="1525">
      <calculatedColumnFormula>IF($AK$2="(Todas)",COUNTIF(BASE[CODCIE1010],EPV_SARAMPION64666972[[#This Row],[CIE-10]]),COUNTIFS(BASE[Cod.Establecimiento],$AK$2,BASE[CODCIE1010],EPV_SARAMPION64666972[[#This Row],[CIE-10]]))</calculatedColumnFormula>
    </tableColumn>
    <tableColumn id="8" xr3:uid="{F36CEEC2-4115-4EDC-AD47-90B14083F215}" name="TOT" dataDxfId="1524" dataCellStyle="40% - Énfasis6">
      <calculatedColumnFormula>SUM(EPV_SARAMPION64666972[[#This Row],[D1]:[D6]])</calculatedColumnFormula>
    </tableColumn>
  </tableColumns>
  <tableStyleInfo name="TableStyleLight1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C864736C-5A8F-499B-A5C5-018D3B4FF9DC}" name="EPV_SARAMPION6466697273" displayName="EPV_SARAMPION6466697273" ref="J24:Q25" totalsRowShown="0" headerRowDxfId="1523">
  <autoFilter ref="J24:Q25" xr:uid="{C864736C-5A8F-499B-A5C5-018D3B4FF9D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B258DA3E-D316-47E1-8C8C-A2DB787C723C}" name="CIE-10" dataCellStyle="20% - Énfasis4"/>
    <tableColumn id="2" xr3:uid="{B8972D20-F918-429E-BB6C-E482AAEBCC0A}" name="D1" dataDxfId="1522">
      <calculatedColumnFormula>IF($AK$2="(Todas)",COUNTIF(BASE[CODCIE10],EPV_SARAMPION6466697273[[#This Row],[CIE-10]]),COUNTIFS(BASE[Cod.Establecimiento],$AK$2,BASE[CODCIE10],EPV_SARAMPION6466697273[[#This Row],[CIE-10]]))</calculatedColumnFormula>
    </tableColumn>
    <tableColumn id="3" xr3:uid="{34B24403-B009-4166-92D0-43A5ADE5404B}" name="D2" dataDxfId="1521">
      <calculatedColumnFormula>IF($AK$2="(Todas)",COUNTIF(BASE[CODCIE102],EPV_SARAMPION6466697273[[#This Row],[CIE-10]]),COUNTIFS(BASE[Cod.Establecimiento],$AK$2,BASE[CODCIE102],EPV_SARAMPION6466697273[[#This Row],[CIE-10]]))</calculatedColumnFormula>
    </tableColumn>
    <tableColumn id="4" xr3:uid="{2632F2DC-CE96-43C8-B4D7-A7FA45483CD3}" name="D3" dataDxfId="1520">
      <calculatedColumnFormula>IF($AK$2="(Todas)",COUNTIF(BASE[CODCIE104],EPV_SARAMPION6466697273[[#This Row],[CIE-10]]),COUNTIFS(BASE[Cod.Establecimiento],$AK$2,BASE[CODCIE104],EPV_SARAMPION6466697273[[#This Row],[CIE-10]]))</calculatedColumnFormula>
    </tableColumn>
    <tableColumn id="5" xr3:uid="{2D506845-130B-4BB9-85E6-70E4EA2CCBB0}" name="D4" dataDxfId="1519">
      <calculatedColumnFormula>IF($AK$2="(Todas)",COUNTIF(BASE[CODCIE106],EPV_SARAMPION6466697273[[#This Row],[CIE-10]]),COUNTIFS(BASE[Cod.Establecimiento],$AK$2,BASE[CODCIE106],EPV_SARAMPION6466697273[[#This Row],[CIE-10]]))</calculatedColumnFormula>
    </tableColumn>
    <tableColumn id="6" xr3:uid="{6E423950-1824-4C65-84D9-6C32D669A6E1}" name="D5" dataDxfId="1518">
      <calculatedColumnFormula>IF($AK$2="(Todas)",COUNTIF(BASE[CODCIE108],EPV_SARAMPION6466697273[[#This Row],[CIE-10]]),COUNTIFS(BASE[Cod.Establecimiento],$AK$2,BASE[CODCIE108],EPV_SARAMPION6466697273[[#This Row],[CIE-10]]))</calculatedColumnFormula>
    </tableColumn>
    <tableColumn id="7" xr3:uid="{4AFC3E79-B7BB-4B6B-896D-5DF53ADFC323}" name="D6" dataDxfId="1517">
      <calculatedColumnFormula>IF($AK$2="(Todas)",COUNTIF(BASE[CODCIE1010],EPV_SARAMPION6466697273[[#This Row],[CIE-10]]),COUNTIFS(BASE[Cod.Establecimiento],$AK$2,BASE[CODCIE1010],EPV_SARAMPION6466697273[[#This Row],[CIE-10]]))</calculatedColumnFormula>
    </tableColumn>
    <tableColumn id="8" xr3:uid="{5C38998B-EC7E-4236-B9ED-1DBA6824CA08}" name="TOT" dataDxfId="1516" dataCellStyle="40% - Énfasis6">
      <calculatedColumnFormula>SUM(EPV_SARAMPION6466697273[[#This Row],[D1]:[D6]])</calculatedColumnFormula>
    </tableColumn>
  </tableColumns>
  <tableStyleInfo name="TableStyleLight1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F1E3E00F-9D92-45A7-BC8E-579ADFB6B738}" name="EPV_SARAMPION6466697274" displayName="EPV_SARAMPION6466697274" ref="S19:Z20" totalsRowShown="0" headerRowDxfId="1515">
  <autoFilter ref="S19:Z20" xr:uid="{F1E3E00F-9D92-45A7-BC8E-579ADFB6B73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AF7905EF-BC59-442B-9E04-EEC2C1D2AFCE}" name="CIE-10" dataCellStyle="20% - Énfasis4"/>
    <tableColumn id="2" xr3:uid="{57CE4816-1BBD-4231-B89D-71162E07F5B1}" name="D1" dataDxfId="1514">
      <calculatedColumnFormula>IF($AK$2="(Todas)",COUNTIF(BASE[CODCIE10],EPV_SARAMPION6466697274[[#This Row],[CIE-10]]),COUNTIFS(BASE[Cod.Establecimiento],$AK$2,BASE[CODCIE10],EPV_SARAMPION6466697274[[#This Row],[CIE-10]]))</calculatedColumnFormula>
    </tableColumn>
    <tableColumn id="3" xr3:uid="{C69E5B2D-2D2E-4D9E-91AD-36FA303705C6}" name="D2" dataDxfId="1513">
      <calculatedColumnFormula>IF($AK$2="(Todas)",COUNTIF(BASE[CODCIE102],EPV_SARAMPION6466697274[[#This Row],[CIE-10]]),COUNTIFS(BASE[Cod.Establecimiento],$AK$2,BASE[CODCIE102],EPV_SARAMPION6466697274[[#This Row],[CIE-10]]))</calculatedColumnFormula>
    </tableColumn>
    <tableColumn id="4" xr3:uid="{F6E698BB-2D08-4654-A8C6-E4DA07418F80}" name="D3" dataDxfId="1512">
      <calculatedColumnFormula>IF($AK$2="(Todas)",COUNTIF(BASE[CODCIE104],EPV_SARAMPION6466697274[[#This Row],[CIE-10]]),COUNTIFS(BASE[Cod.Establecimiento],$AK$2,BASE[CODCIE104],EPV_SARAMPION6466697274[[#This Row],[CIE-10]]))</calculatedColumnFormula>
    </tableColumn>
    <tableColumn id="5" xr3:uid="{726146E1-5FF8-4BF2-BEF3-AF3778C8FD04}" name="D4" dataDxfId="1511">
      <calculatedColumnFormula>IF($AK$2="(Todas)",COUNTIF(BASE[CODCIE106],EPV_SARAMPION6466697274[[#This Row],[CIE-10]]),COUNTIFS(BASE[Cod.Establecimiento],$AK$2,BASE[CODCIE106],EPV_SARAMPION6466697274[[#This Row],[CIE-10]]))</calculatedColumnFormula>
    </tableColumn>
    <tableColumn id="6" xr3:uid="{0A26477A-BE52-47D2-BAA0-D0FAD12EB52C}" name="D5" dataDxfId="1510">
      <calculatedColumnFormula>IF($AK$2="(Todas)",COUNTIF(BASE[CODCIE108],EPV_SARAMPION6466697274[[#This Row],[CIE-10]]),COUNTIFS(BASE[Cod.Establecimiento],$AK$2,BASE[CODCIE108],EPV_SARAMPION6466697274[[#This Row],[CIE-10]]))</calculatedColumnFormula>
    </tableColumn>
    <tableColumn id="7" xr3:uid="{E104BDC5-A829-4F50-97CA-AA7D6668BA68}" name="D6" dataDxfId="1509">
      <calculatedColumnFormula>IF($AK$2="(Todas)",COUNTIF(BASE[CODCIE1010],EPV_SARAMPION6466697274[[#This Row],[CIE-10]]),COUNTIFS(BASE[Cod.Establecimiento],$AK$2,BASE[CODCIE1010],EPV_SARAMPION6466697274[[#This Row],[CIE-10]]))</calculatedColumnFormula>
    </tableColumn>
    <tableColumn id="8" xr3:uid="{1B76F0B7-F775-4DF4-9C36-8D0259DC56AB}" name="TOT" dataDxfId="1508" dataCellStyle="40% - Énfasis6">
      <calculatedColumnFormula>SUM(EPV_SARAMPION6466697274[[#This Row],[D1]:[D6]])</calculatedColumnFormula>
    </tableColumn>
  </tableColumns>
  <tableStyleInfo name="TableStyleLight1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DEF28F0B-AAF4-4758-AFF5-11ACC9CA1980}" name="EPV_SARAMPION646669727475" displayName="EPV_SARAMPION646669727475" ref="AB19:AI20" totalsRowShown="0" headerRowDxfId="1507">
  <autoFilter ref="AB19:AI20" xr:uid="{DEF28F0B-AAF4-4758-AFF5-11ACC9CA198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78F0AAD0-4FA4-4982-8BF3-798224A2650A}" name="CIE-10" dataCellStyle="20% - Énfasis4"/>
    <tableColumn id="2" xr3:uid="{57A237A9-A18A-410B-BA69-D77FD613042F}" name="D1" dataDxfId="1506">
      <calculatedColumnFormula>IF($AK$2="(Todas)",COUNTIF(BASE[CODCIE10],EPV_SARAMPION646669727475[[#This Row],[CIE-10]]),COUNTIFS(BASE[Cod.Establecimiento],$AK$2,BASE[CODCIE10],EPV_SARAMPION646669727475[[#This Row],[CIE-10]]))</calculatedColumnFormula>
    </tableColumn>
    <tableColumn id="3" xr3:uid="{07412771-01CE-4DDB-8A32-70468F4CA06C}" name="D2" dataDxfId="1505">
      <calculatedColumnFormula>IF($AK$2="(Todas)",COUNTIF(BASE[CODCIE102],EPV_SARAMPION646669727475[[#This Row],[CIE-10]]),COUNTIFS(BASE[Cod.Establecimiento],$AK$2,BASE[CODCIE102],EPV_SARAMPION646669727475[[#This Row],[CIE-10]]))</calculatedColumnFormula>
    </tableColumn>
    <tableColumn id="4" xr3:uid="{E93D36AA-10F7-4BE8-B68C-1D065416A621}" name="D3" dataDxfId="1504">
      <calculatedColumnFormula>IF($AK$2="(Todas)",COUNTIF(BASE[CODCIE104],EPV_SARAMPION646669727475[[#This Row],[CIE-10]]),COUNTIFS(BASE[Cod.Establecimiento],$AK$2,BASE[CODCIE104],EPV_SARAMPION646669727475[[#This Row],[CIE-10]]))</calculatedColumnFormula>
    </tableColumn>
    <tableColumn id="5" xr3:uid="{90B4924E-CABD-4064-9B16-CC0F58256160}" name="D4" dataDxfId="1503">
      <calculatedColumnFormula>IF($AK$2="(Todas)",COUNTIF(BASE[CODCIE106],EPV_SARAMPION646669727475[[#This Row],[CIE-10]]),COUNTIFS(BASE[Cod.Establecimiento],$AK$2,BASE[CODCIE106],EPV_SARAMPION646669727475[[#This Row],[CIE-10]]))</calculatedColumnFormula>
    </tableColumn>
    <tableColumn id="6" xr3:uid="{5137362F-8375-4988-94F7-39CB54DC50BC}" name="D5" dataDxfId="1502">
      <calculatedColumnFormula>IF($AK$2="(Todas)",COUNTIF(BASE[CODCIE108],EPV_SARAMPION646669727475[[#This Row],[CIE-10]]),COUNTIFS(BASE[Cod.Establecimiento],$AK$2,BASE[CODCIE108],EPV_SARAMPION646669727475[[#This Row],[CIE-10]]))</calculatedColumnFormula>
    </tableColumn>
    <tableColumn id="7" xr3:uid="{FDBCF1E9-01BE-4522-8627-2881D99B5748}" name="D6" dataDxfId="1501">
      <calculatedColumnFormula>IF($AK$2="(Todas)",COUNTIF(BASE[CODCIE1010],EPV_SARAMPION646669727475[[#This Row],[CIE-10]]),COUNTIFS(BASE[Cod.Establecimiento],$AK$2,BASE[CODCIE1010],EPV_SARAMPION646669727475[[#This Row],[CIE-10]]))</calculatedColumnFormula>
    </tableColumn>
    <tableColumn id="8" xr3:uid="{A4716834-148B-4553-9328-1D12AFD1F9E2}" name="TOT" dataDxfId="1500" dataCellStyle="40% - Énfasis6">
      <calculatedColumnFormula>SUM(EPV_SARAMPION646669727475[[#This Row],[D1]:[D6]])</calculatedColumnFormula>
    </tableColumn>
  </tableColumns>
  <tableStyleInfo name="TableStyleLight1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080BE51F-FD1B-4089-B21D-BFE2B5D1AFF2}" name="EPV_SARAMPION646669727376" displayName="EPV_SARAMPION646669727376" ref="S24:Z27" totalsRowShown="0" headerRowDxfId="1499">
  <autoFilter ref="S24:Z27" xr:uid="{080BE51F-FD1B-4089-B21D-BFE2B5D1AFF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E8D30201-DE6B-4AE3-AF17-6DAE2AE72928}" name="CIE-10" dataCellStyle="20% - Énfasis4"/>
    <tableColumn id="2" xr3:uid="{4F9985FB-3662-4E35-872C-EEB11D3BB732}" name="D1" dataDxfId="1498">
      <calculatedColumnFormula>IF($AK$2="(Todas)",COUNTIF(BASE[CODCIE10],EPV_SARAMPION646669727376[[#This Row],[CIE-10]]),COUNTIFS(BASE[Cod.Establecimiento],$AK$2,BASE[CODCIE10],EPV_SARAMPION646669727376[[#This Row],[CIE-10]]))</calculatedColumnFormula>
    </tableColumn>
    <tableColumn id="3" xr3:uid="{44375EC3-3DC2-4C1B-A333-1E352F7D507E}" name="D2" dataDxfId="1497">
      <calculatedColumnFormula>IF($AK$2="(Todas)",COUNTIF(BASE[CODCIE102],EPV_SARAMPION646669727376[[#This Row],[CIE-10]]),COUNTIFS(BASE[Cod.Establecimiento],$AK$2,BASE[CODCIE102],EPV_SARAMPION646669727376[[#This Row],[CIE-10]]))</calculatedColumnFormula>
    </tableColumn>
    <tableColumn id="4" xr3:uid="{2D0C32A8-EC83-44CD-B6E8-EDB8466155E9}" name="D3" dataDxfId="1496">
      <calculatedColumnFormula>IF($AK$2="(Todas)",COUNTIF(BASE[CODCIE104],EPV_SARAMPION646669727376[[#This Row],[CIE-10]]),COUNTIFS(BASE[Cod.Establecimiento],$AK$2,BASE[CODCIE104],EPV_SARAMPION646669727376[[#This Row],[CIE-10]]))</calculatedColumnFormula>
    </tableColumn>
    <tableColumn id="5" xr3:uid="{E4B64A65-8020-49F4-98CD-C4CCA3EBF507}" name="D4" dataDxfId="1495">
      <calculatedColumnFormula>IF($AK$2="(Todas)",COUNTIF(BASE[CODCIE106],EPV_SARAMPION646669727376[[#This Row],[CIE-10]]),COUNTIFS(BASE[Cod.Establecimiento],$AK$2,BASE[CODCIE106],EPV_SARAMPION646669727376[[#This Row],[CIE-10]]))</calculatedColumnFormula>
    </tableColumn>
    <tableColumn id="6" xr3:uid="{6144EFFE-6C91-4F0B-ABB9-E35276688218}" name="D5" dataDxfId="1494">
      <calculatedColumnFormula>IF($AK$2="(Todas)",COUNTIF(BASE[CODCIE108],EPV_SARAMPION646669727376[[#This Row],[CIE-10]]),COUNTIFS(BASE[Cod.Establecimiento],$AK$2,BASE[CODCIE108],EPV_SARAMPION646669727376[[#This Row],[CIE-10]]))</calculatedColumnFormula>
    </tableColumn>
    <tableColumn id="7" xr3:uid="{CABEC90F-123C-43D0-B13A-C2C78847CAC4}" name="D6" dataDxfId="1493">
      <calculatedColumnFormula>IF($AK$2="(Todas)",COUNTIF(BASE[CODCIE1010],EPV_SARAMPION646669727376[[#This Row],[CIE-10]]),COUNTIFS(BASE[Cod.Establecimiento],$AK$2,BASE[CODCIE1010],EPV_SARAMPION646669727376[[#This Row],[CIE-10]]))</calculatedColumnFormula>
    </tableColumn>
    <tableColumn id="8" xr3:uid="{2D15FC29-F665-4C0F-8296-1B738ACBCDAC}" name="TOT" dataDxfId="1492" dataCellStyle="40% - Énfasis6">
      <calculatedColumnFormula>SUM(EPV_SARAMPION646669727376[[#This Row],[D1]:[D6]])</calculatedColumnFormula>
    </tableColumn>
  </tableColumns>
  <tableStyleInfo name="TableStyleLight1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AC59B77A-66F7-4B24-AE9A-E4784209A4CE}" name="EPV_SARAMPION64666972737677" displayName="EPV_SARAMPION64666972737677" ref="AB24:AI29" totalsRowShown="0" headerRowDxfId="1491">
  <autoFilter ref="AB24:AI29" xr:uid="{AC59B77A-66F7-4B24-AE9A-E4784209A4C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AD041B23-2751-4FA3-BF01-DFE003A97DAB}" name="CIE-10" dataCellStyle="20% - Énfasis4"/>
    <tableColumn id="2" xr3:uid="{2F8456AD-58AB-4C0D-AFEC-0C85740599C1}" name="D1" dataDxfId="1490">
      <calculatedColumnFormula>IF($AK$2="(Todas)",COUNTIF(BASE[CODCIE10],EPV_SARAMPION64666972737677[[#This Row],[CIE-10]]),COUNTIFS(BASE[Cod.Establecimiento],$AK$2,BASE[CODCIE10],EPV_SARAMPION64666972737677[[#This Row],[CIE-10]]))</calculatedColumnFormula>
    </tableColumn>
    <tableColumn id="3" xr3:uid="{62E8E614-4B8A-4A36-94B1-0FEBEE55A505}" name="D2" dataDxfId="1489">
      <calculatedColumnFormula>IF($AK$2="(Todas)",COUNTIF(BASE[CODCIE102],EPV_SARAMPION64666972737677[[#This Row],[CIE-10]]),COUNTIFS(BASE[Cod.Establecimiento],$AK$2,BASE[CODCIE102],EPV_SARAMPION64666972737677[[#This Row],[CIE-10]]))</calculatedColumnFormula>
    </tableColumn>
    <tableColumn id="4" xr3:uid="{F52413A9-2E13-4E65-8C86-FAE4400BBA16}" name="D3" dataDxfId="1488">
      <calculatedColumnFormula>IF($AK$2="(Todas)",COUNTIF(BASE[CODCIE104],EPV_SARAMPION64666972737677[[#This Row],[CIE-10]]),COUNTIFS(BASE[Cod.Establecimiento],$AK$2,BASE[CODCIE104],EPV_SARAMPION64666972737677[[#This Row],[CIE-10]]))</calculatedColumnFormula>
    </tableColumn>
    <tableColumn id="5" xr3:uid="{4D017478-9355-45FE-865C-00474C963773}" name="D4" dataDxfId="1487">
      <calculatedColumnFormula>IF($AK$2="(Todas)",COUNTIF(BASE[CODCIE106],EPV_SARAMPION64666972737677[[#This Row],[CIE-10]]),COUNTIFS(BASE[Cod.Establecimiento],$AK$2,BASE[CODCIE106],EPV_SARAMPION64666972737677[[#This Row],[CIE-10]]))</calculatedColumnFormula>
    </tableColumn>
    <tableColumn id="6" xr3:uid="{AE657896-49B9-4BAD-832A-680A6710811A}" name="D5" dataDxfId="1486">
      <calculatedColumnFormula>IF($AK$2="(Todas)",COUNTIF(BASE[CODCIE108],EPV_SARAMPION64666972737677[[#This Row],[CIE-10]]),COUNTIFS(BASE[Cod.Establecimiento],$AK$2,BASE[CODCIE108],EPV_SARAMPION64666972737677[[#This Row],[CIE-10]]))</calculatedColumnFormula>
    </tableColumn>
    <tableColumn id="7" xr3:uid="{DB9FC35B-9BD2-42BC-997F-4E0BD1313E55}" name="D6" dataDxfId="1485">
      <calculatedColumnFormula>IF($AK$2="(Todas)",COUNTIF(BASE[CODCIE1010],EPV_SARAMPION64666972737677[[#This Row],[CIE-10]]),COUNTIFS(BASE[Cod.Establecimiento],$AK$2,BASE[CODCIE1010],EPV_SARAMPION64666972737677[[#This Row],[CIE-10]]))</calculatedColumnFormula>
    </tableColumn>
    <tableColumn id="8" xr3:uid="{FF950028-BB65-4236-9A19-7DEC52AA5F87}" name="TOT" dataDxfId="1484" dataCellStyle="40% - Énfasis6">
      <calculatedColumnFormula>SUM(EPV_SARAMPION64666972737677[[#This Row],[D1]:[D6]])</calculatedColumnFormula>
    </tableColumn>
  </tableColumns>
  <tableStyleInfo name="TableStyleLight1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CD8B7555-CC99-4ECD-81CB-580FEA3241C4}" name="EPV_SARAMPION646669727378" displayName="EPV_SARAMPION646669727378" ref="J29:Q30" totalsRowShown="0" headerRowDxfId="1483">
  <autoFilter ref="J29:Q30" xr:uid="{CD8B7555-CC99-4ECD-81CB-580FEA3241C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B1E65A6C-2FF6-4848-86F7-F66B19031379}" name="CIE-10" dataCellStyle="20% - Énfasis4"/>
    <tableColumn id="2" xr3:uid="{AB2CB325-B267-4818-9FE1-5F85DA7A538E}" name="D1" dataDxfId="1482">
      <calculatedColumnFormula>IF($AK$2="(Todas)",COUNTIF(BASE[CODCIE10],EPV_SARAMPION646669727378[[#This Row],[CIE-10]]),COUNTIFS(BASE[Cod.Establecimiento],$AK$2,BASE[CODCIE10],EPV_SARAMPION646669727378[[#This Row],[CIE-10]]))</calculatedColumnFormula>
    </tableColumn>
    <tableColumn id="3" xr3:uid="{19C247AD-4F05-4E1B-92BD-39D5296E8449}" name="D2" dataDxfId="1481">
      <calculatedColumnFormula>IF($AK$2="(Todas)",COUNTIF(BASE[CODCIE102],EPV_SARAMPION646669727378[[#This Row],[CIE-10]]),COUNTIFS(BASE[Cod.Establecimiento],$AK$2,BASE[CODCIE102],EPV_SARAMPION646669727378[[#This Row],[CIE-10]]))</calculatedColumnFormula>
    </tableColumn>
    <tableColumn id="4" xr3:uid="{37011B31-AE9B-463C-AB89-3F81D6508AA7}" name="D3" dataDxfId="1480">
      <calculatedColumnFormula>IF($AK$2="(Todas)",COUNTIF(BASE[CODCIE104],EPV_SARAMPION646669727378[[#This Row],[CIE-10]]),COUNTIFS(BASE[Cod.Establecimiento],$AK$2,BASE[CODCIE104],EPV_SARAMPION646669727378[[#This Row],[CIE-10]]))</calculatedColumnFormula>
    </tableColumn>
    <tableColumn id="5" xr3:uid="{4BB16CC2-B4BD-458E-B78F-B0C0791E7F74}" name="D4" dataDxfId="1479">
      <calculatedColumnFormula>IF($AK$2="(Todas)",COUNTIF(BASE[CODCIE106],EPV_SARAMPION646669727378[[#This Row],[CIE-10]]),COUNTIFS(BASE[Cod.Establecimiento],$AK$2,BASE[CODCIE106],EPV_SARAMPION646669727378[[#This Row],[CIE-10]]))</calculatedColumnFormula>
    </tableColumn>
    <tableColumn id="6" xr3:uid="{394A810F-6907-44BB-8A08-A237446DF331}" name="D5" dataDxfId="1478">
      <calculatedColumnFormula>IF($AK$2="(Todas)",COUNTIF(BASE[CODCIE108],EPV_SARAMPION646669727378[[#This Row],[CIE-10]]),COUNTIFS(BASE[Cod.Establecimiento],$AK$2,BASE[CODCIE108],EPV_SARAMPION646669727378[[#This Row],[CIE-10]]))</calculatedColumnFormula>
    </tableColumn>
    <tableColumn id="7" xr3:uid="{50F9A43E-009E-4103-B217-816702B35ECD}" name="D6" dataDxfId="1477">
      <calculatedColumnFormula>IF($AK$2="(Todas)",COUNTIF(BASE[CODCIE1010],EPV_SARAMPION646669727378[[#This Row],[CIE-10]]),COUNTIFS(BASE[Cod.Establecimiento],$AK$2,BASE[CODCIE1010],EPV_SARAMPION646669727378[[#This Row],[CIE-10]]))</calculatedColumnFormula>
    </tableColumn>
    <tableColumn id="8" xr3:uid="{8D0534A7-6B17-47D2-A552-AFAF0B0364E5}" name="TOT" dataDxfId="1476" dataCellStyle="40% - Énfasis6">
      <calculatedColumnFormula>SUM(EPV_SARAMPION646669727378[[#This Row],[D1]:[D6]])</calculatedColumnFormula>
    </tableColumn>
  </tableColumns>
  <tableStyleInfo name="TableStyleLight1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BE88982A-7569-4CA7-A42B-0A80DED0D2BB}" name="EPV_SARAMPION64666972737880" displayName="EPV_SARAMPION64666972737880" ref="A29:H30" totalsRowShown="0" headerRowDxfId="1475">
  <autoFilter ref="A29:H30" xr:uid="{BE88982A-7569-4CA7-A42B-0A80DED0D2B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5F525249-9D36-4C30-B488-3E8005883285}" name="CIE-10" dataCellStyle="20% - Énfasis4"/>
    <tableColumn id="2" xr3:uid="{25B04F12-782B-46D8-88DA-A089A7B72DE8}" name="D1" dataDxfId="1474">
      <calculatedColumnFormula>IF($AK$2="(Todas)",COUNTIF(BASE[CODCIE10],EPV_SARAMPION64666972737880[[#This Row],[CIE-10]]),COUNTIFS(BASE[Cod.Establecimiento],$AK$2,BASE[CODCIE10],EPV_SARAMPION64666972737880[[#This Row],[CIE-10]]))</calculatedColumnFormula>
    </tableColumn>
    <tableColumn id="3" xr3:uid="{C12ABA4B-0BE4-428F-8FDC-9305150A9734}" name="D2" dataDxfId="1473">
      <calculatedColumnFormula>IF($AK$2="(Todas)",COUNTIF(BASE[CODCIE102],EPV_SARAMPION64666972737880[[#This Row],[CIE-10]]),COUNTIFS(BASE[Cod.Establecimiento],$AK$2,BASE[CODCIE102],EPV_SARAMPION64666972737880[[#This Row],[CIE-10]]))</calculatedColumnFormula>
    </tableColumn>
    <tableColumn id="4" xr3:uid="{43201D9D-E7E8-4B31-8837-B55C0EE5BC2E}" name="D3" dataDxfId="1472">
      <calculatedColumnFormula>IF($AK$2="(Todas)",COUNTIF(BASE[CODCIE104],EPV_SARAMPION64666972737880[[#This Row],[CIE-10]]),COUNTIFS(BASE[Cod.Establecimiento],$AK$2,BASE[CODCIE104],EPV_SARAMPION64666972737880[[#This Row],[CIE-10]]))</calculatedColumnFormula>
    </tableColumn>
    <tableColumn id="5" xr3:uid="{A737D774-7E8C-4EDC-AC6C-1F19F207EF2B}" name="D4" dataDxfId="1471">
      <calculatedColumnFormula>IF($AK$2="(Todas)",COUNTIF(BASE[CODCIE106],EPV_SARAMPION64666972737880[[#This Row],[CIE-10]]),COUNTIFS(BASE[Cod.Establecimiento],$AK$2,BASE[CODCIE106],EPV_SARAMPION64666972737880[[#This Row],[CIE-10]]))</calculatedColumnFormula>
    </tableColumn>
    <tableColumn id="6" xr3:uid="{282F77BD-7B9C-4214-A3EC-D89DCC16A3B5}" name="D5" dataDxfId="1470">
      <calculatedColumnFormula>IF($AK$2="(Todas)",COUNTIF(BASE[CODCIE108],EPV_SARAMPION64666972737880[[#This Row],[CIE-10]]),COUNTIFS(BASE[Cod.Establecimiento],$AK$2,BASE[CODCIE108],EPV_SARAMPION64666972737880[[#This Row],[CIE-10]]))</calculatedColumnFormula>
    </tableColumn>
    <tableColumn id="7" xr3:uid="{14F0EC76-846F-4A6D-90CF-758A25664E1F}" name="D6" dataDxfId="1469">
      <calculatedColumnFormula>IF($AK$2="(Todas)",COUNTIF(BASE[CODCIE1010],EPV_SARAMPION64666972737880[[#This Row],[CIE-10]]),COUNTIFS(BASE[Cod.Establecimiento],$AK$2,BASE[CODCIE1010],EPV_SARAMPION64666972737880[[#This Row],[CIE-10]]))</calculatedColumnFormula>
    </tableColumn>
    <tableColumn id="8" xr3:uid="{592C5F95-FE8E-41BF-AB65-6CA7B298DC37}" name="TOT" dataDxfId="1468" dataCellStyle="40% - Énfasis6">
      <calculatedColumnFormula>SUM(EPV_SARAMPION64666972737880[[#This Row],[D1]:[D6]])</calculatedColumnFormula>
    </tableColumn>
  </tableColumns>
  <tableStyleInfo name="TableStyleLight1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8DB0F9BC-1C6E-4D93-8FCC-1320C4515207}" name="EPV_SARAMPION6466697273788081" displayName="EPV_SARAMPION6466697273788081" ref="A34:H35" totalsRowShown="0" headerRowDxfId="1467">
  <autoFilter ref="A34:H35" xr:uid="{8DB0F9BC-1C6E-4D93-8FCC-1320C451520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6C341597-7E1E-4DD5-B5A6-8E293817FA47}" name="CIE-10" dataCellStyle="20% - Énfasis4"/>
    <tableColumn id="2" xr3:uid="{78DB53C7-7B64-4D1B-80AE-A3345D694847}" name="D1" dataDxfId="1466">
      <calculatedColumnFormula>IF($AK$2="(Todas)",COUNTIF(BASE[CODCIE10],EPV_SARAMPION6466697273788081[[#This Row],[CIE-10]]),COUNTIFS(BASE[Cod.Establecimiento],$AK$2,BASE[CODCIE10],EPV_SARAMPION6466697273788081[[#This Row],[CIE-10]]))</calculatedColumnFormula>
    </tableColumn>
    <tableColumn id="3" xr3:uid="{CD63E51D-3DCB-42F3-9CAA-13A33E30773E}" name="D2" dataDxfId="1465">
      <calculatedColumnFormula>IF($AK$2="(Todas)",COUNTIF(BASE[CODCIE102],EPV_SARAMPION6466697273788081[[#This Row],[CIE-10]]),COUNTIFS(BASE[Cod.Establecimiento],$AK$2,BASE[CODCIE102],EPV_SARAMPION6466697273788081[[#This Row],[CIE-10]]))</calculatedColumnFormula>
    </tableColumn>
    <tableColumn id="4" xr3:uid="{2ECAA573-1DD1-4C57-9D53-226690A088B7}" name="D3" dataDxfId="1464">
      <calculatedColumnFormula>IF($AK$2="(Todas)",COUNTIF(BASE[CODCIE104],EPV_SARAMPION6466697273788081[[#This Row],[CIE-10]]),COUNTIFS(BASE[Cod.Establecimiento],$AK$2,BASE[CODCIE104],EPV_SARAMPION6466697273788081[[#This Row],[CIE-10]]))</calculatedColumnFormula>
    </tableColumn>
    <tableColumn id="5" xr3:uid="{BAEB662B-7136-42EA-8030-75689A385809}" name="D4" dataDxfId="1463">
      <calculatedColumnFormula>IF($AK$2="(Todas)",COUNTIF(BASE[CODCIE106],EPV_SARAMPION6466697273788081[[#This Row],[CIE-10]]),COUNTIFS(BASE[Cod.Establecimiento],$AK$2,BASE[CODCIE106],EPV_SARAMPION6466697273788081[[#This Row],[CIE-10]]))</calculatedColumnFormula>
    </tableColumn>
    <tableColumn id="6" xr3:uid="{54819674-0B98-4162-B319-F3694F200F64}" name="D5" dataDxfId="1462">
      <calculatedColumnFormula>IF($AK$2="(Todas)",COUNTIF(BASE[CODCIE108],EPV_SARAMPION6466697273788081[[#This Row],[CIE-10]]),COUNTIFS(BASE[Cod.Establecimiento],$AK$2,BASE[CODCIE108],EPV_SARAMPION6466697273788081[[#This Row],[CIE-10]]))</calculatedColumnFormula>
    </tableColumn>
    <tableColumn id="7" xr3:uid="{281E3ABF-8CA2-4B17-8215-8039362EA495}" name="D6" dataDxfId="1461">
      <calculatedColumnFormula>IF($AK$2="(Todas)",COUNTIF(BASE[CODCIE1010],EPV_SARAMPION6466697273788081[[#This Row],[CIE-10]]),COUNTIFS(BASE[Cod.Establecimiento],$AK$2,BASE[CODCIE1010],EPV_SARAMPION6466697273788081[[#This Row],[CIE-10]]))</calculatedColumnFormula>
    </tableColumn>
    <tableColumn id="8" xr3:uid="{1C43DCDB-526A-4139-866E-ACF0E04B2FB6}" name="TOT" dataDxfId="1460" dataCellStyle="40% - Énfasis6">
      <calculatedColumnFormula>SUM(EPV_SARAMPION6466697273788081[[#This Row],[D1]:[D6]])</calculatedColumnFormula>
    </tableColumn>
  </tableColumns>
  <tableStyleInfo name="TableStyleLight1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6F506441-DF14-4F5C-85BA-983175B9B2C4}" name="EPV_SARAMPION646669727378808182" displayName="EPV_SARAMPION646669727378808182" ref="J34:Q35" totalsRowShown="0" headerRowDxfId="1459">
  <autoFilter ref="J34:Q35" xr:uid="{6F506441-DF14-4F5C-85BA-983175B9B2C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D6AACDF-49AA-4C92-9F2E-5A9E54F58FB6}" name="CIE-10" dataCellStyle="20% - Énfasis4"/>
    <tableColumn id="2" xr3:uid="{96046818-1450-4FFE-90FA-B24DE80F70D4}" name="D1" dataDxfId="1458">
      <calculatedColumnFormula>IF($AK$2="(Todas)",COUNTIF(BASE[CODCIE10],EPV_SARAMPION646669727378808182[[#This Row],[CIE-10]]),COUNTIFS(BASE[Cod.Establecimiento],$AK$2,BASE[CODCIE10],EPV_SARAMPION646669727378808182[[#This Row],[CIE-10]]))</calculatedColumnFormula>
    </tableColumn>
    <tableColumn id="3" xr3:uid="{FED6D3E1-5598-44D3-91C8-9DE947D6AF64}" name="D2" dataDxfId="1457">
      <calculatedColumnFormula>IF($AK$2="(Todas)",COUNTIF(BASE[CODCIE102],EPV_SARAMPION646669727378808182[[#This Row],[CIE-10]]),COUNTIFS(BASE[Cod.Establecimiento],$AK$2,BASE[CODCIE102],EPV_SARAMPION646669727378808182[[#This Row],[CIE-10]]))</calculatedColumnFormula>
    </tableColumn>
    <tableColumn id="4" xr3:uid="{CC8A9C7C-5217-4ACD-9E32-BBAF0286BB6C}" name="D3" dataDxfId="1456">
      <calculatedColumnFormula>IF($AK$2="(Todas)",COUNTIF(BASE[CODCIE104],EPV_SARAMPION646669727378808182[[#This Row],[CIE-10]]),COUNTIFS(BASE[Cod.Establecimiento],$AK$2,BASE[CODCIE104],EPV_SARAMPION646669727378808182[[#This Row],[CIE-10]]))</calculatedColumnFormula>
    </tableColumn>
    <tableColumn id="5" xr3:uid="{8C291FF7-B40F-4B96-8799-03AF5CD89C06}" name="D4" dataDxfId="1455">
      <calculatedColumnFormula>IF($AK$2="(Todas)",COUNTIF(BASE[CODCIE106],EPV_SARAMPION646669727378808182[[#This Row],[CIE-10]]),COUNTIFS(BASE[Cod.Establecimiento],$AK$2,BASE[CODCIE106],EPV_SARAMPION646669727378808182[[#This Row],[CIE-10]]))</calculatedColumnFormula>
    </tableColumn>
    <tableColumn id="6" xr3:uid="{D8044B61-CC22-4B80-ABB6-1D71A659B316}" name="D5" dataDxfId="1454">
      <calculatedColumnFormula>IF($AK$2="(Todas)",COUNTIF(BASE[CODCIE108],EPV_SARAMPION646669727378808182[[#This Row],[CIE-10]]),COUNTIFS(BASE[Cod.Establecimiento],$AK$2,BASE[CODCIE108],EPV_SARAMPION646669727378808182[[#This Row],[CIE-10]]))</calculatedColumnFormula>
    </tableColumn>
    <tableColumn id="7" xr3:uid="{EFAB595F-B726-4DA7-9270-4E307423DE61}" name="D6" dataDxfId="1453">
      <calculatedColumnFormula>IF($AK$2="(Todas)",COUNTIF(BASE[CODCIE1010],EPV_SARAMPION646669727378808182[[#This Row],[CIE-10]]),COUNTIFS(BASE[Cod.Establecimiento],$AK$2,BASE[CODCIE1010],EPV_SARAMPION646669727378808182[[#This Row],[CIE-10]]))</calculatedColumnFormula>
    </tableColumn>
    <tableColumn id="8" xr3:uid="{C140EB41-EF1F-4E94-B390-53C53BEAAA71}" name="TOT" dataDxfId="1452" dataCellStyle="40% - Énfasis6">
      <calculatedColumnFormula>SUM(EPV_SARAMPION646669727378808182[[#This Row],[D1]:[D6]])</calculatedColumnFormula>
    </tableColumn>
  </tableColumns>
  <tableStyleInfo name="TableStyleLight1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C6072002-962B-4371-A003-0049BB15659F}" name="EPV_SARAMPION64666972737880818283" displayName="EPV_SARAMPION64666972737880818283" ref="S33:Z35" totalsRowShown="0" headerRowDxfId="1451">
  <autoFilter ref="S33:Z35" xr:uid="{C6072002-962B-4371-A003-0049BB15659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25B58955-DD9F-45A2-B5B5-416FFE80B5FB}" name="CIE-10" dataCellStyle="20% - Énfasis4"/>
    <tableColumn id="2" xr3:uid="{6DB35FC3-B989-4381-AB3D-A27E949A82C0}" name="D1" dataDxfId="1450">
      <calculatedColumnFormula>IF($AK$2="(Todas)",COUNTIF(BASE[CODCIE10],EPV_SARAMPION64666972737880818283[[#This Row],[CIE-10]]),COUNTIFS(BASE[Cod.Establecimiento],$AK$2,BASE[CODCIE10],EPV_SARAMPION64666972737880818283[[#This Row],[CIE-10]]))</calculatedColumnFormula>
    </tableColumn>
    <tableColumn id="3" xr3:uid="{2CC4BE9D-2256-423E-9D85-53D87C5F3484}" name="D2" dataDxfId="1449">
      <calculatedColumnFormula>IF($AK$2="(Todas)",COUNTIF(BASE[CODCIE102],EPV_SARAMPION64666972737880818283[[#This Row],[CIE-10]]),COUNTIFS(BASE[Cod.Establecimiento],$AK$2,BASE[CODCIE102],EPV_SARAMPION64666972737880818283[[#This Row],[CIE-10]]))</calculatedColumnFormula>
    </tableColumn>
    <tableColumn id="4" xr3:uid="{20569E90-DFE9-4FE4-8ACC-B950B8946242}" name="D3" dataDxfId="1448">
      <calculatedColumnFormula>IF($AK$2="(Todas)",COUNTIF(BASE[CODCIE104],EPV_SARAMPION64666972737880818283[[#This Row],[CIE-10]]),COUNTIFS(BASE[Cod.Establecimiento],$AK$2,BASE[CODCIE104],EPV_SARAMPION64666972737880818283[[#This Row],[CIE-10]]))</calculatedColumnFormula>
    </tableColumn>
    <tableColumn id="5" xr3:uid="{52D918C9-DFBB-4ED9-B86A-97944A63E4A6}" name="D4" dataDxfId="1447">
      <calculatedColumnFormula>IF($AK$2="(Todas)",COUNTIF(BASE[CODCIE106],EPV_SARAMPION64666972737880818283[[#This Row],[CIE-10]]),COUNTIFS(BASE[Cod.Establecimiento],$AK$2,BASE[CODCIE106],EPV_SARAMPION64666972737880818283[[#This Row],[CIE-10]]))</calculatedColumnFormula>
    </tableColumn>
    <tableColumn id="6" xr3:uid="{16C97CCB-5BF8-4957-805B-DAD83C9B2A8D}" name="D5" dataDxfId="1446">
      <calculatedColumnFormula>IF($AK$2="(Todas)",COUNTIF(BASE[CODCIE108],EPV_SARAMPION64666972737880818283[[#This Row],[CIE-10]]),COUNTIFS(BASE[Cod.Establecimiento],$AK$2,BASE[CODCIE108],EPV_SARAMPION64666972737880818283[[#This Row],[CIE-10]]))</calculatedColumnFormula>
    </tableColumn>
    <tableColumn id="7" xr3:uid="{1466D71C-3D79-421F-98C3-32AB97F25503}" name="D6" dataDxfId="1445">
      <calculatedColumnFormula>IF($AK$2="(Todas)",COUNTIF(BASE[CODCIE1010],EPV_SARAMPION64666972737880818283[[#This Row],[CIE-10]]),COUNTIFS(BASE[Cod.Establecimiento],$AK$2,BASE[CODCIE1010],EPV_SARAMPION64666972737880818283[[#This Row],[CIE-10]]))</calculatedColumnFormula>
    </tableColumn>
    <tableColumn id="8" xr3:uid="{7DFDF05E-10EC-45B6-9C90-A2C595EB6821}" name="TOT" dataDxfId="1444" dataCellStyle="40% - Énfasis6">
      <calculatedColumnFormula>SUM(EPV_SARAMPION64666972737880818283[[#This Row],[D1]:[D6]])</calculatedColumnFormula>
    </tableColumn>
  </tableColumns>
  <tableStyleInfo name="TableStyleLight1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4FC94E2F-51BC-4489-9175-07A87609F36C}" name="EPV_SARAMPION6466697273788081828384" displayName="EPV_SARAMPION6466697273788081828384" ref="AB34:AI35" totalsRowShown="0" headerRowDxfId="1443">
  <autoFilter ref="AB34:AI35" xr:uid="{4FC94E2F-51BC-4489-9175-07A87609F36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EF832530-E120-42D5-BC70-6200853568B1}" name="CIE-10" dataCellStyle="20% - Énfasis4"/>
    <tableColumn id="2" xr3:uid="{AFFC74E5-A843-4C1B-A0E8-1533D66FFBC8}" name="D1" dataDxfId="1442">
      <calculatedColumnFormula>IF($AK$2="(Todas)",COUNTIF(BASE[CODCIE10],EPV_SARAMPION6466697273788081828384[[#This Row],[CIE-10]]),COUNTIFS(BASE[Cod.Establecimiento],$AK$2,BASE[CODCIE10],EPV_SARAMPION6466697273788081828384[[#This Row],[CIE-10]]))</calculatedColumnFormula>
    </tableColumn>
    <tableColumn id="3" xr3:uid="{99ACBCEB-2E24-49EB-AD05-C16874CCFC5C}" name="D2" dataDxfId="1441">
      <calculatedColumnFormula>IF($AK$2="(Todas)",COUNTIF(BASE[CODCIE102],EPV_SARAMPION6466697273788081828384[[#This Row],[CIE-10]]),COUNTIFS(BASE[Cod.Establecimiento],$AK$2,BASE[CODCIE102],EPV_SARAMPION6466697273788081828384[[#This Row],[CIE-10]]))</calculatedColumnFormula>
    </tableColumn>
    <tableColumn id="4" xr3:uid="{C4BC990C-DD77-47EA-9EE9-1F9CF4D6FACD}" name="D3" dataDxfId="1440">
      <calculatedColumnFormula>IF($AK$2="(Todas)",COUNTIF(BASE[CODCIE104],EPV_SARAMPION6466697273788081828384[[#This Row],[CIE-10]]),COUNTIFS(BASE[Cod.Establecimiento],$AK$2,BASE[CODCIE104],EPV_SARAMPION6466697273788081828384[[#This Row],[CIE-10]]))</calculatedColumnFormula>
    </tableColumn>
    <tableColumn id="5" xr3:uid="{CCF0B1DB-B9AD-46BB-993B-F6ADE73DD0BD}" name="D4" dataDxfId="1439">
      <calculatedColumnFormula>IF($AK$2="(Todas)",COUNTIF(BASE[CODCIE106],EPV_SARAMPION6466697273788081828384[[#This Row],[CIE-10]]),COUNTIFS(BASE[Cod.Establecimiento],$AK$2,BASE[CODCIE106],EPV_SARAMPION6466697273788081828384[[#This Row],[CIE-10]]))</calculatedColumnFormula>
    </tableColumn>
    <tableColumn id="6" xr3:uid="{9054C5D2-2782-4566-9DCA-F4CB1312B867}" name="D5" dataDxfId="1438">
      <calculatedColumnFormula>IF($AK$2="(Todas)",COUNTIF(BASE[CODCIE108],EPV_SARAMPION6466697273788081828384[[#This Row],[CIE-10]]),COUNTIFS(BASE[Cod.Establecimiento],$AK$2,BASE[CODCIE108],EPV_SARAMPION6466697273788081828384[[#This Row],[CIE-10]]))</calculatedColumnFormula>
    </tableColumn>
    <tableColumn id="7" xr3:uid="{705CB5F4-E6F1-438C-90AC-4C3DFB10D1D5}" name="D6" dataDxfId="1437">
      <calculatedColumnFormula>IF($AK$2="(Todas)",COUNTIF(BASE[CODCIE1010],EPV_SARAMPION6466697273788081828384[[#This Row],[CIE-10]]),COUNTIFS(BASE[Cod.Establecimiento],$AK$2,BASE[CODCIE1010],EPV_SARAMPION6466697273788081828384[[#This Row],[CIE-10]]))</calculatedColumnFormula>
    </tableColumn>
    <tableColumn id="8" xr3:uid="{ADCECE35-BB48-4150-B4DB-4F7673E54518}" name="TOT" dataDxfId="1436" dataCellStyle="40% - Énfasis6">
      <calculatedColumnFormula>SUM(EPV_SARAMPION6466697273788081828384[[#This Row],[D1]:[D6]])</calculatedColumnFormula>
    </tableColumn>
  </tableColumns>
  <tableStyleInfo name="TableStyleLight1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C986FA0F-5E27-4B64-AD52-B88A4D301AD2}" name="EPV_SARAMPION646669727378808185" displayName="EPV_SARAMPION646669727378808185" ref="A39:H40" totalsRowShown="0" headerRowDxfId="1435">
  <autoFilter ref="A39:H40" xr:uid="{C986FA0F-5E27-4B64-AD52-B88A4D301AD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CE0200BA-1172-4007-8F42-4543FCECB797}" name="CIE-10" dataCellStyle="20% - Énfasis4"/>
    <tableColumn id="2" xr3:uid="{2887AB9C-625F-4E35-A59B-68DB2CBCE450}" name="D1" dataDxfId="1434">
      <calculatedColumnFormula>IF($AK$2="(Todas)",COUNTIF(BASE[CODCIE10],EPV_SARAMPION646669727378808185[[#This Row],[CIE-10]]),COUNTIFS(BASE[Cod.Establecimiento],$AK$2,BASE[CODCIE10],EPV_SARAMPION646669727378808185[[#This Row],[CIE-10]]))</calculatedColumnFormula>
    </tableColumn>
    <tableColumn id="3" xr3:uid="{EC931176-4989-442F-84E2-DCA864B9037A}" name="D2" dataDxfId="1433">
      <calculatedColumnFormula>IF($AK$2="(Todas)",COUNTIF(BASE[CODCIE102],EPV_SARAMPION646669727378808185[[#This Row],[CIE-10]]),COUNTIFS(BASE[Cod.Establecimiento],$AK$2,BASE[CODCIE102],EPV_SARAMPION646669727378808185[[#This Row],[CIE-10]]))</calculatedColumnFormula>
    </tableColumn>
    <tableColumn id="4" xr3:uid="{B225BAC5-A63B-4891-A43D-85F9E6CE28F0}" name="D3" dataDxfId="1432">
      <calculatedColumnFormula>IF($AK$2="(Todas)",COUNTIF(BASE[CODCIE104],EPV_SARAMPION646669727378808185[[#This Row],[CIE-10]]),COUNTIFS(BASE[Cod.Establecimiento],$AK$2,BASE[CODCIE104],EPV_SARAMPION646669727378808185[[#This Row],[CIE-10]]))</calculatedColumnFormula>
    </tableColumn>
    <tableColumn id="5" xr3:uid="{C1B76034-1307-48FC-9322-F8C595FED77E}" name="D4" dataDxfId="1431">
      <calculatedColumnFormula>IF($AK$2="(Todas)",COUNTIF(BASE[CODCIE106],EPV_SARAMPION646669727378808185[[#This Row],[CIE-10]]),COUNTIFS(BASE[Cod.Establecimiento],$AK$2,BASE[CODCIE106],EPV_SARAMPION646669727378808185[[#This Row],[CIE-10]]))</calculatedColumnFormula>
    </tableColumn>
    <tableColumn id="6" xr3:uid="{69FA3B56-E39F-4D1D-B082-8FB72A25534F}" name="D5" dataDxfId="1430">
      <calculatedColumnFormula>IF($AK$2="(Todas)",COUNTIF(BASE[CODCIE108],EPV_SARAMPION646669727378808185[[#This Row],[CIE-10]]),COUNTIFS(BASE[Cod.Establecimiento],$AK$2,BASE[CODCIE108],EPV_SARAMPION646669727378808185[[#This Row],[CIE-10]]))</calculatedColumnFormula>
    </tableColumn>
    <tableColumn id="7" xr3:uid="{A9DAF539-5034-4975-B8DC-86DD08080422}" name="D6" dataDxfId="1429">
      <calculatedColumnFormula>IF($AK$2="(Todas)",COUNTIF(BASE[CODCIE1010],EPV_SARAMPION646669727378808185[[#This Row],[CIE-10]]),COUNTIFS(BASE[Cod.Establecimiento],$AK$2,BASE[CODCIE1010],EPV_SARAMPION646669727378808185[[#This Row],[CIE-10]]))</calculatedColumnFormula>
    </tableColumn>
    <tableColumn id="8" xr3:uid="{5A96F474-7881-40A2-BC4B-BE32CC7B8533}" name="TOT" dataDxfId="1428" dataCellStyle="40% - Énfasis6">
      <calculatedColumnFormula>SUM(EPV_SARAMPION646669727378808185[[#This Row],[D1]:[D6]])</calculatedColumnFormula>
    </tableColumn>
  </tableColumns>
  <tableStyleInfo name="TableStyleLight1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EA4CEFF5-F3BB-4A12-9D8A-A9B939AD7394}" name="EPV_SARAMPION64666972737880818586" displayName="EPV_SARAMPION64666972737880818586" ref="J39:Q40" totalsRowShown="0" headerRowDxfId="1427">
  <autoFilter ref="J39:Q40" xr:uid="{EA4CEFF5-F3BB-4A12-9D8A-A9B939AD739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20B9B7B2-1108-4C5F-89EA-3E2549D63B5A}" name="CIE-10" dataCellStyle="20% - Énfasis4"/>
    <tableColumn id="2" xr3:uid="{993BCDEE-8F5E-4E3A-BCC1-F3685498D7C5}" name="D1" dataDxfId="1426">
      <calculatedColumnFormula>IF($AK$2="(Todas)",COUNTIF(BASE[CODCIE10],EPV_SARAMPION64666972737880818586[[#This Row],[CIE-10]]),COUNTIFS(BASE[Cod.Establecimiento],$AK$2,BASE[CODCIE10],EPV_SARAMPION64666972737880818586[[#This Row],[CIE-10]]))</calculatedColumnFormula>
    </tableColumn>
    <tableColumn id="3" xr3:uid="{A0B34C8D-D5C6-4006-B49B-17B2504E3409}" name="D2" dataDxfId="1425">
      <calculatedColumnFormula>IF($AK$2="(Todas)",COUNTIF(BASE[CODCIE102],EPV_SARAMPION64666972737880818586[[#This Row],[CIE-10]]),COUNTIFS(BASE[Cod.Establecimiento],$AK$2,BASE[CODCIE102],EPV_SARAMPION64666972737880818586[[#This Row],[CIE-10]]))</calculatedColumnFormula>
    </tableColumn>
    <tableColumn id="4" xr3:uid="{E15DE1C5-5909-4264-871C-EAA9091C8CCA}" name="D3" dataDxfId="1424">
      <calculatedColumnFormula>IF($AK$2="(Todas)",COUNTIF(BASE[CODCIE104],EPV_SARAMPION64666972737880818586[[#This Row],[CIE-10]]),COUNTIFS(BASE[Cod.Establecimiento],$AK$2,BASE[CODCIE104],EPV_SARAMPION64666972737880818586[[#This Row],[CIE-10]]))</calculatedColumnFormula>
    </tableColumn>
    <tableColumn id="5" xr3:uid="{EB4AD385-994E-4E90-8AF1-5BB6F92845EA}" name="D4" dataDxfId="1423">
      <calculatedColumnFormula>IF($AK$2="(Todas)",COUNTIF(BASE[CODCIE106],EPV_SARAMPION64666972737880818586[[#This Row],[CIE-10]]),COUNTIFS(BASE[Cod.Establecimiento],$AK$2,BASE[CODCIE106],EPV_SARAMPION64666972737880818586[[#This Row],[CIE-10]]))</calculatedColumnFormula>
    </tableColumn>
    <tableColumn id="6" xr3:uid="{63BC610B-120F-4766-A7BA-C670F28C5F8F}" name="D5" dataDxfId="1422">
      <calculatedColumnFormula>IF($AK$2="(Todas)",COUNTIF(BASE[CODCIE108],EPV_SARAMPION64666972737880818586[[#This Row],[CIE-10]]),COUNTIFS(BASE[Cod.Establecimiento],$AK$2,BASE[CODCIE108],EPV_SARAMPION64666972737880818586[[#This Row],[CIE-10]]))</calculatedColumnFormula>
    </tableColumn>
    <tableColumn id="7" xr3:uid="{8571CF24-12A5-482D-A101-B942A316A791}" name="D6" dataDxfId="1421">
      <calculatedColumnFormula>IF($AK$2="(Todas)",COUNTIF(BASE[CODCIE1010],EPV_SARAMPION64666972737880818586[[#This Row],[CIE-10]]),COUNTIFS(BASE[Cod.Establecimiento],$AK$2,BASE[CODCIE1010],EPV_SARAMPION64666972737880818586[[#This Row],[CIE-10]]))</calculatedColumnFormula>
    </tableColumn>
    <tableColumn id="8" xr3:uid="{DD8A0425-182C-4A2A-A739-C0DEEA58FF10}" name="TOT" dataDxfId="1420" dataCellStyle="40% - Énfasis6">
      <calculatedColumnFormula>SUM(EPV_SARAMPION64666972737880818586[[#This Row],[D1]:[D6]])</calculatedColumnFormula>
    </tableColumn>
  </tableColumns>
  <tableStyleInfo name="TableStyleLight1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AD36954-B0C2-473A-8270-F14E9B3843AB}" name="EPV_SARAMPION6466697273788081858687" displayName="EPV_SARAMPION6466697273788081858687" ref="S39:Z41" totalsRowShown="0" headerRowDxfId="1419">
  <autoFilter ref="S39:Z41" xr:uid="{AAD36954-B0C2-473A-8270-F14E9B3843A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EB953D17-99F1-4A38-BA8A-52C5B8647C86}" name="CIE-10" dataCellStyle="20% - Énfasis4"/>
    <tableColumn id="2" xr3:uid="{86FF2480-A389-4F90-8AC4-773E5D4717B1}" name="D1" dataDxfId="1418">
      <calculatedColumnFormula>IF($AK$2="(Todas)",COUNTIF(BASE[CODCIE10],EPV_SARAMPION6466697273788081858687[[#This Row],[CIE-10]]),COUNTIFS(BASE[Cod.Establecimiento],$AK$2,BASE[CODCIE10],EPV_SARAMPION6466697273788081858687[[#This Row],[CIE-10]]))</calculatedColumnFormula>
    </tableColumn>
    <tableColumn id="3" xr3:uid="{6167700C-8D9D-4EEA-98BF-33865236E533}" name="D2" dataDxfId="1417">
      <calculatedColumnFormula>IF($AK$2="(Todas)",COUNTIF(BASE[CODCIE102],EPV_SARAMPION6466697273788081858687[[#This Row],[CIE-10]]),COUNTIFS(BASE[Cod.Establecimiento],$AK$2,BASE[CODCIE102],EPV_SARAMPION6466697273788081858687[[#This Row],[CIE-10]]))</calculatedColumnFormula>
    </tableColumn>
    <tableColumn id="4" xr3:uid="{115F457F-399F-4C88-8927-BAEB5A64E935}" name="D3" dataDxfId="1416">
      <calculatedColumnFormula>IF($AK$2="(Todas)",COUNTIF(BASE[CODCIE104],EPV_SARAMPION6466697273788081858687[[#This Row],[CIE-10]]),COUNTIFS(BASE[Cod.Establecimiento],$AK$2,BASE[CODCIE104],EPV_SARAMPION6466697273788081858687[[#This Row],[CIE-10]]))</calculatedColumnFormula>
    </tableColumn>
    <tableColumn id="5" xr3:uid="{F448266E-B4F5-46AB-A9E9-9B7C8A684A63}" name="D4" dataDxfId="1415">
      <calculatedColumnFormula>IF($AK$2="(Todas)",COUNTIF(BASE[CODCIE106],EPV_SARAMPION6466697273788081858687[[#This Row],[CIE-10]]),COUNTIFS(BASE[Cod.Establecimiento],$AK$2,BASE[CODCIE106],EPV_SARAMPION6466697273788081858687[[#This Row],[CIE-10]]))</calculatedColumnFormula>
    </tableColumn>
    <tableColumn id="6" xr3:uid="{62BC0C53-84E4-4C7C-9A79-E7C0CF309086}" name="D5" dataDxfId="1414">
      <calculatedColumnFormula>IF($AK$2="(Todas)",COUNTIF(BASE[CODCIE108],EPV_SARAMPION6466697273788081858687[[#This Row],[CIE-10]]),COUNTIFS(BASE[Cod.Establecimiento],$AK$2,BASE[CODCIE108],EPV_SARAMPION6466697273788081858687[[#This Row],[CIE-10]]))</calculatedColumnFormula>
    </tableColumn>
    <tableColumn id="7" xr3:uid="{3577EB8D-C4C6-4F81-BCC7-837AB0242E8C}" name="D6" dataDxfId="1413">
      <calculatedColumnFormula>IF($AK$2="(Todas)",COUNTIF(BASE[CODCIE1010],EPV_SARAMPION6466697273788081858687[[#This Row],[CIE-10]]),COUNTIFS(BASE[Cod.Establecimiento],$AK$2,BASE[CODCIE1010],EPV_SARAMPION6466697273788081858687[[#This Row],[CIE-10]]))</calculatedColumnFormula>
    </tableColumn>
    <tableColumn id="8" xr3:uid="{8186FA2B-3778-4AB6-944A-80C062848345}" name="TOT" dataDxfId="1412" dataCellStyle="40% - Énfasis6">
      <calculatedColumnFormula>SUM(EPV_SARAMPION6466697273788081858687[[#This Row],[D1]:[D6]])</calculatedColumnFormula>
    </tableColumn>
  </tableColumns>
  <tableStyleInfo name="TableStyleLight1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AA25D953-2384-49FD-88BC-084551B2B219}" name="EPV_SARAMPION646669727378808185868788" displayName="EPV_SARAMPION646669727378808185868788" ref="AB39:AI41" totalsRowShown="0" headerRowDxfId="1411">
  <autoFilter ref="AB39:AI41" xr:uid="{AA25D953-2384-49FD-88BC-084551B2B21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FAD94C7B-67C1-46EA-85A3-43C5C5CD042A}" name="CIE-10" dataCellStyle="20% - Énfasis4"/>
    <tableColumn id="2" xr3:uid="{2E748B0C-CD0B-4C14-8BC4-767A7814094F}" name="D1" dataDxfId="1410">
      <calculatedColumnFormula>IF($AK$2="(Todas)",COUNTIF(BASE[CODCIE10],EPV_SARAMPION646669727378808185868788[[#This Row],[CIE-10]]),COUNTIFS(BASE[Cod.Establecimiento],$AK$2,BASE[CODCIE10],EPV_SARAMPION646669727378808185868788[[#This Row],[CIE-10]]))</calculatedColumnFormula>
    </tableColumn>
    <tableColumn id="3" xr3:uid="{8184DABB-D90D-4184-A1E0-FCF9EF58DAA1}" name="D2" dataDxfId="1409">
      <calculatedColumnFormula>IF($AK$2="(Todas)",COUNTIF(BASE[CODCIE102],EPV_SARAMPION646669727378808185868788[[#This Row],[CIE-10]]),COUNTIFS(BASE[Cod.Establecimiento],$AK$2,BASE[CODCIE102],EPV_SARAMPION646669727378808185868788[[#This Row],[CIE-10]]))</calculatedColumnFormula>
    </tableColumn>
    <tableColumn id="4" xr3:uid="{7C2F76C6-BBD8-4F79-9CD9-060EBC690DB8}" name="D3" dataDxfId="1408">
      <calculatedColumnFormula>IF($AK$2="(Todas)",COUNTIF(BASE[CODCIE104],EPV_SARAMPION646669727378808185868788[[#This Row],[CIE-10]]),COUNTIFS(BASE[Cod.Establecimiento],$AK$2,BASE[CODCIE104],EPV_SARAMPION646669727378808185868788[[#This Row],[CIE-10]]))</calculatedColumnFormula>
    </tableColumn>
    <tableColumn id="5" xr3:uid="{DE177BAA-6842-485F-BF67-8B8699681A3D}" name="D4" dataDxfId="1407">
      <calculatedColumnFormula>IF($AK$2="(Todas)",COUNTIF(BASE[CODCIE106],EPV_SARAMPION646669727378808185868788[[#This Row],[CIE-10]]),COUNTIFS(BASE[Cod.Establecimiento],$AK$2,BASE[CODCIE106],EPV_SARAMPION646669727378808185868788[[#This Row],[CIE-10]]))</calculatedColumnFormula>
    </tableColumn>
    <tableColumn id="6" xr3:uid="{6BDC30B5-5E1E-4F09-9202-084412913366}" name="D5" dataDxfId="1406">
      <calculatedColumnFormula>IF($AK$2="(Todas)",COUNTIF(BASE[CODCIE108],EPV_SARAMPION646669727378808185868788[[#This Row],[CIE-10]]),COUNTIFS(BASE[Cod.Establecimiento],$AK$2,BASE[CODCIE108],EPV_SARAMPION646669727378808185868788[[#This Row],[CIE-10]]))</calculatedColumnFormula>
    </tableColumn>
    <tableColumn id="7" xr3:uid="{8E989589-413B-4E17-861B-CC0B93A3E2B7}" name="D6" dataDxfId="1405">
      <calculatedColumnFormula>IF($AK$2="(Todas)",COUNTIF(BASE[CODCIE1010],EPV_SARAMPION646669727378808185868788[[#This Row],[CIE-10]]),COUNTIFS(BASE[Cod.Establecimiento],$AK$2,BASE[CODCIE1010],EPV_SARAMPION646669727378808185868788[[#This Row],[CIE-10]]))</calculatedColumnFormula>
    </tableColumn>
    <tableColumn id="8" xr3:uid="{634AC89E-D3C3-4A8B-B371-E93A1F81275C}" name="TOT" dataDxfId="1404" dataCellStyle="40% - Énfasis6">
      <calculatedColumnFormula>SUM(EPV_SARAMPION646669727378808185868788[[#This Row],[D1]:[D6]])</calculatedColumnFormula>
    </tableColumn>
  </tableColumns>
  <tableStyleInfo name="TableStyleLight1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9C23BC29-F8EB-4A73-88CA-77D4802F22C9}" name="EPV_SARAMPION64666972737880818591" displayName="EPV_SARAMPION64666972737880818591" ref="A45:H50" totalsRowShown="0" headerRowDxfId="1403">
  <autoFilter ref="A45:H50" xr:uid="{9C23BC29-F8EB-4A73-88CA-77D4802F22C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29C57B95-424A-4FBF-B0A8-8B467114D50D}" name="CIE-10" dataCellStyle="20% - Énfasis4"/>
    <tableColumn id="2" xr3:uid="{5BB34AED-539D-43C4-B27B-CF7E6E0E939E}" name="D1" dataDxfId="1402">
      <calculatedColumnFormula>IF($AK$2="(Todas)",COUNTIF(BASE[CODCIE10],EPV_SARAMPION64666972737880818591[[#This Row],[CIE-10]]),COUNTIFS(BASE[Cod.Establecimiento],$AK$2,BASE[CODCIE10],EPV_SARAMPION64666972737880818591[[#This Row],[CIE-10]]))</calculatedColumnFormula>
    </tableColumn>
    <tableColumn id="3" xr3:uid="{B4BF248F-6CE8-4076-92A7-747C709CEA17}" name="D2" dataDxfId="1401">
      <calculatedColumnFormula>IF($AK$2="(Todas)",COUNTIF(BASE[CODCIE102],EPV_SARAMPION64666972737880818591[[#This Row],[CIE-10]]),COUNTIFS(BASE[Cod.Establecimiento],$AK$2,BASE[CODCIE102],EPV_SARAMPION64666972737880818591[[#This Row],[CIE-10]]))</calculatedColumnFormula>
    </tableColumn>
    <tableColumn id="4" xr3:uid="{4259D659-0D12-41B7-96C1-CDA41BE8FAD0}" name="D3" dataDxfId="1400">
      <calculatedColumnFormula>IF($AK$2="(Todas)",COUNTIF(BASE[CODCIE104],EPV_SARAMPION64666972737880818591[[#This Row],[CIE-10]]),COUNTIFS(BASE[Cod.Establecimiento],$AK$2,BASE[CODCIE104],EPV_SARAMPION64666972737880818591[[#This Row],[CIE-10]]))</calculatedColumnFormula>
    </tableColumn>
    <tableColumn id="5" xr3:uid="{0387E141-4975-4D83-8425-9FA99FB25022}" name="D4" dataDxfId="1399">
      <calculatedColumnFormula>IF($AK$2="(Todas)",COUNTIF(BASE[CODCIE106],EPV_SARAMPION64666972737880818591[[#This Row],[CIE-10]]),COUNTIFS(BASE[Cod.Establecimiento],$AK$2,BASE[CODCIE106],EPV_SARAMPION64666972737880818591[[#This Row],[CIE-10]]))</calculatedColumnFormula>
    </tableColumn>
    <tableColumn id="6" xr3:uid="{DA7668A0-29A8-4F6F-9D92-05A91849EE28}" name="D5" dataDxfId="1398">
      <calculatedColumnFormula>IF($AK$2="(Todas)",COUNTIF(BASE[CODCIE108],EPV_SARAMPION64666972737880818591[[#This Row],[CIE-10]]),COUNTIFS(BASE[Cod.Establecimiento],$AK$2,BASE[CODCIE108],EPV_SARAMPION64666972737880818591[[#This Row],[CIE-10]]))</calculatedColumnFormula>
    </tableColumn>
    <tableColumn id="7" xr3:uid="{2D03AF7A-677D-41AF-8795-086A5949E4C6}" name="D6" dataDxfId="1397">
      <calculatedColumnFormula>IF($AK$2="(Todas)",COUNTIF(BASE[CODCIE1010],EPV_SARAMPION64666972737880818591[[#This Row],[CIE-10]]),COUNTIFS(BASE[Cod.Establecimiento],$AK$2,BASE[CODCIE1010],EPV_SARAMPION64666972737880818591[[#This Row],[CIE-10]]))</calculatedColumnFormula>
    </tableColumn>
    <tableColumn id="8" xr3:uid="{27BD4DB2-2C63-495D-A89E-2392E6158311}" name="TOT" dataDxfId="1396" dataCellStyle="40% - Énfasis6">
      <calculatedColumnFormula>SUM(EPV_SARAMPION64666972737880818591[[#This Row],[D1]:[D6]])</calculatedColumnFormula>
    </tableColumn>
  </tableColumns>
  <tableStyleInfo name="TableStyleLight1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95963621-B5F3-4B5D-895E-30D52AD5A193}" name="EPV_SARAMPION64666972737880818592" displayName="EPV_SARAMPION64666972737880818592" ref="J45:Q46" totalsRowShown="0" headerRowDxfId="1395">
  <autoFilter ref="J45:Q46" xr:uid="{95963621-B5F3-4B5D-895E-30D52AD5A19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142E08FD-5EB4-4C77-8B65-F2B24C982739}" name="CIE-10" dataCellStyle="20% - Énfasis4"/>
    <tableColumn id="2" xr3:uid="{FC8BD2BA-0F1D-410C-B2FC-FCB5AF7E5DF4}" name="D1" dataDxfId="1394">
      <calculatedColumnFormula>IF($AK$2="(Todas)",COUNTIF(BASE[CODCIE10],EPV_SARAMPION64666972737880818592[[#This Row],[CIE-10]]),COUNTIFS(BASE[Cod.Establecimiento],$AK$2,BASE[CODCIE10],EPV_SARAMPION64666972737880818592[[#This Row],[CIE-10]]))</calculatedColumnFormula>
    </tableColumn>
    <tableColumn id="3" xr3:uid="{223603B8-E1E1-4244-A889-D92A3365B066}" name="D2" dataDxfId="1393">
      <calculatedColumnFormula>IF($AK$2="(Todas)",COUNTIF(BASE[CODCIE102],EPV_SARAMPION64666972737880818592[[#This Row],[CIE-10]]),COUNTIFS(BASE[Cod.Establecimiento],$AK$2,BASE[CODCIE102],EPV_SARAMPION64666972737880818592[[#This Row],[CIE-10]]))</calculatedColumnFormula>
    </tableColumn>
    <tableColumn id="4" xr3:uid="{3DA53427-B5D1-41FB-8EC8-48892D8976C7}" name="D3" dataDxfId="1392">
      <calculatedColumnFormula>IF($AK$2="(Todas)",COUNTIF(BASE[CODCIE104],EPV_SARAMPION64666972737880818592[[#This Row],[CIE-10]]),COUNTIFS(BASE[Cod.Establecimiento],$AK$2,BASE[CODCIE104],EPV_SARAMPION64666972737880818592[[#This Row],[CIE-10]]))</calculatedColumnFormula>
    </tableColumn>
    <tableColumn id="5" xr3:uid="{A124FE21-BBDE-4FB1-9FFD-EF94FE6926C2}" name="D4" dataDxfId="1391">
      <calculatedColumnFormula>IF($AK$2="(Todas)",COUNTIF(BASE[CODCIE106],EPV_SARAMPION64666972737880818592[[#This Row],[CIE-10]]),COUNTIFS(BASE[Cod.Establecimiento],$AK$2,BASE[CODCIE106],EPV_SARAMPION64666972737880818592[[#This Row],[CIE-10]]))</calculatedColumnFormula>
    </tableColumn>
    <tableColumn id="6" xr3:uid="{3D9CDDD5-3914-4C5D-B04A-053128970EAF}" name="D5" dataDxfId="1390">
      <calculatedColumnFormula>IF($AK$2="(Todas)",COUNTIF(BASE[CODCIE108],EPV_SARAMPION64666972737880818592[[#This Row],[CIE-10]]),COUNTIFS(BASE[Cod.Establecimiento],$AK$2,BASE[CODCIE108],EPV_SARAMPION64666972737880818592[[#This Row],[CIE-10]]))</calculatedColumnFormula>
    </tableColumn>
    <tableColumn id="7" xr3:uid="{56B7485A-C652-4401-9FC3-968E7293E2ED}" name="D6" dataDxfId="1389">
      <calculatedColumnFormula>IF($AK$2="(Todas)",COUNTIF(BASE[CODCIE1010],EPV_SARAMPION64666972737880818592[[#This Row],[CIE-10]]),COUNTIFS(BASE[Cod.Establecimiento],$AK$2,BASE[CODCIE1010],EPV_SARAMPION64666972737880818592[[#This Row],[CIE-10]]))</calculatedColumnFormula>
    </tableColumn>
    <tableColumn id="8" xr3:uid="{69B042F9-AB0E-426D-ACEE-09127DD0077E}" name="TOT" dataDxfId="1388" dataCellStyle="40% - Énfasis6">
      <calculatedColumnFormula>SUM(EPV_SARAMPION64666972737880818592[[#This Row],[D1]:[D6]])</calculatedColumnFormula>
    </tableColumn>
  </tableColumns>
  <tableStyleInfo name="TableStyleLight1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FA52E70C-E36C-49B1-B46D-F99C50D58672}" name="EPV_SARAMPION6466697273788081859294" displayName="EPV_SARAMPION6466697273788081859294" ref="S45:Z46" totalsRowShown="0" headerRowDxfId="1387">
  <autoFilter ref="S45:Z46" xr:uid="{FA52E70C-E36C-49B1-B46D-F99C50D5867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602DD1D8-65D3-45EB-9412-FDB7E3C82DAA}" name="CIE-10" dataCellStyle="20% - Énfasis4"/>
    <tableColumn id="2" xr3:uid="{13A4942E-8E8F-4255-B1C2-AE7E57A14E0C}" name="D1" dataDxfId="1386">
      <calculatedColumnFormula>IF($AK$2="(Todas)",COUNTIF(BASE[CODCIE10],EPV_SARAMPION6466697273788081859294[[#This Row],[CIE-10]]),COUNTIFS(BASE[Cod.Establecimiento],$AK$2,BASE[CODCIE10],EPV_SARAMPION6466697273788081859294[[#This Row],[CIE-10]]))</calculatedColumnFormula>
    </tableColumn>
    <tableColumn id="3" xr3:uid="{3FC81637-758A-43E8-8E28-29B3B0711E3C}" name="D2" dataDxfId="1385">
      <calculatedColumnFormula>IF($AK$2="(Todas)",COUNTIF(BASE[CODCIE102],EPV_SARAMPION6466697273788081859294[[#This Row],[CIE-10]]),COUNTIFS(BASE[Cod.Establecimiento],$AK$2,BASE[CODCIE102],EPV_SARAMPION6466697273788081859294[[#This Row],[CIE-10]]))</calculatedColumnFormula>
    </tableColumn>
    <tableColumn id="4" xr3:uid="{9860198B-F8D6-456C-AB9A-AEC25703ED84}" name="D3" dataDxfId="1384">
      <calculatedColumnFormula>IF($AK$2="(Todas)",COUNTIF(BASE[CODCIE104],EPV_SARAMPION6466697273788081859294[[#This Row],[CIE-10]]),COUNTIFS(BASE[Cod.Establecimiento],$AK$2,BASE[CODCIE104],EPV_SARAMPION6466697273788081859294[[#This Row],[CIE-10]]))</calculatedColumnFormula>
    </tableColumn>
    <tableColumn id="5" xr3:uid="{AD370675-ABE9-45C0-94A5-D6051D11D36B}" name="D4" dataDxfId="1383">
      <calculatedColumnFormula>IF($AK$2="(Todas)",COUNTIF(BASE[CODCIE106],EPV_SARAMPION6466697273788081859294[[#This Row],[CIE-10]]),COUNTIFS(BASE[Cod.Establecimiento],$AK$2,BASE[CODCIE106],EPV_SARAMPION6466697273788081859294[[#This Row],[CIE-10]]))</calculatedColumnFormula>
    </tableColumn>
    <tableColumn id="6" xr3:uid="{3536EF4C-84F4-4C6D-B668-672C17A1E63C}" name="D5" dataDxfId="1382">
      <calculatedColumnFormula>IF($AK$2="(Todas)",COUNTIF(BASE[CODCIE108],EPV_SARAMPION6466697273788081859294[[#This Row],[CIE-10]]),COUNTIFS(BASE[Cod.Establecimiento],$AK$2,BASE[CODCIE108],EPV_SARAMPION6466697273788081859294[[#This Row],[CIE-10]]))</calculatedColumnFormula>
    </tableColumn>
    <tableColumn id="7" xr3:uid="{B567B408-B180-49B1-8E54-5B571CB827EB}" name="D6" dataDxfId="1381">
      <calculatedColumnFormula>IF($AK$2="(Todas)",COUNTIF(BASE[CODCIE1010],EPV_SARAMPION6466697273788081859294[[#This Row],[CIE-10]]),COUNTIFS(BASE[Cod.Establecimiento],$AK$2,BASE[CODCIE1010],EPV_SARAMPION6466697273788081859294[[#This Row],[CIE-10]]))</calculatedColumnFormula>
    </tableColumn>
    <tableColumn id="8" xr3:uid="{E94E04B5-16DC-44F7-8EC6-6645076D9D63}" name="TOT" dataDxfId="1380" dataCellStyle="40% - Énfasis6">
      <calculatedColumnFormula>SUM(EPV_SARAMPION6466697273788081859294[[#This Row],[D1]:[D6]])</calculatedColumnFormula>
    </tableColumn>
  </tableColumns>
  <tableStyleInfo name="TableStyleLight1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BE9E47FB-C722-42C3-AE8E-462C77D51FA1}" name="EPV_SARAMPION646669727378808185929495" displayName="EPV_SARAMPION646669727378808185929495" ref="AB45:AI46" totalsRowShown="0" headerRowDxfId="1379">
  <autoFilter ref="AB45:AI46" xr:uid="{BE9E47FB-C722-42C3-AE8E-462C77D51FA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67D91ACD-38EC-44E7-9372-FBC7384778AB}" name="CIE-10" dataCellStyle="20% - Énfasis4"/>
    <tableColumn id="2" xr3:uid="{CE75A479-60BE-435C-823B-FB1C6A54C46A}" name="D1" dataDxfId="1378">
      <calculatedColumnFormula>IF($AK$2="(Todas)",COUNTIF(BASE[CODCIE10],EPV_SARAMPION646669727378808185929495[[#This Row],[CIE-10]]),COUNTIFS(BASE[Cod.Establecimiento],$AK$2,BASE[CODCIE10],EPV_SARAMPION646669727378808185929495[[#This Row],[CIE-10]]))</calculatedColumnFormula>
    </tableColumn>
    <tableColumn id="3" xr3:uid="{23E66158-9D20-42BB-8E10-B93E741C3DDE}" name="D2" dataDxfId="1377">
      <calculatedColumnFormula>IF($AK$2="(Todas)",COUNTIF(BASE[CODCIE102],EPV_SARAMPION646669727378808185929495[[#This Row],[CIE-10]]),COUNTIFS(BASE[Cod.Establecimiento],$AK$2,BASE[CODCIE102],EPV_SARAMPION646669727378808185929495[[#This Row],[CIE-10]]))</calculatedColumnFormula>
    </tableColumn>
    <tableColumn id="4" xr3:uid="{3820E649-DFBC-499E-A8FE-E4D51A0172F6}" name="D3" dataDxfId="1376">
      <calculatedColumnFormula>IF($AK$2="(Todas)",COUNTIF(BASE[CODCIE104],EPV_SARAMPION646669727378808185929495[[#This Row],[CIE-10]]),COUNTIFS(BASE[Cod.Establecimiento],$AK$2,BASE[CODCIE104],EPV_SARAMPION646669727378808185929495[[#This Row],[CIE-10]]))</calculatedColumnFormula>
    </tableColumn>
    <tableColumn id="5" xr3:uid="{1791C673-D43F-4B63-9856-494E43E785B0}" name="D4" dataDxfId="1375">
      <calculatedColumnFormula>IF($AK$2="(Todas)",COUNTIF(BASE[CODCIE106],EPV_SARAMPION646669727378808185929495[[#This Row],[CIE-10]]),COUNTIFS(BASE[Cod.Establecimiento],$AK$2,BASE[CODCIE106],EPV_SARAMPION646669727378808185929495[[#This Row],[CIE-10]]))</calculatedColumnFormula>
    </tableColumn>
    <tableColumn id="6" xr3:uid="{22533AF6-B00C-4A65-B86D-650E3AE25FBF}" name="D5" dataDxfId="1374">
      <calculatedColumnFormula>IF($AK$2="(Todas)",COUNTIF(BASE[CODCIE108],EPV_SARAMPION646669727378808185929495[[#This Row],[CIE-10]]),COUNTIFS(BASE[Cod.Establecimiento],$AK$2,BASE[CODCIE108],EPV_SARAMPION646669727378808185929495[[#This Row],[CIE-10]]))</calculatedColumnFormula>
    </tableColumn>
    <tableColumn id="7" xr3:uid="{15EC2CC2-2BDA-4650-A19A-C2EEF9B89ED3}" name="D6" dataDxfId="1373">
      <calculatedColumnFormula>IF($AK$2="(Todas)",COUNTIF(BASE[CODCIE1010],EPV_SARAMPION646669727378808185929495[[#This Row],[CIE-10]]),COUNTIFS(BASE[Cod.Establecimiento],$AK$2,BASE[CODCIE1010],EPV_SARAMPION646669727378808185929495[[#This Row],[CIE-10]]))</calculatedColumnFormula>
    </tableColumn>
    <tableColumn id="8" xr3:uid="{AAB22664-C648-475D-A109-1137CDE3F3D7}" name="TOT" dataDxfId="1372" dataCellStyle="40% - Énfasis6">
      <calculatedColumnFormula>SUM(EPV_SARAMPION646669727378808185929495[[#This Row],[D1]:[D6]])</calculatedColumnFormula>
    </tableColumn>
  </tableColumns>
  <tableStyleInfo name="TableStyleLight1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D9A27300-640E-46A4-82EC-AEBD6F12FBCA}" name="EPV_SARAMPION6466697273788081859296" displayName="EPV_SARAMPION6466697273788081859296" ref="J50:Q51" totalsRowShown="0" headerRowDxfId="1371">
  <autoFilter ref="J50:Q51" xr:uid="{D9A27300-640E-46A4-82EC-AEBD6F12FBC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4237DC00-8984-401B-8F07-0B30F2CE4119}" name="CIE-10" dataCellStyle="20% - Énfasis4"/>
    <tableColumn id="2" xr3:uid="{F587C5AB-95A4-4E67-A14C-ECA2B29ECA52}" name="D1" dataDxfId="1370">
      <calculatedColumnFormula>IF($AK$2="(Todas)",COUNTIF(BASE[CODCIE10],EPV_SARAMPION6466697273788081859296[[#This Row],[CIE-10]]),COUNTIFS(BASE[Cod.Establecimiento],$AK$2,BASE[CODCIE10],EPV_SARAMPION6466697273788081859296[[#This Row],[CIE-10]]))</calculatedColumnFormula>
    </tableColumn>
    <tableColumn id="3" xr3:uid="{EA762E63-4728-4B62-8EC2-2937AD2A9053}" name="D2" dataDxfId="1369">
      <calculatedColumnFormula>IF($AK$2="(Todas)",COUNTIF(BASE[CODCIE102],EPV_SARAMPION6466697273788081859296[[#This Row],[CIE-10]]),COUNTIFS(BASE[Cod.Establecimiento],$AK$2,BASE[CODCIE102],EPV_SARAMPION6466697273788081859296[[#This Row],[CIE-10]]))</calculatedColumnFormula>
    </tableColumn>
    <tableColumn id="4" xr3:uid="{16F6C650-5A2C-4702-ACE1-B6DD8E0EB11A}" name="D3" dataDxfId="1368">
      <calculatedColumnFormula>IF($AK$2="(Todas)",COUNTIF(BASE[CODCIE104],EPV_SARAMPION6466697273788081859296[[#This Row],[CIE-10]]),COUNTIFS(BASE[Cod.Establecimiento],$AK$2,BASE[CODCIE104],EPV_SARAMPION6466697273788081859296[[#This Row],[CIE-10]]))</calculatedColumnFormula>
    </tableColumn>
    <tableColumn id="5" xr3:uid="{F019AA70-6F31-45EE-B38C-B56F012B491F}" name="D4" dataDxfId="1367">
      <calculatedColumnFormula>IF($AK$2="(Todas)",COUNTIF(BASE[CODCIE106],EPV_SARAMPION6466697273788081859296[[#This Row],[CIE-10]]),COUNTIFS(BASE[Cod.Establecimiento],$AK$2,BASE[CODCIE106],EPV_SARAMPION6466697273788081859296[[#This Row],[CIE-10]]))</calculatedColumnFormula>
    </tableColumn>
    <tableColumn id="6" xr3:uid="{D8933E45-697A-4046-ABE3-259E3E20A997}" name="D5" dataDxfId="1366">
      <calculatedColumnFormula>IF($AK$2="(Todas)",COUNTIF(BASE[CODCIE108],EPV_SARAMPION6466697273788081859296[[#This Row],[CIE-10]]),COUNTIFS(BASE[Cod.Establecimiento],$AK$2,BASE[CODCIE108],EPV_SARAMPION6466697273788081859296[[#This Row],[CIE-10]]))</calculatedColumnFormula>
    </tableColumn>
    <tableColumn id="7" xr3:uid="{6CCF512D-C69F-4703-A512-A406D3B37EFB}" name="D6" dataDxfId="1365">
      <calculatedColumnFormula>IF($AK$2="(Todas)",COUNTIF(BASE[CODCIE1010],EPV_SARAMPION6466697273788081859296[[#This Row],[CIE-10]]),COUNTIFS(BASE[Cod.Establecimiento],$AK$2,BASE[CODCIE1010],EPV_SARAMPION6466697273788081859296[[#This Row],[CIE-10]]))</calculatedColumnFormula>
    </tableColumn>
    <tableColumn id="8" xr3:uid="{194224B7-B3D5-4E9A-ABC4-5A31A4E80FC9}" name="TOT" dataDxfId="1364" dataCellStyle="40% - Énfasis6">
      <calculatedColumnFormula>SUM(EPV_SARAMPION6466697273788081859296[[#This Row],[D1]:[D6]])</calculatedColumnFormula>
    </tableColumn>
  </tableColumns>
  <tableStyleInfo name="TableStyleLight1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F9971295-2306-4C2B-8E32-8A9D2789CFC7}" name="EPV_SARAMPION646669727378808185929697" displayName="EPV_SARAMPION646669727378808185929697" ref="S50:Z51" totalsRowShown="0" headerRowDxfId="1363">
  <autoFilter ref="S50:Z51" xr:uid="{F9971295-2306-4C2B-8E32-8A9D2789CFC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D0063A0E-36C5-4577-B936-DBEEF6ACDB97}" name="CIE-10" dataCellStyle="20% - Énfasis4"/>
    <tableColumn id="2" xr3:uid="{24929F87-0A46-41E1-A6C4-1F2BDCFC161E}" name="D1" dataDxfId="1362">
      <calculatedColumnFormula>IF($AK$2="(Todas)",COUNTIF(BASE[CODCIE10],EPV_SARAMPION646669727378808185929697[[#This Row],[CIE-10]]),COUNTIFS(BASE[Cod.Establecimiento],$AK$2,BASE[CODCIE10],EPV_SARAMPION646669727378808185929697[[#This Row],[CIE-10]]))</calculatedColumnFormula>
    </tableColumn>
    <tableColumn id="3" xr3:uid="{E51A96B6-CEEA-44EB-AAE7-516F3A528D26}" name="D2" dataDxfId="1361">
      <calculatedColumnFormula>IF($AK$2="(Todas)",COUNTIF(BASE[CODCIE102],EPV_SARAMPION646669727378808185929697[[#This Row],[CIE-10]]),COUNTIFS(BASE[Cod.Establecimiento],$AK$2,BASE[CODCIE102],EPV_SARAMPION646669727378808185929697[[#This Row],[CIE-10]]))</calculatedColumnFormula>
    </tableColumn>
    <tableColumn id="4" xr3:uid="{F0504F55-F3BF-43FF-9489-02F9DCF94815}" name="D3" dataDxfId="1360">
      <calculatedColumnFormula>IF($AK$2="(Todas)",COUNTIF(BASE[CODCIE104],EPV_SARAMPION646669727378808185929697[[#This Row],[CIE-10]]),COUNTIFS(BASE[Cod.Establecimiento],$AK$2,BASE[CODCIE104],EPV_SARAMPION646669727378808185929697[[#This Row],[CIE-10]]))</calculatedColumnFormula>
    </tableColumn>
    <tableColumn id="5" xr3:uid="{EFDA1F8D-A9CE-44B6-8B06-8340857A3D58}" name="D4" dataDxfId="1359">
      <calculatedColumnFormula>IF($AK$2="(Todas)",COUNTIF(BASE[CODCIE106],EPV_SARAMPION646669727378808185929697[[#This Row],[CIE-10]]),COUNTIFS(BASE[Cod.Establecimiento],$AK$2,BASE[CODCIE106],EPV_SARAMPION646669727378808185929697[[#This Row],[CIE-10]]))</calculatedColumnFormula>
    </tableColumn>
    <tableColumn id="6" xr3:uid="{10DE1CB9-A7C9-482C-845C-DFC468A52085}" name="D5" dataDxfId="1358">
      <calculatedColumnFormula>IF($AK$2="(Todas)",COUNTIF(BASE[CODCIE108],EPV_SARAMPION646669727378808185929697[[#This Row],[CIE-10]]),COUNTIFS(BASE[Cod.Establecimiento],$AK$2,BASE[CODCIE108],EPV_SARAMPION646669727378808185929697[[#This Row],[CIE-10]]))</calculatedColumnFormula>
    </tableColumn>
    <tableColumn id="7" xr3:uid="{1C390C1D-D4FE-4EF0-B392-1508DACB5FF5}" name="D6" dataDxfId="1357">
      <calculatedColumnFormula>IF($AK$2="(Todas)",COUNTIF(BASE[CODCIE1010],EPV_SARAMPION646669727378808185929697[[#This Row],[CIE-10]]),COUNTIFS(BASE[Cod.Establecimiento],$AK$2,BASE[CODCIE1010],EPV_SARAMPION646669727378808185929697[[#This Row],[CIE-10]]))</calculatedColumnFormula>
    </tableColumn>
    <tableColumn id="8" xr3:uid="{F3D08597-9E25-4AB4-B47E-8BB0DCF224D4}" name="TOT" dataDxfId="1356" dataCellStyle="40% - Énfasis6">
      <calculatedColumnFormula>SUM(EPV_SARAMPION646669727378808185929697[[#This Row],[D1]:[D6]])</calculatedColumnFormula>
    </tableColumn>
  </tableColumns>
  <tableStyleInfo name="TableStyleLight1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0B76880D-F4A4-409F-9FC2-CEAB7F439F9B}" name="EPV_SARAMPION64666972737880818592969798" displayName="EPV_SARAMPION64666972737880818592969798" ref="AB50:AI51" totalsRowShown="0" headerRowDxfId="1355">
  <autoFilter ref="AB50:AI51" xr:uid="{0B76880D-F4A4-409F-9FC2-CEAB7F439F9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40CEBA50-94AE-4E04-B5B6-D0D1C943A88A}" name="CIE-10" dataCellStyle="20% - Énfasis4"/>
    <tableColumn id="2" xr3:uid="{AEE9D4E5-F1A1-47F5-9A42-134BB72E9EDE}" name="D1" dataDxfId="1354">
      <calculatedColumnFormula>IF($AK$2="(Todas)",COUNTIF(BASE[CODCIE10],EPV_SARAMPION64666972737880818592969798[[#This Row],[CIE-10]]),COUNTIFS(BASE[Cod.Establecimiento],$AK$2,BASE[CODCIE10],EPV_SARAMPION64666972737880818592969798[[#This Row],[CIE-10]]))</calculatedColumnFormula>
    </tableColumn>
    <tableColumn id="3" xr3:uid="{669882AE-EC8E-424C-8164-CD9D0CE03F01}" name="D2" dataDxfId="1353">
      <calculatedColumnFormula>IF($AK$2="(Todas)",COUNTIF(BASE[CODCIE102],EPV_SARAMPION64666972737880818592969798[[#This Row],[CIE-10]]),COUNTIFS(BASE[Cod.Establecimiento],$AK$2,BASE[CODCIE102],EPV_SARAMPION64666972737880818592969798[[#This Row],[CIE-10]]))</calculatedColumnFormula>
    </tableColumn>
    <tableColumn id="4" xr3:uid="{236E0395-8D44-427B-9A61-3ECE9E4BE61F}" name="D3" dataDxfId="1352">
      <calculatedColumnFormula>IF($AK$2="(Todas)",COUNTIF(BASE[CODCIE104],EPV_SARAMPION64666972737880818592969798[[#This Row],[CIE-10]]),COUNTIFS(BASE[Cod.Establecimiento],$AK$2,BASE[CODCIE104],EPV_SARAMPION64666972737880818592969798[[#This Row],[CIE-10]]))</calculatedColumnFormula>
    </tableColumn>
    <tableColumn id="5" xr3:uid="{F67B9E07-F09A-4B3F-97A3-F260AB4BD175}" name="D4" dataDxfId="1351">
      <calculatedColumnFormula>IF($AK$2="(Todas)",COUNTIF(BASE[CODCIE106],EPV_SARAMPION64666972737880818592969798[[#This Row],[CIE-10]]),COUNTIFS(BASE[Cod.Establecimiento],$AK$2,BASE[CODCIE106],EPV_SARAMPION64666972737880818592969798[[#This Row],[CIE-10]]))</calculatedColumnFormula>
    </tableColumn>
    <tableColumn id="6" xr3:uid="{DAEADD49-89E2-49A0-8D8E-D9F679E879E0}" name="D5" dataDxfId="1350">
      <calculatedColumnFormula>IF($AK$2="(Todas)",COUNTIF(BASE[CODCIE108],EPV_SARAMPION64666972737880818592969798[[#This Row],[CIE-10]]),COUNTIFS(BASE[Cod.Establecimiento],$AK$2,BASE[CODCIE108],EPV_SARAMPION64666972737880818592969798[[#This Row],[CIE-10]]))</calculatedColumnFormula>
    </tableColumn>
    <tableColumn id="7" xr3:uid="{72BFC934-DFFB-4BE3-BD1A-1DFE0F316E7E}" name="D6" dataDxfId="1349">
      <calculatedColumnFormula>IF($AK$2="(Todas)",COUNTIF(BASE[CODCIE1010],EPV_SARAMPION64666972737880818592969798[[#This Row],[CIE-10]]),COUNTIFS(BASE[Cod.Establecimiento],$AK$2,BASE[CODCIE1010],EPV_SARAMPION64666972737880818592969798[[#This Row],[CIE-10]]))</calculatedColumnFormula>
    </tableColumn>
    <tableColumn id="8" xr3:uid="{65C517C0-FE5B-488A-B2F3-1C474D735609}" name="TOT" dataDxfId="1348" dataCellStyle="40% - Énfasis6">
      <calculatedColumnFormula>SUM(EPV_SARAMPION64666972737880818592969798[[#This Row],[D1]:[D6]])</calculatedColumnFormula>
    </tableColumn>
  </tableColumns>
  <tableStyleInfo name="TableStyleLight1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B8C7D233-E4A5-43E5-8771-EA8A2E3C3A0A}" name="EPV_SARAMPION64666972737880818592969798100" displayName="EPV_SARAMPION64666972737880818592969798100" ref="A55:H56" totalsRowShown="0" headerRowDxfId="1347">
  <autoFilter ref="A55:H56" xr:uid="{B8C7D233-E4A5-43E5-8771-EA8A2E3C3A0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A051965D-58BD-45A0-BD99-99FDBC956DEE}" name="CIE-10" dataCellStyle="20% - Énfasis4"/>
    <tableColumn id="2" xr3:uid="{1349AB3A-8106-4005-B2AC-8D24126AC24D}" name="D1" dataDxfId="1346">
      <calculatedColumnFormula>IF($AK$2="(Todas)",COUNTIF(BASE[CODCIE10],EPV_SARAMPION64666972737880818592969798100[[#This Row],[CIE-10]]),COUNTIFS(BASE[Cod.Establecimiento],$AK$2,BASE[CODCIE10],EPV_SARAMPION64666972737880818592969798100[[#This Row],[CIE-10]]))</calculatedColumnFormula>
    </tableColumn>
    <tableColumn id="3" xr3:uid="{1E02A14F-C904-4BD0-8041-9E24225F659E}" name="D2" dataDxfId="1345">
      <calculatedColumnFormula>IF($AK$2="(Todas)",COUNTIF(BASE[CODCIE102],EPV_SARAMPION64666972737880818592969798100[[#This Row],[CIE-10]]),COUNTIFS(BASE[Cod.Establecimiento],$AK$2,BASE[CODCIE102],EPV_SARAMPION64666972737880818592969798100[[#This Row],[CIE-10]]))</calculatedColumnFormula>
    </tableColumn>
    <tableColumn id="4" xr3:uid="{17CCD88A-9AD7-457D-AF23-3CCA40BF64AB}" name="D3" dataDxfId="1344">
      <calculatedColumnFormula>IF($AK$2="(Todas)",COUNTIF(BASE[CODCIE104],EPV_SARAMPION64666972737880818592969798100[[#This Row],[CIE-10]]),COUNTIFS(BASE[Cod.Establecimiento],$AK$2,BASE[CODCIE104],EPV_SARAMPION64666972737880818592969798100[[#This Row],[CIE-10]]))</calculatedColumnFormula>
    </tableColumn>
    <tableColumn id="5" xr3:uid="{D006C0CB-18B0-4A6E-BB1E-AE9091B2FC9B}" name="D4" dataDxfId="1343">
      <calculatedColumnFormula>IF($AK$2="(Todas)",COUNTIF(BASE[CODCIE106],EPV_SARAMPION64666972737880818592969798100[[#This Row],[CIE-10]]),COUNTIFS(BASE[Cod.Establecimiento],$AK$2,BASE[CODCIE106],EPV_SARAMPION64666972737880818592969798100[[#This Row],[CIE-10]]))</calculatedColumnFormula>
    </tableColumn>
    <tableColumn id="6" xr3:uid="{457ABB58-6ED8-441A-A376-A8C903FC7C7E}" name="D5" dataDxfId="1342">
      <calculatedColumnFormula>IF($AK$2="(Todas)",COUNTIF(BASE[CODCIE108],EPV_SARAMPION64666972737880818592969798100[[#This Row],[CIE-10]]),COUNTIFS(BASE[Cod.Establecimiento],$AK$2,BASE[CODCIE108],EPV_SARAMPION64666972737880818592969798100[[#This Row],[CIE-10]]))</calculatedColumnFormula>
    </tableColumn>
    <tableColumn id="7" xr3:uid="{F6E61348-ACD6-4ADC-BAEC-43FBFD75DF64}" name="D6" dataDxfId="1341">
      <calculatedColumnFormula>IF($AK$2="(Todas)",COUNTIF(BASE[CODCIE1010],EPV_SARAMPION64666972737880818592969798100[[#This Row],[CIE-10]]),COUNTIFS(BASE[Cod.Establecimiento],$AK$2,BASE[CODCIE1010],EPV_SARAMPION64666972737880818592969798100[[#This Row],[CIE-10]]))</calculatedColumnFormula>
    </tableColumn>
    <tableColumn id="8" xr3:uid="{D3730F58-FBC0-4585-BBE9-CC0ECE501D6B}" name="TOT" dataDxfId="1340" dataCellStyle="40% - Énfasis6">
      <calculatedColumnFormula>SUM(EPV_SARAMPION64666972737880818592969798100[[#This Row],[D1]:[D6]])</calculatedColumnFormula>
    </tableColumn>
  </tableColumns>
  <tableStyleInfo name="TableStyleLight1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295CE918-C255-4ACA-81A0-33ADEACDB2E2}" name="EPV_SARAMPION6466697273788081859296979810068" displayName="EPV_SARAMPION6466697273788081859296979810068" ref="J55:Q56" totalsRowShown="0" headerRowDxfId="1339">
  <autoFilter ref="J55:Q56" xr:uid="{295CE918-C255-4ACA-81A0-33ADEACDB2E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E1F52E2B-A291-488D-8B13-7FC4C0D38FC5}" name="CIE-10" dataCellStyle="20% - Énfasis4"/>
    <tableColumn id="2" xr3:uid="{7AB0ACF7-CD53-4CF2-9AA3-BDCDE26025FE}" name="D1" dataDxfId="1338">
      <calculatedColumnFormula>IF($AK$2="(Todas)",COUNTIF(BASE[CODCIE10],EPV_SARAMPION6466697273788081859296979810068[[#This Row],[CIE-10]]),COUNTIFS(BASE[Cod.Establecimiento],$AK$2,BASE[CODCIE10],EPV_SARAMPION6466697273788081859296979810068[[#This Row],[CIE-10]]))</calculatedColumnFormula>
    </tableColumn>
    <tableColumn id="3" xr3:uid="{E77D908F-0BFB-4489-9D66-EDEC29A66EB2}" name="D2" dataDxfId="1337">
      <calculatedColumnFormula>IF($AK$2="(Todas)",COUNTIF(BASE[CODCIE102],EPV_SARAMPION6466697273788081859296979810068[[#This Row],[CIE-10]]),COUNTIFS(BASE[Cod.Establecimiento],$AK$2,BASE[CODCIE102],EPV_SARAMPION6466697273788081859296979810068[[#This Row],[CIE-10]]))</calculatedColumnFormula>
    </tableColumn>
    <tableColumn id="4" xr3:uid="{A4AA87F4-A1D7-40EE-9FEB-3784CF8136A5}" name="D3" dataDxfId="1336">
      <calculatedColumnFormula>IF($AK$2="(Todas)",COUNTIF(BASE[CODCIE104],EPV_SARAMPION6466697273788081859296979810068[[#This Row],[CIE-10]]),COUNTIFS(BASE[Cod.Establecimiento],$AK$2,BASE[CODCIE104],EPV_SARAMPION6466697273788081859296979810068[[#This Row],[CIE-10]]))</calculatedColumnFormula>
    </tableColumn>
    <tableColumn id="5" xr3:uid="{D8C32128-AE63-4096-A95F-7255582B1C16}" name="D4" dataDxfId="1335">
      <calculatedColumnFormula>IF($AK$2="(Todas)",COUNTIF(BASE[CODCIE106],EPV_SARAMPION6466697273788081859296979810068[[#This Row],[CIE-10]]),COUNTIFS(BASE[Cod.Establecimiento],$AK$2,BASE[CODCIE106],EPV_SARAMPION6466697273788081859296979810068[[#This Row],[CIE-10]]))</calculatedColumnFormula>
    </tableColumn>
    <tableColumn id="6" xr3:uid="{5487BE99-957B-4298-B634-130588B17F0E}" name="D5" dataDxfId="1334">
      <calculatedColumnFormula>IF($AK$2="(Todas)",COUNTIF(BASE[CODCIE108],EPV_SARAMPION6466697273788081859296979810068[[#This Row],[CIE-10]]),COUNTIFS(BASE[Cod.Establecimiento],$AK$2,BASE[CODCIE108],EPV_SARAMPION6466697273788081859296979810068[[#This Row],[CIE-10]]))</calculatedColumnFormula>
    </tableColumn>
    <tableColumn id="7" xr3:uid="{9655F28A-E26E-4A7E-93D8-20FD0641C00D}" name="D6" dataDxfId="1333">
      <calculatedColumnFormula>IF($AK$2="(Todas)",COUNTIF(BASE[CODCIE1010],EPV_SARAMPION6466697273788081859296979810068[[#This Row],[CIE-10]]),COUNTIFS(BASE[Cod.Establecimiento],$AK$2,BASE[CODCIE1010],EPV_SARAMPION6466697273788081859296979810068[[#This Row],[CIE-10]]))</calculatedColumnFormula>
    </tableColumn>
    <tableColumn id="8" xr3:uid="{AA21050B-FE91-49E7-972A-E846C2C72E39}" name="TOT" dataDxfId="1332" dataCellStyle="40% - Énfasis6">
      <calculatedColumnFormula>SUM(EPV_SARAMPION6466697273788081859296979810068[[#This Row],[D1]:[D6]])</calculatedColumnFormula>
    </tableColumn>
  </tableColumns>
  <tableStyleInfo name="TableStyleLight1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068BDBDF-D572-4549-8427-37A4218A1152}" name="EPV_SARAMPION646669727378808185929697981006879" displayName="EPV_SARAMPION646669727378808185929697981006879" ref="S55:Z56" totalsRowShown="0" headerRowDxfId="1331">
  <autoFilter ref="S55:Z56" xr:uid="{068BDBDF-D572-4549-8427-37A4218A115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98F53AEB-E403-4685-BE95-3367064108C7}" name="CIE-10" dataCellStyle="20% - Énfasis4"/>
    <tableColumn id="2" xr3:uid="{57B749B8-6C69-4920-8F9A-8536482F7E7E}" name="D1" dataDxfId="1330">
      <calculatedColumnFormula>IF($AK$2="(Todas)",COUNTIF(BASE[CODCIE10],EPV_SARAMPION646669727378808185929697981006879[[#This Row],[CIE-10]]),COUNTIFS(BASE[Cod.Establecimiento],$AK$2,BASE[CODCIE10],EPV_SARAMPION646669727378808185929697981006879[[#This Row],[CIE-10]]))</calculatedColumnFormula>
    </tableColumn>
    <tableColumn id="3" xr3:uid="{D325EAB3-0D69-4B66-BFC5-C5C30A99A181}" name="D2" dataDxfId="1329">
      <calculatedColumnFormula>IF($AK$2="(Todas)",COUNTIF(BASE[CODCIE102],EPV_SARAMPION646669727378808185929697981006879[[#This Row],[CIE-10]]),COUNTIFS(BASE[Cod.Establecimiento],$AK$2,BASE[CODCIE102],EPV_SARAMPION646669727378808185929697981006879[[#This Row],[CIE-10]]))</calculatedColumnFormula>
    </tableColumn>
    <tableColumn id="4" xr3:uid="{4EEF2292-2C69-47E0-B98D-3513DF124BB4}" name="D3" dataDxfId="1328">
      <calculatedColumnFormula>IF($AK$2="(Todas)",COUNTIF(BASE[CODCIE104],EPV_SARAMPION646669727378808185929697981006879[[#This Row],[CIE-10]]),COUNTIFS(BASE[Cod.Establecimiento],$AK$2,BASE[CODCIE104],EPV_SARAMPION646669727378808185929697981006879[[#This Row],[CIE-10]]))</calculatedColumnFormula>
    </tableColumn>
    <tableColumn id="5" xr3:uid="{13F14828-8915-4BD8-9893-E2E82E2F8DA0}" name="D4" dataDxfId="1327">
      <calculatedColumnFormula>IF($AK$2="(Todas)",COUNTIF(BASE[CODCIE106],EPV_SARAMPION646669727378808185929697981006879[[#This Row],[CIE-10]]),COUNTIFS(BASE[Cod.Establecimiento],$AK$2,BASE[CODCIE106],EPV_SARAMPION646669727378808185929697981006879[[#This Row],[CIE-10]]))</calculatedColumnFormula>
    </tableColumn>
    <tableColumn id="6" xr3:uid="{53E8E14B-3E0C-43E5-84C9-7E613E7BC872}" name="D5" dataDxfId="1326">
      <calculatedColumnFormula>IF($AK$2="(Todas)",COUNTIF(BASE[CODCIE108],EPV_SARAMPION646669727378808185929697981006879[[#This Row],[CIE-10]]),COUNTIFS(BASE[Cod.Establecimiento],$AK$2,BASE[CODCIE108],EPV_SARAMPION646669727378808185929697981006879[[#This Row],[CIE-10]]))</calculatedColumnFormula>
    </tableColumn>
    <tableColumn id="7" xr3:uid="{86B7CE63-5D40-43FD-A669-D4C040F0135E}" name="D6" dataDxfId="1325">
      <calculatedColumnFormula>IF($AK$2="(Todas)",COUNTIF(BASE[CODCIE1010],EPV_SARAMPION646669727378808185929697981006879[[#This Row],[CIE-10]]),COUNTIFS(BASE[Cod.Establecimiento],$AK$2,BASE[CODCIE1010],EPV_SARAMPION646669727378808185929697981006879[[#This Row],[CIE-10]]))</calculatedColumnFormula>
    </tableColumn>
    <tableColumn id="8" xr3:uid="{EA67C55C-B68A-4DA3-9FC1-F688A795470F}" name="TOT" dataDxfId="1324" dataCellStyle="40% - Énfasis6">
      <calculatedColumnFormula>SUM(EPV_SARAMPION646669727378808185929697981006879[[#This Row],[D1]:[D6]])</calculatedColumnFormula>
    </tableColumn>
  </tableColumns>
  <tableStyleInfo name="TableStyleLight1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6F6E8278-C56E-4707-A064-C74ABF262CEC}" name="EPV_SARAMPION64666972737880818592969798100687989" displayName="EPV_SARAMPION64666972737880818592969798100687989" ref="A60:H63" totalsRowShown="0" headerRowDxfId="1323">
  <autoFilter ref="A60:H63" xr:uid="{6F6E8278-C56E-4707-A064-C74ABF262CE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56A887AA-6223-4F4C-A5D7-2119B5DF8D17}" name="CIE-10" dataCellStyle="20% - Énfasis4"/>
    <tableColumn id="2" xr3:uid="{B875CF0A-DE84-4B0E-B83A-E21A9D40E850}" name="D1" dataDxfId="1322">
      <calculatedColumnFormula>IF($AK$2="(Todas)",COUNTIF(BASE[CODCIE10],EPV_SARAMPION64666972737880818592969798100687989[[#This Row],[CIE-10]]),COUNTIFS(BASE[Cod.Establecimiento],$AK$2,BASE[CODCIE10],EPV_SARAMPION64666972737880818592969798100687989[[#This Row],[CIE-10]]))</calculatedColumnFormula>
    </tableColumn>
    <tableColumn id="3" xr3:uid="{42860E92-B5DE-43E2-8EEA-32912E7A6276}" name="D2" dataDxfId="1321">
      <calculatedColumnFormula>IF($AK$2="(Todas)",COUNTIF(BASE[CODCIE102],EPV_SARAMPION64666972737880818592969798100687989[[#This Row],[CIE-10]]),COUNTIFS(BASE[Cod.Establecimiento],$AK$2,BASE[CODCIE102],EPV_SARAMPION64666972737880818592969798100687989[[#This Row],[CIE-10]]))</calculatedColumnFormula>
    </tableColumn>
    <tableColumn id="4" xr3:uid="{40C248E3-DA90-4F56-93CD-2E656D207A0E}" name="D3" dataDxfId="1320">
      <calculatedColumnFormula>IF($AK$2="(Todas)",COUNTIF(BASE[CODCIE104],EPV_SARAMPION64666972737880818592969798100687989[[#This Row],[CIE-10]]),COUNTIFS(BASE[Cod.Establecimiento],$AK$2,BASE[CODCIE104],EPV_SARAMPION64666972737880818592969798100687989[[#This Row],[CIE-10]]))</calculatedColumnFormula>
    </tableColumn>
    <tableColumn id="5" xr3:uid="{08D8B2B3-DABD-43EC-927C-9309AA280432}" name="D4" dataDxfId="1319">
      <calculatedColumnFormula>IF($AK$2="(Todas)",COUNTIF(BASE[CODCIE106],EPV_SARAMPION64666972737880818592969798100687989[[#This Row],[CIE-10]]),COUNTIFS(BASE[Cod.Establecimiento],$AK$2,BASE[CODCIE106],EPV_SARAMPION64666972737880818592969798100687989[[#This Row],[CIE-10]]))</calculatedColumnFormula>
    </tableColumn>
    <tableColumn id="6" xr3:uid="{ACE02ED0-CBB8-4F19-B82B-43B2D907EF9F}" name="D5" dataDxfId="1318">
      <calculatedColumnFormula>IF($AK$2="(Todas)",COUNTIF(BASE[CODCIE108],EPV_SARAMPION64666972737880818592969798100687989[[#This Row],[CIE-10]]),COUNTIFS(BASE[Cod.Establecimiento],$AK$2,BASE[CODCIE108],EPV_SARAMPION64666972737880818592969798100687989[[#This Row],[CIE-10]]))</calculatedColumnFormula>
    </tableColumn>
    <tableColumn id="7" xr3:uid="{63629720-898A-4B17-AEEE-D201C8136919}" name="D6" dataDxfId="1317">
      <calculatedColumnFormula>IF($AK$2="(Todas)",COUNTIF(BASE[CODCIE1010],EPV_SARAMPION64666972737880818592969798100687989[[#This Row],[CIE-10]]),COUNTIFS(BASE[Cod.Establecimiento],$AK$2,BASE[CODCIE1010],EPV_SARAMPION64666972737880818592969798100687989[[#This Row],[CIE-10]]))</calculatedColumnFormula>
    </tableColumn>
    <tableColumn id="8" xr3:uid="{88B31914-7FB7-4700-B7A8-8AE51B2A18B1}" name="TOT" dataDxfId="1316" dataCellStyle="40% - Énfasis6">
      <calculatedColumnFormula>SUM(EPV_SARAMPION64666972737880818592969798100687989[[#This Row],[D1]:[D6]])</calculatedColumnFormula>
    </tableColumn>
  </tableColumns>
  <tableStyleInfo name="TableStyleLight1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10F3F8C-23CA-4B11-8D19-C1E21BEFA7B5}" name="EPV_SARAMPION646669727378808185929697981006890" displayName="EPV_SARAMPION646669727378808185929697981006890" ref="J60:Q63" totalsRowShown="0" headerRowDxfId="1315">
  <autoFilter ref="J60:Q63" xr:uid="{D10F3F8C-23CA-4B11-8D19-C1E21BEFA7B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6EC79574-9F0E-4816-8E24-9F07521BCCC3}" name="CIE-10" dataCellStyle="20% - Énfasis4"/>
    <tableColumn id="2" xr3:uid="{6BBBE1FE-E38D-4B85-97BB-FB840078576C}" name="D1" dataDxfId="1314">
      <calculatedColumnFormula>IF($AK$2="(Todas)",COUNTIF(BASE[CODCIE10],EPV_SARAMPION646669727378808185929697981006890[[#This Row],[CIE-10]]),COUNTIFS(BASE[Cod.Establecimiento],$AK$2,BASE[CODCIE10],EPV_SARAMPION646669727378808185929697981006890[[#This Row],[CIE-10]]))</calculatedColumnFormula>
    </tableColumn>
    <tableColumn id="3" xr3:uid="{E30165AB-0543-4CDF-B8E6-0E860474035E}" name="D2" dataDxfId="1313">
      <calculatedColumnFormula>IF($AK$2="(Todas)",COUNTIF(BASE[CODCIE102],EPV_SARAMPION646669727378808185929697981006890[[#This Row],[CIE-10]]),COUNTIFS(BASE[Cod.Establecimiento],$AK$2,BASE[CODCIE102],EPV_SARAMPION646669727378808185929697981006890[[#This Row],[CIE-10]]))</calculatedColumnFormula>
    </tableColumn>
    <tableColumn id="4" xr3:uid="{FF39CF53-F369-4825-88ED-8550926C8020}" name="D3" dataDxfId="1312">
      <calculatedColumnFormula>IF($AK$2="(Todas)",COUNTIF(BASE[CODCIE104],EPV_SARAMPION646669727378808185929697981006890[[#This Row],[CIE-10]]),COUNTIFS(BASE[Cod.Establecimiento],$AK$2,BASE[CODCIE104],EPV_SARAMPION646669727378808185929697981006890[[#This Row],[CIE-10]]))</calculatedColumnFormula>
    </tableColumn>
    <tableColumn id="5" xr3:uid="{64F8C0D2-90A8-46EC-ABDD-4718AF0B5C88}" name="D4" dataDxfId="1311">
      <calculatedColumnFormula>IF($AK$2="(Todas)",COUNTIF(BASE[CODCIE106],EPV_SARAMPION646669727378808185929697981006890[[#This Row],[CIE-10]]),COUNTIFS(BASE[Cod.Establecimiento],$AK$2,BASE[CODCIE106],EPV_SARAMPION646669727378808185929697981006890[[#This Row],[CIE-10]]))</calculatedColumnFormula>
    </tableColumn>
    <tableColumn id="6" xr3:uid="{ABAEE529-27DE-49A5-9C0C-3151F4194BA4}" name="D5" dataDxfId="1310">
      <calculatedColumnFormula>IF($AK$2="(Todas)",COUNTIF(BASE[CODCIE108],EPV_SARAMPION646669727378808185929697981006890[[#This Row],[CIE-10]]),COUNTIFS(BASE[Cod.Establecimiento],$AK$2,BASE[CODCIE108],EPV_SARAMPION646669727378808185929697981006890[[#This Row],[CIE-10]]))</calculatedColumnFormula>
    </tableColumn>
    <tableColumn id="7" xr3:uid="{3240DA8D-9032-48A0-9ED0-81546C9D0CC0}" name="D6" dataDxfId="1309">
      <calculatedColumnFormula>IF($AK$2="(Todas)",COUNTIF(BASE[CODCIE1010],EPV_SARAMPION646669727378808185929697981006890[[#This Row],[CIE-10]]),COUNTIFS(BASE[Cod.Establecimiento],$AK$2,BASE[CODCIE1010],EPV_SARAMPION646669727378808185929697981006890[[#This Row],[CIE-10]]))</calculatedColumnFormula>
    </tableColumn>
    <tableColumn id="8" xr3:uid="{295090EB-045F-4004-8818-67ACD00EE95B}" name="TOT" dataDxfId="1308" dataCellStyle="40% - Énfasis6">
      <calculatedColumnFormula>SUM(EPV_SARAMPION646669727378808185929697981006890[[#This Row],[D1]:[D6]])</calculatedColumnFormula>
    </tableColumn>
  </tableColumns>
  <tableStyleInfo name="TableStyleLight1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F312EFCF-8005-481C-9722-1DF1F2A25295}" name="EPV_SARAMPION64666972737880818592969798100687993" displayName="EPV_SARAMPION64666972737880818592969798100687993" ref="AB55:AI56" totalsRowShown="0" headerRowDxfId="1307">
  <autoFilter ref="AB55:AI56" xr:uid="{F312EFCF-8005-481C-9722-1DF1F2A2529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33A41008-930A-4C3F-9853-7880800BB913}" name="CIE-10" dataCellStyle="20% - Énfasis4"/>
    <tableColumn id="2" xr3:uid="{127D509E-A4C7-4D08-9D62-8F9454679A9D}" name="D1" dataDxfId="1306">
      <calculatedColumnFormula>IF($AK$2="(Todas)",COUNTIF(BASE[CODCIE10],EPV_SARAMPION64666972737880818592969798100687993[[#This Row],[CIE-10]]),COUNTIFS(BASE[Cod.Establecimiento],$AK$2,BASE[CODCIE10],EPV_SARAMPION64666972737880818592969798100687993[[#This Row],[CIE-10]]))</calculatedColumnFormula>
    </tableColumn>
    <tableColumn id="3" xr3:uid="{F623C382-67CD-494C-BBEE-D0B88CD0C95D}" name="D2" dataDxfId="1305">
      <calculatedColumnFormula>IF($AK$2="(Todas)",COUNTIF(BASE[CODCIE102],EPV_SARAMPION64666972737880818592969798100687993[[#This Row],[CIE-10]]),COUNTIFS(BASE[Cod.Establecimiento],$AK$2,BASE[CODCIE102],EPV_SARAMPION64666972737880818592969798100687993[[#This Row],[CIE-10]]))</calculatedColumnFormula>
    </tableColumn>
    <tableColumn id="4" xr3:uid="{ACFD90E8-0D94-4EC2-A9FC-75ABB1B40DFF}" name="D3" dataDxfId="1304">
      <calculatedColumnFormula>IF($AK$2="(Todas)",COUNTIF(BASE[CODCIE104],EPV_SARAMPION64666972737880818592969798100687993[[#This Row],[CIE-10]]),COUNTIFS(BASE[Cod.Establecimiento],$AK$2,BASE[CODCIE104],EPV_SARAMPION64666972737880818592969798100687993[[#This Row],[CIE-10]]))</calculatedColumnFormula>
    </tableColumn>
    <tableColumn id="5" xr3:uid="{5C87E943-5D44-4A4D-9B97-78928BFFE71E}" name="D4" dataDxfId="1303">
      <calculatedColumnFormula>IF($AK$2="(Todas)",COUNTIF(BASE[CODCIE106],EPV_SARAMPION64666972737880818592969798100687993[[#This Row],[CIE-10]]),COUNTIFS(BASE[Cod.Establecimiento],$AK$2,BASE[CODCIE106],EPV_SARAMPION64666972737880818592969798100687993[[#This Row],[CIE-10]]))</calculatedColumnFormula>
    </tableColumn>
    <tableColumn id="6" xr3:uid="{06B5F8F9-E5EB-4D89-AD81-34E9EE0C174D}" name="D5" dataDxfId="1302">
      <calculatedColumnFormula>IF($AK$2="(Todas)",COUNTIF(BASE[CODCIE108],EPV_SARAMPION64666972737880818592969798100687993[[#This Row],[CIE-10]]),COUNTIFS(BASE[Cod.Establecimiento],$AK$2,BASE[CODCIE108],EPV_SARAMPION64666972737880818592969798100687993[[#This Row],[CIE-10]]))</calculatedColumnFormula>
    </tableColumn>
    <tableColumn id="7" xr3:uid="{FCF60094-ED10-4538-A9F5-E5D40A703227}" name="D6" dataDxfId="1301">
      <calculatedColumnFormula>IF($AK$2="(Todas)",COUNTIF(BASE[CODCIE1010],EPV_SARAMPION64666972737880818592969798100687993[[#This Row],[CIE-10]]),COUNTIFS(BASE[Cod.Establecimiento],$AK$2,BASE[CODCIE1010],EPV_SARAMPION64666972737880818592969798100687993[[#This Row],[CIE-10]]))</calculatedColumnFormula>
    </tableColumn>
    <tableColumn id="8" xr3:uid="{C920B1A5-0750-47BC-B48E-2DD443320B04}" name="TOT" dataDxfId="1300" dataCellStyle="40% - Énfasis6">
      <calculatedColumnFormula>SUM(EPV_SARAMPION64666972737880818592969798100687993[[#This Row],[D1]:[D6]])</calculatedColumnFormula>
    </tableColumn>
  </tableColumns>
  <tableStyleInfo name="TableStyleLight1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DC7FB744-87EB-4527-B8AA-4BD9CDDB5AE3}" name="EPV_SARAMPION6466697273788081859296979810068799399" displayName="EPV_SARAMPION6466697273788081859296979810068799399" ref="S60:Z61" totalsRowShown="0" headerRowDxfId="1299">
  <autoFilter ref="S60:Z61" xr:uid="{DC7FB744-87EB-4527-B8AA-4BD9CDDB5AE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8CE87BC7-7C23-4F21-B790-125689E48E25}" name="CIE-10" dataCellStyle="20% - Énfasis4"/>
    <tableColumn id="2" xr3:uid="{8261FB9E-E5D5-46FE-B598-75E696466991}" name="D1" dataDxfId="1298">
      <calculatedColumnFormula>IF($AK$2="(Todas)",COUNTIF(BASE[CODCIE10],EPV_SARAMPION6466697273788081859296979810068799399[[#This Row],[CIE-10]]),COUNTIFS(BASE[Cod.Establecimiento],$AK$2,BASE[CODCIE10],EPV_SARAMPION6466697273788081859296979810068799399[[#This Row],[CIE-10]]))</calculatedColumnFormula>
    </tableColumn>
    <tableColumn id="3" xr3:uid="{967FD669-699D-4F88-8C3B-1C5939332303}" name="D2" dataDxfId="1297">
      <calculatedColumnFormula>IF($AK$2="(Todas)",COUNTIF(BASE[CODCIE102],EPV_SARAMPION6466697273788081859296979810068799399[[#This Row],[CIE-10]]),COUNTIFS(BASE[Cod.Establecimiento],$AK$2,BASE[CODCIE102],EPV_SARAMPION6466697273788081859296979810068799399[[#This Row],[CIE-10]]))</calculatedColumnFormula>
    </tableColumn>
    <tableColumn id="4" xr3:uid="{40C4F931-C220-4C88-9CF3-A27693666942}" name="D3" dataDxfId="1296">
      <calculatedColumnFormula>IF($AK$2="(Todas)",COUNTIF(BASE[CODCIE104],EPV_SARAMPION6466697273788081859296979810068799399[[#This Row],[CIE-10]]),COUNTIFS(BASE[Cod.Establecimiento],$AK$2,BASE[CODCIE104],EPV_SARAMPION6466697273788081859296979810068799399[[#This Row],[CIE-10]]))</calculatedColumnFormula>
    </tableColumn>
    <tableColumn id="5" xr3:uid="{8560A242-D085-46ED-B8DF-EE39240EE880}" name="D4" dataDxfId="1295">
      <calculatedColumnFormula>IF($AK$2="(Todas)",COUNTIF(BASE[CODCIE106],EPV_SARAMPION6466697273788081859296979810068799399[[#This Row],[CIE-10]]),COUNTIFS(BASE[Cod.Establecimiento],$AK$2,BASE[CODCIE106],EPV_SARAMPION6466697273788081859296979810068799399[[#This Row],[CIE-10]]))</calculatedColumnFormula>
    </tableColumn>
    <tableColumn id="6" xr3:uid="{A76999FF-0C48-4F96-A443-4B5B44E0FF63}" name="D5" dataDxfId="1294">
      <calculatedColumnFormula>IF($AK$2="(Todas)",COUNTIF(BASE[CODCIE108],EPV_SARAMPION6466697273788081859296979810068799399[[#This Row],[CIE-10]]),COUNTIFS(BASE[Cod.Establecimiento],$AK$2,BASE[CODCIE108],EPV_SARAMPION6466697273788081859296979810068799399[[#This Row],[CIE-10]]))</calculatedColumnFormula>
    </tableColumn>
    <tableColumn id="7" xr3:uid="{FCCB57B5-C246-4968-869E-9ADBC4948836}" name="D6" dataDxfId="1293">
      <calculatedColumnFormula>IF($AK$2="(Todas)",COUNTIF(BASE[CODCIE1010],EPV_SARAMPION6466697273788081859296979810068799399[[#This Row],[CIE-10]]),COUNTIFS(BASE[Cod.Establecimiento],$AK$2,BASE[CODCIE1010],EPV_SARAMPION6466697273788081859296979810068799399[[#This Row],[CIE-10]]))</calculatedColumnFormula>
    </tableColumn>
    <tableColumn id="8" xr3:uid="{696A387C-CACA-4FF6-899A-C8AD5DAA96EE}" name="TOT" dataDxfId="1292" dataCellStyle="40% - Énfasis6">
      <calculatedColumnFormula>SUM(EPV_SARAMPION6466697273788081859296979810068799399[[#This Row],[D1]:[D6]])</calculatedColumnFormula>
    </tableColumn>
  </tableColumns>
  <tableStyleInfo name="TableStyleLight1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02303F1F-1B93-45D5-9CDD-18531145E7C4}" name="EPV_SARAMPION6466697273788081859296979810068799399101" displayName="EPV_SARAMPION6466697273788081859296979810068799399101" ref="AB60:AI65" totalsRowShown="0" headerRowDxfId="1291">
  <autoFilter ref="AB60:AI65" xr:uid="{02303F1F-1B93-45D5-9CDD-18531145E7C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4E366B8E-880B-4E61-B78E-76B3D3559D83}" name="CIE-10" dataCellStyle="20% - Énfasis4"/>
    <tableColumn id="2" xr3:uid="{AACE1BB2-719F-43B2-A510-C2D30B0F25F5}" name="D1" dataDxfId="1290">
      <calculatedColumnFormula>IF($AK$2="(Todas)",COUNTIF(BASE[CODCIE10],EPV_SARAMPION6466697273788081859296979810068799399101[[#This Row],[CIE-10]]),COUNTIFS(BASE[Cod.Establecimiento],$AK$2,BASE[CODCIE10],EPV_SARAMPION6466697273788081859296979810068799399101[[#This Row],[CIE-10]]))</calculatedColumnFormula>
    </tableColumn>
    <tableColumn id="3" xr3:uid="{A5A48434-0363-472A-9913-7E9C2D5EF93B}" name="D2" dataDxfId="1289">
      <calculatedColumnFormula>IF($AK$2="(Todas)",COUNTIF(BASE[CODCIE102],EPV_SARAMPION6466697273788081859296979810068799399101[[#This Row],[CIE-10]]),COUNTIFS(BASE[Cod.Establecimiento],$AK$2,BASE[CODCIE102],EPV_SARAMPION6466697273788081859296979810068799399101[[#This Row],[CIE-10]]))</calculatedColumnFormula>
    </tableColumn>
    <tableColumn id="4" xr3:uid="{DD4FF218-B034-40F7-BE76-AE46D33DD141}" name="D3" dataDxfId="1288">
      <calculatedColumnFormula>IF($AK$2="(Todas)",COUNTIF(BASE[CODCIE104],EPV_SARAMPION6466697273788081859296979810068799399101[[#This Row],[CIE-10]]),COUNTIFS(BASE[Cod.Establecimiento],$AK$2,BASE[CODCIE104],EPV_SARAMPION6466697273788081859296979810068799399101[[#This Row],[CIE-10]]))</calculatedColumnFormula>
    </tableColumn>
    <tableColumn id="5" xr3:uid="{11F6D78D-C623-494D-B05C-8BDEFAB65E85}" name="D4" dataDxfId="1287">
      <calculatedColumnFormula>IF($AK$2="(Todas)",COUNTIF(BASE[CODCIE106],EPV_SARAMPION6466697273788081859296979810068799399101[[#This Row],[CIE-10]]),COUNTIFS(BASE[Cod.Establecimiento],$AK$2,BASE[CODCIE106],EPV_SARAMPION6466697273788081859296979810068799399101[[#This Row],[CIE-10]]))</calculatedColumnFormula>
    </tableColumn>
    <tableColumn id="6" xr3:uid="{F62DEE9E-D72C-4EE2-A963-4460C528F6B7}" name="D5" dataDxfId="1286">
      <calculatedColumnFormula>IF($AK$2="(Todas)",COUNTIF(BASE[CODCIE108],EPV_SARAMPION6466697273788081859296979810068799399101[[#This Row],[CIE-10]]),COUNTIFS(BASE[Cod.Establecimiento],$AK$2,BASE[CODCIE108],EPV_SARAMPION6466697273788081859296979810068799399101[[#This Row],[CIE-10]]))</calculatedColumnFormula>
    </tableColumn>
    <tableColumn id="7" xr3:uid="{EB7306A8-FCA2-44A7-B5E9-F0A51554204A}" name="D6" dataDxfId="1285">
      <calculatedColumnFormula>IF($AK$2="(Todas)",COUNTIF(BASE[CODCIE1010],EPV_SARAMPION6466697273788081859296979810068799399101[[#This Row],[CIE-10]]),COUNTIFS(BASE[Cod.Establecimiento],$AK$2,BASE[CODCIE1010],EPV_SARAMPION6466697273788081859296979810068799399101[[#This Row],[CIE-10]]))</calculatedColumnFormula>
    </tableColumn>
    <tableColumn id="8" xr3:uid="{480F30FA-243E-4E3A-8A77-68561A641A60}" name="TOT" dataDxfId="1284" dataCellStyle="40% - Énfasis6">
      <calculatedColumnFormula>SUM(EPV_SARAMPION6466697273788081859296979810068799399101[[#This Row],[D1]:[D6]])</calculatedColumnFormula>
    </tableColumn>
  </tableColumns>
  <tableStyleInfo name="TableStyleLight1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0C1525AD-22D3-4FC0-8A1D-702830CADE1B}" name="EPV_SARAMPION6466697273788081859296979810068799399102" displayName="EPV_SARAMPION6466697273788081859296979810068799399102" ref="A67:H68" totalsRowShown="0" headerRowDxfId="1283">
  <autoFilter ref="A67:H68" xr:uid="{0C1525AD-22D3-4FC0-8A1D-702830CADE1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FF0FB87B-9695-4E9F-AD7E-02633E24FCA5}" name="CIE-10" dataCellStyle="20% - Énfasis4"/>
    <tableColumn id="2" xr3:uid="{B8068AC7-30D0-4052-B98B-BB2C12C81FF3}" name="D1" dataDxfId="1282">
      <calculatedColumnFormula>IF($AK$2="(Todas)",COUNTIF(BASE[CODCIE10],EPV_SARAMPION6466697273788081859296979810068799399102[[#This Row],[CIE-10]]),COUNTIFS(BASE[Cod.Establecimiento],$AK$2,BASE[CODCIE10],EPV_SARAMPION6466697273788081859296979810068799399102[[#This Row],[CIE-10]]))</calculatedColumnFormula>
    </tableColumn>
    <tableColumn id="3" xr3:uid="{D42C8149-A5AD-418B-A8B7-4FF016C03F17}" name="D2" dataDxfId="1281">
      <calculatedColumnFormula>IF($AK$2="(Todas)",COUNTIF(BASE[CODCIE102],EPV_SARAMPION6466697273788081859296979810068799399102[[#This Row],[CIE-10]]),COUNTIFS(BASE[Cod.Establecimiento],$AK$2,BASE[CODCIE102],EPV_SARAMPION6466697273788081859296979810068799399102[[#This Row],[CIE-10]]))</calculatedColumnFormula>
    </tableColumn>
    <tableColumn id="4" xr3:uid="{43E446C9-D2B6-4522-973F-E8A667E8EB81}" name="D3" dataDxfId="1280">
      <calculatedColumnFormula>IF($AK$2="(Todas)",COUNTIF(BASE[CODCIE104],EPV_SARAMPION6466697273788081859296979810068799399102[[#This Row],[CIE-10]]),COUNTIFS(BASE[Cod.Establecimiento],$AK$2,BASE[CODCIE104],EPV_SARAMPION6466697273788081859296979810068799399102[[#This Row],[CIE-10]]))</calculatedColumnFormula>
    </tableColumn>
    <tableColumn id="5" xr3:uid="{2307BFB7-32C3-4A45-A3A8-9C2D162DD4C9}" name="D4" dataDxfId="1279">
      <calculatedColumnFormula>IF($AK$2="(Todas)",COUNTIF(BASE[CODCIE106],EPV_SARAMPION6466697273788081859296979810068799399102[[#This Row],[CIE-10]]),COUNTIFS(BASE[Cod.Establecimiento],$AK$2,BASE[CODCIE106],EPV_SARAMPION6466697273788081859296979810068799399102[[#This Row],[CIE-10]]))</calculatedColumnFormula>
    </tableColumn>
    <tableColumn id="6" xr3:uid="{A75363AB-80C4-41A4-B65E-FB3E5180A3A0}" name="D5" dataDxfId="1278">
      <calculatedColumnFormula>IF($AK$2="(Todas)",COUNTIF(BASE[CODCIE108],EPV_SARAMPION6466697273788081859296979810068799399102[[#This Row],[CIE-10]]),COUNTIFS(BASE[Cod.Establecimiento],$AK$2,BASE[CODCIE108],EPV_SARAMPION6466697273788081859296979810068799399102[[#This Row],[CIE-10]]))</calculatedColumnFormula>
    </tableColumn>
    <tableColumn id="7" xr3:uid="{EE46FEAE-FE43-4CE4-A1D6-843ABDB6F59D}" name="D6" dataDxfId="1277">
      <calculatedColumnFormula>IF($AK$2="(Todas)",COUNTIF(BASE[CODCIE1010],EPV_SARAMPION6466697273788081859296979810068799399102[[#This Row],[CIE-10]]),COUNTIFS(BASE[Cod.Establecimiento],$AK$2,BASE[CODCIE1010],EPV_SARAMPION6466697273788081859296979810068799399102[[#This Row],[CIE-10]]))</calculatedColumnFormula>
    </tableColumn>
    <tableColumn id="8" xr3:uid="{5A2D54FB-08A3-43AB-A215-E16BCCD9BD8B}" name="TOT" dataDxfId="1276" dataCellStyle="40% - Énfasis6">
      <calculatedColumnFormula>SUM(EPV_SARAMPION6466697273788081859296979810068799399102[[#This Row],[D1]:[D6]])</calculatedColumnFormula>
    </tableColumn>
  </tableColumns>
  <tableStyleInfo name="TableStyleLight1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A0D0C2BF-3528-4625-9CC1-EA6D9778F0AD}" name="EPV_SARAMPION6466697273788081859296979810068799399101104" displayName="EPV_SARAMPION6466697273788081859296979810068799399101104" ref="J67:Q72" totalsRowShown="0" headerRowDxfId="1275">
  <autoFilter ref="J67:Q72" xr:uid="{A0D0C2BF-3528-4625-9CC1-EA6D9778F0A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48D0235A-8052-4025-93E1-32C7F7AFA9AA}" name="CIE-10" dataCellStyle="20% - Énfasis4"/>
    <tableColumn id="2" xr3:uid="{322820E2-446C-4EB4-970E-BC8E85B83EB1}" name="D1" dataDxfId="1274">
      <calculatedColumnFormula>IF($AK$2="(Todas)",COUNTIF(BASE[CODCIE10],EPV_SARAMPION6466697273788081859296979810068799399101104[[#This Row],[CIE-10]]),COUNTIFS(BASE[Cod.Establecimiento],$AK$2,BASE[CODCIE10],EPV_SARAMPION6466697273788081859296979810068799399101104[[#This Row],[CIE-10]]))</calculatedColumnFormula>
    </tableColumn>
    <tableColumn id="3" xr3:uid="{0B10A43B-E43F-439F-8B57-7DA19D0A43D3}" name="D2" dataDxfId="1273">
      <calculatedColumnFormula>IF($AK$2="(Todas)",COUNTIF(BASE[CODCIE102],EPV_SARAMPION6466697273788081859296979810068799399101104[[#This Row],[CIE-10]]),COUNTIFS(BASE[Cod.Establecimiento],$AK$2,BASE[CODCIE102],EPV_SARAMPION6466697273788081859296979810068799399101104[[#This Row],[CIE-10]]))</calculatedColumnFormula>
    </tableColumn>
    <tableColumn id="4" xr3:uid="{2068172D-BA0E-4DA0-8DB1-F92CD0B6A441}" name="D3" dataDxfId="1272">
      <calculatedColumnFormula>IF($AK$2="(Todas)",COUNTIF(BASE[CODCIE104],EPV_SARAMPION6466697273788081859296979810068799399101104[[#This Row],[CIE-10]]),COUNTIFS(BASE[Cod.Establecimiento],$AK$2,BASE[CODCIE104],EPV_SARAMPION6466697273788081859296979810068799399101104[[#This Row],[CIE-10]]))</calculatedColumnFormula>
    </tableColumn>
    <tableColumn id="5" xr3:uid="{06BBE17F-F2EA-4B22-9297-9DC9DAF26D0C}" name="D4" dataDxfId="1271">
      <calculatedColumnFormula>IF($AK$2="(Todas)",COUNTIF(BASE[CODCIE106],EPV_SARAMPION6466697273788081859296979810068799399101104[[#This Row],[CIE-10]]),COUNTIFS(BASE[Cod.Establecimiento],$AK$2,BASE[CODCIE106],EPV_SARAMPION6466697273788081859296979810068799399101104[[#This Row],[CIE-10]]))</calculatedColumnFormula>
    </tableColumn>
    <tableColumn id="6" xr3:uid="{375EDD2F-AE6E-40C4-9FB5-4644C54266B6}" name="D5" dataDxfId="1270">
      <calculatedColumnFormula>IF($AK$2="(Todas)",COUNTIF(BASE[CODCIE108],EPV_SARAMPION6466697273788081859296979810068799399101104[[#This Row],[CIE-10]]),COUNTIFS(BASE[Cod.Establecimiento],$AK$2,BASE[CODCIE108],EPV_SARAMPION6466697273788081859296979810068799399101104[[#This Row],[CIE-10]]))</calculatedColumnFormula>
    </tableColumn>
    <tableColumn id="7" xr3:uid="{75AFBF5D-7DA0-46C6-A997-4F1668651DB2}" name="D6" dataDxfId="1269">
      <calculatedColumnFormula>IF($AK$2="(Todas)",COUNTIF(BASE[CODCIE1010],EPV_SARAMPION6466697273788081859296979810068799399101104[[#This Row],[CIE-10]]),COUNTIFS(BASE[Cod.Establecimiento],$AK$2,BASE[CODCIE1010],EPV_SARAMPION6466697273788081859296979810068799399101104[[#This Row],[CIE-10]]))</calculatedColumnFormula>
    </tableColumn>
    <tableColumn id="8" xr3:uid="{5AC2671D-9E08-462C-B5DA-0D4A137EA6FD}" name="TOT" dataDxfId="1268" dataCellStyle="40% - Énfasis6">
      <calculatedColumnFormula>SUM(EPV_SARAMPION6466697273788081859296979810068799399101104[[#This Row],[D1]:[D6]])</calculatedColumnFormula>
    </tableColumn>
  </tableColumns>
  <tableStyleInfo name="TableStyleLight1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55CB474B-C896-4A73-A678-5CBB97614F7F}" name="GUIA_NACIONAL_2022_1" displayName="GUIA_NACIONAL_2022_1" ref="D4:K10" totalsRowShown="0" headerRowDxfId="1267">
  <autoFilter ref="D4:K10" xr:uid="{55CB474B-C896-4A73-A678-5CBB97614F7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13CE19ED-FD26-41DC-B535-575A186083E1}" name="CIE-10" dataCellStyle="20% - Énfasis4"/>
    <tableColumn id="2" xr3:uid="{4F375EC5-0F2A-4C51-89B2-4FCE6BD38D0C}" name="D1" dataDxfId="1266">
      <calculatedColumnFormula>IF($B$2="(Todas)",COUNTIF(BASE[CODCIE10],GUIA_NACIONAL_2022_1[[#This Row],[CIE-10]]),COUNTIFS(BASE[Cod.Establecimiento],$B$2,BASE[CODCIE10],GUIA_NACIONAL_2022_1[[#This Row],[CIE-10]]))</calculatedColumnFormula>
    </tableColumn>
    <tableColumn id="3" xr3:uid="{41A1A5F9-36F7-4528-87EC-1BD943980479}" name="D2" dataDxfId="1265">
      <calculatedColumnFormula>IF($B$2="(Todas)",COUNTIF(BASE[CODCIE102],GUIA_NACIONAL_2022_1[[#This Row],[CIE-10]]),COUNTIFS(BASE[Cod.Establecimiento],$B$2,BASE[CODCIE102],GUIA_NACIONAL_2022_1[[#This Row],[CIE-10]]))</calculatedColumnFormula>
    </tableColumn>
    <tableColumn id="4" xr3:uid="{7E3C4332-825B-4F9D-9A57-88FB6CA8CFD5}" name="D3" dataDxfId="1264">
      <calculatedColumnFormula>IF($B$2="(Todas)",COUNTIF(BASE[CODCIE104],GUIA_NACIONAL_2022_1[[#This Row],[CIE-10]]),COUNTIFS(BASE[Cod.Establecimiento],$B$2,BASE[CODCIE104],GUIA_NACIONAL_2022_1[[#This Row],[CIE-10]]))</calculatedColumnFormula>
    </tableColumn>
    <tableColumn id="5" xr3:uid="{97A57F12-C658-4629-9A57-0C169AC5AB66}" name="D4" dataDxfId="1263">
      <calculatedColumnFormula>IF($B$2="(Todas)",COUNTIF(BASE[CODCIE106],GUIA_NACIONAL_2022_1[[#This Row],[CIE-10]]),COUNTIFS(BASE[Cod.Establecimiento],$B$2,BASE[CODCIE106],GUIA_NACIONAL_2022_1[[#This Row],[CIE-10]]))</calculatedColumnFormula>
    </tableColumn>
    <tableColumn id="6" xr3:uid="{C2A6E53A-F378-4C91-9CC9-77148FDC76B8}" name="D5" dataDxfId="1262">
      <calculatedColumnFormula>IF($B$2="(Todas)",COUNTIF(BASE[CODCIE108],GUIA_NACIONAL_2022_1[[#This Row],[CIE-10]]),COUNTIFS(BASE[Cod.Establecimiento],$B$2,BASE[CODCIE108],GUIA_NACIONAL_2022_1[[#This Row],[CIE-10]]))</calculatedColumnFormula>
    </tableColumn>
    <tableColumn id="7" xr3:uid="{AB81BF8A-1810-4506-9916-733453BF5A3E}" name="D6" dataDxfId="1261">
      <calculatedColumnFormula>IF($B$2="(Todas)",COUNTIF(BASE[CODCIE1010],GUIA_NACIONAL_2022_1[[#This Row],[CIE-10]]),COUNTIFS(BASE[Cod.Establecimiento],$B$2,BASE[CODCIE1010],GUIA_NACIONAL_2022_1[[#This Row],[CIE-10]]))</calculatedColumnFormula>
    </tableColumn>
    <tableColumn id="8" xr3:uid="{3601EFB1-0A23-49BB-9C31-6309F9538BD1}" name="TOT" dataDxfId="1260" dataCellStyle="40% - Énfasis6">
      <calculatedColumnFormula>SUM(GUIA_NACIONAL_2022_1[[#This Row],[D1]:[D6]])</calculatedColumnFormula>
    </tableColumn>
  </tableColumns>
  <tableStyleInfo name="TableStyleLight1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73D721CD-6FEE-4F52-99B4-5DFA542BBA78}" name="GUIA_NACIONAL_2022_1106" displayName="GUIA_NACIONAL_2022_1106" ref="M4:T6" totalsRowShown="0" headerRowDxfId="1259">
  <autoFilter ref="M4:T6" xr:uid="{73D721CD-6FEE-4F52-99B4-5DFA542BBA7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9F704B75-AE62-46BE-9924-F7CFE1004115}" name="CIE-10" dataCellStyle="20% - Énfasis4"/>
    <tableColumn id="2" xr3:uid="{A2B24F11-EBA2-44CE-AAD8-C15D8826527A}" name="D1" dataDxfId="1258">
      <calculatedColumnFormula>IF($B$2="(Todas)",COUNTIF(BASE[CODCIE10],GUIA_NACIONAL_2022_1106[[#This Row],[CIE-10]]),COUNTIFS(BASE[Cod.Establecimiento],$B$2,BASE[CODCIE10],GUIA_NACIONAL_2022_1106[[#This Row],[CIE-10]]))</calculatedColumnFormula>
    </tableColumn>
    <tableColumn id="3" xr3:uid="{C39E74D7-5B7C-4974-BF38-8EE311967586}" name="D2" dataDxfId="1257">
      <calculatedColumnFormula>IF($B$2="(Todas)",COUNTIF(BASE[CODCIE102],GUIA_NACIONAL_2022_1106[[#This Row],[CIE-10]]),COUNTIFS(BASE[Cod.Establecimiento],$B$2,BASE[CODCIE102],GUIA_NACIONAL_2022_1106[[#This Row],[CIE-10]]))</calculatedColumnFormula>
    </tableColumn>
    <tableColumn id="4" xr3:uid="{BA932410-801D-4BA9-9FCD-214153919402}" name="D3" dataDxfId="1256">
      <calculatedColumnFormula>IF($B$2="(Todas)",COUNTIF(BASE[CODCIE104],GUIA_NACIONAL_2022_1106[[#This Row],[CIE-10]]),COUNTIFS(BASE[Cod.Establecimiento],$B$2,BASE[CODCIE104],GUIA_NACIONAL_2022_1106[[#This Row],[CIE-10]]))</calculatedColumnFormula>
    </tableColumn>
    <tableColumn id="5" xr3:uid="{BA79AB5D-0AE8-4A5E-B427-B991F6C1479F}" name="D4" dataDxfId="1255">
      <calculatedColumnFormula>IF($B$2="(Todas)",COUNTIF(BASE[CODCIE106],GUIA_NACIONAL_2022_1106[[#This Row],[CIE-10]]),COUNTIFS(BASE[Cod.Establecimiento],$B$2,BASE[CODCIE106],GUIA_NACIONAL_2022_1106[[#This Row],[CIE-10]]))</calculatedColumnFormula>
    </tableColumn>
    <tableColumn id="6" xr3:uid="{3B771E4D-8333-4145-970D-9A0B12C56A93}" name="D5" dataDxfId="1254">
      <calculatedColumnFormula>IF($B$2="(Todas)",COUNTIF(BASE[CODCIE108],GUIA_NACIONAL_2022_1106[[#This Row],[CIE-10]]),COUNTIFS(BASE[Cod.Establecimiento],$B$2,BASE[CODCIE108],GUIA_NACIONAL_2022_1106[[#This Row],[CIE-10]]))</calculatedColumnFormula>
    </tableColumn>
    <tableColumn id="7" xr3:uid="{E43BCA30-3012-4989-8479-A2D801C06DA8}" name="D6" dataDxfId="1253">
      <calculatedColumnFormula>IF($B$2="(Todas)",COUNTIF(BASE[CODCIE1010],GUIA_NACIONAL_2022_1106[[#This Row],[CIE-10]]),COUNTIFS(BASE[Cod.Establecimiento],$B$2,BASE[CODCIE1010],GUIA_NACIONAL_2022_1106[[#This Row],[CIE-10]]))</calculatedColumnFormula>
    </tableColumn>
    <tableColumn id="8" xr3:uid="{9614F23F-D8B7-4944-A8ED-2579CAE69D16}" name="TOT" dataDxfId="1252" dataCellStyle="40% - Énfasis6">
      <calculatedColumnFormula>SUM(GUIA_NACIONAL_2022_1106[[#This Row],[D1]:[D6]])</calculatedColumnFormula>
    </tableColumn>
  </tableColumns>
  <tableStyleInfo name="TableStyleLight1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AF7B225A-4FB2-4863-B128-6556A74EA001}" name="GUIA_NACIONAL_2022_1106108" displayName="GUIA_NACIONAL_2022_1106108" ref="D12:K27" totalsRowShown="0" headerRowDxfId="1251">
  <autoFilter ref="D12:K27" xr:uid="{AF7B225A-4FB2-4863-B128-6556A74EA00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B492CFB-2A45-4397-BA27-C3A75EE28074}" name="CIE-10" dataCellStyle="20% - Énfasis4"/>
    <tableColumn id="2" xr3:uid="{63DE8360-F762-46FB-8B87-3561C0FD1F8A}" name="D1" dataDxfId="1250">
      <calculatedColumnFormula>IF($B$2="(Todas)",COUNTIF(BASE[CODCIE10],GUIA_NACIONAL_2022_1106108[[#This Row],[CIE-10]]),COUNTIFS(BASE[Cod.Establecimiento],$B$2,BASE[CODCIE10],GUIA_NACIONAL_2022_1106108[[#This Row],[CIE-10]]))</calculatedColumnFormula>
    </tableColumn>
    <tableColumn id="3" xr3:uid="{6670DEC0-2690-4999-8277-7038A9595298}" name="D2" dataDxfId="1249">
      <calculatedColumnFormula>IF($B$2="(Todas)",COUNTIF(BASE[CODCIE102],GUIA_NACIONAL_2022_1106108[[#This Row],[CIE-10]]),COUNTIFS(BASE[Cod.Establecimiento],$B$2,BASE[CODCIE102],GUIA_NACIONAL_2022_1106108[[#This Row],[CIE-10]]))</calculatedColumnFormula>
    </tableColumn>
    <tableColumn id="4" xr3:uid="{FC792AC4-201A-4F4D-9D51-2D39FDD01860}" name="D3" dataDxfId="1248">
      <calculatedColumnFormula>IF($B$2="(Todas)",COUNTIF(BASE[CODCIE104],GUIA_NACIONAL_2022_1106108[[#This Row],[CIE-10]]),COUNTIFS(BASE[Cod.Establecimiento],$B$2,BASE[CODCIE104],GUIA_NACIONAL_2022_1106108[[#This Row],[CIE-10]]))</calculatedColumnFormula>
    </tableColumn>
    <tableColumn id="5" xr3:uid="{8B8A11D7-2E6D-4FB2-8322-A79A1AB7BC81}" name="D4" dataDxfId="1247">
      <calculatedColumnFormula>IF($B$2="(Todas)",COUNTIF(BASE[CODCIE106],GUIA_NACIONAL_2022_1106108[[#This Row],[CIE-10]]),COUNTIFS(BASE[Cod.Establecimiento],$B$2,BASE[CODCIE106],GUIA_NACIONAL_2022_1106108[[#This Row],[CIE-10]]))</calculatedColumnFormula>
    </tableColumn>
    <tableColumn id="6" xr3:uid="{703EEE76-5A29-480B-87FE-6029F6B83030}" name="D5" dataDxfId="1246">
      <calculatedColumnFormula>IF($B$2="(Todas)",COUNTIF(BASE[CODCIE108],GUIA_NACIONAL_2022_1106108[[#This Row],[CIE-10]]),COUNTIFS(BASE[Cod.Establecimiento],$B$2,BASE[CODCIE108],GUIA_NACIONAL_2022_1106108[[#This Row],[CIE-10]]))</calculatedColumnFormula>
    </tableColumn>
    <tableColumn id="7" xr3:uid="{F113BC00-1F48-4347-BB9A-9297290E471A}" name="D6" dataDxfId="1245">
      <calculatedColumnFormula>IF($B$2="(Todas)",COUNTIF(BASE[CODCIE1010],GUIA_NACIONAL_2022_1106108[[#This Row],[CIE-10]]),COUNTIFS(BASE[Cod.Establecimiento],$B$2,BASE[CODCIE1010],GUIA_NACIONAL_2022_1106108[[#This Row],[CIE-10]]))</calculatedColumnFormula>
    </tableColumn>
    <tableColumn id="8" xr3:uid="{C2CD0DF9-6431-4099-89D6-ECB1DE08160D}" name="TOT" dataDxfId="1244" dataCellStyle="40% - Énfasis6">
      <calculatedColumnFormula>SUM(GUIA_NACIONAL_2022_1106108[[#This Row],[D1]:[D6]])</calculatedColumnFormula>
    </tableColumn>
  </tableColumns>
  <tableStyleInfo name="TableStyleLight1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72792431-CBBE-4060-9DE0-33427FEC9420}" name="GUIA_NACIONAL_2022_1106109" displayName="GUIA_NACIONAL_2022_1106109" ref="D29:K35" totalsRowShown="0" headerRowDxfId="1243">
  <autoFilter ref="D29:K35" xr:uid="{72792431-CBBE-4060-9DE0-33427FEC942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5CBE3F44-78E6-46CD-BEF6-CE4D3AD9F66E}" name="CIE-10" dataCellStyle="20% - Énfasis4"/>
    <tableColumn id="2" xr3:uid="{B87B89B1-65C9-41E2-9616-BF091DBC9289}" name="D1" dataDxfId="1242">
      <calculatedColumnFormula>IF($B$2="(Todas)",COUNTIF(BASE[CODCIE10],GUIA_NACIONAL_2022_1106109[[#This Row],[CIE-10]]),COUNTIFS(BASE[Cod.Establecimiento],$B$2,BASE[CODCIE10],GUIA_NACIONAL_2022_1106109[[#This Row],[CIE-10]]))</calculatedColumnFormula>
    </tableColumn>
    <tableColumn id="3" xr3:uid="{F0418302-0D22-4834-9610-F6891CA9C2D7}" name="D2" dataDxfId="1241">
      <calculatedColumnFormula>IF($B$2="(Todas)",COUNTIF(BASE[CODCIE102],GUIA_NACIONAL_2022_1106109[[#This Row],[CIE-10]]),COUNTIFS(BASE[Cod.Establecimiento],$B$2,BASE[CODCIE102],GUIA_NACIONAL_2022_1106109[[#This Row],[CIE-10]]))</calculatedColumnFormula>
    </tableColumn>
    <tableColumn id="4" xr3:uid="{6321DACA-73B6-4F21-AD46-3A2519EF076C}" name="D3" dataDxfId="1240">
      <calculatedColumnFormula>IF($B$2="(Todas)",COUNTIF(BASE[CODCIE104],GUIA_NACIONAL_2022_1106109[[#This Row],[CIE-10]]),COUNTIFS(BASE[Cod.Establecimiento],$B$2,BASE[CODCIE104],GUIA_NACIONAL_2022_1106109[[#This Row],[CIE-10]]))</calculatedColumnFormula>
    </tableColumn>
    <tableColumn id="5" xr3:uid="{79E16DE7-B2C0-4EE3-B228-4CDF8B116F3B}" name="D4" dataDxfId="1239">
      <calculatedColumnFormula>IF($B$2="(Todas)",COUNTIF(BASE[CODCIE106],GUIA_NACIONAL_2022_1106109[[#This Row],[CIE-10]]),COUNTIFS(BASE[Cod.Establecimiento],$B$2,BASE[CODCIE106],GUIA_NACIONAL_2022_1106109[[#This Row],[CIE-10]]))</calculatedColumnFormula>
    </tableColumn>
    <tableColumn id="6" xr3:uid="{B8B8C942-DCB2-451D-A464-AB61D4FCADB2}" name="D5" dataDxfId="1238">
      <calculatedColumnFormula>IF($B$2="(Todas)",COUNTIF(BASE[CODCIE108],GUIA_NACIONAL_2022_1106109[[#This Row],[CIE-10]]),COUNTIFS(BASE[Cod.Establecimiento],$B$2,BASE[CODCIE108],GUIA_NACIONAL_2022_1106109[[#This Row],[CIE-10]]))</calculatedColumnFormula>
    </tableColumn>
    <tableColumn id="7" xr3:uid="{6E1722B9-4B84-4843-9E57-C5D379F08640}" name="D6" dataDxfId="1237">
      <calculatedColumnFormula>IF($B$2="(Todas)",COUNTIF(BASE[CODCIE1010],GUIA_NACIONAL_2022_1106109[[#This Row],[CIE-10]]),COUNTIFS(BASE[Cod.Establecimiento],$B$2,BASE[CODCIE1010],GUIA_NACIONAL_2022_1106109[[#This Row],[CIE-10]]))</calculatedColumnFormula>
    </tableColumn>
    <tableColumn id="8" xr3:uid="{7245B6D3-DFAB-4468-A05F-1B830CCD1318}" name="TOT" dataDxfId="1236" dataCellStyle="40% - Énfasis6">
      <calculatedColumnFormula>SUM(GUIA_NACIONAL_2022_1106109[[#This Row],[D1]:[D6]])</calculatedColumnFormula>
    </tableColumn>
  </tableColumns>
  <tableStyleInfo name="TableStyleLight1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D63BA19B-099A-43FB-B816-4E62CAC529C0}" name="GUIA_NACIONAL_2022_1106112" displayName="GUIA_NACIONAL_2022_1106112" ref="D37:K38" totalsRowShown="0" headerRowDxfId="1235">
  <autoFilter ref="D37:K38" xr:uid="{D63BA19B-099A-43FB-B816-4E62CAC529C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F8E6C906-AA28-4C14-960C-A49A6AE9ABE5}" name="CIE-10" dataCellStyle="20% - Énfasis4"/>
    <tableColumn id="2" xr3:uid="{D40A15E2-1A2E-43E3-B235-3211EAAEE960}" name="D1" dataDxfId="1234">
      <calculatedColumnFormula>IF($B$2="(Todas)",COUNTIF(BASE[CODCIE10],GUIA_NACIONAL_2022_1106112[[#This Row],[CIE-10]]),COUNTIFS(BASE[Cod.Establecimiento],$B$2,BASE[CODCIE10],GUIA_NACIONAL_2022_1106112[[#This Row],[CIE-10]]))</calculatedColumnFormula>
    </tableColumn>
    <tableColumn id="3" xr3:uid="{70F6C554-9882-42E7-A474-F7F76A39D177}" name="D2" dataDxfId="1233">
      <calculatedColumnFormula>IF($B$2="(Todas)",COUNTIF(BASE[CODCIE102],GUIA_NACIONAL_2022_1106112[[#This Row],[CIE-10]]),COUNTIFS(BASE[Cod.Establecimiento],$B$2,BASE[CODCIE102],GUIA_NACIONAL_2022_1106112[[#This Row],[CIE-10]]))</calculatedColumnFormula>
    </tableColumn>
    <tableColumn id="4" xr3:uid="{B37CF176-149E-4C83-B344-49B8A8A7F53F}" name="D3" dataDxfId="1232">
      <calculatedColumnFormula>IF($B$2="(Todas)",COUNTIF(BASE[CODCIE104],GUIA_NACIONAL_2022_1106112[[#This Row],[CIE-10]]),COUNTIFS(BASE[Cod.Establecimiento],$B$2,BASE[CODCIE104],GUIA_NACIONAL_2022_1106112[[#This Row],[CIE-10]]))</calculatedColumnFormula>
    </tableColumn>
    <tableColumn id="5" xr3:uid="{AF08A59D-7363-492A-A626-220FEC726336}" name="D4" dataDxfId="1231">
      <calculatedColumnFormula>IF($B$2="(Todas)",COUNTIF(BASE[CODCIE106],GUIA_NACIONAL_2022_1106112[[#This Row],[CIE-10]]),COUNTIFS(BASE[Cod.Establecimiento],$B$2,BASE[CODCIE106],GUIA_NACIONAL_2022_1106112[[#This Row],[CIE-10]]))</calculatedColumnFormula>
    </tableColumn>
    <tableColumn id="6" xr3:uid="{D8EAFACA-E701-4618-A349-6DC2FD07739F}" name="D5" dataDxfId="1230">
      <calculatedColumnFormula>IF($B$2="(Todas)",COUNTIF(BASE[CODCIE108],GUIA_NACIONAL_2022_1106112[[#This Row],[CIE-10]]),COUNTIFS(BASE[Cod.Establecimiento],$B$2,BASE[CODCIE108],GUIA_NACIONAL_2022_1106112[[#This Row],[CIE-10]]))</calculatedColumnFormula>
    </tableColumn>
    <tableColumn id="7" xr3:uid="{0457F6DD-52AC-4629-89D7-45D2479DEE2F}" name="D6" dataDxfId="1229">
      <calculatedColumnFormula>IF($B$2="(Todas)",COUNTIF(BASE[CODCIE1010],GUIA_NACIONAL_2022_1106112[[#This Row],[CIE-10]]),COUNTIFS(BASE[Cod.Establecimiento],$B$2,BASE[CODCIE1010],GUIA_NACIONAL_2022_1106112[[#This Row],[CIE-10]]))</calculatedColumnFormula>
    </tableColumn>
    <tableColumn id="8" xr3:uid="{B58EFAC9-081E-40DC-853C-565FB8D21D31}" name="TOT" dataDxfId="1228" dataCellStyle="40% - Énfasis6">
      <calculatedColumnFormula>SUM(GUIA_NACIONAL_2022_1106112[[#This Row],[D1]:[D6]])</calculatedColumnFormula>
    </tableColumn>
  </tableColumns>
  <tableStyleInfo name="TableStyleLight1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A1EBCC6E-73BE-4F75-A15F-F7174DC95735}" name="GUIA_NACIONAL_2022_1106112113" displayName="GUIA_NACIONAL_2022_1106112113" ref="D40:K41" totalsRowShown="0" headerRowDxfId="1227">
  <autoFilter ref="D40:K41" xr:uid="{A1EBCC6E-73BE-4F75-A15F-F7174DC9573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201CE65C-6D8C-4D80-A761-2E1AFF1F1CD6}" name="CIE-10" dataCellStyle="20% - Énfasis4"/>
    <tableColumn id="2" xr3:uid="{1D964C33-74C2-47AA-8FC9-BEDC45687A7C}" name="D1" dataDxfId="1226">
      <calculatedColumnFormula>IF($B$2="(Todas)",COUNTIF(BASE[CODCIE10],GUIA_NACIONAL_2022_1106112113[[#This Row],[CIE-10]]),COUNTIFS(BASE[Cod.Establecimiento],$B$2,BASE[CODCIE10],GUIA_NACIONAL_2022_1106112113[[#This Row],[CIE-10]]))</calculatedColumnFormula>
    </tableColumn>
    <tableColumn id="3" xr3:uid="{9D5AD6B4-F147-43CF-A3C7-1B2E9010674D}" name="D2" dataDxfId="1225">
      <calculatedColumnFormula>IF($B$2="(Todas)",COUNTIF(BASE[CODCIE102],GUIA_NACIONAL_2022_1106112113[[#This Row],[CIE-10]]),COUNTIFS(BASE[Cod.Establecimiento],$B$2,BASE[CODCIE102],GUIA_NACIONAL_2022_1106112113[[#This Row],[CIE-10]]))</calculatedColumnFormula>
    </tableColumn>
    <tableColumn id="4" xr3:uid="{7F719D6F-8938-45E5-B8FD-1BA6B7E5E167}" name="D3" dataDxfId="1224">
      <calculatedColumnFormula>IF($B$2="(Todas)",COUNTIF(BASE[CODCIE104],GUIA_NACIONAL_2022_1106112113[[#This Row],[CIE-10]]),COUNTIFS(BASE[Cod.Establecimiento],$B$2,BASE[CODCIE104],GUIA_NACIONAL_2022_1106112113[[#This Row],[CIE-10]]))</calculatedColumnFormula>
    </tableColumn>
    <tableColumn id="5" xr3:uid="{F114A9B6-8BEF-4044-8DBB-EC236974386D}" name="D4" dataDxfId="1223">
      <calculatedColumnFormula>IF($B$2="(Todas)",COUNTIF(BASE[CODCIE106],GUIA_NACIONAL_2022_1106112113[[#This Row],[CIE-10]]),COUNTIFS(BASE[Cod.Establecimiento],$B$2,BASE[CODCIE106],GUIA_NACIONAL_2022_1106112113[[#This Row],[CIE-10]]))</calculatedColumnFormula>
    </tableColumn>
    <tableColumn id="6" xr3:uid="{5D4C198D-1C5E-41A1-B815-CC5FDE692CBF}" name="D5" dataDxfId="1222">
      <calculatedColumnFormula>IF($B$2="(Todas)",COUNTIF(BASE[CODCIE108],GUIA_NACIONAL_2022_1106112113[[#This Row],[CIE-10]]),COUNTIFS(BASE[Cod.Establecimiento],$B$2,BASE[CODCIE108],GUIA_NACIONAL_2022_1106112113[[#This Row],[CIE-10]]))</calculatedColumnFormula>
    </tableColumn>
    <tableColumn id="7" xr3:uid="{1CB0D9CA-BB1D-4E4A-A019-7EF889850E5E}" name="D6" dataDxfId="1221">
      <calculatedColumnFormula>IF($B$2="(Todas)",COUNTIF(BASE[CODCIE1010],GUIA_NACIONAL_2022_1106112113[[#This Row],[CIE-10]]),COUNTIFS(BASE[Cod.Establecimiento],$B$2,BASE[CODCIE1010],GUIA_NACIONAL_2022_1106112113[[#This Row],[CIE-10]]))</calculatedColumnFormula>
    </tableColumn>
    <tableColumn id="8" xr3:uid="{96C02F76-D4A1-4BA9-94AB-DCA4D56E657D}" name="TOT" dataDxfId="1220" dataCellStyle="40% - Énfasis6">
      <calculatedColumnFormula>SUM(GUIA_NACIONAL_2022_1106112113[[#This Row],[D1]:[D6]])</calculatedColumnFormula>
    </tableColumn>
  </tableColumns>
  <tableStyleInfo name="TableStyleLight1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CAC10555-833A-42D1-8E84-C5BD2D516CC0}" name="GUIA_NACIONAL_2022_1106112113114" displayName="GUIA_NACIONAL_2022_1106112113114" ref="D43:K45" totalsRowShown="0" headerRowDxfId="1219">
  <autoFilter ref="D43:K45" xr:uid="{CAC10555-833A-42D1-8E84-C5BD2D516CC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14C0165D-FEA8-4D71-9747-726AB6EF18CE}" name="CIE-10" dataCellStyle="20% - Énfasis4"/>
    <tableColumn id="2" xr3:uid="{9DC4E932-9570-4683-A395-7452E6A9A6C0}" name="D1" dataDxfId="1218">
      <calculatedColumnFormula>IF($B$2="(Todas)",COUNTIF(BASE[CODCIE10],GUIA_NACIONAL_2022_1106112113114[[#This Row],[CIE-10]]),COUNTIFS(BASE[Cod.Establecimiento],$B$2,BASE[CODCIE10],GUIA_NACIONAL_2022_1106112113114[[#This Row],[CIE-10]]))</calculatedColumnFormula>
    </tableColumn>
    <tableColumn id="3" xr3:uid="{33E4D190-2EEF-4CED-AA3F-79386423D5E9}" name="D2" dataDxfId="1217">
      <calculatedColumnFormula>IF($B$2="(Todas)",COUNTIF(BASE[CODCIE102],GUIA_NACIONAL_2022_1106112113114[[#This Row],[CIE-10]]),COUNTIFS(BASE[Cod.Establecimiento],$B$2,BASE[CODCIE102],GUIA_NACIONAL_2022_1106112113114[[#This Row],[CIE-10]]))</calculatedColumnFormula>
    </tableColumn>
    <tableColumn id="4" xr3:uid="{F4FE7667-BEB6-4929-B742-83A057C40DED}" name="D3" dataDxfId="1216">
      <calculatedColumnFormula>IF($B$2="(Todas)",COUNTIF(BASE[CODCIE104],GUIA_NACIONAL_2022_1106112113114[[#This Row],[CIE-10]]),COUNTIFS(BASE[Cod.Establecimiento],$B$2,BASE[CODCIE104],GUIA_NACIONAL_2022_1106112113114[[#This Row],[CIE-10]]))</calculatedColumnFormula>
    </tableColumn>
    <tableColumn id="5" xr3:uid="{C5CEBE25-C02B-4A99-80D7-522E377B96BA}" name="D4" dataDxfId="1215">
      <calculatedColumnFormula>IF($B$2="(Todas)",COUNTIF(BASE[CODCIE106],GUIA_NACIONAL_2022_1106112113114[[#This Row],[CIE-10]]),COUNTIFS(BASE[Cod.Establecimiento],$B$2,BASE[CODCIE106],GUIA_NACIONAL_2022_1106112113114[[#This Row],[CIE-10]]))</calculatedColumnFormula>
    </tableColumn>
    <tableColumn id="6" xr3:uid="{5671D10F-12E1-40C4-A0EB-5B5E1F1E7F8B}" name="D5" dataDxfId="1214">
      <calculatedColumnFormula>IF($B$2="(Todas)",COUNTIF(BASE[CODCIE108],GUIA_NACIONAL_2022_1106112113114[[#This Row],[CIE-10]]),COUNTIFS(BASE[Cod.Establecimiento],$B$2,BASE[CODCIE108],GUIA_NACIONAL_2022_1106112113114[[#This Row],[CIE-10]]))</calculatedColumnFormula>
    </tableColumn>
    <tableColumn id="7" xr3:uid="{1E4378CF-EA22-4ED4-89F5-3FC4823D3EAC}" name="D6" dataDxfId="1213">
      <calculatedColumnFormula>IF($B$2="(Todas)",COUNTIF(BASE[CODCIE1010],GUIA_NACIONAL_2022_1106112113114[[#This Row],[CIE-10]]),COUNTIFS(BASE[Cod.Establecimiento],$B$2,BASE[CODCIE1010],GUIA_NACIONAL_2022_1106112113114[[#This Row],[CIE-10]]))</calculatedColumnFormula>
    </tableColumn>
    <tableColumn id="8" xr3:uid="{6C038AED-E249-4ABB-9D82-D797A8684899}" name="TOT" dataDxfId="1212" dataCellStyle="40% - Énfasis6">
      <calculatedColumnFormula>SUM(GUIA_NACIONAL_2022_1106112113114[[#This Row],[D1]:[D6]])</calculatedColumnFormula>
    </tableColumn>
  </tableColumns>
  <tableStyleInfo name="TableStyleLight1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9B106B90-26C6-4F76-875B-976581C6B5EE}" name="GUIA_NACIONAL_2022_1106112113116" displayName="GUIA_NACIONAL_2022_1106112113116" ref="D48:K49" totalsRowShown="0" headerRowDxfId="1211">
  <autoFilter ref="D48:K49" xr:uid="{9B106B90-26C6-4F76-875B-976581C6B5E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88ECB2C0-99F6-4AE0-902C-21CA0D6F3C43}" name="CIE-10" dataCellStyle="20% - Énfasis4"/>
    <tableColumn id="2" xr3:uid="{9F9DECC2-FCF2-4EDB-92C5-80B36F66D1B9}" name="D1" dataDxfId="1210">
      <calculatedColumnFormula>IF($B$2="(Todas)",COUNTIF(BASE[CODCIE10],GUIA_NACIONAL_2022_1106112113116[[#This Row],[CIE-10]]),COUNTIFS(BASE[Cod.Establecimiento],$B$2,BASE[CODCIE10],GUIA_NACIONAL_2022_1106112113116[[#This Row],[CIE-10]]))</calculatedColumnFormula>
    </tableColumn>
    <tableColumn id="3" xr3:uid="{990C37A6-C532-44B0-849B-50DBACD370DE}" name="D2" dataDxfId="1209">
      <calculatedColumnFormula>IF($B$2="(Todas)",COUNTIF(BASE[CODCIE102],GUIA_NACIONAL_2022_1106112113116[[#This Row],[CIE-10]]),COUNTIFS(BASE[Cod.Establecimiento],$B$2,BASE[CODCIE102],GUIA_NACIONAL_2022_1106112113116[[#This Row],[CIE-10]]))</calculatedColumnFormula>
    </tableColumn>
    <tableColumn id="4" xr3:uid="{6DB93C2E-4F3D-4950-99F4-760E2A8A6E8B}" name="D3" dataDxfId="1208">
      <calculatedColumnFormula>IF($B$2="(Todas)",COUNTIF(BASE[CODCIE104],GUIA_NACIONAL_2022_1106112113116[[#This Row],[CIE-10]]),COUNTIFS(BASE[Cod.Establecimiento],$B$2,BASE[CODCIE104],GUIA_NACIONAL_2022_1106112113116[[#This Row],[CIE-10]]))</calculatedColumnFormula>
    </tableColumn>
    <tableColumn id="5" xr3:uid="{FB997BA7-960D-4B14-A69B-0946520C42D6}" name="D4" dataDxfId="1207">
      <calculatedColumnFormula>IF($B$2="(Todas)",COUNTIF(BASE[CODCIE106],GUIA_NACIONAL_2022_1106112113116[[#This Row],[CIE-10]]),COUNTIFS(BASE[Cod.Establecimiento],$B$2,BASE[CODCIE106],GUIA_NACIONAL_2022_1106112113116[[#This Row],[CIE-10]]))</calculatedColumnFormula>
    </tableColumn>
    <tableColumn id="6" xr3:uid="{A8A2D1A2-C87F-4378-9AB1-E86DD20E2E3A}" name="D5" dataDxfId="1206">
      <calculatedColumnFormula>IF($B$2="(Todas)",COUNTIF(BASE[CODCIE108],GUIA_NACIONAL_2022_1106112113116[[#This Row],[CIE-10]]),COUNTIFS(BASE[Cod.Establecimiento],$B$2,BASE[CODCIE108],GUIA_NACIONAL_2022_1106112113116[[#This Row],[CIE-10]]))</calculatedColumnFormula>
    </tableColumn>
    <tableColumn id="7" xr3:uid="{C77F3D70-F55B-480C-974B-44D028059893}" name="D6" dataDxfId="1205">
      <calculatedColumnFormula>IF($B$2="(Todas)",COUNTIF(BASE[CODCIE1010],GUIA_NACIONAL_2022_1106112113116[[#This Row],[CIE-10]]),COUNTIFS(BASE[Cod.Establecimiento],$B$2,BASE[CODCIE1010],GUIA_NACIONAL_2022_1106112113116[[#This Row],[CIE-10]]))</calculatedColumnFormula>
    </tableColumn>
    <tableColumn id="8" xr3:uid="{37E63D9C-DC38-4C2E-959C-02B1CBD31DF1}" name="TOT" dataDxfId="1204" dataCellStyle="40% - Énfasis6">
      <calculatedColumnFormula>SUM(GUIA_NACIONAL_2022_1106112113116[[#This Row],[D1]:[D6]])</calculatedColumnFormula>
    </tableColumn>
  </tableColumns>
  <tableStyleInfo name="TableStyleLight1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631191E7-A2D9-4C39-8B84-C155AB7C1D12}" name="GUIA_NACIONAL_2022_1106112113116117" displayName="GUIA_NACIONAL_2022_1106112113116117" ref="D51:K52" totalsRowShown="0" headerRowDxfId="1203">
  <autoFilter ref="D51:K52" xr:uid="{631191E7-A2D9-4C39-8B84-C155AB7C1D1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291D4CB8-7183-4D73-B42F-A5D6B7D8B2D8}" name="CIE-10" dataCellStyle="20% - Énfasis4"/>
    <tableColumn id="2" xr3:uid="{26A33030-DCB0-4344-9549-C0003B89A413}" name="D1" dataDxfId="1202">
      <calculatedColumnFormula>IF($B$2="(Todas)",COUNTIF(BASE[CODCIE10],GUIA_NACIONAL_2022_1106112113116117[[#This Row],[CIE-10]]),COUNTIFS(BASE[Cod.Establecimiento],$B$2,BASE[CODCIE10],GUIA_NACIONAL_2022_1106112113116117[[#This Row],[CIE-10]]))</calculatedColumnFormula>
    </tableColumn>
    <tableColumn id="3" xr3:uid="{6CC0C965-C925-4F36-96C7-344A7F7F5E59}" name="D2" dataDxfId="1201">
      <calculatedColumnFormula>IF($B$2="(Todas)",COUNTIF(BASE[CODCIE102],GUIA_NACIONAL_2022_1106112113116117[[#This Row],[CIE-10]]),COUNTIFS(BASE[Cod.Establecimiento],$B$2,BASE[CODCIE102],GUIA_NACIONAL_2022_1106112113116117[[#This Row],[CIE-10]]))</calculatedColumnFormula>
    </tableColumn>
    <tableColumn id="4" xr3:uid="{C1B4E896-E2D3-42A9-AAC2-F383D90B6F05}" name="D3" dataDxfId="1200">
      <calculatedColumnFormula>IF($B$2="(Todas)",COUNTIF(BASE[CODCIE104],GUIA_NACIONAL_2022_1106112113116117[[#This Row],[CIE-10]]),COUNTIFS(BASE[Cod.Establecimiento],$B$2,BASE[CODCIE104],GUIA_NACIONAL_2022_1106112113116117[[#This Row],[CIE-10]]))</calculatedColumnFormula>
    </tableColumn>
    <tableColumn id="5" xr3:uid="{CF0E55D5-08E2-44CB-B220-5FD477D28927}" name="D4" dataDxfId="1199">
      <calculatedColumnFormula>IF($B$2="(Todas)",COUNTIF(BASE[CODCIE106],GUIA_NACIONAL_2022_1106112113116117[[#This Row],[CIE-10]]),COUNTIFS(BASE[Cod.Establecimiento],$B$2,BASE[CODCIE106],GUIA_NACIONAL_2022_1106112113116117[[#This Row],[CIE-10]]))</calculatedColumnFormula>
    </tableColumn>
    <tableColumn id="6" xr3:uid="{1890DF9B-9CB6-4981-9DED-89504E6523E5}" name="D5" dataDxfId="1198">
      <calculatedColumnFormula>IF($B$2="(Todas)",COUNTIF(BASE[CODCIE108],GUIA_NACIONAL_2022_1106112113116117[[#This Row],[CIE-10]]),COUNTIFS(BASE[Cod.Establecimiento],$B$2,BASE[CODCIE108],GUIA_NACIONAL_2022_1106112113116117[[#This Row],[CIE-10]]))</calculatedColumnFormula>
    </tableColumn>
    <tableColumn id="7" xr3:uid="{4DBC9711-0CA9-47BF-AA4A-29C689BCE184}" name="D6" dataDxfId="1197">
      <calculatedColumnFormula>IF($B$2="(Todas)",COUNTIF(BASE[CODCIE1010],GUIA_NACIONAL_2022_1106112113116117[[#This Row],[CIE-10]]),COUNTIFS(BASE[Cod.Establecimiento],$B$2,BASE[CODCIE1010],GUIA_NACIONAL_2022_1106112113116117[[#This Row],[CIE-10]]))</calculatedColumnFormula>
    </tableColumn>
    <tableColumn id="8" xr3:uid="{598056DA-5FBA-402E-8B23-6DBD50293FA6}" name="TOT" dataDxfId="1196" dataCellStyle="40% - Énfasis6">
      <calculatedColumnFormula>SUM(GUIA_NACIONAL_2022_1106112113116117[[#This Row],[D1]:[D6]])</calculatedColumnFormula>
    </tableColumn>
  </tableColumns>
  <tableStyleInfo name="TableStyleLight1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83E4E05A-4B7A-495F-BABC-459E4E9F3480}" name="GUIA_NACIONAL_2022_1106112113116117118" displayName="GUIA_NACIONAL_2022_1106112113116117118" ref="D54:K55" totalsRowShown="0" headerRowDxfId="1195">
  <autoFilter ref="D54:K55" xr:uid="{83E4E05A-4B7A-495F-BABC-459E4E9F348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9B8393E9-98BC-400D-B1A2-9CBAFAE4B830}" name="CIE-10" dataCellStyle="20% - Énfasis4"/>
    <tableColumn id="2" xr3:uid="{9A07446F-9AB6-4D7F-9C01-06FBE126FF26}" name="D1" dataDxfId="1194">
      <calculatedColumnFormula>IF($B$2="(Todas)",COUNTIF(BASE[CODCIE10],GUIA_NACIONAL_2022_1106112113116117118[[#This Row],[CIE-10]]),COUNTIFS(BASE[Cod.Establecimiento],$B$2,BASE[CODCIE10],GUIA_NACIONAL_2022_1106112113116117118[[#This Row],[CIE-10]]))</calculatedColumnFormula>
    </tableColumn>
    <tableColumn id="3" xr3:uid="{E030DED6-5C48-424C-AE7B-EF7089F6C8E3}" name="D2" dataDxfId="1193">
      <calculatedColumnFormula>IF($B$2="(Todas)",COUNTIF(BASE[CODCIE102],GUIA_NACIONAL_2022_1106112113116117118[[#This Row],[CIE-10]]),COUNTIFS(BASE[Cod.Establecimiento],$B$2,BASE[CODCIE102],GUIA_NACIONAL_2022_1106112113116117118[[#This Row],[CIE-10]]))</calculatedColumnFormula>
    </tableColumn>
    <tableColumn id="4" xr3:uid="{A21734DE-5758-417F-A3E0-9198B65BE12A}" name="D3" dataDxfId="1192">
      <calculatedColumnFormula>IF($B$2="(Todas)",COUNTIF(BASE[CODCIE104],GUIA_NACIONAL_2022_1106112113116117118[[#This Row],[CIE-10]]),COUNTIFS(BASE[Cod.Establecimiento],$B$2,BASE[CODCIE104],GUIA_NACIONAL_2022_1106112113116117118[[#This Row],[CIE-10]]))</calculatedColumnFormula>
    </tableColumn>
    <tableColumn id="5" xr3:uid="{FD7F7BE5-3F96-4609-BEEE-A3A1EC23DE2D}" name="D4" dataDxfId="1191">
      <calculatedColumnFormula>IF($B$2="(Todas)",COUNTIF(BASE[CODCIE106],GUIA_NACIONAL_2022_1106112113116117118[[#This Row],[CIE-10]]),COUNTIFS(BASE[Cod.Establecimiento],$B$2,BASE[CODCIE106],GUIA_NACIONAL_2022_1106112113116117118[[#This Row],[CIE-10]]))</calculatedColumnFormula>
    </tableColumn>
    <tableColumn id="6" xr3:uid="{69652713-944A-4333-B9D2-AC91CC35F256}" name="D5" dataDxfId="1190">
      <calculatedColumnFormula>IF($B$2="(Todas)",COUNTIF(BASE[CODCIE108],GUIA_NACIONAL_2022_1106112113116117118[[#This Row],[CIE-10]]),COUNTIFS(BASE[Cod.Establecimiento],$B$2,BASE[CODCIE108],GUIA_NACIONAL_2022_1106112113116117118[[#This Row],[CIE-10]]))</calculatedColumnFormula>
    </tableColumn>
    <tableColumn id="7" xr3:uid="{F2C82884-B523-4703-9084-30618AFB51B6}" name="D6" dataDxfId="1189">
      <calculatedColumnFormula>IF($B$2="(Todas)",COUNTIF(BASE[CODCIE1010],GUIA_NACIONAL_2022_1106112113116117118[[#This Row],[CIE-10]]),COUNTIFS(BASE[Cod.Establecimiento],$B$2,BASE[CODCIE1010],GUIA_NACIONAL_2022_1106112113116117118[[#This Row],[CIE-10]]))</calculatedColumnFormula>
    </tableColumn>
    <tableColumn id="8" xr3:uid="{68739282-4F28-4715-A4CE-5F0144B1BF70}" name="TOT" dataDxfId="1188" dataCellStyle="40% - Énfasis6">
      <calculatedColumnFormula>SUM(GUIA_NACIONAL_2022_1106112113116117118[[#This Row],[D1]:[D6]])</calculatedColumnFormula>
    </tableColumn>
  </tableColumns>
  <tableStyleInfo name="TableStyleLight1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548E170B-BE17-4880-A273-C80BFBCDD31E}" name="GUIA_NACIONAL_2022_1106112113116117118119" displayName="GUIA_NACIONAL_2022_1106112113116117118119" ref="D57:K58" totalsRowShown="0" headerRowDxfId="1187">
  <autoFilter ref="D57:K58" xr:uid="{548E170B-BE17-4880-A273-C80BFBCDD31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21400FC7-8FD2-4888-AD9D-5B5F915DC7FC}" name="CIE-10" dataCellStyle="20% - Énfasis4"/>
    <tableColumn id="2" xr3:uid="{C859F080-4938-47D0-9A0C-63FBF85F6FBD}" name="D1" dataDxfId="1186">
      <calculatedColumnFormula>IF($B$2="(Todas)",COUNTIF(BASE[CODCIE10],GUIA_NACIONAL_2022_1106112113116117118119[[#This Row],[CIE-10]]),COUNTIFS(BASE[Cod.Establecimiento],$B$2,BASE[CODCIE10],GUIA_NACIONAL_2022_1106112113116117118119[[#This Row],[CIE-10]]))</calculatedColumnFormula>
    </tableColumn>
    <tableColumn id="3" xr3:uid="{2609E3DB-0B20-4540-9A40-EDBB207F5B1D}" name="D2" dataDxfId="1185">
      <calculatedColumnFormula>IF($B$2="(Todas)",COUNTIF(BASE[CODCIE102],GUIA_NACIONAL_2022_1106112113116117118119[[#This Row],[CIE-10]]),COUNTIFS(BASE[Cod.Establecimiento],$B$2,BASE[CODCIE102],GUIA_NACIONAL_2022_1106112113116117118119[[#This Row],[CIE-10]]))</calculatedColumnFormula>
    </tableColumn>
    <tableColumn id="4" xr3:uid="{CC3B7F12-F4FD-44DA-9E0B-32EFFB53DCAB}" name="D3" dataDxfId="1184">
      <calculatedColumnFormula>IF($B$2="(Todas)",COUNTIF(BASE[CODCIE104],GUIA_NACIONAL_2022_1106112113116117118119[[#This Row],[CIE-10]]),COUNTIFS(BASE[Cod.Establecimiento],$B$2,BASE[CODCIE104],GUIA_NACIONAL_2022_1106112113116117118119[[#This Row],[CIE-10]]))</calculatedColumnFormula>
    </tableColumn>
    <tableColumn id="5" xr3:uid="{B059A627-0874-4FA5-85E6-7B871E857F13}" name="D4" dataDxfId="1183">
      <calculatedColumnFormula>IF($B$2="(Todas)",COUNTIF(BASE[CODCIE106],GUIA_NACIONAL_2022_1106112113116117118119[[#This Row],[CIE-10]]),COUNTIFS(BASE[Cod.Establecimiento],$B$2,BASE[CODCIE106],GUIA_NACIONAL_2022_1106112113116117118119[[#This Row],[CIE-10]]))</calculatedColumnFormula>
    </tableColumn>
    <tableColumn id="6" xr3:uid="{532DF726-8A47-41EC-AB9E-C7E71DD0BCF0}" name="D5" dataDxfId="1182">
      <calculatedColumnFormula>IF($B$2="(Todas)",COUNTIF(BASE[CODCIE108],GUIA_NACIONAL_2022_1106112113116117118119[[#This Row],[CIE-10]]),COUNTIFS(BASE[Cod.Establecimiento],$B$2,BASE[CODCIE108],GUIA_NACIONAL_2022_1106112113116117118119[[#This Row],[CIE-10]]))</calculatedColumnFormula>
    </tableColumn>
    <tableColumn id="7" xr3:uid="{61ED266B-CF18-48F0-9571-1399E3DD34A3}" name="D6" dataDxfId="1181">
      <calculatedColumnFormula>IF($B$2="(Todas)",COUNTIF(BASE[CODCIE1010],GUIA_NACIONAL_2022_1106112113116117118119[[#This Row],[CIE-10]]),COUNTIFS(BASE[Cod.Establecimiento],$B$2,BASE[CODCIE1010],GUIA_NACIONAL_2022_1106112113116117118119[[#This Row],[CIE-10]]))</calculatedColumnFormula>
    </tableColumn>
    <tableColumn id="8" xr3:uid="{29D5C600-1E9D-4EDA-BBCF-B7A7C9593ACE}" name="TOT" dataDxfId="1180" dataCellStyle="40% - Énfasis6">
      <calculatedColumnFormula>SUM(GUIA_NACIONAL_2022_1106112113116117118119[[#This Row],[D1]:[D6]])</calculatedColumnFormula>
    </tableColumn>
  </tableColumns>
  <tableStyleInfo name="TableStyleLight1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1902D996-436F-4E38-8B4D-2A409EF9B82F}" name="GUIA_NACIONAL_2022_1106112113116117118119120" displayName="GUIA_NACIONAL_2022_1106112113116117118119120" ref="D60:K61" totalsRowShown="0" headerRowDxfId="1179">
  <autoFilter ref="D60:K61" xr:uid="{1902D996-436F-4E38-8B4D-2A409EF9B82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835E7A57-9700-4367-8B77-F7AB11568C40}" name="CIE-10" dataCellStyle="20% - Énfasis4"/>
    <tableColumn id="2" xr3:uid="{81D2CB52-3163-4ACF-ABB4-C6AF76743EC9}" name="D1" dataDxfId="1178">
      <calculatedColumnFormula>IF($B$2="(Todas)",COUNTIF(BASE[CODCIE10],GUIA_NACIONAL_2022_1106112113116117118119120[[#This Row],[CIE-10]]),COUNTIFS(BASE[Cod.Establecimiento],$B$2,BASE[CODCIE10],GUIA_NACIONAL_2022_1106112113116117118119120[[#This Row],[CIE-10]]))</calculatedColumnFormula>
    </tableColumn>
    <tableColumn id="3" xr3:uid="{80EE710B-9878-44A8-8C8A-011F7DA8B480}" name="D2" dataDxfId="1177">
      <calculatedColumnFormula>IF($B$2="(Todas)",COUNTIF(BASE[CODCIE102],GUIA_NACIONAL_2022_1106112113116117118119120[[#This Row],[CIE-10]]),COUNTIFS(BASE[Cod.Establecimiento],$B$2,BASE[CODCIE102],GUIA_NACIONAL_2022_1106112113116117118119120[[#This Row],[CIE-10]]))</calculatedColumnFormula>
    </tableColumn>
    <tableColumn id="4" xr3:uid="{67F2AA01-5135-43A5-AC15-A21B1EDC4CCD}" name="D3" dataDxfId="1176">
      <calculatedColumnFormula>IF($B$2="(Todas)",COUNTIF(BASE[CODCIE104],GUIA_NACIONAL_2022_1106112113116117118119120[[#This Row],[CIE-10]]),COUNTIFS(BASE[Cod.Establecimiento],$B$2,BASE[CODCIE104],GUIA_NACIONAL_2022_1106112113116117118119120[[#This Row],[CIE-10]]))</calculatedColumnFormula>
    </tableColumn>
    <tableColumn id="5" xr3:uid="{CAD5E285-CA76-4F6F-8E91-290626005A54}" name="D4" dataDxfId="1175">
      <calculatedColumnFormula>IF($B$2="(Todas)",COUNTIF(BASE[CODCIE106],GUIA_NACIONAL_2022_1106112113116117118119120[[#This Row],[CIE-10]]),COUNTIFS(BASE[Cod.Establecimiento],$B$2,BASE[CODCIE106],GUIA_NACIONAL_2022_1106112113116117118119120[[#This Row],[CIE-10]]))</calculatedColumnFormula>
    </tableColumn>
    <tableColumn id="6" xr3:uid="{3F762EDA-5FC1-412D-996C-05A927493B59}" name="D5" dataDxfId="1174">
      <calculatedColumnFormula>IF($B$2="(Todas)",COUNTIF(BASE[CODCIE108],GUIA_NACIONAL_2022_1106112113116117118119120[[#This Row],[CIE-10]]),COUNTIFS(BASE[Cod.Establecimiento],$B$2,BASE[CODCIE108],GUIA_NACIONAL_2022_1106112113116117118119120[[#This Row],[CIE-10]]))</calculatedColumnFormula>
    </tableColumn>
    <tableColumn id="7" xr3:uid="{8DFB7B62-7C70-4F0A-8A55-C772AF46EFCD}" name="D6" dataDxfId="1173">
      <calculatedColumnFormula>IF($B$2="(Todas)",COUNTIF(BASE[CODCIE1010],GUIA_NACIONAL_2022_1106112113116117118119120[[#This Row],[CIE-10]]),COUNTIFS(BASE[Cod.Establecimiento],$B$2,BASE[CODCIE1010],GUIA_NACIONAL_2022_1106112113116117118119120[[#This Row],[CIE-10]]))</calculatedColumnFormula>
    </tableColumn>
    <tableColumn id="8" xr3:uid="{A7117DF2-80FD-4C0D-8680-2DBC8AFEF12C}" name="TOT" dataDxfId="1172" dataCellStyle="40% - Énfasis6">
      <calculatedColumnFormula>SUM(GUIA_NACIONAL_2022_1106112113116117118119120[[#This Row],[D1]:[D6]])</calculatedColumnFormula>
    </tableColumn>
  </tableColumns>
  <tableStyleInfo name="TableStyleLight1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42125944-C108-4CB4-BAB7-A741D12877F1}" name="GUIA_NACIONAL_2022_1106112113116117118119120121" displayName="GUIA_NACIONAL_2022_1106112113116117118119120121" ref="D63:K64" totalsRowShown="0" headerRowDxfId="1171">
  <autoFilter ref="D63:K64" xr:uid="{42125944-C108-4CB4-BAB7-A741D12877F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DBAC9A34-9E16-438A-AC5F-B018F5261B58}" name="CIE-10" dataCellStyle="20% - Énfasis4"/>
    <tableColumn id="2" xr3:uid="{06BD88E0-D143-4459-9A03-F66C06E665FD}" name="D1" dataDxfId="1170">
      <calculatedColumnFormula>IF($B$2="(Todas)",COUNTIF(BASE[CODCIE10],GUIA_NACIONAL_2022_1106112113116117118119120121[[#This Row],[CIE-10]]),COUNTIFS(BASE[Cod.Establecimiento],$B$2,BASE[CODCIE10],GUIA_NACIONAL_2022_1106112113116117118119120121[[#This Row],[CIE-10]]))</calculatedColumnFormula>
    </tableColumn>
    <tableColumn id="3" xr3:uid="{C2E01309-B0AC-4B0F-B870-F10F4019A568}" name="D2" dataDxfId="1169">
      <calculatedColumnFormula>IF($B$2="(Todas)",COUNTIF(BASE[CODCIE102],GUIA_NACIONAL_2022_1106112113116117118119120121[[#This Row],[CIE-10]]),COUNTIFS(BASE[Cod.Establecimiento],$B$2,BASE[CODCIE102],GUIA_NACIONAL_2022_1106112113116117118119120121[[#This Row],[CIE-10]]))</calculatedColumnFormula>
    </tableColumn>
    <tableColumn id="4" xr3:uid="{F073AD3D-9C6C-4A4F-B995-F2BDECA65DD1}" name="D3" dataDxfId="1168">
      <calculatedColumnFormula>IF($B$2="(Todas)",COUNTIF(BASE[CODCIE104],GUIA_NACIONAL_2022_1106112113116117118119120121[[#This Row],[CIE-10]]),COUNTIFS(BASE[Cod.Establecimiento],$B$2,BASE[CODCIE104],GUIA_NACIONAL_2022_1106112113116117118119120121[[#This Row],[CIE-10]]))</calculatedColumnFormula>
    </tableColumn>
    <tableColumn id="5" xr3:uid="{648AACCB-00D2-46E5-B37C-965784A59A12}" name="D4" dataDxfId="1167">
      <calculatedColumnFormula>IF($B$2="(Todas)",COUNTIF(BASE[CODCIE106],GUIA_NACIONAL_2022_1106112113116117118119120121[[#This Row],[CIE-10]]),COUNTIFS(BASE[Cod.Establecimiento],$B$2,BASE[CODCIE106],GUIA_NACIONAL_2022_1106112113116117118119120121[[#This Row],[CIE-10]]))</calculatedColumnFormula>
    </tableColumn>
    <tableColumn id="6" xr3:uid="{FA3F7913-8F0E-4735-B79A-49D2582CAB01}" name="D5" dataDxfId="1166">
      <calculatedColumnFormula>IF($B$2="(Todas)",COUNTIF(BASE[CODCIE108],GUIA_NACIONAL_2022_1106112113116117118119120121[[#This Row],[CIE-10]]),COUNTIFS(BASE[Cod.Establecimiento],$B$2,BASE[CODCIE108],GUIA_NACIONAL_2022_1106112113116117118119120121[[#This Row],[CIE-10]]))</calculatedColumnFormula>
    </tableColumn>
    <tableColumn id="7" xr3:uid="{E565E724-ABF9-4B50-8F55-34325AC27777}" name="D6" dataDxfId="1165">
      <calculatedColumnFormula>IF($B$2="(Todas)",COUNTIF(BASE[CODCIE1010],GUIA_NACIONAL_2022_1106112113116117118119120121[[#This Row],[CIE-10]]),COUNTIFS(BASE[Cod.Establecimiento],$B$2,BASE[CODCIE1010],GUIA_NACIONAL_2022_1106112113116117118119120121[[#This Row],[CIE-10]]))</calculatedColumnFormula>
    </tableColumn>
    <tableColumn id="8" xr3:uid="{95FD9480-AE00-4709-A453-6C27B70D58C6}" name="TOT" dataDxfId="1164" dataCellStyle="40% - Énfasis6">
      <calculatedColumnFormula>SUM(GUIA_NACIONAL_2022_1106112113116117118119120121[[#This Row],[D1]:[D6]])</calculatedColumnFormula>
    </tableColumn>
  </tableColumns>
  <tableStyleInfo name="TableStyleLight1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B7143A3-FBD5-4A4E-A6EF-628796D0551A}" name="GUIA_NACIONAL_2022_1106112113116117118119120121122" displayName="GUIA_NACIONAL_2022_1106112113116117118119120121122" ref="D66:K67" totalsRowShown="0" headerRowDxfId="1163">
  <autoFilter ref="D66:K67" xr:uid="{8B7143A3-FBD5-4A4E-A6EF-628796D0551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2405A51D-60CB-4771-BAC1-AF7E50E79CD7}" name="CIE-10" dataCellStyle="20% - Énfasis4"/>
    <tableColumn id="2" xr3:uid="{CB9CE276-8E7F-42C4-B634-BC3BE262953E}" name="D1" dataDxfId="1162">
      <calculatedColumnFormula>IF($B$2="(Todas)",COUNTIF(BASE[CODCIE10],GUIA_NACIONAL_2022_1106112113116117118119120121122[[#This Row],[CIE-10]]),COUNTIFS(BASE[Cod.Establecimiento],$B$2,BASE[CODCIE10],GUIA_NACIONAL_2022_1106112113116117118119120121122[[#This Row],[CIE-10]]))</calculatedColumnFormula>
    </tableColumn>
    <tableColumn id="3" xr3:uid="{267D65AF-6E45-4F23-B7A3-DC5F7BEE4C92}" name="D2" dataDxfId="1161">
      <calculatedColumnFormula>IF($B$2="(Todas)",COUNTIF(BASE[CODCIE102],GUIA_NACIONAL_2022_1106112113116117118119120121122[[#This Row],[CIE-10]]),COUNTIFS(BASE[Cod.Establecimiento],$B$2,BASE[CODCIE102],GUIA_NACIONAL_2022_1106112113116117118119120121122[[#This Row],[CIE-10]]))</calculatedColumnFormula>
    </tableColumn>
    <tableColumn id="4" xr3:uid="{1AD6BE36-59D5-48DF-8D24-A5D830C69182}" name="D3" dataDxfId="1160">
      <calculatedColumnFormula>IF($B$2="(Todas)",COUNTIF(BASE[CODCIE104],GUIA_NACIONAL_2022_1106112113116117118119120121122[[#This Row],[CIE-10]]),COUNTIFS(BASE[Cod.Establecimiento],$B$2,BASE[CODCIE104],GUIA_NACIONAL_2022_1106112113116117118119120121122[[#This Row],[CIE-10]]))</calculatedColumnFormula>
    </tableColumn>
    <tableColumn id="5" xr3:uid="{81F9D151-B26B-43A8-BFF0-9552AC71AA17}" name="D4" dataDxfId="1159">
      <calculatedColumnFormula>IF($B$2="(Todas)",COUNTIF(BASE[CODCIE106],GUIA_NACIONAL_2022_1106112113116117118119120121122[[#This Row],[CIE-10]]),COUNTIFS(BASE[Cod.Establecimiento],$B$2,BASE[CODCIE106],GUIA_NACIONAL_2022_1106112113116117118119120121122[[#This Row],[CIE-10]]))</calculatedColumnFormula>
    </tableColumn>
    <tableColumn id="6" xr3:uid="{2BE57979-A54E-49C9-A93D-16112D84A9D6}" name="D5" dataDxfId="1158">
      <calculatedColumnFormula>IF($B$2="(Todas)",COUNTIF(BASE[CODCIE108],GUIA_NACIONAL_2022_1106112113116117118119120121122[[#This Row],[CIE-10]]),COUNTIFS(BASE[Cod.Establecimiento],$B$2,BASE[CODCIE108],GUIA_NACIONAL_2022_1106112113116117118119120121122[[#This Row],[CIE-10]]))</calculatedColumnFormula>
    </tableColumn>
    <tableColumn id="7" xr3:uid="{E2EE8011-1A73-48EA-8DAA-915559335F00}" name="D6" dataDxfId="1157">
      <calculatedColumnFormula>IF($B$2="(Todas)",COUNTIF(BASE[CODCIE1010],GUIA_NACIONAL_2022_1106112113116117118119120121122[[#This Row],[CIE-10]]),COUNTIFS(BASE[Cod.Establecimiento],$B$2,BASE[CODCIE1010],GUIA_NACIONAL_2022_1106112113116117118119120121122[[#This Row],[CIE-10]]))</calculatedColumnFormula>
    </tableColumn>
    <tableColumn id="8" xr3:uid="{55A571C6-8BA5-4298-806A-E1433DFA138D}" name="TOT" dataDxfId="1156" dataCellStyle="40% - Énfasis6">
      <calculatedColumnFormula>SUM(GUIA_NACIONAL_2022_1106112113116117118119120121122[[#This Row],[D1]:[D6]])</calculatedColumnFormula>
    </tableColumn>
  </tableColumns>
  <tableStyleInfo name="TableStyleLight1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529BC2C1-6B3D-42E4-8E4C-C2879997B9A2}" name="GUIA_NACIONAL_2022_1106112113116117118119120121122123" displayName="GUIA_NACIONAL_2022_1106112113116117118119120121122123" ref="D69:K70" totalsRowShown="0" headerRowDxfId="1155">
  <autoFilter ref="D69:K70" xr:uid="{529BC2C1-6B3D-42E4-8E4C-C2879997B9A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B2F1D862-8E62-4DEC-9C2A-9C3D5E004BC8}" name="CIE-10" dataCellStyle="20% - Énfasis4"/>
    <tableColumn id="2" xr3:uid="{C00FC888-15B5-4A46-A55A-D79FE29A17E5}" name="D1" dataDxfId="1154">
      <calculatedColumnFormula>IF($B$2="(Todas)",COUNTIF(BASE[CODCIE10],GUIA_NACIONAL_2022_1106112113116117118119120121122123[[#This Row],[CIE-10]]),COUNTIFS(BASE[Cod.Establecimiento],$B$2,BASE[CODCIE10],GUIA_NACIONAL_2022_1106112113116117118119120121122123[[#This Row],[CIE-10]]))</calculatedColumnFormula>
    </tableColumn>
    <tableColumn id="3" xr3:uid="{CED72D02-D434-4EC3-AF07-AF3F271C93F9}" name="D2" dataDxfId="1153">
      <calculatedColumnFormula>IF($B$2="(Todas)",COUNTIF(BASE[CODCIE102],GUIA_NACIONAL_2022_1106112113116117118119120121122123[[#This Row],[CIE-10]]),COUNTIFS(BASE[Cod.Establecimiento],$B$2,BASE[CODCIE102],GUIA_NACIONAL_2022_1106112113116117118119120121122123[[#This Row],[CIE-10]]))</calculatedColumnFormula>
    </tableColumn>
    <tableColumn id="4" xr3:uid="{13CC3B07-D30B-41DC-89AB-4F896064E44D}" name="D3" dataDxfId="1152">
      <calculatedColumnFormula>IF($B$2="(Todas)",COUNTIF(BASE[CODCIE104],GUIA_NACIONAL_2022_1106112113116117118119120121122123[[#This Row],[CIE-10]]),COUNTIFS(BASE[Cod.Establecimiento],$B$2,BASE[CODCIE104],GUIA_NACIONAL_2022_1106112113116117118119120121122123[[#This Row],[CIE-10]]))</calculatedColumnFormula>
    </tableColumn>
    <tableColumn id="5" xr3:uid="{E3723A55-0A9A-4BA6-87F6-A548B5C07DB8}" name="D4" dataDxfId="1151">
      <calculatedColumnFormula>IF($B$2="(Todas)",COUNTIF(BASE[CODCIE106],GUIA_NACIONAL_2022_1106112113116117118119120121122123[[#This Row],[CIE-10]]),COUNTIFS(BASE[Cod.Establecimiento],$B$2,BASE[CODCIE106],GUIA_NACIONAL_2022_1106112113116117118119120121122123[[#This Row],[CIE-10]]))</calculatedColumnFormula>
    </tableColumn>
    <tableColumn id="6" xr3:uid="{E187AEB9-B623-4C56-A243-BD9A47DE6789}" name="D5" dataDxfId="1150">
      <calculatedColumnFormula>IF($B$2="(Todas)",COUNTIF(BASE[CODCIE108],GUIA_NACIONAL_2022_1106112113116117118119120121122123[[#This Row],[CIE-10]]),COUNTIFS(BASE[Cod.Establecimiento],$B$2,BASE[CODCIE108],GUIA_NACIONAL_2022_1106112113116117118119120121122123[[#This Row],[CIE-10]]))</calculatedColumnFormula>
    </tableColumn>
    <tableColumn id="7" xr3:uid="{6D81D699-98E4-4761-B398-1C976CC2805A}" name="D6" dataDxfId="1149">
      <calculatedColumnFormula>IF($B$2="(Todas)",COUNTIF(BASE[CODCIE1010],GUIA_NACIONAL_2022_1106112113116117118119120121122123[[#This Row],[CIE-10]]),COUNTIFS(BASE[Cod.Establecimiento],$B$2,BASE[CODCIE1010],GUIA_NACIONAL_2022_1106112113116117118119120121122123[[#This Row],[CIE-10]]))</calculatedColumnFormula>
    </tableColumn>
    <tableColumn id="8" xr3:uid="{4755CE8D-5E57-4E9E-83B9-FB80C3A3FC01}" name="TOT" dataDxfId="1148" dataCellStyle="40% - Énfasis6">
      <calculatedColumnFormula>SUM(GUIA_NACIONAL_2022_1106112113116117118119120121122123[[#This Row],[D1]:[D6]])</calculatedColumnFormula>
    </tableColumn>
  </tableColumns>
  <tableStyleInfo name="TableStyleLight1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3F284FA1-2256-4F14-BD3C-479BC3D97DF1}" name="GUIA_NACIONAL_2022_1106112113116117118119120121122123124" displayName="GUIA_NACIONAL_2022_1106112113116117118119120121122123124" ref="D72:K73" totalsRowShown="0" headerRowDxfId="1147">
  <autoFilter ref="D72:K73" xr:uid="{3F284FA1-2256-4F14-BD3C-479BC3D97DF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BC298275-971A-460A-8A13-0F738FFAC28A}" name="CIE-10" dataCellStyle="20% - Énfasis4"/>
    <tableColumn id="2" xr3:uid="{103BC5D0-203C-456A-A312-987851045F2E}" name="D1" dataDxfId="1146">
      <calculatedColumnFormula>IF($B$2="(Todas)",COUNTIF(BASE[CODCIE10],GUIA_NACIONAL_2022_1106112113116117118119120121122123124[[#This Row],[CIE-10]]),COUNTIFS(BASE[Cod.Establecimiento],$B$2,BASE[CODCIE10],GUIA_NACIONAL_2022_1106112113116117118119120121122123124[[#This Row],[CIE-10]]))</calculatedColumnFormula>
    </tableColumn>
    <tableColumn id="3" xr3:uid="{95D2BB07-4CB8-4AD7-82F1-BC73079637E9}" name="D2" dataDxfId="1145">
      <calculatedColumnFormula>IF($B$2="(Todas)",COUNTIF(BASE[CODCIE102],GUIA_NACIONAL_2022_1106112113116117118119120121122123124[[#This Row],[CIE-10]]),COUNTIFS(BASE[Cod.Establecimiento],$B$2,BASE[CODCIE102],GUIA_NACIONAL_2022_1106112113116117118119120121122123124[[#This Row],[CIE-10]]))</calculatedColumnFormula>
    </tableColumn>
    <tableColumn id="4" xr3:uid="{92733285-2B4D-40E8-9A98-CBB8249D6309}" name="D3" dataDxfId="1144">
      <calculatedColumnFormula>IF($B$2="(Todas)",COUNTIF(BASE[CODCIE104],GUIA_NACIONAL_2022_1106112113116117118119120121122123124[[#This Row],[CIE-10]]),COUNTIFS(BASE[Cod.Establecimiento],$B$2,BASE[CODCIE104],GUIA_NACIONAL_2022_1106112113116117118119120121122123124[[#This Row],[CIE-10]]))</calculatedColumnFormula>
    </tableColumn>
    <tableColumn id="5" xr3:uid="{501740B8-38C9-40D8-A7C5-154E53EC7C8F}" name="D4" dataDxfId="1143">
      <calculatedColumnFormula>IF($B$2="(Todas)",COUNTIF(BASE[CODCIE106],GUIA_NACIONAL_2022_1106112113116117118119120121122123124[[#This Row],[CIE-10]]),COUNTIFS(BASE[Cod.Establecimiento],$B$2,BASE[CODCIE106],GUIA_NACIONAL_2022_1106112113116117118119120121122123124[[#This Row],[CIE-10]]))</calculatedColumnFormula>
    </tableColumn>
    <tableColumn id="6" xr3:uid="{DA34B1F3-738F-41E8-A450-5C70044C41AB}" name="D5" dataDxfId="1142">
      <calculatedColumnFormula>IF($B$2="(Todas)",COUNTIF(BASE[CODCIE108],GUIA_NACIONAL_2022_1106112113116117118119120121122123124[[#This Row],[CIE-10]]),COUNTIFS(BASE[Cod.Establecimiento],$B$2,BASE[CODCIE108],GUIA_NACIONAL_2022_1106112113116117118119120121122123124[[#This Row],[CIE-10]]))</calculatedColumnFormula>
    </tableColumn>
    <tableColumn id="7" xr3:uid="{90DA5F46-7E12-4733-B7EA-C4B4C1CC64AD}" name="D6" dataDxfId="1141">
      <calculatedColumnFormula>IF($B$2="(Todas)",COUNTIF(BASE[CODCIE1010],GUIA_NACIONAL_2022_1106112113116117118119120121122123124[[#This Row],[CIE-10]]),COUNTIFS(BASE[Cod.Establecimiento],$B$2,BASE[CODCIE1010],GUIA_NACIONAL_2022_1106112113116117118119120121122123124[[#This Row],[CIE-10]]))</calculatedColumnFormula>
    </tableColumn>
    <tableColumn id="8" xr3:uid="{7ED0BE9E-6525-49E1-881C-CCAADC1F26B8}" name="TOT" dataDxfId="1140" dataCellStyle="40% - Énfasis6">
      <calculatedColumnFormula>SUM(GUIA_NACIONAL_2022_1106112113116117118119120121122123124[[#This Row],[D1]:[D6]])</calculatedColumnFormula>
    </tableColumn>
  </tableColumns>
  <tableStyleInfo name="TableStyleLight1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478197EE-AF7B-438F-BBC5-50669223F0AD}" name="GUIA_NACIONAL_2022_1106112113116117118119120121122123124125" displayName="GUIA_NACIONAL_2022_1106112113116117118119120121122123124125" ref="D75:K76" totalsRowShown="0" headerRowDxfId="1139">
  <autoFilter ref="D75:K76" xr:uid="{478197EE-AF7B-438F-BBC5-50669223F0A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91772198-9119-4CA5-A68C-9F92D7CFC033}" name="CIE-10" dataCellStyle="20% - Énfasis4"/>
    <tableColumn id="2" xr3:uid="{242FEA7C-FA2B-4A0A-A2D4-2515325513C9}" name="D1" dataDxfId="1138">
      <calculatedColumnFormula>IF($B$2="(Todas)",COUNTIF(BASE[CODCIE10],GUIA_NACIONAL_2022_1106112113116117118119120121122123124125[[#This Row],[CIE-10]]),COUNTIFS(BASE[Cod.Establecimiento],$B$2,BASE[CODCIE10],GUIA_NACIONAL_2022_1106112113116117118119120121122123124125[[#This Row],[CIE-10]]))</calculatedColumnFormula>
    </tableColumn>
    <tableColumn id="3" xr3:uid="{9F50AD87-5D11-4D6D-BF65-CAF5FC950EC4}" name="D2" dataDxfId="1137">
      <calculatedColumnFormula>IF($B$2="(Todas)",COUNTIF(BASE[CODCIE102],GUIA_NACIONAL_2022_1106112113116117118119120121122123124125[[#This Row],[CIE-10]]),COUNTIFS(BASE[Cod.Establecimiento],$B$2,BASE[CODCIE102],GUIA_NACIONAL_2022_1106112113116117118119120121122123124125[[#This Row],[CIE-10]]))</calculatedColumnFormula>
    </tableColumn>
    <tableColumn id="4" xr3:uid="{02C2C34B-5E90-4542-9D3E-CB4FF79C88D7}" name="D3" dataDxfId="1136">
      <calculatedColumnFormula>IF($B$2="(Todas)",COUNTIF(BASE[CODCIE104],GUIA_NACIONAL_2022_1106112113116117118119120121122123124125[[#This Row],[CIE-10]]),COUNTIFS(BASE[Cod.Establecimiento],$B$2,BASE[CODCIE104],GUIA_NACIONAL_2022_1106112113116117118119120121122123124125[[#This Row],[CIE-10]]))</calculatedColumnFormula>
    </tableColumn>
    <tableColumn id="5" xr3:uid="{47D8A47E-7D79-4218-B51E-EF9AD9A75F72}" name="D4" dataDxfId="1135">
      <calculatedColumnFormula>IF($B$2="(Todas)",COUNTIF(BASE[CODCIE106],GUIA_NACIONAL_2022_1106112113116117118119120121122123124125[[#This Row],[CIE-10]]),COUNTIFS(BASE[Cod.Establecimiento],$B$2,BASE[CODCIE106],GUIA_NACIONAL_2022_1106112113116117118119120121122123124125[[#This Row],[CIE-10]]))</calculatedColumnFormula>
    </tableColumn>
    <tableColumn id="6" xr3:uid="{383DCF2D-6988-4322-8919-6793DE2AE682}" name="D5" dataDxfId="1134">
      <calculatedColumnFormula>IF($B$2="(Todas)",COUNTIF(BASE[CODCIE108],GUIA_NACIONAL_2022_1106112113116117118119120121122123124125[[#This Row],[CIE-10]]),COUNTIFS(BASE[Cod.Establecimiento],$B$2,BASE[CODCIE108],GUIA_NACIONAL_2022_1106112113116117118119120121122123124125[[#This Row],[CIE-10]]))</calculatedColumnFormula>
    </tableColumn>
    <tableColumn id="7" xr3:uid="{9C06448F-9A32-4CF2-AD70-5B5BBB2BA697}" name="D6" dataDxfId="1133">
      <calculatedColumnFormula>IF($B$2="(Todas)",COUNTIF(BASE[CODCIE1010],GUIA_NACIONAL_2022_1106112113116117118119120121122123124125[[#This Row],[CIE-10]]),COUNTIFS(BASE[Cod.Establecimiento],$B$2,BASE[CODCIE1010],GUIA_NACIONAL_2022_1106112113116117118119120121122123124125[[#This Row],[CIE-10]]))</calculatedColumnFormula>
    </tableColumn>
    <tableColumn id="8" xr3:uid="{C50E990D-4432-4015-A5B7-42E4A406E381}" name="TOT" dataDxfId="1132" dataCellStyle="40% - Énfasis6">
      <calculatedColumnFormula>SUM(GUIA_NACIONAL_2022_1106112113116117118119120121122123124125[[#This Row],[D1]:[D6]])</calculatedColumnFormula>
    </tableColumn>
  </tableColumns>
  <tableStyleInfo name="TableStyleLight1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8344A223-7B03-4962-8993-7513D0241C09}" name="GUIA_NACIONAL_2022_1106112113116117118119120121122123124125126" displayName="GUIA_NACIONAL_2022_1106112113116117118119120121122123124125126" ref="D78:K79" totalsRowShown="0" headerRowDxfId="1131">
  <autoFilter ref="D78:K79" xr:uid="{8344A223-7B03-4962-8993-7513D0241C0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38F2DB46-9DB7-495D-B051-6749482C30E5}" name="CIE-10" dataCellStyle="20% - Énfasis4"/>
    <tableColumn id="2" xr3:uid="{28ED0041-2571-4A22-8EA5-DC448CB254F1}" name="D1" dataDxfId="1130">
      <calculatedColumnFormula>IF($B$2="(Todas)",COUNTIF(BASE[CODCIE10],GUIA_NACIONAL_2022_1106112113116117118119120121122123124125126[[#This Row],[CIE-10]]),COUNTIFS(BASE[Cod.Establecimiento],$B$2,BASE[CODCIE10],GUIA_NACIONAL_2022_1106112113116117118119120121122123124125126[[#This Row],[CIE-10]]))</calculatedColumnFormula>
    </tableColumn>
    <tableColumn id="3" xr3:uid="{F928A0C7-7B7E-4301-965E-E602AEC46C62}" name="D2" dataDxfId="1129">
      <calculatedColumnFormula>IF($B$2="(Todas)",COUNTIF(BASE[CODCIE102],GUIA_NACIONAL_2022_1106112113116117118119120121122123124125126[[#This Row],[CIE-10]]),COUNTIFS(BASE[Cod.Establecimiento],$B$2,BASE[CODCIE102],GUIA_NACIONAL_2022_1106112113116117118119120121122123124125126[[#This Row],[CIE-10]]))</calculatedColumnFormula>
    </tableColumn>
    <tableColumn id="4" xr3:uid="{52A68832-6C57-4B13-AF8E-B2542150C1A9}" name="D3" dataDxfId="1128">
      <calculatedColumnFormula>IF($B$2="(Todas)",COUNTIF(BASE[CODCIE104],GUIA_NACIONAL_2022_1106112113116117118119120121122123124125126[[#This Row],[CIE-10]]),COUNTIFS(BASE[Cod.Establecimiento],$B$2,BASE[CODCIE104],GUIA_NACIONAL_2022_1106112113116117118119120121122123124125126[[#This Row],[CIE-10]]))</calculatedColumnFormula>
    </tableColumn>
    <tableColumn id="5" xr3:uid="{FCC7291B-E741-42EE-B139-2C2C855B010A}" name="D4" dataDxfId="1127">
      <calculatedColumnFormula>IF($B$2="(Todas)",COUNTIF(BASE[CODCIE106],GUIA_NACIONAL_2022_1106112113116117118119120121122123124125126[[#This Row],[CIE-10]]),COUNTIFS(BASE[Cod.Establecimiento],$B$2,BASE[CODCIE106],GUIA_NACIONAL_2022_1106112113116117118119120121122123124125126[[#This Row],[CIE-10]]))</calculatedColumnFormula>
    </tableColumn>
    <tableColumn id="6" xr3:uid="{0C5A058A-4967-4B87-9339-47103B44302F}" name="D5" dataDxfId="1126">
      <calculatedColumnFormula>IF($B$2="(Todas)",COUNTIF(BASE[CODCIE108],GUIA_NACIONAL_2022_1106112113116117118119120121122123124125126[[#This Row],[CIE-10]]),COUNTIFS(BASE[Cod.Establecimiento],$B$2,BASE[CODCIE108],GUIA_NACIONAL_2022_1106112113116117118119120121122123124125126[[#This Row],[CIE-10]]))</calculatedColumnFormula>
    </tableColumn>
    <tableColumn id="7" xr3:uid="{8C454EFA-D621-4E40-8C52-BAD5165E86A2}" name="D6" dataDxfId="1125">
      <calculatedColumnFormula>IF($B$2="(Todas)",COUNTIF(BASE[CODCIE1010],GUIA_NACIONAL_2022_1106112113116117118119120121122123124125126[[#This Row],[CIE-10]]),COUNTIFS(BASE[Cod.Establecimiento],$B$2,BASE[CODCIE1010],GUIA_NACIONAL_2022_1106112113116117118119120121122123124125126[[#This Row],[CIE-10]]))</calculatedColumnFormula>
    </tableColumn>
    <tableColumn id="8" xr3:uid="{FB8C0505-A3E1-4578-9D07-4D999E45B3A5}" name="TOT" dataDxfId="1124" dataCellStyle="40% - Énfasis6">
      <calculatedColumnFormula>SUM(GUIA_NACIONAL_2022_1106112113116117118119120121122123124125126[[#This Row],[D1]:[D6]])</calculatedColumnFormula>
    </tableColumn>
  </tableColumns>
  <tableStyleInfo name="TableStyleLight1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A88707FD-6E4C-49D8-B801-27AD03E31F92}" name="GUIA_NACIONAL_2022_1106127" displayName="GUIA_NACIONAL_2022_1106127" ref="M8:T10" totalsRowShown="0" headerRowDxfId="1123">
  <autoFilter ref="M8:T10" xr:uid="{A88707FD-6E4C-49D8-B801-27AD03E31F9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460741B8-2F02-415A-97B2-93B27909C8B0}" name="CIE-10" dataCellStyle="20% - Énfasis4"/>
    <tableColumn id="2" xr3:uid="{A3DE5F73-3B57-448C-B8C3-C5FC4B9CBDB3}" name="D1" dataDxfId="1122">
      <calculatedColumnFormula>IF($B$2="(Todas)",COUNTIF(BASE[CODCIE10],GUIA_NACIONAL_2022_1106127[[#This Row],[CIE-10]]),COUNTIFS(BASE[Cod.Establecimiento],$B$2,BASE[CODCIE10],GUIA_NACIONAL_2022_1106127[[#This Row],[CIE-10]]))</calculatedColumnFormula>
    </tableColumn>
    <tableColumn id="3" xr3:uid="{DA4A1784-D5DE-4943-A829-2DA5504A9B51}" name="D2" dataDxfId="1121">
      <calculatedColumnFormula>IF($B$2="(Todas)",COUNTIF(BASE[CODCIE102],GUIA_NACIONAL_2022_1106127[[#This Row],[CIE-10]]),COUNTIFS(BASE[Cod.Establecimiento],$B$2,BASE[CODCIE102],GUIA_NACIONAL_2022_1106127[[#This Row],[CIE-10]]))</calculatedColumnFormula>
    </tableColumn>
    <tableColumn id="4" xr3:uid="{F2BCE698-E660-4937-8783-908BC801A925}" name="D3" dataDxfId="1120">
      <calculatedColumnFormula>IF($B$2="(Todas)",COUNTIF(BASE[CODCIE104],GUIA_NACIONAL_2022_1106127[[#This Row],[CIE-10]]),COUNTIFS(BASE[Cod.Establecimiento],$B$2,BASE[CODCIE104],GUIA_NACIONAL_2022_1106127[[#This Row],[CIE-10]]))</calculatedColumnFormula>
    </tableColumn>
    <tableColumn id="5" xr3:uid="{6AF21485-487E-4642-9F04-0E786010E108}" name="D4" dataDxfId="1119">
      <calculatedColumnFormula>IF($B$2="(Todas)",COUNTIF(BASE[CODCIE106],GUIA_NACIONAL_2022_1106127[[#This Row],[CIE-10]]),COUNTIFS(BASE[Cod.Establecimiento],$B$2,BASE[CODCIE106],GUIA_NACIONAL_2022_1106127[[#This Row],[CIE-10]]))</calculatedColumnFormula>
    </tableColumn>
    <tableColumn id="6" xr3:uid="{19A18CB8-21AC-43DF-BA78-1DE4D1F30735}" name="D5" dataDxfId="1118">
      <calculatedColumnFormula>IF($B$2="(Todas)",COUNTIF(BASE[CODCIE108],GUIA_NACIONAL_2022_1106127[[#This Row],[CIE-10]]),COUNTIFS(BASE[Cod.Establecimiento],$B$2,BASE[CODCIE108],GUIA_NACIONAL_2022_1106127[[#This Row],[CIE-10]]))</calculatedColumnFormula>
    </tableColumn>
    <tableColumn id="7" xr3:uid="{D5338236-97FC-408D-ACB2-B58EFED02CDA}" name="D6" dataDxfId="1117">
      <calculatedColumnFormula>IF($B$2="(Todas)",COUNTIF(BASE[CODCIE1010],GUIA_NACIONAL_2022_1106127[[#This Row],[CIE-10]]),COUNTIFS(BASE[Cod.Establecimiento],$B$2,BASE[CODCIE1010],GUIA_NACIONAL_2022_1106127[[#This Row],[CIE-10]]))</calculatedColumnFormula>
    </tableColumn>
    <tableColumn id="8" xr3:uid="{F2BD8CF5-E29C-4759-BD82-1145CDB945DF}" name="TOT" dataDxfId="1116" dataCellStyle="40% - Énfasis6">
      <calculatedColumnFormula>SUM(GUIA_NACIONAL_2022_1106127[[#This Row],[D1]:[D6]])</calculatedColumnFormula>
    </tableColumn>
  </tableColumns>
  <tableStyleInfo name="TableStyleLight1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32532C6A-1E20-4931-8921-56B2726AB351}" name="GUIA_NACIONAL_2022_1106128" displayName="GUIA_NACIONAL_2022_1106128" ref="V4:AC5" totalsRowShown="0" headerRowDxfId="1115">
  <autoFilter ref="V4:AC5" xr:uid="{32532C6A-1E20-4931-8921-56B2726AB35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EECE2364-599F-4C38-805C-6D531CF4D2D7}" name="CIE-10" dataCellStyle="20% - Énfasis4"/>
    <tableColumn id="2" xr3:uid="{14AD9032-EC33-47DB-9256-85857E6AA48A}" name="D1" dataDxfId="1114">
      <calculatedColumnFormula>IF($B$2="(Todas)",COUNTIF(BASE[CODCIE10],GUIA_NACIONAL_2022_1106128[[#This Row],[CIE-10]]),COUNTIFS(BASE[Cod.Establecimiento],$B$2,BASE[CODCIE10],GUIA_NACIONAL_2022_1106128[[#This Row],[CIE-10]]))</calculatedColumnFormula>
    </tableColumn>
    <tableColumn id="3" xr3:uid="{E4A346D6-A319-4B46-9B13-BC363022B1EF}" name="D2" dataDxfId="1113">
      <calculatedColumnFormula>IF($B$2="(Todas)",COUNTIF(BASE[CODCIE102],GUIA_NACIONAL_2022_1106128[[#This Row],[CIE-10]]),COUNTIFS(BASE[Cod.Establecimiento],$B$2,BASE[CODCIE102],GUIA_NACIONAL_2022_1106128[[#This Row],[CIE-10]]))</calculatedColumnFormula>
    </tableColumn>
    <tableColumn id="4" xr3:uid="{CD353A31-1348-4CA3-B1F5-610DEFF393E0}" name="D3" dataDxfId="1112">
      <calculatedColumnFormula>IF($B$2="(Todas)",COUNTIF(BASE[CODCIE104],GUIA_NACIONAL_2022_1106128[[#This Row],[CIE-10]]),COUNTIFS(BASE[Cod.Establecimiento],$B$2,BASE[CODCIE104],GUIA_NACIONAL_2022_1106128[[#This Row],[CIE-10]]))</calculatedColumnFormula>
    </tableColumn>
    <tableColumn id="5" xr3:uid="{687E47E6-0F58-4705-9141-1F96F4FCBDB3}" name="D4" dataDxfId="1111">
      <calculatedColumnFormula>IF($B$2="(Todas)",COUNTIF(BASE[CODCIE106],GUIA_NACIONAL_2022_1106128[[#This Row],[CIE-10]]),COUNTIFS(BASE[Cod.Establecimiento],$B$2,BASE[CODCIE106],GUIA_NACIONAL_2022_1106128[[#This Row],[CIE-10]]))</calculatedColumnFormula>
    </tableColumn>
    <tableColumn id="6" xr3:uid="{191FB1F0-EC6F-454A-8315-A30924DD6C31}" name="D5" dataDxfId="1110">
      <calculatedColumnFormula>IF($B$2="(Todas)",COUNTIF(BASE[CODCIE108],GUIA_NACIONAL_2022_1106128[[#This Row],[CIE-10]]),COUNTIFS(BASE[Cod.Establecimiento],$B$2,BASE[CODCIE108],GUIA_NACIONAL_2022_1106128[[#This Row],[CIE-10]]))</calculatedColumnFormula>
    </tableColumn>
    <tableColumn id="7" xr3:uid="{E9FF408B-BA2B-459A-8EBA-2201844F7ED5}" name="D6" dataDxfId="1109">
      <calculatedColumnFormula>IF($B$2="(Todas)",COUNTIF(BASE[CODCIE1010],GUIA_NACIONAL_2022_1106128[[#This Row],[CIE-10]]),COUNTIFS(BASE[Cod.Establecimiento],$B$2,BASE[CODCIE1010],GUIA_NACIONAL_2022_1106128[[#This Row],[CIE-10]]))</calculatedColumnFormula>
    </tableColumn>
    <tableColumn id="8" xr3:uid="{9AC44597-34A1-4B1D-B0A1-61766E888ACB}" name="TOT" dataDxfId="1108" dataCellStyle="40% - Énfasis6">
      <calculatedColumnFormula>SUM(GUIA_NACIONAL_2022_1106128[[#This Row],[D1]:[D6]])</calculatedColumnFormula>
    </tableColumn>
  </tableColumns>
  <tableStyleInfo name="TableStyleLight1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191793C2-73D4-4E6D-8FDF-27212AA807C6}" name="GUIA_NACIONAL_2022_1106128105" displayName="GUIA_NACIONAL_2022_1106128105" ref="AE4:AL5" totalsRowShown="0" headerRowDxfId="1107">
  <autoFilter ref="AE4:AL5" xr:uid="{191793C2-73D4-4E6D-8FDF-27212AA807C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FB77DC2E-7C47-4697-A961-4AE6B8FD48FF}" name="CIE-10" dataCellStyle="20% - Énfasis4"/>
    <tableColumn id="2" xr3:uid="{E4ABC639-217D-44CF-97ED-DBE36FC8A71B}" name="D1" dataDxfId="1106">
      <calculatedColumnFormula>IF($B$2="(Todas)",COUNTIF(BASE[CODCIE10],GUIA_NACIONAL_2022_1106128105[[#This Row],[CIE-10]]),COUNTIFS(BASE[Cod.Establecimiento],$B$2,BASE[CODCIE10],GUIA_NACIONAL_2022_1106128105[[#This Row],[CIE-10]]))</calculatedColumnFormula>
    </tableColumn>
    <tableColumn id="3" xr3:uid="{8FF1F526-229E-4371-855A-28FF1F81C7B4}" name="D2" dataDxfId="1105">
      <calculatedColumnFormula>IF($B$2="(Todas)",COUNTIF(BASE[CODCIE102],GUIA_NACIONAL_2022_1106128105[[#This Row],[CIE-10]]),COUNTIFS(BASE[Cod.Establecimiento],$B$2,BASE[CODCIE102],GUIA_NACIONAL_2022_1106128105[[#This Row],[CIE-10]]))</calculatedColumnFormula>
    </tableColumn>
    <tableColumn id="4" xr3:uid="{C9FCCE67-A339-402C-AAF0-DDF5816C77AE}" name="D3" dataDxfId="1104">
      <calculatedColumnFormula>IF($B$2="(Todas)",COUNTIF(BASE[CODCIE104],GUIA_NACIONAL_2022_1106128105[[#This Row],[CIE-10]]),COUNTIFS(BASE[Cod.Establecimiento],$B$2,BASE[CODCIE104],GUIA_NACIONAL_2022_1106128105[[#This Row],[CIE-10]]))</calculatedColumnFormula>
    </tableColumn>
    <tableColumn id="5" xr3:uid="{C2BC5A46-D5AF-4951-8210-3C5B4EF3368A}" name="D4" dataDxfId="1103">
      <calculatedColumnFormula>IF($B$2="(Todas)",COUNTIF(BASE[CODCIE106],GUIA_NACIONAL_2022_1106128105[[#This Row],[CIE-10]]),COUNTIFS(BASE[Cod.Establecimiento],$B$2,BASE[CODCIE106],GUIA_NACIONAL_2022_1106128105[[#This Row],[CIE-10]]))</calculatedColumnFormula>
    </tableColumn>
    <tableColumn id="6" xr3:uid="{C5567C1D-85C1-423A-AAEF-97836A1367E9}" name="D5" dataDxfId="1102">
      <calculatedColumnFormula>IF($B$2="(Todas)",COUNTIF(BASE[CODCIE108],GUIA_NACIONAL_2022_1106128105[[#This Row],[CIE-10]]),COUNTIFS(BASE[Cod.Establecimiento],$B$2,BASE[CODCIE108],GUIA_NACIONAL_2022_1106128105[[#This Row],[CIE-10]]))</calculatedColumnFormula>
    </tableColumn>
    <tableColumn id="7" xr3:uid="{6CA9E4F6-BE25-4BFE-9C82-C2D70EE8A35E}" name="D6" dataDxfId="1101">
      <calculatedColumnFormula>IF($B$2="(Todas)",COUNTIF(BASE[CODCIE1010],GUIA_NACIONAL_2022_1106128105[[#This Row],[CIE-10]]),COUNTIFS(BASE[Cod.Establecimiento],$B$2,BASE[CODCIE1010],GUIA_NACIONAL_2022_1106128105[[#This Row],[CIE-10]]))</calculatedColumnFormula>
    </tableColumn>
    <tableColumn id="8" xr3:uid="{43276A52-1A96-471C-BB44-53322416E5E3}" name="TOT" dataDxfId="1100" dataCellStyle="40% - Énfasis6">
      <calculatedColumnFormula>SUM(GUIA_NACIONAL_2022_1106128105[[#This Row],[D1]:[D6]])</calculatedColumnFormula>
    </tableColumn>
  </tableColumns>
  <tableStyleInfo name="TableStyleLight1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F8CD1D07-4394-4FED-9656-76C6B3C4B1D1}" name="GUIA_NACIONAL_2022_1106128105107" displayName="GUIA_NACIONAL_2022_1106128105107" ref="AN4:AU5" totalsRowShown="0" headerRowDxfId="1099">
  <tableColumns count="8">
    <tableColumn id="1" xr3:uid="{6C000DDB-1222-4878-9DEC-AFE57A380D8F}" name="CIE-10" dataCellStyle="20% - Énfasis4"/>
    <tableColumn id="2" xr3:uid="{11BFF063-84CD-4C06-B884-CF42FBC10B3E}" name="D1" dataDxfId="1098">
      <calculatedColumnFormula>IF($B$2="(Todas)",COUNTIF(BASE[CODCIE10],GUIA_NACIONAL_2022_1106128105107[[#This Row],[CIE-10]]),COUNTIFS(BASE[Cod.Establecimiento],$B$2,BASE[CODCIE10],GUIA_NACIONAL_2022_1106128105107[[#This Row],[CIE-10]]))</calculatedColumnFormula>
    </tableColumn>
    <tableColumn id="3" xr3:uid="{14B4940B-FBF4-42B7-8F46-C2D322B1F652}" name="D2" dataDxfId="1097">
      <calculatedColumnFormula>IF($B$2="(Todas)",COUNTIF(BASE[CODCIE102],GUIA_NACIONAL_2022_1106128105107[[#This Row],[CIE-10]]),COUNTIFS(BASE[Cod.Establecimiento],$B$2,BASE[CODCIE102],GUIA_NACIONAL_2022_1106128105107[[#This Row],[CIE-10]]))</calculatedColumnFormula>
    </tableColumn>
    <tableColumn id="4" xr3:uid="{8833179F-2F50-494C-9AEE-32D0377AC7A6}" name="D3" dataDxfId="1096">
      <calculatedColumnFormula>IF($B$2="(Todas)",COUNTIF(BASE[CODCIE104],GUIA_NACIONAL_2022_1106128105107[[#This Row],[CIE-10]]),COUNTIFS(BASE[Cod.Establecimiento],$B$2,BASE[CODCIE104],GUIA_NACIONAL_2022_1106128105107[[#This Row],[CIE-10]]))</calculatedColumnFormula>
    </tableColumn>
    <tableColumn id="5" xr3:uid="{9CCD68A6-13B0-4AAC-883A-5F134D32D80C}" name="D4" dataDxfId="1095">
      <calculatedColumnFormula>IF($B$2="(Todas)",COUNTIF(BASE[CODCIE106],GUIA_NACIONAL_2022_1106128105107[[#This Row],[CIE-10]]),COUNTIFS(BASE[Cod.Establecimiento],$B$2,BASE[CODCIE106],GUIA_NACIONAL_2022_1106128105107[[#This Row],[CIE-10]]))</calculatedColumnFormula>
    </tableColumn>
    <tableColumn id="6" xr3:uid="{CA2D859E-804A-4E66-8B74-3207F875229C}" name="D5" dataDxfId="1094">
      <calculatedColumnFormula>IF($B$2="(Todas)",COUNTIF(BASE[CODCIE108],GUIA_NACIONAL_2022_1106128105107[[#This Row],[CIE-10]]),COUNTIFS(BASE[Cod.Establecimiento],$B$2,BASE[CODCIE108],GUIA_NACIONAL_2022_1106128105107[[#This Row],[CIE-10]]))</calculatedColumnFormula>
    </tableColumn>
    <tableColumn id="7" xr3:uid="{D3763ABE-CBFD-4DC3-8AB2-E3FC7432E7B8}" name="D6" dataDxfId="1093">
      <calculatedColumnFormula>IF($B$2="(Todas)",COUNTIF(BASE[CODCIE1010],GUIA_NACIONAL_2022_1106128105107[[#This Row],[CIE-10]]),COUNTIFS(BASE[Cod.Establecimiento],$B$2,BASE[CODCIE1010],GUIA_NACIONAL_2022_1106128105107[[#This Row],[CIE-10]]))</calculatedColumnFormula>
    </tableColumn>
    <tableColumn id="8" xr3:uid="{9E30B6BB-B900-473F-A877-07289772DF9E}" name="TOT" dataDxfId="1092" dataCellStyle="40% - Énfasis6">
      <calculatedColumnFormula>SUM(GUIA_NACIONAL_2022_1106128105107[[#This Row],[D1]:[D6]])</calculatedColumnFormula>
    </tableColumn>
  </tableColumns>
  <tableStyleInfo name="TableStyleLight1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A431FC17-BC2D-440C-86F0-8D7EF9E810E7}" name="GUIA_NACIONAL_2022_1106128105107110" displayName="GUIA_NACIONAL_2022_1106128105107110" ref="AW4:BD7" totalsRowShown="0" headerRowDxfId="1091">
  <tableColumns count="8">
    <tableColumn id="1" xr3:uid="{6EA4F35A-E808-408B-859E-1FDCFB690D57}" name="CIE-10" dataCellStyle="20% - Énfasis4"/>
    <tableColumn id="2" xr3:uid="{77EC5C26-0D73-46F5-BDA1-822594DFFADB}" name="D1" dataDxfId="1090">
      <calculatedColumnFormula>IF($B$2="(Todas)",COUNTIF(BASE[CODCIE10],GUIA_NACIONAL_2022_1106128105107110[[#This Row],[CIE-10]]),COUNTIFS(BASE[Cod.Establecimiento],$B$2,BASE[CODCIE10],GUIA_NACIONAL_2022_1106128105107110[[#This Row],[CIE-10]]))</calculatedColumnFormula>
    </tableColumn>
    <tableColumn id="3" xr3:uid="{D193E83D-9B4B-48F3-A47C-09450370CBFC}" name="D2" dataDxfId="1089">
      <calculatedColumnFormula>IF($B$2="(Todas)",COUNTIF(BASE[CODCIE102],GUIA_NACIONAL_2022_1106128105107110[[#This Row],[CIE-10]]),COUNTIFS(BASE[Cod.Establecimiento],$B$2,BASE[CODCIE102],GUIA_NACIONAL_2022_1106128105107110[[#This Row],[CIE-10]]))</calculatedColumnFormula>
    </tableColumn>
    <tableColumn id="4" xr3:uid="{BADD8202-213E-4C3D-BEE7-ED39BD2812FF}" name="D3" dataDxfId="1088">
      <calculatedColumnFormula>IF($B$2="(Todas)",COUNTIF(BASE[CODCIE104],GUIA_NACIONAL_2022_1106128105107110[[#This Row],[CIE-10]]),COUNTIFS(BASE[Cod.Establecimiento],$B$2,BASE[CODCIE104],GUIA_NACIONAL_2022_1106128105107110[[#This Row],[CIE-10]]))</calculatedColumnFormula>
    </tableColumn>
    <tableColumn id="5" xr3:uid="{7D88083F-72A8-4D61-AD68-432D4F6826EC}" name="D4" dataDxfId="1087">
      <calculatedColumnFormula>IF($B$2="(Todas)",COUNTIF(BASE[CODCIE106],GUIA_NACIONAL_2022_1106128105107110[[#This Row],[CIE-10]]),COUNTIFS(BASE[Cod.Establecimiento],$B$2,BASE[CODCIE106],GUIA_NACIONAL_2022_1106128105107110[[#This Row],[CIE-10]]))</calculatedColumnFormula>
    </tableColumn>
    <tableColumn id="6" xr3:uid="{DD1DE268-CA06-429F-BCB2-025F24AEE55E}" name="D5" dataDxfId="1086">
      <calculatedColumnFormula>IF($B$2="(Todas)",COUNTIF(BASE[CODCIE108],GUIA_NACIONAL_2022_1106128105107110[[#This Row],[CIE-10]]),COUNTIFS(BASE[Cod.Establecimiento],$B$2,BASE[CODCIE108],GUIA_NACIONAL_2022_1106128105107110[[#This Row],[CIE-10]]))</calculatedColumnFormula>
    </tableColumn>
    <tableColumn id="7" xr3:uid="{694C3C62-CD7A-4005-A637-8383A7D36186}" name="D6" dataDxfId="1085">
      <calculatedColumnFormula>IF($B$2="(Todas)",COUNTIF(BASE[CODCIE1010],GUIA_NACIONAL_2022_1106128105107110[[#This Row],[CIE-10]]),COUNTIFS(BASE[Cod.Establecimiento],$B$2,BASE[CODCIE1010],GUIA_NACIONAL_2022_1106128105107110[[#This Row],[CIE-10]]))</calculatedColumnFormula>
    </tableColumn>
    <tableColumn id="8" xr3:uid="{F6745467-F527-4682-B6B4-D2C650745B6A}" name="TOT" dataDxfId="1084" dataCellStyle="40% - Énfasis6">
      <calculatedColumnFormula>SUM(GUIA_NACIONAL_2022_1106128105107110[[#This Row],[D1]:[D6]])</calculatedColumnFormula>
    </tableColumn>
  </tableColumns>
  <tableStyleInfo name="TableStyleLight1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BC6D24D9-8B78-46D3-AE01-4170DD5BAE16}" name="GUIA_NACIONAL_2022_1106128105107111" displayName="GUIA_NACIONAL_2022_1106128105107111" ref="BF4:BM5" totalsRowShown="0" headerRowDxfId="1083">
  <tableColumns count="8">
    <tableColumn id="1" xr3:uid="{2809381C-CFE0-4FA3-9100-0AA10CEEB457}" name="CIE-10" dataCellStyle="20% - Énfasis4"/>
    <tableColumn id="2" xr3:uid="{284C0F9B-B43D-452F-813C-2FE19A8E16BF}" name="D1" dataDxfId="1082">
      <calculatedColumnFormula>IF($B$2="(Todas)",COUNTIF(BASE[CODCIE10],GUIA_NACIONAL_2022_1106128105107111[[#This Row],[CIE-10]]),COUNTIFS(BASE[Cod.Establecimiento],$B$2,BASE[CODCIE10],GUIA_NACIONAL_2022_1106128105107111[[#This Row],[CIE-10]]))</calculatedColumnFormula>
    </tableColumn>
    <tableColumn id="3" xr3:uid="{052F292D-3682-468D-96B5-DABCACE50868}" name="D2" dataDxfId="1081">
      <calculatedColumnFormula>IF($B$2="(Todas)",COUNTIF(BASE[CODCIE102],GUIA_NACIONAL_2022_1106128105107111[[#This Row],[CIE-10]]),COUNTIFS(BASE[Cod.Establecimiento],$B$2,BASE[CODCIE102],GUIA_NACIONAL_2022_1106128105107111[[#This Row],[CIE-10]]))</calculatedColumnFormula>
    </tableColumn>
    <tableColumn id="4" xr3:uid="{FAA392EC-FDD1-4536-80E0-19515DA90F4A}" name="D3" dataDxfId="1080">
      <calculatedColumnFormula>IF($B$2="(Todas)",COUNTIF(BASE[CODCIE104],GUIA_NACIONAL_2022_1106128105107111[[#This Row],[CIE-10]]),COUNTIFS(BASE[Cod.Establecimiento],$B$2,BASE[CODCIE104],GUIA_NACIONAL_2022_1106128105107111[[#This Row],[CIE-10]]))</calculatedColumnFormula>
    </tableColumn>
    <tableColumn id="5" xr3:uid="{5C2253D3-F920-4002-BE32-25F7A08D97D2}" name="D4" dataDxfId="1079">
      <calculatedColumnFormula>IF($B$2="(Todas)",COUNTIF(BASE[CODCIE106],GUIA_NACIONAL_2022_1106128105107111[[#This Row],[CIE-10]]),COUNTIFS(BASE[Cod.Establecimiento],$B$2,BASE[CODCIE106],GUIA_NACIONAL_2022_1106128105107111[[#This Row],[CIE-10]]))</calculatedColumnFormula>
    </tableColumn>
    <tableColumn id="6" xr3:uid="{55AF480A-9DD4-4431-97D8-DA4E37213ED3}" name="D5" dataDxfId="1078">
      <calculatedColumnFormula>IF($B$2="(Todas)",COUNTIF(BASE[CODCIE108],GUIA_NACIONAL_2022_1106128105107111[[#This Row],[CIE-10]]),COUNTIFS(BASE[Cod.Establecimiento],$B$2,BASE[CODCIE108],GUIA_NACIONAL_2022_1106128105107111[[#This Row],[CIE-10]]))</calculatedColumnFormula>
    </tableColumn>
    <tableColumn id="7" xr3:uid="{F741CFE2-0011-47F8-9821-6D42A62CD831}" name="D6" dataDxfId="1077">
      <calculatedColumnFormula>IF($B$2="(Todas)",COUNTIF(BASE[CODCIE1010],GUIA_NACIONAL_2022_1106128105107111[[#This Row],[CIE-10]]),COUNTIFS(BASE[Cod.Establecimiento],$B$2,BASE[CODCIE1010],GUIA_NACIONAL_2022_1106128105107111[[#This Row],[CIE-10]]))</calculatedColumnFormula>
    </tableColumn>
    <tableColumn id="8" xr3:uid="{5B1EC419-2109-4DA0-8156-0B6E41589583}" name="TOT" dataDxfId="1076" dataCellStyle="40% - Énfasis6">
      <calculatedColumnFormula>SUM(GUIA_NACIONAL_2022_1106128105107111[[#This Row],[D1]:[D6]])</calculatedColumnFormula>
    </tableColumn>
  </tableColumns>
  <tableStyleInfo name="TableStyleLight1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AA1FC2EE-23E7-4FA2-80DB-134284C2F653}" name="GUIA_NACIONAL_2022_1106128105107111115" displayName="GUIA_NACIONAL_2022_1106128105107111115" ref="BO4:BV5" totalsRowShown="0" headerRowDxfId="1075">
  <tableColumns count="8">
    <tableColumn id="1" xr3:uid="{6743B90F-E67E-4EDD-861F-DBE7821435FF}" name="CIE-10" dataCellStyle="20% - Énfasis4"/>
    <tableColumn id="2" xr3:uid="{7A1FD372-E9B2-44EB-8C0D-8B6ACE7D772E}" name="D1" dataDxfId="1074">
      <calculatedColumnFormula>IF($B$2="(Todas)",COUNTIF(BASE[CODCIE10],GUIA_NACIONAL_2022_1106128105107111115[[#This Row],[CIE-10]]),COUNTIFS(BASE[Cod.Establecimiento],$B$2,BASE[CODCIE10],GUIA_NACIONAL_2022_1106128105107111115[[#This Row],[CIE-10]]))</calculatedColumnFormula>
    </tableColumn>
    <tableColumn id="3" xr3:uid="{1F09AFE7-63A1-4F1D-A761-7BA024FBAE94}" name="D2" dataDxfId="1073">
      <calculatedColumnFormula>IF($B$2="(Todas)",COUNTIF(BASE[CODCIE102],GUIA_NACIONAL_2022_1106128105107111115[[#This Row],[CIE-10]]),COUNTIFS(BASE[Cod.Establecimiento],$B$2,BASE[CODCIE102],GUIA_NACIONAL_2022_1106128105107111115[[#This Row],[CIE-10]]))</calculatedColumnFormula>
    </tableColumn>
    <tableColumn id="4" xr3:uid="{7AC67EA5-1450-4CF6-A19F-98403FEBB9BC}" name="D3" dataDxfId="1072">
      <calculatedColumnFormula>IF($B$2="(Todas)",COUNTIF(BASE[CODCIE104],GUIA_NACIONAL_2022_1106128105107111115[[#This Row],[CIE-10]]),COUNTIFS(BASE[Cod.Establecimiento],$B$2,BASE[CODCIE104],GUIA_NACIONAL_2022_1106128105107111115[[#This Row],[CIE-10]]))</calculatedColumnFormula>
    </tableColumn>
    <tableColumn id="5" xr3:uid="{D58D0CE1-6B09-44FA-BFD9-6D2611A074A4}" name="D4" dataDxfId="1071">
      <calculatedColumnFormula>IF($B$2="(Todas)",COUNTIF(BASE[CODCIE106],GUIA_NACIONAL_2022_1106128105107111115[[#This Row],[CIE-10]]),COUNTIFS(BASE[Cod.Establecimiento],$B$2,BASE[CODCIE106],GUIA_NACIONAL_2022_1106128105107111115[[#This Row],[CIE-10]]))</calculatedColumnFormula>
    </tableColumn>
    <tableColumn id="6" xr3:uid="{DBDACCCA-9FA1-4E9B-8FE6-46150A39919A}" name="D5" dataDxfId="1070">
      <calculatedColumnFormula>IF($B$2="(Todas)",COUNTIF(BASE[CODCIE108],GUIA_NACIONAL_2022_1106128105107111115[[#This Row],[CIE-10]]),COUNTIFS(BASE[Cod.Establecimiento],$B$2,BASE[CODCIE108],GUIA_NACIONAL_2022_1106128105107111115[[#This Row],[CIE-10]]))</calculatedColumnFormula>
    </tableColumn>
    <tableColumn id="7" xr3:uid="{BF7E4CA8-21A4-4B37-8743-01202934A113}" name="D6" dataDxfId="1069">
      <calculatedColumnFormula>IF($B$2="(Todas)",COUNTIF(BASE[CODCIE1010],GUIA_NACIONAL_2022_1106128105107111115[[#This Row],[CIE-10]]),COUNTIFS(BASE[Cod.Establecimiento],$B$2,BASE[CODCIE1010],GUIA_NACIONAL_2022_1106128105107111115[[#This Row],[CIE-10]]))</calculatedColumnFormula>
    </tableColumn>
    <tableColumn id="8" xr3:uid="{200515E8-1F0E-433B-82A7-20BCB27C6743}" name="TOT" dataDxfId="1068" dataCellStyle="40% - Énfasis6">
      <calculatedColumnFormula>SUM(GUIA_NACIONAL_2022_1106128105107111115[[#This Row],[D1]:[D6]])</calculatedColumnFormula>
    </tableColumn>
  </tableColumns>
  <tableStyleInfo name="TableStyleLight1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BCAC63EE-C42C-42F2-BE4A-EE9DAE57E5DF}" name="GUIA_NACIONAL_2022_1106128105107111115129" displayName="GUIA_NACIONAL_2022_1106128105107111115129" ref="BX4:CE5" totalsRowShown="0" headerRowDxfId="1067">
  <tableColumns count="8">
    <tableColumn id="1" xr3:uid="{3B90A657-A3FD-4334-A8BD-67CFBADE17CF}" name="CIE-10" dataCellStyle="20% - Énfasis4"/>
    <tableColumn id="2" xr3:uid="{49C6E7F2-A2EB-48DA-BB48-34D39EF589A7}" name="D1" dataDxfId="1066">
      <calculatedColumnFormula>IF($B$2="(Todas)",COUNTIF(BASE[CODCIE10],GUIA_NACIONAL_2022_1106128105107111115129[[#This Row],[CIE-10]]),COUNTIFS(BASE[Cod.Establecimiento],$B$2,BASE[CODCIE10],GUIA_NACIONAL_2022_1106128105107111115129[[#This Row],[CIE-10]]))</calculatedColumnFormula>
    </tableColumn>
    <tableColumn id="3" xr3:uid="{45C27236-2689-477A-92B6-38A6D304DC6C}" name="D2" dataDxfId="1065">
      <calculatedColumnFormula>IF($B$2="(Todas)",COUNTIF(BASE[CODCIE102],GUIA_NACIONAL_2022_1106128105107111115129[[#This Row],[CIE-10]]),COUNTIFS(BASE[Cod.Establecimiento],$B$2,BASE[CODCIE102],GUIA_NACIONAL_2022_1106128105107111115129[[#This Row],[CIE-10]]))</calculatedColumnFormula>
    </tableColumn>
    <tableColumn id="4" xr3:uid="{6A2D419F-27CD-4D09-A308-F44D6F53FCBE}" name="D3" dataDxfId="1064">
      <calculatedColumnFormula>IF($B$2="(Todas)",COUNTIF(BASE[CODCIE104],GUIA_NACIONAL_2022_1106128105107111115129[[#This Row],[CIE-10]]),COUNTIFS(BASE[Cod.Establecimiento],$B$2,BASE[CODCIE104],GUIA_NACIONAL_2022_1106128105107111115129[[#This Row],[CIE-10]]))</calculatedColumnFormula>
    </tableColumn>
    <tableColumn id="5" xr3:uid="{25582167-FDF9-45B1-87A8-B8ADEDDA2368}" name="D4" dataDxfId="1063">
      <calculatedColumnFormula>IF($B$2="(Todas)",COUNTIF(BASE[CODCIE106],GUIA_NACIONAL_2022_1106128105107111115129[[#This Row],[CIE-10]]),COUNTIFS(BASE[Cod.Establecimiento],$B$2,BASE[CODCIE106],GUIA_NACIONAL_2022_1106128105107111115129[[#This Row],[CIE-10]]))</calculatedColumnFormula>
    </tableColumn>
    <tableColumn id="6" xr3:uid="{C737FBCC-5322-46AD-973B-1FBCFF61CAC2}" name="D5" dataDxfId="1062">
      <calculatedColumnFormula>IF($B$2="(Todas)",COUNTIF(BASE[CODCIE108],GUIA_NACIONAL_2022_1106128105107111115129[[#This Row],[CIE-10]]),COUNTIFS(BASE[Cod.Establecimiento],$B$2,BASE[CODCIE108],GUIA_NACIONAL_2022_1106128105107111115129[[#This Row],[CIE-10]]))</calculatedColumnFormula>
    </tableColumn>
    <tableColumn id="7" xr3:uid="{DACCBA26-CDFF-46D8-9843-14480DF277AF}" name="D6" dataDxfId="1061">
      <calculatedColumnFormula>IF($B$2="(Todas)",COUNTIF(BASE[CODCIE1010],GUIA_NACIONAL_2022_1106128105107111115129[[#This Row],[CIE-10]]),COUNTIFS(BASE[Cod.Establecimiento],$B$2,BASE[CODCIE1010],GUIA_NACIONAL_2022_1106128105107111115129[[#This Row],[CIE-10]]))</calculatedColumnFormula>
    </tableColumn>
    <tableColumn id="8" xr3:uid="{123C6FC5-FAE0-4DCC-9A4E-40ABB6B49F34}" name="TOT" dataDxfId="1060" dataCellStyle="40% - Énfasis6">
      <calculatedColumnFormula>SUM(GUIA_NACIONAL_2022_1106128105107111115129[[#This Row],[D1]:[D6]])</calculatedColumnFormula>
    </tableColumn>
  </tableColumns>
  <tableStyleInfo name="TableStyleLight1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1F65CCDB-F005-4598-A351-2452C13D2A20}" name="GUIA_NACIONAL_2022_1106128105107111115129130" displayName="GUIA_NACIONAL_2022_1106128105107111115129130" ref="CG4:CN19" totalsRowShown="0" headerRowDxfId="1059">
  <tableColumns count="8">
    <tableColumn id="1" xr3:uid="{F5F29B47-2361-4C95-8215-40408148D3AC}" name="CIE-10" dataCellStyle="20% - Énfasis4"/>
    <tableColumn id="2" xr3:uid="{D64F5C68-7319-40F7-9267-AE4FAB43A1B3}" name="D1" dataDxfId="1058">
      <calculatedColumnFormula>IF($B$2="(Todas)",COUNTIF(BASE[CODCIE10],GUIA_NACIONAL_2022_1106128105107111115129130[[#This Row],[CIE-10]]),COUNTIFS(BASE[Cod.Establecimiento],$B$2,BASE[CODCIE10],GUIA_NACIONAL_2022_1106128105107111115129130[[#This Row],[CIE-10]]))</calculatedColumnFormula>
    </tableColumn>
    <tableColumn id="3" xr3:uid="{0EC8BFED-6161-412A-86D7-AC44AB34B1A7}" name="D2" dataDxfId="1057">
      <calculatedColumnFormula>IF($B$2="(Todas)",COUNTIF(BASE[CODCIE102],GUIA_NACIONAL_2022_1106128105107111115129130[[#This Row],[CIE-10]]),COUNTIFS(BASE[Cod.Establecimiento],$B$2,BASE[CODCIE102],GUIA_NACIONAL_2022_1106128105107111115129130[[#This Row],[CIE-10]]))</calculatedColumnFormula>
    </tableColumn>
    <tableColumn id="4" xr3:uid="{CD9CFF5E-BF5A-4514-8AF6-5A6798ECC428}" name="D3" dataDxfId="1056">
      <calculatedColumnFormula>IF($B$2="(Todas)",COUNTIF(BASE[CODCIE104],GUIA_NACIONAL_2022_1106128105107111115129130[[#This Row],[CIE-10]]),COUNTIFS(BASE[Cod.Establecimiento],$B$2,BASE[CODCIE104],GUIA_NACIONAL_2022_1106128105107111115129130[[#This Row],[CIE-10]]))</calculatedColumnFormula>
    </tableColumn>
    <tableColumn id="5" xr3:uid="{2DE9EBA1-AE0C-48E7-8FC1-612D3E571BF9}" name="D4" dataDxfId="1055">
      <calculatedColumnFormula>IF($B$2="(Todas)",COUNTIF(BASE[CODCIE106],GUIA_NACIONAL_2022_1106128105107111115129130[[#This Row],[CIE-10]]),COUNTIFS(BASE[Cod.Establecimiento],$B$2,BASE[CODCIE106],GUIA_NACIONAL_2022_1106128105107111115129130[[#This Row],[CIE-10]]))</calculatedColumnFormula>
    </tableColumn>
    <tableColumn id="6" xr3:uid="{37373994-FA04-43B5-919F-909AA81B416B}" name="D5" dataDxfId="1054">
      <calculatedColumnFormula>IF($B$2="(Todas)",COUNTIF(BASE[CODCIE108],GUIA_NACIONAL_2022_1106128105107111115129130[[#This Row],[CIE-10]]),COUNTIFS(BASE[Cod.Establecimiento],$B$2,BASE[CODCIE108],GUIA_NACIONAL_2022_1106128105107111115129130[[#This Row],[CIE-10]]))</calculatedColumnFormula>
    </tableColumn>
    <tableColumn id="7" xr3:uid="{06EC494B-309E-47D9-A4F1-38597B6FAB98}" name="D6" dataDxfId="1053">
      <calculatedColumnFormula>IF($B$2="(Todas)",COUNTIF(BASE[CODCIE1010],GUIA_NACIONAL_2022_1106128105107111115129130[[#This Row],[CIE-10]]),COUNTIFS(BASE[Cod.Establecimiento],$B$2,BASE[CODCIE1010],GUIA_NACIONAL_2022_1106128105107111115129130[[#This Row],[CIE-10]]))</calculatedColumnFormula>
    </tableColumn>
    <tableColumn id="8" xr3:uid="{16CBEF2E-11C2-45B3-8ACB-EE398AED9041}" name="TOT" dataDxfId="1052" dataCellStyle="40% - Énfasis6">
      <calculatedColumnFormula>SUM(GUIA_NACIONAL_2022_1106128105107111115129130[[#This Row],[D1]:[D6]])</calculatedColumnFormula>
    </tableColumn>
  </tableColumns>
  <tableStyleInfo name="TableStyleLight1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0FF56BB4-706E-4305-9519-F8451D480B96}" name="GUIA_NACIONAL_2022_1106128105107111115129130131" displayName="GUIA_NACIONAL_2022_1106128105107111115129130131" ref="CP4:CW5" totalsRowShown="0" headerRowDxfId="1051">
  <tableColumns count="8">
    <tableColumn id="1" xr3:uid="{0978FF8D-467C-49EB-8BE3-211E0D49D649}" name="CIE-10" dataCellStyle="20% - Énfasis4"/>
    <tableColumn id="2" xr3:uid="{BAB19BA6-4B71-47EE-9247-2AC0972406E1}" name="D1" dataDxfId="1050">
      <calculatedColumnFormula>IF($B$2="(Todas)",COUNTIF(BASE[CODCIE10],GUIA_NACIONAL_2022_1106128105107111115129130131[[#This Row],[CIE-10]]),COUNTIFS(BASE[Cod.Establecimiento],$B$2,BASE[CODCIE10],GUIA_NACIONAL_2022_1106128105107111115129130131[[#This Row],[CIE-10]]))</calculatedColumnFormula>
    </tableColumn>
    <tableColumn id="3" xr3:uid="{48959523-0F7F-4999-88F3-9FFDBA65EF42}" name="D2" dataDxfId="1049">
      <calculatedColumnFormula>IF($B$2="(Todas)",COUNTIF(BASE[CODCIE102],GUIA_NACIONAL_2022_1106128105107111115129130131[[#This Row],[CIE-10]]),COUNTIFS(BASE[Cod.Establecimiento],$B$2,BASE[CODCIE102],GUIA_NACIONAL_2022_1106128105107111115129130131[[#This Row],[CIE-10]]))</calculatedColumnFormula>
    </tableColumn>
    <tableColumn id="4" xr3:uid="{2A7E2AD1-456A-4AE7-9BC6-F781967F9FC8}" name="D3" dataDxfId="1048">
      <calculatedColumnFormula>IF($B$2="(Todas)",COUNTIF(BASE[CODCIE104],GUIA_NACIONAL_2022_1106128105107111115129130131[[#This Row],[CIE-10]]),COUNTIFS(BASE[Cod.Establecimiento],$B$2,BASE[CODCIE104],GUIA_NACIONAL_2022_1106128105107111115129130131[[#This Row],[CIE-10]]))</calculatedColumnFormula>
    </tableColumn>
    <tableColumn id="5" xr3:uid="{920F8D56-9016-4CDE-9ED3-6404F62020C7}" name="D4" dataDxfId="1047">
      <calculatedColumnFormula>IF($B$2="(Todas)",COUNTIF(BASE[CODCIE106],GUIA_NACIONAL_2022_1106128105107111115129130131[[#This Row],[CIE-10]]),COUNTIFS(BASE[Cod.Establecimiento],$B$2,BASE[CODCIE106],GUIA_NACIONAL_2022_1106128105107111115129130131[[#This Row],[CIE-10]]))</calculatedColumnFormula>
    </tableColumn>
    <tableColumn id="6" xr3:uid="{90800B6A-CD81-4262-A5C2-AA3F0E483777}" name="D5" dataDxfId="1046">
      <calculatedColumnFormula>IF($B$2="(Todas)",COUNTIF(BASE[CODCIE108],GUIA_NACIONAL_2022_1106128105107111115129130131[[#This Row],[CIE-10]]),COUNTIFS(BASE[Cod.Establecimiento],$B$2,BASE[CODCIE108],GUIA_NACIONAL_2022_1106128105107111115129130131[[#This Row],[CIE-10]]))</calculatedColumnFormula>
    </tableColumn>
    <tableColumn id="7" xr3:uid="{AC6995A3-8239-438E-9FE7-08BD7567C109}" name="D6" dataDxfId="1045">
      <calculatedColumnFormula>IF($B$2="(Todas)",COUNTIF(BASE[CODCIE1010],GUIA_NACIONAL_2022_1106128105107111115129130131[[#This Row],[CIE-10]]),COUNTIFS(BASE[Cod.Establecimiento],$B$2,BASE[CODCIE1010],GUIA_NACIONAL_2022_1106128105107111115129130131[[#This Row],[CIE-10]]))</calculatedColumnFormula>
    </tableColumn>
    <tableColumn id="8" xr3:uid="{8DAA2385-50BD-4B87-B33B-3C682A5F67B8}" name="TOT" dataDxfId="1044" dataCellStyle="40% - Énfasis6">
      <calculatedColumnFormula>SUM(GUIA_NACIONAL_2022_1106128105107111115129130131[[#This Row],[D1]:[D6]])</calculatedColumnFormula>
    </tableColumn>
  </tableColumns>
  <tableStyleInfo name="TableStyleLight1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51176756-223E-41AD-851B-D19998CE2954}" name="GUIA_NACIONAL_2022_1106128105107111115129130131132" displayName="GUIA_NACIONAL_2022_1106128105107111115129130131132" ref="CY4:DF5" totalsRowShown="0" headerRowDxfId="1043">
  <tableColumns count="8">
    <tableColumn id="1" xr3:uid="{262F80D6-0F30-4DC1-B0C6-354B77B7971D}" name="CIE-10" dataCellStyle="20% - Énfasis4"/>
    <tableColumn id="2" xr3:uid="{0F97F99E-F506-47FA-9579-FE92A09CDC88}" name="D1" dataDxfId="1042">
      <calculatedColumnFormula>IF($B$2="(Todas)",COUNTIF(BASE[CODCIE10],GUIA_NACIONAL_2022_1106128105107111115129130131132[[#This Row],[CIE-10]]),COUNTIFS(BASE[Cod.Establecimiento],$B$2,BASE[CODCIE10],GUIA_NACIONAL_2022_1106128105107111115129130131132[[#This Row],[CIE-10]]))</calculatedColumnFormula>
    </tableColumn>
    <tableColumn id="3" xr3:uid="{D2B08006-2EA9-48B6-8D70-FB7843467AD9}" name="D2" dataDxfId="1041">
      <calculatedColumnFormula>IF($B$2="(Todas)",COUNTIF(BASE[CODCIE102],GUIA_NACIONAL_2022_1106128105107111115129130131132[[#This Row],[CIE-10]]),COUNTIFS(BASE[Cod.Establecimiento],$B$2,BASE[CODCIE102],GUIA_NACIONAL_2022_1106128105107111115129130131132[[#This Row],[CIE-10]]))</calculatedColumnFormula>
    </tableColumn>
    <tableColumn id="4" xr3:uid="{F7F784F5-CA77-43FE-A70D-D2E27F2E30F1}" name="D3" dataDxfId="1040">
      <calculatedColumnFormula>IF($B$2="(Todas)",COUNTIF(BASE[CODCIE104],GUIA_NACIONAL_2022_1106128105107111115129130131132[[#This Row],[CIE-10]]),COUNTIFS(BASE[Cod.Establecimiento],$B$2,BASE[CODCIE104],GUIA_NACIONAL_2022_1106128105107111115129130131132[[#This Row],[CIE-10]]))</calculatedColumnFormula>
    </tableColumn>
    <tableColumn id="5" xr3:uid="{A3A6D0F0-1A67-48F6-9E4D-6F9764088B38}" name="D4" dataDxfId="1039">
      <calculatedColumnFormula>IF($B$2="(Todas)",COUNTIF(BASE[CODCIE106],GUIA_NACIONAL_2022_1106128105107111115129130131132[[#This Row],[CIE-10]]),COUNTIFS(BASE[Cod.Establecimiento],$B$2,BASE[CODCIE106],GUIA_NACIONAL_2022_1106128105107111115129130131132[[#This Row],[CIE-10]]))</calculatedColumnFormula>
    </tableColumn>
    <tableColumn id="6" xr3:uid="{E3C7C5F2-6FCB-456B-AD83-A9D1B932A207}" name="D5" dataDxfId="1038">
      <calculatedColumnFormula>IF($B$2="(Todas)",COUNTIF(BASE[CODCIE108],GUIA_NACIONAL_2022_1106128105107111115129130131132[[#This Row],[CIE-10]]),COUNTIFS(BASE[Cod.Establecimiento],$B$2,BASE[CODCIE108],GUIA_NACIONAL_2022_1106128105107111115129130131132[[#This Row],[CIE-10]]))</calculatedColumnFormula>
    </tableColumn>
    <tableColumn id="7" xr3:uid="{6AC429CC-1A1B-4261-AE51-CDF84AAEB2E6}" name="D6" dataDxfId="1037">
      <calculatedColumnFormula>IF($B$2="(Todas)",COUNTIF(BASE[CODCIE1010],GUIA_NACIONAL_2022_1106128105107111115129130131132[[#This Row],[CIE-10]]),COUNTIFS(BASE[Cod.Establecimiento],$B$2,BASE[CODCIE1010],GUIA_NACIONAL_2022_1106128105107111115129130131132[[#This Row],[CIE-10]]))</calculatedColumnFormula>
    </tableColumn>
    <tableColumn id="8" xr3:uid="{37A53865-E409-4E09-8448-FC716D92272B}" name="TOT" dataDxfId="1036" dataCellStyle="40% - Énfasis6">
      <calculatedColumnFormula>SUM(GUIA_NACIONAL_2022_1106128105107111115129130131132[[#This Row],[D1]:[D6]])</calculatedColumnFormula>
    </tableColumn>
  </tableColumns>
  <tableStyleInfo name="TableStyleLight1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3827C174-A951-4B48-992A-6C89480388B7}" name="GUIA_NACIONAL_2022_1106128105107111115129130131132133" displayName="GUIA_NACIONAL_2022_1106128105107111115129130131132133" ref="DH4:DO5" totalsRowShown="0" headerRowDxfId="1035">
  <tableColumns count="8">
    <tableColumn id="1" xr3:uid="{7BA20F6D-9B73-4C8D-8652-031522A38EF0}" name="CIE-10" dataCellStyle="20% - Énfasis4"/>
    <tableColumn id="2" xr3:uid="{6901F791-6018-4A02-A5EF-C9A5001633B6}" name="D1" dataDxfId="1034">
      <calculatedColumnFormula>IF($B$2="(Todas)",COUNTIF(BASE[CODCIE10],GUIA_NACIONAL_2022_1106128105107111115129130131132133[[#This Row],[CIE-10]]),COUNTIFS(BASE[Cod.Establecimiento],$B$2,BASE[CODCIE10],GUIA_NACIONAL_2022_1106128105107111115129130131132133[[#This Row],[CIE-10]]))</calculatedColumnFormula>
    </tableColumn>
    <tableColumn id="3" xr3:uid="{C50834FE-1344-41BA-A752-620753A769F7}" name="D2" dataDxfId="1033">
      <calculatedColumnFormula>IF($B$2="(Todas)",COUNTIF(BASE[CODCIE102],GUIA_NACIONAL_2022_1106128105107111115129130131132133[[#This Row],[CIE-10]]),COUNTIFS(BASE[Cod.Establecimiento],$B$2,BASE[CODCIE102],GUIA_NACIONAL_2022_1106128105107111115129130131132133[[#This Row],[CIE-10]]))</calculatedColumnFormula>
    </tableColumn>
    <tableColumn id="4" xr3:uid="{AEDFA52C-8A26-4917-99B8-61C298273AE9}" name="D3" dataDxfId="1032">
      <calculatedColumnFormula>IF($B$2="(Todas)",COUNTIF(BASE[CODCIE104],GUIA_NACIONAL_2022_1106128105107111115129130131132133[[#This Row],[CIE-10]]),COUNTIFS(BASE[Cod.Establecimiento],$B$2,BASE[CODCIE104],GUIA_NACIONAL_2022_1106128105107111115129130131132133[[#This Row],[CIE-10]]))</calculatedColumnFormula>
    </tableColumn>
    <tableColumn id="5" xr3:uid="{06CB4606-43E1-4349-8ACB-9E988CE5EA24}" name="D4" dataDxfId="1031">
      <calculatedColumnFormula>IF($B$2="(Todas)",COUNTIF(BASE[CODCIE106],GUIA_NACIONAL_2022_1106128105107111115129130131132133[[#This Row],[CIE-10]]),COUNTIFS(BASE[Cod.Establecimiento],$B$2,BASE[CODCIE106],GUIA_NACIONAL_2022_1106128105107111115129130131132133[[#This Row],[CIE-10]]))</calculatedColumnFormula>
    </tableColumn>
    <tableColumn id="6" xr3:uid="{AC73881C-37F0-4E62-BABE-DFF4D57E8FC8}" name="D5" dataDxfId="1030">
      <calculatedColumnFormula>IF($B$2="(Todas)",COUNTIF(BASE[CODCIE108],GUIA_NACIONAL_2022_1106128105107111115129130131132133[[#This Row],[CIE-10]]),COUNTIFS(BASE[Cod.Establecimiento],$B$2,BASE[CODCIE108],GUIA_NACIONAL_2022_1106128105107111115129130131132133[[#This Row],[CIE-10]]))</calculatedColumnFormula>
    </tableColumn>
    <tableColumn id="7" xr3:uid="{EF056057-DB67-4F51-9D47-050A80A65FC1}" name="D6" dataDxfId="1029">
      <calculatedColumnFormula>IF($B$2="(Todas)",COUNTIF(BASE[CODCIE1010],GUIA_NACIONAL_2022_1106128105107111115129130131132133[[#This Row],[CIE-10]]),COUNTIFS(BASE[Cod.Establecimiento],$B$2,BASE[CODCIE1010],GUIA_NACIONAL_2022_1106128105107111115129130131132133[[#This Row],[CIE-10]]))</calculatedColumnFormula>
    </tableColumn>
    <tableColumn id="8" xr3:uid="{B67166CF-0DAE-4A37-ADEA-50E723E670DD}" name="TOT" dataDxfId="1028" dataCellStyle="40% - Énfasis6">
      <calculatedColumnFormula>SUM(GUIA_NACIONAL_2022_1106128105107111115129130131132133[[#This Row],[D1]:[D6]])</calculatedColumnFormula>
    </tableColumn>
  </tableColumns>
  <tableStyleInfo name="TableStyleLight1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002FD502-ACDB-45BF-A96A-3A2BBEDB0AEA}" name="GUIA_NACIONAL_2022_1106128105107111115129130131132133134" displayName="GUIA_NACIONAL_2022_1106128105107111115129130131132133134" ref="DQ4:DX5" totalsRowShown="0" headerRowDxfId="1027">
  <tableColumns count="8">
    <tableColumn id="1" xr3:uid="{A03F71A6-8A29-4F52-B084-27FBD5FDA933}" name="CIE-10" dataCellStyle="20% - Énfasis4"/>
    <tableColumn id="2" xr3:uid="{30ED9D73-5B62-4966-BEDD-5CE62ABD885D}" name="D1" dataDxfId="1026">
      <calculatedColumnFormula>IF($B$2="(Todas)",COUNTIF(BASE[CODCIE10],GUIA_NACIONAL_2022_1106128105107111115129130131132133134[[#This Row],[CIE-10]]),COUNTIFS(BASE[Cod.Establecimiento],$B$2,BASE[CODCIE10],GUIA_NACIONAL_2022_1106128105107111115129130131132133134[[#This Row],[CIE-10]]))</calculatedColumnFormula>
    </tableColumn>
    <tableColumn id="3" xr3:uid="{C3D13179-297F-4628-804F-46FA7D5B1F1D}" name="D2" dataDxfId="1025">
      <calculatedColumnFormula>IF($B$2="(Todas)",COUNTIF(BASE[CODCIE102],GUIA_NACIONAL_2022_1106128105107111115129130131132133134[[#This Row],[CIE-10]]),COUNTIFS(BASE[Cod.Establecimiento],$B$2,BASE[CODCIE102],GUIA_NACIONAL_2022_1106128105107111115129130131132133134[[#This Row],[CIE-10]]))</calculatedColumnFormula>
    </tableColumn>
    <tableColumn id="4" xr3:uid="{127F582C-0B1C-47ED-AB33-F317600CCAC5}" name="D3" dataDxfId="1024">
      <calculatedColumnFormula>IF($B$2="(Todas)",COUNTIF(BASE[CODCIE104],GUIA_NACIONAL_2022_1106128105107111115129130131132133134[[#This Row],[CIE-10]]),COUNTIFS(BASE[Cod.Establecimiento],$B$2,BASE[CODCIE104],GUIA_NACIONAL_2022_1106128105107111115129130131132133134[[#This Row],[CIE-10]]))</calculatedColumnFormula>
    </tableColumn>
    <tableColumn id="5" xr3:uid="{8EF68479-4239-49A7-B821-E8CD645A5C10}" name="D4" dataDxfId="1023">
      <calculatedColumnFormula>IF($B$2="(Todas)",COUNTIF(BASE[CODCIE106],GUIA_NACIONAL_2022_1106128105107111115129130131132133134[[#This Row],[CIE-10]]),COUNTIFS(BASE[Cod.Establecimiento],$B$2,BASE[CODCIE106],GUIA_NACIONAL_2022_1106128105107111115129130131132133134[[#This Row],[CIE-10]]))</calculatedColumnFormula>
    </tableColumn>
    <tableColumn id="6" xr3:uid="{ED46E986-B209-4729-B4E2-AE87AE5BAE80}" name="D5" dataDxfId="1022">
      <calculatedColumnFormula>IF($B$2="(Todas)",COUNTIF(BASE[CODCIE108],GUIA_NACIONAL_2022_1106128105107111115129130131132133134[[#This Row],[CIE-10]]),COUNTIFS(BASE[Cod.Establecimiento],$B$2,BASE[CODCIE108],GUIA_NACIONAL_2022_1106128105107111115129130131132133134[[#This Row],[CIE-10]]))</calculatedColumnFormula>
    </tableColumn>
    <tableColumn id="7" xr3:uid="{C2CA5DF9-98B9-4949-BD71-07618F9C58FD}" name="D6" dataDxfId="1021">
      <calculatedColumnFormula>IF($B$2="(Todas)",COUNTIF(BASE[CODCIE1010],GUIA_NACIONAL_2022_1106128105107111115129130131132133134[[#This Row],[CIE-10]]),COUNTIFS(BASE[Cod.Establecimiento],$B$2,BASE[CODCIE1010],GUIA_NACIONAL_2022_1106128105107111115129130131132133134[[#This Row],[CIE-10]]))</calculatedColumnFormula>
    </tableColumn>
    <tableColumn id="8" xr3:uid="{6E1D4E91-517C-48ED-8CF5-910DC435850C}" name="TOT" dataDxfId="1020" dataCellStyle="40% - Énfasis6">
      <calculatedColumnFormula>SUM(GUIA_NACIONAL_2022_1106128105107111115129130131132133134[[#This Row],[D1]:[D6]])</calculatedColumnFormula>
    </tableColumn>
  </tableColumns>
  <tableStyleInfo name="TableStyleLight1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DF589AA8-35FA-4BCE-AC24-0BF15D6399F9}" name="GUIA_NACIONAL_2022_1106128105107111115129130131132133134135" displayName="GUIA_NACIONAL_2022_1106128105107111115129130131132133134135" ref="DZ4:EG5" totalsRowShown="0" headerRowDxfId="1019">
  <tableColumns count="8">
    <tableColumn id="1" xr3:uid="{2836B450-0267-4263-B314-35AF11D46D4B}" name="CIE-10" dataCellStyle="20% - Énfasis4"/>
    <tableColumn id="2" xr3:uid="{A14D9CD1-A028-4CCE-9F26-04652A3B200D}" name="D1" dataDxfId="1018">
      <calculatedColumnFormula>IF($B$2="(Todas)",COUNTIF(BASE[CODCIE10],GUIA_NACIONAL_2022_1106128105107111115129130131132133134135[[#This Row],[CIE-10]]),COUNTIFS(BASE[Cod.Establecimiento],$B$2,BASE[CODCIE10],GUIA_NACIONAL_2022_1106128105107111115129130131132133134135[[#This Row],[CIE-10]]))</calculatedColumnFormula>
    </tableColumn>
    <tableColumn id="3" xr3:uid="{D0FCA846-C563-44A7-9B8D-751AFE0A33CD}" name="D2" dataDxfId="1017">
      <calculatedColumnFormula>IF($B$2="(Todas)",COUNTIF(BASE[CODCIE102],GUIA_NACIONAL_2022_1106128105107111115129130131132133134135[[#This Row],[CIE-10]]),COUNTIFS(BASE[Cod.Establecimiento],$B$2,BASE[CODCIE102],GUIA_NACIONAL_2022_1106128105107111115129130131132133134135[[#This Row],[CIE-10]]))</calculatedColumnFormula>
    </tableColumn>
    <tableColumn id="4" xr3:uid="{C9171799-B692-4926-A10F-A68150F51D65}" name="D3" dataDxfId="1016">
      <calculatedColumnFormula>IF($B$2="(Todas)",COUNTIF(BASE[CODCIE104],GUIA_NACIONAL_2022_1106128105107111115129130131132133134135[[#This Row],[CIE-10]]),COUNTIFS(BASE[Cod.Establecimiento],$B$2,BASE[CODCIE104],GUIA_NACIONAL_2022_1106128105107111115129130131132133134135[[#This Row],[CIE-10]]))</calculatedColumnFormula>
    </tableColumn>
    <tableColumn id="5" xr3:uid="{33BC8C69-6B35-4117-8DBF-18D2F1BF3B00}" name="D4" dataDxfId="1015">
      <calculatedColumnFormula>IF($B$2="(Todas)",COUNTIF(BASE[CODCIE106],GUIA_NACIONAL_2022_1106128105107111115129130131132133134135[[#This Row],[CIE-10]]),COUNTIFS(BASE[Cod.Establecimiento],$B$2,BASE[CODCIE106],GUIA_NACIONAL_2022_1106128105107111115129130131132133134135[[#This Row],[CIE-10]]))</calculatedColumnFormula>
    </tableColumn>
    <tableColumn id="6" xr3:uid="{0E7E48B2-EF8E-4960-9D85-8A6881FA9705}" name="D5" dataDxfId="1014">
      <calculatedColumnFormula>IF($B$2="(Todas)",COUNTIF(BASE[CODCIE108],GUIA_NACIONAL_2022_1106128105107111115129130131132133134135[[#This Row],[CIE-10]]),COUNTIFS(BASE[Cod.Establecimiento],$B$2,BASE[CODCIE108],GUIA_NACIONAL_2022_1106128105107111115129130131132133134135[[#This Row],[CIE-10]]))</calculatedColumnFormula>
    </tableColumn>
    <tableColumn id="7" xr3:uid="{5B5F8948-F208-4DCB-95D2-5D605302F880}" name="D6" dataDxfId="1013">
      <calculatedColumnFormula>IF($B$2="(Todas)",COUNTIF(BASE[CODCIE1010],GUIA_NACIONAL_2022_1106128105107111115129130131132133134135[[#This Row],[CIE-10]]),COUNTIFS(BASE[Cod.Establecimiento],$B$2,BASE[CODCIE1010],GUIA_NACIONAL_2022_1106128105107111115129130131132133134135[[#This Row],[CIE-10]]))</calculatedColumnFormula>
    </tableColumn>
    <tableColumn id="8" xr3:uid="{9198557D-970B-44E0-9C77-5F6C88C0B74A}" name="TOT" dataDxfId="1012" dataCellStyle="40% - Énfasis6">
      <calculatedColumnFormula>SUM(GUIA_NACIONAL_2022_1106128105107111115129130131132133134135[[#This Row],[D1]:[D6]])</calculatedColumnFormula>
    </tableColumn>
  </tableColumns>
  <tableStyleInfo name="TableStyleLight1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8D78812D-2264-4B38-964D-C7CCCA6C4F03}" name="GUIA_NACIONAL_2022_1106127136" displayName="GUIA_NACIONAL_2022_1106127136" ref="M12:T13" totalsRowShown="0" headerRowDxfId="1011">
  <autoFilter ref="M12:T13" xr:uid="{8D78812D-2264-4B38-964D-C7CCCA6C4F0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3BC372BA-8588-4075-B924-3511A738F38F}" name="CIE-10" dataCellStyle="20% - Énfasis4"/>
    <tableColumn id="2" xr3:uid="{2FD7A477-13A8-4D01-9CA4-35AA5EB8BD53}" name="D1" dataDxfId="1010">
      <calculatedColumnFormula>IF($B$2="(Todas)",COUNTIF(BASE[CODCIE10],GUIA_NACIONAL_2022_1106127136[[#This Row],[CIE-10]]),COUNTIFS(BASE[Cod.Establecimiento],$B$2,BASE[CODCIE10],GUIA_NACIONAL_2022_1106127136[[#This Row],[CIE-10]]))</calculatedColumnFormula>
    </tableColumn>
    <tableColumn id="3" xr3:uid="{FE64529E-E0C6-4D15-8950-64940162A400}" name="D2" dataDxfId="1009">
      <calculatedColumnFormula>IF($B$2="(Todas)",COUNTIF(BASE[CODCIE102],GUIA_NACIONAL_2022_1106127136[[#This Row],[CIE-10]]),COUNTIFS(BASE[Cod.Establecimiento],$B$2,BASE[CODCIE102],GUIA_NACIONAL_2022_1106127136[[#This Row],[CIE-10]]))</calculatedColumnFormula>
    </tableColumn>
    <tableColumn id="4" xr3:uid="{93EDF72B-4648-46EB-8616-8871C7A38FA4}" name="D3" dataDxfId="1008">
      <calculatedColumnFormula>IF($B$2="(Todas)",COUNTIF(BASE[CODCIE104],GUIA_NACIONAL_2022_1106127136[[#This Row],[CIE-10]]),COUNTIFS(BASE[Cod.Establecimiento],$B$2,BASE[CODCIE104],GUIA_NACIONAL_2022_1106127136[[#This Row],[CIE-10]]))</calculatedColumnFormula>
    </tableColumn>
    <tableColumn id="5" xr3:uid="{6A8E3569-FB99-4508-8BD9-8E6A67FDB418}" name="D4" dataDxfId="1007">
      <calculatedColumnFormula>IF($B$2="(Todas)",COUNTIF(BASE[CODCIE106],GUIA_NACIONAL_2022_1106127136[[#This Row],[CIE-10]]),COUNTIFS(BASE[Cod.Establecimiento],$B$2,BASE[CODCIE106],GUIA_NACIONAL_2022_1106127136[[#This Row],[CIE-10]]))</calculatedColumnFormula>
    </tableColumn>
    <tableColumn id="6" xr3:uid="{B36B0922-0DF5-43B1-9ED4-DAAA2DE137AD}" name="D5" dataDxfId="1006">
      <calculatedColumnFormula>IF($B$2="(Todas)",COUNTIF(BASE[CODCIE108],GUIA_NACIONAL_2022_1106127136[[#This Row],[CIE-10]]),COUNTIFS(BASE[Cod.Establecimiento],$B$2,BASE[CODCIE108],GUIA_NACIONAL_2022_1106127136[[#This Row],[CIE-10]]))</calculatedColumnFormula>
    </tableColumn>
    <tableColumn id="7" xr3:uid="{FC25D488-6D31-491A-B7B7-F0C1BE07EBD9}" name="D6" dataDxfId="1005">
      <calculatedColumnFormula>IF($B$2="(Todas)",COUNTIF(BASE[CODCIE1010],GUIA_NACIONAL_2022_1106127136[[#This Row],[CIE-10]]),COUNTIFS(BASE[Cod.Establecimiento],$B$2,BASE[CODCIE1010],GUIA_NACIONAL_2022_1106127136[[#This Row],[CIE-10]]))</calculatedColumnFormula>
    </tableColumn>
    <tableColumn id="8" xr3:uid="{E426C6DB-A087-4797-A8CB-84EA438ABAB8}" name="TOT" dataDxfId="1004" dataCellStyle="40% - Énfasis6">
      <calculatedColumnFormula>SUM(GUIA_NACIONAL_2022_1106127136[[#This Row],[D1]:[D6]])</calculatedColumnFormula>
    </tableColumn>
  </tableColumns>
  <tableStyleInfo name="TableStyleLight1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C64BD43E-D9A2-4D69-9805-DC4EADB2DD7E}" name="GUIA_NACIONAL_2022_1106127136137" displayName="GUIA_NACIONAL_2022_1106127136137" ref="M15:T16" totalsRowShown="0" headerRowDxfId="1003">
  <autoFilter ref="M15:T16" xr:uid="{C64BD43E-D9A2-4D69-9805-DC4EADB2DD7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7448DBE-89FE-4747-8797-45BF749422D4}" name="CIE-10" dataCellStyle="20% - Énfasis4"/>
    <tableColumn id="2" xr3:uid="{83E4F471-8922-4552-8583-EFA8917448DF}" name="D1" dataDxfId="1002">
      <calculatedColumnFormula>IF($B$2="(Todas)",COUNTIF(BASE[CODCIE10],GUIA_NACIONAL_2022_1106127136137[[#This Row],[CIE-10]]),COUNTIFS(BASE[Cod.Establecimiento],$B$2,BASE[CODCIE10],GUIA_NACIONAL_2022_1106127136137[[#This Row],[CIE-10]]))</calculatedColumnFormula>
    </tableColumn>
    <tableColumn id="3" xr3:uid="{867E1E08-1991-4E17-AE55-EAD5FDBE5F21}" name="D2" dataDxfId="1001">
      <calculatedColumnFormula>IF($B$2="(Todas)",COUNTIF(BASE[CODCIE102],GUIA_NACIONAL_2022_1106127136137[[#This Row],[CIE-10]]),COUNTIFS(BASE[Cod.Establecimiento],$B$2,BASE[CODCIE102],GUIA_NACIONAL_2022_1106127136137[[#This Row],[CIE-10]]))</calculatedColumnFormula>
    </tableColumn>
    <tableColumn id="4" xr3:uid="{49AE2FA7-E31D-453E-BE54-2866FCBEF1CA}" name="D3" dataDxfId="1000">
      <calculatedColumnFormula>IF($B$2="(Todas)",COUNTIF(BASE[CODCIE104],GUIA_NACIONAL_2022_1106127136137[[#This Row],[CIE-10]]),COUNTIFS(BASE[Cod.Establecimiento],$B$2,BASE[CODCIE104],GUIA_NACIONAL_2022_1106127136137[[#This Row],[CIE-10]]))</calculatedColumnFormula>
    </tableColumn>
    <tableColumn id="5" xr3:uid="{4A2DAFAB-8FAF-4B1E-ACA2-F100CFCB1752}" name="D4" dataDxfId="999">
      <calculatedColumnFormula>IF($B$2="(Todas)",COUNTIF(BASE[CODCIE106],GUIA_NACIONAL_2022_1106127136137[[#This Row],[CIE-10]]),COUNTIFS(BASE[Cod.Establecimiento],$B$2,BASE[CODCIE106],GUIA_NACIONAL_2022_1106127136137[[#This Row],[CIE-10]]))</calculatedColumnFormula>
    </tableColumn>
    <tableColumn id="6" xr3:uid="{D55A0E71-BDA8-43D1-B596-0165502DF1CE}" name="D5" dataDxfId="998">
      <calculatedColumnFormula>IF($B$2="(Todas)",COUNTIF(BASE[CODCIE108],GUIA_NACIONAL_2022_1106127136137[[#This Row],[CIE-10]]),COUNTIFS(BASE[Cod.Establecimiento],$B$2,BASE[CODCIE108],GUIA_NACIONAL_2022_1106127136137[[#This Row],[CIE-10]]))</calculatedColumnFormula>
    </tableColumn>
    <tableColumn id="7" xr3:uid="{5639AD8A-0B2C-4D28-8EC1-6ADD1FC465AD}" name="D6" dataDxfId="997">
      <calculatedColumnFormula>IF($B$2="(Todas)",COUNTIF(BASE[CODCIE1010],GUIA_NACIONAL_2022_1106127136137[[#This Row],[CIE-10]]),COUNTIFS(BASE[Cod.Establecimiento],$B$2,BASE[CODCIE1010],GUIA_NACIONAL_2022_1106127136137[[#This Row],[CIE-10]]))</calculatedColumnFormula>
    </tableColumn>
    <tableColumn id="8" xr3:uid="{98B1E77D-F1E1-429A-8E8D-A03A262D1BE4}" name="TOT" dataDxfId="996" dataCellStyle="40% - Énfasis6">
      <calculatedColumnFormula>SUM(GUIA_NACIONAL_2022_1106127136137[[#This Row],[D1]:[D6]])</calculatedColumnFormula>
    </tableColumn>
  </tableColumns>
  <tableStyleInfo name="TableStyleLight1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A37BE7F7-1D46-46EB-8B85-B27A37F8B995}" name="GUIA_NACIONAL_2022_1106127136137138" displayName="GUIA_NACIONAL_2022_1106127136137138" ref="M18:T19" totalsRowShown="0" headerRowDxfId="995">
  <autoFilter ref="M18:T19" xr:uid="{A37BE7F7-1D46-46EB-8B85-B27A37F8B99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9E5B0D72-BF98-4455-9E90-8D286BEE695D}" name="CIE-10" dataCellStyle="20% - Énfasis4"/>
    <tableColumn id="2" xr3:uid="{AA2FE6D0-F1D5-4B9F-A7C9-5139F4A0AFAD}" name="D1" dataDxfId="994">
      <calculatedColumnFormula>IF($B$2="(Todas)",COUNTIF(BASE[CODCIE10],GUIA_NACIONAL_2022_1106127136137138[[#This Row],[CIE-10]]),COUNTIFS(BASE[Cod.Establecimiento],$B$2,BASE[CODCIE10],GUIA_NACIONAL_2022_1106127136137138[[#This Row],[CIE-10]]))</calculatedColumnFormula>
    </tableColumn>
    <tableColumn id="3" xr3:uid="{502A8F3A-BC10-4105-9DE8-8D8C0C849AD1}" name="D2" dataDxfId="993">
      <calculatedColumnFormula>IF($B$2="(Todas)",COUNTIF(BASE[CODCIE102],GUIA_NACIONAL_2022_1106127136137138[[#This Row],[CIE-10]]),COUNTIFS(BASE[Cod.Establecimiento],$B$2,BASE[CODCIE102],GUIA_NACIONAL_2022_1106127136137138[[#This Row],[CIE-10]]))</calculatedColumnFormula>
    </tableColumn>
    <tableColumn id="4" xr3:uid="{E038D8A6-BBB1-4016-8869-B883A91A2EFA}" name="D3" dataDxfId="992">
      <calculatedColumnFormula>IF($B$2="(Todas)",COUNTIF(BASE[CODCIE104],GUIA_NACIONAL_2022_1106127136137138[[#This Row],[CIE-10]]),COUNTIFS(BASE[Cod.Establecimiento],$B$2,BASE[CODCIE104],GUIA_NACIONAL_2022_1106127136137138[[#This Row],[CIE-10]]))</calculatedColumnFormula>
    </tableColumn>
    <tableColumn id="5" xr3:uid="{F7ADEC9C-4A10-4C62-8235-FB86D1ECA464}" name="D4" dataDxfId="991">
      <calculatedColumnFormula>IF($B$2="(Todas)",COUNTIF(BASE[CODCIE106],GUIA_NACIONAL_2022_1106127136137138[[#This Row],[CIE-10]]),COUNTIFS(BASE[Cod.Establecimiento],$B$2,BASE[CODCIE106],GUIA_NACIONAL_2022_1106127136137138[[#This Row],[CIE-10]]))</calculatedColumnFormula>
    </tableColumn>
    <tableColumn id="6" xr3:uid="{01B13F18-E200-408F-8C34-702704CA2788}" name="D5" dataDxfId="990">
      <calculatedColumnFormula>IF($B$2="(Todas)",COUNTIF(BASE[CODCIE108],GUIA_NACIONAL_2022_1106127136137138[[#This Row],[CIE-10]]),COUNTIFS(BASE[Cod.Establecimiento],$B$2,BASE[CODCIE108],GUIA_NACIONAL_2022_1106127136137138[[#This Row],[CIE-10]]))</calculatedColumnFormula>
    </tableColumn>
    <tableColumn id="7" xr3:uid="{B2C21F05-5F55-434D-B4EC-2844BD598887}" name="D6" dataDxfId="989">
      <calculatedColumnFormula>IF($B$2="(Todas)",COUNTIF(BASE[CODCIE1010],GUIA_NACIONAL_2022_1106127136137138[[#This Row],[CIE-10]]),COUNTIFS(BASE[Cod.Establecimiento],$B$2,BASE[CODCIE1010],GUIA_NACIONAL_2022_1106127136137138[[#This Row],[CIE-10]]))</calculatedColumnFormula>
    </tableColumn>
    <tableColumn id="8" xr3:uid="{7B91C39B-7301-4DB3-A2B7-9CDBEDD3CA2A}" name="TOT" dataDxfId="988" dataCellStyle="40% - Énfasis6">
      <calculatedColumnFormula>SUM(GUIA_NACIONAL_2022_1106127136137138[[#This Row],[D1]:[D6]])</calculatedColumnFormula>
    </tableColumn>
  </tableColumns>
  <tableStyleInfo name="TableStyleLight1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5185E3E6-5480-4B0F-AC4B-EB0072ED6C1A}" name="GUIA_NACIONAL_2022_1106127136137138139" displayName="GUIA_NACIONAL_2022_1106127136137138139" ref="M21:T22" totalsRowShown="0" headerRowDxfId="987">
  <autoFilter ref="M21:T22" xr:uid="{5185E3E6-5480-4B0F-AC4B-EB0072ED6C1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BFD5A222-FC69-480F-BA11-D26920A8C8D5}" name="CIE-10" dataCellStyle="20% - Énfasis4"/>
    <tableColumn id="2" xr3:uid="{1632EE3D-2F53-4210-87F8-B01F3875CA92}" name="D1" dataDxfId="986">
      <calculatedColumnFormula>IF($B$2="(Todas)",COUNTIF(BASE[CODCIE10],GUIA_NACIONAL_2022_1106127136137138139[[#This Row],[CIE-10]]),COUNTIFS(BASE[Cod.Establecimiento],$B$2,BASE[CODCIE10],GUIA_NACIONAL_2022_1106127136137138139[[#This Row],[CIE-10]]))</calculatedColumnFormula>
    </tableColumn>
    <tableColumn id="3" xr3:uid="{FAEC0068-16D9-429A-AB06-40CF672B3EC2}" name="D2" dataDxfId="985">
      <calculatedColumnFormula>IF($B$2="(Todas)",COUNTIF(BASE[CODCIE102],GUIA_NACIONAL_2022_1106127136137138139[[#This Row],[CIE-10]]),COUNTIFS(BASE[Cod.Establecimiento],$B$2,BASE[CODCIE102],GUIA_NACIONAL_2022_1106127136137138139[[#This Row],[CIE-10]]))</calculatedColumnFormula>
    </tableColumn>
    <tableColumn id="4" xr3:uid="{233831BD-B46D-4872-8B8C-6D220F969932}" name="D3" dataDxfId="984">
      <calculatedColumnFormula>IF($B$2="(Todas)",COUNTIF(BASE[CODCIE104],GUIA_NACIONAL_2022_1106127136137138139[[#This Row],[CIE-10]]),COUNTIFS(BASE[Cod.Establecimiento],$B$2,BASE[CODCIE104],GUIA_NACIONAL_2022_1106127136137138139[[#This Row],[CIE-10]]))</calculatedColumnFormula>
    </tableColumn>
    <tableColumn id="5" xr3:uid="{34A7399D-2F19-4AFA-9814-91D395FFBEC9}" name="D4" dataDxfId="983">
      <calculatedColumnFormula>IF($B$2="(Todas)",COUNTIF(BASE[CODCIE106],GUIA_NACIONAL_2022_1106127136137138139[[#This Row],[CIE-10]]),COUNTIFS(BASE[Cod.Establecimiento],$B$2,BASE[CODCIE106],GUIA_NACIONAL_2022_1106127136137138139[[#This Row],[CIE-10]]))</calculatedColumnFormula>
    </tableColumn>
    <tableColumn id="6" xr3:uid="{5E3489BB-1005-44B5-983A-2ECBC4B29C65}" name="D5" dataDxfId="982">
      <calculatedColumnFormula>IF($B$2="(Todas)",COUNTIF(BASE[CODCIE108],GUIA_NACIONAL_2022_1106127136137138139[[#This Row],[CIE-10]]),COUNTIFS(BASE[Cod.Establecimiento],$B$2,BASE[CODCIE108],GUIA_NACIONAL_2022_1106127136137138139[[#This Row],[CIE-10]]))</calculatedColumnFormula>
    </tableColumn>
    <tableColumn id="7" xr3:uid="{A93116E2-F47C-447B-A54E-C8FC0DAB7476}" name="D6" dataDxfId="981">
      <calculatedColumnFormula>IF($B$2="(Todas)",COUNTIF(BASE[CODCIE1010],GUIA_NACIONAL_2022_1106127136137138139[[#This Row],[CIE-10]]),COUNTIFS(BASE[Cod.Establecimiento],$B$2,BASE[CODCIE1010],GUIA_NACIONAL_2022_1106127136137138139[[#This Row],[CIE-10]]))</calculatedColumnFormula>
    </tableColumn>
    <tableColumn id="8" xr3:uid="{D8BF2971-21BF-4795-80F2-F1702A8278F3}" name="TOT" dataDxfId="980" dataCellStyle="40% - Énfasis6">
      <calculatedColumnFormula>SUM(GUIA_NACIONAL_2022_1106127136137138139[[#This Row],[D1]:[D6]])</calculatedColumnFormula>
    </tableColumn>
  </tableColumns>
  <tableStyleInfo name="TableStyleLight1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01498FD2-95C8-48F3-8770-7ED52E17F23D}" name="GUIA_NACIONAL_2022_1106127136137138139140" displayName="GUIA_NACIONAL_2022_1106127136137138139140" ref="M24:T27" totalsRowShown="0" headerRowDxfId="979">
  <autoFilter ref="M24:T27" xr:uid="{01498FD2-95C8-48F3-8770-7ED52E17F23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934608BF-CFB8-4DBA-89C1-FF7621F3B66E}" name="CIE-10" dataCellStyle="20% - Énfasis4"/>
    <tableColumn id="2" xr3:uid="{ABE495F5-CD1F-4937-9D24-2FB77A45497D}" name="D1" dataDxfId="978">
      <calculatedColumnFormula>IF($B$2="(Todas)",COUNTIF(BASE[CODCIE10],GUIA_NACIONAL_2022_1106127136137138139140[[#This Row],[CIE-10]]),COUNTIFS(BASE[Cod.Establecimiento],$B$2,BASE[CODCIE10],GUIA_NACIONAL_2022_1106127136137138139140[[#This Row],[CIE-10]]))</calculatedColumnFormula>
    </tableColumn>
    <tableColumn id="3" xr3:uid="{9D18C794-2C8F-4B98-AB50-298F37B84109}" name="D2" dataDxfId="977">
      <calculatedColumnFormula>IF($B$2="(Todas)",COUNTIF(BASE[CODCIE102],GUIA_NACIONAL_2022_1106127136137138139140[[#This Row],[CIE-10]]),COUNTIFS(BASE[Cod.Establecimiento],$B$2,BASE[CODCIE102],GUIA_NACIONAL_2022_1106127136137138139140[[#This Row],[CIE-10]]))</calculatedColumnFormula>
    </tableColumn>
    <tableColumn id="4" xr3:uid="{4369FEFB-C03E-4029-BF3F-1E3908A41741}" name="D3" dataDxfId="976">
      <calculatedColumnFormula>IF($B$2="(Todas)",COUNTIF(BASE[CODCIE104],GUIA_NACIONAL_2022_1106127136137138139140[[#This Row],[CIE-10]]),COUNTIFS(BASE[Cod.Establecimiento],$B$2,BASE[CODCIE104],GUIA_NACIONAL_2022_1106127136137138139140[[#This Row],[CIE-10]]))</calculatedColumnFormula>
    </tableColumn>
    <tableColumn id="5" xr3:uid="{49BC10F4-E41D-4AAA-9BAC-E7B1B88BF87B}" name="D4" dataDxfId="975">
      <calculatedColumnFormula>IF($B$2="(Todas)",COUNTIF(BASE[CODCIE106],GUIA_NACIONAL_2022_1106127136137138139140[[#This Row],[CIE-10]]),COUNTIFS(BASE[Cod.Establecimiento],$B$2,BASE[CODCIE106],GUIA_NACIONAL_2022_1106127136137138139140[[#This Row],[CIE-10]]))</calculatedColumnFormula>
    </tableColumn>
    <tableColumn id="6" xr3:uid="{DB7B5BBE-6809-4057-8057-CDFC347540F9}" name="D5" dataDxfId="974">
      <calculatedColumnFormula>IF($B$2="(Todas)",COUNTIF(BASE[CODCIE108],GUIA_NACIONAL_2022_1106127136137138139140[[#This Row],[CIE-10]]),COUNTIFS(BASE[Cod.Establecimiento],$B$2,BASE[CODCIE108],GUIA_NACIONAL_2022_1106127136137138139140[[#This Row],[CIE-10]]))</calculatedColumnFormula>
    </tableColumn>
    <tableColumn id="7" xr3:uid="{B2DE8500-D984-473A-81A0-A4F70D5AAB9C}" name="D6" dataDxfId="973">
      <calculatedColumnFormula>IF($B$2="(Todas)",COUNTIF(BASE[CODCIE1010],GUIA_NACIONAL_2022_1106127136137138139140[[#This Row],[CIE-10]]),COUNTIFS(BASE[Cod.Establecimiento],$B$2,BASE[CODCIE1010],GUIA_NACIONAL_2022_1106127136137138139140[[#This Row],[CIE-10]]))</calculatedColumnFormula>
    </tableColumn>
    <tableColumn id="8" xr3:uid="{AF197B10-D5FD-4DFF-B29E-B3F4D111408D}" name="TOT" dataDxfId="972" dataCellStyle="40% - Énfasis6">
      <calculatedColumnFormula>SUM(GUIA_NACIONAL_2022_1106127136137138139140[[#This Row],[D1]:[D6]])</calculatedColumnFormula>
    </tableColumn>
  </tableColumns>
  <tableStyleInfo name="TableStyleLight1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63A2FCAF-A8C6-41D4-89B0-E8237F62FBCA}" name="GUIA_NACIONAL_2022_1106127136137138139140141" displayName="GUIA_NACIONAL_2022_1106127136137138139140141" ref="M29:T33" totalsRowShown="0" headerRowDxfId="971">
  <autoFilter ref="M29:T33" xr:uid="{63A2FCAF-A8C6-41D4-89B0-E8237F62FBC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AE65DE4C-B110-41D4-ADA2-9A8C30A75480}" name="CIE-10" dataCellStyle="20% - Énfasis4"/>
    <tableColumn id="2" xr3:uid="{C08069BD-9F20-47D5-9F3D-EA282CA96512}" name="D1" dataDxfId="970">
      <calculatedColumnFormula>IF($B$2="(Todas)",COUNTIF(BASE[CODCIE10],GUIA_NACIONAL_2022_1106127136137138139140141[[#This Row],[CIE-10]]),COUNTIFS(BASE[Cod.Establecimiento],$B$2,BASE[CODCIE10],GUIA_NACIONAL_2022_1106127136137138139140141[[#This Row],[CIE-10]]))</calculatedColumnFormula>
    </tableColumn>
    <tableColumn id="3" xr3:uid="{AE85683D-8671-4594-8E05-A5FD6814F3FD}" name="D2" dataDxfId="969">
      <calculatedColumnFormula>IF($B$2="(Todas)",COUNTIF(BASE[CODCIE102],GUIA_NACIONAL_2022_1106127136137138139140141[[#This Row],[CIE-10]]),COUNTIFS(BASE[Cod.Establecimiento],$B$2,BASE[CODCIE102],GUIA_NACIONAL_2022_1106127136137138139140141[[#This Row],[CIE-10]]))</calculatedColumnFormula>
    </tableColumn>
    <tableColumn id="4" xr3:uid="{76620BE1-584A-4189-9B42-E8911AF1DFF2}" name="D3" dataDxfId="968">
      <calculatedColumnFormula>IF($B$2="(Todas)",COUNTIF(BASE[CODCIE104],GUIA_NACIONAL_2022_1106127136137138139140141[[#This Row],[CIE-10]]),COUNTIFS(BASE[Cod.Establecimiento],$B$2,BASE[CODCIE104],GUIA_NACIONAL_2022_1106127136137138139140141[[#This Row],[CIE-10]]))</calculatedColumnFormula>
    </tableColumn>
    <tableColumn id="5" xr3:uid="{45A52ED3-EAC3-46C7-93E5-220D2A6E9988}" name="D4" dataDxfId="967">
      <calculatedColumnFormula>IF($B$2="(Todas)",COUNTIF(BASE[CODCIE106],GUIA_NACIONAL_2022_1106127136137138139140141[[#This Row],[CIE-10]]),COUNTIFS(BASE[Cod.Establecimiento],$B$2,BASE[CODCIE106],GUIA_NACIONAL_2022_1106127136137138139140141[[#This Row],[CIE-10]]))</calculatedColumnFormula>
    </tableColumn>
    <tableColumn id="6" xr3:uid="{471831EA-B8C4-4C81-A36F-088B997E1F3D}" name="D5" dataDxfId="966">
      <calculatedColumnFormula>IF($B$2="(Todas)",COUNTIF(BASE[CODCIE108],GUIA_NACIONAL_2022_1106127136137138139140141[[#This Row],[CIE-10]]),COUNTIFS(BASE[Cod.Establecimiento],$B$2,BASE[CODCIE108],GUIA_NACIONAL_2022_1106127136137138139140141[[#This Row],[CIE-10]]))</calculatedColumnFormula>
    </tableColumn>
    <tableColumn id="7" xr3:uid="{155ADA30-E48A-40A1-9FAE-AF29D86FE4B8}" name="D6" dataDxfId="965">
      <calculatedColumnFormula>IF($B$2="(Todas)",COUNTIF(BASE[CODCIE1010],GUIA_NACIONAL_2022_1106127136137138139140141[[#This Row],[CIE-10]]),COUNTIFS(BASE[Cod.Establecimiento],$B$2,BASE[CODCIE1010],GUIA_NACIONAL_2022_1106127136137138139140141[[#This Row],[CIE-10]]))</calculatedColumnFormula>
    </tableColumn>
    <tableColumn id="8" xr3:uid="{B589718B-3F1A-4ABC-8A49-BDBF6D042C93}" name="TOT" dataDxfId="964" dataCellStyle="40% - Énfasis6">
      <calculatedColumnFormula>SUM(GUIA_NACIONAL_2022_1106127136137138139140141[[#This Row],[D1]:[D6]])</calculatedColumnFormula>
    </tableColumn>
  </tableColumns>
  <tableStyleInfo name="TableStyleLight1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3C501DFF-F7F8-4FBA-B3CC-5D5CBA746BAC}" name="GUIA_NACIONAL_2022_1106127136137138139142" displayName="GUIA_NACIONAL_2022_1106127136137138139142" ref="M35:T36" totalsRowShown="0" headerRowDxfId="963">
  <autoFilter ref="M35:T36" xr:uid="{3C501DFF-F7F8-4FBA-B3CC-5D5CBA746BA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8FC3A772-A8E8-4A5A-A21E-DDF6969AAE45}" name="CIE-10" dataCellStyle="20% - Énfasis4"/>
    <tableColumn id="2" xr3:uid="{4242D86F-6249-4ED5-8992-C5E2399F2167}" name="D1" dataDxfId="962">
      <calculatedColumnFormula>IF($B$2="(Todas)",COUNTIF(BASE[CODCIE10],GUIA_NACIONAL_2022_1106127136137138139142[[#This Row],[CIE-10]]),COUNTIFS(BASE[Cod.Establecimiento],$B$2,BASE[CODCIE10],GUIA_NACIONAL_2022_1106127136137138139142[[#This Row],[CIE-10]]))</calculatedColumnFormula>
    </tableColumn>
    <tableColumn id="3" xr3:uid="{3F9DB352-4FCF-462E-95B3-F2ACF99476A4}" name="D2" dataDxfId="961">
      <calculatedColumnFormula>IF($B$2="(Todas)",COUNTIF(BASE[CODCIE102],GUIA_NACIONAL_2022_1106127136137138139142[[#This Row],[CIE-10]]),COUNTIFS(BASE[Cod.Establecimiento],$B$2,BASE[CODCIE102],GUIA_NACIONAL_2022_1106127136137138139142[[#This Row],[CIE-10]]))</calculatedColumnFormula>
    </tableColumn>
    <tableColumn id="4" xr3:uid="{7790EEBC-367A-4F70-8C37-F2BF01171157}" name="D3" dataDxfId="960">
      <calculatedColumnFormula>IF($B$2="(Todas)",COUNTIF(BASE[CODCIE104],GUIA_NACIONAL_2022_1106127136137138139142[[#This Row],[CIE-10]]),COUNTIFS(BASE[Cod.Establecimiento],$B$2,BASE[CODCIE104],GUIA_NACIONAL_2022_1106127136137138139142[[#This Row],[CIE-10]]))</calculatedColumnFormula>
    </tableColumn>
    <tableColumn id="5" xr3:uid="{C1C9A365-58AE-4CFF-9D67-B816D4B2666A}" name="D4" dataDxfId="959">
      <calculatedColumnFormula>IF($B$2="(Todas)",COUNTIF(BASE[CODCIE106],GUIA_NACIONAL_2022_1106127136137138139142[[#This Row],[CIE-10]]),COUNTIFS(BASE[Cod.Establecimiento],$B$2,BASE[CODCIE106],GUIA_NACIONAL_2022_1106127136137138139142[[#This Row],[CIE-10]]))</calculatedColumnFormula>
    </tableColumn>
    <tableColumn id="6" xr3:uid="{240A2028-C9FB-4735-89BC-AB51222ED9A4}" name="D5" dataDxfId="958">
      <calculatedColumnFormula>IF($B$2="(Todas)",COUNTIF(BASE[CODCIE108],GUIA_NACIONAL_2022_1106127136137138139142[[#This Row],[CIE-10]]),COUNTIFS(BASE[Cod.Establecimiento],$B$2,BASE[CODCIE108],GUIA_NACIONAL_2022_1106127136137138139142[[#This Row],[CIE-10]]))</calculatedColumnFormula>
    </tableColumn>
    <tableColumn id="7" xr3:uid="{1B328E0B-011E-454A-8A52-EA5AF01F6FCF}" name="D6" dataDxfId="957">
      <calculatedColumnFormula>IF($B$2="(Todas)",COUNTIF(BASE[CODCIE1010],GUIA_NACIONAL_2022_1106127136137138139142[[#This Row],[CIE-10]]),COUNTIFS(BASE[Cod.Establecimiento],$B$2,BASE[CODCIE1010],GUIA_NACIONAL_2022_1106127136137138139142[[#This Row],[CIE-10]]))</calculatedColumnFormula>
    </tableColumn>
    <tableColumn id="8" xr3:uid="{06731D30-5E15-4BBE-A6BF-E62F2D153F47}" name="TOT" dataDxfId="956" dataCellStyle="40% - Énfasis6">
      <calculatedColumnFormula>SUM(GUIA_NACIONAL_2022_1106127136137138139142[[#This Row],[D1]:[D6]])</calculatedColumnFormula>
    </tableColumn>
  </tableColumns>
  <tableStyleInfo name="TableStyleLight1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D9F46369-817E-41B8-8C10-1202C540288A}" name="GUIA_NACIONAL_2022_1106128143" displayName="GUIA_NACIONAL_2022_1106128143" ref="V7:AC8" totalsRowShown="0" headerRowDxfId="955">
  <autoFilter ref="V7:AC8" xr:uid="{D9F46369-817E-41B8-8C10-1202C540288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F6FB87F7-3056-41C8-B18F-9A15D9E2CE01}" name="CIE-10" dataCellStyle="20% - Énfasis4"/>
    <tableColumn id="2" xr3:uid="{DFAA5264-A632-43E1-98EB-9F8B9B22065A}" name="D1" dataDxfId="954">
      <calculatedColumnFormula>IF($B$2="(Todas)",COUNTIF(BASE[CODCIE10],GUIA_NACIONAL_2022_1106128143[[#This Row],[CIE-10]]),COUNTIFS(BASE[Cod.Establecimiento],$B$2,BASE[CODCIE10],GUIA_NACIONAL_2022_1106128143[[#This Row],[CIE-10]]))</calculatedColumnFormula>
    </tableColumn>
    <tableColumn id="3" xr3:uid="{5CD41404-4969-4192-99E4-0E159980786B}" name="D2" dataDxfId="953">
      <calculatedColumnFormula>IF($B$2="(Todas)",COUNTIF(BASE[CODCIE102],GUIA_NACIONAL_2022_1106128143[[#This Row],[CIE-10]]),COUNTIFS(BASE[Cod.Establecimiento],$B$2,BASE[CODCIE102],GUIA_NACIONAL_2022_1106128143[[#This Row],[CIE-10]]))</calculatedColumnFormula>
    </tableColumn>
    <tableColumn id="4" xr3:uid="{47A72324-934A-47AF-90FF-AC4490D16D50}" name="D3" dataDxfId="952">
      <calculatedColumnFormula>IF($B$2="(Todas)",COUNTIF(BASE[CODCIE104],GUIA_NACIONAL_2022_1106128143[[#This Row],[CIE-10]]),COUNTIFS(BASE[Cod.Establecimiento],$B$2,BASE[CODCIE104],GUIA_NACIONAL_2022_1106128143[[#This Row],[CIE-10]]))</calculatedColumnFormula>
    </tableColumn>
    <tableColumn id="5" xr3:uid="{C09C2BF6-3DDE-4ADA-BA17-20152754A1CB}" name="D4" dataDxfId="951">
      <calculatedColumnFormula>IF($B$2="(Todas)",COUNTIF(BASE[CODCIE106],GUIA_NACIONAL_2022_1106128143[[#This Row],[CIE-10]]),COUNTIFS(BASE[Cod.Establecimiento],$B$2,BASE[CODCIE106],GUIA_NACIONAL_2022_1106128143[[#This Row],[CIE-10]]))</calculatedColumnFormula>
    </tableColumn>
    <tableColumn id="6" xr3:uid="{282DD68E-8A09-44D8-93EA-D31B5C2F0B13}" name="D5" dataDxfId="950">
      <calculatedColumnFormula>IF($B$2="(Todas)",COUNTIF(BASE[CODCIE108],GUIA_NACIONAL_2022_1106128143[[#This Row],[CIE-10]]),COUNTIFS(BASE[Cod.Establecimiento],$B$2,BASE[CODCIE108],GUIA_NACIONAL_2022_1106128143[[#This Row],[CIE-10]]))</calculatedColumnFormula>
    </tableColumn>
    <tableColumn id="7" xr3:uid="{5549444D-ECD4-4760-BA09-64A12876985E}" name="D6" dataDxfId="949">
      <calculatedColumnFormula>IF($B$2="(Todas)",COUNTIF(BASE[CODCIE1010],GUIA_NACIONAL_2022_1106128143[[#This Row],[CIE-10]]),COUNTIFS(BASE[Cod.Establecimiento],$B$2,BASE[CODCIE1010],GUIA_NACIONAL_2022_1106128143[[#This Row],[CIE-10]]))</calculatedColumnFormula>
    </tableColumn>
    <tableColumn id="8" xr3:uid="{AC22F306-3FD9-4797-9B52-3D66D9BBC70F}" name="TOT" dataDxfId="948" dataCellStyle="40% - Énfasis6">
      <calculatedColumnFormula>SUM(GUIA_NACIONAL_2022_1106128143[[#This Row],[D1]:[D6]])</calculatedColumnFormula>
    </tableColumn>
  </tableColumns>
  <tableStyleInfo name="TableStyleLight1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352DD10B-A844-4FD3-B18E-A383C3E754D1}" name="GUIA_NACIONAL_2022_1106128143144" displayName="GUIA_NACIONAL_2022_1106128143144" ref="V10:AC13" totalsRowShown="0" headerRowDxfId="947">
  <autoFilter ref="V10:AC13" xr:uid="{352DD10B-A844-4FD3-B18E-A383C3E754D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38ACC6ED-6766-4821-8E6F-65150BBD3248}" name="CIE-10" dataCellStyle="20% - Énfasis4"/>
    <tableColumn id="2" xr3:uid="{0AE21A71-27B5-47D1-9536-488D7615D55C}" name="D1" dataDxfId="946">
      <calculatedColumnFormula>IF($B$2="(Todas)",COUNTIF(BASE[CODCIE10],GUIA_NACIONAL_2022_1106128143144[[#This Row],[CIE-10]]),COUNTIFS(BASE[Cod.Establecimiento],$B$2,BASE[CODCIE10],GUIA_NACIONAL_2022_1106128143144[[#This Row],[CIE-10]]))</calculatedColumnFormula>
    </tableColumn>
    <tableColumn id="3" xr3:uid="{CD12A5E6-E424-4F9B-9C15-67996A324A8E}" name="D2" dataDxfId="945">
      <calculatedColumnFormula>IF($B$2="(Todas)",COUNTIF(BASE[CODCIE102],GUIA_NACIONAL_2022_1106128143144[[#This Row],[CIE-10]]),COUNTIFS(BASE[Cod.Establecimiento],$B$2,BASE[CODCIE102],GUIA_NACIONAL_2022_1106128143144[[#This Row],[CIE-10]]))</calculatedColumnFormula>
    </tableColumn>
    <tableColumn id="4" xr3:uid="{66FF2AAF-0CC4-4B25-BD06-8CA0BBCE7B41}" name="D3" dataDxfId="944">
      <calculatedColumnFormula>IF($B$2="(Todas)",COUNTIF(BASE[CODCIE104],GUIA_NACIONAL_2022_1106128143144[[#This Row],[CIE-10]]),COUNTIFS(BASE[Cod.Establecimiento],$B$2,BASE[CODCIE104],GUIA_NACIONAL_2022_1106128143144[[#This Row],[CIE-10]]))</calculatedColumnFormula>
    </tableColumn>
    <tableColumn id="5" xr3:uid="{788780D3-4170-4524-9497-227C1D02B39A}" name="D4" dataDxfId="943">
      <calculatedColumnFormula>IF($B$2="(Todas)",COUNTIF(BASE[CODCIE106],GUIA_NACIONAL_2022_1106128143144[[#This Row],[CIE-10]]),COUNTIFS(BASE[Cod.Establecimiento],$B$2,BASE[CODCIE106],GUIA_NACIONAL_2022_1106128143144[[#This Row],[CIE-10]]))</calculatedColumnFormula>
    </tableColumn>
    <tableColumn id="6" xr3:uid="{6634B7D6-48CF-438B-8D62-DC628B609562}" name="D5" dataDxfId="942">
      <calculatedColumnFormula>IF($B$2="(Todas)",COUNTIF(BASE[CODCIE108],GUIA_NACIONAL_2022_1106128143144[[#This Row],[CIE-10]]),COUNTIFS(BASE[Cod.Establecimiento],$B$2,BASE[CODCIE108],GUIA_NACIONAL_2022_1106128143144[[#This Row],[CIE-10]]))</calculatedColumnFormula>
    </tableColumn>
    <tableColumn id="7" xr3:uid="{8DFE7091-DA6F-44DD-BF84-09F8FF4ED593}" name="D6" dataDxfId="941">
      <calculatedColumnFormula>IF($B$2="(Todas)",COUNTIF(BASE[CODCIE1010],GUIA_NACIONAL_2022_1106128143144[[#This Row],[CIE-10]]),COUNTIFS(BASE[Cod.Establecimiento],$B$2,BASE[CODCIE1010],GUIA_NACIONAL_2022_1106128143144[[#This Row],[CIE-10]]))</calculatedColumnFormula>
    </tableColumn>
    <tableColumn id="8" xr3:uid="{55E2AD8B-44FC-40E2-8616-80B5F042B58F}" name="TOT" dataDxfId="940" dataCellStyle="40% - Énfasis6">
      <calculatedColumnFormula>SUM(GUIA_NACIONAL_2022_1106128143144[[#This Row],[D1]:[D6]])</calculatedColumnFormula>
    </tableColumn>
  </tableColumns>
  <tableStyleInfo name="TableStyleLight1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896BACC7-576F-46DC-90FA-22B9524F9ED3}" name="GUIA_NACIONAL_2022_1106128143146" displayName="GUIA_NACIONAL_2022_1106128143146" ref="V16:AC17" totalsRowShown="0" headerRowDxfId="939">
  <autoFilter ref="V16:AC17" xr:uid="{896BACC7-576F-46DC-90FA-22B9524F9ED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38101358-35AB-49F6-B543-01DEA5214F40}" name="CIE-10" dataCellStyle="20% - Énfasis4"/>
    <tableColumn id="2" xr3:uid="{3C73DBD4-67B4-49D8-9AEE-4A80B06DC628}" name="D1" dataDxfId="938">
      <calculatedColumnFormula>IF($B$2="(Todas)",COUNTIF(BASE[CODCIE10],GUIA_NACIONAL_2022_1106128143146[[#This Row],[CIE-10]]),COUNTIFS(BASE[Cod.Establecimiento],$B$2,BASE[CODCIE10],GUIA_NACIONAL_2022_1106128143146[[#This Row],[CIE-10]]))</calculatedColumnFormula>
    </tableColumn>
    <tableColumn id="3" xr3:uid="{C056B1D1-8552-4219-AA41-137C61789E6B}" name="D2" dataDxfId="937">
      <calculatedColumnFormula>IF($B$2="(Todas)",COUNTIF(BASE[CODCIE102],GUIA_NACIONAL_2022_1106128143146[[#This Row],[CIE-10]]),COUNTIFS(BASE[Cod.Establecimiento],$B$2,BASE[CODCIE102],GUIA_NACIONAL_2022_1106128143146[[#This Row],[CIE-10]]))</calculatedColumnFormula>
    </tableColumn>
    <tableColumn id="4" xr3:uid="{AF9EB0EC-51FF-4102-946B-EDCCA94C836B}" name="D3" dataDxfId="936">
      <calculatedColumnFormula>IF($B$2="(Todas)",COUNTIF(BASE[CODCIE104],GUIA_NACIONAL_2022_1106128143146[[#This Row],[CIE-10]]),COUNTIFS(BASE[Cod.Establecimiento],$B$2,BASE[CODCIE104],GUIA_NACIONAL_2022_1106128143146[[#This Row],[CIE-10]]))</calculatedColumnFormula>
    </tableColumn>
    <tableColumn id="5" xr3:uid="{1097AD4A-D1C6-44C2-BF76-50DB05F54C1E}" name="D4" dataDxfId="935">
      <calculatedColumnFormula>IF($B$2="(Todas)",COUNTIF(BASE[CODCIE106],GUIA_NACIONAL_2022_1106128143146[[#This Row],[CIE-10]]),COUNTIFS(BASE[Cod.Establecimiento],$B$2,BASE[CODCIE106],GUIA_NACIONAL_2022_1106128143146[[#This Row],[CIE-10]]))</calculatedColumnFormula>
    </tableColumn>
    <tableColumn id="6" xr3:uid="{4736808D-BCBE-4678-89F6-7035ED98C6D8}" name="D5" dataDxfId="934">
      <calculatedColumnFormula>IF($B$2="(Todas)",COUNTIF(BASE[CODCIE108],GUIA_NACIONAL_2022_1106128143146[[#This Row],[CIE-10]]),COUNTIFS(BASE[Cod.Establecimiento],$B$2,BASE[CODCIE108],GUIA_NACIONAL_2022_1106128143146[[#This Row],[CIE-10]]))</calculatedColumnFormula>
    </tableColumn>
    <tableColumn id="7" xr3:uid="{E0A5CC29-4926-4232-816A-9D997CE70602}" name="D6" dataDxfId="933">
      <calculatedColumnFormula>IF($B$2="(Todas)",COUNTIF(BASE[CODCIE1010],GUIA_NACIONAL_2022_1106128143146[[#This Row],[CIE-10]]),COUNTIFS(BASE[Cod.Establecimiento],$B$2,BASE[CODCIE1010],GUIA_NACIONAL_2022_1106128143146[[#This Row],[CIE-10]]))</calculatedColumnFormula>
    </tableColumn>
    <tableColumn id="8" xr3:uid="{D1B3AB31-C510-4264-BB4A-8597900EC179}" name="TOT" dataDxfId="932" dataCellStyle="40% - Énfasis6">
      <calculatedColumnFormula>SUM(GUIA_NACIONAL_2022_1106128143146[[#This Row],[D1]:[D6]])</calculatedColumnFormula>
    </tableColumn>
  </tableColumns>
  <tableStyleInfo name="TableStyleLight1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EED35C28-B02F-45F2-9A2B-1DE8914B2021}" name="GUIA_NACIONAL_2022_1106128143146147" displayName="GUIA_NACIONAL_2022_1106128143146147" ref="V19:AC22" totalsRowShown="0" headerRowDxfId="931">
  <autoFilter ref="V19:AC22" xr:uid="{EED35C28-B02F-45F2-9A2B-1DE8914B202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5554C1EF-E46F-4DBB-AE61-A881799B57ED}" name="CIE-10" dataCellStyle="20% - Énfasis4"/>
    <tableColumn id="2" xr3:uid="{E1052BCD-C519-4805-9BB6-A31445D40C85}" name="D1" dataDxfId="930">
      <calculatedColumnFormula>IF($B$2="(Todas)",COUNTIF(BASE[CODCIE10],GUIA_NACIONAL_2022_1106128143146147[[#This Row],[CIE-10]]),COUNTIFS(BASE[Cod.Establecimiento],$B$2,BASE[CODCIE10],GUIA_NACIONAL_2022_1106128143146147[[#This Row],[CIE-10]]))</calculatedColumnFormula>
    </tableColumn>
    <tableColumn id="3" xr3:uid="{311FEA9F-A7D9-4077-A4C9-9C8455D393D4}" name="D2" dataDxfId="929">
      <calculatedColumnFormula>IF($B$2="(Todas)",COUNTIF(BASE[CODCIE102],GUIA_NACIONAL_2022_1106128143146147[[#This Row],[CIE-10]]),COUNTIFS(BASE[Cod.Establecimiento],$B$2,BASE[CODCIE102],GUIA_NACIONAL_2022_1106128143146147[[#This Row],[CIE-10]]))</calculatedColumnFormula>
    </tableColumn>
    <tableColumn id="4" xr3:uid="{D4799BCD-A81C-4203-9B9E-FFC534315ED2}" name="D3" dataDxfId="928">
      <calculatedColumnFormula>IF($B$2="(Todas)",COUNTIF(BASE[CODCIE104],GUIA_NACIONAL_2022_1106128143146147[[#This Row],[CIE-10]]),COUNTIFS(BASE[Cod.Establecimiento],$B$2,BASE[CODCIE104],GUIA_NACIONAL_2022_1106128143146147[[#This Row],[CIE-10]]))</calculatedColumnFormula>
    </tableColumn>
    <tableColumn id="5" xr3:uid="{B22D1AFA-E735-49C3-9A32-C8DAC2C54FA0}" name="D4" dataDxfId="927">
      <calculatedColumnFormula>IF($B$2="(Todas)",COUNTIF(BASE[CODCIE106],GUIA_NACIONAL_2022_1106128143146147[[#This Row],[CIE-10]]),COUNTIFS(BASE[Cod.Establecimiento],$B$2,BASE[CODCIE106],GUIA_NACIONAL_2022_1106128143146147[[#This Row],[CIE-10]]))</calculatedColumnFormula>
    </tableColumn>
    <tableColumn id="6" xr3:uid="{72B10B39-7AF2-4B8D-B066-5806B063AA23}" name="D5" dataDxfId="926">
      <calculatedColumnFormula>IF($B$2="(Todas)",COUNTIF(BASE[CODCIE108],GUIA_NACIONAL_2022_1106128143146147[[#This Row],[CIE-10]]),COUNTIFS(BASE[Cod.Establecimiento],$B$2,BASE[CODCIE108],GUIA_NACIONAL_2022_1106128143146147[[#This Row],[CIE-10]]))</calculatedColumnFormula>
    </tableColumn>
    <tableColumn id="7" xr3:uid="{11DE5D45-A3F9-4307-84CA-21F62702D0C6}" name="D6" dataDxfId="925">
      <calculatedColumnFormula>IF($B$2="(Todas)",COUNTIF(BASE[CODCIE1010],GUIA_NACIONAL_2022_1106128143146147[[#This Row],[CIE-10]]),COUNTIFS(BASE[Cod.Establecimiento],$B$2,BASE[CODCIE1010],GUIA_NACIONAL_2022_1106128143146147[[#This Row],[CIE-10]]))</calculatedColumnFormula>
    </tableColumn>
    <tableColumn id="8" xr3:uid="{5CFC488F-A99F-40F7-9466-77CE49467CF4}" name="TOT" dataDxfId="924" dataCellStyle="40% - Énfasis6">
      <calculatedColumnFormula>SUM(GUIA_NACIONAL_2022_1106128143146147[[#This Row],[D1]:[D6]])</calculatedColumnFormula>
    </tableColumn>
  </tableColumns>
  <tableStyleInfo name="TableStyleLight1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1286F2F8-18B1-4E4A-B0B0-1BAFA1897AAE}" name="GUIA_NACIONAL_2022_1106128143146147148" displayName="GUIA_NACIONAL_2022_1106128143146147148" ref="V24:AC29" totalsRowShown="0" headerRowDxfId="923">
  <autoFilter ref="V24:AC29" xr:uid="{1286F2F8-18B1-4E4A-B0B0-1BAFA1897AA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ADD7AD3D-64B3-4E9C-8A7B-8B337FF0C822}" name="CIE-10" dataCellStyle="20% - Énfasis4"/>
    <tableColumn id="2" xr3:uid="{CC03DA04-F6FB-441D-AAD7-FDD73028B4EF}" name="D1" dataDxfId="922">
      <calculatedColumnFormula>IF($B$2="(Todas)",COUNTIF(BASE[CODCIE10],GUIA_NACIONAL_2022_1106128143146147148[[#This Row],[CIE-10]]),COUNTIFS(BASE[Cod.Establecimiento],$B$2,BASE[CODCIE10],GUIA_NACIONAL_2022_1106128143146147148[[#This Row],[CIE-10]]))</calculatedColumnFormula>
    </tableColumn>
    <tableColumn id="3" xr3:uid="{A4207B23-5BE3-45E5-87BE-D55635880C1D}" name="D2" dataDxfId="921">
      <calculatedColumnFormula>IF($B$2="(Todas)",COUNTIF(BASE[CODCIE102],GUIA_NACIONAL_2022_1106128143146147148[[#This Row],[CIE-10]]),COUNTIFS(BASE[Cod.Establecimiento],$B$2,BASE[CODCIE102],GUIA_NACIONAL_2022_1106128143146147148[[#This Row],[CIE-10]]))</calculatedColumnFormula>
    </tableColumn>
    <tableColumn id="4" xr3:uid="{5706BE5F-E5D3-4456-9D79-04D14C5BE8E4}" name="D3" dataDxfId="920">
      <calculatedColumnFormula>IF($B$2="(Todas)",COUNTIF(BASE[CODCIE104],GUIA_NACIONAL_2022_1106128143146147148[[#This Row],[CIE-10]]),COUNTIFS(BASE[Cod.Establecimiento],$B$2,BASE[CODCIE104],GUIA_NACIONAL_2022_1106128143146147148[[#This Row],[CIE-10]]))</calculatedColumnFormula>
    </tableColumn>
    <tableColumn id="5" xr3:uid="{433067DD-F740-4D9C-B284-4528A59013B2}" name="D4" dataDxfId="919">
      <calculatedColumnFormula>IF($B$2="(Todas)",COUNTIF(BASE[CODCIE106],GUIA_NACIONAL_2022_1106128143146147148[[#This Row],[CIE-10]]),COUNTIFS(BASE[Cod.Establecimiento],$B$2,BASE[CODCIE106],GUIA_NACIONAL_2022_1106128143146147148[[#This Row],[CIE-10]]))</calculatedColumnFormula>
    </tableColumn>
    <tableColumn id="6" xr3:uid="{56034BB9-AA70-476A-BE6A-4EB951C3425D}" name="D5" dataDxfId="918">
      <calculatedColumnFormula>IF($B$2="(Todas)",COUNTIF(BASE[CODCIE108],GUIA_NACIONAL_2022_1106128143146147148[[#This Row],[CIE-10]]),COUNTIFS(BASE[Cod.Establecimiento],$B$2,BASE[CODCIE108],GUIA_NACIONAL_2022_1106128143146147148[[#This Row],[CIE-10]]))</calculatedColumnFormula>
    </tableColumn>
    <tableColumn id="7" xr3:uid="{162A2FC2-9B40-4B55-A78C-F4D7D84BF2A5}" name="D6" dataDxfId="917">
      <calculatedColumnFormula>IF($B$2="(Todas)",COUNTIF(BASE[CODCIE1010],GUIA_NACIONAL_2022_1106128143146147148[[#This Row],[CIE-10]]),COUNTIFS(BASE[Cod.Establecimiento],$B$2,BASE[CODCIE1010],GUIA_NACIONAL_2022_1106128143146147148[[#This Row],[CIE-10]]))</calculatedColumnFormula>
    </tableColumn>
    <tableColumn id="8" xr3:uid="{9A33FF36-A7DB-43BF-B519-A633C04311FB}" name="TOT" dataDxfId="916" dataCellStyle="40% - Énfasis6">
      <calculatedColumnFormula>SUM(GUIA_NACIONAL_2022_1106128143146147148[[#This Row],[D1]:[D6]])</calculatedColumnFormula>
    </tableColumn>
  </tableColumns>
  <tableStyleInfo name="TableStyleLight1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43C0C7AF-E158-4E4E-90F9-D579194D6B94}" name="GUIA_NACIONAL_2022_1106128143146149" displayName="GUIA_NACIONAL_2022_1106128143146149" ref="V31:AC32" totalsRowShown="0" headerRowDxfId="915">
  <autoFilter ref="V31:AC32" xr:uid="{43C0C7AF-E158-4E4E-90F9-D579194D6B9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C85ED8BF-827B-4D32-A1C4-C7B285E887DB}" name="CIE-10" dataCellStyle="20% - Énfasis4"/>
    <tableColumn id="2" xr3:uid="{635999B9-1555-4489-B6BD-545A2CCE4040}" name="D1" dataDxfId="914">
      <calculatedColumnFormula>IF($B$2="(Todas)",COUNTIF(BASE[CODCIE10],GUIA_NACIONAL_2022_1106128143146149[[#This Row],[CIE-10]]),COUNTIFS(BASE[Cod.Establecimiento],$B$2,BASE[CODCIE10],GUIA_NACIONAL_2022_1106128143146149[[#This Row],[CIE-10]]))</calculatedColumnFormula>
    </tableColumn>
    <tableColumn id="3" xr3:uid="{22722B48-120E-465A-92AA-AE4BBF8C1D4D}" name="D2" dataDxfId="913">
      <calculatedColumnFormula>IF($B$2="(Todas)",COUNTIF(BASE[CODCIE102],GUIA_NACIONAL_2022_1106128143146149[[#This Row],[CIE-10]]),COUNTIFS(BASE[Cod.Establecimiento],$B$2,BASE[CODCIE102],GUIA_NACIONAL_2022_1106128143146149[[#This Row],[CIE-10]]))</calculatedColumnFormula>
    </tableColumn>
    <tableColumn id="4" xr3:uid="{22FA77D0-7872-4452-AAB8-172ADA3870B0}" name="D3" dataDxfId="912">
      <calculatedColumnFormula>IF($B$2="(Todas)",COUNTIF(BASE[CODCIE104],GUIA_NACIONAL_2022_1106128143146149[[#This Row],[CIE-10]]),COUNTIFS(BASE[Cod.Establecimiento],$B$2,BASE[CODCIE104],GUIA_NACIONAL_2022_1106128143146149[[#This Row],[CIE-10]]))</calculatedColumnFormula>
    </tableColumn>
    <tableColumn id="5" xr3:uid="{D5B58F10-8D8E-49C7-97EA-9DEDCD2688B1}" name="D4" dataDxfId="911">
      <calculatedColumnFormula>IF($B$2="(Todas)",COUNTIF(BASE[CODCIE106],GUIA_NACIONAL_2022_1106128143146149[[#This Row],[CIE-10]]),COUNTIFS(BASE[Cod.Establecimiento],$B$2,BASE[CODCIE106],GUIA_NACIONAL_2022_1106128143146149[[#This Row],[CIE-10]]))</calculatedColumnFormula>
    </tableColumn>
    <tableColumn id="6" xr3:uid="{C43FA606-6AB2-41F6-93AE-D9CD9D7CEA36}" name="D5" dataDxfId="910">
      <calculatedColumnFormula>IF($B$2="(Todas)",COUNTIF(BASE[CODCIE108],GUIA_NACIONAL_2022_1106128143146149[[#This Row],[CIE-10]]),COUNTIFS(BASE[Cod.Establecimiento],$B$2,BASE[CODCIE108],GUIA_NACIONAL_2022_1106128143146149[[#This Row],[CIE-10]]))</calculatedColumnFormula>
    </tableColumn>
    <tableColumn id="7" xr3:uid="{E2E92425-AE00-4CA1-BFBA-E117B89E1796}" name="D6" dataDxfId="909">
      <calculatedColumnFormula>IF($B$2="(Todas)",COUNTIF(BASE[CODCIE1010],GUIA_NACIONAL_2022_1106128143146149[[#This Row],[CIE-10]]),COUNTIFS(BASE[Cod.Establecimiento],$B$2,BASE[CODCIE1010],GUIA_NACIONAL_2022_1106128143146149[[#This Row],[CIE-10]]))</calculatedColumnFormula>
    </tableColumn>
    <tableColumn id="8" xr3:uid="{0CC0A133-3854-4172-8592-FE82391DA0A0}" name="TOT" dataDxfId="908" dataCellStyle="40% - Énfasis6">
      <calculatedColumnFormula>SUM(GUIA_NACIONAL_2022_1106128143146149[[#This Row],[D1]:[D6]])</calculatedColumnFormula>
    </tableColumn>
  </tableColumns>
  <tableStyleInfo name="TableStyleLight1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2B377CF3-5DCC-4E88-BC0F-DDB351F1D34E}" name="GUIA_NACIONAL_2022_1106128143146150" displayName="GUIA_NACIONAL_2022_1106128143146150" ref="V35:AC36" totalsRowShown="0" headerRowDxfId="907">
  <autoFilter ref="V35:AC36" xr:uid="{2B377CF3-5DCC-4E88-BC0F-DDB351F1D34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7543EE71-4394-4BEF-A7ED-9857D9EA7126}" name="CIE-10" dataCellStyle="20% - Énfasis4"/>
    <tableColumn id="2" xr3:uid="{FC172F9A-8040-4CE6-B3FA-B0AFD51D8D8D}" name="D1" dataDxfId="906">
      <calculatedColumnFormula>IF($B$2="(Todas)",COUNTIF(BASE[CODCIE10],GUIA_NACIONAL_2022_1106128143146150[[#This Row],[CIE-10]]),COUNTIFS(BASE[Cod.Establecimiento],$B$2,BASE[CODCIE10],GUIA_NACIONAL_2022_1106128143146150[[#This Row],[CIE-10]]))</calculatedColumnFormula>
    </tableColumn>
    <tableColumn id="3" xr3:uid="{FA9799CA-A84A-46B2-B357-CC2636C8E515}" name="D2" dataDxfId="905">
      <calculatedColumnFormula>IF($B$2="(Todas)",COUNTIF(BASE[CODCIE102],GUIA_NACIONAL_2022_1106128143146150[[#This Row],[CIE-10]]),COUNTIFS(BASE[Cod.Establecimiento],$B$2,BASE[CODCIE102],GUIA_NACIONAL_2022_1106128143146150[[#This Row],[CIE-10]]))</calculatedColumnFormula>
    </tableColumn>
    <tableColumn id="4" xr3:uid="{701074B6-FF71-4909-B7C0-8BA07A148E5F}" name="D3" dataDxfId="904">
      <calculatedColumnFormula>IF($B$2="(Todas)",COUNTIF(BASE[CODCIE104],GUIA_NACIONAL_2022_1106128143146150[[#This Row],[CIE-10]]),COUNTIFS(BASE[Cod.Establecimiento],$B$2,BASE[CODCIE104],GUIA_NACIONAL_2022_1106128143146150[[#This Row],[CIE-10]]))</calculatedColumnFormula>
    </tableColumn>
    <tableColumn id="5" xr3:uid="{6D70D178-2870-486D-950D-37469BA0D780}" name="D4" dataDxfId="903">
      <calculatedColumnFormula>IF($B$2="(Todas)",COUNTIF(BASE[CODCIE106],GUIA_NACIONAL_2022_1106128143146150[[#This Row],[CIE-10]]),COUNTIFS(BASE[Cod.Establecimiento],$B$2,BASE[CODCIE106],GUIA_NACIONAL_2022_1106128143146150[[#This Row],[CIE-10]]))</calculatedColumnFormula>
    </tableColumn>
    <tableColumn id="6" xr3:uid="{AA83BDC9-4EDD-4934-9480-60C2F33992CD}" name="D5" dataDxfId="902">
      <calculatedColumnFormula>IF($B$2="(Todas)",COUNTIF(BASE[CODCIE108],GUIA_NACIONAL_2022_1106128143146150[[#This Row],[CIE-10]]),COUNTIFS(BASE[Cod.Establecimiento],$B$2,BASE[CODCIE108],GUIA_NACIONAL_2022_1106128143146150[[#This Row],[CIE-10]]))</calculatedColumnFormula>
    </tableColumn>
    <tableColumn id="7" xr3:uid="{41411913-ED92-4EEB-9F35-BB6AE75A8C6D}" name="D6" dataDxfId="901">
      <calculatedColumnFormula>IF($B$2="(Todas)",COUNTIF(BASE[CODCIE1010],GUIA_NACIONAL_2022_1106128143146150[[#This Row],[CIE-10]]),COUNTIFS(BASE[Cod.Establecimiento],$B$2,BASE[CODCIE1010],GUIA_NACIONAL_2022_1106128143146150[[#This Row],[CIE-10]]))</calculatedColumnFormula>
    </tableColumn>
    <tableColumn id="8" xr3:uid="{10AFB660-07F7-4E55-8E67-DD49F2265247}" name="TOT" dataDxfId="900" dataCellStyle="40% - Énfasis6">
      <calculatedColumnFormula>SUM(GUIA_NACIONAL_2022_1106128143146150[[#This Row],[D1]:[D6]])</calculatedColumnFormula>
    </tableColumn>
  </tableColumns>
  <tableStyleInfo name="TableStyleLight1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CC0C8A16-80D6-4A98-AEFC-DDFA4AA9D742}" name="GUIA_NACIONAL_2022_1106128143146150151" displayName="GUIA_NACIONAL_2022_1106128143146150151" ref="V38:AC43" totalsRowShown="0" headerRowDxfId="899">
  <autoFilter ref="V38:AC43" xr:uid="{CC0C8A16-80D6-4A98-AEFC-DDFA4AA9D74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ABAC166B-09C5-4FDC-86A2-91378AC1310C}" name="CIE-10" dataCellStyle="20% - Énfasis4"/>
    <tableColumn id="2" xr3:uid="{2B0FBBF6-7A52-4D14-AB84-9DC59E9D0448}" name="D1" dataDxfId="898">
      <calculatedColumnFormula>IF($B$2="(Todas)",COUNTIF(BASE[CODCIE10],GUIA_NACIONAL_2022_1106128143146150151[[#This Row],[CIE-10]]),COUNTIFS(BASE[Cod.Establecimiento],$B$2,BASE[CODCIE10],GUIA_NACIONAL_2022_1106128143146150151[[#This Row],[CIE-10]]))</calculatedColumnFormula>
    </tableColumn>
    <tableColumn id="3" xr3:uid="{5FF57A76-BD21-45C8-9575-BBC0EBF7EF76}" name="D2" dataDxfId="897">
      <calculatedColumnFormula>IF($B$2="(Todas)",COUNTIF(BASE[CODCIE102],GUIA_NACIONAL_2022_1106128143146150151[[#This Row],[CIE-10]]),COUNTIFS(BASE[Cod.Establecimiento],$B$2,BASE[CODCIE102],GUIA_NACIONAL_2022_1106128143146150151[[#This Row],[CIE-10]]))</calculatedColumnFormula>
    </tableColumn>
    <tableColumn id="4" xr3:uid="{A8850FA5-291D-48AA-9D84-5B3C3143FABC}" name="D3" dataDxfId="896">
      <calculatedColumnFormula>IF($B$2="(Todas)",COUNTIF(BASE[CODCIE104],GUIA_NACIONAL_2022_1106128143146150151[[#This Row],[CIE-10]]),COUNTIFS(BASE[Cod.Establecimiento],$B$2,BASE[CODCIE104],GUIA_NACIONAL_2022_1106128143146150151[[#This Row],[CIE-10]]))</calculatedColumnFormula>
    </tableColumn>
    <tableColumn id="5" xr3:uid="{59C520D3-F178-44CC-89A5-716BDF451FE2}" name="D4" dataDxfId="895">
      <calculatedColumnFormula>IF($B$2="(Todas)",COUNTIF(BASE[CODCIE106],GUIA_NACIONAL_2022_1106128143146150151[[#This Row],[CIE-10]]),COUNTIFS(BASE[Cod.Establecimiento],$B$2,BASE[CODCIE106],GUIA_NACIONAL_2022_1106128143146150151[[#This Row],[CIE-10]]))</calculatedColumnFormula>
    </tableColumn>
    <tableColumn id="6" xr3:uid="{7B8585E6-96A2-4E88-87E5-74C72AC0B104}" name="D5" dataDxfId="894">
      <calculatedColumnFormula>IF($B$2="(Todas)",COUNTIF(BASE[CODCIE108],GUIA_NACIONAL_2022_1106128143146150151[[#This Row],[CIE-10]]),COUNTIFS(BASE[Cod.Establecimiento],$B$2,BASE[CODCIE108],GUIA_NACIONAL_2022_1106128143146150151[[#This Row],[CIE-10]]))</calculatedColumnFormula>
    </tableColumn>
    <tableColumn id="7" xr3:uid="{24F46AAF-F4C2-4140-846A-A08BD4BEABCB}" name="D6" dataDxfId="893">
      <calculatedColumnFormula>IF($B$2="(Todas)",COUNTIF(BASE[CODCIE1010],GUIA_NACIONAL_2022_1106128143146150151[[#This Row],[CIE-10]]),COUNTIFS(BASE[Cod.Establecimiento],$B$2,BASE[CODCIE1010],GUIA_NACIONAL_2022_1106128143146150151[[#This Row],[CIE-10]]))</calculatedColumnFormula>
    </tableColumn>
    <tableColumn id="8" xr3:uid="{A3DB8083-270C-4D12-96F7-1AD3FEA1C33A}" name="TOT" dataDxfId="892" dataCellStyle="40% - Énfasis6">
      <calculatedColumnFormula>SUM(GUIA_NACIONAL_2022_1106128143146150151[[#This Row],[D1]:[D6]])</calculatedColumnFormula>
    </tableColumn>
  </tableColumns>
  <tableStyleInfo name="TableStyleLight1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EF4597E4-BDBA-4581-9D5F-DEFE0FC3218D}" name="GUIA_NACIONAL_2022_1106128143146150152" displayName="GUIA_NACIONAL_2022_1106128143146150152" ref="V46:AC52" totalsRowShown="0" headerRowDxfId="891">
  <autoFilter ref="V46:AC52" xr:uid="{EF4597E4-BDBA-4581-9D5F-DEFE0FC3218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44F5A21E-7B87-48D6-B8CC-3C6841B411A4}" name="CIE-10" dataCellStyle="20% - Énfasis4"/>
    <tableColumn id="2" xr3:uid="{0986E979-9198-485F-9A91-C403E6FA4F99}" name="D1" dataDxfId="890">
      <calculatedColumnFormula>IF($B$2="(Todas)",COUNTIF(BASE[CODCIE10],GUIA_NACIONAL_2022_1106128143146150152[[#This Row],[CIE-10]]),COUNTIFS(BASE[Cod.Establecimiento],$B$2,BASE[CODCIE10],GUIA_NACIONAL_2022_1106128143146150152[[#This Row],[CIE-10]]))</calculatedColumnFormula>
    </tableColumn>
    <tableColumn id="3" xr3:uid="{7C62A2F0-3EB3-415C-8962-4A2226CEBD41}" name="D2" dataDxfId="889">
      <calculatedColumnFormula>IF($B$2="(Todas)",COUNTIF(BASE[CODCIE102],GUIA_NACIONAL_2022_1106128143146150152[[#This Row],[CIE-10]]),COUNTIFS(BASE[Cod.Establecimiento],$B$2,BASE[CODCIE102],GUIA_NACIONAL_2022_1106128143146150152[[#This Row],[CIE-10]]))</calculatedColumnFormula>
    </tableColumn>
    <tableColumn id="4" xr3:uid="{0D66EE05-3400-4DA9-8D0C-8FE26BFCD327}" name="D3" dataDxfId="888">
      <calculatedColumnFormula>IF($B$2="(Todas)",COUNTIF(BASE[CODCIE104],GUIA_NACIONAL_2022_1106128143146150152[[#This Row],[CIE-10]]),COUNTIFS(BASE[Cod.Establecimiento],$B$2,BASE[CODCIE104],GUIA_NACIONAL_2022_1106128143146150152[[#This Row],[CIE-10]]))</calculatedColumnFormula>
    </tableColumn>
    <tableColumn id="5" xr3:uid="{02421803-CA75-4D27-9652-969ED7C783BB}" name="D4" dataDxfId="887">
      <calculatedColumnFormula>IF($B$2="(Todas)",COUNTIF(BASE[CODCIE106],GUIA_NACIONAL_2022_1106128143146150152[[#This Row],[CIE-10]]),COUNTIFS(BASE[Cod.Establecimiento],$B$2,BASE[CODCIE106],GUIA_NACIONAL_2022_1106128143146150152[[#This Row],[CIE-10]]))</calculatedColumnFormula>
    </tableColumn>
    <tableColumn id="6" xr3:uid="{2E21B29E-4485-46BF-9A6C-4F80F1D48939}" name="D5" dataDxfId="886">
      <calculatedColumnFormula>IF($B$2="(Todas)",COUNTIF(BASE[CODCIE108],GUIA_NACIONAL_2022_1106128143146150152[[#This Row],[CIE-10]]),COUNTIFS(BASE[Cod.Establecimiento],$B$2,BASE[CODCIE108],GUIA_NACIONAL_2022_1106128143146150152[[#This Row],[CIE-10]]))</calculatedColumnFormula>
    </tableColumn>
    <tableColumn id="7" xr3:uid="{2DF8E3CA-7E2C-4F4E-A3D8-8D07BA6056CC}" name="D6" dataDxfId="885">
      <calculatedColumnFormula>IF($B$2="(Todas)",COUNTIF(BASE[CODCIE1010],GUIA_NACIONAL_2022_1106128143146150152[[#This Row],[CIE-10]]),COUNTIFS(BASE[Cod.Establecimiento],$B$2,BASE[CODCIE1010],GUIA_NACIONAL_2022_1106128143146150152[[#This Row],[CIE-10]]))</calculatedColumnFormula>
    </tableColumn>
    <tableColumn id="8" xr3:uid="{643B6033-D20B-442E-AC3E-3BB408771F79}" name="TOT" dataDxfId="884" dataCellStyle="40% - Énfasis6">
      <calculatedColumnFormula>SUM(GUIA_NACIONAL_2022_1106128143146150152[[#This Row],[D1]:[D6]])</calculatedColumnFormula>
    </tableColumn>
  </tableColumns>
  <tableStyleInfo name="TableStyleLight1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159168B2-FB31-444E-9612-5BD24C5ECA85}" name="GUIA_NACIONAL_2022_1106128143146150153" displayName="GUIA_NACIONAL_2022_1106128143146150153" ref="V54:AC55" totalsRowShown="0" headerRowDxfId="883">
  <autoFilter ref="V54:AC55" xr:uid="{159168B2-FB31-444E-9612-5BD24C5ECA8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7FD158A8-41A0-4668-A1A6-055E50D6F416}" name="CIE-10" dataCellStyle="20% - Énfasis4"/>
    <tableColumn id="2" xr3:uid="{964C18D4-21B5-4C7F-9AC7-82335634E9E7}" name="D1" dataDxfId="882">
      <calculatedColumnFormula>IF($B$2="(Todas)",COUNTIF(BASE[CODCIE10],GUIA_NACIONAL_2022_1106128143146150153[[#This Row],[CIE-10]]),COUNTIFS(BASE[Cod.Establecimiento],$B$2,BASE[CODCIE10],GUIA_NACIONAL_2022_1106128143146150153[[#This Row],[CIE-10]]))</calculatedColumnFormula>
    </tableColumn>
    <tableColumn id="3" xr3:uid="{32E0F1FA-1C94-4B85-AE90-585BE2169092}" name="D2" dataDxfId="881">
      <calculatedColumnFormula>IF($B$2="(Todas)",COUNTIF(BASE[CODCIE102],GUIA_NACIONAL_2022_1106128143146150153[[#This Row],[CIE-10]]),COUNTIFS(BASE[Cod.Establecimiento],$B$2,BASE[CODCIE102],GUIA_NACIONAL_2022_1106128143146150153[[#This Row],[CIE-10]]))</calculatedColumnFormula>
    </tableColumn>
    <tableColumn id="4" xr3:uid="{ED23F143-E6CB-4A88-8386-B622F124C801}" name="D3" dataDxfId="880">
      <calculatedColumnFormula>IF($B$2="(Todas)",COUNTIF(BASE[CODCIE104],GUIA_NACIONAL_2022_1106128143146150153[[#This Row],[CIE-10]]),COUNTIFS(BASE[Cod.Establecimiento],$B$2,BASE[CODCIE104],GUIA_NACIONAL_2022_1106128143146150153[[#This Row],[CIE-10]]))</calculatedColumnFormula>
    </tableColumn>
    <tableColumn id="5" xr3:uid="{E7EF8F01-9890-4521-844C-6FE9D11ACB8C}" name="D4" dataDxfId="879">
      <calculatedColumnFormula>IF($B$2="(Todas)",COUNTIF(BASE[CODCIE106],GUIA_NACIONAL_2022_1106128143146150153[[#This Row],[CIE-10]]),COUNTIFS(BASE[Cod.Establecimiento],$B$2,BASE[CODCIE106],GUIA_NACIONAL_2022_1106128143146150153[[#This Row],[CIE-10]]))</calculatedColumnFormula>
    </tableColumn>
    <tableColumn id="6" xr3:uid="{93B0B5B6-26E5-445A-AF9F-A21CDD239443}" name="D5" dataDxfId="878">
      <calculatedColumnFormula>IF($B$2="(Todas)",COUNTIF(BASE[CODCIE108],GUIA_NACIONAL_2022_1106128143146150153[[#This Row],[CIE-10]]),COUNTIFS(BASE[Cod.Establecimiento],$B$2,BASE[CODCIE108],GUIA_NACIONAL_2022_1106128143146150153[[#This Row],[CIE-10]]))</calculatedColumnFormula>
    </tableColumn>
    <tableColumn id="7" xr3:uid="{2F3CAEC1-D4C3-4DE7-B131-F8454057C4EC}" name="D6" dataDxfId="877">
      <calculatedColumnFormula>IF($B$2="(Todas)",COUNTIF(BASE[CODCIE1010],GUIA_NACIONAL_2022_1106128143146150153[[#This Row],[CIE-10]]),COUNTIFS(BASE[Cod.Establecimiento],$B$2,BASE[CODCIE1010],GUIA_NACIONAL_2022_1106128143146150153[[#This Row],[CIE-10]]))</calculatedColumnFormula>
    </tableColumn>
    <tableColumn id="8" xr3:uid="{D734B737-1AD8-40D8-9268-BDC6A2056B26}" name="TOT" dataDxfId="876" dataCellStyle="40% - Énfasis6">
      <calculatedColumnFormula>SUM(GUIA_NACIONAL_2022_1106128143146150153[[#This Row],[D1]:[D6]])</calculatedColumnFormula>
    </tableColumn>
  </tableColumns>
  <tableStyleInfo name="TableStyleLight1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F43D556B-A256-449A-870A-B1AFE19BE822}" name="GUIA_NACIONAL_2022_1106128143146150152154" displayName="GUIA_NACIONAL_2022_1106128143146150152154" ref="V58:AC66" totalsRowShown="0" headerRowDxfId="875">
  <autoFilter ref="V58:AC66" xr:uid="{F43D556B-A256-449A-870A-B1AFE19BE82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DA27AC01-8165-4651-9CAD-0D96D2C6357A}" name="CIE-10" dataCellStyle="20% - Énfasis4"/>
    <tableColumn id="2" xr3:uid="{70AC1B83-4024-476C-B068-CCAB17EB77D7}" name="D1" dataDxfId="874">
      <calculatedColumnFormula>IF($B$2="(Todas)",COUNTIF(BASE[CODCIE10],GUIA_NACIONAL_2022_1106128143146150152154[[#This Row],[CIE-10]]),COUNTIFS(BASE[Cod.Establecimiento],$B$2,BASE[CODCIE10],GUIA_NACIONAL_2022_1106128143146150152154[[#This Row],[CIE-10]]))</calculatedColumnFormula>
    </tableColumn>
    <tableColumn id="3" xr3:uid="{A0D946B8-BDD4-4518-9725-E0094F901DA7}" name="D2" dataDxfId="873">
      <calculatedColumnFormula>IF($B$2="(Todas)",COUNTIF(BASE[CODCIE102],GUIA_NACIONAL_2022_1106128143146150152154[[#This Row],[CIE-10]]),COUNTIFS(BASE[Cod.Establecimiento],$B$2,BASE[CODCIE102],GUIA_NACIONAL_2022_1106128143146150152154[[#This Row],[CIE-10]]))</calculatedColumnFormula>
    </tableColumn>
    <tableColumn id="4" xr3:uid="{2363E915-B61E-41EB-886F-DB164589A77C}" name="D3" dataDxfId="872">
      <calculatedColumnFormula>IF($B$2="(Todas)",COUNTIF(BASE[CODCIE104],GUIA_NACIONAL_2022_1106128143146150152154[[#This Row],[CIE-10]]),COUNTIFS(BASE[Cod.Establecimiento],$B$2,BASE[CODCIE104],GUIA_NACIONAL_2022_1106128143146150152154[[#This Row],[CIE-10]]))</calculatedColumnFormula>
    </tableColumn>
    <tableColumn id="5" xr3:uid="{8DF7B555-98CB-43D8-A38B-8F6772A80595}" name="D4" dataDxfId="871">
      <calculatedColumnFormula>IF($B$2="(Todas)",COUNTIF(BASE[CODCIE106],GUIA_NACIONAL_2022_1106128143146150152154[[#This Row],[CIE-10]]),COUNTIFS(BASE[Cod.Establecimiento],$B$2,BASE[CODCIE106],GUIA_NACIONAL_2022_1106128143146150152154[[#This Row],[CIE-10]]))</calculatedColumnFormula>
    </tableColumn>
    <tableColumn id="6" xr3:uid="{00ECABB2-73C1-4AAF-B0F2-F65ADDDB3574}" name="D5" dataDxfId="870">
      <calculatedColumnFormula>IF($B$2="(Todas)",COUNTIF(BASE[CODCIE108],GUIA_NACIONAL_2022_1106128143146150152154[[#This Row],[CIE-10]]),COUNTIFS(BASE[Cod.Establecimiento],$B$2,BASE[CODCIE108],GUIA_NACIONAL_2022_1106128143146150152154[[#This Row],[CIE-10]]))</calculatedColumnFormula>
    </tableColumn>
    <tableColumn id="7" xr3:uid="{58C8FA55-34FE-4415-A32D-89F903BF4476}" name="D6" dataDxfId="869">
      <calculatedColumnFormula>IF($B$2="(Todas)",COUNTIF(BASE[CODCIE1010],GUIA_NACIONAL_2022_1106128143146150152154[[#This Row],[CIE-10]]),COUNTIFS(BASE[Cod.Establecimiento],$B$2,BASE[CODCIE1010],GUIA_NACIONAL_2022_1106128143146150152154[[#This Row],[CIE-10]]))</calculatedColumnFormula>
    </tableColumn>
    <tableColumn id="8" xr3:uid="{1A1D8AD9-43A5-473F-B392-5A7989A9E2D1}" name="TOT" dataDxfId="868" dataCellStyle="40% - Énfasis6">
      <calculatedColumnFormula>SUM(GUIA_NACIONAL_2022_1106128143146150152154[[#This Row],[D1]:[D6]])</calculatedColumnFormula>
    </tableColumn>
  </tableColumns>
  <tableStyleInfo name="TableStyleLight1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C296C996-4947-4CDA-BA7A-AF9F7A325E87}" name="GUIA_NACIONAL_2022_1106128143146150152154155" displayName="GUIA_NACIONAL_2022_1106128143146150152154155" ref="V68:AC69" totalsRowShown="0" headerRowDxfId="867">
  <autoFilter ref="V68:AC69" xr:uid="{C296C996-4947-4CDA-BA7A-AF9F7A325E8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97CD5BA9-47D8-44D4-91C3-9E03530B39F4}" name="CIE-10" dataCellStyle="20% - Énfasis4"/>
    <tableColumn id="2" xr3:uid="{431E2B9D-A71A-44C5-8BC2-B29826914ED0}" name="D1" dataDxfId="866">
      <calculatedColumnFormula>IF($B$2="(Todas)",COUNTIF(BASE[CODCIE10],GUIA_NACIONAL_2022_1106128143146150152154155[[#This Row],[CIE-10]]),COUNTIFS(BASE[Cod.Establecimiento],$B$2,BASE[CODCIE10],GUIA_NACIONAL_2022_1106128143146150152154155[[#This Row],[CIE-10]]))</calculatedColumnFormula>
    </tableColumn>
    <tableColumn id="3" xr3:uid="{506567B3-1B40-467B-8FCA-7883FF33D67D}" name="D2" dataDxfId="865">
      <calculatedColumnFormula>IF($B$2="(Todas)",COUNTIF(BASE[CODCIE102],GUIA_NACIONAL_2022_1106128143146150152154155[[#This Row],[CIE-10]]),COUNTIFS(BASE[Cod.Establecimiento],$B$2,BASE[CODCIE102],GUIA_NACIONAL_2022_1106128143146150152154155[[#This Row],[CIE-10]]))</calculatedColumnFormula>
    </tableColumn>
    <tableColumn id="4" xr3:uid="{3316D44E-9884-4EE5-92F5-5F8516404ED2}" name="D3" dataDxfId="864">
      <calculatedColumnFormula>IF($B$2="(Todas)",COUNTIF(BASE[CODCIE104],GUIA_NACIONAL_2022_1106128143146150152154155[[#This Row],[CIE-10]]),COUNTIFS(BASE[Cod.Establecimiento],$B$2,BASE[CODCIE104],GUIA_NACIONAL_2022_1106128143146150152154155[[#This Row],[CIE-10]]))</calculatedColumnFormula>
    </tableColumn>
    <tableColumn id="5" xr3:uid="{DFD5DA1F-24E8-4AB7-B4D4-EA7E07B6BB8C}" name="D4" dataDxfId="863">
      <calculatedColumnFormula>IF($B$2="(Todas)",COUNTIF(BASE[CODCIE106],GUIA_NACIONAL_2022_1106128143146150152154155[[#This Row],[CIE-10]]),COUNTIFS(BASE[Cod.Establecimiento],$B$2,BASE[CODCIE106],GUIA_NACIONAL_2022_1106128143146150152154155[[#This Row],[CIE-10]]))</calculatedColumnFormula>
    </tableColumn>
    <tableColumn id="6" xr3:uid="{5F144B9F-1EC3-4588-BDF7-FE0939871A40}" name="D5" dataDxfId="862">
      <calculatedColumnFormula>IF($B$2="(Todas)",COUNTIF(BASE[CODCIE108],GUIA_NACIONAL_2022_1106128143146150152154155[[#This Row],[CIE-10]]),COUNTIFS(BASE[Cod.Establecimiento],$B$2,BASE[CODCIE108],GUIA_NACIONAL_2022_1106128143146150152154155[[#This Row],[CIE-10]]))</calculatedColumnFormula>
    </tableColumn>
    <tableColumn id="7" xr3:uid="{4FC1EEC8-2E4A-49E2-917C-50DA958F779D}" name="D6" dataDxfId="861">
      <calculatedColumnFormula>IF($B$2="(Todas)",COUNTIF(BASE[CODCIE1010],GUIA_NACIONAL_2022_1106128143146150152154155[[#This Row],[CIE-10]]),COUNTIFS(BASE[Cod.Establecimiento],$B$2,BASE[CODCIE1010],GUIA_NACIONAL_2022_1106128143146150152154155[[#This Row],[CIE-10]]))</calculatedColumnFormula>
    </tableColumn>
    <tableColumn id="8" xr3:uid="{054DA32B-D888-4386-A48F-37B205E57483}" name="TOT" dataDxfId="860" dataCellStyle="40% - Énfasis6">
      <calculatedColumnFormula>SUM(GUIA_NACIONAL_2022_1106128143146150152154155[[#This Row],[D1]:[D6]])</calculatedColumnFormula>
    </tableColumn>
  </tableColumns>
  <tableStyleInfo name="TableStyleLight1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905D2B61-2040-413E-B1D4-9BB62C6A0351}" name="GUIA_NACIONAL_2022_1106128143146150153156" displayName="GUIA_NACIONAL_2022_1106128143146150153156" ref="V71:AC72" totalsRowShown="0" headerRowDxfId="859">
  <autoFilter ref="V71:AC72" xr:uid="{905D2B61-2040-413E-B1D4-9BB62C6A035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F1FFEB4E-54E7-47B6-81F9-42734866951B}" name="CIE-10" dataCellStyle="20% - Énfasis4"/>
    <tableColumn id="2" xr3:uid="{C172FD29-58AE-4A61-879F-642BCCDC3FDA}" name="D1" dataDxfId="858">
      <calculatedColumnFormula>IF($B$2="(Todas)",COUNTIF(BASE[CODCIE10],GUIA_NACIONAL_2022_1106128143146150153156[[#This Row],[CIE-10]]),COUNTIFS(BASE[Cod.Establecimiento],$B$2,BASE[CODCIE10],GUIA_NACIONAL_2022_1106128143146150153156[[#This Row],[CIE-10]]))</calculatedColumnFormula>
    </tableColumn>
    <tableColumn id="3" xr3:uid="{1A1C8942-30F6-400B-975D-78BFAB2D79C6}" name="D2" dataDxfId="857">
      <calculatedColumnFormula>IF($B$2="(Todas)",COUNTIF(BASE[CODCIE102],GUIA_NACIONAL_2022_1106128143146150153156[[#This Row],[CIE-10]]),COUNTIFS(BASE[Cod.Establecimiento],$B$2,BASE[CODCIE102],GUIA_NACIONAL_2022_1106128143146150153156[[#This Row],[CIE-10]]))</calculatedColumnFormula>
    </tableColumn>
    <tableColumn id="4" xr3:uid="{C3C5D5CC-5118-4ADA-A5FB-99431CFBE9DE}" name="D3" dataDxfId="856">
      <calculatedColumnFormula>IF($B$2="(Todas)",COUNTIF(BASE[CODCIE104],GUIA_NACIONAL_2022_1106128143146150153156[[#This Row],[CIE-10]]),COUNTIFS(BASE[Cod.Establecimiento],$B$2,BASE[CODCIE104],GUIA_NACIONAL_2022_1106128143146150153156[[#This Row],[CIE-10]]))</calculatedColumnFormula>
    </tableColumn>
    <tableColumn id="5" xr3:uid="{E83B8497-52BA-4A3A-957F-6F162DA6C23D}" name="D4" dataDxfId="855">
      <calculatedColumnFormula>IF($B$2="(Todas)",COUNTIF(BASE[CODCIE106],GUIA_NACIONAL_2022_1106128143146150153156[[#This Row],[CIE-10]]),COUNTIFS(BASE[Cod.Establecimiento],$B$2,BASE[CODCIE106],GUIA_NACIONAL_2022_1106128143146150153156[[#This Row],[CIE-10]]))</calculatedColumnFormula>
    </tableColumn>
    <tableColumn id="6" xr3:uid="{6D0547F8-547F-460F-B79C-DCB46EF72E41}" name="D5" dataDxfId="854">
      <calculatedColumnFormula>IF($B$2="(Todas)",COUNTIF(BASE[CODCIE108],GUIA_NACIONAL_2022_1106128143146150153156[[#This Row],[CIE-10]]),COUNTIFS(BASE[Cod.Establecimiento],$B$2,BASE[CODCIE108],GUIA_NACIONAL_2022_1106128143146150153156[[#This Row],[CIE-10]]))</calculatedColumnFormula>
    </tableColumn>
    <tableColumn id="7" xr3:uid="{45163C09-8F61-48F5-9CB7-76A278991415}" name="D6" dataDxfId="853">
      <calculatedColumnFormula>IF($B$2="(Todas)",COUNTIF(BASE[CODCIE1010],GUIA_NACIONAL_2022_1106128143146150153156[[#This Row],[CIE-10]]),COUNTIFS(BASE[Cod.Establecimiento],$B$2,BASE[CODCIE1010],GUIA_NACIONAL_2022_1106128143146150153156[[#This Row],[CIE-10]]))</calculatedColumnFormula>
    </tableColumn>
    <tableColumn id="8" xr3:uid="{D9154E18-0C2C-4379-A25E-8E470977CEC8}" name="TOT" dataDxfId="852" dataCellStyle="40% - Énfasis6">
      <calculatedColumnFormula>SUM(GUIA_NACIONAL_2022_1106128143146150153156[[#This Row],[D1]:[D6]])</calculatedColumnFormula>
    </tableColumn>
  </tableColumns>
  <tableStyleInfo name="TableStyleLight1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9A3311F5-B88A-4696-8EE7-2F83E195A6BB}" name="GUIA_NACIONAL_2022_1106128143146150153156145" displayName="GUIA_NACIONAL_2022_1106128143146150153156145" ref="V74:AC75" totalsRowShown="0" headerRowDxfId="851">
  <autoFilter ref="V74:AC75" xr:uid="{9A3311F5-B88A-4696-8EE7-2F83E195A6B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B50B92DC-AC48-480D-9B1C-D71BB97CD0BE}" name="CIE-10" dataCellStyle="20% - Énfasis4"/>
    <tableColumn id="2" xr3:uid="{4B4C5725-FF21-4B72-BA88-58562E3C3C94}" name="D1" dataDxfId="850">
      <calculatedColumnFormula>IF($B$2="(Todas)",COUNTIF(BASE[CODCIE10],GUIA_NACIONAL_2022_1106128143146150153156145[[#This Row],[CIE-10]]),COUNTIFS(BASE[Cod.Establecimiento],$B$2,BASE[CODCIE10],GUIA_NACIONAL_2022_1106128143146150153156145[[#This Row],[CIE-10]]))</calculatedColumnFormula>
    </tableColumn>
    <tableColumn id="3" xr3:uid="{CF21A445-6B46-4D39-8737-5F4E5E0423A6}" name="D2" dataDxfId="849">
      <calculatedColumnFormula>IF($B$2="(Todas)",COUNTIF(BASE[CODCIE102],GUIA_NACIONAL_2022_1106128143146150153156145[[#This Row],[CIE-10]]),COUNTIFS(BASE[Cod.Establecimiento],$B$2,BASE[CODCIE102],GUIA_NACIONAL_2022_1106128143146150153156145[[#This Row],[CIE-10]]))</calculatedColumnFormula>
    </tableColumn>
    <tableColumn id="4" xr3:uid="{18C7DBAD-C09F-4703-9B19-7BE3862BA2A2}" name="D3" dataDxfId="848">
      <calculatedColumnFormula>IF($B$2="(Todas)",COUNTIF(BASE[CODCIE104],GUIA_NACIONAL_2022_1106128143146150153156145[[#This Row],[CIE-10]]),COUNTIFS(BASE[Cod.Establecimiento],$B$2,BASE[CODCIE104],GUIA_NACIONAL_2022_1106128143146150153156145[[#This Row],[CIE-10]]))</calculatedColumnFormula>
    </tableColumn>
    <tableColumn id="5" xr3:uid="{D4C18411-28B3-441A-BFBB-4AD6D9CBE7CD}" name="D4" dataDxfId="847">
      <calculatedColumnFormula>IF($B$2="(Todas)",COUNTIF(BASE[CODCIE106],GUIA_NACIONAL_2022_1106128143146150153156145[[#This Row],[CIE-10]]),COUNTIFS(BASE[Cod.Establecimiento],$B$2,BASE[CODCIE106],GUIA_NACIONAL_2022_1106128143146150153156145[[#This Row],[CIE-10]]))</calculatedColumnFormula>
    </tableColumn>
    <tableColumn id="6" xr3:uid="{0D8912E2-BEC8-4BF7-BBB9-B4236811E388}" name="D5" dataDxfId="846">
      <calculatedColumnFormula>IF($B$2="(Todas)",COUNTIF(BASE[CODCIE108],GUIA_NACIONAL_2022_1106128143146150153156145[[#This Row],[CIE-10]]),COUNTIFS(BASE[Cod.Establecimiento],$B$2,BASE[CODCIE108],GUIA_NACIONAL_2022_1106128143146150153156145[[#This Row],[CIE-10]]))</calculatedColumnFormula>
    </tableColumn>
    <tableColumn id="7" xr3:uid="{DBFC5646-5F05-4F53-A08C-EFD2204FBF52}" name="D6" dataDxfId="845">
      <calculatedColumnFormula>IF($B$2="(Todas)",COUNTIF(BASE[CODCIE1010],GUIA_NACIONAL_2022_1106128143146150153156145[[#This Row],[CIE-10]]),COUNTIFS(BASE[Cod.Establecimiento],$B$2,BASE[CODCIE1010],GUIA_NACIONAL_2022_1106128143146150153156145[[#This Row],[CIE-10]]))</calculatedColumnFormula>
    </tableColumn>
    <tableColumn id="8" xr3:uid="{7811A943-956D-4481-B2B6-76A8BC63BA1D}" name="TOT" dataDxfId="844" dataCellStyle="40% - Énfasis6">
      <calculatedColumnFormula>SUM(GUIA_NACIONAL_2022_1106128143146150153156145[[#This Row],[D1]:[D6]])</calculatedColumnFormula>
    </tableColumn>
  </tableColumns>
  <tableStyleInfo name="TableStyleLight1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EBF2E81E-ABA7-4FCD-B02D-2245102E7B93}" name="GUIA_NACIONAL_2022_1106128143146150153156145157" displayName="GUIA_NACIONAL_2022_1106128143146150153156145157" ref="V77:AC78" totalsRowShown="0" headerRowDxfId="843">
  <autoFilter ref="V77:AC78" xr:uid="{EBF2E81E-ABA7-4FCD-B02D-2245102E7B9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26CC4D41-3FE8-48FF-8807-E8EFD078ECBF}" name="CIE-10" dataCellStyle="20% - Énfasis4"/>
    <tableColumn id="2" xr3:uid="{B6EB5BDA-BF80-47BC-91E6-39BE0002F8F7}" name="D1" dataDxfId="842">
      <calculatedColumnFormula>IF($B$2="(Todas)",COUNTIF(BASE[CODCIE10],GUIA_NACIONAL_2022_1106128143146150153156145157[[#This Row],[CIE-10]]),COUNTIFS(BASE[Cod.Establecimiento],$B$2,BASE[CODCIE10],GUIA_NACIONAL_2022_1106128143146150153156145157[[#This Row],[CIE-10]]))</calculatedColumnFormula>
    </tableColumn>
    <tableColumn id="3" xr3:uid="{0DDC2216-6D13-4F7E-BF4A-AD0CFA53B548}" name="D2" dataDxfId="841">
      <calculatedColumnFormula>IF($B$2="(Todas)",COUNTIF(BASE[CODCIE102],GUIA_NACIONAL_2022_1106128143146150153156145157[[#This Row],[CIE-10]]),COUNTIFS(BASE[Cod.Establecimiento],$B$2,BASE[CODCIE102],GUIA_NACIONAL_2022_1106128143146150153156145157[[#This Row],[CIE-10]]))</calculatedColumnFormula>
    </tableColumn>
    <tableColumn id="4" xr3:uid="{8C7A8699-D78B-48AB-9C00-317E8AC75FCE}" name="D3" dataDxfId="840">
      <calculatedColumnFormula>IF($B$2="(Todas)",COUNTIF(BASE[CODCIE104],GUIA_NACIONAL_2022_1106128143146150153156145157[[#This Row],[CIE-10]]),COUNTIFS(BASE[Cod.Establecimiento],$B$2,BASE[CODCIE104],GUIA_NACIONAL_2022_1106128143146150153156145157[[#This Row],[CIE-10]]))</calculatedColumnFormula>
    </tableColumn>
    <tableColumn id="5" xr3:uid="{91B40ED8-93EB-4F43-900D-F49D905A9C80}" name="D4" dataDxfId="839">
      <calculatedColumnFormula>IF($B$2="(Todas)",COUNTIF(BASE[CODCIE106],GUIA_NACIONAL_2022_1106128143146150153156145157[[#This Row],[CIE-10]]),COUNTIFS(BASE[Cod.Establecimiento],$B$2,BASE[CODCIE106],GUIA_NACIONAL_2022_1106128143146150153156145157[[#This Row],[CIE-10]]))</calculatedColumnFormula>
    </tableColumn>
    <tableColumn id="6" xr3:uid="{2EBAF2BD-2836-4418-B93D-D17EC47B2C3C}" name="D5" dataDxfId="838">
      <calculatedColumnFormula>IF($B$2="(Todas)",COUNTIF(BASE[CODCIE108],GUIA_NACIONAL_2022_1106128143146150153156145157[[#This Row],[CIE-10]]),COUNTIFS(BASE[Cod.Establecimiento],$B$2,BASE[CODCIE108],GUIA_NACIONAL_2022_1106128143146150153156145157[[#This Row],[CIE-10]]))</calculatedColumnFormula>
    </tableColumn>
    <tableColumn id="7" xr3:uid="{56519FAC-329B-4F01-9907-7C0B0642EEDF}" name="D6" dataDxfId="837">
      <calculatedColumnFormula>IF($B$2="(Todas)",COUNTIF(BASE[CODCIE1010],GUIA_NACIONAL_2022_1106128143146150153156145157[[#This Row],[CIE-10]]),COUNTIFS(BASE[Cod.Establecimiento],$B$2,BASE[CODCIE1010],GUIA_NACIONAL_2022_1106128143146150153156145157[[#This Row],[CIE-10]]))</calculatedColumnFormula>
    </tableColumn>
    <tableColumn id="8" xr3:uid="{785C05C4-EC6F-4C3D-9E19-07A92B4A7207}" name="TOT" dataDxfId="836" dataCellStyle="40% - Énfasis6">
      <calculatedColumnFormula>SUM(GUIA_NACIONAL_2022_1106128143146150153156145157[[#This Row],[D1]:[D6]])</calculatedColumnFormula>
    </tableColumn>
  </tableColumns>
  <tableStyleInfo name="TableStyleLight1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DC3FF979-1EAF-45C7-8881-FB8658F36E19}" name="GUIA_NACIONAL_2022_1106128143146150153156158" displayName="GUIA_NACIONAL_2022_1106128143146150153156158" ref="V80:AC81" totalsRowShown="0" headerRowDxfId="835">
  <autoFilter ref="V80:AC81" xr:uid="{DC3FF979-1EAF-45C7-8881-FB8658F36E1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B286F3EB-81D9-4929-8435-066F6DC2B9C5}" name="CIE-10" dataCellStyle="20% - Énfasis4"/>
    <tableColumn id="2" xr3:uid="{701A4383-8BDF-4669-8473-B70C9D6C677E}" name="D1" dataDxfId="834">
      <calculatedColumnFormula>IF($B$2="(Todas)",COUNTIF(BASE[CODCIE10],GUIA_NACIONAL_2022_1106128143146150153156158[[#This Row],[CIE-10]]),COUNTIFS(BASE[Cod.Establecimiento],$B$2,BASE[CODCIE10],GUIA_NACIONAL_2022_1106128143146150153156158[[#This Row],[CIE-10]]))</calculatedColumnFormula>
    </tableColumn>
    <tableColumn id="3" xr3:uid="{0A82428C-0AED-4D75-BC2D-7BECB1A58494}" name="D2" dataDxfId="833">
      <calculatedColumnFormula>IF($B$2="(Todas)",COUNTIF(BASE[CODCIE102],GUIA_NACIONAL_2022_1106128143146150153156158[[#This Row],[CIE-10]]),COUNTIFS(BASE[Cod.Establecimiento],$B$2,BASE[CODCIE102],GUIA_NACIONAL_2022_1106128143146150153156158[[#This Row],[CIE-10]]))</calculatedColumnFormula>
    </tableColumn>
    <tableColumn id="4" xr3:uid="{FC061CAD-86CA-4FE0-8AE6-46D45F701CA9}" name="D3" dataDxfId="832">
      <calculatedColumnFormula>IF($B$2="(Todas)",COUNTIF(BASE[CODCIE104],GUIA_NACIONAL_2022_1106128143146150153156158[[#This Row],[CIE-10]]),COUNTIFS(BASE[Cod.Establecimiento],$B$2,BASE[CODCIE104],GUIA_NACIONAL_2022_1106128143146150153156158[[#This Row],[CIE-10]]))</calculatedColumnFormula>
    </tableColumn>
    <tableColumn id="5" xr3:uid="{58F3F16B-653E-44E7-AA8A-995CA5D160E2}" name="D4" dataDxfId="831">
      <calculatedColumnFormula>IF($B$2="(Todas)",COUNTIF(BASE[CODCIE106],GUIA_NACIONAL_2022_1106128143146150153156158[[#This Row],[CIE-10]]),COUNTIFS(BASE[Cod.Establecimiento],$B$2,BASE[CODCIE106],GUIA_NACIONAL_2022_1106128143146150153156158[[#This Row],[CIE-10]]))</calculatedColumnFormula>
    </tableColumn>
    <tableColumn id="6" xr3:uid="{516F9CCF-5CB6-48C2-9AC2-B417133323CF}" name="D5" dataDxfId="830">
      <calculatedColumnFormula>IF($B$2="(Todas)",COUNTIF(BASE[CODCIE108],GUIA_NACIONAL_2022_1106128143146150153156158[[#This Row],[CIE-10]]),COUNTIFS(BASE[Cod.Establecimiento],$B$2,BASE[CODCIE108],GUIA_NACIONAL_2022_1106128143146150153156158[[#This Row],[CIE-10]]))</calculatedColumnFormula>
    </tableColumn>
    <tableColumn id="7" xr3:uid="{698D8A0B-FBF7-40E0-991C-ECBDD48FAF80}" name="D6" dataDxfId="829">
      <calculatedColumnFormula>IF($B$2="(Todas)",COUNTIF(BASE[CODCIE1010],GUIA_NACIONAL_2022_1106128143146150153156158[[#This Row],[CIE-10]]),COUNTIFS(BASE[Cod.Establecimiento],$B$2,BASE[CODCIE1010],GUIA_NACIONAL_2022_1106128143146150153156158[[#This Row],[CIE-10]]))</calculatedColumnFormula>
    </tableColumn>
    <tableColumn id="8" xr3:uid="{8472D866-27CA-43F5-94E2-161B020BCA56}" name="TOT" dataDxfId="828" dataCellStyle="40% - Énfasis6">
      <calculatedColumnFormula>SUM(GUIA_NACIONAL_2022_1106128143146150153156158[[#This Row],[D1]:[D6]])</calculatedColumnFormula>
    </tableColumn>
  </tableColumns>
  <tableStyleInfo name="TableStyleLight1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007784A2-BF05-4437-B307-F2B9464F5D06}" name="GUIA_NACIONAL_2022_1106128143146150152154159" displayName="GUIA_NACIONAL_2022_1106128143146150152154159" ref="V84:AC92" totalsRowShown="0" headerRowDxfId="827">
  <autoFilter ref="V84:AC92" xr:uid="{007784A2-BF05-4437-B307-F2B9464F5D0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BBBECB16-E13A-4366-90CE-96AE9E31623A}" name="CIE-10" dataCellStyle="20% - Énfasis4"/>
    <tableColumn id="2" xr3:uid="{F446251E-33BD-4495-BEA0-12CC52ACE8C6}" name="D1" dataDxfId="826">
      <calculatedColumnFormula>IF($B$2="(Todas)",COUNTIF(BASE[CODCIE10],GUIA_NACIONAL_2022_1106128143146150152154159[[#This Row],[CIE-10]]),COUNTIFS(BASE[Cod.Establecimiento],$B$2,BASE[CODCIE10],GUIA_NACIONAL_2022_1106128143146150152154159[[#This Row],[CIE-10]]))</calculatedColumnFormula>
    </tableColumn>
    <tableColumn id="3" xr3:uid="{21C5427C-02AE-449B-8C5F-1B54C45706F2}" name="D2" dataDxfId="825">
      <calculatedColumnFormula>IF($B$2="(Todas)",COUNTIF(BASE[CODCIE102],GUIA_NACIONAL_2022_1106128143146150152154159[[#This Row],[CIE-10]]),COUNTIFS(BASE[Cod.Establecimiento],$B$2,BASE[CODCIE102],GUIA_NACIONAL_2022_1106128143146150152154159[[#This Row],[CIE-10]]))</calculatedColumnFormula>
    </tableColumn>
    <tableColumn id="4" xr3:uid="{7743AAB0-40F7-4A79-82C0-998B07B479B4}" name="D3" dataDxfId="824">
      <calculatedColumnFormula>IF($B$2="(Todas)",COUNTIF(BASE[CODCIE104],GUIA_NACIONAL_2022_1106128143146150152154159[[#This Row],[CIE-10]]),COUNTIFS(BASE[Cod.Establecimiento],$B$2,BASE[CODCIE104],GUIA_NACIONAL_2022_1106128143146150152154159[[#This Row],[CIE-10]]))</calculatedColumnFormula>
    </tableColumn>
    <tableColumn id="5" xr3:uid="{1204D249-0FB7-42AB-A07F-C168240B8B00}" name="D4" dataDxfId="823">
      <calculatedColumnFormula>IF($B$2="(Todas)",COUNTIF(BASE[CODCIE106],GUIA_NACIONAL_2022_1106128143146150152154159[[#This Row],[CIE-10]]),COUNTIFS(BASE[Cod.Establecimiento],$B$2,BASE[CODCIE106],GUIA_NACIONAL_2022_1106128143146150152154159[[#This Row],[CIE-10]]))</calculatedColumnFormula>
    </tableColumn>
    <tableColumn id="6" xr3:uid="{73EB7043-46C1-4F84-8FFD-46B6B43F6E52}" name="D5" dataDxfId="822">
      <calculatedColumnFormula>IF($B$2="(Todas)",COUNTIF(BASE[CODCIE108],GUIA_NACIONAL_2022_1106128143146150152154159[[#This Row],[CIE-10]]),COUNTIFS(BASE[Cod.Establecimiento],$B$2,BASE[CODCIE108],GUIA_NACIONAL_2022_1106128143146150152154159[[#This Row],[CIE-10]]))</calculatedColumnFormula>
    </tableColumn>
    <tableColumn id="7" xr3:uid="{6E107AC9-737D-4BE5-ACF0-40075010BFB9}" name="D6" dataDxfId="821">
      <calculatedColumnFormula>IF($B$2="(Todas)",COUNTIF(BASE[CODCIE1010],GUIA_NACIONAL_2022_1106128143146150152154159[[#This Row],[CIE-10]]),COUNTIFS(BASE[Cod.Establecimiento],$B$2,BASE[CODCIE1010],GUIA_NACIONAL_2022_1106128143146150152154159[[#This Row],[CIE-10]]))</calculatedColumnFormula>
    </tableColumn>
    <tableColumn id="8" xr3:uid="{453E61D6-F586-484E-B15E-161E30847D39}" name="TOT" dataDxfId="820" dataCellStyle="40% - Énfasis6">
      <calculatedColumnFormula>SUM(GUIA_NACIONAL_2022_1106128143146150152154159[[#This Row],[D1]:[D6]])</calculatedColumnFormula>
    </tableColumn>
  </tableColumns>
  <tableStyleInfo name="TableStyleLight1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9B58A8CD-D87B-4062-AC18-519EA635AB5E}" name="GUIA_NACIONAL_2022_1106128143146150152154155160" displayName="GUIA_NACIONAL_2022_1106128143146150152154155160" ref="V94:AC95" totalsRowShown="0" headerRowDxfId="819">
  <autoFilter ref="V94:AC95" xr:uid="{9B58A8CD-D87B-4062-AC18-519EA635AB5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3D7650C1-91B8-466F-A180-9EA8DDCB9DB9}" name="CIE-10" dataCellStyle="20% - Énfasis4"/>
    <tableColumn id="2" xr3:uid="{94C1A26B-4BDE-4C40-BA87-007D260D5E96}" name="D1" dataDxfId="818">
      <calculatedColumnFormula>IF($B$2="(Todas)",COUNTIF(BASE[CODCIE10],GUIA_NACIONAL_2022_1106128143146150152154155160[[#This Row],[CIE-10]]),COUNTIFS(BASE[Cod.Establecimiento],$B$2,BASE[CODCIE10],GUIA_NACIONAL_2022_1106128143146150152154155160[[#This Row],[CIE-10]]))</calculatedColumnFormula>
    </tableColumn>
    <tableColumn id="3" xr3:uid="{D2E0F059-9F4C-4915-9077-AB45A33248CD}" name="D2" dataDxfId="817">
      <calculatedColumnFormula>IF($B$2="(Todas)",COUNTIF(BASE[CODCIE102],GUIA_NACIONAL_2022_1106128143146150152154155160[[#This Row],[CIE-10]]),COUNTIFS(BASE[Cod.Establecimiento],$B$2,BASE[CODCIE102],GUIA_NACIONAL_2022_1106128143146150152154155160[[#This Row],[CIE-10]]))</calculatedColumnFormula>
    </tableColumn>
    <tableColumn id="4" xr3:uid="{B1EA7FEA-1AD9-4CBE-BB48-E436A7A4205C}" name="D3" dataDxfId="816">
      <calculatedColumnFormula>IF($B$2="(Todas)",COUNTIF(BASE[CODCIE104],GUIA_NACIONAL_2022_1106128143146150152154155160[[#This Row],[CIE-10]]),COUNTIFS(BASE[Cod.Establecimiento],$B$2,BASE[CODCIE104],GUIA_NACIONAL_2022_1106128143146150152154155160[[#This Row],[CIE-10]]))</calculatedColumnFormula>
    </tableColumn>
    <tableColumn id="5" xr3:uid="{0A5BD24C-7F27-428B-AF84-52C49AF33F6A}" name="D4" dataDxfId="815">
      <calculatedColumnFormula>IF($B$2="(Todas)",COUNTIF(BASE[CODCIE106],GUIA_NACIONAL_2022_1106128143146150152154155160[[#This Row],[CIE-10]]),COUNTIFS(BASE[Cod.Establecimiento],$B$2,BASE[CODCIE106],GUIA_NACIONAL_2022_1106128143146150152154155160[[#This Row],[CIE-10]]))</calculatedColumnFormula>
    </tableColumn>
    <tableColumn id="6" xr3:uid="{F15C4B57-7B6A-41BD-8174-CA5A506E57BB}" name="D5" dataDxfId="814">
      <calculatedColumnFormula>IF($B$2="(Todas)",COUNTIF(BASE[CODCIE108],GUIA_NACIONAL_2022_1106128143146150152154155160[[#This Row],[CIE-10]]),COUNTIFS(BASE[Cod.Establecimiento],$B$2,BASE[CODCIE108],GUIA_NACIONAL_2022_1106128143146150152154155160[[#This Row],[CIE-10]]))</calculatedColumnFormula>
    </tableColumn>
    <tableColumn id="7" xr3:uid="{27D6719C-22CE-4D23-A792-499F979E6AFD}" name="D6" dataDxfId="813">
      <calculatedColumnFormula>IF($B$2="(Todas)",COUNTIF(BASE[CODCIE1010],GUIA_NACIONAL_2022_1106128143146150152154155160[[#This Row],[CIE-10]]),COUNTIFS(BASE[Cod.Establecimiento],$B$2,BASE[CODCIE1010],GUIA_NACIONAL_2022_1106128143146150152154155160[[#This Row],[CIE-10]]))</calculatedColumnFormula>
    </tableColumn>
    <tableColumn id="8" xr3:uid="{C47848E0-E636-4E86-8256-CE7345551BE1}" name="TOT" dataDxfId="812" dataCellStyle="40% - Énfasis6">
      <calculatedColumnFormula>SUM(GUIA_NACIONAL_2022_1106128143146150152154155160[[#This Row],[D1]:[D6]])</calculatedColumnFormula>
    </tableColumn>
  </tableColumns>
  <tableStyleInfo name="TableStyleLight1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E27EDA90-69A0-4311-A78D-6C19E4E584EF}" name="GUIA_NACIONAL_2022_1106128143146150153156161" displayName="GUIA_NACIONAL_2022_1106128143146150153156161" ref="V97:AC98" totalsRowShown="0" headerRowDxfId="811">
  <autoFilter ref="V97:AC98" xr:uid="{E27EDA90-69A0-4311-A78D-6C19E4E584E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802ED17C-9561-4248-81BC-FAE915DDF882}" name="CIE-10" dataCellStyle="20% - Énfasis4"/>
    <tableColumn id="2" xr3:uid="{8ECC09C2-6DAF-409B-A9C7-4EA73CA16EF1}" name="D1" dataDxfId="810">
      <calculatedColumnFormula>IF($B$2="(Todas)",COUNTIF(BASE[CODCIE10],GUIA_NACIONAL_2022_1106128143146150153156161[[#This Row],[CIE-10]]),COUNTIFS(BASE[Cod.Establecimiento],$B$2,BASE[CODCIE10],GUIA_NACIONAL_2022_1106128143146150153156161[[#This Row],[CIE-10]]))</calculatedColumnFormula>
    </tableColumn>
    <tableColumn id="3" xr3:uid="{5ED436A3-FF84-4D89-BE44-637F29F4AE5E}" name="D2" dataDxfId="809">
      <calculatedColumnFormula>IF($B$2="(Todas)",COUNTIF(BASE[CODCIE102],GUIA_NACIONAL_2022_1106128143146150153156161[[#This Row],[CIE-10]]),COUNTIFS(BASE[Cod.Establecimiento],$B$2,BASE[CODCIE102],GUIA_NACIONAL_2022_1106128143146150153156161[[#This Row],[CIE-10]]))</calculatedColumnFormula>
    </tableColumn>
    <tableColumn id="4" xr3:uid="{38B9C516-9034-4960-AAFD-6F7B2C8E6438}" name="D3" dataDxfId="808">
      <calculatedColumnFormula>IF($B$2="(Todas)",COUNTIF(BASE[CODCIE104],GUIA_NACIONAL_2022_1106128143146150153156161[[#This Row],[CIE-10]]),COUNTIFS(BASE[Cod.Establecimiento],$B$2,BASE[CODCIE104],GUIA_NACIONAL_2022_1106128143146150153156161[[#This Row],[CIE-10]]))</calculatedColumnFormula>
    </tableColumn>
    <tableColumn id="5" xr3:uid="{09E12A7D-FD4B-4D1C-9C94-B26DECE97630}" name="D4" dataDxfId="807">
      <calculatedColumnFormula>IF($B$2="(Todas)",COUNTIF(BASE[CODCIE106],GUIA_NACIONAL_2022_1106128143146150153156161[[#This Row],[CIE-10]]),COUNTIFS(BASE[Cod.Establecimiento],$B$2,BASE[CODCIE106],GUIA_NACIONAL_2022_1106128143146150153156161[[#This Row],[CIE-10]]))</calculatedColumnFormula>
    </tableColumn>
    <tableColumn id="6" xr3:uid="{DCB84073-C78D-41D3-9A9A-3DFF79BCFDD7}" name="D5" dataDxfId="806">
      <calculatedColumnFormula>IF($B$2="(Todas)",COUNTIF(BASE[CODCIE108],GUIA_NACIONAL_2022_1106128143146150153156161[[#This Row],[CIE-10]]),COUNTIFS(BASE[Cod.Establecimiento],$B$2,BASE[CODCIE108],GUIA_NACIONAL_2022_1106128143146150153156161[[#This Row],[CIE-10]]))</calculatedColumnFormula>
    </tableColumn>
    <tableColumn id="7" xr3:uid="{6EC1F26A-EAEF-4A8B-B7C3-2C7D3C0D06E8}" name="D6" dataDxfId="805">
      <calculatedColumnFormula>IF($B$2="(Todas)",COUNTIF(BASE[CODCIE1010],GUIA_NACIONAL_2022_1106128143146150153156161[[#This Row],[CIE-10]]),COUNTIFS(BASE[Cod.Establecimiento],$B$2,BASE[CODCIE1010],GUIA_NACIONAL_2022_1106128143146150153156161[[#This Row],[CIE-10]]))</calculatedColumnFormula>
    </tableColumn>
    <tableColumn id="8" xr3:uid="{6DCF8B4F-CBB9-4EA7-A804-DC89E1C0D56A}" name="TOT" dataDxfId="804" dataCellStyle="40% - Énfasis6">
      <calculatedColumnFormula>SUM(GUIA_NACIONAL_2022_1106128143146150153156161[[#This Row],[D1]:[D6]])</calculatedColumnFormula>
    </tableColumn>
  </tableColumns>
  <tableStyleInfo name="TableStyleLight1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4201E9AF-6A41-4568-A7AD-5E7706F85F9F}" name="GUIA_NACIONAL_2022_1106128143146150163" displayName="GUIA_NACIONAL_2022_1106128143146150163" ref="V101:AC103" totalsRowShown="0" headerRowDxfId="803">
  <autoFilter ref="V101:AC103" xr:uid="{4201E9AF-6A41-4568-A7AD-5E7706F85F9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F2D6FFFA-3A53-4D3B-9DFB-F7E0E40500D8}" name="CIE-10" dataCellStyle="20% - Énfasis4"/>
    <tableColumn id="2" xr3:uid="{EE357A23-D891-47A1-8CD4-B3F191778077}" name="D1" dataDxfId="802">
      <calculatedColumnFormula>IF($B$2="(Todas)",COUNTIF(BASE[CODCIE10],GUIA_NACIONAL_2022_1106128143146150163[[#This Row],[CIE-10]]),COUNTIFS(BASE[Cod.Establecimiento],$B$2,BASE[CODCIE10],GUIA_NACIONAL_2022_1106128143146150163[[#This Row],[CIE-10]]))</calculatedColumnFormula>
    </tableColumn>
    <tableColumn id="3" xr3:uid="{C3FB6468-27D4-43AF-96BD-CA47FC173E38}" name="D2" dataDxfId="801">
      <calculatedColumnFormula>IF($B$2="(Todas)",COUNTIF(BASE[CODCIE102],GUIA_NACIONAL_2022_1106128143146150163[[#This Row],[CIE-10]]),COUNTIFS(BASE[Cod.Establecimiento],$B$2,BASE[CODCIE102],GUIA_NACIONAL_2022_1106128143146150163[[#This Row],[CIE-10]]))</calculatedColumnFormula>
    </tableColumn>
    <tableColumn id="4" xr3:uid="{9176A7DE-F6E2-4D8B-A9B8-735939359911}" name="D3" dataDxfId="800">
      <calculatedColumnFormula>IF($B$2="(Todas)",COUNTIF(BASE[CODCIE104],GUIA_NACIONAL_2022_1106128143146150163[[#This Row],[CIE-10]]),COUNTIFS(BASE[Cod.Establecimiento],$B$2,BASE[CODCIE104],GUIA_NACIONAL_2022_1106128143146150163[[#This Row],[CIE-10]]))</calculatedColumnFormula>
    </tableColumn>
    <tableColumn id="5" xr3:uid="{0DE93FA5-A8FC-4384-A3F8-E8E85B8C739C}" name="D4" dataDxfId="799">
      <calculatedColumnFormula>IF($B$2="(Todas)",COUNTIF(BASE[CODCIE106],GUIA_NACIONAL_2022_1106128143146150163[[#This Row],[CIE-10]]),COUNTIFS(BASE[Cod.Establecimiento],$B$2,BASE[CODCIE106],GUIA_NACIONAL_2022_1106128143146150163[[#This Row],[CIE-10]]))</calculatedColumnFormula>
    </tableColumn>
    <tableColumn id="6" xr3:uid="{A3C236F1-EE15-4173-B1C9-1547A2B19A2A}" name="D5" dataDxfId="798">
      <calculatedColumnFormula>IF($B$2="(Todas)",COUNTIF(BASE[CODCIE108],GUIA_NACIONAL_2022_1106128143146150163[[#This Row],[CIE-10]]),COUNTIFS(BASE[Cod.Establecimiento],$B$2,BASE[CODCIE108],GUIA_NACIONAL_2022_1106128143146150163[[#This Row],[CIE-10]]))</calculatedColumnFormula>
    </tableColumn>
    <tableColumn id="7" xr3:uid="{C273DED3-08ED-4643-95DF-B98E606D6D88}" name="D6" dataDxfId="797">
      <calculatedColumnFormula>IF($B$2="(Todas)",COUNTIF(BASE[CODCIE1010],GUIA_NACIONAL_2022_1106128143146150163[[#This Row],[CIE-10]]),COUNTIFS(BASE[Cod.Establecimiento],$B$2,BASE[CODCIE1010],GUIA_NACIONAL_2022_1106128143146150163[[#This Row],[CIE-10]]))</calculatedColumnFormula>
    </tableColumn>
    <tableColumn id="8" xr3:uid="{322D8EC4-9C02-4DE3-AF00-A2ECD70077CD}" name="TOT" dataDxfId="796" dataCellStyle="40% - Énfasis6">
      <calculatedColumnFormula>SUM(GUIA_NACIONAL_2022_1106128143146150163[[#This Row],[D1]:[D6]])</calculatedColumnFormula>
    </tableColumn>
  </tableColumns>
  <tableStyleInfo name="TableStyleLight1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138FF0A9-AB02-4C28-943B-1BB574ADF7D6}" name="GUIA_NACIONAL_2022_1106128143146150163164" displayName="GUIA_NACIONAL_2022_1106128143146150163164" ref="V105:AC106" totalsRowShown="0" headerRowDxfId="795">
  <autoFilter ref="V105:AC106" xr:uid="{138FF0A9-AB02-4C28-943B-1BB574ADF7D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C19A1706-A2FB-4C55-AFEF-A25DC00EB774}" name="CIE-10" dataCellStyle="20% - Énfasis4"/>
    <tableColumn id="2" xr3:uid="{6784A296-1BAA-491C-B872-877FBA86488D}" name="D1" dataDxfId="794">
      <calculatedColumnFormula>IF($B$2="(Todas)",COUNTIF(BASE[CODCIE10],GUIA_NACIONAL_2022_1106128143146150163164[[#This Row],[CIE-10]]),COUNTIFS(BASE[Cod.Establecimiento],$B$2,BASE[CODCIE10],GUIA_NACIONAL_2022_1106128143146150163164[[#This Row],[CIE-10]]))</calculatedColumnFormula>
    </tableColumn>
    <tableColumn id="3" xr3:uid="{46881456-B511-492F-BFBA-E7ACE4CFE8E6}" name="D2" dataDxfId="793">
      <calculatedColumnFormula>IF($B$2="(Todas)",COUNTIF(BASE[CODCIE102],GUIA_NACIONAL_2022_1106128143146150163164[[#This Row],[CIE-10]]),COUNTIFS(BASE[Cod.Establecimiento],$B$2,BASE[CODCIE102],GUIA_NACIONAL_2022_1106128143146150163164[[#This Row],[CIE-10]]))</calculatedColumnFormula>
    </tableColumn>
    <tableColumn id="4" xr3:uid="{8C8B90A0-6960-497C-98A7-816316C80D90}" name="D3" dataDxfId="792">
      <calculatedColumnFormula>IF($B$2="(Todas)",COUNTIF(BASE[CODCIE104],GUIA_NACIONAL_2022_1106128143146150163164[[#This Row],[CIE-10]]),COUNTIFS(BASE[Cod.Establecimiento],$B$2,BASE[CODCIE104],GUIA_NACIONAL_2022_1106128143146150163164[[#This Row],[CIE-10]]))</calculatedColumnFormula>
    </tableColumn>
    <tableColumn id="5" xr3:uid="{636C5CA2-A9AA-407B-8933-B4AF006A1D10}" name="D4" dataDxfId="791">
      <calculatedColumnFormula>IF($B$2="(Todas)",COUNTIF(BASE[CODCIE106],GUIA_NACIONAL_2022_1106128143146150163164[[#This Row],[CIE-10]]),COUNTIFS(BASE[Cod.Establecimiento],$B$2,BASE[CODCIE106],GUIA_NACIONAL_2022_1106128143146150163164[[#This Row],[CIE-10]]))</calculatedColumnFormula>
    </tableColumn>
    <tableColumn id="6" xr3:uid="{D50A5D6E-859A-430B-B7A7-48CE370DD5FA}" name="D5" dataDxfId="790">
      <calculatedColumnFormula>IF($B$2="(Todas)",COUNTIF(BASE[CODCIE108],GUIA_NACIONAL_2022_1106128143146150163164[[#This Row],[CIE-10]]),COUNTIFS(BASE[Cod.Establecimiento],$B$2,BASE[CODCIE108],GUIA_NACIONAL_2022_1106128143146150163164[[#This Row],[CIE-10]]))</calculatedColumnFormula>
    </tableColumn>
    <tableColumn id="7" xr3:uid="{D8DB004F-ECCA-4848-97DC-9060F585DEE1}" name="D6" dataDxfId="789">
      <calculatedColumnFormula>IF($B$2="(Todas)",COUNTIF(BASE[CODCIE1010],GUIA_NACIONAL_2022_1106128143146150163164[[#This Row],[CIE-10]]),COUNTIFS(BASE[Cod.Establecimiento],$B$2,BASE[CODCIE1010],GUIA_NACIONAL_2022_1106128143146150163164[[#This Row],[CIE-10]]))</calculatedColumnFormula>
    </tableColumn>
    <tableColumn id="8" xr3:uid="{3D891F1B-5BF1-4BD0-A933-472D4A2A0E73}" name="TOT" dataDxfId="788" dataCellStyle="40% - Énfasis6">
      <calculatedColumnFormula>SUM(GUIA_NACIONAL_2022_1106128143146150163164[[#This Row],[D1]:[D6]])</calculatedColumnFormula>
    </tableColumn>
  </tableColumns>
  <tableStyleInfo name="TableStyleLight1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C23ABE9E-5D82-48FE-8341-4F2C167DBDF3}" name="GUIA_NACIONAL_2022_1106128143146150163165" displayName="GUIA_NACIONAL_2022_1106128143146150163165" ref="V109:AC110" totalsRowShown="0" headerRowDxfId="787">
  <autoFilter ref="V109:AC110" xr:uid="{C23ABE9E-5D82-48FE-8341-4F2C167DBDF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3B62239F-0DB4-4E87-8694-EDF86FF30C9E}" name="CIE-10" dataCellStyle="20% - Énfasis4"/>
    <tableColumn id="2" xr3:uid="{6FE4065A-FAAD-40A4-814E-6E717B928FC8}" name="D1" dataDxfId="786">
      <calculatedColumnFormula>IF($B$2="(Todas)",COUNTIF(BASE[CODCIE10],GUIA_NACIONAL_2022_1106128143146150163165[[#This Row],[CIE-10]]),COUNTIFS(BASE[Cod.Establecimiento],$B$2,BASE[CODCIE10],GUIA_NACIONAL_2022_1106128143146150163165[[#This Row],[CIE-10]]))</calculatedColumnFormula>
    </tableColumn>
    <tableColumn id="3" xr3:uid="{70688E81-2CCF-41B9-BD3C-38500A59E14B}" name="D2" dataDxfId="785">
      <calculatedColumnFormula>IF($B$2="(Todas)",COUNTIF(BASE[CODCIE102],GUIA_NACIONAL_2022_1106128143146150163165[[#This Row],[CIE-10]]),COUNTIFS(BASE[Cod.Establecimiento],$B$2,BASE[CODCIE102],GUIA_NACIONAL_2022_1106128143146150163165[[#This Row],[CIE-10]]))</calculatedColumnFormula>
    </tableColumn>
    <tableColumn id="4" xr3:uid="{B62C6460-DF40-4A3C-924E-25910F803BDF}" name="D3" dataDxfId="784">
      <calculatedColumnFormula>IF($B$2="(Todas)",COUNTIF(BASE[CODCIE104],GUIA_NACIONAL_2022_1106128143146150163165[[#This Row],[CIE-10]]),COUNTIFS(BASE[Cod.Establecimiento],$B$2,BASE[CODCIE104],GUIA_NACIONAL_2022_1106128143146150163165[[#This Row],[CIE-10]]))</calculatedColumnFormula>
    </tableColumn>
    <tableColumn id="5" xr3:uid="{54220DD9-E004-4E58-9CC2-EFD7CA4CCB56}" name="D4" dataDxfId="783">
      <calculatedColumnFormula>IF($B$2="(Todas)",COUNTIF(BASE[CODCIE106],GUIA_NACIONAL_2022_1106128143146150163165[[#This Row],[CIE-10]]),COUNTIFS(BASE[Cod.Establecimiento],$B$2,BASE[CODCIE106],GUIA_NACIONAL_2022_1106128143146150163165[[#This Row],[CIE-10]]))</calculatedColumnFormula>
    </tableColumn>
    <tableColumn id="6" xr3:uid="{DA0B139C-2D66-424A-A01F-867ECB93C7B2}" name="D5" dataDxfId="782">
      <calculatedColumnFormula>IF($B$2="(Todas)",COUNTIF(BASE[CODCIE108],GUIA_NACIONAL_2022_1106128143146150163165[[#This Row],[CIE-10]]),COUNTIFS(BASE[Cod.Establecimiento],$B$2,BASE[CODCIE108],GUIA_NACIONAL_2022_1106128143146150163165[[#This Row],[CIE-10]]))</calculatedColumnFormula>
    </tableColumn>
    <tableColumn id="7" xr3:uid="{BFF633AE-FFF2-444C-9CBE-7B32505E38AE}" name="D6" dataDxfId="781">
      <calculatedColumnFormula>IF($B$2="(Todas)",COUNTIF(BASE[CODCIE1010],GUIA_NACIONAL_2022_1106128143146150163165[[#This Row],[CIE-10]]),COUNTIFS(BASE[Cod.Establecimiento],$B$2,BASE[CODCIE1010],GUIA_NACIONAL_2022_1106128143146150163165[[#This Row],[CIE-10]]))</calculatedColumnFormula>
    </tableColumn>
    <tableColumn id="8" xr3:uid="{4C7F7A80-D343-4DAD-B87D-59ECD10173D7}" name="TOT" dataDxfId="780" dataCellStyle="40% - Énfasis6">
      <calculatedColumnFormula>SUM(GUIA_NACIONAL_2022_1106128143146150163165[[#This Row],[D1]:[D6]])</calculatedColumnFormula>
    </tableColumn>
  </tableColumns>
  <tableStyleInfo name="TableStyleLight1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D5A43C0B-1881-473F-994B-D4DC3FC52095}" name="GUIA_NACIONAL_2022_1106128143146150163165166" displayName="GUIA_NACIONAL_2022_1106128143146150163165166" ref="V112:AC113" totalsRowShown="0" headerRowDxfId="779">
  <autoFilter ref="V112:AC113" xr:uid="{D5A43C0B-1881-473F-994B-D4DC3FC5209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C884F918-75F8-4401-9451-CEAA5998B1EE}" name="CIE-10" dataCellStyle="20% - Énfasis4"/>
    <tableColumn id="2" xr3:uid="{05F662CF-6188-4C7E-A565-A221B1E54B25}" name="D1" dataDxfId="778">
      <calculatedColumnFormula>IF($B$2="(Todas)",COUNTIF(BASE[CODCIE10],GUIA_NACIONAL_2022_1106128143146150163165166[[#This Row],[CIE-10]]),COUNTIFS(BASE[Cod.Establecimiento],$B$2,BASE[CODCIE10],GUIA_NACIONAL_2022_1106128143146150163165166[[#This Row],[CIE-10]]))</calculatedColumnFormula>
    </tableColumn>
    <tableColumn id="3" xr3:uid="{1C18A186-4FE2-4980-B1F1-7C37E44BBA25}" name="D2" dataDxfId="777">
      <calculatedColumnFormula>IF($B$2="(Todas)",COUNTIF(BASE[CODCIE102],GUIA_NACIONAL_2022_1106128143146150163165166[[#This Row],[CIE-10]]),COUNTIFS(BASE[Cod.Establecimiento],$B$2,BASE[CODCIE102],GUIA_NACIONAL_2022_1106128143146150163165166[[#This Row],[CIE-10]]))</calculatedColumnFormula>
    </tableColumn>
    <tableColumn id="4" xr3:uid="{B0040E5C-926C-4247-BF57-6516E133AC94}" name="D3" dataDxfId="776">
      <calculatedColumnFormula>IF($B$2="(Todas)",COUNTIF(BASE[CODCIE104],GUIA_NACIONAL_2022_1106128143146150163165166[[#This Row],[CIE-10]]),COUNTIFS(BASE[Cod.Establecimiento],$B$2,BASE[CODCIE104],GUIA_NACIONAL_2022_1106128143146150163165166[[#This Row],[CIE-10]]))</calculatedColumnFormula>
    </tableColumn>
    <tableColumn id="5" xr3:uid="{3122D998-FB6D-4598-B6D3-31A575E12F81}" name="D4" dataDxfId="775">
      <calculatedColumnFormula>IF($B$2="(Todas)",COUNTIF(BASE[CODCIE106],GUIA_NACIONAL_2022_1106128143146150163165166[[#This Row],[CIE-10]]),COUNTIFS(BASE[Cod.Establecimiento],$B$2,BASE[CODCIE106],GUIA_NACIONAL_2022_1106128143146150163165166[[#This Row],[CIE-10]]))</calculatedColumnFormula>
    </tableColumn>
    <tableColumn id="6" xr3:uid="{3DD9D351-96AC-409D-8AC8-37C735EA1371}" name="D5" dataDxfId="774">
      <calculatedColumnFormula>IF($B$2="(Todas)",COUNTIF(BASE[CODCIE108],GUIA_NACIONAL_2022_1106128143146150163165166[[#This Row],[CIE-10]]),COUNTIFS(BASE[Cod.Establecimiento],$B$2,BASE[CODCIE108],GUIA_NACIONAL_2022_1106128143146150163165166[[#This Row],[CIE-10]]))</calculatedColumnFormula>
    </tableColumn>
    <tableColumn id="7" xr3:uid="{82DD4EED-000D-4AA2-AB97-46B3320FCBEE}" name="D6" dataDxfId="773">
      <calculatedColumnFormula>IF($B$2="(Todas)",COUNTIF(BASE[CODCIE1010],GUIA_NACIONAL_2022_1106128143146150163165166[[#This Row],[CIE-10]]),COUNTIFS(BASE[Cod.Establecimiento],$B$2,BASE[CODCIE1010],GUIA_NACIONAL_2022_1106128143146150163165166[[#This Row],[CIE-10]]))</calculatedColumnFormula>
    </tableColumn>
    <tableColumn id="8" xr3:uid="{C415734D-C94A-4C1D-8E47-B27E080002AD}" name="TOT" dataDxfId="772" dataCellStyle="40% - Énfasis6">
      <calculatedColumnFormula>SUM(GUIA_NACIONAL_2022_1106128143146150163165166[[#This Row],[D1]:[D6]])</calculatedColumnFormula>
    </tableColumn>
  </tableColumns>
  <tableStyleInfo name="TableStyleLight1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250661F9-4E4E-4AC5-B5A7-C5DA01A3D7A3}" name="GUIA_NACIONAL_2022_1106128105167" displayName="GUIA_NACIONAL_2022_1106128105167" ref="AE7:AL9" totalsRowShown="0" headerRowDxfId="771">
  <autoFilter ref="AE7:AL9" xr:uid="{250661F9-4E4E-4AC5-B5A7-C5DA01A3D7A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A5A876B9-99BC-4337-B15B-B4E25E705C27}" name="CIE-10" dataCellStyle="20% - Énfasis4"/>
    <tableColumn id="2" xr3:uid="{1F4B07CA-25B0-4BFE-ACEB-A938359F44CD}" name="D1" dataDxfId="770">
      <calculatedColumnFormula>IF($B$2="(Todas)",COUNTIF(BASE[CODCIE10],GUIA_NACIONAL_2022_1106128105167[[#This Row],[CIE-10]]),COUNTIFS(BASE[Cod.Establecimiento],$B$2,BASE[CODCIE10],GUIA_NACIONAL_2022_1106128105167[[#This Row],[CIE-10]]))</calculatedColumnFormula>
    </tableColumn>
    <tableColumn id="3" xr3:uid="{A5C0C177-F05A-4DD2-B31C-A97DD0C6C6AB}" name="D2" dataDxfId="769">
      <calculatedColumnFormula>IF($B$2="(Todas)",COUNTIF(BASE[CODCIE102],GUIA_NACIONAL_2022_1106128105167[[#This Row],[CIE-10]]),COUNTIFS(BASE[Cod.Establecimiento],$B$2,BASE[CODCIE102],GUIA_NACIONAL_2022_1106128105167[[#This Row],[CIE-10]]))</calculatedColumnFormula>
    </tableColumn>
    <tableColumn id="4" xr3:uid="{B8535546-35F6-4BE9-856E-13312077ABEF}" name="D3" dataDxfId="768">
      <calculatedColumnFormula>IF($B$2="(Todas)",COUNTIF(BASE[CODCIE104],GUIA_NACIONAL_2022_1106128105167[[#This Row],[CIE-10]]),COUNTIFS(BASE[Cod.Establecimiento],$B$2,BASE[CODCIE104],GUIA_NACIONAL_2022_1106128105167[[#This Row],[CIE-10]]))</calculatedColumnFormula>
    </tableColumn>
    <tableColumn id="5" xr3:uid="{F236B74E-7496-42D0-B8A9-F02C3B3AAE12}" name="D4" dataDxfId="767">
      <calculatedColumnFormula>IF($B$2="(Todas)",COUNTIF(BASE[CODCIE106],GUIA_NACIONAL_2022_1106128105167[[#This Row],[CIE-10]]),COUNTIFS(BASE[Cod.Establecimiento],$B$2,BASE[CODCIE106],GUIA_NACIONAL_2022_1106128105167[[#This Row],[CIE-10]]))</calculatedColumnFormula>
    </tableColumn>
    <tableColumn id="6" xr3:uid="{27A7ACF5-9B9C-4389-B618-CA18ED122C8C}" name="D5" dataDxfId="766">
      <calculatedColumnFormula>IF($B$2="(Todas)",COUNTIF(BASE[CODCIE108],GUIA_NACIONAL_2022_1106128105167[[#This Row],[CIE-10]]),COUNTIFS(BASE[Cod.Establecimiento],$B$2,BASE[CODCIE108],GUIA_NACIONAL_2022_1106128105167[[#This Row],[CIE-10]]))</calculatedColumnFormula>
    </tableColumn>
    <tableColumn id="7" xr3:uid="{443774B0-10F8-4B7E-9D4B-E6857E53B41D}" name="D6" dataDxfId="765">
      <calculatedColumnFormula>IF($B$2="(Todas)",COUNTIF(BASE[CODCIE1010],GUIA_NACIONAL_2022_1106128105167[[#This Row],[CIE-10]]),COUNTIFS(BASE[Cod.Establecimiento],$B$2,BASE[CODCIE1010],GUIA_NACIONAL_2022_1106128105167[[#This Row],[CIE-10]]))</calculatedColumnFormula>
    </tableColumn>
    <tableColumn id="8" xr3:uid="{1CAE5108-209E-4716-8A94-0A6F0BD8B0C9}" name="TOT" dataDxfId="764" dataCellStyle="40% - Énfasis6">
      <calculatedColumnFormula>SUM(GUIA_NACIONAL_2022_1106128105167[[#This Row],[D1]:[D6]])</calculatedColumnFormula>
    </tableColumn>
  </tableColumns>
  <tableStyleInfo name="TableStyleLight1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DF89AF73-D1E3-4F53-8D72-DDE115AE2511}" name="GUIA_NACIONAL_2022_1106128105168" displayName="GUIA_NACIONAL_2022_1106128105168" ref="AE12:AL13" totalsRowShown="0" headerRowDxfId="763">
  <autoFilter ref="AE12:AL13" xr:uid="{DF89AF73-D1E3-4F53-8D72-DDE115AE251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3446D9EF-E2CC-477B-B6E1-9371A41E966C}" name="CIE-10" dataCellStyle="20% - Énfasis4"/>
    <tableColumn id="2" xr3:uid="{8C3CE02B-AEFC-4C5B-9A53-15487ED7C55E}" name="D1" dataDxfId="762">
      <calculatedColumnFormula>IF($B$2="(Todas)",COUNTIF(BASE[CODCIE10],GUIA_NACIONAL_2022_1106128105168[[#This Row],[CIE-10]]),COUNTIFS(BASE[Cod.Establecimiento],$B$2,BASE[CODCIE10],GUIA_NACIONAL_2022_1106128105168[[#This Row],[CIE-10]]))</calculatedColumnFormula>
    </tableColumn>
    <tableColumn id="3" xr3:uid="{0738022F-3EBF-4DB5-AC7D-68F4FAE01A0E}" name="D2" dataDxfId="761">
      <calculatedColumnFormula>IF($B$2="(Todas)",COUNTIF(BASE[CODCIE102],GUIA_NACIONAL_2022_1106128105168[[#This Row],[CIE-10]]),COUNTIFS(BASE[Cod.Establecimiento],$B$2,BASE[CODCIE102],GUIA_NACIONAL_2022_1106128105168[[#This Row],[CIE-10]]))</calculatedColumnFormula>
    </tableColumn>
    <tableColumn id="4" xr3:uid="{9546CDAA-2687-4BE1-AADE-96D29DD84DE7}" name="D3" dataDxfId="760">
      <calculatedColumnFormula>IF($B$2="(Todas)",COUNTIF(BASE[CODCIE104],GUIA_NACIONAL_2022_1106128105168[[#This Row],[CIE-10]]),COUNTIFS(BASE[Cod.Establecimiento],$B$2,BASE[CODCIE104],GUIA_NACIONAL_2022_1106128105168[[#This Row],[CIE-10]]))</calculatedColumnFormula>
    </tableColumn>
    <tableColumn id="5" xr3:uid="{1384A8F7-02C7-40D4-9D31-9907837C8AF6}" name="D4" dataDxfId="759">
      <calculatedColumnFormula>IF($B$2="(Todas)",COUNTIF(BASE[CODCIE106],GUIA_NACIONAL_2022_1106128105168[[#This Row],[CIE-10]]),COUNTIFS(BASE[Cod.Establecimiento],$B$2,BASE[CODCIE106],GUIA_NACIONAL_2022_1106128105168[[#This Row],[CIE-10]]))</calculatedColumnFormula>
    </tableColumn>
    <tableColumn id="6" xr3:uid="{1292183E-E894-4321-94A1-C43AA28CE3BE}" name="D5" dataDxfId="758">
      <calculatedColumnFormula>IF($B$2="(Todas)",COUNTIF(BASE[CODCIE108],GUIA_NACIONAL_2022_1106128105168[[#This Row],[CIE-10]]),COUNTIFS(BASE[Cod.Establecimiento],$B$2,BASE[CODCIE108],GUIA_NACIONAL_2022_1106128105168[[#This Row],[CIE-10]]))</calculatedColumnFormula>
    </tableColumn>
    <tableColumn id="7" xr3:uid="{0959CAF8-9D05-4DB4-A4FF-F837EA75FB0B}" name="D6" dataDxfId="757">
      <calculatedColumnFormula>IF($B$2="(Todas)",COUNTIF(BASE[CODCIE1010],GUIA_NACIONAL_2022_1106128105168[[#This Row],[CIE-10]]),COUNTIFS(BASE[Cod.Establecimiento],$B$2,BASE[CODCIE1010],GUIA_NACIONAL_2022_1106128105168[[#This Row],[CIE-10]]))</calculatedColumnFormula>
    </tableColumn>
    <tableColumn id="8" xr3:uid="{C9812DEE-A192-42F3-B6A5-1D4AA18DE2B1}" name="TOT" dataDxfId="756" dataCellStyle="40% - Énfasis6">
      <calculatedColumnFormula>SUM(GUIA_NACIONAL_2022_1106128105168[[#This Row],[D1]:[D6]])</calculatedColumnFormula>
    </tableColumn>
  </tableColumns>
  <tableStyleInfo name="TableStyleLight1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AD117494-7F70-4F5B-AFC6-357A775ED7DA}" name="GUIA_NACIONAL_2022_1106128105168169" displayName="GUIA_NACIONAL_2022_1106128105168169" ref="AE16:AL17" totalsRowShown="0" headerRowDxfId="755">
  <autoFilter ref="AE16:AL17" xr:uid="{AD117494-7F70-4F5B-AFC6-357A775ED7D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5E336947-9C6D-418A-8BCD-DD1FA2616051}" name="CIE-10" dataCellStyle="20% - Énfasis4"/>
    <tableColumn id="2" xr3:uid="{653A0F1C-A3C0-421B-89C6-B15AF9930EF4}" name="D1" dataDxfId="754">
      <calculatedColumnFormula>IF($B$2="(Todas)",COUNTIF(BASE[CODCIE10],GUIA_NACIONAL_2022_1106128105168169[[#This Row],[CIE-10]]),COUNTIFS(BASE[Cod.Establecimiento],$B$2,BASE[CODCIE10],GUIA_NACIONAL_2022_1106128105168169[[#This Row],[CIE-10]]))</calculatedColumnFormula>
    </tableColumn>
    <tableColumn id="3" xr3:uid="{1D2AFF92-94C6-4DA9-9014-1BD14F5E593D}" name="D2" dataDxfId="753">
      <calculatedColumnFormula>IF($B$2="(Todas)",COUNTIF(BASE[CODCIE102],GUIA_NACIONAL_2022_1106128105168169[[#This Row],[CIE-10]]),COUNTIFS(BASE[Cod.Establecimiento],$B$2,BASE[CODCIE102],GUIA_NACIONAL_2022_1106128105168169[[#This Row],[CIE-10]]))</calculatedColumnFormula>
    </tableColumn>
    <tableColumn id="4" xr3:uid="{2F38C90F-00BA-4550-9571-E2102A1E90E0}" name="D3" dataDxfId="752">
      <calculatedColumnFormula>IF($B$2="(Todas)",COUNTIF(BASE[CODCIE104],GUIA_NACIONAL_2022_1106128105168169[[#This Row],[CIE-10]]),COUNTIFS(BASE[Cod.Establecimiento],$B$2,BASE[CODCIE104],GUIA_NACIONAL_2022_1106128105168169[[#This Row],[CIE-10]]))</calculatedColumnFormula>
    </tableColumn>
    <tableColumn id="5" xr3:uid="{17A96D04-943E-4DC2-9820-D186FFFDED56}" name="D4" dataDxfId="751">
      <calculatedColumnFormula>IF($B$2="(Todas)",COUNTIF(BASE[CODCIE106],GUIA_NACIONAL_2022_1106128105168169[[#This Row],[CIE-10]]),COUNTIFS(BASE[Cod.Establecimiento],$B$2,BASE[CODCIE106],GUIA_NACIONAL_2022_1106128105168169[[#This Row],[CIE-10]]))</calculatedColumnFormula>
    </tableColumn>
    <tableColumn id="6" xr3:uid="{64CA22E2-ABC8-44DD-A3BD-5F45410F301C}" name="D5" dataDxfId="750">
      <calculatedColumnFormula>IF($B$2="(Todas)",COUNTIF(BASE[CODCIE108],GUIA_NACIONAL_2022_1106128105168169[[#This Row],[CIE-10]]),COUNTIFS(BASE[Cod.Establecimiento],$B$2,BASE[CODCIE108],GUIA_NACIONAL_2022_1106128105168169[[#This Row],[CIE-10]]))</calculatedColumnFormula>
    </tableColumn>
    <tableColumn id="7" xr3:uid="{40905BB8-89D8-472A-85BA-FB5E7ABE5F10}" name="D6" dataDxfId="749">
      <calculatedColumnFormula>IF($B$2="(Todas)",COUNTIF(BASE[CODCIE1010],GUIA_NACIONAL_2022_1106128105168169[[#This Row],[CIE-10]]),COUNTIFS(BASE[Cod.Establecimiento],$B$2,BASE[CODCIE1010],GUIA_NACIONAL_2022_1106128105168169[[#This Row],[CIE-10]]))</calculatedColumnFormula>
    </tableColumn>
    <tableColumn id="8" xr3:uid="{41DC049B-18BB-4E61-936D-69A4296611D3}" name="TOT" dataDxfId="748" dataCellStyle="40% - Énfasis6">
      <calculatedColumnFormula>SUM(GUIA_NACIONAL_2022_1106128105168169[[#This Row],[D1]:[D6]])</calculatedColumnFormula>
    </tableColumn>
  </tableColumns>
  <tableStyleInfo name="TableStyleLight1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6001F93D-1CFE-4185-AD71-44910C4C4B1E}" name="GUIA_NACIONAL_2022_1106128105168169170" displayName="GUIA_NACIONAL_2022_1106128105168169170" ref="AE19:AL20" totalsRowShown="0" headerRowDxfId="747">
  <autoFilter ref="AE19:AL20" xr:uid="{6001F93D-1CFE-4185-AD71-44910C4C4B1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617A1BB6-5BF4-4D77-BAB4-381F8A7EB847}" name="CIE-10" dataCellStyle="20% - Énfasis4"/>
    <tableColumn id="2" xr3:uid="{EDDFCF27-53B1-4A27-8329-10E6100FAD4A}" name="D1" dataDxfId="746">
      <calculatedColumnFormula>IF($B$2="(Todas)",COUNTIF(BASE[CODCIE10],GUIA_NACIONAL_2022_1106128105168169170[[#This Row],[CIE-10]]),COUNTIFS(BASE[Cod.Establecimiento],$B$2,BASE[CODCIE10],GUIA_NACIONAL_2022_1106128105168169170[[#This Row],[CIE-10]]))</calculatedColumnFormula>
    </tableColumn>
    <tableColumn id="3" xr3:uid="{DA2DBE0A-ACC2-45C3-9D53-9038B8B51B4B}" name="D2" dataDxfId="745">
      <calculatedColumnFormula>IF($B$2="(Todas)",COUNTIF(BASE[CODCIE102],GUIA_NACIONAL_2022_1106128105168169170[[#This Row],[CIE-10]]),COUNTIFS(BASE[Cod.Establecimiento],$B$2,BASE[CODCIE102],GUIA_NACIONAL_2022_1106128105168169170[[#This Row],[CIE-10]]))</calculatedColumnFormula>
    </tableColumn>
    <tableColumn id="4" xr3:uid="{0C5856D2-2BE2-4852-89C3-42F733E54DE5}" name="D3" dataDxfId="744">
      <calculatedColumnFormula>IF($B$2="(Todas)",COUNTIF(BASE[CODCIE104],GUIA_NACIONAL_2022_1106128105168169170[[#This Row],[CIE-10]]),COUNTIFS(BASE[Cod.Establecimiento],$B$2,BASE[CODCIE104],GUIA_NACIONAL_2022_1106128105168169170[[#This Row],[CIE-10]]))</calculatedColumnFormula>
    </tableColumn>
    <tableColumn id="5" xr3:uid="{EDDD91DF-7EF5-49B9-8C4D-ABFC285F2447}" name="D4" dataDxfId="743">
      <calculatedColumnFormula>IF($B$2="(Todas)",COUNTIF(BASE[CODCIE106],GUIA_NACIONAL_2022_1106128105168169170[[#This Row],[CIE-10]]),COUNTIFS(BASE[Cod.Establecimiento],$B$2,BASE[CODCIE106],GUIA_NACIONAL_2022_1106128105168169170[[#This Row],[CIE-10]]))</calculatedColumnFormula>
    </tableColumn>
    <tableColumn id="6" xr3:uid="{5A98C549-62F1-4BB5-A94C-8772B019948D}" name="D5" dataDxfId="742">
      <calculatedColumnFormula>IF($B$2="(Todas)",COUNTIF(BASE[CODCIE108],GUIA_NACIONAL_2022_1106128105168169170[[#This Row],[CIE-10]]),COUNTIFS(BASE[Cod.Establecimiento],$B$2,BASE[CODCIE108],GUIA_NACIONAL_2022_1106128105168169170[[#This Row],[CIE-10]]))</calculatedColumnFormula>
    </tableColumn>
    <tableColumn id="7" xr3:uid="{8D656A83-BDFE-48E6-8E46-C087821F6CB2}" name="D6" dataDxfId="741">
      <calculatedColumnFormula>IF($B$2="(Todas)",COUNTIF(BASE[CODCIE1010],GUIA_NACIONAL_2022_1106128105168169170[[#This Row],[CIE-10]]),COUNTIFS(BASE[Cod.Establecimiento],$B$2,BASE[CODCIE1010],GUIA_NACIONAL_2022_1106128105168169170[[#This Row],[CIE-10]]))</calculatedColumnFormula>
    </tableColumn>
    <tableColumn id="8" xr3:uid="{8B2F1D2E-D2B8-46CE-BF43-1FC448B32C2E}" name="TOT" dataDxfId="740" dataCellStyle="40% - Énfasis6">
      <calculatedColumnFormula>SUM(GUIA_NACIONAL_2022_1106128105168169170[[#This Row],[D1]:[D6]])</calculatedColumnFormula>
    </tableColumn>
  </tableColumns>
  <tableStyleInfo name="TableStyleLight1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36C101B8-33E5-4EF9-94DE-4FAB968BD076}" name="GUIA_NACIONAL_2022_1106128105168169170171" displayName="GUIA_NACIONAL_2022_1106128105168169170171" ref="AE22:AL23" totalsRowShown="0" headerRowDxfId="739">
  <autoFilter ref="AE22:AL23" xr:uid="{36C101B8-33E5-4EF9-94DE-4FAB968BD07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3F5278E5-72C1-429C-B5B8-370B14C3C9B8}" name="CIE-10" dataCellStyle="20% - Énfasis4"/>
    <tableColumn id="2" xr3:uid="{1ABE2206-D360-45CC-AE0D-6805C1013F7C}" name="D1" dataDxfId="738">
      <calculatedColumnFormula>IF($B$2="(Todas)",COUNTIF(BASE[CODCIE10],GUIA_NACIONAL_2022_1106128105168169170171[[#This Row],[CIE-10]]),COUNTIFS(BASE[Cod.Establecimiento],$B$2,BASE[CODCIE10],GUIA_NACIONAL_2022_1106128105168169170171[[#This Row],[CIE-10]]))</calculatedColumnFormula>
    </tableColumn>
    <tableColumn id="3" xr3:uid="{2A523DD0-1992-48CC-A3C3-BDE8964A623F}" name="D2" dataDxfId="737">
      <calculatedColumnFormula>IF($B$2="(Todas)",COUNTIF(BASE[CODCIE102],GUIA_NACIONAL_2022_1106128105168169170171[[#This Row],[CIE-10]]),COUNTIFS(BASE[Cod.Establecimiento],$B$2,BASE[CODCIE102],GUIA_NACIONAL_2022_1106128105168169170171[[#This Row],[CIE-10]]))</calculatedColumnFormula>
    </tableColumn>
    <tableColumn id="4" xr3:uid="{6C8F9036-C271-45F2-B27E-FDBDCC82FEDA}" name="D3" dataDxfId="736">
      <calculatedColumnFormula>IF($B$2="(Todas)",COUNTIF(BASE[CODCIE104],GUIA_NACIONAL_2022_1106128105168169170171[[#This Row],[CIE-10]]),COUNTIFS(BASE[Cod.Establecimiento],$B$2,BASE[CODCIE104],GUIA_NACIONAL_2022_1106128105168169170171[[#This Row],[CIE-10]]))</calculatedColumnFormula>
    </tableColumn>
    <tableColumn id="5" xr3:uid="{5A8AA4C8-1791-4B3A-AD5D-73B5CEDA972D}" name="D4" dataDxfId="735">
      <calculatedColumnFormula>IF($B$2="(Todas)",COUNTIF(BASE[CODCIE106],GUIA_NACIONAL_2022_1106128105168169170171[[#This Row],[CIE-10]]),COUNTIFS(BASE[Cod.Establecimiento],$B$2,BASE[CODCIE106],GUIA_NACIONAL_2022_1106128105168169170171[[#This Row],[CIE-10]]))</calculatedColumnFormula>
    </tableColumn>
    <tableColumn id="6" xr3:uid="{0EA2A355-0958-42DD-91BA-6AE09C1514A0}" name="D5" dataDxfId="734">
      <calculatedColumnFormula>IF($B$2="(Todas)",COUNTIF(BASE[CODCIE108],GUIA_NACIONAL_2022_1106128105168169170171[[#This Row],[CIE-10]]),COUNTIFS(BASE[Cod.Establecimiento],$B$2,BASE[CODCIE108],GUIA_NACIONAL_2022_1106128105168169170171[[#This Row],[CIE-10]]))</calculatedColumnFormula>
    </tableColumn>
    <tableColumn id="7" xr3:uid="{06DCB27F-DDE4-428F-8574-2953EEB0A9BD}" name="D6" dataDxfId="733">
      <calculatedColumnFormula>IF($B$2="(Todas)",COUNTIF(BASE[CODCIE1010],GUIA_NACIONAL_2022_1106128105168169170171[[#This Row],[CIE-10]]),COUNTIFS(BASE[Cod.Establecimiento],$B$2,BASE[CODCIE1010],GUIA_NACIONAL_2022_1106128105168169170171[[#This Row],[CIE-10]]))</calculatedColumnFormula>
    </tableColumn>
    <tableColumn id="8" xr3:uid="{10A0E209-7DC7-42CF-8A64-50758FB7EB5A}" name="TOT" dataDxfId="732" dataCellStyle="40% - Énfasis6">
      <calculatedColumnFormula>SUM(GUIA_NACIONAL_2022_1106128105168169170171[[#This Row],[D1]:[D6]])</calculatedColumnFormula>
    </tableColumn>
  </tableColumns>
  <tableStyleInfo name="TableStyleLight1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A7CC8302-E1F0-4317-9D69-4A3B3258A1C5}" name="GUIA_NACIONAL_2022_1106128105168169170171172" displayName="GUIA_NACIONAL_2022_1106128105168169170171172" ref="AE25:AL26" totalsRowShown="0" headerRowDxfId="731">
  <autoFilter ref="AE25:AL26" xr:uid="{A7CC8302-E1F0-4317-9D69-4A3B3258A1C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F80A5ABD-E20B-4746-95C4-9F79B173E55E}" name="CIE-10" dataCellStyle="20% - Énfasis4"/>
    <tableColumn id="2" xr3:uid="{FCACEA2B-77CD-4701-B8B5-FA49DE67D5C7}" name="D1" dataDxfId="730">
      <calculatedColumnFormula>IF($B$2="(Todas)",COUNTIF(BASE[CODCIE10],GUIA_NACIONAL_2022_1106128105168169170171172[[#This Row],[CIE-10]]),COUNTIFS(BASE[Cod.Establecimiento],$B$2,BASE[CODCIE10],GUIA_NACIONAL_2022_1106128105168169170171172[[#This Row],[CIE-10]]))</calculatedColumnFormula>
    </tableColumn>
    <tableColumn id="3" xr3:uid="{AE862484-AA1A-425B-A48C-2EEB61158601}" name="D2" dataDxfId="729">
      <calculatedColumnFormula>IF($B$2="(Todas)",COUNTIF(BASE[CODCIE102],GUIA_NACIONAL_2022_1106128105168169170171172[[#This Row],[CIE-10]]),COUNTIFS(BASE[Cod.Establecimiento],$B$2,BASE[CODCIE102],GUIA_NACIONAL_2022_1106128105168169170171172[[#This Row],[CIE-10]]))</calculatedColumnFormula>
    </tableColumn>
    <tableColumn id="4" xr3:uid="{7BE112CA-4A9A-487F-9BAA-17E929787C39}" name="D3" dataDxfId="728">
      <calculatedColumnFormula>IF($B$2="(Todas)",COUNTIF(BASE[CODCIE104],GUIA_NACIONAL_2022_1106128105168169170171172[[#This Row],[CIE-10]]),COUNTIFS(BASE[Cod.Establecimiento],$B$2,BASE[CODCIE104],GUIA_NACIONAL_2022_1106128105168169170171172[[#This Row],[CIE-10]]))</calculatedColumnFormula>
    </tableColumn>
    <tableColumn id="5" xr3:uid="{B0A2E8C3-F2BB-4AA5-AFAC-3AC949C17A22}" name="D4" dataDxfId="727">
      <calculatedColumnFormula>IF($B$2="(Todas)",COUNTIF(BASE[CODCIE106],GUIA_NACIONAL_2022_1106128105168169170171172[[#This Row],[CIE-10]]),COUNTIFS(BASE[Cod.Establecimiento],$B$2,BASE[CODCIE106],GUIA_NACIONAL_2022_1106128105168169170171172[[#This Row],[CIE-10]]))</calculatedColumnFormula>
    </tableColumn>
    <tableColumn id="6" xr3:uid="{3835E1A0-9796-455D-8809-4F9D44EAC639}" name="D5" dataDxfId="726">
      <calculatedColumnFormula>IF($B$2="(Todas)",COUNTIF(BASE[CODCIE108],GUIA_NACIONAL_2022_1106128105168169170171172[[#This Row],[CIE-10]]),COUNTIFS(BASE[Cod.Establecimiento],$B$2,BASE[CODCIE108],GUIA_NACIONAL_2022_1106128105168169170171172[[#This Row],[CIE-10]]))</calculatedColumnFormula>
    </tableColumn>
    <tableColumn id="7" xr3:uid="{27B7FCAC-3717-4482-B9EF-44350C2B180F}" name="D6" dataDxfId="725">
      <calculatedColumnFormula>IF($B$2="(Todas)",COUNTIF(BASE[CODCIE1010],GUIA_NACIONAL_2022_1106128105168169170171172[[#This Row],[CIE-10]]),COUNTIFS(BASE[Cod.Establecimiento],$B$2,BASE[CODCIE1010],GUIA_NACIONAL_2022_1106128105168169170171172[[#This Row],[CIE-10]]))</calculatedColumnFormula>
    </tableColumn>
    <tableColumn id="8" xr3:uid="{5F22A7B1-9592-48B0-BF67-2C8596D783B1}" name="TOT" dataDxfId="724" dataCellStyle="40% - Énfasis6">
      <calculatedColumnFormula>SUM(GUIA_NACIONAL_2022_1106128105168169170171172[[#This Row],[D1]:[D6]])</calculatedColumnFormula>
    </tableColumn>
  </tableColumns>
  <tableStyleInfo name="TableStyleLight1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8265E47-E162-433D-8F82-CD189CA66574}" name="GUIA_NACIONAL_2022_1106128105168173" displayName="GUIA_NACIONAL_2022_1106128105168173" ref="AE29:AL30" totalsRowShown="0" headerRowDxfId="723">
  <autoFilter ref="AE29:AL30" xr:uid="{C8265E47-E162-433D-8F82-CD189CA6657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3227D660-EE63-49ED-BF20-BE95ADF72BC4}" name="CIE-10" dataCellStyle="20% - Énfasis4"/>
    <tableColumn id="2" xr3:uid="{0740E4F5-96F2-435A-9158-5C46246763A2}" name="D1" dataDxfId="722">
      <calculatedColumnFormula>IF($B$2="(Todas)",COUNTIF(BASE[CODCIE10],GUIA_NACIONAL_2022_1106128105168173[[#This Row],[CIE-10]]),COUNTIFS(BASE[Cod.Establecimiento],$B$2,BASE[CODCIE10],GUIA_NACIONAL_2022_1106128105168173[[#This Row],[CIE-10]]))</calculatedColumnFormula>
    </tableColumn>
    <tableColumn id="3" xr3:uid="{CCE74B13-7D04-439A-95B7-DF87DE4BACEF}" name="D2" dataDxfId="721">
      <calculatedColumnFormula>IF($B$2="(Todas)",COUNTIF(BASE[CODCIE102],GUIA_NACIONAL_2022_1106128105168173[[#This Row],[CIE-10]]),COUNTIFS(BASE[Cod.Establecimiento],$B$2,BASE[CODCIE102],GUIA_NACIONAL_2022_1106128105168173[[#This Row],[CIE-10]]))</calculatedColumnFormula>
    </tableColumn>
    <tableColumn id="4" xr3:uid="{2787D992-698C-48EE-A81F-EF892F85E26F}" name="D3" dataDxfId="720">
      <calculatedColumnFormula>IF($B$2="(Todas)",COUNTIF(BASE[CODCIE104],GUIA_NACIONAL_2022_1106128105168173[[#This Row],[CIE-10]]),COUNTIFS(BASE[Cod.Establecimiento],$B$2,BASE[CODCIE104],GUIA_NACIONAL_2022_1106128105168173[[#This Row],[CIE-10]]))</calculatedColumnFormula>
    </tableColumn>
    <tableColumn id="5" xr3:uid="{AADBB19E-3E94-4024-AC0B-B223D7324F9D}" name="D4" dataDxfId="719">
      <calculatedColumnFormula>IF($B$2="(Todas)",COUNTIF(BASE[CODCIE106],GUIA_NACIONAL_2022_1106128105168173[[#This Row],[CIE-10]]),COUNTIFS(BASE[Cod.Establecimiento],$B$2,BASE[CODCIE106],GUIA_NACIONAL_2022_1106128105168173[[#This Row],[CIE-10]]))</calculatedColumnFormula>
    </tableColumn>
    <tableColumn id="6" xr3:uid="{5EF6EF89-F56A-426C-8680-3658E5DAEC4A}" name="D5" dataDxfId="718">
      <calculatedColumnFormula>IF($B$2="(Todas)",COUNTIF(BASE[CODCIE108],GUIA_NACIONAL_2022_1106128105168173[[#This Row],[CIE-10]]),COUNTIFS(BASE[Cod.Establecimiento],$B$2,BASE[CODCIE108],GUIA_NACIONAL_2022_1106128105168173[[#This Row],[CIE-10]]))</calculatedColumnFormula>
    </tableColumn>
    <tableColumn id="7" xr3:uid="{DDF15E23-C57D-460A-A3CE-7BBD35E35805}" name="D6" dataDxfId="717">
      <calculatedColumnFormula>IF($B$2="(Todas)",COUNTIF(BASE[CODCIE1010],GUIA_NACIONAL_2022_1106128105168173[[#This Row],[CIE-10]]),COUNTIFS(BASE[Cod.Establecimiento],$B$2,BASE[CODCIE1010],GUIA_NACIONAL_2022_1106128105168173[[#This Row],[CIE-10]]))</calculatedColumnFormula>
    </tableColumn>
    <tableColumn id="8" xr3:uid="{0559FDB0-A93E-40DC-B7C1-A654292323D2}" name="TOT" dataDxfId="716" dataCellStyle="40% - Énfasis6">
      <calculatedColumnFormula>SUM(GUIA_NACIONAL_2022_1106128105168173[[#This Row],[D1]:[D6]])</calculatedColumnFormula>
    </tableColumn>
  </tableColumns>
  <tableStyleInfo name="TableStyleLight1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67A12ACB-095C-47D1-8EEF-2E555AA678F6}" name="GUIA_NACIONAL_2022_1106128105168169170174" displayName="GUIA_NACIONAL_2022_1106128105168169170174" ref="AE32:AL35" totalsRowShown="0" headerRowDxfId="715">
  <autoFilter ref="AE32:AL35" xr:uid="{67A12ACB-095C-47D1-8EEF-2E555AA678F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71E7F145-2D2A-40EC-88EA-4A541390F111}" name="CIE-10" dataCellStyle="20% - Énfasis4"/>
    <tableColumn id="2" xr3:uid="{AD4EBB1B-A02B-483A-8CD6-DDE745653F5E}" name="D1" dataDxfId="714">
      <calculatedColumnFormula>IF($B$2="(Todas)",COUNTIF(BASE[CODCIE10],GUIA_NACIONAL_2022_1106128105168169170174[[#This Row],[CIE-10]]),COUNTIFS(BASE[Cod.Establecimiento],$B$2,BASE[CODCIE10],GUIA_NACIONAL_2022_1106128105168169170174[[#This Row],[CIE-10]]))</calculatedColumnFormula>
    </tableColumn>
    <tableColumn id="3" xr3:uid="{8BB35242-40C6-4E1E-9867-5E4DBC75D5BF}" name="D2" dataDxfId="713">
      <calculatedColumnFormula>IF($B$2="(Todas)",COUNTIF(BASE[CODCIE102],GUIA_NACIONAL_2022_1106128105168169170174[[#This Row],[CIE-10]]),COUNTIFS(BASE[Cod.Establecimiento],$B$2,BASE[CODCIE102],GUIA_NACIONAL_2022_1106128105168169170174[[#This Row],[CIE-10]]))</calculatedColumnFormula>
    </tableColumn>
    <tableColumn id="4" xr3:uid="{70A8CE11-0533-4524-9EC0-B2125A6A7EA3}" name="D3" dataDxfId="712">
      <calculatedColumnFormula>IF($B$2="(Todas)",COUNTIF(BASE[CODCIE104],GUIA_NACIONAL_2022_1106128105168169170174[[#This Row],[CIE-10]]),COUNTIFS(BASE[Cod.Establecimiento],$B$2,BASE[CODCIE104],GUIA_NACIONAL_2022_1106128105168169170174[[#This Row],[CIE-10]]))</calculatedColumnFormula>
    </tableColumn>
    <tableColumn id="5" xr3:uid="{9518A429-31E9-4CA9-99DE-C01A5B28DB8E}" name="D4" dataDxfId="711">
      <calculatedColumnFormula>IF($B$2="(Todas)",COUNTIF(BASE[CODCIE106],GUIA_NACIONAL_2022_1106128105168169170174[[#This Row],[CIE-10]]),COUNTIFS(BASE[Cod.Establecimiento],$B$2,BASE[CODCIE106],GUIA_NACIONAL_2022_1106128105168169170174[[#This Row],[CIE-10]]))</calculatedColumnFormula>
    </tableColumn>
    <tableColumn id="6" xr3:uid="{862BBDE7-EDD3-4944-A2AA-3C8D6A4F0F55}" name="D5" dataDxfId="710">
      <calculatedColumnFormula>IF($B$2="(Todas)",COUNTIF(BASE[CODCIE108],GUIA_NACIONAL_2022_1106128105168169170174[[#This Row],[CIE-10]]),COUNTIFS(BASE[Cod.Establecimiento],$B$2,BASE[CODCIE108],GUIA_NACIONAL_2022_1106128105168169170174[[#This Row],[CIE-10]]))</calculatedColumnFormula>
    </tableColumn>
    <tableColumn id="7" xr3:uid="{2BAC7B19-3758-4B88-8DE5-16307C3BA98F}" name="D6" dataDxfId="709">
      <calculatedColumnFormula>IF($B$2="(Todas)",COUNTIF(BASE[CODCIE1010],GUIA_NACIONAL_2022_1106128105168169170174[[#This Row],[CIE-10]]),COUNTIFS(BASE[Cod.Establecimiento],$B$2,BASE[CODCIE1010],GUIA_NACIONAL_2022_1106128105168169170174[[#This Row],[CIE-10]]))</calculatedColumnFormula>
    </tableColumn>
    <tableColumn id="8" xr3:uid="{4956AABC-EC60-4096-8C2E-0D192E432400}" name="TOT" dataDxfId="708" dataCellStyle="40% - Énfasis6">
      <calculatedColumnFormula>SUM(GUIA_NACIONAL_2022_1106128105168169170174[[#This Row],[D1]:[D6]])</calculatedColumnFormula>
    </tableColumn>
  </tableColumns>
  <tableStyleInfo name="TableStyleLight1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2D4A493F-66C5-43C4-BEA8-5EB254265C19}" name="GUIA_NACIONAL_2022_1106128105168175" displayName="GUIA_NACIONAL_2022_1106128105168175" ref="AE38:AL40" totalsRowShown="0" headerRowDxfId="707">
  <autoFilter ref="AE38:AL40" xr:uid="{2D4A493F-66C5-43C4-BEA8-5EB254265C1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53D9365F-A2FF-4702-BDB1-F9D1F459CE3B}" name="CIE-10" dataCellStyle="20% - Énfasis4"/>
    <tableColumn id="2" xr3:uid="{5FD4849A-9D2D-49B7-B00D-4633B1143F97}" name="D1" dataDxfId="706">
      <calculatedColumnFormula>IF($B$2="(Todas)",COUNTIF(BASE[CODCIE10],GUIA_NACIONAL_2022_1106128105168175[[#This Row],[CIE-10]]),COUNTIFS(BASE[Cod.Establecimiento],$B$2,BASE[CODCIE10],GUIA_NACIONAL_2022_1106128105168175[[#This Row],[CIE-10]]))</calculatedColumnFormula>
    </tableColumn>
    <tableColumn id="3" xr3:uid="{D89704CA-DDA4-45DF-8846-4130F0833FE4}" name="D2" dataDxfId="705">
      <calculatedColumnFormula>IF($B$2="(Todas)",COUNTIF(BASE[CODCIE102],GUIA_NACIONAL_2022_1106128105168175[[#This Row],[CIE-10]]),COUNTIFS(BASE[Cod.Establecimiento],$B$2,BASE[CODCIE102],GUIA_NACIONAL_2022_1106128105168175[[#This Row],[CIE-10]]))</calculatedColumnFormula>
    </tableColumn>
    <tableColumn id="4" xr3:uid="{1CEEA620-16CC-4BCE-A8E9-50B7C81AC3AA}" name="D3" dataDxfId="704">
      <calculatedColumnFormula>IF($B$2="(Todas)",COUNTIF(BASE[CODCIE104],GUIA_NACIONAL_2022_1106128105168175[[#This Row],[CIE-10]]),COUNTIFS(BASE[Cod.Establecimiento],$B$2,BASE[CODCIE104],GUIA_NACIONAL_2022_1106128105168175[[#This Row],[CIE-10]]))</calculatedColumnFormula>
    </tableColumn>
    <tableColumn id="5" xr3:uid="{DC463B1F-95CB-408D-8138-717379F79574}" name="D4" dataDxfId="703">
      <calculatedColumnFormula>IF($B$2="(Todas)",COUNTIF(BASE[CODCIE106],GUIA_NACIONAL_2022_1106128105168175[[#This Row],[CIE-10]]),COUNTIFS(BASE[Cod.Establecimiento],$B$2,BASE[CODCIE106],GUIA_NACIONAL_2022_1106128105168175[[#This Row],[CIE-10]]))</calculatedColumnFormula>
    </tableColumn>
    <tableColumn id="6" xr3:uid="{0499D425-E376-4ABB-BD95-BA2CCA659B87}" name="D5" dataDxfId="702">
      <calculatedColumnFormula>IF($B$2="(Todas)",COUNTIF(BASE[CODCIE108],GUIA_NACIONAL_2022_1106128105168175[[#This Row],[CIE-10]]),COUNTIFS(BASE[Cod.Establecimiento],$B$2,BASE[CODCIE108],GUIA_NACIONAL_2022_1106128105168175[[#This Row],[CIE-10]]))</calculatedColumnFormula>
    </tableColumn>
    <tableColumn id="7" xr3:uid="{C3893D81-640C-42C6-BCED-EE82F46EDE08}" name="D6" dataDxfId="701">
      <calculatedColumnFormula>IF($B$2="(Todas)",COUNTIF(BASE[CODCIE1010],GUIA_NACIONAL_2022_1106128105168175[[#This Row],[CIE-10]]),COUNTIFS(BASE[Cod.Establecimiento],$B$2,BASE[CODCIE1010],GUIA_NACIONAL_2022_1106128105168175[[#This Row],[CIE-10]]))</calculatedColumnFormula>
    </tableColumn>
    <tableColumn id="8" xr3:uid="{0CA7A1AE-069A-49A9-9BF4-36FD81ED5AED}" name="TOT" dataDxfId="700" dataCellStyle="40% - Énfasis6">
      <calculatedColumnFormula>SUM(GUIA_NACIONAL_2022_1106128105168175[[#This Row],[D1]:[D6]])</calculatedColumnFormula>
    </tableColumn>
  </tableColumns>
  <tableStyleInfo name="TableStyleLight1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70E53D24-DFF5-4B28-A245-40E8CA00CEF8}" name="GUIA_NACIONAL_2022_1106128105168175176" displayName="GUIA_NACIONAL_2022_1106128105168175176" ref="AE42:AL48" totalsRowShown="0" headerRowDxfId="699">
  <autoFilter ref="AE42:AL48" xr:uid="{70E53D24-DFF5-4B28-A245-40E8CA00CEF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9D84C4E0-2627-45CB-AF20-7E763272654B}" name="CIE-10" dataCellStyle="20% - Énfasis4"/>
    <tableColumn id="2" xr3:uid="{1F9CB1A2-BB6D-46DD-8C79-ADDBAA617A10}" name="D1" dataDxfId="698">
      <calculatedColumnFormula>IF($B$2="(Todas)",COUNTIF(BASE[CODCIE10],GUIA_NACIONAL_2022_1106128105168175176[[#This Row],[CIE-10]]),COUNTIFS(BASE[Cod.Establecimiento],$B$2,BASE[CODCIE10],GUIA_NACIONAL_2022_1106128105168175176[[#This Row],[CIE-10]]))</calculatedColumnFormula>
    </tableColumn>
    <tableColumn id="3" xr3:uid="{59180120-5100-4003-A8B3-68FC2786282D}" name="D2" dataDxfId="697">
      <calculatedColumnFormula>IF($B$2="(Todas)",COUNTIF(BASE[CODCIE102],GUIA_NACIONAL_2022_1106128105168175176[[#This Row],[CIE-10]]),COUNTIFS(BASE[Cod.Establecimiento],$B$2,BASE[CODCIE102],GUIA_NACIONAL_2022_1106128105168175176[[#This Row],[CIE-10]]))</calculatedColumnFormula>
    </tableColumn>
    <tableColumn id="4" xr3:uid="{0C1D3D43-11B4-4A64-A717-300B67D32AB5}" name="D3" dataDxfId="696">
      <calculatedColumnFormula>IF($B$2="(Todas)",COUNTIF(BASE[CODCIE104],GUIA_NACIONAL_2022_1106128105168175176[[#This Row],[CIE-10]]),COUNTIFS(BASE[Cod.Establecimiento],$B$2,BASE[CODCIE104],GUIA_NACIONAL_2022_1106128105168175176[[#This Row],[CIE-10]]))</calculatedColumnFormula>
    </tableColumn>
    <tableColumn id="5" xr3:uid="{7B570A48-1ED8-48E7-AF71-05B5D83030E2}" name="D4" dataDxfId="695">
      <calculatedColumnFormula>IF($B$2="(Todas)",COUNTIF(BASE[CODCIE106],GUIA_NACIONAL_2022_1106128105168175176[[#This Row],[CIE-10]]),COUNTIFS(BASE[Cod.Establecimiento],$B$2,BASE[CODCIE106],GUIA_NACIONAL_2022_1106128105168175176[[#This Row],[CIE-10]]))</calculatedColumnFormula>
    </tableColumn>
    <tableColumn id="6" xr3:uid="{CC268D6E-77F1-47A7-9C36-B739686E49CA}" name="D5" dataDxfId="694">
      <calculatedColumnFormula>IF($B$2="(Todas)",COUNTIF(BASE[CODCIE108],GUIA_NACIONAL_2022_1106128105168175176[[#This Row],[CIE-10]]),COUNTIFS(BASE[Cod.Establecimiento],$B$2,BASE[CODCIE108],GUIA_NACIONAL_2022_1106128105168175176[[#This Row],[CIE-10]]))</calculatedColumnFormula>
    </tableColumn>
    <tableColumn id="7" xr3:uid="{67D868E0-8B42-4BB9-9A93-56D4A81CA1E2}" name="D6" dataDxfId="693">
      <calculatedColumnFormula>IF($B$2="(Todas)",COUNTIF(BASE[CODCIE1010],GUIA_NACIONAL_2022_1106128105168175176[[#This Row],[CIE-10]]),COUNTIFS(BASE[Cod.Establecimiento],$B$2,BASE[CODCIE1010],GUIA_NACIONAL_2022_1106128105168175176[[#This Row],[CIE-10]]))</calculatedColumnFormula>
    </tableColumn>
    <tableColumn id="8" xr3:uid="{15D5F83F-C5BD-4C9C-B5F1-4A68B7C00956}" name="TOT" dataDxfId="692" dataCellStyle="40% - Énfasis6">
      <calculatedColumnFormula>SUM(GUIA_NACIONAL_2022_1106128105168175176[[#This Row],[D1]:[D6]])</calculatedColumnFormula>
    </tableColumn>
  </tableColumns>
  <tableStyleInfo name="TableStyleLight1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9E5407FC-EB58-421A-AE61-107FA1EDDA06}" name="GUIA_NACIONAL_2022_1106128105168175177" displayName="GUIA_NACIONAL_2022_1106128105168175177" ref="AE50:AL51" totalsRowShown="0" headerRowDxfId="691">
  <autoFilter ref="AE50:AL51" xr:uid="{9E5407FC-EB58-421A-AE61-107FA1EDDA0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DFCB5623-5677-4BCB-9916-4181048490C8}" name="CIE-10" dataCellStyle="20% - Énfasis4"/>
    <tableColumn id="2" xr3:uid="{270CD407-7191-40E0-8C6E-CEC831DF5867}" name="D1" dataDxfId="690">
      <calculatedColumnFormula>IF($B$2="(Todas)",COUNTIF(BASE[CODCIE10],GUIA_NACIONAL_2022_1106128105168175177[[#This Row],[CIE-10]]),COUNTIFS(BASE[Cod.Establecimiento],$B$2,BASE[CODCIE10],GUIA_NACIONAL_2022_1106128105168175177[[#This Row],[CIE-10]]))</calculatedColumnFormula>
    </tableColumn>
    <tableColumn id="3" xr3:uid="{A51BCAEF-1617-4687-83B0-67253EF0F1E0}" name="D2" dataDxfId="689">
      <calculatedColumnFormula>IF($B$2="(Todas)",COUNTIF(BASE[CODCIE102],GUIA_NACIONAL_2022_1106128105168175177[[#This Row],[CIE-10]]),COUNTIFS(BASE[Cod.Establecimiento],$B$2,BASE[CODCIE102],GUIA_NACIONAL_2022_1106128105168175177[[#This Row],[CIE-10]]))</calculatedColumnFormula>
    </tableColumn>
    <tableColumn id="4" xr3:uid="{254E511F-DAA5-4C9C-888B-AAED7B355884}" name="D3" dataDxfId="688">
      <calculatedColumnFormula>IF($B$2="(Todas)",COUNTIF(BASE[CODCIE104],GUIA_NACIONAL_2022_1106128105168175177[[#This Row],[CIE-10]]),COUNTIFS(BASE[Cod.Establecimiento],$B$2,BASE[CODCIE104],GUIA_NACIONAL_2022_1106128105168175177[[#This Row],[CIE-10]]))</calculatedColumnFormula>
    </tableColumn>
    <tableColumn id="5" xr3:uid="{7884547A-DC9E-428A-8E9D-62D6649CCB3D}" name="D4" dataDxfId="687">
      <calculatedColumnFormula>IF($B$2="(Todas)",COUNTIF(BASE[CODCIE106],GUIA_NACIONAL_2022_1106128105168175177[[#This Row],[CIE-10]]),COUNTIFS(BASE[Cod.Establecimiento],$B$2,BASE[CODCIE106],GUIA_NACIONAL_2022_1106128105168175177[[#This Row],[CIE-10]]))</calculatedColumnFormula>
    </tableColumn>
    <tableColumn id="6" xr3:uid="{47E66C73-0B28-4A78-BD41-D457E181EE58}" name="D5" dataDxfId="686">
      <calculatedColumnFormula>IF($B$2="(Todas)",COUNTIF(BASE[CODCIE108],GUIA_NACIONAL_2022_1106128105168175177[[#This Row],[CIE-10]]),COUNTIFS(BASE[Cod.Establecimiento],$B$2,BASE[CODCIE108],GUIA_NACIONAL_2022_1106128105168175177[[#This Row],[CIE-10]]))</calculatedColumnFormula>
    </tableColumn>
    <tableColumn id="7" xr3:uid="{7F1E1420-D7A3-442C-86C1-5B0596A17E77}" name="D6" dataDxfId="685">
      <calculatedColumnFormula>IF($B$2="(Todas)",COUNTIF(BASE[CODCIE1010],GUIA_NACIONAL_2022_1106128105168175177[[#This Row],[CIE-10]]),COUNTIFS(BASE[Cod.Establecimiento],$B$2,BASE[CODCIE1010],GUIA_NACIONAL_2022_1106128105168175177[[#This Row],[CIE-10]]))</calculatedColumnFormula>
    </tableColumn>
    <tableColumn id="8" xr3:uid="{08C6B711-4B98-497F-9A7A-2E653EE8EC18}" name="TOT" dataDxfId="684" dataCellStyle="40% - Énfasis6">
      <calculatedColumnFormula>SUM(GUIA_NACIONAL_2022_1106128105168175177[[#This Row],[D1]:[D6]])</calculatedColumnFormula>
    </tableColumn>
  </tableColumns>
  <tableStyleInfo name="TableStyleLight1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A76A9A99-A277-4F7D-9203-E9C0B6F32831}" name="GUIA_NACIONAL_2022_1106128105168175177178" displayName="GUIA_NACIONAL_2022_1106128105168175177178" ref="AE53:AL54" totalsRowShown="0" headerRowDxfId="683">
  <autoFilter ref="AE53:AL54" xr:uid="{A76A9A99-A277-4F7D-9203-E9C0B6F3283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531534BC-9518-4892-AF31-E3F18C31FFB8}" name="CIE-10" dataCellStyle="20% - Énfasis4"/>
    <tableColumn id="2" xr3:uid="{8EBB817B-16EA-492B-9164-753EC85EDEB8}" name="D1" dataDxfId="682">
      <calculatedColumnFormula>IF($B$2="(Todas)",COUNTIF(BASE[CODCIE10],GUIA_NACIONAL_2022_1106128105168175177178[[#This Row],[CIE-10]]),COUNTIFS(BASE[Cod.Establecimiento],$B$2,BASE[CODCIE10],GUIA_NACIONAL_2022_1106128105168175177178[[#This Row],[CIE-10]]))</calculatedColumnFormula>
    </tableColumn>
    <tableColumn id="3" xr3:uid="{63B901D9-5F2F-4551-B223-F97641ADA0A3}" name="D2" dataDxfId="681">
      <calculatedColumnFormula>IF($B$2="(Todas)",COUNTIF(BASE[CODCIE102],GUIA_NACIONAL_2022_1106128105168175177178[[#This Row],[CIE-10]]),COUNTIFS(BASE[Cod.Establecimiento],$B$2,BASE[CODCIE102],GUIA_NACIONAL_2022_1106128105168175177178[[#This Row],[CIE-10]]))</calculatedColumnFormula>
    </tableColumn>
    <tableColumn id="4" xr3:uid="{0665873D-88F2-4DF5-8FA8-FD4E7AD236F0}" name="D3" dataDxfId="680">
      <calculatedColumnFormula>IF($B$2="(Todas)",COUNTIF(BASE[CODCIE104],GUIA_NACIONAL_2022_1106128105168175177178[[#This Row],[CIE-10]]),COUNTIFS(BASE[Cod.Establecimiento],$B$2,BASE[CODCIE104],GUIA_NACIONAL_2022_1106128105168175177178[[#This Row],[CIE-10]]))</calculatedColumnFormula>
    </tableColumn>
    <tableColumn id="5" xr3:uid="{57CDFA0D-92DE-4615-BF9D-EA8BFC12D01B}" name="D4" dataDxfId="679">
      <calculatedColumnFormula>IF($B$2="(Todas)",COUNTIF(BASE[CODCIE106],GUIA_NACIONAL_2022_1106128105168175177178[[#This Row],[CIE-10]]),COUNTIFS(BASE[Cod.Establecimiento],$B$2,BASE[CODCIE106],GUIA_NACIONAL_2022_1106128105168175177178[[#This Row],[CIE-10]]))</calculatedColumnFormula>
    </tableColumn>
    <tableColumn id="6" xr3:uid="{BC4C92BE-A074-4FA4-BB24-2D904C71A133}" name="D5" dataDxfId="678">
      <calculatedColumnFormula>IF($B$2="(Todas)",COUNTIF(BASE[CODCIE108],GUIA_NACIONAL_2022_1106128105168175177178[[#This Row],[CIE-10]]),COUNTIFS(BASE[Cod.Establecimiento],$B$2,BASE[CODCIE108],GUIA_NACIONAL_2022_1106128105168175177178[[#This Row],[CIE-10]]))</calculatedColumnFormula>
    </tableColumn>
    <tableColumn id="7" xr3:uid="{D0137747-C78F-420F-B1CA-9A62CFDEA01A}" name="D6" dataDxfId="677">
      <calculatedColumnFormula>IF($B$2="(Todas)",COUNTIF(BASE[CODCIE1010],GUIA_NACIONAL_2022_1106128105168175177178[[#This Row],[CIE-10]]),COUNTIFS(BASE[Cod.Establecimiento],$B$2,BASE[CODCIE1010],GUIA_NACIONAL_2022_1106128105168175177178[[#This Row],[CIE-10]]))</calculatedColumnFormula>
    </tableColumn>
    <tableColumn id="8" xr3:uid="{7AA5836D-466E-4DE8-AC30-A83415677496}" name="TOT" dataDxfId="676" dataCellStyle="40% - Énfasis6">
      <calculatedColumnFormula>SUM(GUIA_NACIONAL_2022_1106128105168175177178[[#This Row],[D1]:[D6]])</calculatedColumnFormula>
    </tableColumn>
  </tableColumns>
  <tableStyleInfo name="TableStyleLight1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1B4CD0B6-4B36-4DA4-AE9A-6DF161C9EA6F}" name="GUIA_NACIONAL_2022_1106128105168175177179" displayName="GUIA_NACIONAL_2022_1106128105168175177179" ref="AE56:AL57" totalsRowShown="0" headerRowDxfId="675">
  <autoFilter ref="AE56:AL57" xr:uid="{1B4CD0B6-4B36-4DA4-AE9A-6DF161C9EA6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A6D5C2A6-C5EE-4E87-BFD0-1FC41ED13731}" name="CIE-10" dataCellStyle="20% - Énfasis4"/>
    <tableColumn id="2" xr3:uid="{5EAD6F54-EDA7-425D-BEE2-8BD28CE7486C}" name="D1" dataDxfId="674">
      <calculatedColumnFormula>IF($B$2="(Todas)",COUNTIF(BASE[CODCIE10],GUIA_NACIONAL_2022_1106128105168175177179[[#This Row],[CIE-10]]),COUNTIFS(BASE[Cod.Establecimiento],$B$2,BASE[CODCIE10],GUIA_NACIONAL_2022_1106128105168175177179[[#This Row],[CIE-10]]))</calculatedColumnFormula>
    </tableColumn>
    <tableColumn id="3" xr3:uid="{FB2C35B6-AB79-482F-B117-E8F043124313}" name="D2" dataDxfId="673">
      <calculatedColumnFormula>IF($B$2="(Todas)",COUNTIF(BASE[CODCIE102],GUIA_NACIONAL_2022_1106128105168175177179[[#This Row],[CIE-10]]),COUNTIFS(BASE[Cod.Establecimiento],$B$2,BASE[CODCIE102],GUIA_NACIONAL_2022_1106128105168175177179[[#This Row],[CIE-10]]))</calculatedColumnFormula>
    </tableColumn>
    <tableColumn id="4" xr3:uid="{43D46657-1002-44B9-8DA2-BB2EB7C2ED80}" name="D3" dataDxfId="672">
      <calculatedColumnFormula>IF($B$2="(Todas)",COUNTIF(BASE[CODCIE104],GUIA_NACIONAL_2022_1106128105168175177179[[#This Row],[CIE-10]]),COUNTIFS(BASE[Cod.Establecimiento],$B$2,BASE[CODCIE104],GUIA_NACIONAL_2022_1106128105168175177179[[#This Row],[CIE-10]]))</calculatedColumnFormula>
    </tableColumn>
    <tableColumn id="5" xr3:uid="{84F2C49E-E55B-4291-9C26-0DA7D39D39F5}" name="D4" dataDxfId="671">
      <calculatedColumnFormula>IF($B$2="(Todas)",COUNTIF(BASE[CODCIE106],GUIA_NACIONAL_2022_1106128105168175177179[[#This Row],[CIE-10]]),COUNTIFS(BASE[Cod.Establecimiento],$B$2,BASE[CODCIE106],GUIA_NACIONAL_2022_1106128105168175177179[[#This Row],[CIE-10]]))</calculatedColumnFormula>
    </tableColumn>
    <tableColumn id="6" xr3:uid="{55AB1825-D934-49C1-9317-11FF61284C84}" name="D5" dataDxfId="670">
      <calculatedColumnFormula>IF($B$2="(Todas)",COUNTIF(BASE[CODCIE108],GUIA_NACIONAL_2022_1106128105168175177179[[#This Row],[CIE-10]]),COUNTIFS(BASE[Cod.Establecimiento],$B$2,BASE[CODCIE108],GUIA_NACIONAL_2022_1106128105168175177179[[#This Row],[CIE-10]]))</calculatedColumnFormula>
    </tableColumn>
    <tableColumn id="7" xr3:uid="{122D1272-3134-43FF-B8E4-C8ED38DE13B0}" name="D6" dataDxfId="669">
      <calculatedColumnFormula>IF($B$2="(Todas)",COUNTIF(BASE[CODCIE1010],GUIA_NACIONAL_2022_1106128105168175177179[[#This Row],[CIE-10]]),COUNTIFS(BASE[Cod.Establecimiento],$B$2,BASE[CODCIE1010],GUIA_NACIONAL_2022_1106128105168175177179[[#This Row],[CIE-10]]))</calculatedColumnFormula>
    </tableColumn>
    <tableColumn id="8" xr3:uid="{78D78B98-8C84-47FA-90BB-992D2C9E3891}" name="TOT" dataDxfId="668" dataCellStyle="40% - Énfasis6">
      <calculatedColumnFormula>SUM(GUIA_NACIONAL_2022_1106128105168175177179[[#This Row],[D1]:[D6]])</calculatedColumnFormula>
    </tableColumn>
  </tableColumns>
  <tableStyleInfo name="TableStyleLight1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4092183A-C79B-44DD-B635-6B11B5E3D5DB}" name="GUIA_NACIONAL_2022_1106128105168175180" displayName="GUIA_NACIONAL_2022_1106128105168175180" ref="AE60:AL61" totalsRowShown="0" headerRowDxfId="667">
  <autoFilter ref="AE60:AL61" xr:uid="{4092183A-C79B-44DD-B635-6B11B5E3D5D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7BA7B778-B172-4029-95E5-45C9F14A439A}" name="CIE-10" dataCellStyle="20% - Énfasis4"/>
    <tableColumn id="2" xr3:uid="{04A02609-E92E-4131-BE5E-F21EFD6AEEDC}" name="D1" dataDxfId="666">
      <calculatedColumnFormula>IF($B$2="(Todas)",COUNTIF(BASE[CODCIE10],GUIA_NACIONAL_2022_1106128105168175180[[#This Row],[CIE-10]]),COUNTIFS(BASE[Cod.Establecimiento],$B$2,BASE[CODCIE10],GUIA_NACIONAL_2022_1106128105168175180[[#This Row],[CIE-10]]))</calculatedColumnFormula>
    </tableColumn>
    <tableColumn id="3" xr3:uid="{F81F0433-0D6C-4B59-B999-24ADFA47253F}" name="D2" dataDxfId="665">
      <calculatedColumnFormula>IF($B$2="(Todas)",COUNTIF(BASE[CODCIE102],GUIA_NACIONAL_2022_1106128105168175180[[#This Row],[CIE-10]]),COUNTIFS(BASE[Cod.Establecimiento],$B$2,BASE[CODCIE102],GUIA_NACIONAL_2022_1106128105168175180[[#This Row],[CIE-10]]))</calculatedColumnFormula>
    </tableColumn>
    <tableColumn id="4" xr3:uid="{B7742A9C-0F40-4E2F-AAE4-C721A1F1BA5C}" name="D3" dataDxfId="664">
      <calculatedColumnFormula>IF($B$2="(Todas)",COUNTIF(BASE[CODCIE104],GUIA_NACIONAL_2022_1106128105168175180[[#This Row],[CIE-10]]),COUNTIFS(BASE[Cod.Establecimiento],$B$2,BASE[CODCIE104],GUIA_NACIONAL_2022_1106128105168175180[[#This Row],[CIE-10]]))</calculatedColumnFormula>
    </tableColumn>
    <tableColumn id="5" xr3:uid="{AA29F548-31A3-4265-9AE6-EC3531F0DAB6}" name="D4" dataDxfId="663">
      <calculatedColumnFormula>IF($B$2="(Todas)",COUNTIF(BASE[CODCIE106],GUIA_NACIONAL_2022_1106128105168175180[[#This Row],[CIE-10]]),COUNTIFS(BASE[Cod.Establecimiento],$B$2,BASE[CODCIE106],GUIA_NACIONAL_2022_1106128105168175180[[#This Row],[CIE-10]]))</calculatedColumnFormula>
    </tableColumn>
    <tableColumn id="6" xr3:uid="{8965F7B5-CF35-4B22-96D2-9017D1075FF2}" name="D5" dataDxfId="662">
      <calculatedColumnFormula>IF($B$2="(Todas)",COUNTIF(BASE[CODCIE108],GUIA_NACIONAL_2022_1106128105168175180[[#This Row],[CIE-10]]),COUNTIFS(BASE[Cod.Establecimiento],$B$2,BASE[CODCIE108],GUIA_NACIONAL_2022_1106128105168175180[[#This Row],[CIE-10]]))</calculatedColumnFormula>
    </tableColumn>
    <tableColumn id="7" xr3:uid="{D37A4245-8456-45F6-B428-C78645D1F7CA}" name="D6" dataDxfId="661">
      <calculatedColumnFormula>IF($B$2="(Todas)",COUNTIF(BASE[CODCIE1010],GUIA_NACIONAL_2022_1106128105168175180[[#This Row],[CIE-10]]),COUNTIFS(BASE[Cod.Establecimiento],$B$2,BASE[CODCIE1010],GUIA_NACIONAL_2022_1106128105168175180[[#This Row],[CIE-10]]))</calculatedColumnFormula>
    </tableColumn>
    <tableColumn id="8" xr3:uid="{237E8893-85F6-4190-8C56-ADA03736DD4E}" name="TOT" dataDxfId="660" dataCellStyle="40% - Énfasis6">
      <calculatedColumnFormula>SUM(GUIA_NACIONAL_2022_1106128105168175180[[#This Row],[D1]:[D6]])</calculatedColumnFormula>
    </tableColumn>
  </tableColumns>
  <tableStyleInfo name="TableStyleLight1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97CC907C-9D33-493C-AAC9-0B68133D277E}" name="GUIA_NACIONAL_2022_1106128105168175180181" displayName="GUIA_NACIONAL_2022_1106128105168175180181" ref="AE63:AL64" totalsRowShown="0" headerRowDxfId="659">
  <autoFilter ref="AE63:AL64" xr:uid="{97CC907C-9D33-493C-AAC9-0B68133D277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4D62C2AE-E04A-4740-B038-9447622830C1}" name="CIE-10" dataCellStyle="20% - Énfasis4"/>
    <tableColumn id="2" xr3:uid="{61FE3C7C-98D0-4A06-8193-81F33DC17893}" name="D1" dataDxfId="658">
      <calculatedColumnFormula>IF($B$2="(Todas)",COUNTIF(BASE[CODCIE10],GUIA_NACIONAL_2022_1106128105168175180181[[#This Row],[CIE-10]]),COUNTIFS(BASE[Cod.Establecimiento],$B$2,BASE[CODCIE10],GUIA_NACIONAL_2022_1106128105168175180181[[#This Row],[CIE-10]]))</calculatedColumnFormula>
    </tableColumn>
    <tableColumn id="3" xr3:uid="{4919E4E2-C323-43C9-B60E-1744D7F71782}" name="D2" dataDxfId="657">
      <calculatedColumnFormula>IF($B$2="(Todas)",COUNTIF(BASE[CODCIE102],GUIA_NACIONAL_2022_1106128105168175180181[[#This Row],[CIE-10]]),COUNTIFS(BASE[Cod.Establecimiento],$B$2,BASE[CODCIE102],GUIA_NACIONAL_2022_1106128105168175180181[[#This Row],[CIE-10]]))</calculatedColumnFormula>
    </tableColumn>
    <tableColumn id="4" xr3:uid="{4FA3E617-E383-4CC5-AD55-0856C2B912DA}" name="D3" dataDxfId="656">
      <calculatedColumnFormula>IF($B$2="(Todas)",COUNTIF(BASE[CODCIE104],GUIA_NACIONAL_2022_1106128105168175180181[[#This Row],[CIE-10]]),COUNTIFS(BASE[Cod.Establecimiento],$B$2,BASE[CODCIE104],GUIA_NACIONAL_2022_1106128105168175180181[[#This Row],[CIE-10]]))</calculatedColumnFormula>
    </tableColumn>
    <tableColumn id="5" xr3:uid="{93263273-6647-489A-807E-A40FDB92CEAE}" name="D4" dataDxfId="655">
      <calculatedColumnFormula>IF($B$2="(Todas)",COUNTIF(BASE[CODCIE106],GUIA_NACIONAL_2022_1106128105168175180181[[#This Row],[CIE-10]]),COUNTIFS(BASE[Cod.Establecimiento],$B$2,BASE[CODCIE106],GUIA_NACIONAL_2022_1106128105168175180181[[#This Row],[CIE-10]]))</calculatedColumnFormula>
    </tableColumn>
    <tableColumn id="6" xr3:uid="{A1000B46-A3F3-4D3D-8409-D73368C7C300}" name="D5" dataDxfId="654">
      <calculatedColumnFormula>IF($B$2="(Todas)",COUNTIF(BASE[CODCIE108],GUIA_NACIONAL_2022_1106128105168175180181[[#This Row],[CIE-10]]),COUNTIFS(BASE[Cod.Establecimiento],$B$2,BASE[CODCIE108],GUIA_NACIONAL_2022_1106128105168175180181[[#This Row],[CIE-10]]))</calculatedColumnFormula>
    </tableColumn>
    <tableColumn id="7" xr3:uid="{563E33C3-E2A8-4E34-BCF7-E555E108BF1B}" name="D6" dataDxfId="653">
      <calculatedColumnFormula>IF($B$2="(Todas)",COUNTIF(BASE[CODCIE1010],GUIA_NACIONAL_2022_1106128105168175180181[[#This Row],[CIE-10]]),COUNTIFS(BASE[Cod.Establecimiento],$B$2,BASE[CODCIE1010],GUIA_NACIONAL_2022_1106128105168175180181[[#This Row],[CIE-10]]))</calculatedColumnFormula>
    </tableColumn>
    <tableColumn id="8" xr3:uid="{68F33D0B-C930-4033-9933-9E22FF531DA5}" name="TOT" dataDxfId="652" dataCellStyle="40% - Énfasis6">
      <calculatedColumnFormula>SUM(GUIA_NACIONAL_2022_1106128105168175180181[[#This Row],[D1]:[D6]])</calculatedColumnFormula>
    </tableColumn>
  </tableColumns>
  <tableStyleInfo name="TableStyleLight1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1ED37C01-9303-4AA0-9A9F-5598ED4A4BAF}" name="GUIA_NACIONAL_2022_1106128105168175180181182" displayName="GUIA_NACIONAL_2022_1106128105168175180181182" ref="AE66:AL68" totalsRowShown="0" headerRowDxfId="651">
  <autoFilter ref="AE66:AL68" xr:uid="{1ED37C01-9303-4AA0-9A9F-5598ED4A4BA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34E4FF3E-F4CD-4F47-99B8-52EAFA1E7072}" name="CIE-10" dataCellStyle="20% - Énfasis4"/>
    <tableColumn id="2" xr3:uid="{924DD121-B196-4402-90ED-C90ECA125B24}" name="D1" dataDxfId="650">
      <calculatedColumnFormula>IF($B$2="(Todas)",COUNTIF(BASE[CODCIE10],GUIA_NACIONAL_2022_1106128105168175180181182[[#This Row],[CIE-10]]),COUNTIFS(BASE[Cod.Establecimiento],$B$2,BASE[CODCIE10],GUIA_NACIONAL_2022_1106128105168175180181182[[#This Row],[CIE-10]]))</calculatedColumnFormula>
    </tableColumn>
    <tableColumn id="3" xr3:uid="{7F31C49C-E5C0-4781-90DA-5110E514DD83}" name="D2" dataDxfId="649">
      <calculatedColumnFormula>IF($B$2="(Todas)",COUNTIF(BASE[CODCIE102],GUIA_NACIONAL_2022_1106128105168175180181182[[#This Row],[CIE-10]]),COUNTIFS(BASE[Cod.Establecimiento],$B$2,BASE[CODCIE102],GUIA_NACIONAL_2022_1106128105168175180181182[[#This Row],[CIE-10]]))</calculatedColumnFormula>
    </tableColumn>
    <tableColumn id="4" xr3:uid="{3DC77A22-5F74-4D6D-A450-1D324D704975}" name="D3" dataDxfId="648">
      <calculatedColumnFormula>IF($B$2="(Todas)",COUNTIF(BASE[CODCIE104],GUIA_NACIONAL_2022_1106128105168175180181182[[#This Row],[CIE-10]]),COUNTIFS(BASE[Cod.Establecimiento],$B$2,BASE[CODCIE104],GUIA_NACIONAL_2022_1106128105168175180181182[[#This Row],[CIE-10]]))</calculatedColumnFormula>
    </tableColumn>
    <tableColumn id="5" xr3:uid="{3208F280-5310-4869-826B-F8EF284B6F2D}" name="D4" dataDxfId="647">
      <calculatedColumnFormula>IF($B$2="(Todas)",COUNTIF(BASE[CODCIE106],GUIA_NACIONAL_2022_1106128105168175180181182[[#This Row],[CIE-10]]),COUNTIFS(BASE[Cod.Establecimiento],$B$2,BASE[CODCIE106],GUIA_NACIONAL_2022_1106128105168175180181182[[#This Row],[CIE-10]]))</calculatedColumnFormula>
    </tableColumn>
    <tableColumn id="6" xr3:uid="{E975FF94-D1C7-4905-AE59-7327A0FF7BBB}" name="D5" dataDxfId="646">
      <calculatedColumnFormula>IF($B$2="(Todas)",COUNTIF(BASE[CODCIE108],GUIA_NACIONAL_2022_1106128105168175180181182[[#This Row],[CIE-10]]),COUNTIFS(BASE[Cod.Establecimiento],$B$2,BASE[CODCIE108],GUIA_NACIONAL_2022_1106128105168175180181182[[#This Row],[CIE-10]]))</calculatedColumnFormula>
    </tableColumn>
    <tableColumn id="7" xr3:uid="{4C825F48-E6E1-426F-B745-C560BE893A7A}" name="D6" dataDxfId="645">
      <calculatedColumnFormula>IF($B$2="(Todas)",COUNTIF(BASE[CODCIE1010],GUIA_NACIONAL_2022_1106128105168175180181182[[#This Row],[CIE-10]]),COUNTIFS(BASE[Cod.Establecimiento],$B$2,BASE[CODCIE1010],GUIA_NACIONAL_2022_1106128105168175180181182[[#This Row],[CIE-10]]))</calculatedColumnFormula>
    </tableColumn>
    <tableColumn id="8" xr3:uid="{03F2D147-D469-44F9-99E9-F5941D06C054}" name="TOT" dataDxfId="644" dataCellStyle="40% - Énfasis6">
      <calculatedColumnFormula>SUM(GUIA_NACIONAL_2022_1106128105168175180181182[[#This Row],[D1]:[D6]])</calculatedColumnFormula>
    </tableColumn>
  </tableColumns>
  <tableStyleInfo name="TableStyleLight1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D5F66BEB-AF38-4375-9497-9AA64173498E}" name="GUIA_NACIONAL_2022_1106128105168175180181182183" displayName="GUIA_NACIONAL_2022_1106128105168175180181182183" ref="AE70:AL72" totalsRowShown="0" headerRowDxfId="643">
  <autoFilter ref="AE70:AL72" xr:uid="{D5F66BEB-AF38-4375-9497-9AA64173498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2AF79387-FDD7-4631-9671-F304A9D7F421}" name="CIE-10" dataCellStyle="20% - Énfasis4"/>
    <tableColumn id="2" xr3:uid="{2B23E831-592F-4A63-B4BF-85BBA98BC49D}" name="D1" dataDxfId="642">
      <calculatedColumnFormula>IF($B$2="(Todas)",COUNTIF(BASE[CODCIE10],GUIA_NACIONAL_2022_1106128105168175180181182183[[#This Row],[CIE-10]]),COUNTIFS(BASE[Cod.Establecimiento],$B$2,BASE[CODCIE10],GUIA_NACIONAL_2022_1106128105168175180181182183[[#This Row],[CIE-10]]))</calculatedColumnFormula>
    </tableColumn>
    <tableColumn id="3" xr3:uid="{ACAE4451-C58F-4C8C-A760-2BB2D9943008}" name="D2" dataDxfId="641">
      <calculatedColumnFormula>IF($B$2="(Todas)",COUNTIF(BASE[CODCIE102],GUIA_NACIONAL_2022_1106128105168175180181182183[[#This Row],[CIE-10]]),COUNTIFS(BASE[Cod.Establecimiento],$B$2,BASE[CODCIE102],GUIA_NACIONAL_2022_1106128105168175180181182183[[#This Row],[CIE-10]]))</calculatedColumnFormula>
    </tableColumn>
    <tableColumn id="4" xr3:uid="{21627433-2BB9-45E9-822D-0205D51C37E5}" name="D3" dataDxfId="640">
      <calculatedColumnFormula>IF($B$2="(Todas)",COUNTIF(BASE[CODCIE104],GUIA_NACIONAL_2022_1106128105168175180181182183[[#This Row],[CIE-10]]),COUNTIFS(BASE[Cod.Establecimiento],$B$2,BASE[CODCIE104],GUIA_NACIONAL_2022_1106128105168175180181182183[[#This Row],[CIE-10]]))</calculatedColumnFormula>
    </tableColumn>
    <tableColumn id="5" xr3:uid="{D1ED2E44-3B39-419F-BF42-289CE2FB7BD8}" name="D4" dataDxfId="639">
      <calculatedColumnFormula>IF($B$2="(Todas)",COUNTIF(BASE[CODCIE106],GUIA_NACIONAL_2022_1106128105168175180181182183[[#This Row],[CIE-10]]),COUNTIFS(BASE[Cod.Establecimiento],$B$2,BASE[CODCIE106],GUIA_NACIONAL_2022_1106128105168175180181182183[[#This Row],[CIE-10]]))</calculatedColumnFormula>
    </tableColumn>
    <tableColumn id="6" xr3:uid="{873BCF67-95DA-47B5-B96E-F1A3B50671AB}" name="D5" dataDxfId="638">
      <calculatedColumnFormula>IF($B$2="(Todas)",COUNTIF(BASE[CODCIE108],GUIA_NACIONAL_2022_1106128105168175180181182183[[#This Row],[CIE-10]]),COUNTIFS(BASE[Cod.Establecimiento],$B$2,BASE[CODCIE108],GUIA_NACIONAL_2022_1106128105168175180181182183[[#This Row],[CIE-10]]))</calculatedColumnFormula>
    </tableColumn>
    <tableColumn id="7" xr3:uid="{07C73E60-4CE8-4763-A62A-4CBB53FEE578}" name="D6" dataDxfId="637">
      <calculatedColumnFormula>IF($B$2="(Todas)",COUNTIF(BASE[CODCIE1010],GUIA_NACIONAL_2022_1106128105168175180181182183[[#This Row],[CIE-10]]),COUNTIFS(BASE[Cod.Establecimiento],$B$2,BASE[CODCIE1010],GUIA_NACIONAL_2022_1106128105168175180181182183[[#This Row],[CIE-10]]))</calculatedColumnFormula>
    </tableColumn>
    <tableColumn id="8" xr3:uid="{CABA33A1-A282-4841-9C2C-D881F52AEAA8}" name="TOT" dataDxfId="636" dataCellStyle="40% - Énfasis6">
      <calculatedColumnFormula>SUM(GUIA_NACIONAL_2022_1106128105168175180181182183[[#This Row],[D1]:[D6]])</calculatedColumnFormula>
    </tableColumn>
  </tableColumns>
  <tableStyleInfo name="TableStyleLight1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8DA3754C-0872-4DEF-9FBA-82542C595D47}" name="GUIA_NACIONAL_2022_1106128105168175180181182183184" displayName="GUIA_NACIONAL_2022_1106128105168175180181182183184" ref="AE74:AL76" totalsRowShown="0" headerRowDxfId="635">
  <autoFilter ref="AE74:AL76" xr:uid="{8DA3754C-0872-4DEF-9FBA-82542C595D4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936C8F0D-BFB4-4DD7-BBF8-CA2B2275E78F}" name="CIE-10" dataCellStyle="20% - Énfasis4"/>
    <tableColumn id="2" xr3:uid="{068508EF-1102-4FF4-8BE6-0374077C3EB1}" name="D1" dataDxfId="634">
      <calculatedColumnFormula>IF($B$2="(Todas)",COUNTIF(BASE[CODCIE10],GUIA_NACIONAL_2022_1106128105168175180181182183184[[#This Row],[CIE-10]]),COUNTIFS(BASE[Cod.Establecimiento],$B$2,BASE[CODCIE10],GUIA_NACIONAL_2022_1106128105168175180181182183184[[#This Row],[CIE-10]]))</calculatedColumnFormula>
    </tableColumn>
    <tableColumn id="3" xr3:uid="{742A246C-916E-45C5-A7E8-8F0A563BC456}" name="D2" dataDxfId="633">
      <calculatedColumnFormula>IF($B$2="(Todas)",COUNTIF(BASE[CODCIE102],GUIA_NACIONAL_2022_1106128105168175180181182183184[[#This Row],[CIE-10]]),COUNTIFS(BASE[Cod.Establecimiento],$B$2,BASE[CODCIE102],GUIA_NACIONAL_2022_1106128105168175180181182183184[[#This Row],[CIE-10]]))</calculatedColumnFormula>
    </tableColumn>
    <tableColumn id="4" xr3:uid="{901E4FCE-7D66-4EC0-8471-7249DD36BE54}" name="D3" dataDxfId="632">
      <calculatedColumnFormula>IF($B$2="(Todas)",COUNTIF(BASE[CODCIE104],GUIA_NACIONAL_2022_1106128105168175180181182183184[[#This Row],[CIE-10]]),COUNTIFS(BASE[Cod.Establecimiento],$B$2,BASE[CODCIE104],GUIA_NACIONAL_2022_1106128105168175180181182183184[[#This Row],[CIE-10]]))</calculatedColumnFormula>
    </tableColumn>
    <tableColumn id="5" xr3:uid="{EF255197-8127-41A9-BCFC-80ED466947E8}" name="D4" dataDxfId="631">
      <calculatedColumnFormula>IF($B$2="(Todas)",COUNTIF(BASE[CODCIE106],GUIA_NACIONAL_2022_1106128105168175180181182183184[[#This Row],[CIE-10]]),COUNTIFS(BASE[Cod.Establecimiento],$B$2,BASE[CODCIE106],GUIA_NACIONAL_2022_1106128105168175180181182183184[[#This Row],[CIE-10]]))</calculatedColumnFormula>
    </tableColumn>
    <tableColumn id="6" xr3:uid="{ADD2CCA5-B585-4066-92A1-05BD8585464E}" name="D5" dataDxfId="630">
      <calculatedColumnFormula>IF($B$2="(Todas)",COUNTIF(BASE[CODCIE108],GUIA_NACIONAL_2022_1106128105168175180181182183184[[#This Row],[CIE-10]]),COUNTIFS(BASE[Cod.Establecimiento],$B$2,BASE[CODCIE108],GUIA_NACIONAL_2022_1106128105168175180181182183184[[#This Row],[CIE-10]]))</calculatedColumnFormula>
    </tableColumn>
    <tableColumn id="7" xr3:uid="{7582BF31-2F52-46D7-9AB5-4C2B14E12744}" name="D6" dataDxfId="629">
      <calculatedColumnFormula>IF($B$2="(Todas)",COUNTIF(BASE[CODCIE1010],GUIA_NACIONAL_2022_1106128105168175180181182183184[[#This Row],[CIE-10]]),COUNTIFS(BASE[Cod.Establecimiento],$B$2,BASE[CODCIE1010],GUIA_NACIONAL_2022_1106128105168175180181182183184[[#This Row],[CIE-10]]))</calculatedColumnFormula>
    </tableColumn>
    <tableColumn id="8" xr3:uid="{83F4C5B1-09B5-467D-AE05-7DC5D43F6CB5}" name="TOT" dataDxfId="628" dataCellStyle="40% - Énfasis6">
      <calculatedColumnFormula>SUM(GUIA_NACIONAL_2022_1106128105168175180181182183184[[#This Row],[D1]:[D6]])</calculatedColumnFormula>
    </tableColumn>
  </tableColumns>
  <tableStyleInfo name="TableStyleLight1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ECD24A85-B72D-4A37-A446-49F81851221A}" name="GUIA_NACIONAL_2022_1106128105168175180181182183184185" displayName="GUIA_NACIONAL_2022_1106128105168175180181182183184185" ref="AE78:AL80" totalsRowShown="0" headerRowDxfId="627">
  <autoFilter ref="AE78:AL80" xr:uid="{ECD24A85-B72D-4A37-A446-49F81851221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D9484FA1-9766-4DA8-8D03-78D73893524C}" name="CIE-10" dataCellStyle="20% - Énfasis4"/>
    <tableColumn id="2" xr3:uid="{D2AEB839-6C2C-477D-B857-23507BC5B361}" name="D1" dataDxfId="626">
      <calculatedColumnFormula>IF($B$2="(Todas)",COUNTIF(BASE[CODCIE10],GUIA_NACIONAL_2022_1106128105168175180181182183184185[[#This Row],[CIE-10]]),COUNTIFS(BASE[Cod.Establecimiento],$B$2,BASE[CODCIE10],GUIA_NACIONAL_2022_1106128105168175180181182183184185[[#This Row],[CIE-10]]))</calculatedColumnFormula>
    </tableColumn>
    <tableColumn id="3" xr3:uid="{7DA3C7E0-FDA9-444B-A0AC-D4FE2FFA899E}" name="D2" dataDxfId="625">
      <calculatedColumnFormula>IF($B$2="(Todas)",COUNTIF(BASE[CODCIE102],GUIA_NACIONAL_2022_1106128105168175180181182183184185[[#This Row],[CIE-10]]),COUNTIFS(BASE[Cod.Establecimiento],$B$2,BASE[CODCIE102],GUIA_NACIONAL_2022_1106128105168175180181182183184185[[#This Row],[CIE-10]]))</calculatedColumnFormula>
    </tableColumn>
    <tableColumn id="4" xr3:uid="{60238E58-B942-48C4-AD0D-EF1155DB99F5}" name="D3" dataDxfId="624">
      <calculatedColumnFormula>IF($B$2="(Todas)",COUNTIF(BASE[CODCIE104],GUIA_NACIONAL_2022_1106128105168175180181182183184185[[#This Row],[CIE-10]]),COUNTIFS(BASE[Cod.Establecimiento],$B$2,BASE[CODCIE104],GUIA_NACIONAL_2022_1106128105168175180181182183184185[[#This Row],[CIE-10]]))</calculatedColumnFormula>
    </tableColumn>
    <tableColumn id="5" xr3:uid="{D5694627-B367-43ED-BBCA-8DC8EC249894}" name="D4" dataDxfId="623">
      <calculatedColumnFormula>IF($B$2="(Todas)",COUNTIF(BASE[CODCIE106],GUIA_NACIONAL_2022_1106128105168175180181182183184185[[#This Row],[CIE-10]]),COUNTIFS(BASE[Cod.Establecimiento],$B$2,BASE[CODCIE106],GUIA_NACIONAL_2022_1106128105168175180181182183184185[[#This Row],[CIE-10]]))</calculatedColumnFormula>
    </tableColumn>
    <tableColumn id="6" xr3:uid="{EEE055D3-91C7-40A2-98A3-E700EC7EE095}" name="D5" dataDxfId="622">
      <calculatedColumnFormula>IF($B$2="(Todas)",COUNTIF(BASE[CODCIE108],GUIA_NACIONAL_2022_1106128105168175180181182183184185[[#This Row],[CIE-10]]),COUNTIFS(BASE[Cod.Establecimiento],$B$2,BASE[CODCIE108],GUIA_NACIONAL_2022_1106128105168175180181182183184185[[#This Row],[CIE-10]]))</calculatedColumnFormula>
    </tableColumn>
    <tableColumn id="7" xr3:uid="{F7E78CA9-36CC-4328-A699-78CBA252662D}" name="D6" dataDxfId="621">
      <calculatedColumnFormula>IF($B$2="(Todas)",COUNTIF(BASE[CODCIE1010],GUIA_NACIONAL_2022_1106128105168175180181182183184185[[#This Row],[CIE-10]]),COUNTIFS(BASE[Cod.Establecimiento],$B$2,BASE[CODCIE1010],GUIA_NACIONAL_2022_1106128105168175180181182183184185[[#This Row],[CIE-10]]))</calculatedColumnFormula>
    </tableColumn>
    <tableColumn id="8" xr3:uid="{2ADF2A9D-D6C5-4223-A501-0EB29EB6785A}" name="TOT" dataDxfId="620" dataCellStyle="40% - Énfasis6">
      <calculatedColumnFormula>SUM(GUIA_NACIONAL_2022_1106128105168175180181182183184185[[#This Row],[D1]:[D6]])</calculatedColumnFormula>
    </tableColumn>
  </tableColumns>
  <tableStyleInfo name="TableStyleLight1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504CC4A4-2EDA-445B-BD4D-D950960C92F9}" name="GUIA_NACIONAL_2022_1106128105168175180181182183184185186" displayName="GUIA_NACIONAL_2022_1106128105168175180181182183184185186" ref="AE82:AL86" totalsRowShown="0" headerRowDxfId="619">
  <autoFilter ref="AE82:AL86" xr:uid="{504CC4A4-2EDA-445B-BD4D-D950960C92F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F52108D4-1911-4A82-888D-06BA3A38E737}" name="CIE-10" dataCellStyle="20% - Énfasis4"/>
    <tableColumn id="2" xr3:uid="{5826E194-DF00-42B4-ABDE-7AA36C57AB50}" name="D1" dataDxfId="618">
      <calculatedColumnFormula>IF($B$2="(Todas)",COUNTIF(BASE[CODCIE10],GUIA_NACIONAL_2022_1106128105168175180181182183184185186[[#This Row],[CIE-10]]),COUNTIFS(BASE[Cod.Establecimiento],$B$2,BASE[CODCIE10],GUIA_NACIONAL_2022_1106128105168175180181182183184185186[[#This Row],[CIE-10]]))</calculatedColumnFormula>
    </tableColumn>
    <tableColumn id="3" xr3:uid="{4348C8BA-0D7D-4F13-8E22-ABBD161BE639}" name="D2" dataDxfId="617">
      <calculatedColumnFormula>IF($B$2="(Todas)",COUNTIF(BASE[CODCIE102],GUIA_NACIONAL_2022_1106128105168175180181182183184185186[[#This Row],[CIE-10]]),COUNTIFS(BASE[Cod.Establecimiento],$B$2,BASE[CODCIE102],GUIA_NACIONAL_2022_1106128105168175180181182183184185186[[#This Row],[CIE-10]]))</calculatedColumnFormula>
    </tableColumn>
    <tableColumn id="4" xr3:uid="{D4D93283-381A-4957-8C47-33D276BD042F}" name="D3" dataDxfId="616">
      <calculatedColumnFormula>IF($B$2="(Todas)",COUNTIF(BASE[CODCIE104],GUIA_NACIONAL_2022_1106128105168175180181182183184185186[[#This Row],[CIE-10]]),COUNTIFS(BASE[Cod.Establecimiento],$B$2,BASE[CODCIE104],GUIA_NACIONAL_2022_1106128105168175180181182183184185186[[#This Row],[CIE-10]]))</calculatedColumnFormula>
    </tableColumn>
    <tableColumn id="5" xr3:uid="{6F05C796-ED13-4B6A-A53A-85D1C38A1D4C}" name="D4" dataDxfId="615">
      <calculatedColumnFormula>IF($B$2="(Todas)",COUNTIF(BASE[CODCIE106],GUIA_NACIONAL_2022_1106128105168175180181182183184185186[[#This Row],[CIE-10]]),COUNTIFS(BASE[Cod.Establecimiento],$B$2,BASE[CODCIE106],GUIA_NACIONAL_2022_1106128105168175180181182183184185186[[#This Row],[CIE-10]]))</calculatedColumnFormula>
    </tableColumn>
    <tableColumn id="6" xr3:uid="{9BCA0D0A-94BA-42CD-9D5C-BD03E17636EF}" name="D5" dataDxfId="614">
      <calculatedColumnFormula>IF($B$2="(Todas)",COUNTIF(BASE[CODCIE108],GUIA_NACIONAL_2022_1106128105168175180181182183184185186[[#This Row],[CIE-10]]),COUNTIFS(BASE[Cod.Establecimiento],$B$2,BASE[CODCIE108],GUIA_NACIONAL_2022_1106128105168175180181182183184185186[[#This Row],[CIE-10]]))</calculatedColumnFormula>
    </tableColumn>
    <tableColumn id="7" xr3:uid="{19A7CF12-E5CA-46F5-A5A9-C31A12432695}" name="D6" dataDxfId="613">
      <calculatedColumnFormula>IF($B$2="(Todas)",COUNTIF(BASE[CODCIE1010],GUIA_NACIONAL_2022_1106128105168175180181182183184185186[[#This Row],[CIE-10]]),COUNTIFS(BASE[Cod.Establecimiento],$B$2,BASE[CODCIE1010],GUIA_NACIONAL_2022_1106128105168175180181182183184185186[[#This Row],[CIE-10]]))</calculatedColumnFormula>
    </tableColumn>
    <tableColumn id="8" xr3:uid="{E0F52474-2FAC-4EC5-A014-F55D47ECA97A}" name="TOT" dataDxfId="612" dataCellStyle="40% - Énfasis6">
      <calculatedColumnFormula>SUM(GUIA_NACIONAL_2022_1106128105168175180181182183184185186[[#This Row],[D1]:[D6]])</calculatedColumnFormula>
    </tableColumn>
  </tableColumns>
  <tableStyleInfo name="TableStyleLight1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EB0599D0-F5F4-4B49-A3DD-6BB7EF1F9297}" name="GUIA_NACIONAL_2022_1106128105168175180187" displayName="GUIA_NACIONAL_2022_1106128105168175180187" ref="AE89:AL90" totalsRowShown="0" headerRowDxfId="611">
  <autoFilter ref="AE89:AL90" xr:uid="{EB0599D0-F5F4-4B49-A3DD-6BB7EF1F929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2A804FA6-C584-4C38-913C-016ADF6AD843}" name="CIE-10" dataCellStyle="20% - Énfasis4"/>
    <tableColumn id="2" xr3:uid="{B66490AF-5BAC-483A-B9C3-EBE2FF343F0B}" name="D1" dataDxfId="610">
      <calculatedColumnFormula>IF($B$2="(Todas)",COUNTIF(BASE[CODCIE10],GUIA_NACIONAL_2022_1106128105168175180187[[#This Row],[CIE-10]]),COUNTIFS(BASE[Cod.Establecimiento],$B$2,BASE[CODCIE10],GUIA_NACIONAL_2022_1106128105168175180187[[#This Row],[CIE-10]]))</calculatedColumnFormula>
    </tableColumn>
    <tableColumn id="3" xr3:uid="{AEA22E3B-9BBE-4E2D-9A4B-724BDD0BE862}" name="D2" dataDxfId="609">
      <calculatedColumnFormula>IF($B$2="(Todas)",COUNTIF(BASE[CODCIE102],GUIA_NACIONAL_2022_1106128105168175180187[[#This Row],[CIE-10]]),COUNTIFS(BASE[Cod.Establecimiento],$B$2,BASE[CODCIE102],GUIA_NACIONAL_2022_1106128105168175180187[[#This Row],[CIE-10]]))</calculatedColumnFormula>
    </tableColumn>
    <tableColumn id="4" xr3:uid="{687BADC2-7447-4E0D-B2BD-4639ABBB101C}" name="D3" dataDxfId="608">
      <calculatedColumnFormula>IF($B$2="(Todas)",COUNTIF(BASE[CODCIE104],GUIA_NACIONAL_2022_1106128105168175180187[[#This Row],[CIE-10]]),COUNTIFS(BASE[Cod.Establecimiento],$B$2,BASE[CODCIE104],GUIA_NACIONAL_2022_1106128105168175180187[[#This Row],[CIE-10]]))</calculatedColumnFormula>
    </tableColumn>
    <tableColumn id="5" xr3:uid="{2EB74767-7FF1-4740-ABC5-92F4521A7350}" name="D4" dataDxfId="607">
      <calculatedColumnFormula>IF($B$2="(Todas)",COUNTIF(BASE[CODCIE106],GUIA_NACIONAL_2022_1106128105168175180187[[#This Row],[CIE-10]]),COUNTIFS(BASE[Cod.Establecimiento],$B$2,BASE[CODCIE106],GUIA_NACIONAL_2022_1106128105168175180187[[#This Row],[CIE-10]]))</calculatedColumnFormula>
    </tableColumn>
    <tableColumn id="6" xr3:uid="{EACF8540-3E7C-4040-BFA2-42641C6CAAEB}" name="D5" dataDxfId="606">
      <calculatedColumnFormula>IF($B$2="(Todas)",COUNTIF(BASE[CODCIE108],GUIA_NACIONAL_2022_1106128105168175180187[[#This Row],[CIE-10]]),COUNTIFS(BASE[Cod.Establecimiento],$B$2,BASE[CODCIE108],GUIA_NACIONAL_2022_1106128105168175180187[[#This Row],[CIE-10]]))</calculatedColumnFormula>
    </tableColumn>
    <tableColumn id="7" xr3:uid="{6BD1F06B-F3EA-4E1A-8E8F-A7DE50DE53CB}" name="D6" dataDxfId="605">
      <calculatedColumnFormula>IF($B$2="(Todas)",COUNTIF(BASE[CODCIE1010],GUIA_NACIONAL_2022_1106128105168175180187[[#This Row],[CIE-10]]),COUNTIFS(BASE[Cod.Establecimiento],$B$2,BASE[CODCIE1010],GUIA_NACIONAL_2022_1106128105168175180187[[#This Row],[CIE-10]]))</calculatedColumnFormula>
    </tableColumn>
    <tableColumn id="8" xr3:uid="{32C3FFDA-7B81-49EA-8EE5-30D607953278}" name="TOT" dataDxfId="604" dataCellStyle="40% - Énfasis6">
      <calculatedColumnFormula>SUM(GUIA_NACIONAL_2022_1106128105168175180187[[#This Row],[D1]:[D6]])</calculatedColumnFormula>
    </tableColumn>
  </tableColumns>
  <tableStyleInfo name="TableStyleLight1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AF8AAE7C-E5D5-4B87-95E1-AB75DB61170E}" name="GUIA_NACIONAL_2022_1106128105168175180187188" displayName="GUIA_NACIONAL_2022_1106128105168175180187188" ref="AE92:AL93" totalsRowShown="0" headerRowDxfId="603">
  <autoFilter ref="AE92:AL93" xr:uid="{AF8AAE7C-E5D5-4B87-95E1-AB75DB61170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39B4556A-7F46-45F2-9C23-D2F80839F033}" name="CIE-10" dataCellStyle="20% - Énfasis4"/>
    <tableColumn id="2" xr3:uid="{6B0B273F-54D7-4DC8-9EE1-08500E1C981F}" name="D1" dataDxfId="602">
      <calculatedColumnFormula>IF($B$2="(Todas)",COUNTIF(BASE[CODCIE10],GUIA_NACIONAL_2022_1106128105168175180187188[[#This Row],[CIE-10]]),COUNTIFS(BASE[Cod.Establecimiento],$B$2,BASE[CODCIE10],GUIA_NACIONAL_2022_1106128105168175180187188[[#This Row],[CIE-10]]))</calculatedColumnFormula>
    </tableColumn>
    <tableColumn id="3" xr3:uid="{228A6EA0-6097-46C5-A284-76553384E122}" name="D2" dataDxfId="601">
      <calculatedColumnFormula>IF($B$2="(Todas)",COUNTIF(BASE[CODCIE102],GUIA_NACIONAL_2022_1106128105168175180187188[[#This Row],[CIE-10]]),COUNTIFS(BASE[Cod.Establecimiento],$B$2,BASE[CODCIE102],GUIA_NACIONAL_2022_1106128105168175180187188[[#This Row],[CIE-10]]))</calculatedColumnFormula>
    </tableColumn>
    <tableColumn id="4" xr3:uid="{4D2572D5-4B61-4E16-AA5A-0DA008B87A0D}" name="D3" dataDxfId="600">
      <calculatedColumnFormula>IF($B$2="(Todas)",COUNTIF(BASE[CODCIE104],GUIA_NACIONAL_2022_1106128105168175180187188[[#This Row],[CIE-10]]),COUNTIFS(BASE[Cod.Establecimiento],$B$2,BASE[CODCIE104],GUIA_NACIONAL_2022_1106128105168175180187188[[#This Row],[CIE-10]]))</calculatedColumnFormula>
    </tableColumn>
    <tableColumn id="5" xr3:uid="{EE1490C1-8EBF-45BD-8D6E-87097D0786D4}" name="D4" dataDxfId="599">
      <calculatedColumnFormula>IF($B$2="(Todas)",COUNTIF(BASE[CODCIE106],GUIA_NACIONAL_2022_1106128105168175180187188[[#This Row],[CIE-10]]),COUNTIFS(BASE[Cod.Establecimiento],$B$2,BASE[CODCIE106],GUIA_NACIONAL_2022_1106128105168175180187188[[#This Row],[CIE-10]]))</calculatedColumnFormula>
    </tableColumn>
    <tableColumn id="6" xr3:uid="{B6C0AA0B-218C-4A4C-875B-2243BF30B281}" name="D5" dataDxfId="598">
      <calculatedColumnFormula>IF($B$2="(Todas)",COUNTIF(BASE[CODCIE108],GUIA_NACIONAL_2022_1106128105168175180187188[[#This Row],[CIE-10]]),COUNTIFS(BASE[Cod.Establecimiento],$B$2,BASE[CODCIE108],GUIA_NACIONAL_2022_1106128105168175180187188[[#This Row],[CIE-10]]))</calculatedColumnFormula>
    </tableColumn>
    <tableColumn id="7" xr3:uid="{E2835A21-299E-4095-963D-0611F0E2B987}" name="D6" dataDxfId="597">
      <calculatedColumnFormula>IF($B$2="(Todas)",COUNTIF(BASE[CODCIE1010],GUIA_NACIONAL_2022_1106128105168175180187188[[#This Row],[CIE-10]]),COUNTIFS(BASE[Cod.Establecimiento],$B$2,BASE[CODCIE1010],GUIA_NACIONAL_2022_1106128105168175180187188[[#This Row],[CIE-10]]))</calculatedColumnFormula>
    </tableColumn>
    <tableColumn id="8" xr3:uid="{29F71EE1-8346-4470-8878-E0B8F2939CE0}" name="TOT" dataDxfId="596" dataCellStyle="40% - Énfasis6">
      <calculatedColumnFormula>SUM(GUIA_NACIONAL_2022_1106128105168175180187188[[#This Row],[D1]:[D6]])</calculatedColumnFormula>
    </tableColumn>
  </tableColumns>
  <tableStyleInfo name="TableStyleLight1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142AA28D-60DD-4345-A2DF-DD6C5D3B87A2}" name="GUIA_NACIONAL_2022_1106128105168175180187188189" displayName="GUIA_NACIONAL_2022_1106128105168175180187188189" ref="AE95:AL96" totalsRowShown="0" headerRowDxfId="595">
  <autoFilter ref="AE95:AL96" xr:uid="{142AA28D-60DD-4345-A2DF-DD6C5D3B87A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E4E54462-29E2-4BD2-876F-D9F382EC7F23}" name="CIE-10" dataCellStyle="20% - Énfasis4"/>
    <tableColumn id="2" xr3:uid="{9817F10D-F1B6-4EED-AE1F-E0FCB19411A5}" name="D1" dataDxfId="594">
      <calculatedColumnFormula>IF($B$2="(Todas)",COUNTIF(BASE[CODCIE10],GUIA_NACIONAL_2022_1106128105168175180187188189[[#This Row],[CIE-10]]),COUNTIFS(BASE[Cod.Establecimiento],$B$2,BASE[CODCIE10],GUIA_NACIONAL_2022_1106128105168175180187188189[[#This Row],[CIE-10]]))</calculatedColumnFormula>
    </tableColumn>
    <tableColumn id="3" xr3:uid="{3111FFA0-E979-423E-8DDD-9EFF59A1EA78}" name="D2" dataDxfId="593">
      <calculatedColumnFormula>IF($B$2="(Todas)",COUNTIF(BASE[CODCIE102],GUIA_NACIONAL_2022_1106128105168175180187188189[[#This Row],[CIE-10]]),COUNTIFS(BASE[Cod.Establecimiento],$B$2,BASE[CODCIE102],GUIA_NACIONAL_2022_1106128105168175180187188189[[#This Row],[CIE-10]]))</calculatedColumnFormula>
    </tableColumn>
    <tableColumn id="4" xr3:uid="{963A1363-A7B9-4B41-85A6-E3CD433429DA}" name="D3" dataDxfId="592">
      <calculatedColumnFormula>IF($B$2="(Todas)",COUNTIF(BASE[CODCIE104],GUIA_NACIONAL_2022_1106128105168175180187188189[[#This Row],[CIE-10]]),COUNTIFS(BASE[Cod.Establecimiento],$B$2,BASE[CODCIE104],GUIA_NACIONAL_2022_1106128105168175180187188189[[#This Row],[CIE-10]]))</calculatedColumnFormula>
    </tableColumn>
    <tableColumn id="5" xr3:uid="{0DC9A9CB-9CE7-410C-A0CC-EE9ACA987CA9}" name="D4" dataDxfId="591">
      <calculatedColumnFormula>IF($B$2="(Todas)",COUNTIF(BASE[CODCIE106],GUIA_NACIONAL_2022_1106128105168175180187188189[[#This Row],[CIE-10]]),COUNTIFS(BASE[Cod.Establecimiento],$B$2,BASE[CODCIE106],GUIA_NACIONAL_2022_1106128105168175180187188189[[#This Row],[CIE-10]]))</calculatedColumnFormula>
    </tableColumn>
    <tableColumn id="6" xr3:uid="{0AD50B04-4D8E-4F18-8DF8-28B2E073134D}" name="D5" dataDxfId="590">
      <calculatedColumnFormula>IF($B$2="(Todas)",COUNTIF(BASE[CODCIE108],GUIA_NACIONAL_2022_1106128105168175180187188189[[#This Row],[CIE-10]]),COUNTIFS(BASE[Cod.Establecimiento],$B$2,BASE[CODCIE108],GUIA_NACIONAL_2022_1106128105168175180187188189[[#This Row],[CIE-10]]))</calculatedColumnFormula>
    </tableColumn>
    <tableColumn id="7" xr3:uid="{24E5C916-A6DB-4D2C-993E-F655BFD061F4}" name="D6" dataDxfId="589">
      <calculatedColumnFormula>IF($B$2="(Todas)",COUNTIF(BASE[CODCIE1010],GUIA_NACIONAL_2022_1106128105168175180187188189[[#This Row],[CIE-10]]),COUNTIFS(BASE[Cod.Establecimiento],$B$2,BASE[CODCIE1010],GUIA_NACIONAL_2022_1106128105168175180187188189[[#This Row],[CIE-10]]))</calculatedColumnFormula>
    </tableColumn>
    <tableColumn id="8" xr3:uid="{B274DD22-DDD2-4CAF-AAD4-D5068BF5900F}" name="TOT" dataDxfId="588" dataCellStyle="40% - Énfasis6">
      <calculatedColumnFormula>SUM(GUIA_NACIONAL_2022_1106128105168175180187188189[[#This Row],[D1]:[D6]])</calculatedColumnFormula>
    </tableColumn>
  </tableColumns>
  <tableStyleInfo name="TableStyleLight12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AA4E14A8-5F66-431C-A2FD-D4247D94E5A4}" name="GUIA_NACIONAL_2022_1106128105168175180187188189190" displayName="GUIA_NACIONAL_2022_1106128105168175180187188189190" ref="AE98:AL99" totalsRowShown="0" headerRowDxfId="587">
  <autoFilter ref="AE98:AL99" xr:uid="{AA4E14A8-5F66-431C-A2FD-D4247D94E5A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81F02818-97CD-465F-B85C-885C0F4C0BF6}" name="CIE-10" dataCellStyle="20% - Énfasis4"/>
    <tableColumn id="2" xr3:uid="{0F888CB3-11C9-4CB5-BB39-158EE65C510A}" name="D1" dataDxfId="586">
      <calculatedColumnFormula>IF($B$2="(Todas)",COUNTIF(BASE[CODCIE10],GUIA_NACIONAL_2022_1106128105168175180187188189190[[#This Row],[CIE-10]]),COUNTIFS(BASE[Cod.Establecimiento],$B$2,BASE[CODCIE10],GUIA_NACIONAL_2022_1106128105168175180187188189190[[#This Row],[CIE-10]]))</calculatedColumnFormula>
    </tableColumn>
    <tableColumn id="3" xr3:uid="{949434B0-0656-4C26-B8FA-1E15BA5DD1DD}" name="D2" dataDxfId="585">
      <calculatedColumnFormula>IF($B$2="(Todas)",COUNTIF(BASE[CODCIE102],GUIA_NACIONAL_2022_1106128105168175180187188189190[[#This Row],[CIE-10]]),COUNTIFS(BASE[Cod.Establecimiento],$B$2,BASE[CODCIE102],GUIA_NACIONAL_2022_1106128105168175180187188189190[[#This Row],[CIE-10]]))</calculatedColumnFormula>
    </tableColumn>
    <tableColumn id="4" xr3:uid="{32EA5C48-04B1-46B9-99B5-FCB1388E8AF7}" name="D3" dataDxfId="584">
      <calculatedColumnFormula>IF($B$2="(Todas)",COUNTIF(BASE[CODCIE104],GUIA_NACIONAL_2022_1106128105168175180187188189190[[#This Row],[CIE-10]]),COUNTIFS(BASE[Cod.Establecimiento],$B$2,BASE[CODCIE104],GUIA_NACIONAL_2022_1106128105168175180187188189190[[#This Row],[CIE-10]]))</calculatedColumnFormula>
    </tableColumn>
    <tableColumn id="5" xr3:uid="{599CF594-621F-4E18-801B-92D362142B1A}" name="D4" dataDxfId="583">
      <calculatedColumnFormula>IF($B$2="(Todas)",COUNTIF(BASE[CODCIE106],GUIA_NACIONAL_2022_1106128105168175180187188189190[[#This Row],[CIE-10]]),COUNTIFS(BASE[Cod.Establecimiento],$B$2,BASE[CODCIE106],GUIA_NACIONAL_2022_1106128105168175180187188189190[[#This Row],[CIE-10]]))</calculatedColumnFormula>
    </tableColumn>
    <tableColumn id="6" xr3:uid="{F392EF70-E6C5-400B-B965-C3C979DBA73D}" name="D5" dataDxfId="582">
      <calculatedColumnFormula>IF($B$2="(Todas)",COUNTIF(BASE[CODCIE108],GUIA_NACIONAL_2022_1106128105168175180187188189190[[#This Row],[CIE-10]]),COUNTIFS(BASE[Cod.Establecimiento],$B$2,BASE[CODCIE108],GUIA_NACIONAL_2022_1106128105168175180187188189190[[#This Row],[CIE-10]]))</calculatedColumnFormula>
    </tableColumn>
    <tableColumn id="7" xr3:uid="{5E9D2440-1304-4511-9ED9-3C7C1CE0E2B1}" name="D6" dataDxfId="581">
      <calculatedColumnFormula>IF($B$2="(Todas)",COUNTIF(BASE[CODCIE1010],GUIA_NACIONAL_2022_1106128105168175180187188189190[[#This Row],[CIE-10]]),COUNTIFS(BASE[Cod.Establecimiento],$B$2,BASE[CODCIE1010],GUIA_NACIONAL_2022_1106128105168175180187188189190[[#This Row],[CIE-10]]))</calculatedColumnFormula>
    </tableColumn>
    <tableColumn id="8" xr3:uid="{D17BBCEA-896C-45FD-B1D1-E032A5ECCE3F}" name="TOT" dataDxfId="580" dataCellStyle="40% - Énfasis6">
      <calculatedColumnFormula>SUM(GUIA_NACIONAL_2022_1106128105168175180187188189190[[#This Row],[D1]:[D6]])</calculatedColumnFormula>
    </tableColumn>
  </tableColumns>
  <tableStyleInfo name="TableStyleLight12" showFirstColumn="0" showLastColumn="0" showRowStripes="1" showColumnStripes="0"/>
</table>
</file>

<file path=xl/tables/table1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EE861AA8-EFF7-400D-8ED3-0FC83F162A78}" name="GUIA_NACIONAL_2022_1106128105168175180187191" displayName="GUIA_NACIONAL_2022_1106128105168175180187191" ref="AE102:AL104" totalsRowShown="0" headerRowDxfId="579">
  <autoFilter ref="AE102:AL104" xr:uid="{EE861AA8-EFF7-400D-8ED3-0FC83F162A7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DE47CB94-D327-4BAC-B3F8-6CF402E3119E}" name="CIE-10" dataCellStyle="20% - Énfasis4"/>
    <tableColumn id="2" xr3:uid="{27924D39-53C1-4533-9F0E-DCC5603937D7}" name="D1" dataDxfId="578">
      <calculatedColumnFormula>IF($B$2="(Todas)",COUNTIF(BASE[CODCIE10],GUIA_NACIONAL_2022_1106128105168175180187191[[#This Row],[CIE-10]]),COUNTIFS(BASE[Cod.Establecimiento],$B$2,BASE[CODCIE10],GUIA_NACIONAL_2022_1106128105168175180187191[[#This Row],[CIE-10]]))</calculatedColumnFormula>
    </tableColumn>
    <tableColumn id="3" xr3:uid="{4ED84E57-C83C-455C-ACE4-9CB91DEF4D94}" name="D2" dataDxfId="577">
      <calculatedColumnFormula>IF($B$2="(Todas)",COUNTIF(BASE[CODCIE102],GUIA_NACIONAL_2022_1106128105168175180187191[[#This Row],[CIE-10]]),COUNTIFS(BASE[Cod.Establecimiento],$B$2,BASE[CODCIE102],GUIA_NACIONAL_2022_1106128105168175180187191[[#This Row],[CIE-10]]))</calculatedColumnFormula>
    </tableColumn>
    <tableColumn id="4" xr3:uid="{3D7046D1-A6C1-41DC-9A03-2FAF21734985}" name="D3" dataDxfId="576">
      <calculatedColumnFormula>IF($B$2="(Todas)",COUNTIF(BASE[CODCIE104],GUIA_NACIONAL_2022_1106128105168175180187191[[#This Row],[CIE-10]]),COUNTIFS(BASE[Cod.Establecimiento],$B$2,BASE[CODCIE104],GUIA_NACIONAL_2022_1106128105168175180187191[[#This Row],[CIE-10]]))</calculatedColumnFormula>
    </tableColumn>
    <tableColumn id="5" xr3:uid="{C7E92DBD-A9AA-4C43-A30E-746D9D94F780}" name="D4" dataDxfId="575">
      <calculatedColumnFormula>IF($B$2="(Todas)",COUNTIF(BASE[CODCIE106],GUIA_NACIONAL_2022_1106128105168175180187191[[#This Row],[CIE-10]]),COUNTIFS(BASE[Cod.Establecimiento],$B$2,BASE[CODCIE106],GUIA_NACIONAL_2022_1106128105168175180187191[[#This Row],[CIE-10]]))</calculatedColumnFormula>
    </tableColumn>
    <tableColumn id="6" xr3:uid="{659E8325-592A-4E18-BD0A-886E58FB1130}" name="D5" dataDxfId="574">
      <calculatedColumnFormula>IF($B$2="(Todas)",COUNTIF(BASE[CODCIE108],GUIA_NACIONAL_2022_1106128105168175180187191[[#This Row],[CIE-10]]),COUNTIFS(BASE[Cod.Establecimiento],$B$2,BASE[CODCIE108],GUIA_NACIONAL_2022_1106128105168175180187191[[#This Row],[CIE-10]]))</calculatedColumnFormula>
    </tableColumn>
    <tableColumn id="7" xr3:uid="{2632591F-6ED9-4D67-B55C-57742D0F00EE}" name="D6" dataDxfId="573">
      <calculatedColumnFormula>IF($B$2="(Todas)",COUNTIF(BASE[CODCIE1010],GUIA_NACIONAL_2022_1106128105168175180187191[[#This Row],[CIE-10]]),COUNTIFS(BASE[Cod.Establecimiento],$B$2,BASE[CODCIE1010],GUIA_NACIONAL_2022_1106128105168175180187191[[#This Row],[CIE-10]]))</calculatedColumnFormula>
    </tableColumn>
    <tableColumn id="8" xr3:uid="{9015E00C-AE9F-43DE-A5EB-CAF1FD92149C}" name="TOT" dataDxfId="572" dataCellStyle="40% - Énfasis6">
      <calculatedColumnFormula>SUM(GUIA_NACIONAL_2022_1106128105168175180187191[[#This Row],[D1]:[D6]])</calculatedColumnFormula>
    </tableColumn>
  </tableColumns>
  <tableStyleInfo name="TableStyleLight12" showFirstColumn="0" showLastColumn="0" showRowStripes="1" showColumnStripes="0"/>
</table>
</file>

<file path=xl/tables/table1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ECD583E8-9B9C-4D19-8177-2A5DBBB68139}" name="GUIA_NACIONAL_2022_1106128105168175180187191192" displayName="GUIA_NACIONAL_2022_1106128105168175180187191192" ref="AE106:AL108" totalsRowShown="0" headerRowDxfId="571">
  <autoFilter ref="AE106:AL108" xr:uid="{ECD583E8-9B9C-4D19-8177-2A5DBBB6813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3A0549DF-9D68-415A-BA66-1BAC87D24126}" name="CIE-10" dataCellStyle="20% - Énfasis4"/>
    <tableColumn id="2" xr3:uid="{3EB207D3-8836-4B8B-A767-210789E57E28}" name="D1" dataDxfId="570">
      <calculatedColumnFormula>IF($B$2="(Todas)",COUNTIF(BASE[CODCIE10],GUIA_NACIONAL_2022_1106128105168175180187191192[[#This Row],[CIE-10]]),COUNTIFS(BASE[Cod.Establecimiento],$B$2,BASE[CODCIE10],GUIA_NACIONAL_2022_1106128105168175180187191192[[#This Row],[CIE-10]]))</calculatedColumnFormula>
    </tableColumn>
    <tableColumn id="3" xr3:uid="{42CAED57-616E-4013-89FB-F709759B4C52}" name="D2" dataDxfId="569">
      <calculatedColumnFormula>IF($B$2="(Todas)",COUNTIF(BASE[CODCIE102],GUIA_NACIONAL_2022_1106128105168175180187191192[[#This Row],[CIE-10]]),COUNTIFS(BASE[Cod.Establecimiento],$B$2,BASE[CODCIE102],GUIA_NACIONAL_2022_1106128105168175180187191192[[#This Row],[CIE-10]]))</calculatedColumnFormula>
    </tableColumn>
    <tableColumn id="4" xr3:uid="{A77D259F-63DB-4FAB-9C64-67EA8FB9A2D9}" name="D3" dataDxfId="568">
      <calculatedColumnFormula>IF($B$2="(Todas)",COUNTIF(BASE[CODCIE104],GUIA_NACIONAL_2022_1106128105168175180187191192[[#This Row],[CIE-10]]),COUNTIFS(BASE[Cod.Establecimiento],$B$2,BASE[CODCIE104],GUIA_NACIONAL_2022_1106128105168175180187191192[[#This Row],[CIE-10]]))</calculatedColumnFormula>
    </tableColumn>
    <tableColumn id="5" xr3:uid="{F1AC93D4-E81D-4BD9-904B-A3C9A47211EA}" name="D4" dataDxfId="567">
      <calculatedColumnFormula>IF($B$2="(Todas)",COUNTIF(BASE[CODCIE106],GUIA_NACIONAL_2022_1106128105168175180187191192[[#This Row],[CIE-10]]),COUNTIFS(BASE[Cod.Establecimiento],$B$2,BASE[CODCIE106],GUIA_NACIONAL_2022_1106128105168175180187191192[[#This Row],[CIE-10]]))</calculatedColumnFormula>
    </tableColumn>
    <tableColumn id="6" xr3:uid="{C48625C5-609E-43B2-9221-C01D090146FA}" name="D5" dataDxfId="566">
      <calculatedColumnFormula>IF($B$2="(Todas)",COUNTIF(BASE[CODCIE108],GUIA_NACIONAL_2022_1106128105168175180187191192[[#This Row],[CIE-10]]),COUNTIFS(BASE[Cod.Establecimiento],$B$2,BASE[CODCIE108],GUIA_NACIONAL_2022_1106128105168175180187191192[[#This Row],[CIE-10]]))</calculatedColumnFormula>
    </tableColumn>
    <tableColumn id="7" xr3:uid="{E92F6393-0F60-4BF4-B0C7-4CC9045A1476}" name="D6" dataDxfId="565">
      <calculatedColumnFormula>IF($B$2="(Todas)",COUNTIF(BASE[CODCIE1010],GUIA_NACIONAL_2022_1106128105168175180187191192[[#This Row],[CIE-10]]),COUNTIFS(BASE[Cod.Establecimiento],$B$2,BASE[CODCIE1010],GUIA_NACIONAL_2022_1106128105168175180187191192[[#This Row],[CIE-10]]))</calculatedColumnFormula>
    </tableColumn>
    <tableColumn id="8" xr3:uid="{4633B326-127C-46D8-AC66-DA9F26270A4F}" name="TOT" dataDxfId="564" dataCellStyle="40% - Énfasis6">
      <calculatedColumnFormula>SUM(GUIA_NACIONAL_2022_1106128105168175180187191192[[#This Row],[D1]:[D6]])</calculatedColumnFormula>
    </tableColumn>
  </tableColumns>
  <tableStyleInfo name="TableStyleLight12" showFirstColumn="0" showLastColumn="0" showRowStripes="1" showColumnStripes="0"/>
</table>
</file>

<file path=xl/tables/table1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6DEE49DF-2B34-4ACD-8FA0-E8490299D6E4}" name="GUIA_NACIONAL_2022_1106128105168175180187188189190193" displayName="GUIA_NACIONAL_2022_1106128105168175180187188189190193" ref="AE110:AL114" totalsRowShown="0" headerRowDxfId="563">
  <autoFilter ref="AE110:AL114" xr:uid="{6DEE49DF-2B34-4ACD-8FA0-E8490299D6E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4775BDB9-5CCD-45FF-8647-FA26F6673689}" name="CIE-10" dataCellStyle="20% - Énfasis4"/>
    <tableColumn id="2" xr3:uid="{F54AD3C6-F46E-4D8F-A220-A21CE5844730}" name="D1" dataDxfId="562">
      <calculatedColumnFormula>IF($B$2="(Todas)",COUNTIF(BASE[CODCIE10],GUIA_NACIONAL_2022_1106128105168175180187188189190193[[#This Row],[CIE-10]]),COUNTIFS(BASE[Cod.Establecimiento],$B$2,BASE[CODCIE10],GUIA_NACIONAL_2022_1106128105168175180187188189190193[[#This Row],[CIE-10]]))</calculatedColumnFormula>
    </tableColumn>
    <tableColumn id="3" xr3:uid="{D22F6406-754E-4568-A1C6-8E0ECB9C4A85}" name="D2" dataDxfId="561">
      <calculatedColumnFormula>IF($B$2="(Todas)",COUNTIF(BASE[CODCIE102],GUIA_NACIONAL_2022_1106128105168175180187188189190193[[#This Row],[CIE-10]]),COUNTIFS(BASE[Cod.Establecimiento],$B$2,BASE[CODCIE102],GUIA_NACIONAL_2022_1106128105168175180187188189190193[[#This Row],[CIE-10]]))</calculatedColumnFormula>
    </tableColumn>
    <tableColumn id="4" xr3:uid="{EC6EC920-E9E3-47BF-AA8C-E06F2F412154}" name="D3" dataDxfId="560">
      <calculatedColumnFormula>IF($B$2="(Todas)",COUNTIF(BASE[CODCIE104],GUIA_NACIONAL_2022_1106128105168175180187188189190193[[#This Row],[CIE-10]]),COUNTIFS(BASE[Cod.Establecimiento],$B$2,BASE[CODCIE104],GUIA_NACIONAL_2022_1106128105168175180187188189190193[[#This Row],[CIE-10]]))</calculatedColumnFormula>
    </tableColumn>
    <tableColumn id="5" xr3:uid="{8EC26B7F-5C63-4AAA-BA75-30B4C039C9DF}" name="D4" dataDxfId="559">
      <calculatedColumnFormula>IF($B$2="(Todas)",COUNTIF(BASE[CODCIE106],GUIA_NACIONAL_2022_1106128105168175180187188189190193[[#This Row],[CIE-10]]),COUNTIFS(BASE[Cod.Establecimiento],$B$2,BASE[CODCIE106],GUIA_NACIONAL_2022_1106128105168175180187188189190193[[#This Row],[CIE-10]]))</calculatedColumnFormula>
    </tableColumn>
    <tableColumn id="6" xr3:uid="{B06AA88B-18BB-4F43-A203-EADBEB956A5D}" name="D5" dataDxfId="558">
      <calculatedColumnFormula>IF($B$2="(Todas)",COUNTIF(BASE[CODCIE108],GUIA_NACIONAL_2022_1106128105168175180187188189190193[[#This Row],[CIE-10]]),COUNTIFS(BASE[Cod.Establecimiento],$B$2,BASE[CODCIE108],GUIA_NACIONAL_2022_1106128105168175180187188189190193[[#This Row],[CIE-10]]))</calculatedColumnFormula>
    </tableColumn>
    <tableColumn id="7" xr3:uid="{A31EE0F0-3F23-427A-B831-24A8298F8413}" name="D6" dataDxfId="557">
      <calculatedColumnFormula>IF($B$2="(Todas)",COUNTIF(BASE[CODCIE1010],GUIA_NACIONAL_2022_1106128105168175180187188189190193[[#This Row],[CIE-10]]),COUNTIFS(BASE[Cod.Establecimiento],$B$2,BASE[CODCIE1010],GUIA_NACIONAL_2022_1106128105168175180187188189190193[[#This Row],[CIE-10]]))</calculatedColumnFormula>
    </tableColumn>
    <tableColumn id="8" xr3:uid="{E4199E4C-51C3-49FA-A019-B9538C70938A}" name="TOT" dataDxfId="556" dataCellStyle="40% - Énfasis6">
      <calculatedColumnFormula>SUM(GUIA_NACIONAL_2022_1106128105168175180187188189190193[[#This Row],[D1]:[D6]])</calculatedColumnFormula>
    </tableColumn>
  </tableColumns>
  <tableStyleInfo name="TableStyleLight12" showFirstColumn="0" showLastColumn="0" showRowStripes="1" showColumnStripes="0"/>
</table>
</file>

<file path=xl/tables/table1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A95ED9DC-EAFE-4BFC-BF88-5C5078F08588}" name="GUIA_NACIONAL_2022_1106128105168175180187188189190193194" displayName="GUIA_NACIONAL_2022_1106128105168175180187188189190193194" ref="AE116:AL117" totalsRowShown="0" headerRowDxfId="555">
  <autoFilter ref="AE116:AL117" xr:uid="{A95ED9DC-EAFE-4BFC-BF88-5C5078F0858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AFD6CAA1-4482-4A7E-8736-9A39223B9571}" name="CIE-10" dataCellStyle="20% - Énfasis4"/>
    <tableColumn id="2" xr3:uid="{F13B37D1-2EF2-4E1F-8EC3-EFC31FD4C7BC}" name="D1" dataDxfId="554">
      <calculatedColumnFormula>IF($B$2="(Todas)",COUNTIF(BASE[CODCIE10],GUIA_NACIONAL_2022_1106128105168175180187188189190193194[[#This Row],[CIE-10]]),COUNTIFS(BASE[Cod.Establecimiento],$B$2,BASE[CODCIE10],GUIA_NACIONAL_2022_1106128105168175180187188189190193194[[#This Row],[CIE-10]]))</calculatedColumnFormula>
    </tableColumn>
    <tableColumn id="3" xr3:uid="{85922BF1-ABE9-4BB5-BB89-483B9C27A7FD}" name="D2" dataDxfId="553">
      <calculatedColumnFormula>IF($B$2="(Todas)",COUNTIF(BASE[CODCIE102],GUIA_NACIONAL_2022_1106128105168175180187188189190193194[[#This Row],[CIE-10]]),COUNTIFS(BASE[Cod.Establecimiento],$B$2,BASE[CODCIE102],GUIA_NACIONAL_2022_1106128105168175180187188189190193194[[#This Row],[CIE-10]]))</calculatedColumnFormula>
    </tableColumn>
    <tableColumn id="4" xr3:uid="{F9166382-1139-499F-B2AA-999CD36EF1E3}" name="D3" dataDxfId="552">
      <calculatedColumnFormula>IF($B$2="(Todas)",COUNTIF(BASE[CODCIE104],GUIA_NACIONAL_2022_1106128105168175180187188189190193194[[#This Row],[CIE-10]]),COUNTIFS(BASE[Cod.Establecimiento],$B$2,BASE[CODCIE104],GUIA_NACIONAL_2022_1106128105168175180187188189190193194[[#This Row],[CIE-10]]))</calculatedColumnFormula>
    </tableColumn>
    <tableColumn id="5" xr3:uid="{46D390BA-E86D-42BA-8C16-A9EE4045A087}" name="D4" dataDxfId="551">
      <calculatedColumnFormula>IF($B$2="(Todas)",COUNTIF(BASE[CODCIE106],GUIA_NACIONAL_2022_1106128105168175180187188189190193194[[#This Row],[CIE-10]]),COUNTIFS(BASE[Cod.Establecimiento],$B$2,BASE[CODCIE106],GUIA_NACIONAL_2022_1106128105168175180187188189190193194[[#This Row],[CIE-10]]))</calculatedColumnFormula>
    </tableColumn>
    <tableColumn id="6" xr3:uid="{B655C273-25F1-4935-BBD4-61F6106CBF99}" name="D5" dataDxfId="550">
      <calculatedColumnFormula>IF($B$2="(Todas)",COUNTIF(BASE[CODCIE108],GUIA_NACIONAL_2022_1106128105168175180187188189190193194[[#This Row],[CIE-10]]),COUNTIFS(BASE[Cod.Establecimiento],$B$2,BASE[CODCIE108],GUIA_NACIONAL_2022_1106128105168175180187188189190193194[[#This Row],[CIE-10]]))</calculatedColumnFormula>
    </tableColumn>
    <tableColumn id="7" xr3:uid="{E1CD2244-7CD7-4395-AF99-67449353CCB6}" name="D6" dataDxfId="549">
      <calculatedColumnFormula>IF($B$2="(Todas)",COUNTIF(BASE[CODCIE1010],GUIA_NACIONAL_2022_1106128105168175180187188189190193194[[#This Row],[CIE-10]]),COUNTIFS(BASE[Cod.Establecimiento],$B$2,BASE[CODCIE1010],GUIA_NACIONAL_2022_1106128105168175180187188189190193194[[#This Row],[CIE-10]]))</calculatedColumnFormula>
    </tableColumn>
    <tableColumn id="8" xr3:uid="{F4E03800-551A-4735-80B1-C03E765AF648}" name="TOT" dataDxfId="548" dataCellStyle="40% - Énfasis6">
      <calculatedColumnFormula>SUM(GUIA_NACIONAL_2022_1106128105168175180187188189190193194[[#This Row],[D1]:[D6]])</calculatedColumnFormula>
    </tableColumn>
  </tableColumns>
  <tableStyleInfo name="TableStyleLight12" showFirstColumn="0" showLastColumn="0" showRowStripes="1" showColumnStripes="0"/>
</table>
</file>

<file path=xl/tables/table1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047884D3-CE5C-452B-A612-5D65BAD2B491}" name="GUIA_NACIONAL_2022_1106128105168162" displayName="GUIA_NACIONAL_2022_1106128105168162" ref="AN8:AU9" totalsRowShown="0" headerRowDxfId="547">
  <tableColumns count="8">
    <tableColumn id="1" xr3:uid="{485F194B-50E7-4EB0-AFA1-A1A8E51CB2CF}" name="CIE-10" dataCellStyle="20% - Énfasis4"/>
    <tableColumn id="2" xr3:uid="{36314886-388C-4F91-96F1-C0758381A961}" name="D1" dataDxfId="546">
      <calculatedColumnFormula>IF($B$2="(Todas)",COUNTIF(BASE[CODCIE10],GUIA_NACIONAL_2022_1106128105168162[[#This Row],[CIE-10]]),COUNTIFS(BASE[Cod.Establecimiento],$B$2,BASE[CODCIE10],GUIA_NACIONAL_2022_1106128105168162[[#This Row],[CIE-10]]))</calculatedColumnFormula>
    </tableColumn>
    <tableColumn id="3" xr3:uid="{5D2F268C-CEA4-4CC3-B35E-F7FFD838CB75}" name="D2" dataDxfId="545">
      <calculatedColumnFormula>IF($B$2="(Todas)",COUNTIF(BASE[CODCIE102],GUIA_NACIONAL_2022_1106128105168162[[#This Row],[CIE-10]]),COUNTIFS(BASE[Cod.Establecimiento],$B$2,BASE[CODCIE102],GUIA_NACIONAL_2022_1106128105168162[[#This Row],[CIE-10]]))</calculatedColumnFormula>
    </tableColumn>
    <tableColumn id="4" xr3:uid="{4444AAD6-D80C-4B68-A0D4-6DD25EEDD680}" name="D3" dataDxfId="544">
      <calculatedColumnFormula>IF($B$2="(Todas)",COUNTIF(BASE[CODCIE104],GUIA_NACIONAL_2022_1106128105168162[[#This Row],[CIE-10]]),COUNTIFS(BASE[Cod.Establecimiento],$B$2,BASE[CODCIE104],GUIA_NACIONAL_2022_1106128105168162[[#This Row],[CIE-10]]))</calculatedColumnFormula>
    </tableColumn>
    <tableColumn id="5" xr3:uid="{2F47D9E0-2F8C-4FCE-BD70-2DB9A363A770}" name="D4" dataDxfId="543">
      <calculatedColumnFormula>IF($B$2="(Todas)",COUNTIF(BASE[CODCIE106],GUIA_NACIONAL_2022_1106128105168162[[#This Row],[CIE-10]]),COUNTIFS(BASE[Cod.Establecimiento],$B$2,BASE[CODCIE106],GUIA_NACIONAL_2022_1106128105168162[[#This Row],[CIE-10]]))</calculatedColumnFormula>
    </tableColumn>
    <tableColumn id="6" xr3:uid="{06E723D7-32CF-4FB6-8A67-BB8B3042EB17}" name="D5" dataDxfId="542">
      <calculatedColumnFormula>IF($B$2="(Todas)",COUNTIF(BASE[CODCIE108],GUIA_NACIONAL_2022_1106128105168162[[#This Row],[CIE-10]]),COUNTIFS(BASE[Cod.Establecimiento],$B$2,BASE[CODCIE108],GUIA_NACIONAL_2022_1106128105168162[[#This Row],[CIE-10]]))</calculatedColumnFormula>
    </tableColumn>
    <tableColumn id="7" xr3:uid="{FA71405B-92B4-4DE1-B245-66D26D71B11E}" name="D6" dataDxfId="541">
      <calculatedColumnFormula>IF($B$2="(Todas)",COUNTIF(BASE[CODCIE1010],GUIA_NACIONAL_2022_1106128105168162[[#This Row],[CIE-10]]),COUNTIFS(BASE[Cod.Establecimiento],$B$2,BASE[CODCIE1010],GUIA_NACIONAL_2022_1106128105168162[[#This Row],[CIE-10]]))</calculatedColumnFormula>
    </tableColumn>
    <tableColumn id="8" xr3:uid="{0DCA4B9F-CB03-4F37-A9FE-67A54B533A2D}" name="TOT" dataDxfId="540" dataCellStyle="40% - Énfasis6">
      <calculatedColumnFormula>SUM(GUIA_NACIONAL_2022_1106128105168162[[#This Row],[D1]:[D6]])</calculatedColumnFormula>
    </tableColumn>
  </tableColumns>
  <tableStyleInfo name="TableStyleLight12" showFirstColumn="0" showLastColumn="0" showRowStripes="1" showColumnStripes="0"/>
</table>
</file>

<file path=xl/tables/table1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7A745EE8-46B9-4CD5-9F79-912D6A9F8CC1}" name="GUIA_NACIONAL_2022_1106128105168162195" displayName="GUIA_NACIONAL_2022_1106128105168162195" ref="AN11:AU12" totalsRowShown="0" headerRowDxfId="539">
  <tableColumns count="8">
    <tableColumn id="1" xr3:uid="{FFDA94AE-A371-4F16-9093-5FF9394511DB}" name="CIE-10" dataCellStyle="20% - Énfasis4"/>
    <tableColumn id="2" xr3:uid="{1D68D946-4CCA-4F64-9B48-2E43DDF353AC}" name="D1" dataDxfId="538">
      <calculatedColumnFormula>IF($B$2="(Todas)",COUNTIF(BASE[CODCIE10],GUIA_NACIONAL_2022_1106128105168162195[[#This Row],[CIE-10]]),COUNTIFS(BASE[Cod.Establecimiento],$B$2,BASE[CODCIE10],GUIA_NACIONAL_2022_1106128105168162195[[#This Row],[CIE-10]]))</calculatedColumnFormula>
    </tableColumn>
    <tableColumn id="3" xr3:uid="{839AD74B-4A58-453C-AA9D-A0E697B8694E}" name="D2" dataDxfId="537">
      <calculatedColumnFormula>IF($B$2="(Todas)",COUNTIF(BASE[CODCIE102],GUIA_NACIONAL_2022_1106128105168162195[[#This Row],[CIE-10]]),COUNTIFS(BASE[Cod.Establecimiento],$B$2,BASE[CODCIE102],GUIA_NACIONAL_2022_1106128105168162195[[#This Row],[CIE-10]]))</calculatedColumnFormula>
    </tableColumn>
    <tableColumn id="4" xr3:uid="{2C756EE9-F428-4DC4-A2EA-C65F5BA7EEEE}" name="D3" dataDxfId="536">
      <calculatedColumnFormula>IF($B$2="(Todas)",COUNTIF(BASE[CODCIE104],GUIA_NACIONAL_2022_1106128105168162195[[#This Row],[CIE-10]]),COUNTIFS(BASE[Cod.Establecimiento],$B$2,BASE[CODCIE104],GUIA_NACIONAL_2022_1106128105168162195[[#This Row],[CIE-10]]))</calculatedColumnFormula>
    </tableColumn>
    <tableColumn id="5" xr3:uid="{6F830312-C601-4EB6-925D-1DF8B8C53D09}" name="D4" dataDxfId="535">
      <calculatedColumnFormula>IF($B$2="(Todas)",COUNTIF(BASE[CODCIE106],GUIA_NACIONAL_2022_1106128105168162195[[#This Row],[CIE-10]]),COUNTIFS(BASE[Cod.Establecimiento],$B$2,BASE[CODCIE106],GUIA_NACIONAL_2022_1106128105168162195[[#This Row],[CIE-10]]))</calculatedColumnFormula>
    </tableColumn>
    <tableColumn id="6" xr3:uid="{4A1BA522-E1F5-4DA7-B59E-1248DAA97462}" name="D5" dataDxfId="534">
      <calculatedColumnFormula>IF($B$2="(Todas)",COUNTIF(BASE[CODCIE108],GUIA_NACIONAL_2022_1106128105168162195[[#This Row],[CIE-10]]),COUNTIFS(BASE[Cod.Establecimiento],$B$2,BASE[CODCIE108],GUIA_NACIONAL_2022_1106128105168162195[[#This Row],[CIE-10]]))</calculatedColumnFormula>
    </tableColumn>
    <tableColumn id="7" xr3:uid="{D78C522F-D967-4DD9-8CDF-C7DFB1F4F931}" name="D6" dataDxfId="533">
      <calculatedColumnFormula>IF($B$2="(Todas)",COUNTIF(BASE[CODCIE1010],GUIA_NACIONAL_2022_1106128105168162195[[#This Row],[CIE-10]]),COUNTIFS(BASE[Cod.Establecimiento],$B$2,BASE[CODCIE1010],GUIA_NACIONAL_2022_1106128105168162195[[#This Row],[CIE-10]]))</calculatedColumnFormula>
    </tableColumn>
    <tableColumn id="8" xr3:uid="{F3512B32-FEC2-4AFF-9AE9-04DCCF0BE934}" name="TOT" dataDxfId="532" dataCellStyle="40% - Énfasis6">
      <calculatedColumnFormula>SUM(GUIA_NACIONAL_2022_1106128105168162195[[#This Row],[D1]:[D6]])</calculatedColumnFormula>
    </tableColumn>
  </tableColumns>
  <tableStyleInfo name="TableStyleLight12" showFirstColumn="0" showLastColumn="0" showRowStripes="1" showColumnStripes="0"/>
</table>
</file>

<file path=xl/tables/table1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5" xr:uid="{6005347E-2F25-4B6D-9A14-7B7560117C2B}" name="GUIA_NACIONAL_2022_1106128105168162195196" displayName="GUIA_NACIONAL_2022_1106128105168162195196" ref="AN14:AU17" totalsRowShown="0" headerRowDxfId="531">
  <tableColumns count="8">
    <tableColumn id="1" xr3:uid="{07D5ED23-3A0C-4FBD-A509-98CD7932F04C}" name="CIE-10" dataCellStyle="20% - Énfasis4"/>
    <tableColumn id="2" xr3:uid="{D6E153FA-65E9-4920-9413-7B5A72703DA7}" name="D1" dataDxfId="530">
      <calculatedColumnFormula>IF($B$2="(Todas)",COUNTIF(BASE[CODCIE10],GUIA_NACIONAL_2022_1106128105168162195196[[#This Row],[CIE-10]]),COUNTIFS(BASE[Cod.Establecimiento],$B$2,BASE[CODCIE10],GUIA_NACIONAL_2022_1106128105168162195196[[#This Row],[CIE-10]]))</calculatedColumnFormula>
    </tableColumn>
    <tableColumn id="3" xr3:uid="{33399EDB-6A62-4D6F-A9B4-F17721445DCC}" name="D2" dataDxfId="529">
      <calculatedColumnFormula>IF($B$2="(Todas)",COUNTIF(BASE[CODCIE102],GUIA_NACIONAL_2022_1106128105168162195196[[#This Row],[CIE-10]]),COUNTIFS(BASE[Cod.Establecimiento],$B$2,BASE[CODCIE102],GUIA_NACIONAL_2022_1106128105168162195196[[#This Row],[CIE-10]]))</calculatedColumnFormula>
    </tableColumn>
    <tableColumn id="4" xr3:uid="{01122B40-948D-487E-98AC-EEB1CAC05B11}" name="D3" dataDxfId="528">
      <calculatedColumnFormula>IF($B$2="(Todas)",COUNTIF(BASE[CODCIE104],GUIA_NACIONAL_2022_1106128105168162195196[[#This Row],[CIE-10]]),COUNTIFS(BASE[Cod.Establecimiento],$B$2,BASE[CODCIE104],GUIA_NACIONAL_2022_1106128105168162195196[[#This Row],[CIE-10]]))</calculatedColumnFormula>
    </tableColumn>
    <tableColumn id="5" xr3:uid="{F8867483-5966-49DE-8040-69F2205BC24F}" name="D4" dataDxfId="527">
      <calculatedColumnFormula>IF($B$2="(Todas)",COUNTIF(BASE[CODCIE106],GUIA_NACIONAL_2022_1106128105168162195196[[#This Row],[CIE-10]]),COUNTIFS(BASE[Cod.Establecimiento],$B$2,BASE[CODCIE106],GUIA_NACIONAL_2022_1106128105168162195196[[#This Row],[CIE-10]]))</calculatedColumnFormula>
    </tableColumn>
    <tableColumn id="6" xr3:uid="{B2804CDC-3241-46E3-BD55-7ADE334DDBD8}" name="D5" dataDxfId="526">
      <calculatedColumnFormula>IF($B$2="(Todas)",COUNTIF(BASE[CODCIE108],GUIA_NACIONAL_2022_1106128105168162195196[[#This Row],[CIE-10]]),COUNTIFS(BASE[Cod.Establecimiento],$B$2,BASE[CODCIE108],GUIA_NACIONAL_2022_1106128105168162195196[[#This Row],[CIE-10]]))</calculatedColumnFormula>
    </tableColumn>
    <tableColumn id="7" xr3:uid="{ADD69DBD-1BB1-4AD4-9B22-196DAA91811F}" name="D6" dataDxfId="525">
      <calculatedColumnFormula>IF($B$2="(Todas)",COUNTIF(BASE[CODCIE1010],GUIA_NACIONAL_2022_1106128105168162195196[[#This Row],[CIE-10]]),COUNTIFS(BASE[Cod.Establecimiento],$B$2,BASE[CODCIE1010],GUIA_NACIONAL_2022_1106128105168162195196[[#This Row],[CIE-10]]))</calculatedColumnFormula>
    </tableColumn>
    <tableColumn id="8" xr3:uid="{DFAA6DF7-C8F2-4D01-977F-1813C7A6290B}" name="TOT" dataDxfId="524" dataCellStyle="40% - Énfasis6">
      <calculatedColumnFormula>SUM(GUIA_NACIONAL_2022_1106128105168162195196[[#This Row],[D1]:[D6]])</calculatedColumnFormula>
    </tableColumn>
  </tableColumns>
  <tableStyleInfo name="TableStyleLight12" showFirstColumn="0" showLastColumn="0" showRowStripes="1" showColumnStripes="0"/>
</table>
</file>

<file path=xl/tables/table1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6" xr:uid="{E733BEC5-6F1B-4595-82AF-EFD6AD6598FB}" name="GUIA_NACIONAL_2022_1106128105168162197" displayName="GUIA_NACIONAL_2022_1106128105168162197" ref="AN20:AU22" totalsRowShown="0" headerRowDxfId="523">
  <tableColumns count="8">
    <tableColumn id="1" xr3:uid="{B7EDA159-4D7A-40F9-9F16-407EECB20701}" name="CIE-10" dataCellStyle="20% - Énfasis4"/>
    <tableColumn id="2" xr3:uid="{62C3A344-E81C-4C9C-9D32-37068148C558}" name="D1" dataDxfId="522">
      <calculatedColumnFormula>IF($B$2="(Todas)",COUNTIF(BASE[CODCIE10],GUIA_NACIONAL_2022_1106128105168162197[[#This Row],[CIE-10]]),COUNTIFS(BASE[Cod.Establecimiento],$B$2,BASE[CODCIE10],GUIA_NACIONAL_2022_1106128105168162197[[#This Row],[CIE-10]]))</calculatedColumnFormula>
    </tableColumn>
    <tableColumn id="3" xr3:uid="{78F0FCD8-E66F-45BE-BF2D-E7CE5E6048B1}" name="D2" dataDxfId="521">
      <calculatedColumnFormula>IF($B$2="(Todas)",COUNTIF(BASE[CODCIE102],GUIA_NACIONAL_2022_1106128105168162197[[#This Row],[CIE-10]]),COUNTIFS(BASE[Cod.Establecimiento],$B$2,BASE[CODCIE102],GUIA_NACIONAL_2022_1106128105168162197[[#This Row],[CIE-10]]))</calculatedColumnFormula>
    </tableColumn>
    <tableColumn id="4" xr3:uid="{C2E7162D-A2FF-4345-A8E9-5D635B3EB5EC}" name="D3" dataDxfId="520">
      <calculatedColumnFormula>IF($B$2="(Todas)",COUNTIF(BASE[CODCIE104],GUIA_NACIONAL_2022_1106128105168162197[[#This Row],[CIE-10]]),COUNTIFS(BASE[Cod.Establecimiento],$B$2,BASE[CODCIE104],GUIA_NACIONAL_2022_1106128105168162197[[#This Row],[CIE-10]]))</calculatedColumnFormula>
    </tableColumn>
    <tableColumn id="5" xr3:uid="{E17869A2-55D6-417C-8F5B-C40776DDCFFD}" name="D4" dataDxfId="519">
      <calculatedColumnFormula>IF($B$2="(Todas)",COUNTIF(BASE[CODCIE106],GUIA_NACIONAL_2022_1106128105168162197[[#This Row],[CIE-10]]),COUNTIFS(BASE[Cod.Establecimiento],$B$2,BASE[CODCIE106],GUIA_NACIONAL_2022_1106128105168162197[[#This Row],[CIE-10]]))</calculatedColumnFormula>
    </tableColumn>
    <tableColumn id="6" xr3:uid="{B65816D3-2D8E-438D-8985-6407BAD32CDA}" name="D5" dataDxfId="518">
      <calculatedColumnFormula>IF($B$2="(Todas)",COUNTIF(BASE[CODCIE108],GUIA_NACIONAL_2022_1106128105168162197[[#This Row],[CIE-10]]),COUNTIFS(BASE[Cod.Establecimiento],$B$2,BASE[CODCIE108],GUIA_NACIONAL_2022_1106128105168162197[[#This Row],[CIE-10]]))</calculatedColumnFormula>
    </tableColumn>
    <tableColumn id="7" xr3:uid="{E1D121DE-1D14-417D-B8BC-7703EE478DC3}" name="D6" dataDxfId="517">
      <calculatedColumnFormula>IF($B$2="(Todas)",COUNTIF(BASE[CODCIE1010],GUIA_NACIONAL_2022_1106128105168162197[[#This Row],[CIE-10]]),COUNTIFS(BASE[Cod.Establecimiento],$B$2,BASE[CODCIE1010],GUIA_NACIONAL_2022_1106128105168162197[[#This Row],[CIE-10]]))</calculatedColumnFormula>
    </tableColumn>
    <tableColumn id="8" xr3:uid="{017962FA-48AE-4AB0-B2F6-31FD0A9E74CF}" name="TOT" dataDxfId="516" dataCellStyle="40% - Énfasis6">
      <calculatedColumnFormula>SUM(GUIA_NACIONAL_2022_1106128105168162197[[#This Row],[D1]:[D6]])</calculatedColumnFormula>
    </tableColumn>
  </tableColumns>
  <tableStyleInfo name="TableStyleLight12" showFirstColumn="0" showLastColumn="0" showRowStripes="1" showColumnStripes="0"/>
</table>
</file>

<file path=xl/tables/table1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7" xr:uid="{E6EA6C53-31E5-4488-A727-3C4E044FE1C1}" name="GUIA_NACIONAL_2022_1106128105168162195198" displayName="GUIA_NACIONAL_2022_1106128105168162195198" ref="AN24:AU25" totalsRowShown="0" headerRowDxfId="515">
  <tableColumns count="8">
    <tableColumn id="1" xr3:uid="{0A53E7E0-58BB-48FD-9BBE-74C67AEEECDC}" name="CIE-10" dataCellStyle="20% - Énfasis4"/>
    <tableColumn id="2" xr3:uid="{E0E63266-E7E9-43B4-BFD5-669E5DC454B4}" name="D1" dataDxfId="514">
      <calculatedColumnFormula>IF($B$2="(Todas)",COUNTIF(BASE[CODCIE10],GUIA_NACIONAL_2022_1106128105168162195198[[#This Row],[CIE-10]]),COUNTIFS(BASE[Cod.Establecimiento],$B$2,BASE[CODCIE10],GUIA_NACIONAL_2022_1106128105168162195198[[#This Row],[CIE-10]]))</calculatedColumnFormula>
    </tableColumn>
    <tableColumn id="3" xr3:uid="{F4ED2CF8-CE19-4514-A5B9-E5378B09FA33}" name="D2" dataDxfId="513">
      <calculatedColumnFormula>IF($B$2="(Todas)",COUNTIF(BASE[CODCIE102],GUIA_NACIONAL_2022_1106128105168162195198[[#This Row],[CIE-10]]),COUNTIFS(BASE[Cod.Establecimiento],$B$2,BASE[CODCIE102],GUIA_NACIONAL_2022_1106128105168162195198[[#This Row],[CIE-10]]))</calculatedColumnFormula>
    </tableColumn>
    <tableColumn id="4" xr3:uid="{5FBFD652-52FB-4CF1-A135-7FB15DA26A49}" name="D3" dataDxfId="512">
      <calculatedColumnFormula>IF($B$2="(Todas)",COUNTIF(BASE[CODCIE104],GUIA_NACIONAL_2022_1106128105168162195198[[#This Row],[CIE-10]]),COUNTIFS(BASE[Cod.Establecimiento],$B$2,BASE[CODCIE104],GUIA_NACIONAL_2022_1106128105168162195198[[#This Row],[CIE-10]]))</calculatedColumnFormula>
    </tableColumn>
    <tableColumn id="5" xr3:uid="{70AAAF58-1743-4AF4-B699-BD470A47B173}" name="D4" dataDxfId="511">
      <calculatedColumnFormula>IF($B$2="(Todas)",COUNTIF(BASE[CODCIE106],GUIA_NACIONAL_2022_1106128105168162195198[[#This Row],[CIE-10]]),COUNTIFS(BASE[Cod.Establecimiento],$B$2,BASE[CODCIE106],GUIA_NACIONAL_2022_1106128105168162195198[[#This Row],[CIE-10]]))</calculatedColumnFormula>
    </tableColumn>
    <tableColumn id="6" xr3:uid="{47828F2D-3175-4127-AD5F-0C4D328776BF}" name="D5" dataDxfId="510">
      <calculatedColumnFormula>IF($B$2="(Todas)",COUNTIF(BASE[CODCIE108],GUIA_NACIONAL_2022_1106128105168162195198[[#This Row],[CIE-10]]),COUNTIFS(BASE[Cod.Establecimiento],$B$2,BASE[CODCIE108],GUIA_NACIONAL_2022_1106128105168162195198[[#This Row],[CIE-10]]))</calculatedColumnFormula>
    </tableColumn>
    <tableColumn id="7" xr3:uid="{232A7DAD-BF81-4349-953E-B6501E84ABEE}" name="D6" dataDxfId="509">
      <calculatedColumnFormula>IF($B$2="(Todas)",COUNTIF(BASE[CODCIE1010],GUIA_NACIONAL_2022_1106128105168162195198[[#This Row],[CIE-10]]),COUNTIFS(BASE[Cod.Establecimiento],$B$2,BASE[CODCIE1010],GUIA_NACIONAL_2022_1106128105168162195198[[#This Row],[CIE-10]]))</calculatedColumnFormula>
    </tableColumn>
    <tableColumn id="8" xr3:uid="{066EF267-EB8D-4CA7-832E-58B4D1A8D390}" name="TOT" dataDxfId="508" dataCellStyle="40% - Énfasis6">
      <calculatedColumnFormula>SUM(GUIA_NACIONAL_2022_1106128105168162195198[[#This Row],[D1]:[D6]])</calculatedColumnFormula>
    </tableColumn>
  </tableColumns>
  <tableStyleInfo name="TableStyleLight12" showFirstColumn="0" showLastColumn="0" showRowStripes="1" showColumnStripes="0"/>
</table>
</file>

<file path=xl/tables/table1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9" xr:uid="{A12F9D75-5EE3-4A92-956B-2E446794BD55}" name="GUIA_NACIONAL_2022_1106128105168162197200" displayName="GUIA_NACIONAL_2022_1106128105168162197200" ref="AN28:AU30" totalsRowShown="0" headerRowDxfId="507">
  <tableColumns count="8">
    <tableColumn id="1" xr3:uid="{ECC097B9-67AC-4293-B12C-FFE8F8F26A6B}" name="CIE-10" dataCellStyle="20% - Énfasis4"/>
    <tableColumn id="2" xr3:uid="{E32ABAC2-FFDC-465F-8166-06A248A93DED}" name="D1" dataDxfId="506">
      <calculatedColumnFormula>IF($B$2="(Todas)",COUNTIF(BASE[CODCIE10],GUIA_NACIONAL_2022_1106128105168162197200[[#This Row],[CIE-10]]),COUNTIFS(BASE[Cod.Establecimiento],$B$2,BASE[CODCIE10],GUIA_NACIONAL_2022_1106128105168162197200[[#This Row],[CIE-10]]))</calculatedColumnFormula>
    </tableColumn>
    <tableColumn id="3" xr3:uid="{A11C9FE8-85BE-4E7D-BF96-5010A4066A6B}" name="D2" dataDxfId="505">
      <calculatedColumnFormula>IF($B$2="(Todas)",COUNTIF(BASE[CODCIE102],GUIA_NACIONAL_2022_1106128105168162197200[[#This Row],[CIE-10]]),COUNTIFS(BASE[Cod.Establecimiento],$B$2,BASE[CODCIE102],GUIA_NACIONAL_2022_1106128105168162197200[[#This Row],[CIE-10]]))</calculatedColumnFormula>
    </tableColumn>
    <tableColumn id="4" xr3:uid="{58FC8329-005A-4E4D-81BB-9560EC73A359}" name="D3" dataDxfId="504">
      <calculatedColumnFormula>IF($B$2="(Todas)",COUNTIF(BASE[CODCIE104],GUIA_NACIONAL_2022_1106128105168162197200[[#This Row],[CIE-10]]),COUNTIFS(BASE[Cod.Establecimiento],$B$2,BASE[CODCIE104],GUIA_NACIONAL_2022_1106128105168162197200[[#This Row],[CIE-10]]))</calculatedColumnFormula>
    </tableColumn>
    <tableColumn id="5" xr3:uid="{67D5B02A-B1E0-40BA-96FE-CB4611214B07}" name="D4" dataDxfId="503">
      <calculatedColumnFormula>IF($B$2="(Todas)",COUNTIF(BASE[CODCIE106],GUIA_NACIONAL_2022_1106128105168162197200[[#This Row],[CIE-10]]),COUNTIFS(BASE[Cod.Establecimiento],$B$2,BASE[CODCIE106],GUIA_NACIONAL_2022_1106128105168162197200[[#This Row],[CIE-10]]))</calculatedColumnFormula>
    </tableColumn>
    <tableColumn id="6" xr3:uid="{4469FA29-113B-4FE6-82A6-2EB23674349A}" name="D5" dataDxfId="502">
      <calculatedColumnFormula>IF($B$2="(Todas)",COUNTIF(BASE[CODCIE108],GUIA_NACIONAL_2022_1106128105168162197200[[#This Row],[CIE-10]]),COUNTIFS(BASE[Cod.Establecimiento],$B$2,BASE[CODCIE108],GUIA_NACIONAL_2022_1106128105168162197200[[#This Row],[CIE-10]]))</calculatedColumnFormula>
    </tableColumn>
    <tableColumn id="7" xr3:uid="{E535C553-8CA8-4B60-A0B8-63810960AD11}" name="D6" dataDxfId="501">
      <calculatedColumnFormula>IF($B$2="(Todas)",COUNTIF(BASE[CODCIE1010],GUIA_NACIONAL_2022_1106128105168162197200[[#This Row],[CIE-10]]),COUNTIFS(BASE[Cod.Establecimiento],$B$2,BASE[CODCIE1010],GUIA_NACIONAL_2022_1106128105168162197200[[#This Row],[CIE-10]]))</calculatedColumnFormula>
    </tableColumn>
    <tableColumn id="8" xr3:uid="{A18ECDAA-31C4-4E9F-BC72-93D8DCCEEAF5}" name="TOT" dataDxfId="500" dataCellStyle="40% - Énfasis6">
      <calculatedColumnFormula>SUM(GUIA_NACIONAL_2022_1106128105168162197200[[#This Row],[D1]:[D6]])</calculatedColumnFormula>
    </tableColumn>
  </tableColumns>
  <tableStyleInfo name="TableStyleLight12" showFirstColumn="0" showLastColumn="0" showRowStripes="1" showColumnStripes="0"/>
</table>
</file>

<file path=xl/tables/table1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0" xr:uid="{0B6A6C37-82C7-49CA-8E77-24989309A666}" name="GUIA_NACIONAL_2022_1106128105168162197200201" displayName="GUIA_NACIONAL_2022_1106128105168162197200201" ref="AN32:AU33" totalsRowShown="0" headerRowDxfId="499">
  <tableColumns count="8">
    <tableColumn id="1" xr3:uid="{0788223D-7D62-46C8-B35C-6AD5D828343D}" name="CIE-10" dataCellStyle="20% - Énfasis4"/>
    <tableColumn id="2" xr3:uid="{09444313-D407-4675-9FE5-B4AC5B5CB06A}" name="D1" dataDxfId="498">
      <calculatedColumnFormula>IF($B$2="(Todas)",COUNTIF(BASE[CODCIE10],GUIA_NACIONAL_2022_1106128105168162197200201[[#This Row],[CIE-10]]),COUNTIFS(BASE[Cod.Establecimiento],$B$2,BASE[CODCIE10],GUIA_NACIONAL_2022_1106128105168162197200201[[#This Row],[CIE-10]]))</calculatedColumnFormula>
    </tableColumn>
    <tableColumn id="3" xr3:uid="{6EC0E166-5BB8-440B-9CE4-64BEE77D4CD7}" name="D2" dataDxfId="497">
      <calculatedColumnFormula>IF($B$2="(Todas)",COUNTIF(BASE[CODCIE102],GUIA_NACIONAL_2022_1106128105168162197200201[[#This Row],[CIE-10]]),COUNTIFS(BASE[Cod.Establecimiento],$B$2,BASE[CODCIE102],GUIA_NACIONAL_2022_1106128105168162197200201[[#This Row],[CIE-10]]))</calculatedColumnFormula>
    </tableColumn>
    <tableColumn id="4" xr3:uid="{7D9F28E0-FE52-4E1E-9F57-A7847260D3D2}" name="D3" dataDxfId="496">
      <calculatedColumnFormula>IF($B$2="(Todas)",COUNTIF(BASE[CODCIE104],GUIA_NACIONAL_2022_1106128105168162197200201[[#This Row],[CIE-10]]),COUNTIFS(BASE[Cod.Establecimiento],$B$2,BASE[CODCIE104],GUIA_NACIONAL_2022_1106128105168162197200201[[#This Row],[CIE-10]]))</calculatedColumnFormula>
    </tableColumn>
    <tableColumn id="5" xr3:uid="{A4F62A7E-48B6-40CF-BBE3-3C2F72D78201}" name="D4" dataDxfId="495">
      <calculatedColumnFormula>IF($B$2="(Todas)",COUNTIF(BASE[CODCIE106],GUIA_NACIONAL_2022_1106128105168162197200201[[#This Row],[CIE-10]]),COUNTIFS(BASE[Cod.Establecimiento],$B$2,BASE[CODCIE106],GUIA_NACIONAL_2022_1106128105168162197200201[[#This Row],[CIE-10]]))</calculatedColumnFormula>
    </tableColumn>
    <tableColumn id="6" xr3:uid="{3E551D83-D77E-46B6-AF54-B18655F4F536}" name="D5" dataDxfId="494">
      <calculatedColumnFormula>IF($B$2="(Todas)",COUNTIF(BASE[CODCIE108],GUIA_NACIONAL_2022_1106128105168162197200201[[#This Row],[CIE-10]]),COUNTIFS(BASE[Cod.Establecimiento],$B$2,BASE[CODCIE108],GUIA_NACIONAL_2022_1106128105168162197200201[[#This Row],[CIE-10]]))</calculatedColumnFormula>
    </tableColumn>
    <tableColumn id="7" xr3:uid="{56B9AED3-CB75-4269-B395-3E685B511FA4}" name="D6" dataDxfId="493">
      <calculatedColumnFormula>IF($B$2="(Todas)",COUNTIF(BASE[CODCIE1010],GUIA_NACIONAL_2022_1106128105168162197200201[[#This Row],[CIE-10]]),COUNTIFS(BASE[Cod.Establecimiento],$B$2,BASE[CODCIE1010],GUIA_NACIONAL_2022_1106128105168162197200201[[#This Row],[CIE-10]]))</calculatedColumnFormula>
    </tableColumn>
    <tableColumn id="8" xr3:uid="{8BF46F74-B26D-4355-94AB-01446087D8FD}" name="TOT" dataDxfId="492" dataCellStyle="40% - Énfasis6">
      <calculatedColumnFormula>SUM(GUIA_NACIONAL_2022_1106128105168162197200201[[#This Row],[D1]:[D6]])</calculatedColumnFormula>
    </tableColumn>
  </tableColumns>
  <tableStyleInfo name="TableStyleLight12" showFirstColumn="0" showLastColumn="0" showRowStripes="1" showColumnStripes="0"/>
</table>
</file>

<file path=xl/tables/table2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1" xr:uid="{1F6098EA-0C2B-4CDA-95E1-340D98EF3643}" name="GUIA_NACIONAL_2022_1106128105168162195198202" displayName="GUIA_NACIONAL_2022_1106128105168162195198202" ref="AN35:AU36" totalsRowShown="0" headerRowDxfId="491">
  <tableColumns count="8">
    <tableColumn id="1" xr3:uid="{94B4EBA3-4AFA-4367-96D9-B15AC6BB8F02}" name="CIE-10" dataCellStyle="20% - Énfasis4"/>
    <tableColumn id="2" xr3:uid="{3EE32E28-17A4-4924-8CA1-CE334B89BFC2}" name="D1" dataDxfId="490">
      <calculatedColumnFormula>IF($B$2="(Todas)",COUNTIF(BASE[CODCIE10],GUIA_NACIONAL_2022_1106128105168162195198202[[#This Row],[CIE-10]]),COUNTIFS(BASE[Cod.Establecimiento],$B$2,BASE[CODCIE10],GUIA_NACIONAL_2022_1106128105168162195198202[[#This Row],[CIE-10]]))</calculatedColumnFormula>
    </tableColumn>
    <tableColumn id="3" xr3:uid="{AE7EC733-EF4B-453B-9AB9-5500FB677EA7}" name="D2" dataDxfId="489">
      <calculatedColumnFormula>IF($B$2="(Todas)",COUNTIF(BASE[CODCIE102],GUIA_NACIONAL_2022_1106128105168162195198202[[#This Row],[CIE-10]]),COUNTIFS(BASE[Cod.Establecimiento],$B$2,BASE[CODCIE102],GUIA_NACIONAL_2022_1106128105168162195198202[[#This Row],[CIE-10]]))</calculatedColumnFormula>
    </tableColumn>
    <tableColumn id="4" xr3:uid="{0B75894A-4551-4305-947C-E91E32788607}" name="D3" dataDxfId="488">
      <calculatedColumnFormula>IF($B$2="(Todas)",COUNTIF(BASE[CODCIE104],GUIA_NACIONAL_2022_1106128105168162195198202[[#This Row],[CIE-10]]),COUNTIFS(BASE[Cod.Establecimiento],$B$2,BASE[CODCIE104],GUIA_NACIONAL_2022_1106128105168162195198202[[#This Row],[CIE-10]]))</calculatedColumnFormula>
    </tableColumn>
    <tableColumn id="5" xr3:uid="{0B9FA404-AB75-4B12-B86D-5F63820B9F0A}" name="D4" dataDxfId="487">
      <calculatedColumnFormula>IF($B$2="(Todas)",COUNTIF(BASE[CODCIE106],GUIA_NACIONAL_2022_1106128105168162195198202[[#This Row],[CIE-10]]),COUNTIFS(BASE[Cod.Establecimiento],$B$2,BASE[CODCIE106],GUIA_NACIONAL_2022_1106128105168162195198202[[#This Row],[CIE-10]]))</calculatedColumnFormula>
    </tableColumn>
    <tableColumn id="6" xr3:uid="{2C087000-B782-4BBC-AD33-D4448FBB3A34}" name="D5" dataDxfId="486">
      <calculatedColumnFormula>IF($B$2="(Todas)",COUNTIF(BASE[CODCIE108],GUIA_NACIONAL_2022_1106128105168162195198202[[#This Row],[CIE-10]]),COUNTIFS(BASE[Cod.Establecimiento],$B$2,BASE[CODCIE108],GUIA_NACIONAL_2022_1106128105168162195198202[[#This Row],[CIE-10]]))</calculatedColumnFormula>
    </tableColumn>
    <tableColumn id="7" xr3:uid="{37702181-C9A8-412B-BB9A-080EA9EC0B5D}" name="D6" dataDxfId="485">
      <calculatedColumnFormula>IF($B$2="(Todas)",COUNTIF(BASE[CODCIE1010],GUIA_NACIONAL_2022_1106128105168162195198202[[#This Row],[CIE-10]]),COUNTIFS(BASE[Cod.Establecimiento],$B$2,BASE[CODCIE1010],GUIA_NACIONAL_2022_1106128105168162195198202[[#This Row],[CIE-10]]))</calculatedColumnFormula>
    </tableColumn>
    <tableColumn id="8" xr3:uid="{F97FB3F0-9448-4DB4-9C47-0549736DB4D9}" name="TOT" dataDxfId="484" dataCellStyle="40% - Énfasis6">
      <calculatedColumnFormula>SUM(GUIA_NACIONAL_2022_1106128105168162195198202[[#This Row],[D1]:[D6]])</calculatedColumnFormula>
    </tableColumn>
  </tableColumns>
  <tableStyleInfo name="TableStyleLight12" showFirstColumn="0" showLastColumn="0" showRowStripes="1" showColumnStripes="0"/>
</table>
</file>

<file path=xl/tables/table2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2" xr:uid="{1B248A8A-AA83-4D4C-89C3-5437882F53D9}" name="GUIA_NACIONAL_2022_1106128105168162197200203" displayName="GUIA_NACIONAL_2022_1106128105168162197200203" ref="AN39:AU40" totalsRowShown="0" headerRowDxfId="483">
  <tableColumns count="8">
    <tableColumn id="1" xr3:uid="{F21731D5-B024-4A92-9EAA-5B7E60B386CC}" name="CIE-10" dataCellStyle="20% - Énfasis4"/>
    <tableColumn id="2" xr3:uid="{F5AC9A93-B268-4C06-9B3D-765E78C7D31D}" name="D1" dataDxfId="482">
      <calculatedColumnFormula>IF($B$2="(Todas)",COUNTIF(BASE[CODCIE10],GUIA_NACIONAL_2022_1106128105168162197200203[[#This Row],[CIE-10]]),COUNTIFS(BASE[Cod.Establecimiento],$B$2,BASE[CODCIE10],GUIA_NACIONAL_2022_1106128105168162197200203[[#This Row],[CIE-10]]))</calculatedColumnFormula>
    </tableColumn>
    <tableColumn id="3" xr3:uid="{2A5CDED9-B722-4D69-BC32-2FBA1FD7339C}" name="D2" dataDxfId="481">
      <calculatedColumnFormula>IF($B$2="(Todas)",COUNTIF(BASE[CODCIE102],GUIA_NACIONAL_2022_1106128105168162197200203[[#This Row],[CIE-10]]),COUNTIFS(BASE[Cod.Establecimiento],$B$2,BASE[CODCIE102],GUIA_NACIONAL_2022_1106128105168162197200203[[#This Row],[CIE-10]]))</calculatedColumnFormula>
    </tableColumn>
    <tableColumn id="4" xr3:uid="{300A83E0-910B-405E-8E6A-AF9A10839E09}" name="D3" dataDxfId="480">
      <calculatedColumnFormula>IF($B$2="(Todas)",COUNTIF(BASE[CODCIE104],GUIA_NACIONAL_2022_1106128105168162197200203[[#This Row],[CIE-10]]),COUNTIFS(BASE[Cod.Establecimiento],$B$2,BASE[CODCIE104],GUIA_NACIONAL_2022_1106128105168162197200203[[#This Row],[CIE-10]]))</calculatedColumnFormula>
    </tableColumn>
    <tableColumn id="5" xr3:uid="{CE7AA0B9-CD73-496C-A6F8-4D155684BF27}" name="D4" dataDxfId="479">
      <calculatedColumnFormula>IF($B$2="(Todas)",COUNTIF(BASE[CODCIE106],GUIA_NACIONAL_2022_1106128105168162197200203[[#This Row],[CIE-10]]),COUNTIFS(BASE[Cod.Establecimiento],$B$2,BASE[CODCIE106],GUIA_NACIONAL_2022_1106128105168162197200203[[#This Row],[CIE-10]]))</calculatedColumnFormula>
    </tableColumn>
    <tableColumn id="6" xr3:uid="{65AAC32B-46E1-49AB-B5E7-7F3F1C75C495}" name="D5" dataDxfId="478">
      <calculatedColumnFormula>IF($B$2="(Todas)",COUNTIF(BASE[CODCIE108],GUIA_NACIONAL_2022_1106128105168162197200203[[#This Row],[CIE-10]]),COUNTIFS(BASE[Cod.Establecimiento],$B$2,BASE[CODCIE108],GUIA_NACIONAL_2022_1106128105168162197200203[[#This Row],[CIE-10]]))</calculatedColumnFormula>
    </tableColumn>
    <tableColumn id="7" xr3:uid="{EF7A6781-EE5B-4917-82C0-EFB27EFC7841}" name="D6" dataDxfId="477">
      <calculatedColumnFormula>IF($B$2="(Todas)",COUNTIF(BASE[CODCIE1010],GUIA_NACIONAL_2022_1106128105168162197200203[[#This Row],[CIE-10]]),COUNTIFS(BASE[Cod.Establecimiento],$B$2,BASE[CODCIE1010],GUIA_NACIONAL_2022_1106128105168162197200203[[#This Row],[CIE-10]]))</calculatedColumnFormula>
    </tableColumn>
    <tableColumn id="8" xr3:uid="{2DC023F5-488D-40CC-BC5E-38C04EE2CE18}" name="TOT" dataDxfId="476" dataCellStyle="40% - Énfasis6">
      <calculatedColumnFormula>SUM(GUIA_NACIONAL_2022_1106128105168162197200203[[#This Row],[D1]:[D6]])</calculatedColumnFormula>
    </tableColumn>
  </tableColumns>
  <tableStyleInfo name="TableStyleLight12" showFirstColumn="0" showLastColumn="0" showRowStripes="1" showColumnStripes="0"/>
</table>
</file>

<file path=xl/tables/table2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3" xr:uid="{A1B5613D-D386-494B-BE13-AB1D5D0C7B89}" name="GUIA_NACIONAL_2022_1106128105168162195198202204" displayName="GUIA_NACIONAL_2022_1106128105168162195198202204" ref="AN42:AU43" totalsRowShown="0" headerRowDxfId="475">
  <tableColumns count="8">
    <tableColumn id="1" xr3:uid="{B23C6EF0-6A7C-4DFA-AAB4-88B958A9D0B8}" name="CIE-10" dataCellStyle="20% - Énfasis4"/>
    <tableColumn id="2" xr3:uid="{BAFFF443-879B-4129-8878-20153FD6CBAF}" name="D1" dataDxfId="474">
      <calculatedColumnFormula>IF($B$2="(Todas)",COUNTIF(BASE[CODCIE10],GUIA_NACIONAL_2022_1106128105168162195198202204[[#This Row],[CIE-10]]),COUNTIFS(BASE[Cod.Establecimiento],$B$2,BASE[CODCIE10],GUIA_NACIONAL_2022_1106128105168162195198202204[[#This Row],[CIE-10]]))</calculatedColumnFormula>
    </tableColumn>
    <tableColumn id="3" xr3:uid="{92CD561E-A281-4969-A1A8-D1D431316A04}" name="D2" dataDxfId="473">
      <calculatedColumnFormula>IF($B$2="(Todas)",COUNTIF(BASE[CODCIE102],GUIA_NACIONAL_2022_1106128105168162195198202204[[#This Row],[CIE-10]]),COUNTIFS(BASE[Cod.Establecimiento],$B$2,BASE[CODCIE102],GUIA_NACIONAL_2022_1106128105168162195198202204[[#This Row],[CIE-10]]))</calculatedColumnFormula>
    </tableColumn>
    <tableColumn id="4" xr3:uid="{AECB3494-474A-43C0-A6D0-5F8E167A42E6}" name="D3" dataDxfId="472">
      <calculatedColumnFormula>IF($B$2="(Todas)",COUNTIF(BASE[CODCIE104],GUIA_NACIONAL_2022_1106128105168162195198202204[[#This Row],[CIE-10]]),COUNTIFS(BASE[Cod.Establecimiento],$B$2,BASE[CODCIE104],GUIA_NACIONAL_2022_1106128105168162195198202204[[#This Row],[CIE-10]]))</calculatedColumnFormula>
    </tableColumn>
    <tableColumn id="5" xr3:uid="{94219C3D-AB14-4CD8-974A-9448B59A0F63}" name="D4" dataDxfId="471">
      <calculatedColumnFormula>IF($B$2="(Todas)",COUNTIF(BASE[CODCIE106],GUIA_NACIONAL_2022_1106128105168162195198202204[[#This Row],[CIE-10]]),COUNTIFS(BASE[Cod.Establecimiento],$B$2,BASE[CODCIE106],GUIA_NACIONAL_2022_1106128105168162195198202204[[#This Row],[CIE-10]]))</calculatedColumnFormula>
    </tableColumn>
    <tableColumn id="6" xr3:uid="{4FA02785-B0AB-4BC0-B083-E8BBBB356AD0}" name="D5" dataDxfId="470">
      <calculatedColumnFormula>IF($B$2="(Todas)",COUNTIF(BASE[CODCIE108],GUIA_NACIONAL_2022_1106128105168162195198202204[[#This Row],[CIE-10]]),COUNTIFS(BASE[Cod.Establecimiento],$B$2,BASE[CODCIE108],GUIA_NACIONAL_2022_1106128105168162195198202204[[#This Row],[CIE-10]]))</calculatedColumnFormula>
    </tableColumn>
    <tableColumn id="7" xr3:uid="{FC3A51AC-7396-4414-89F6-FC3D828D2278}" name="D6" dataDxfId="469">
      <calculatedColumnFormula>IF($B$2="(Todas)",COUNTIF(BASE[CODCIE1010],GUIA_NACIONAL_2022_1106128105168162195198202204[[#This Row],[CIE-10]]),COUNTIFS(BASE[Cod.Establecimiento],$B$2,BASE[CODCIE1010],GUIA_NACIONAL_2022_1106128105168162195198202204[[#This Row],[CIE-10]]))</calculatedColumnFormula>
    </tableColumn>
    <tableColumn id="8" xr3:uid="{F92B6AA9-FA0B-40B2-95A2-A23FD2A8B446}" name="TOT" dataDxfId="468" dataCellStyle="40% - Énfasis6">
      <calculatedColumnFormula>SUM(GUIA_NACIONAL_2022_1106128105168162195198202204[[#This Row],[D1]:[D6]])</calculatedColumnFormula>
    </tableColumn>
  </tableColumns>
  <tableStyleInfo name="TableStyleLight12" showFirstColumn="0" showLastColumn="0" showRowStripes="1" showColumnStripes="0"/>
</table>
</file>

<file path=xl/tables/table2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4" xr:uid="{4D639129-502E-4276-A334-02BF02EAB303}" name="GUIA_NACIONAL_2022_1106128105168162195198202204205" displayName="GUIA_NACIONAL_2022_1106128105168162195198202204205" ref="AN45:AU46" totalsRowShown="0" headerRowDxfId="467">
  <tableColumns count="8">
    <tableColumn id="1" xr3:uid="{4876A47A-3A7B-4100-AC69-9308AFAAA8B3}" name="CIE-10" dataCellStyle="20% - Énfasis4"/>
    <tableColumn id="2" xr3:uid="{82217324-5F8B-430A-A3B2-1D4DED663968}" name="D1" dataDxfId="466">
      <calculatedColumnFormula>IF($B$2="(Todas)",COUNTIF(BASE[CODCIE10],GUIA_NACIONAL_2022_1106128105168162195198202204205[[#This Row],[CIE-10]]),COUNTIFS(BASE[Cod.Establecimiento],$B$2,BASE[CODCIE10],GUIA_NACIONAL_2022_1106128105168162195198202204205[[#This Row],[CIE-10]]))</calculatedColumnFormula>
    </tableColumn>
    <tableColumn id="3" xr3:uid="{FDD3A940-EC73-46E7-9C1F-D3ED221BF720}" name="D2" dataDxfId="465">
      <calculatedColumnFormula>IF($B$2="(Todas)",COUNTIF(BASE[CODCIE102],GUIA_NACIONAL_2022_1106128105168162195198202204205[[#This Row],[CIE-10]]),COUNTIFS(BASE[Cod.Establecimiento],$B$2,BASE[CODCIE102],GUIA_NACIONAL_2022_1106128105168162195198202204205[[#This Row],[CIE-10]]))</calculatedColumnFormula>
    </tableColumn>
    <tableColumn id="4" xr3:uid="{05041DE8-7826-48F4-8AAF-5E7FDA7917A5}" name="D3" dataDxfId="464">
      <calculatedColumnFormula>IF($B$2="(Todas)",COUNTIF(BASE[CODCIE104],GUIA_NACIONAL_2022_1106128105168162195198202204205[[#This Row],[CIE-10]]),COUNTIFS(BASE[Cod.Establecimiento],$B$2,BASE[CODCIE104],GUIA_NACIONAL_2022_1106128105168162195198202204205[[#This Row],[CIE-10]]))</calculatedColumnFormula>
    </tableColumn>
    <tableColumn id="5" xr3:uid="{33B5D68E-A0D3-4EB9-8885-FE6DB3BF7375}" name="D4" dataDxfId="463">
      <calculatedColumnFormula>IF($B$2="(Todas)",COUNTIF(BASE[CODCIE106],GUIA_NACIONAL_2022_1106128105168162195198202204205[[#This Row],[CIE-10]]),COUNTIFS(BASE[Cod.Establecimiento],$B$2,BASE[CODCIE106],GUIA_NACIONAL_2022_1106128105168162195198202204205[[#This Row],[CIE-10]]))</calculatedColumnFormula>
    </tableColumn>
    <tableColumn id="6" xr3:uid="{7D77E620-36DE-4447-A55E-DB088B1905B2}" name="D5" dataDxfId="462">
      <calculatedColumnFormula>IF($B$2="(Todas)",COUNTIF(BASE[CODCIE108],GUIA_NACIONAL_2022_1106128105168162195198202204205[[#This Row],[CIE-10]]),COUNTIFS(BASE[Cod.Establecimiento],$B$2,BASE[CODCIE108],GUIA_NACIONAL_2022_1106128105168162195198202204205[[#This Row],[CIE-10]]))</calculatedColumnFormula>
    </tableColumn>
    <tableColumn id="7" xr3:uid="{43B30DFC-00D3-4BC9-8E2D-8FC32BEE5A43}" name="D6" dataDxfId="461">
      <calculatedColumnFormula>IF($B$2="(Todas)",COUNTIF(BASE[CODCIE1010],GUIA_NACIONAL_2022_1106128105168162195198202204205[[#This Row],[CIE-10]]),COUNTIFS(BASE[Cod.Establecimiento],$B$2,BASE[CODCIE1010],GUIA_NACIONAL_2022_1106128105168162195198202204205[[#This Row],[CIE-10]]))</calculatedColumnFormula>
    </tableColumn>
    <tableColumn id="8" xr3:uid="{7205C1EA-BE2A-432C-AFFA-D4B7F33370B2}" name="TOT" dataDxfId="460" dataCellStyle="40% - Énfasis6">
      <calculatedColumnFormula>SUM(GUIA_NACIONAL_2022_1106128105168162195198202204205[[#This Row],[D1]:[D6]])</calculatedColumnFormula>
    </tableColumn>
  </tableColumns>
  <tableStyleInfo name="TableStyleLight12" showFirstColumn="0" showLastColumn="0" showRowStripes="1" showColumnStripes="0"/>
</table>
</file>

<file path=xl/tables/table2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5" xr:uid="{F6989C57-1AD6-41A4-855B-B59D583A1D71}" name="GUIA_NACIONAL_2022_1106128105168162195198202204205206" displayName="GUIA_NACIONAL_2022_1106128105168162195198202204205206" ref="AN48:AU49" totalsRowShown="0" headerRowDxfId="459">
  <tableColumns count="8">
    <tableColumn id="1" xr3:uid="{8A4FAB83-430C-4C83-B8C6-67F894AB0932}" name="CIE-10" dataCellStyle="20% - Énfasis4"/>
    <tableColumn id="2" xr3:uid="{ADE2F350-064D-4BCA-A236-FEC666D0995A}" name="D1" dataDxfId="458">
      <calculatedColumnFormula>IF($B$2="(Todas)",COUNTIF(BASE[CODCIE10],GUIA_NACIONAL_2022_1106128105168162195198202204205206[[#This Row],[CIE-10]]),COUNTIFS(BASE[Cod.Establecimiento],$B$2,BASE[CODCIE10],GUIA_NACIONAL_2022_1106128105168162195198202204205206[[#This Row],[CIE-10]]))</calculatedColumnFormula>
    </tableColumn>
    <tableColumn id="3" xr3:uid="{E29B0E47-86D2-4847-B250-947BB76C2ADA}" name="D2" dataDxfId="457">
      <calculatedColumnFormula>IF($B$2="(Todas)",COUNTIF(BASE[CODCIE102],GUIA_NACIONAL_2022_1106128105168162195198202204205206[[#This Row],[CIE-10]]),COUNTIFS(BASE[Cod.Establecimiento],$B$2,BASE[CODCIE102],GUIA_NACIONAL_2022_1106128105168162195198202204205206[[#This Row],[CIE-10]]))</calculatedColumnFormula>
    </tableColumn>
    <tableColumn id="4" xr3:uid="{8629762A-626A-4379-9577-AC499083B1A3}" name="D3" dataDxfId="456">
      <calculatedColumnFormula>IF($B$2="(Todas)",COUNTIF(BASE[CODCIE104],GUIA_NACIONAL_2022_1106128105168162195198202204205206[[#This Row],[CIE-10]]),COUNTIFS(BASE[Cod.Establecimiento],$B$2,BASE[CODCIE104],GUIA_NACIONAL_2022_1106128105168162195198202204205206[[#This Row],[CIE-10]]))</calculatedColumnFormula>
    </tableColumn>
    <tableColumn id="5" xr3:uid="{0D797E48-16D7-461B-9CA7-3C485913742B}" name="D4" dataDxfId="455">
      <calculatedColumnFormula>IF($B$2="(Todas)",COUNTIF(BASE[CODCIE106],GUIA_NACIONAL_2022_1106128105168162195198202204205206[[#This Row],[CIE-10]]),COUNTIFS(BASE[Cod.Establecimiento],$B$2,BASE[CODCIE106],GUIA_NACIONAL_2022_1106128105168162195198202204205206[[#This Row],[CIE-10]]))</calculatedColumnFormula>
    </tableColumn>
    <tableColumn id="6" xr3:uid="{B2AF1D4F-7140-449B-894B-B7DDADB2A8E4}" name="D5" dataDxfId="454">
      <calculatedColumnFormula>IF($B$2="(Todas)",COUNTIF(BASE[CODCIE108],GUIA_NACIONAL_2022_1106128105168162195198202204205206[[#This Row],[CIE-10]]),COUNTIFS(BASE[Cod.Establecimiento],$B$2,BASE[CODCIE108],GUIA_NACIONAL_2022_1106128105168162195198202204205206[[#This Row],[CIE-10]]))</calculatedColumnFormula>
    </tableColumn>
    <tableColumn id="7" xr3:uid="{B02374CC-0501-4175-ABB4-62F4D8DFC722}" name="D6" dataDxfId="453">
      <calculatedColumnFormula>IF($B$2="(Todas)",COUNTIF(BASE[CODCIE1010],GUIA_NACIONAL_2022_1106128105168162195198202204205206[[#This Row],[CIE-10]]),COUNTIFS(BASE[Cod.Establecimiento],$B$2,BASE[CODCIE1010],GUIA_NACIONAL_2022_1106128105168162195198202204205206[[#This Row],[CIE-10]]))</calculatedColumnFormula>
    </tableColumn>
    <tableColumn id="8" xr3:uid="{CAA63917-6270-493D-BB6A-95E9974EEEF3}" name="TOT" dataDxfId="452" dataCellStyle="40% - Énfasis6">
      <calculatedColumnFormula>SUM(GUIA_NACIONAL_2022_1106128105168162195198202204205206[[#This Row],[D1]:[D6]])</calculatedColumnFormula>
    </tableColumn>
  </tableColumns>
  <tableStyleInfo name="TableStyleLight12" showFirstColumn="0" showLastColumn="0" showRowStripes="1" showColumnStripes="0"/>
</table>
</file>

<file path=xl/tables/table2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6" xr:uid="{24509BAB-A4F1-49DD-96D6-A286B30D4041}" name="GUIA_NACIONAL_2022_1106128105107110207" displayName="GUIA_NACIONAL_2022_1106128105107110207" ref="AW9:BD10" totalsRowShown="0" headerRowDxfId="451">
  <tableColumns count="8">
    <tableColumn id="1" xr3:uid="{661B6F5E-5039-4402-A857-1D0D85673CF1}" name="CIE-10" dataCellStyle="20% - Énfasis4"/>
    <tableColumn id="2" xr3:uid="{579F30F0-6206-4C0F-A699-227864E6B1AD}" name="D1" dataDxfId="450">
      <calculatedColumnFormula>IF($B$2="(Todas)",COUNTIF(BASE[CODCIE10],GUIA_NACIONAL_2022_1106128105107110207[[#This Row],[CIE-10]]),COUNTIFS(BASE[Cod.Establecimiento],$B$2,BASE[CODCIE10],GUIA_NACIONAL_2022_1106128105107110207[[#This Row],[CIE-10]]))</calculatedColumnFormula>
    </tableColumn>
    <tableColumn id="3" xr3:uid="{BBC06BA5-D8F3-4F67-A527-E5BD7DBB94E8}" name="D2" dataDxfId="449">
      <calculatedColumnFormula>IF($B$2="(Todas)",COUNTIF(BASE[CODCIE102],GUIA_NACIONAL_2022_1106128105107110207[[#This Row],[CIE-10]]),COUNTIFS(BASE[Cod.Establecimiento],$B$2,BASE[CODCIE102],GUIA_NACIONAL_2022_1106128105107110207[[#This Row],[CIE-10]]))</calculatedColumnFormula>
    </tableColumn>
    <tableColumn id="4" xr3:uid="{488F8952-1F39-4B1E-A5A7-7CE4AAB9EF77}" name="D3" dataDxfId="448">
      <calculatedColumnFormula>IF($B$2="(Todas)",COUNTIF(BASE[CODCIE104],GUIA_NACIONAL_2022_1106128105107110207[[#This Row],[CIE-10]]),COUNTIFS(BASE[Cod.Establecimiento],$B$2,BASE[CODCIE104],GUIA_NACIONAL_2022_1106128105107110207[[#This Row],[CIE-10]]))</calculatedColumnFormula>
    </tableColumn>
    <tableColumn id="5" xr3:uid="{538440C0-9D80-4AD6-81BC-FDB79854D470}" name="D4" dataDxfId="447">
      <calculatedColumnFormula>IF($B$2="(Todas)",COUNTIF(BASE[CODCIE106],GUIA_NACIONAL_2022_1106128105107110207[[#This Row],[CIE-10]]),COUNTIFS(BASE[Cod.Establecimiento],$B$2,BASE[CODCIE106],GUIA_NACIONAL_2022_1106128105107110207[[#This Row],[CIE-10]]))</calculatedColumnFormula>
    </tableColumn>
    <tableColumn id="6" xr3:uid="{EAF53A9F-7E14-492E-ACC0-A2EECA627E6B}" name="D5" dataDxfId="446">
      <calculatedColumnFormula>IF($B$2="(Todas)",COUNTIF(BASE[CODCIE108],GUIA_NACIONAL_2022_1106128105107110207[[#This Row],[CIE-10]]),COUNTIFS(BASE[Cod.Establecimiento],$B$2,BASE[CODCIE108],GUIA_NACIONAL_2022_1106128105107110207[[#This Row],[CIE-10]]))</calculatedColumnFormula>
    </tableColumn>
    <tableColumn id="7" xr3:uid="{61E67D21-52BD-4F16-B529-FE9CFFB57DD2}" name="D6" dataDxfId="445">
      <calculatedColumnFormula>IF($B$2="(Todas)",COUNTIF(BASE[CODCIE1010],GUIA_NACIONAL_2022_1106128105107110207[[#This Row],[CIE-10]]),COUNTIFS(BASE[Cod.Establecimiento],$B$2,BASE[CODCIE1010],GUIA_NACIONAL_2022_1106128105107110207[[#This Row],[CIE-10]]))</calculatedColumnFormula>
    </tableColumn>
    <tableColumn id="8" xr3:uid="{0165CAA8-54F2-463C-AB85-7C09B9B30BED}" name="TOT" dataDxfId="444" dataCellStyle="40% - Énfasis6">
      <calculatedColumnFormula>SUM(GUIA_NACIONAL_2022_1106128105107110207[[#This Row],[D1]:[D6]])</calculatedColumnFormula>
    </tableColumn>
  </tableColumns>
  <tableStyleInfo name="TableStyleLight12" showFirstColumn="0" showLastColumn="0" showRowStripes="1" showColumnStripes="0"/>
</table>
</file>

<file path=xl/tables/table2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7" xr:uid="{A940E866-6FC8-49D8-ABB5-63F8CACC138A}" name="GUIA_NACIONAL_2022_1106128105107110207208" displayName="GUIA_NACIONAL_2022_1106128105107110207208" ref="AW12:BD18" totalsRowShown="0" headerRowDxfId="443">
  <tableColumns count="8">
    <tableColumn id="1" xr3:uid="{9B9D0452-848B-48DB-A0C0-042F2014A69D}" name="CIE-10" dataCellStyle="20% - Énfasis4"/>
    <tableColumn id="2" xr3:uid="{D1EE73A2-BB95-4D5B-B245-027DC738A513}" name="D1" dataDxfId="442">
      <calculatedColumnFormula>IF($B$2="(Todas)",COUNTIF(BASE[CODCIE10],GUIA_NACIONAL_2022_1106128105107110207208[[#This Row],[CIE-10]]),COUNTIFS(BASE[Cod.Establecimiento],$B$2,BASE[CODCIE10],GUIA_NACIONAL_2022_1106128105107110207208[[#This Row],[CIE-10]]))</calculatedColumnFormula>
    </tableColumn>
    <tableColumn id="3" xr3:uid="{15F5C6D9-FB03-4D26-9FF6-8FF523ADB823}" name="D2" dataDxfId="441">
      <calculatedColumnFormula>IF($B$2="(Todas)",COUNTIF(BASE[CODCIE102],GUIA_NACIONAL_2022_1106128105107110207208[[#This Row],[CIE-10]]),COUNTIFS(BASE[Cod.Establecimiento],$B$2,BASE[CODCIE102],GUIA_NACIONAL_2022_1106128105107110207208[[#This Row],[CIE-10]]))</calculatedColumnFormula>
    </tableColumn>
    <tableColumn id="4" xr3:uid="{7B543F7F-A9C4-4967-8D38-9EECB0C34A63}" name="D3" dataDxfId="440">
      <calculatedColumnFormula>IF($B$2="(Todas)",COUNTIF(BASE[CODCIE104],GUIA_NACIONAL_2022_1106128105107110207208[[#This Row],[CIE-10]]),COUNTIFS(BASE[Cod.Establecimiento],$B$2,BASE[CODCIE104],GUIA_NACIONAL_2022_1106128105107110207208[[#This Row],[CIE-10]]))</calculatedColumnFormula>
    </tableColumn>
    <tableColumn id="5" xr3:uid="{A1163764-206C-4C32-A878-FE305E5145E7}" name="D4" dataDxfId="439">
      <calculatedColumnFormula>IF($B$2="(Todas)",COUNTIF(BASE[CODCIE106],GUIA_NACIONAL_2022_1106128105107110207208[[#This Row],[CIE-10]]),COUNTIFS(BASE[Cod.Establecimiento],$B$2,BASE[CODCIE106],GUIA_NACIONAL_2022_1106128105107110207208[[#This Row],[CIE-10]]))</calculatedColumnFormula>
    </tableColumn>
    <tableColumn id="6" xr3:uid="{D30FE642-245B-4347-A4CC-C02AB9A4081A}" name="D5" dataDxfId="438">
      <calculatedColumnFormula>IF($B$2="(Todas)",COUNTIF(BASE[CODCIE108],GUIA_NACIONAL_2022_1106128105107110207208[[#This Row],[CIE-10]]),COUNTIFS(BASE[Cod.Establecimiento],$B$2,BASE[CODCIE108],GUIA_NACIONAL_2022_1106128105107110207208[[#This Row],[CIE-10]]))</calculatedColumnFormula>
    </tableColumn>
    <tableColumn id="7" xr3:uid="{4AB819FA-B640-444B-BDA3-F12C3E77B9F4}" name="D6" dataDxfId="437">
      <calculatedColumnFormula>IF($B$2="(Todas)",COUNTIF(BASE[CODCIE1010],GUIA_NACIONAL_2022_1106128105107110207208[[#This Row],[CIE-10]]),COUNTIFS(BASE[Cod.Establecimiento],$B$2,BASE[CODCIE1010],GUIA_NACIONAL_2022_1106128105107110207208[[#This Row],[CIE-10]]))</calculatedColumnFormula>
    </tableColumn>
    <tableColumn id="8" xr3:uid="{1B79689F-F72C-4125-80A4-8A7D46F25FA2}" name="TOT" dataDxfId="436" dataCellStyle="40% - Énfasis6">
      <calculatedColumnFormula>SUM(GUIA_NACIONAL_2022_1106128105107110207208[[#This Row],[D1]:[D6]])</calculatedColumnFormula>
    </tableColumn>
  </tableColumns>
  <tableStyleInfo name="TableStyleLight12" showFirstColumn="0" showLastColumn="0" showRowStripes="1" showColumnStripes="0"/>
</table>
</file>

<file path=xl/tables/table2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8" xr:uid="{6B3FAB18-9C45-4CE4-82F5-883EFCADE2F4}" name="GUIA_NACIONAL_2022_1106128105107110207209" displayName="GUIA_NACIONAL_2022_1106128105107110207209" ref="AW20:BD21" totalsRowShown="0" headerRowDxfId="435">
  <tableColumns count="8">
    <tableColumn id="1" xr3:uid="{5BCC715D-AC73-4C2D-8E7E-7955668E7CCF}" name="CIE-10" dataCellStyle="20% - Énfasis4"/>
    <tableColumn id="2" xr3:uid="{AC248224-CE59-4C9C-AC30-83E6492BC28D}" name="D1" dataDxfId="434">
      <calculatedColumnFormula>IF($B$2="(Todas)",COUNTIF(BASE[CODCIE10],GUIA_NACIONAL_2022_1106128105107110207209[[#This Row],[CIE-10]]),COUNTIFS(BASE[Cod.Establecimiento],$B$2,BASE[CODCIE10],GUIA_NACIONAL_2022_1106128105107110207209[[#This Row],[CIE-10]]))</calculatedColumnFormula>
    </tableColumn>
    <tableColumn id="3" xr3:uid="{730D7160-15A2-4061-BA2E-485EBF70B7B1}" name="D2" dataDxfId="433">
      <calculatedColumnFormula>IF($B$2="(Todas)",COUNTIF(BASE[CODCIE102],GUIA_NACIONAL_2022_1106128105107110207209[[#This Row],[CIE-10]]),COUNTIFS(BASE[Cod.Establecimiento],$B$2,BASE[CODCIE102],GUIA_NACIONAL_2022_1106128105107110207209[[#This Row],[CIE-10]]))</calculatedColumnFormula>
    </tableColumn>
    <tableColumn id="4" xr3:uid="{FD53AF38-2677-48D2-970F-CF21FF127CBC}" name="D3" dataDxfId="432">
      <calculatedColumnFormula>IF($B$2="(Todas)",COUNTIF(BASE[CODCIE104],GUIA_NACIONAL_2022_1106128105107110207209[[#This Row],[CIE-10]]),COUNTIFS(BASE[Cod.Establecimiento],$B$2,BASE[CODCIE104],GUIA_NACIONAL_2022_1106128105107110207209[[#This Row],[CIE-10]]))</calculatedColumnFormula>
    </tableColumn>
    <tableColumn id="5" xr3:uid="{C53DCD1A-FCAF-45A5-9A70-1E0A0D3E6189}" name="D4" dataDxfId="431">
      <calculatedColumnFormula>IF($B$2="(Todas)",COUNTIF(BASE[CODCIE106],GUIA_NACIONAL_2022_1106128105107110207209[[#This Row],[CIE-10]]),COUNTIFS(BASE[Cod.Establecimiento],$B$2,BASE[CODCIE106],GUIA_NACIONAL_2022_1106128105107110207209[[#This Row],[CIE-10]]))</calculatedColumnFormula>
    </tableColumn>
    <tableColumn id="6" xr3:uid="{2A93D43D-939D-48A3-A5CC-1BCE5C4F621F}" name="D5" dataDxfId="430">
      <calculatedColumnFormula>IF($B$2="(Todas)",COUNTIF(BASE[CODCIE108],GUIA_NACIONAL_2022_1106128105107110207209[[#This Row],[CIE-10]]),COUNTIFS(BASE[Cod.Establecimiento],$B$2,BASE[CODCIE108],GUIA_NACIONAL_2022_1106128105107110207209[[#This Row],[CIE-10]]))</calculatedColumnFormula>
    </tableColumn>
    <tableColumn id="7" xr3:uid="{F37DCB88-89BE-4A65-AA4F-4F1397A18D88}" name="D6" dataDxfId="429">
      <calculatedColumnFormula>IF($B$2="(Todas)",COUNTIF(BASE[CODCIE1010],GUIA_NACIONAL_2022_1106128105107110207209[[#This Row],[CIE-10]]),COUNTIFS(BASE[Cod.Establecimiento],$B$2,BASE[CODCIE1010],GUIA_NACIONAL_2022_1106128105107110207209[[#This Row],[CIE-10]]))</calculatedColumnFormula>
    </tableColumn>
    <tableColumn id="8" xr3:uid="{8405508D-DC62-48C1-8001-57586B997041}" name="TOT" dataDxfId="428" dataCellStyle="40% - Énfasis6">
      <calculatedColumnFormula>SUM(GUIA_NACIONAL_2022_1106128105107110207209[[#This Row],[D1]:[D6]])</calculatedColumnFormula>
    </tableColumn>
  </tableColumns>
  <tableStyleInfo name="TableStyleLight12" showFirstColumn="0" showLastColumn="0" showRowStripes="1" showColumnStripes="0"/>
</table>
</file>

<file path=xl/tables/table2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9" xr:uid="{1083040C-4B53-4DA5-9B12-2B5162D62CBF}" name="GUIA_NACIONAL_2022_1106128105107110207210" displayName="GUIA_NACIONAL_2022_1106128105107110207210" ref="BF7:BM8" totalsRowShown="0" headerRowDxfId="427">
  <tableColumns count="8">
    <tableColumn id="1" xr3:uid="{7AA3C4BC-6F1A-4715-AB51-FB6A4EB9AE6C}" name="CIE-10" dataCellStyle="20% - Énfasis4"/>
    <tableColumn id="2" xr3:uid="{D84E5A8E-A6CD-47BE-96F8-BEF0805CD000}" name="D1" dataDxfId="426">
      <calculatedColumnFormula>IF($B$2="(Todas)",COUNTIF(BASE[CODCIE10],GUIA_NACIONAL_2022_1106128105107110207210[[#This Row],[CIE-10]]),COUNTIFS(BASE[Cod.Establecimiento],$B$2,BASE[CODCIE10],GUIA_NACIONAL_2022_1106128105107110207210[[#This Row],[CIE-10]]))</calculatedColumnFormula>
    </tableColumn>
    <tableColumn id="3" xr3:uid="{F60C2125-A1C6-463D-B2CB-215453D61D83}" name="D2" dataDxfId="425">
      <calculatedColumnFormula>IF($B$2="(Todas)",COUNTIF(BASE[CODCIE102],GUIA_NACIONAL_2022_1106128105107110207210[[#This Row],[CIE-10]]),COUNTIFS(BASE[Cod.Establecimiento],$B$2,BASE[CODCIE102],GUIA_NACIONAL_2022_1106128105107110207210[[#This Row],[CIE-10]]))</calculatedColumnFormula>
    </tableColumn>
    <tableColumn id="4" xr3:uid="{3FA1025A-245D-412C-A06D-476B3FBE63B6}" name="D3" dataDxfId="424">
      <calculatedColumnFormula>IF($B$2="(Todas)",COUNTIF(BASE[CODCIE104],GUIA_NACIONAL_2022_1106128105107110207210[[#This Row],[CIE-10]]),COUNTIFS(BASE[Cod.Establecimiento],$B$2,BASE[CODCIE104],GUIA_NACIONAL_2022_1106128105107110207210[[#This Row],[CIE-10]]))</calculatedColumnFormula>
    </tableColumn>
    <tableColumn id="5" xr3:uid="{2D10ECD2-F961-41AA-B2D4-AC35E74D7522}" name="D4" dataDxfId="423">
      <calculatedColumnFormula>IF($B$2="(Todas)",COUNTIF(BASE[CODCIE106],GUIA_NACIONAL_2022_1106128105107110207210[[#This Row],[CIE-10]]),COUNTIFS(BASE[Cod.Establecimiento],$B$2,BASE[CODCIE106],GUIA_NACIONAL_2022_1106128105107110207210[[#This Row],[CIE-10]]))</calculatedColumnFormula>
    </tableColumn>
    <tableColumn id="6" xr3:uid="{4B6598BA-5FFE-4B82-9EA0-C90025687606}" name="D5" dataDxfId="422">
      <calculatedColumnFormula>IF($B$2="(Todas)",COUNTIF(BASE[CODCIE108],GUIA_NACIONAL_2022_1106128105107110207210[[#This Row],[CIE-10]]),COUNTIFS(BASE[Cod.Establecimiento],$B$2,BASE[CODCIE108],GUIA_NACIONAL_2022_1106128105107110207210[[#This Row],[CIE-10]]))</calculatedColumnFormula>
    </tableColumn>
    <tableColumn id="7" xr3:uid="{5BB0D77F-52FA-4036-9524-B254CB5FD258}" name="D6" dataDxfId="421">
      <calculatedColumnFormula>IF($B$2="(Todas)",COUNTIF(BASE[CODCIE1010],GUIA_NACIONAL_2022_1106128105107110207210[[#This Row],[CIE-10]]),COUNTIFS(BASE[Cod.Establecimiento],$B$2,BASE[CODCIE1010],GUIA_NACIONAL_2022_1106128105107110207210[[#This Row],[CIE-10]]))</calculatedColumnFormula>
    </tableColumn>
    <tableColumn id="8" xr3:uid="{254B43E7-A4DE-4CBC-9E7C-49F56759FD01}" name="TOT" dataDxfId="420" dataCellStyle="40% - Énfasis6">
      <calculatedColumnFormula>SUM(GUIA_NACIONAL_2022_1106128105107110207210[[#This Row],[D1]:[D6]])</calculatedColumnFormula>
    </tableColumn>
  </tableColumns>
  <tableStyleInfo name="TableStyleLight12" showFirstColumn="0" showLastColumn="0" showRowStripes="1" showColumnStripes="0"/>
</table>
</file>

<file path=xl/tables/table2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0" xr:uid="{A7271C4B-9E51-44B1-B579-9AE18DD18B60}" name="GUIA_NACIONAL_2022_1106128105107110207210211" displayName="GUIA_NACIONAL_2022_1106128105107110207210211" ref="BF10:BM11" totalsRowShown="0" headerRowDxfId="419">
  <tableColumns count="8">
    <tableColumn id="1" xr3:uid="{594E9755-D854-4433-B7FB-F8CCD2D87A83}" name="CIE-10" dataCellStyle="20% - Énfasis4"/>
    <tableColumn id="2" xr3:uid="{00BBECBD-793C-493C-99D2-280A2119A94A}" name="D1" dataDxfId="418">
      <calculatedColumnFormula>IF($B$2="(Todas)",COUNTIF(BASE[CODCIE10],GUIA_NACIONAL_2022_1106128105107110207210211[[#This Row],[CIE-10]]),COUNTIFS(BASE[Cod.Establecimiento],$B$2,BASE[CODCIE10],GUIA_NACIONAL_2022_1106128105107110207210211[[#This Row],[CIE-10]]))</calculatedColumnFormula>
    </tableColumn>
    <tableColumn id="3" xr3:uid="{EB18F23B-1642-4158-A2C9-0275E57933EB}" name="D2" dataDxfId="417">
      <calculatedColumnFormula>IF($B$2="(Todas)",COUNTIF(BASE[CODCIE102],GUIA_NACIONAL_2022_1106128105107110207210211[[#This Row],[CIE-10]]),COUNTIFS(BASE[Cod.Establecimiento],$B$2,BASE[CODCIE102],GUIA_NACIONAL_2022_1106128105107110207210211[[#This Row],[CIE-10]]))</calculatedColumnFormula>
    </tableColumn>
    <tableColumn id="4" xr3:uid="{D90D9ECF-AD45-42C2-A9F8-891F5D44C5EB}" name="D3" dataDxfId="416">
      <calculatedColumnFormula>IF($B$2="(Todas)",COUNTIF(BASE[CODCIE104],GUIA_NACIONAL_2022_1106128105107110207210211[[#This Row],[CIE-10]]),COUNTIFS(BASE[Cod.Establecimiento],$B$2,BASE[CODCIE104],GUIA_NACIONAL_2022_1106128105107110207210211[[#This Row],[CIE-10]]))</calculatedColumnFormula>
    </tableColumn>
    <tableColumn id="5" xr3:uid="{EEB54C76-2786-4DE6-B98C-12BC0466C02C}" name="D4" dataDxfId="415">
      <calculatedColumnFormula>IF($B$2="(Todas)",COUNTIF(BASE[CODCIE106],GUIA_NACIONAL_2022_1106128105107110207210211[[#This Row],[CIE-10]]),COUNTIFS(BASE[Cod.Establecimiento],$B$2,BASE[CODCIE106],GUIA_NACIONAL_2022_1106128105107110207210211[[#This Row],[CIE-10]]))</calculatedColumnFormula>
    </tableColumn>
    <tableColumn id="6" xr3:uid="{193BFF8A-857D-44D2-8ED6-63D4558D8545}" name="D5" dataDxfId="414">
      <calculatedColumnFormula>IF($B$2="(Todas)",COUNTIF(BASE[CODCIE108],GUIA_NACIONAL_2022_1106128105107110207210211[[#This Row],[CIE-10]]),COUNTIFS(BASE[Cod.Establecimiento],$B$2,BASE[CODCIE108],GUIA_NACIONAL_2022_1106128105107110207210211[[#This Row],[CIE-10]]))</calculatedColumnFormula>
    </tableColumn>
    <tableColumn id="7" xr3:uid="{952B6B3C-682A-49C7-B4DD-08FF24FDF137}" name="D6" dataDxfId="413">
      <calculatedColumnFormula>IF($B$2="(Todas)",COUNTIF(BASE[CODCIE1010],GUIA_NACIONAL_2022_1106128105107110207210211[[#This Row],[CIE-10]]),COUNTIFS(BASE[Cod.Establecimiento],$B$2,BASE[CODCIE1010],GUIA_NACIONAL_2022_1106128105107110207210211[[#This Row],[CIE-10]]))</calculatedColumnFormula>
    </tableColumn>
    <tableColumn id="8" xr3:uid="{983A0444-195E-4B7A-9D89-477B64420DAE}" name="TOT" dataDxfId="412" dataCellStyle="40% - Énfasis6">
      <calculatedColumnFormula>SUM(GUIA_NACIONAL_2022_1106128105107110207210211[[#This Row],[D1]:[D6]])</calculatedColumnFormula>
    </tableColumn>
  </tableColumns>
  <tableStyleInfo name="TableStyleLight12" showFirstColumn="0" showLastColumn="0" showRowStripes="1" showColumnStripes="0"/>
</table>
</file>

<file path=xl/tables/table2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1" xr:uid="{CD7A0593-7A91-4E5B-A562-45207BBA7478}" name="GUIA_NACIONAL_2022_1106128105107110207210211212" displayName="GUIA_NACIONAL_2022_1106128105107110207210211212" ref="BF13:BM14" totalsRowShown="0" headerRowDxfId="411">
  <tableColumns count="8">
    <tableColumn id="1" xr3:uid="{FAD4996F-3DBF-43F3-A14A-6B9BA3EA4E0B}" name="CIE-10" dataCellStyle="20% - Énfasis4"/>
    <tableColumn id="2" xr3:uid="{86174468-3825-459C-826E-333C922F74FD}" name="D1" dataDxfId="410">
      <calculatedColumnFormula>IF($B$2="(Todas)",COUNTIF(BASE[CODCIE10],GUIA_NACIONAL_2022_1106128105107110207210211212[[#This Row],[CIE-10]]),COUNTIFS(BASE[Cod.Establecimiento],$B$2,BASE[CODCIE10],GUIA_NACIONAL_2022_1106128105107110207210211212[[#This Row],[CIE-10]]))</calculatedColumnFormula>
    </tableColumn>
    <tableColumn id="3" xr3:uid="{82608CA9-531A-4EF1-908E-F7B7B8D6A023}" name="D2" dataDxfId="409">
      <calculatedColumnFormula>IF($B$2="(Todas)",COUNTIF(BASE[CODCIE102],GUIA_NACIONAL_2022_1106128105107110207210211212[[#This Row],[CIE-10]]),COUNTIFS(BASE[Cod.Establecimiento],$B$2,BASE[CODCIE102],GUIA_NACIONAL_2022_1106128105107110207210211212[[#This Row],[CIE-10]]))</calculatedColumnFormula>
    </tableColumn>
    <tableColumn id="4" xr3:uid="{4708CE52-2478-4691-9511-62E40D66DA66}" name="D3" dataDxfId="408">
      <calculatedColumnFormula>IF($B$2="(Todas)",COUNTIF(BASE[CODCIE104],GUIA_NACIONAL_2022_1106128105107110207210211212[[#This Row],[CIE-10]]),COUNTIFS(BASE[Cod.Establecimiento],$B$2,BASE[CODCIE104],GUIA_NACIONAL_2022_1106128105107110207210211212[[#This Row],[CIE-10]]))</calculatedColumnFormula>
    </tableColumn>
    <tableColumn id="5" xr3:uid="{78B41796-625D-41B3-93CA-5BEDD9F1B69B}" name="D4" dataDxfId="407">
      <calculatedColumnFormula>IF($B$2="(Todas)",COUNTIF(BASE[CODCIE106],GUIA_NACIONAL_2022_1106128105107110207210211212[[#This Row],[CIE-10]]),COUNTIFS(BASE[Cod.Establecimiento],$B$2,BASE[CODCIE106],GUIA_NACIONAL_2022_1106128105107110207210211212[[#This Row],[CIE-10]]))</calculatedColumnFormula>
    </tableColumn>
    <tableColumn id="6" xr3:uid="{78699A8A-1B08-4257-AFFE-4CD64F141958}" name="D5" dataDxfId="406">
      <calculatedColumnFormula>IF($B$2="(Todas)",COUNTIF(BASE[CODCIE108],GUIA_NACIONAL_2022_1106128105107110207210211212[[#This Row],[CIE-10]]),COUNTIFS(BASE[Cod.Establecimiento],$B$2,BASE[CODCIE108],GUIA_NACIONAL_2022_1106128105107110207210211212[[#This Row],[CIE-10]]))</calculatedColumnFormula>
    </tableColumn>
    <tableColumn id="7" xr3:uid="{3C56D90C-F675-4858-846B-F27228A1F51D}" name="D6" dataDxfId="405">
      <calculatedColumnFormula>IF($B$2="(Todas)",COUNTIF(BASE[CODCIE1010],GUIA_NACIONAL_2022_1106128105107110207210211212[[#This Row],[CIE-10]]),COUNTIFS(BASE[Cod.Establecimiento],$B$2,BASE[CODCIE1010],GUIA_NACIONAL_2022_1106128105107110207210211212[[#This Row],[CIE-10]]))</calculatedColumnFormula>
    </tableColumn>
    <tableColumn id="8" xr3:uid="{CF414C3B-0501-452A-A684-952E8AC73342}" name="TOT" dataDxfId="404" dataCellStyle="40% - Énfasis6">
      <calculatedColumnFormula>SUM(GUIA_NACIONAL_2022_1106128105107110207210211212[[#This Row],[D1]:[D6]])</calculatedColumnFormula>
    </tableColumn>
  </tableColumns>
  <tableStyleInfo name="TableStyleLight12" showFirstColumn="0" showLastColumn="0" showRowStripes="1" showColumnStripes="0"/>
</table>
</file>

<file path=xl/tables/table2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3" xr:uid="{BCAA33B3-16E5-484D-A976-D44BC46C9466}" name="GUIA_NACIONAL_2022_1106128105107110207214" displayName="GUIA_NACIONAL_2022_1106128105107110207214" ref="BF17:BM18" totalsRowShown="0" headerRowDxfId="403">
  <tableColumns count="8">
    <tableColumn id="1" xr3:uid="{DF670D0C-4464-4F12-9785-24E14A529F59}" name="CIE-10" dataCellStyle="20% - Énfasis4"/>
    <tableColumn id="2" xr3:uid="{1D8A52CB-C017-4593-B95F-568A53509F27}" name="D1" dataDxfId="402">
      <calculatedColumnFormula>IF($B$2="(Todas)",COUNTIF(BASE[CODCIE10],GUIA_NACIONAL_2022_1106128105107110207214[[#This Row],[CIE-10]]),COUNTIFS(BASE[Cod.Establecimiento],$B$2,BASE[CODCIE10],GUIA_NACIONAL_2022_1106128105107110207214[[#This Row],[CIE-10]]))</calculatedColumnFormula>
    </tableColumn>
    <tableColumn id="3" xr3:uid="{7A6FDF47-AD58-4046-BBA3-1ECCC09AE315}" name="D2" dataDxfId="401">
      <calculatedColumnFormula>IF($B$2="(Todas)",COUNTIF(BASE[CODCIE102],GUIA_NACIONAL_2022_1106128105107110207214[[#This Row],[CIE-10]]),COUNTIFS(BASE[Cod.Establecimiento],$B$2,BASE[CODCIE102],GUIA_NACIONAL_2022_1106128105107110207214[[#This Row],[CIE-10]]))</calculatedColumnFormula>
    </tableColumn>
    <tableColumn id="4" xr3:uid="{18592BD5-CD7B-4A11-97A0-C2E709A7789C}" name="D3" dataDxfId="400">
      <calculatedColumnFormula>IF($B$2="(Todas)",COUNTIF(BASE[CODCIE104],GUIA_NACIONAL_2022_1106128105107110207214[[#This Row],[CIE-10]]),COUNTIFS(BASE[Cod.Establecimiento],$B$2,BASE[CODCIE104],GUIA_NACIONAL_2022_1106128105107110207214[[#This Row],[CIE-10]]))</calculatedColumnFormula>
    </tableColumn>
    <tableColumn id="5" xr3:uid="{90F10103-C11F-48CA-8BBE-3C31A4290E4C}" name="D4" dataDxfId="399">
      <calculatedColumnFormula>IF($B$2="(Todas)",COUNTIF(BASE[CODCIE106],GUIA_NACIONAL_2022_1106128105107110207214[[#This Row],[CIE-10]]),COUNTIFS(BASE[Cod.Establecimiento],$B$2,BASE[CODCIE106],GUIA_NACIONAL_2022_1106128105107110207214[[#This Row],[CIE-10]]))</calculatedColumnFormula>
    </tableColumn>
    <tableColumn id="6" xr3:uid="{BF8D4B5E-EC7D-4D51-9496-A3A1334186ED}" name="D5" dataDxfId="398">
      <calculatedColumnFormula>IF($B$2="(Todas)",COUNTIF(BASE[CODCIE108],GUIA_NACIONAL_2022_1106128105107110207214[[#This Row],[CIE-10]]),COUNTIFS(BASE[Cod.Establecimiento],$B$2,BASE[CODCIE108],GUIA_NACIONAL_2022_1106128105107110207214[[#This Row],[CIE-10]]))</calculatedColumnFormula>
    </tableColumn>
    <tableColumn id="7" xr3:uid="{8A89C3EF-D8F4-4853-812C-1EDA1E77C45F}" name="D6" dataDxfId="397">
      <calculatedColumnFormula>IF($B$2="(Todas)",COUNTIF(BASE[CODCIE1010],GUIA_NACIONAL_2022_1106128105107110207214[[#This Row],[CIE-10]]),COUNTIFS(BASE[Cod.Establecimiento],$B$2,BASE[CODCIE1010],GUIA_NACIONAL_2022_1106128105107110207214[[#This Row],[CIE-10]]))</calculatedColumnFormula>
    </tableColumn>
    <tableColumn id="8" xr3:uid="{74F93705-2D14-4B91-83E3-AA2B6D74CD16}" name="TOT" dataDxfId="396" dataCellStyle="40% - Énfasis6">
      <calculatedColumnFormula>SUM(GUIA_NACIONAL_2022_1106128105107110207214[[#This Row],[D1]:[D6]])</calculatedColumnFormula>
    </tableColumn>
  </tableColumns>
  <tableStyleInfo name="TableStyleLight12" showFirstColumn="0" showLastColumn="0" showRowStripes="1" showColumnStripes="0"/>
</table>
</file>

<file path=xl/tables/table2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4" xr:uid="{A24209F7-9241-4ED1-AA22-1DC76680B741}" name="GUIA_NACIONAL_2022_1106128105107110207214215" displayName="GUIA_NACIONAL_2022_1106128105107110207214215" ref="BF20:BM21" totalsRowShown="0" headerRowDxfId="395">
  <tableColumns count="8">
    <tableColumn id="1" xr3:uid="{F0E5135E-B9DE-4890-91E0-21B3EDCD9248}" name="CIE-10" dataCellStyle="20% - Énfasis4"/>
    <tableColumn id="2" xr3:uid="{D2E58B5A-F4F4-42DB-B678-0ABE50BA4AA6}" name="D1" dataDxfId="394">
      <calculatedColumnFormula>IF($B$2="(Todas)",COUNTIF(BASE[CODCIE10],GUIA_NACIONAL_2022_1106128105107110207214215[[#This Row],[CIE-10]]),COUNTIFS(BASE[Cod.Establecimiento],$B$2,BASE[CODCIE10],GUIA_NACIONAL_2022_1106128105107110207214215[[#This Row],[CIE-10]]))</calculatedColumnFormula>
    </tableColumn>
    <tableColumn id="3" xr3:uid="{5AB7E74E-93D2-41EC-9E55-174849D05D4F}" name="D2" dataDxfId="393">
      <calculatedColumnFormula>IF($B$2="(Todas)",COUNTIF(BASE[CODCIE102],GUIA_NACIONAL_2022_1106128105107110207214215[[#This Row],[CIE-10]]),COUNTIFS(BASE[Cod.Establecimiento],$B$2,BASE[CODCIE102],GUIA_NACIONAL_2022_1106128105107110207214215[[#This Row],[CIE-10]]))</calculatedColumnFormula>
    </tableColumn>
    <tableColumn id="4" xr3:uid="{F49D5D99-521B-4776-991D-3108EC127D3A}" name="D3" dataDxfId="392">
      <calculatedColumnFormula>IF($B$2="(Todas)",COUNTIF(BASE[CODCIE104],GUIA_NACIONAL_2022_1106128105107110207214215[[#This Row],[CIE-10]]),COUNTIFS(BASE[Cod.Establecimiento],$B$2,BASE[CODCIE104],GUIA_NACIONAL_2022_1106128105107110207214215[[#This Row],[CIE-10]]))</calculatedColumnFormula>
    </tableColumn>
    <tableColumn id="5" xr3:uid="{EF90754F-6E53-463B-91E5-95ED0E9317F5}" name="D4" dataDxfId="391">
      <calculatedColumnFormula>IF($B$2="(Todas)",COUNTIF(BASE[CODCIE106],GUIA_NACIONAL_2022_1106128105107110207214215[[#This Row],[CIE-10]]),COUNTIFS(BASE[Cod.Establecimiento],$B$2,BASE[CODCIE106],GUIA_NACIONAL_2022_1106128105107110207214215[[#This Row],[CIE-10]]))</calculatedColumnFormula>
    </tableColumn>
    <tableColumn id="6" xr3:uid="{6D032B57-F70A-4A73-823C-511839559E89}" name="D5" dataDxfId="390">
      <calculatedColumnFormula>IF($B$2="(Todas)",COUNTIF(BASE[CODCIE108],GUIA_NACIONAL_2022_1106128105107110207214215[[#This Row],[CIE-10]]),COUNTIFS(BASE[Cod.Establecimiento],$B$2,BASE[CODCIE108],GUIA_NACIONAL_2022_1106128105107110207214215[[#This Row],[CIE-10]]))</calculatedColumnFormula>
    </tableColumn>
    <tableColumn id="7" xr3:uid="{18516DF0-1046-497B-BB28-C163990A9D48}" name="D6" dataDxfId="389">
      <calculatedColumnFormula>IF($B$2="(Todas)",COUNTIF(BASE[CODCIE1010],GUIA_NACIONAL_2022_1106128105107110207214215[[#This Row],[CIE-10]]),COUNTIFS(BASE[Cod.Establecimiento],$B$2,BASE[CODCIE1010],GUIA_NACIONAL_2022_1106128105107110207214215[[#This Row],[CIE-10]]))</calculatedColumnFormula>
    </tableColumn>
    <tableColumn id="8" xr3:uid="{10169C59-C45F-4D39-BCB9-A3E1B411F5A7}" name="TOT" dataDxfId="388" dataCellStyle="40% - Énfasis6">
      <calculatedColumnFormula>SUM(GUIA_NACIONAL_2022_1106128105107110207214215[[#This Row],[D1]:[D6]])</calculatedColumnFormula>
    </tableColumn>
  </tableColumns>
  <tableStyleInfo name="TableStyleLight12" showFirstColumn="0" showLastColumn="0" showRowStripes="1" showColumnStripes="0"/>
</table>
</file>

<file path=xl/tables/table2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5" xr:uid="{F800DE09-39BD-4AF4-A65A-792BA09ED30F}" name="GUIA_NACIONAL_2022_1106128105107110207214216" displayName="GUIA_NACIONAL_2022_1106128105107110207214216" ref="BF24:BM25" totalsRowShown="0" headerRowDxfId="387">
  <tableColumns count="8">
    <tableColumn id="1" xr3:uid="{28E6AF65-4E98-4E80-A86F-1B9B49A6F108}" name="CIE-10" dataCellStyle="20% - Énfasis4"/>
    <tableColumn id="2" xr3:uid="{337D3BEF-5DE9-49CC-89E7-E0987B9055DE}" name="D1" dataDxfId="386">
      <calculatedColumnFormula>IF($B$2="(Todas)",COUNTIF(BASE[CODCIE10],GUIA_NACIONAL_2022_1106128105107110207214216[[#This Row],[CIE-10]]),COUNTIFS(BASE[Cod.Establecimiento],$B$2,BASE[CODCIE10],GUIA_NACIONAL_2022_1106128105107110207214216[[#This Row],[CIE-10]]))</calculatedColumnFormula>
    </tableColumn>
    <tableColumn id="3" xr3:uid="{052D7D70-A4E3-4976-81F3-F1FB51A9C541}" name="D2" dataDxfId="385">
      <calculatedColumnFormula>IF($B$2="(Todas)",COUNTIF(BASE[CODCIE102],GUIA_NACIONAL_2022_1106128105107110207214216[[#This Row],[CIE-10]]),COUNTIFS(BASE[Cod.Establecimiento],$B$2,BASE[CODCIE102],GUIA_NACIONAL_2022_1106128105107110207214216[[#This Row],[CIE-10]]))</calculatedColumnFormula>
    </tableColumn>
    <tableColumn id="4" xr3:uid="{BD752BA7-70FD-4E77-B2CD-301A90FFAA9F}" name="D3" dataDxfId="384">
      <calculatedColumnFormula>IF($B$2="(Todas)",COUNTIF(BASE[CODCIE104],GUIA_NACIONAL_2022_1106128105107110207214216[[#This Row],[CIE-10]]),COUNTIFS(BASE[Cod.Establecimiento],$B$2,BASE[CODCIE104],GUIA_NACIONAL_2022_1106128105107110207214216[[#This Row],[CIE-10]]))</calculatedColumnFormula>
    </tableColumn>
    <tableColumn id="5" xr3:uid="{3335C06C-38BD-41EB-8758-F4DA57BE442B}" name="D4" dataDxfId="383">
      <calculatedColumnFormula>IF($B$2="(Todas)",COUNTIF(BASE[CODCIE106],GUIA_NACIONAL_2022_1106128105107110207214216[[#This Row],[CIE-10]]),COUNTIFS(BASE[Cod.Establecimiento],$B$2,BASE[CODCIE106],GUIA_NACIONAL_2022_1106128105107110207214216[[#This Row],[CIE-10]]))</calculatedColumnFormula>
    </tableColumn>
    <tableColumn id="6" xr3:uid="{2D053DF7-9329-4E45-BB67-DCC6CF5CEDCF}" name="D5" dataDxfId="382">
      <calculatedColumnFormula>IF($B$2="(Todas)",COUNTIF(BASE[CODCIE108],GUIA_NACIONAL_2022_1106128105107110207214216[[#This Row],[CIE-10]]),COUNTIFS(BASE[Cod.Establecimiento],$B$2,BASE[CODCIE108],GUIA_NACIONAL_2022_1106128105107110207214216[[#This Row],[CIE-10]]))</calculatedColumnFormula>
    </tableColumn>
    <tableColumn id="7" xr3:uid="{3753F6D6-3A39-4E88-9F09-69B776E8C08C}" name="D6" dataDxfId="381">
      <calculatedColumnFormula>IF($B$2="(Todas)",COUNTIF(BASE[CODCIE1010],GUIA_NACIONAL_2022_1106128105107110207214216[[#This Row],[CIE-10]]),COUNTIFS(BASE[Cod.Establecimiento],$B$2,BASE[CODCIE1010],GUIA_NACIONAL_2022_1106128105107110207214216[[#This Row],[CIE-10]]))</calculatedColumnFormula>
    </tableColumn>
    <tableColumn id="8" xr3:uid="{5109CCC5-DE39-40E6-BC14-A75427CD68E6}" name="TOT" dataDxfId="380" dataCellStyle="40% - Énfasis6">
      <calculatedColumnFormula>SUM(GUIA_NACIONAL_2022_1106128105107110207214216[[#This Row],[D1]:[D6]])</calculatedColumnFormula>
    </tableColumn>
  </tableColumns>
  <tableStyleInfo name="TableStyleLight12" showFirstColumn="0" showLastColumn="0" showRowStripes="1" showColumnStripes="0"/>
</table>
</file>

<file path=xl/tables/table2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6" xr:uid="{2BB25CC7-9681-4775-9DCE-9C4464E82BF8}" name="GUIA_NACIONAL_2022_1106128105107110207214216217" displayName="GUIA_NACIONAL_2022_1106128105107110207214216217" ref="BF27:BM28" totalsRowShown="0" headerRowDxfId="379">
  <tableColumns count="8">
    <tableColumn id="1" xr3:uid="{DC14A9AF-F8FA-4F85-8C5C-150D54BD65F9}" name="CIE-10" dataCellStyle="20% - Énfasis4"/>
    <tableColumn id="2" xr3:uid="{1831DAF1-C15B-4B6C-B69C-6BA5EF587B3A}" name="D1" dataDxfId="378">
      <calculatedColumnFormula>IF($B$2="(Todas)",COUNTIF(BASE[CODCIE10],GUIA_NACIONAL_2022_1106128105107110207214216217[[#This Row],[CIE-10]]),COUNTIFS(BASE[Cod.Establecimiento],$B$2,BASE[CODCIE10],GUIA_NACIONAL_2022_1106128105107110207214216217[[#This Row],[CIE-10]]))</calculatedColumnFormula>
    </tableColumn>
    <tableColumn id="3" xr3:uid="{EF9A2229-8078-4717-AB2F-DAE86C6E4CF7}" name="D2" dataDxfId="377">
      <calculatedColumnFormula>IF($B$2="(Todas)",COUNTIF(BASE[CODCIE102],GUIA_NACIONAL_2022_1106128105107110207214216217[[#This Row],[CIE-10]]),COUNTIFS(BASE[Cod.Establecimiento],$B$2,BASE[CODCIE102],GUIA_NACIONAL_2022_1106128105107110207214216217[[#This Row],[CIE-10]]))</calculatedColumnFormula>
    </tableColumn>
    <tableColumn id="4" xr3:uid="{16382339-9587-43B8-BC49-42AD24372F31}" name="D3" dataDxfId="376">
      <calculatedColumnFormula>IF($B$2="(Todas)",COUNTIF(BASE[CODCIE104],GUIA_NACIONAL_2022_1106128105107110207214216217[[#This Row],[CIE-10]]),COUNTIFS(BASE[Cod.Establecimiento],$B$2,BASE[CODCIE104],GUIA_NACIONAL_2022_1106128105107110207214216217[[#This Row],[CIE-10]]))</calculatedColumnFormula>
    </tableColumn>
    <tableColumn id="5" xr3:uid="{83B5AE01-E162-45E4-A762-A2B4994870CF}" name="D4" dataDxfId="375">
      <calculatedColumnFormula>IF($B$2="(Todas)",COUNTIF(BASE[CODCIE106],GUIA_NACIONAL_2022_1106128105107110207214216217[[#This Row],[CIE-10]]),COUNTIFS(BASE[Cod.Establecimiento],$B$2,BASE[CODCIE106],GUIA_NACIONAL_2022_1106128105107110207214216217[[#This Row],[CIE-10]]))</calculatedColumnFormula>
    </tableColumn>
    <tableColumn id="6" xr3:uid="{FFD926FC-D6A7-48B8-ABEC-BB2FED709CC6}" name="D5" dataDxfId="374">
      <calculatedColumnFormula>IF($B$2="(Todas)",COUNTIF(BASE[CODCIE108],GUIA_NACIONAL_2022_1106128105107110207214216217[[#This Row],[CIE-10]]),COUNTIFS(BASE[Cod.Establecimiento],$B$2,BASE[CODCIE108],GUIA_NACIONAL_2022_1106128105107110207214216217[[#This Row],[CIE-10]]))</calculatedColumnFormula>
    </tableColumn>
    <tableColumn id="7" xr3:uid="{1C331E93-BA74-4D89-9253-9F2847554C5A}" name="D6" dataDxfId="373">
      <calculatedColumnFormula>IF($B$2="(Todas)",COUNTIF(BASE[CODCIE1010],GUIA_NACIONAL_2022_1106128105107110207214216217[[#This Row],[CIE-10]]),COUNTIFS(BASE[Cod.Establecimiento],$B$2,BASE[CODCIE1010],GUIA_NACIONAL_2022_1106128105107110207214216217[[#This Row],[CIE-10]]))</calculatedColumnFormula>
    </tableColumn>
    <tableColumn id="8" xr3:uid="{121B10C1-4F3A-4711-87A9-58B387BBB003}" name="TOT" dataDxfId="372" dataCellStyle="40% - Énfasis6">
      <calculatedColumnFormula>SUM(GUIA_NACIONAL_2022_1106128105107110207214216217[[#This Row],[D1]:[D6]])</calculatedColumnFormula>
    </tableColumn>
  </tableColumns>
  <tableStyleInfo name="TableStyleLight12" showFirstColumn="0" showLastColumn="0" showRowStripes="1" showColumnStripes="0"/>
</table>
</file>

<file path=xl/tables/table2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7" xr:uid="{99F04AEE-F687-4ED7-9233-1C38B7D755FB}" name="GUIA_NACIONAL_2022_1106128105107110207214216217218" displayName="GUIA_NACIONAL_2022_1106128105107110207214216217218" ref="BF30:BM33" totalsRowShown="0" headerRowDxfId="371">
  <tableColumns count="8">
    <tableColumn id="1" xr3:uid="{7D65BBE1-5B33-488E-9779-A3A01EA2C8CA}" name="CIE-10" dataCellStyle="20% - Énfasis4"/>
    <tableColumn id="2" xr3:uid="{5B6A21AF-A8C1-47D2-A944-9E4E0C89CB52}" name="D1" dataDxfId="370">
      <calculatedColumnFormula>IF($B$2="(Todas)",COUNTIF(BASE[CODCIE10],GUIA_NACIONAL_2022_1106128105107110207214216217218[[#This Row],[CIE-10]]),COUNTIFS(BASE[Cod.Establecimiento],$B$2,BASE[CODCIE10],GUIA_NACIONAL_2022_1106128105107110207214216217218[[#This Row],[CIE-10]]))</calculatedColumnFormula>
    </tableColumn>
    <tableColumn id="3" xr3:uid="{EA95D8D4-6C53-4A32-9ED7-4A1A0589F7EB}" name="D2" dataDxfId="369">
      <calculatedColumnFormula>IF($B$2="(Todas)",COUNTIF(BASE[CODCIE102],GUIA_NACIONAL_2022_1106128105107110207214216217218[[#This Row],[CIE-10]]),COUNTIFS(BASE[Cod.Establecimiento],$B$2,BASE[CODCIE102],GUIA_NACIONAL_2022_1106128105107110207214216217218[[#This Row],[CIE-10]]))</calculatedColumnFormula>
    </tableColumn>
    <tableColumn id="4" xr3:uid="{4023D632-90C9-4CAC-954F-57A68D215850}" name="D3" dataDxfId="368">
      <calculatedColumnFormula>IF($B$2="(Todas)",COUNTIF(BASE[CODCIE104],GUIA_NACIONAL_2022_1106128105107110207214216217218[[#This Row],[CIE-10]]),COUNTIFS(BASE[Cod.Establecimiento],$B$2,BASE[CODCIE104],GUIA_NACIONAL_2022_1106128105107110207214216217218[[#This Row],[CIE-10]]))</calculatedColumnFormula>
    </tableColumn>
    <tableColumn id="5" xr3:uid="{2EC54109-BAA4-4606-AC51-03115D1DD879}" name="D4" dataDxfId="367">
      <calculatedColumnFormula>IF($B$2="(Todas)",COUNTIF(BASE[CODCIE106],GUIA_NACIONAL_2022_1106128105107110207214216217218[[#This Row],[CIE-10]]),COUNTIFS(BASE[Cod.Establecimiento],$B$2,BASE[CODCIE106],GUIA_NACIONAL_2022_1106128105107110207214216217218[[#This Row],[CIE-10]]))</calculatedColumnFormula>
    </tableColumn>
    <tableColumn id="6" xr3:uid="{7B03108A-FB81-4E0D-A3D4-FEF1354FC6C2}" name="D5" dataDxfId="366">
      <calculatedColumnFormula>IF($B$2="(Todas)",COUNTIF(BASE[CODCIE108],GUIA_NACIONAL_2022_1106128105107110207214216217218[[#This Row],[CIE-10]]),COUNTIFS(BASE[Cod.Establecimiento],$B$2,BASE[CODCIE108],GUIA_NACIONAL_2022_1106128105107110207214216217218[[#This Row],[CIE-10]]))</calculatedColumnFormula>
    </tableColumn>
    <tableColumn id="7" xr3:uid="{0654527C-2124-480A-A883-8DBA074E8BF5}" name="D6" dataDxfId="365">
      <calculatedColumnFormula>IF($B$2="(Todas)",COUNTIF(BASE[CODCIE1010],GUIA_NACIONAL_2022_1106128105107110207214216217218[[#This Row],[CIE-10]]),COUNTIFS(BASE[Cod.Establecimiento],$B$2,BASE[CODCIE1010],GUIA_NACIONAL_2022_1106128105107110207214216217218[[#This Row],[CIE-10]]))</calculatedColumnFormula>
    </tableColumn>
    <tableColumn id="8" xr3:uid="{7953EAAB-13E3-45B0-B505-5B88C616B363}" name="TOT" dataDxfId="364" dataCellStyle="40% - Énfasis6">
      <calculatedColumnFormula>SUM(GUIA_NACIONAL_2022_1106128105107110207214216217218[[#This Row],[D1]:[D6]])</calculatedColumnFormula>
    </tableColumn>
  </tableColumns>
  <tableStyleInfo name="TableStyleLight12" showFirstColumn="0" showLastColumn="0" showRowStripes="1" showColumnStripes="0"/>
</table>
</file>

<file path=xl/tables/table2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8" xr:uid="{364D1746-092F-4D55-B145-38AF29B25F32}" name="GUIA_NACIONAL_2022_1106128105107110207214216217218219" displayName="GUIA_NACIONAL_2022_1106128105107110207214216217218219" ref="BF35:BM37" totalsRowShown="0" headerRowDxfId="363">
  <tableColumns count="8">
    <tableColumn id="1" xr3:uid="{991F1851-EDDA-433A-92FC-06CB7549AB22}" name="CIE-10" dataCellStyle="20% - Énfasis4"/>
    <tableColumn id="2" xr3:uid="{554C24BB-2A25-4698-A896-454D4418C516}" name="D1" dataDxfId="362">
      <calculatedColumnFormula>IF($B$2="(Todas)",COUNTIF(BASE[CODCIE10],GUIA_NACIONAL_2022_1106128105107110207214216217218219[[#This Row],[CIE-10]]),COUNTIFS(BASE[Cod.Establecimiento],$B$2,BASE[CODCIE10],GUIA_NACIONAL_2022_1106128105107110207214216217218219[[#This Row],[CIE-10]]))</calculatedColumnFormula>
    </tableColumn>
    <tableColumn id="3" xr3:uid="{25C848B8-537C-4446-9CD4-7CFBDEF47043}" name="D2" dataDxfId="361">
      <calculatedColumnFormula>IF($B$2="(Todas)",COUNTIF(BASE[CODCIE102],GUIA_NACIONAL_2022_1106128105107110207214216217218219[[#This Row],[CIE-10]]),COUNTIFS(BASE[Cod.Establecimiento],$B$2,BASE[CODCIE102],GUIA_NACIONAL_2022_1106128105107110207214216217218219[[#This Row],[CIE-10]]))</calculatedColumnFormula>
    </tableColumn>
    <tableColumn id="4" xr3:uid="{54148DC9-DFEA-461C-91EC-AD38AA05F95D}" name="D3" dataDxfId="360">
      <calculatedColumnFormula>IF($B$2="(Todas)",COUNTIF(BASE[CODCIE104],GUIA_NACIONAL_2022_1106128105107110207214216217218219[[#This Row],[CIE-10]]),COUNTIFS(BASE[Cod.Establecimiento],$B$2,BASE[CODCIE104],GUIA_NACIONAL_2022_1106128105107110207214216217218219[[#This Row],[CIE-10]]))</calculatedColumnFormula>
    </tableColumn>
    <tableColumn id="5" xr3:uid="{D62A4E43-2940-49E5-B4D9-6D855FDE533D}" name="D4" dataDxfId="359">
      <calculatedColumnFormula>IF($B$2="(Todas)",COUNTIF(BASE[CODCIE106],GUIA_NACIONAL_2022_1106128105107110207214216217218219[[#This Row],[CIE-10]]),COUNTIFS(BASE[Cod.Establecimiento],$B$2,BASE[CODCIE106],GUIA_NACIONAL_2022_1106128105107110207214216217218219[[#This Row],[CIE-10]]))</calculatedColumnFormula>
    </tableColumn>
    <tableColumn id="6" xr3:uid="{B20E46C4-5D74-4069-909E-B17297EE7AEB}" name="D5" dataDxfId="358">
      <calculatedColumnFormula>IF($B$2="(Todas)",COUNTIF(BASE[CODCIE108],GUIA_NACIONAL_2022_1106128105107110207214216217218219[[#This Row],[CIE-10]]),COUNTIFS(BASE[Cod.Establecimiento],$B$2,BASE[CODCIE108],GUIA_NACIONAL_2022_1106128105107110207214216217218219[[#This Row],[CIE-10]]))</calculatedColumnFormula>
    </tableColumn>
    <tableColumn id="7" xr3:uid="{388122D5-D793-46D6-AD59-3E709CE49ADB}" name="D6" dataDxfId="357">
      <calculatedColumnFormula>IF($B$2="(Todas)",COUNTIF(BASE[CODCIE1010],GUIA_NACIONAL_2022_1106128105107110207214216217218219[[#This Row],[CIE-10]]),COUNTIFS(BASE[Cod.Establecimiento],$B$2,BASE[CODCIE1010],GUIA_NACIONAL_2022_1106128105107110207214216217218219[[#This Row],[CIE-10]]))</calculatedColumnFormula>
    </tableColumn>
    <tableColumn id="8" xr3:uid="{5390CE29-82FF-4CAB-AD6C-17D0A941F6F7}" name="TOT" dataDxfId="356" dataCellStyle="40% - Énfasis6">
      <calculatedColumnFormula>SUM(GUIA_NACIONAL_2022_1106128105107110207214216217218219[[#This Row],[D1]:[D6]])</calculatedColumnFormula>
    </tableColumn>
  </tableColumns>
  <tableStyleInfo name="TableStyleLight12" showFirstColumn="0" showLastColumn="0" showRowStripes="1" showColumnStripes="0"/>
</table>
</file>

<file path=xl/tables/table2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9" xr:uid="{F9E6E1C4-B697-49A9-8EE0-B453F093AE1E}" name="GUIA_NACIONAL_2022_1106128105107110207214216217218219220" displayName="GUIA_NACIONAL_2022_1106128105107110207214216217218219220" ref="BF39:BM41" totalsRowShown="0" headerRowDxfId="355">
  <tableColumns count="8">
    <tableColumn id="1" xr3:uid="{F85589BF-2C94-42E6-9D26-A0981E7610A9}" name="CIE-10" dataCellStyle="20% - Énfasis4"/>
    <tableColumn id="2" xr3:uid="{852D2A7C-F8B2-48C1-9E0F-3F4D7D79E9A5}" name="D1" dataDxfId="354">
      <calculatedColumnFormula>IF($B$2="(Todas)",COUNTIF(BASE[CODCIE10],GUIA_NACIONAL_2022_1106128105107110207214216217218219220[[#This Row],[CIE-10]]),COUNTIFS(BASE[Cod.Establecimiento],$B$2,BASE[CODCIE10],GUIA_NACIONAL_2022_1106128105107110207214216217218219220[[#This Row],[CIE-10]]))</calculatedColumnFormula>
    </tableColumn>
    <tableColumn id="3" xr3:uid="{84D6426D-132A-4654-A8EE-5C6F6A0A62DD}" name="D2" dataDxfId="353">
      <calculatedColumnFormula>IF($B$2="(Todas)",COUNTIF(BASE[CODCIE102],GUIA_NACIONAL_2022_1106128105107110207214216217218219220[[#This Row],[CIE-10]]),COUNTIFS(BASE[Cod.Establecimiento],$B$2,BASE[CODCIE102],GUIA_NACIONAL_2022_1106128105107110207214216217218219220[[#This Row],[CIE-10]]))</calculatedColumnFormula>
    </tableColumn>
    <tableColumn id="4" xr3:uid="{AFE95472-D34B-4CE5-B840-B29CBB1AFE12}" name="D3" dataDxfId="352">
      <calculatedColumnFormula>IF($B$2="(Todas)",COUNTIF(BASE[CODCIE104],GUIA_NACIONAL_2022_1106128105107110207214216217218219220[[#This Row],[CIE-10]]),COUNTIFS(BASE[Cod.Establecimiento],$B$2,BASE[CODCIE104],GUIA_NACIONAL_2022_1106128105107110207214216217218219220[[#This Row],[CIE-10]]))</calculatedColumnFormula>
    </tableColumn>
    <tableColumn id="5" xr3:uid="{37BA33B5-269E-4AD0-BCE5-FF2AB1A97D17}" name="D4" dataDxfId="351">
      <calculatedColumnFormula>IF($B$2="(Todas)",COUNTIF(BASE[CODCIE106],GUIA_NACIONAL_2022_1106128105107110207214216217218219220[[#This Row],[CIE-10]]),COUNTIFS(BASE[Cod.Establecimiento],$B$2,BASE[CODCIE106],GUIA_NACIONAL_2022_1106128105107110207214216217218219220[[#This Row],[CIE-10]]))</calculatedColumnFormula>
    </tableColumn>
    <tableColumn id="6" xr3:uid="{5139C61D-2F21-40F9-AFCA-D2DC72102B86}" name="D5" dataDxfId="350">
      <calculatedColumnFormula>IF($B$2="(Todas)",COUNTIF(BASE[CODCIE108],GUIA_NACIONAL_2022_1106128105107110207214216217218219220[[#This Row],[CIE-10]]),COUNTIFS(BASE[Cod.Establecimiento],$B$2,BASE[CODCIE108],GUIA_NACIONAL_2022_1106128105107110207214216217218219220[[#This Row],[CIE-10]]))</calculatedColumnFormula>
    </tableColumn>
    <tableColumn id="7" xr3:uid="{D2BA9822-B778-4B93-A62D-DA631BE8ADDE}" name="D6" dataDxfId="349">
      <calculatedColumnFormula>IF($B$2="(Todas)",COUNTIF(BASE[CODCIE1010],GUIA_NACIONAL_2022_1106128105107110207214216217218219220[[#This Row],[CIE-10]]),COUNTIFS(BASE[Cod.Establecimiento],$B$2,BASE[CODCIE1010],GUIA_NACIONAL_2022_1106128105107110207214216217218219220[[#This Row],[CIE-10]]))</calculatedColumnFormula>
    </tableColumn>
    <tableColumn id="8" xr3:uid="{56BD8C06-1D0A-43F5-BCCF-E152631D551D}" name="TOT" dataDxfId="348" dataCellStyle="40% - Énfasis6">
      <calculatedColumnFormula>SUM(GUIA_NACIONAL_2022_1106128105107110207214216217218219220[[#This Row],[D1]:[D6]])</calculatedColumnFormula>
    </tableColumn>
  </tableColumns>
  <tableStyleInfo name="TableStyleLight12" showFirstColumn="0" showLastColumn="0" showRowStripes="1" showColumnStripes="0"/>
</table>
</file>

<file path=xl/tables/table2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0" xr:uid="{8026832E-02CA-4334-B414-0ED1E6E6AF5F}" name="GUIA_NACIONAL_2022_1106128105107110207214216221" displayName="GUIA_NACIONAL_2022_1106128105107110207214216221" ref="BF43:BM44" totalsRowShown="0" headerRowDxfId="347">
  <tableColumns count="8">
    <tableColumn id="1" xr3:uid="{A14620F2-FE0B-4932-8A1D-78E1B0FE085E}" name="CIE-10" dataCellStyle="20% - Énfasis4"/>
    <tableColumn id="2" xr3:uid="{170F70CC-B632-4DE5-90B4-A733B5DEF1E3}" name="D1" dataDxfId="346">
      <calculatedColumnFormula>IF($B$2="(Todas)",COUNTIF(BASE[CODCIE10],GUIA_NACIONAL_2022_1106128105107110207214216221[[#This Row],[CIE-10]]),COUNTIFS(BASE[Cod.Establecimiento],$B$2,BASE[CODCIE10],GUIA_NACIONAL_2022_1106128105107110207214216221[[#This Row],[CIE-10]]))</calculatedColumnFormula>
    </tableColumn>
    <tableColumn id="3" xr3:uid="{D17CCE9E-1870-46B2-A67D-196A5B9A4BCF}" name="D2" dataDxfId="345">
      <calculatedColumnFormula>IF($B$2="(Todas)",COUNTIF(BASE[CODCIE102],GUIA_NACIONAL_2022_1106128105107110207214216221[[#This Row],[CIE-10]]),COUNTIFS(BASE[Cod.Establecimiento],$B$2,BASE[CODCIE102],GUIA_NACIONAL_2022_1106128105107110207214216221[[#This Row],[CIE-10]]))</calculatedColumnFormula>
    </tableColumn>
    <tableColumn id="4" xr3:uid="{129A5BD8-6ECB-4A24-B9A4-0ABA97B8AEC5}" name="D3" dataDxfId="344">
      <calculatedColumnFormula>IF($B$2="(Todas)",COUNTIF(BASE[CODCIE104],GUIA_NACIONAL_2022_1106128105107110207214216221[[#This Row],[CIE-10]]),COUNTIFS(BASE[Cod.Establecimiento],$B$2,BASE[CODCIE104],GUIA_NACIONAL_2022_1106128105107110207214216221[[#This Row],[CIE-10]]))</calculatedColumnFormula>
    </tableColumn>
    <tableColumn id="5" xr3:uid="{95D53FF6-AB34-4190-862D-9B202B72B62F}" name="D4" dataDxfId="343">
      <calculatedColumnFormula>IF($B$2="(Todas)",COUNTIF(BASE[CODCIE106],GUIA_NACIONAL_2022_1106128105107110207214216221[[#This Row],[CIE-10]]),COUNTIFS(BASE[Cod.Establecimiento],$B$2,BASE[CODCIE106],GUIA_NACIONAL_2022_1106128105107110207214216221[[#This Row],[CIE-10]]))</calculatedColumnFormula>
    </tableColumn>
    <tableColumn id="6" xr3:uid="{9455D0F5-7D3C-43BA-8851-7FE02C480026}" name="D5" dataDxfId="342">
      <calculatedColumnFormula>IF($B$2="(Todas)",COUNTIF(BASE[CODCIE108],GUIA_NACIONAL_2022_1106128105107110207214216221[[#This Row],[CIE-10]]),COUNTIFS(BASE[Cod.Establecimiento],$B$2,BASE[CODCIE108],GUIA_NACIONAL_2022_1106128105107110207214216221[[#This Row],[CIE-10]]))</calculatedColumnFormula>
    </tableColumn>
    <tableColumn id="7" xr3:uid="{9A40FBE2-FDB7-48D9-997A-DC3F11B046FF}" name="D6" dataDxfId="341">
      <calculatedColumnFormula>IF($B$2="(Todas)",COUNTIF(BASE[CODCIE1010],GUIA_NACIONAL_2022_1106128105107110207214216221[[#This Row],[CIE-10]]),COUNTIFS(BASE[Cod.Establecimiento],$B$2,BASE[CODCIE1010],GUIA_NACIONAL_2022_1106128105107110207214216221[[#This Row],[CIE-10]]))</calculatedColumnFormula>
    </tableColumn>
    <tableColumn id="8" xr3:uid="{0C49B340-B3FA-4300-90BF-F37DEAAF9BD7}" name="TOT" dataDxfId="340" dataCellStyle="40% - Énfasis6">
      <calculatedColumnFormula>SUM(GUIA_NACIONAL_2022_1106128105107110207214216221[[#This Row],[D1]:[D6]])</calculatedColumnFormula>
    </tableColumn>
  </tableColumns>
  <tableStyleInfo name="TableStyleLight12" showFirstColumn="0" showLastColumn="0" showRowStripes="1" showColumnStripes="0"/>
</table>
</file>

<file path=xl/tables/table2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1" xr:uid="{F9F22B29-CABD-428B-8F9C-455660E768EF}" name="GUIA_NACIONAL_2022_1106128105107110207214216221222" displayName="GUIA_NACIONAL_2022_1106128105107110207214216221222" ref="BF46:BM47" totalsRowShown="0" headerRowDxfId="339">
  <tableColumns count="8">
    <tableColumn id="1" xr3:uid="{4CA884E9-22A7-4EB4-8ABE-B9DDB69817E6}" name="CIE-10" dataCellStyle="20% - Énfasis4"/>
    <tableColumn id="2" xr3:uid="{07FC41BC-9CA0-496C-96C0-1BB34E33B7C4}" name="D1" dataDxfId="338">
      <calculatedColumnFormula>IF($B$2="(Todas)",COUNTIF(BASE[CODCIE10],GUIA_NACIONAL_2022_1106128105107110207214216221222[[#This Row],[CIE-10]]),COUNTIFS(BASE[Cod.Establecimiento],$B$2,BASE[CODCIE10],GUIA_NACIONAL_2022_1106128105107110207214216221222[[#This Row],[CIE-10]]))</calculatedColumnFormula>
    </tableColumn>
    <tableColumn id="3" xr3:uid="{A38DFB72-55C4-40C7-A144-33821F60EF33}" name="D2" dataDxfId="337">
      <calculatedColumnFormula>IF($B$2="(Todas)",COUNTIF(BASE[CODCIE102],GUIA_NACIONAL_2022_1106128105107110207214216221222[[#This Row],[CIE-10]]),COUNTIFS(BASE[Cod.Establecimiento],$B$2,BASE[CODCIE102],GUIA_NACIONAL_2022_1106128105107110207214216221222[[#This Row],[CIE-10]]))</calculatedColumnFormula>
    </tableColumn>
    <tableColumn id="4" xr3:uid="{B735CF33-1EBE-4960-AD26-D27A09CA84F2}" name="D3" dataDxfId="336">
      <calculatedColumnFormula>IF($B$2="(Todas)",COUNTIF(BASE[CODCIE104],GUIA_NACIONAL_2022_1106128105107110207214216221222[[#This Row],[CIE-10]]),COUNTIFS(BASE[Cod.Establecimiento],$B$2,BASE[CODCIE104],GUIA_NACIONAL_2022_1106128105107110207214216221222[[#This Row],[CIE-10]]))</calculatedColumnFormula>
    </tableColumn>
    <tableColumn id="5" xr3:uid="{CFE60726-5DE4-467B-B71F-58C60A122E36}" name="D4" dataDxfId="335">
      <calculatedColumnFormula>IF($B$2="(Todas)",COUNTIF(BASE[CODCIE106],GUIA_NACIONAL_2022_1106128105107110207214216221222[[#This Row],[CIE-10]]),COUNTIFS(BASE[Cod.Establecimiento],$B$2,BASE[CODCIE106],GUIA_NACIONAL_2022_1106128105107110207214216221222[[#This Row],[CIE-10]]))</calculatedColumnFormula>
    </tableColumn>
    <tableColumn id="6" xr3:uid="{90BB76B5-E056-4944-ADCC-799300E3A7D5}" name="D5" dataDxfId="334">
      <calculatedColumnFormula>IF($B$2="(Todas)",COUNTIF(BASE[CODCIE108],GUIA_NACIONAL_2022_1106128105107110207214216221222[[#This Row],[CIE-10]]),COUNTIFS(BASE[Cod.Establecimiento],$B$2,BASE[CODCIE108],GUIA_NACIONAL_2022_1106128105107110207214216221222[[#This Row],[CIE-10]]))</calculatedColumnFormula>
    </tableColumn>
    <tableColumn id="7" xr3:uid="{9BA09B06-0A19-46E9-A0CD-4ED720DCC7C3}" name="D6" dataDxfId="333">
      <calculatedColumnFormula>IF($B$2="(Todas)",COUNTIF(BASE[CODCIE1010],GUIA_NACIONAL_2022_1106128105107110207214216221222[[#This Row],[CIE-10]]),COUNTIFS(BASE[Cod.Establecimiento],$B$2,BASE[CODCIE1010],GUIA_NACIONAL_2022_1106128105107110207214216221222[[#This Row],[CIE-10]]))</calculatedColumnFormula>
    </tableColumn>
    <tableColumn id="8" xr3:uid="{C8BA1CA2-26DC-4650-BD1A-A9BD8474956E}" name="TOT" dataDxfId="332" dataCellStyle="40% - Énfasis6">
      <calculatedColumnFormula>SUM(GUIA_NACIONAL_2022_1106128105107110207214216221222[[#This Row],[D1]:[D6]])</calculatedColumnFormula>
    </tableColumn>
  </tableColumns>
  <tableStyleInfo name="TableStyleLight12" showFirstColumn="0" showLastColumn="0" showRowStripes="1" showColumnStripes="0"/>
</table>
</file>

<file path=xl/tables/table2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2" xr:uid="{0CE27180-41DF-411E-801D-AAD4BBC71EA7}" name="GUIA_NACIONAL_2022_1106128105107110207214216221222223" displayName="GUIA_NACIONAL_2022_1106128105107110207214216221222223" ref="BF49:BM50" totalsRowShown="0" headerRowDxfId="331">
  <tableColumns count="8">
    <tableColumn id="1" xr3:uid="{EC18A1D7-C07F-46A5-BF3E-5DAC54503B29}" name="CIE-10" dataCellStyle="20% - Énfasis4"/>
    <tableColumn id="2" xr3:uid="{B50E2205-E0D0-4BA8-A055-390A0CB35D11}" name="D1" dataDxfId="330">
      <calculatedColumnFormula>IF($B$2="(Todas)",COUNTIF(BASE[CODCIE10],GUIA_NACIONAL_2022_1106128105107110207214216221222223[[#This Row],[CIE-10]]),COUNTIFS(BASE[Cod.Establecimiento],$B$2,BASE[CODCIE10],GUIA_NACIONAL_2022_1106128105107110207214216221222223[[#This Row],[CIE-10]]))</calculatedColumnFormula>
    </tableColumn>
    <tableColumn id="3" xr3:uid="{54559169-3991-4A2B-A686-393D5A3297DC}" name="D2" dataDxfId="329">
      <calculatedColumnFormula>IF($B$2="(Todas)",COUNTIF(BASE[CODCIE102],GUIA_NACIONAL_2022_1106128105107110207214216221222223[[#This Row],[CIE-10]]),COUNTIFS(BASE[Cod.Establecimiento],$B$2,BASE[CODCIE102],GUIA_NACIONAL_2022_1106128105107110207214216221222223[[#This Row],[CIE-10]]))</calculatedColumnFormula>
    </tableColumn>
    <tableColumn id="4" xr3:uid="{737A7F16-FDDC-40BA-84E2-2A8E05DA1CD1}" name="D3" dataDxfId="328">
      <calculatedColumnFormula>IF($B$2="(Todas)",COUNTIF(BASE[CODCIE104],GUIA_NACIONAL_2022_1106128105107110207214216221222223[[#This Row],[CIE-10]]),COUNTIFS(BASE[Cod.Establecimiento],$B$2,BASE[CODCIE104],GUIA_NACIONAL_2022_1106128105107110207214216221222223[[#This Row],[CIE-10]]))</calculatedColumnFormula>
    </tableColumn>
    <tableColumn id="5" xr3:uid="{189362A7-EC3F-4AA3-9C81-4194D0466808}" name="D4" dataDxfId="327">
      <calculatedColumnFormula>IF($B$2="(Todas)",COUNTIF(BASE[CODCIE106],GUIA_NACIONAL_2022_1106128105107110207214216221222223[[#This Row],[CIE-10]]),COUNTIFS(BASE[Cod.Establecimiento],$B$2,BASE[CODCIE106],GUIA_NACIONAL_2022_1106128105107110207214216221222223[[#This Row],[CIE-10]]))</calculatedColumnFormula>
    </tableColumn>
    <tableColumn id="6" xr3:uid="{5A17A357-8B55-4F00-9667-23DDB64C6CC9}" name="D5" dataDxfId="326">
      <calculatedColumnFormula>IF($B$2="(Todas)",COUNTIF(BASE[CODCIE108],GUIA_NACIONAL_2022_1106128105107110207214216221222223[[#This Row],[CIE-10]]),COUNTIFS(BASE[Cod.Establecimiento],$B$2,BASE[CODCIE108],GUIA_NACIONAL_2022_1106128105107110207214216221222223[[#This Row],[CIE-10]]))</calculatedColumnFormula>
    </tableColumn>
    <tableColumn id="7" xr3:uid="{50650844-9CF9-4DAE-8C90-A16C7D5BEEEF}" name="D6" dataDxfId="325">
      <calculatedColumnFormula>IF($B$2="(Todas)",COUNTIF(BASE[CODCIE1010],GUIA_NACIONAL_2022_1106128105107110207214216221222223[[#This Row],[CIE-10]]),COUNTIFS(BASE[Cod.Establecimiento],$B$2,BASE[CODCIE1010],GUIA_NACIONAL_2022_1106128105107110207214216221222223[[#This Row],[CIE-10]]))</calculatedColumnFormula>
    </tableColumn>
    <tableColumn id="8" xr3:uid="{E75E8AAF-913E-438B-9BCF-C9D4A36C7BD5}" name="TOT" dataDxfId="324" dataCellStyle="40% - Énfasis6">
      <calculatedColumnFormula>SUM(GUIA_NACIONAL_2022_1106128105107110207214216221222223[[#This Row],[D1]:[D6]])</calculatedColumnFormula>
    </tableColumn>
  </tableColumns>
  <tableStyleInfo name="TableStyleLight12" showFirstColumn="0" showLastColumn="0" showRowStripes="1" showColumnStripes="0"/>
</table>
</file>

<file path=xl/tables/table2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3" xr:uid="{83771FFE-EE9A-4470-BF73-76CAEE2B1CB3}" name="GUIA_NACIONAL_2022_1106128105107110207214216221222223224" displayName="GUIA_NACIONAL_2022_1106128105107110207214216221222223224" ref="BF52:BM53" totalsRowShown="0" headerRowDxfId="323">
  <tableColumns count="8">
    <tableColumn id="1" xr3:uid="{D56E0F40-7970-4D19-9C11-9BA97085C37F}" name="CIE-10" dataCellStyle="20% - Énfasis4"/>
    <tableColumn id="2" xr3:uid="{42E778BD-7B47-449E-9AA3-8340859C38E1}" name="D1" dataDxfId="322">
      <calculatedColumnFormula>IF($B$2="(Todas)",COUNTIF(BASE[CODCIE10],GUIA_NACIONAL_2022_1106128105107110207214216221222223224[[#This Row],[CIE-10]]),COUNTIFS(BASE[Cod.Establecimiento],$B$2,BASE[CODCIE10],GUIA_NACIONAL_2022_1106128105107110207214216221222223224[[#This Row],[CIE-10]]))</calculatedColumnFormula>
    </tableColumn>
    <tableColumn id="3" xr3:uid="{5BB9F155-EBE7-4EE4-B6FA-A4F8F5E2ABB6}" name="D2" dataDxfId="321">
      <calculatedColumnFormula>IF($B$2="(Todas)",COUNTIF(BASE[CODCIE102],GUIA_NACIONAL_2022_1106128105107110207214216221222223224[[#This Row],[CIE-10]]),COUNTIFS(BASE[Cod.Establecimiento],$B$2,BASE[CODCIE102],GUIA_NACIONAL_2022_1106128105107110207214216221222223224[[#This Row],[CIE-10]]))</calculatedColumnFormula>
    </tableColumn>
    <tableColumn id="4" xr3:uid="{18A6E614-566E-47EE-A0B6-A42E276B1B5E}" name="D3" dataDxfId="320">
      <calculatedColumnFormula>IF($B$2="(Todas)",COUNTIF(BASE[CODCIE104],GUIA_NACIONAL_2022_1106128105107110207214216221222223224[[#This Row],[CIE-10]]),COUNTIFS(BASE[Cod.Establecimiento],$B$2,BASE[CODCIE104],GUIA_NACIONAL_2022_1106128105107110207214216221222223224[[#This Row],[CIE-10]]))</calculatedColumnFormula>
    </tableColumn>
    <tableColumn id="5" xr3:uid="{3DDFF6EE-3D5C-4424-A449-863110AFAC87}" name="D4" dataDxfId="319">
      <calculatedColumnFormula>IF($B$2="(Todas)",COUNTIF(BASE[CODCIE106],GUIA_NACIONAL_2022_1106128105107110207214216221222223224[[#This Row],[CIE-10]]),COUNTIFS(BASE[Cod.Establecimiento],$B$2,BASE[CODCIE106],GUIA_NACIONAL_2022_1106128105107110207214216221222223224[[#This Row],[CIE-10]]))</calculatedColumnFormula>
    </tableColumn>
    <tableColumn id="6" xr3:uid="{860C4B0B-BC65-404D-ADEB-EB66E4C755F4}" name="D5" dataDxfId="318">
      <calculatedColumnFormula>IF($B$2="(Todas)",COUNTIF(BASE[CODCIE108],GUIA_NACIONAL_2022_1106128105107110207214216221222223224[[#This Row],[CIE-10]]),COUNTIFS(BASE[Cod.Establecimiento],$B$2,BASE[CODCIE108],GUIA_NACIONAL_2022_1106128105107110207214216221222223224[[#This Row],[CIE-10]]))</calculatedColumnFormula>
    </tableColumn>
    <tableColumn id="7" xr3:uid="{70B45A74-9CAA-4532-B76A-74DA21621FFB}" name="D6" dataDxfId="317">
      <calculatedColumnFormula>IF($B$2="(Todas)",COUNTIF(BASE[CODCIE1010],GUIA_NACIONAL_2022_1106128105107110207214216221222223224[[#This Row],[CIE-10]]),COUNTIFS(BASE[Cod.Establecimiento],$B$2,BASE[CODCIE1010],GUIA_NACIONAL_2022_1106128105107110207214216221222223224[[#This Row],[CIE-10]]))</calculatedColumnFormula>
    </tableColumn>
    <tableColumn id="8" xr3:uid="{A0E4295E-BAED-4C26-B577-5E8CAA147762}" name="TOT" dataDxfId="316" dataCellStyle="40% - Énfasis6">
      <calculatedColumnFormula>SUM(GUIA_NACIONAL_2022_1106128105107110207214216221222223224[[#This Row],[D1]:[D6]])</calculatedColumnFormula>
    </tableColumn>
  </tableColumns>
  <tableStyleInfo name="TableStyleLight12" showFirstColumn="0" showLastColumn="0" showRowStripes="1" showColumnStripes="0"/>
</table>
</file>

<file path=xl/tables/table2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4" xr:uid="{F1B35449-6925-4C1B-A7D0-59DB4F687D34}" name="GUIA_NACIONAL_2022_1106128105168162225" displayName="GUIA_NACIONAL_2022_1106128105168162225" ref="BF56:BM57" totalsRowShown="0" headerRowDxfId="315">
  <tableColumns count="8">
    <tableColumn id="1" xr3:uid="{B1AA5655-9F13-4D9F-8811-EC78EFE52700}" name="CIE-10" dataCellStyle="20% - Énfasis4"/>
    <tableColumn id="2" xr3:uid="{B000D996-DC6D-4401-B3FD-24816456560B}" name="D1" dataDxfId="314">
      <calculatedColumnFormula>IF($B$2="(Todas)",COUNTIF(BASE[CODCIE10],GUIA_NACIONAL_2022_1106128105168162225[[#This Row],[CIE-10]]),COUNTIFS(BASE[Cod.Establecimiento],$B$2,BASE[CODCIE10],GUIA_NACIONAL_2022_1106128105168162225[[#This Row],[CIE-10]]))</calculatedColumnFormula>
    </tableColumn>
    <tableColumn id="3" xr3:uid="{2B98F389-F062-43D5-8827-73544D718FAC}" name="D2" dataDxfId="313">
      <calculatedColumnFormula>IF($B$2="(Todas)",COUNTIF(BASE[CODCIE102],GUIA_NACIONAL_2022_1106128105168162225[[#This Row],[CIE-10]]),COUNTIFS(BASE[Cod.Establecimiento],$B$2,BASE[CODCIE102],GUIA_NACIONAL_2022_1106128105168162225[[#This Row],[CIE-10]]))</calculatedColumnFormula>
    </tableColumn>
    <tableColumn id="4" xr3:uid="{ADDEF514-868E-478E-A391-B117B8CBE49C}" name="D3" dataDxfId="312">
      <calculatedColumnFormula>IF($B$2="(Todas)",COUNTIF(BASE[CODCIE104],GUIA_NACIONAL_2022_1106128105168162225[[#This Row],[CIE-10]]),COUNTIFS(BASE[Cod.Establecimiento],$B$2,BASE[CODCIE104],GUIA_NACIONAL_2022_1106128105168162225[[#This Row],[CIE-10]]))</calculatedColumnFormula>
    </tableColumn>
    <tableColumn id="5" xr3:uid="{5A3CE405-18C6-4EEB-9DD5-4F4C515B07C3}" name="D4" dataDxfId="311">
      <calculatedColumnFormula>IF($B$2="(Todas)",COUNTIF(BASE[CODCIE106],GUIA_NACIONAL_2022_1106128105168162225[[#This Row],[CIE-10]]),COUNTIFS(BASE[Cod.Establecimiento],$B$2,BASE[CODCIE106],GUIA_NACIONAL_2022_1106128105168162225[[#This Row],[CIE-10]]))</calculatedColumnFormula>
    </tableColumn>
    <tableColumn id="6" xr3:uid="{921D39DB-72EA-4EA2-8959-33C891818622}" name="D5" dataDxfId="310">
      <calculatedColumnFormula>IF($B$2="(Todas)",COUNTIF(BASE[CODCIE108],GUIA_NACIONAL_2022_1106128105168162225[[#This Row],[CIE-10]]),COUNTIFS(BASE[Cod.Establecimiento],$B$2,BASE[CODCIE108],GUIA_NACIONAL_2022_1106128105168162225[[#This Row],[CIE-10]]))</calculatedColumnFormula>
    </tableColumn>
    <tableColumn id="7" xr3:uid="{AE4D7DC0-88DC-41C1-B068-62C98F089688}" name="D6" dataDxfId="309">
      <calculatedColumnFormula>IF($B$2="(Todas)",COUNTIF(BASE[CODCIE1010],GUIA_NACIONAL_2022_1106128105168162225[[#This Row],[CIE-10]]),COUNTIFS(BASE[Cod.Establecimiento],$B$2,BASE[CODCIE1010],GUIA_NACIONAL_2022_1106128105168162225[[#This Row],[CIE-10]]))</calculatedColumnFormula>
    </tableColumn>
    <tableColumn id="8" xr3:uid="{A4C09E84-45E0-4859-8DAF-13BF06C0045F}" name="TOT" dataDxfId="308" dataCellStyle="40% - Énfasis6">
      <calculatedColumnFormula>SUM(GUIA_NACIONAL_2022_1106128105168162225[[#This Row],[D1]:[D6]])</calculatedColumnFormula>
    </tableColumn>
  </tableColumns>
  <tableStyleInfo name="TableStyleLight12" showFirstColumn="0" showLastColumn="0" showRowStripes="1" showColumnStripes="0"/>
</table>
</file>

<file path=xl/tables/table2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5" xr:uid="{78EAC89A-E7CE-4B03-8301-CB71DB4739A1}" name="GUIA_NACIONAL_2022_1106128105107110207214216221222223224226" displayName="GUIA_NACIONAL_2022_1106128105107110207214216221222223224226" ref="BF59:BM60" totalsRowShown="0" headerRowDxfId="307">
  <tableColumns count="8">
    <tableColumn id="1" xr3:uid="{8C8975C2-8AD7-4456-980D-AAAD64347CFB}" name="CIE-10" dataCellStyle="20% - Énfasis4"/>
    <tableColumn id="2" xr3:uid="{88419812-E88B-4905-85A2-32F17895F471}" name="D1" dataDxfId="306">
      <calculatedColumnFormula>IF($B$2="(Todas)",COUNTIF(BASE[CODCIE10],GUIA_NACIONAL_2022_1106128105107110207214216221222223224226[[#This Row],[CIE-10]]),COUNTIFS(BASE[Cod.Establecimiento],$B$2,BASE[CODCIE10],GUIA_NACIONAL_2022_1106128105107110207214216221222223224226[[#This Row],[CIE-10]]))</calculatedColumnFormula>
    </tableColumn>
    <tableColumn id="3" xr3:uid="{95C6F278-4DAD-45DA-AD52-5452AF29E649}" name="D2" dataDxfId="305">
      <calculatedColumnFormula>IF($B$2="(Todas)",COUNTIF(BASE[CODCIE102],GUIA_NACIONAL_2022_1106128105107110207214216221222223224226[[#This Row],[CIE-10]]),COUNTIFS(BASE[Cod.Establecimiento],$B$2,BASE[CODCIE102],GUIA_NACIONAL_2022_1106128105107110207214216221222223224226[[#This Row],[CIE-10]]))</calculatedColumnFormula>
    </tableColumn>
    <tableColumn id="4" xr3:uid="{3E7CF054-3D75-4BF8-92E2-E350D41ACF36}" name="D3" dataDxfId="304">
      <calculatedColumnFormula>IF($B$2="(Todas)",COUNTIF(BASE[CODCIE104],GUIA_NACIONAL_2022_1106128105107110207214216221222223224226[[#This Row],[CIE-10]]),COUNTIFS(BASE[Cod.Establecimiento],$B$2,BASE[CODCIE104],GUIA_NACIONAL_2022_1106128105107110207214216221222223224226[[#This Row],[CIE-10]]))</calculatedColumnFormula>
    </tableColumn>
    <tableColumn id="5" xr3:uid="{3D649E6B-183B-48F3-BC8D-440341047EAC}" name="D4" dataDxfId="303">
      <calculatedColumnFormula>IF($B$2="(Todas)",COUNTIF(BASE[CODCIE106],GUIA_NACIONAL_2022_1106128105107110207214216221222223224226[[#This Row],[CIE-10]]),COUNTIFS(BASE[Cod.Establecimiento],$B$2,BASE[CODCIE106],GUIA_NACIONAL_2022_1106128105107110207214216221222223224226[[#This Row],[CIE-10]]))</calculatedColumnFormula>
    </tableColumn>
    <tableColumn id="6" xr3:uid="{57D8DB24-20AB-49D7-A513-8CDB61566872}" name="D5" dataDxfId="302">
      <calculatedColumnFormula>IF($B$2="(Todas)",COUNTIF(BASE[CODCIE108],GUIA_NACIONAL_2022_1106128105107110207214216221222223224226[[#This Row],[CIE-10]]),COUNTIFS(BASE[Cod.Establecimiento],$B$2,BASE[CODCIE108],GUIA_NACIONAL_2022_1106128105107110207214216221222223224226[[#This Row],[CIE-10]]))</calculatedColumnFormula>
    </tableColumn>
    <tableColumn id="7" xr3:uid="{FFD1D546-D150-45FE-A013-5D4062968EAF}" name="D6" dataDxfId="301">
      <calculatedColumnFormula>IF($B$2="(Todas)",COUNTIF(BASE[CODCIE1010],GUIA_NACIONAL_2022_1106128105107110207214216221222223224226[[#This Row],[CIE-10]]),COUNTIFS(BASE[Cod.Establecimiento],$B$2,BASE[CODCIE1010],GUIA_NACIONAL_2022_1106128105107110207214216221222223224226[[#This Row],[CIE-10]]))</calculatedColumnFormula>
    </tableColumn>
    <tableColumn id="8" xr3:uid="{5D9B7B2F-662E-471B-973E-BD2C0CBA76EA}" name="TOT" dataDxfId="300" dataCellStyle="40% - Énfasis6">
      <calculatedColumnFormula>SUM(GUIA_NACIONAL_2022_1106128105107110207214216221222223224226[[#This Row],[D1]:[D6]])</calculatedColumnFormula>
    </tableColumn>
  </tableColumns>
  <tableStyleInfo name="TableStyleLight12" showFirstColumn="0" showLastColumn="0" showRowStripes="1" showColumnStripes="0"/>
</table>
</file>

<file path=xl/tables/table2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6" xr:uid="{8BA7C342-1CA2-45E3-BEA4-9219A0CC387E}" name="GUIA_NACIONAL_2022_1106128105107110207214216221222223224226227" displayName="GUIA_NACIONAL_2022_1106128105107110207214216221222223224226227" ref="BF62:BM67" totalsRowShown="0" headerRowDxfId="299">
  <tableColumns count="8">
    <tableColumn id="1" xr3:uid="{B2D9A653-61A7-4544-BB0E-133676EBCDDE}" name="CIE-10" dataCellStyle="20% - Énfasis4"/>
    <tableColumn id="2" xr3:uid="{49658863-7264-4FDE-B797-A1ECAF4BF609}" name="D1" dataDxfId="298">
      <calculatedColumnFormula>IF($B$2="(Todas)",COUNTIF(BASE[CODCIE10],GUIA_NACIONAL_2022_1106128105107110207214216221222223224226227[[#This Row],[CIE-10]]),COUNTIFS(BASE[Cod.Establecimiento],$B$2,BASE[CODCIE10],GUIA_NACIONAL_2022_1106128105107110207214216221222223224226227[[#This Row],[CIE-10]]))</calculatedColumnFormula>
    </tableColumn>
    <tableColumn id="3" xr3:uid="{510374EA-4285-4066-BF1C-BA6E1D32F30D}" name="D2" dataDxfId="297">
      <calculatedColumnFormula>IF($B$2="(Todas)",COUNTIF(BASE[CODCIE102],GUIA_NACIONAL_2022_1106128105107110207214216221222223224226227[[#This Row],[CIE-10]]),COUNTIFS(BASE[Cod.Establecimiento],$B$2,BASE[CODCIE102],GUIA_NACIONAL_2022_1106128105107110207214216221222223224226227[[#This Row],[CIE-10]]))</calculatedColumnFormula>
    </tableColumn>
    <tableColumn id="4" xr3:uid="{434A4143-8B83-4290-98BA-8261B1E18BA1}" name="D3" dataDxfId="296">
      <calculatedColumnFormula>IF($B$2="(Todas)",COUNTIF(BASE[CODCIE104],GUIA_NACIONAL_2022_1106128105107110207214216221222223224226227[[#This Row],[CIE-10]]),COUNTIFS(BASE[Cod.Establecimiento],$B$2,BASE[CODCIE104],GUIA_NACIONAL_2022_1106128105107110207214216221222223224226227[[#This Row],[CIE-10]]))</calculatedColumnFormula>
    </tableColumn>
    <tableColumn id="5" xr3:uid="{0732A963-448D-425F-A4D7-3E0F38F5379B}" name="D4" dataDxfId="295">
      <calculatedColumnFormula>IF($B$2="(Todas)",COUNTIF(BASE[CODCIE106],GUIA_NACIONAL_2022_1106128105107110207214216221222223224226227[[#This Row],[CIE-10]]),COUNTIFS(BASE[Cod.Establecimiento],$B$2,BASE[CODCIE106],GUIA_NACIONAL_2022_1106128105107110207214216221222223224226227[[#This Row],[CIE-10]]))</calculatedColumnFormula>
    </tableColumn>
    <tableColumn id="6" xr3:uid="{6B4F7ACC-A03A-43D2-82AF-4CEB60A08041}" name="D5" dataDxfId="294">
      <calculatedColumnFormula>IF($B$2="(Todas)",COUNTIF(BASE[CODCIE108],GUIA_NACIONAL_2022_1106128105107110207214216221222223224226227[[#This Row],[CIE-10]]),COUNTIFS(BASE[Cod.Establecimiento],$B$2,BASE[CODCIE108],GUIA_NACIONAL_2022_1106128105107110207214216221222223224226227[[#This Row],[CIE-10]]))</calculatedColumnFormula>
    </tableColumn>
    <tableColumn id="7" xr3:uid="{3C5F4055-2E52-45B8-B11A-08D5ABD1DE88}" name="D6" dataDxfId="293">
      <calculatedColumnFormula>IF($B$2="(Todas)",COUNTIF(BASE[CODCIE1010],GUIA_NACIONAL_2022_1106128105107110207214216221222223224226227[[#This Row],[CIE-10]]),COUNTIFS(BASE[Cod.Establecimiento],$B$2,BASE[CODCIE1010],GUIA_NACIONAL_2022_1106128105107110207214216221222223224226227[[#This Row],[CIE-10]]))</calculatedColumnFormula>
    </tableColumn>
    <tableColumn id="8" xr3:uid="{32ADBAFC-F1CE-42C5-A4C6-B0391C5B7B31}" name="TOT" dataDxfId="292" dataCellStyle="40% - Énfasis6">
      <calculatedColumnFormula>SUM(GUIA_NACIONAL_2022_1106128105107110207214216221222223224226227[[#This Row],[D1]:[D6]])</calculatedColumnFormula>
    </tableColumn>
  </tableColumns>
  <tableStyleInfo name="TableStyleLight12" showFirstColumn="0" showLastColumn="0" showRowStripes="1" showColumnStripes="0"/>
</table>
</file>

<file path=xl/tables/table2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7" xr:uid="{9EE459D5-8436-4B57-BC83-90AA0CCEA703}" name="GUIA_NACIONAL_2022_1106128105107110207214216221222223224226228" displayName="GUIA_NACIONAL_2022_1106128105107110207214216221222223224226228" ref="BF69:BM70" totalsRowShown="0" headerRowDxfId="291">
  <tableColumns count="8">
    <tableColumn id="1" xr3:uid="{FF0BDB1E-7BA5-4E6C-9836-EF219F19A2CC}" name="CIE-10" dataCellStyle="20% - Énfasis4"/>
    <tableColumn id="2" xr3:uid="{2284D742-F25F-49C9-9CC3-E9CB37A07D61}" name="D1" dataDxfId="290">
      <calculatedColumnFormula>IF($B$2="(Todas)",COUNTIF(BASE[CODCIE10],GUIA_NACIONAL_2022_1106128105107110207214216221222223224226228[[#This Row],[CIE-10]]),COUNTIFS(BASE[Cod.Establecimiento],$B$2,BASE[CODCIE10],GUIA_NACIONAL_2022_1106128105107110207214216221222223224226228[[#This Row],[CIE-10]]))</calculatedColumnFormula>
    </tableColumn>
    <tableColumn id="3" xr3:uid="{FE588A4B-02BA-493B-AF19-A3F127C162C2}" name="D2" dataDxfId="289">
      <calculatedColumnFormula>IF($B$2="(Todas)",COUNTIF(BASE[CODCIE102],GUIA_NACIONAL_2022_1106128105107110207214216221222223224226228[[#This Row],[CIE-10]]),COUNTIFS(BASE[Cod.Establecimiento],$B$2,BASE[CODCIE102],GUIA_NACIONAL_2022_1106128105107110207214216221222223224226228[[#This Row],[CIE-10]]))</calculatedColumnFormula>
    </tableColumn>
    <tableColumn id="4" xr3:uid="{F6C9F278-8C2E-4DD1-BA8B-2CA6E9EE74E5}" name="D3" dataDxfId="288">
      <calculatedColumnFormula>IF($B$2="(Todas)",COUNTIF(BASE[CODCIE104],GUIA_NACIONAL_2022_1106128105107110207214216221222223224226228[[#This Row],[CIE-10]]),COUNTIFS(BASE[Cod.Establecimiento],$B$2,BASE[CODCIE104],GUIA_NACIONAL_2022_1106128105107110207214216221222223224226228[[#This Row],[CIE-10]]))</calculatedColumnFormula>
    </tableColumn>
    <tableColumn id="5" xr3:uid="{245E478F-26B7-4CD6-8DC4-BCE670EC758C}" name="D4" dataDxfId="287">
      <calculatedColumnFormula>IF($B$2="(Todas)",COUNTIF(BASE[CODCIE106],GUIA_NACIONAL_2022_1106128105107110207214216221222223224226228[[#This Row],[CIE-10]]),COUNTIFS(BASE[Cod.Establecimiento],$B$2,BASE[CODCIE106],GUIA_NACIONAL_2022_1106128105107110207214216221222223224226228[[#This Row],[CIE-10]]))</calculatedColumnFormula>
    </tableColumn>
    <tableColumn id="6" xr3:uid="{2D10C4EA-AC34-4EAA-93F0-42A7610BE89C}" name="D5" dataDxfId="286">
      <calculatedColumnFormula>IF($B$2="(Todas)",COUNTIF(BASE[CODCIE108],GUIA_NACIONAL_2022_1106128105107110207214216221222223224226228[[#This Row],[CIE-10]]),COUNTIFS(BASE[Cod.Establecimiento],$B$2,BASE[CODCIE108],GUIA_NACIONAL_2022_1106128105107110207214216221222223224226228[[#This Row],[CIE-10]]))</calculatedColumnFormula>
    </tableColumn>
    <tableColumn id="7" xr3:uid="{0BFF844E-F502-4C82-A4FD-D466980E9FC2}" name="D6" dataDxfId="285">
      <calculatedColumnFormula>IF($B$2="(Todas)",COUNTIF(BASE[CODCIE1010],GUIA_NACIONAL_2022_1106128105107110207214216221222223224226228[[#This Row],[CIE-10]]),COUNTIFS(BASE[Cod.Establecimiento],$B$2,BASE[CODCIE1010],GUIA_NACIONAL_2022_1106128105107110207214216221222223224226228[[#This Row],[CIE-10]]))</calculatedColumnFormula>
    </tableColumn>
    <tableColumn id="8" xr3:uid="{FD66F3CF-555B-4E1A-80C7-71BE7E72F755}" name="TOT" dataDxfId="284" dataCellStyle="40% - Énfasis6">
      <calculatedColumnFormula>SUM(GUIA_NACIONAL_2022_1106128105107110207214216221222223224226228[[#This Row],[D1]:[D6]])</calculatedColumnFormula>
    </tableColumn>
  </tableColumns>
  <tableStyleInfo name="TableStyleLight12" showFirstColumn="0" showLastColumn="0" showRowStripes="1" showColumnStripes="0"/>
</table>
</file>

<file path=xl/tables/table2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8" xr:uid="{831BB89D-E7AF-4C4D-8DFF-280A52EF2901}" name="GUIA_NACIONAL_2022_1106128105107110207214216221222223224226228229" displayName="GUIA_NACIONAL_2022_1106128105107110207214216221222223224226228229" ref="BF72:BM73" totalsRowShown="0" headerRowDxfId="283">
  <tableColumns count="8">
    <tableColumn id="1" xr3:uid="{7A8A1C5C-B47F-4366-98A0-200B3BC445F4}" name="CIE-10" dataCellStyle="20% - Énfasis4"/>
    <tableColumn id="2" xr3:uid="{3FDD53D7-F4EC-4074-8E7D-05EB20140876}" name="D1" dataDxfId="282">
      <calculatedColumnFormula>IF($B$2="(Todas)",COUNTIF(BASE[CODCIE10],GUIA_NACIONAL_2022_1106128105107110207214216221222223224226228229[[#This Row],[CIE-10]]),COUNTIFS(BASE[Cod.Establecimiento],$B$2,BASE[CODCIE10],GUIA_NACIONAL_2022_1106128105107110207214216221222223224226228229[[#This Row],[CIE-10]]))</calculatedColumnFormula>
    </tableColumn>
    <tableColumn id="3" xr3:uid="{DDD5D7B2-7A6F-4C4D-9A0F-A3DC4857C6A1}" name="D2" dataDxfId="281">
      <calculatedColumnFormula>IF($B$2="(Todas)",COUNTIF(BASE[CODCIE102],GUIA_NACIONAL_2022_1106128105107110207214216221222223224226228229[[#This Row],[CIE-10]]),COUNTIFS(BASE[Cod.Establecimiento],$B$2,BASE[CODCIE102],GUIA_NACIONAL_2022_1106128105107110207214216221222223224226228229[[#This Row],[CIE-10]]))</calculatedColumnFormula>
    </tableColumn>
    <tableColumn id="4" xr3:uid="{6F03A4D9-96F6-43A6-B8BC-DD10EB69D24A}" name="D3" dataDxfId="280">
      <calculatedColumnFormula>IF($B$2="(Todas)",COUNTIF(BASE[CODCIE104],GUIA_NACIONAL_2022_1106128105107110207214216221222223224226228229[[#This Row],[CIE-10]]),COUNTIFS(BASE[Cod.Establecimiento],$B$2,BASE[CODCIE104],GUIA_NACIONAL_2022_1106128105107110207214216221222223224226228229[[#This Row],[CIE-10]]))</calculatedColumnFormula>
    </tableColumn>
    <tableColumn id="5" xr3:uid="{E488539F-2F0A-4A39-8D74-A36E30AA7182}" name="D4" dataDxfId="279">
      <calculatedColumnFormula>IF($B$2="(Todas)",COUNTIF(BASE[CODCIE106],GUIA_NACIONAL_2022_1106128105107110207214216221222223224226228229[[#This Row],[CIE-10]]),COUNTIFS(BASE[Cod.Establecimiento],$B$2,BASE[CODCIE106],GUIA_NACIONAL_2022_1106128105107110207214216221222223224226228229[[#This Row],[CIE-10]]))</calculatedColumnFormula>
    </tableColumn>
    <tableColumn id="6" xr3:uid="{264C8F18-E879-445F-9D63-8DF1D77D5A26}" name="D5" dataDxfId="278">
      <calculatedColumnFormula>IF($B$2="(Todas)",COUNTIF(BASE[CODCIE108],GUIA_NACIONAL_2022_1106128105107110207214216221222223224226228229[[#This Row],[CIE-10]]),COUNTIFS(BASE[Cod.Establecimiento],$B$2,BASE[CODCIE108],GUIA_NACIONAL_2022_1106128105107110207214216221222223224226228229[[#This Row],[CIE-10]]))</calculatedColumnFormula>
    </tableColumn>
    <tableColumn id="7" xr3:uid="{10E189A5-BBDB-4688-844F-5A8C12223D27}" name="D6" dataDxfId="277">
      <calculatedColumnFormula>IF($B$2="(Todas)",COUNTIF(BASE[CODCIE1010],GUIA_NACIONAL_2022_1106128105107110207214216221222223224226228229[[#This Row],[CIE-10]]),COUNTIFS(BASE[Cod.Establecimiento],$B$2,BASE[CODCIE1010],GUIA_NACIONAL_2022_1106128105107110207214216221222223224226228229[[#This Row],[CIE-10]]))</calculatedColumnFormula>
    </tableColumn>
    <tableColumn id="8" xr3:uid="{C3AE0300-F7B6-4130-9E14-D1631937B79A}" name="TOT" dataDxfId="276" dataCellStyle="40% - Énfasis6">
      <calculatedColumnFormula>SUM(GUIA_NACIONAL_2022_1106128105107110207214216221222223224226228229[[#This Row],[D1]:[D6]])</calculatedColumnFormula>
    </tableColumn>
  </tableColumns>
  <tableStyleInfo name="TableStyleLight12" showFirstColumn="0" showLastColumn="0" showRowStripes="1" showColumnStripes="0"/>
</table>
</file>

<file path=xl/tables/table2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9" xr:uid="{CAE97771-D40D-4306-95F0-4683B872F7E9}" name="GUIA_NACIONAL_2022_1106128105107110207214216221222223224226228230" displayName="GUIA_NACIONAL_2022_1106128105107110207214216221222223224226228230" ref="BF75:BM76" totalsRowShown="0" headerRowDxfId="275">
  <tableColumns count="8">
    <tableColumn id="1" xr3:uid="{0C82E2D5-11BD-4A0D-A560-E155A1BE7B69}" name="CIE-10" dataCellStyle="20% - Énfasis4"/>
    <tableColumn id="2" xr3:uid="{49B280B8-9DDF-4F3D-98F1-0EB1EF3E19CA}" name="D1" dataDxfId="274">
      <calculatedColumnFormula>IF($B$2="(Todas)",COUNTIF(BASE[CODCIE10],GUIA_NACIONAL_2022_1106128105107110207214216221222223224226228230[[#This Row],[CIE-10]]),COUNTIFS(BASE[Cod.Establecimiento],$B$2,BASE[CODCIE10],GUIA_NACIONAL_2022_1106128105107110207214216221222223224226228230[[#This Row],[CIE-10]]))</calculatedColumnFormula>
    </tableColumn>
    <tableColumn id="3" xr3:uid="{ABBFA075-39D5-45F3-B9B2-1945463E8A7E}" name="D2" dataDxfId="273">
      <calculatedColumnFormula>IF($B$2="(Todas)",COUNTIF(BASE[CODCIE102],GUIA_NACIONAL_2022_1106128105107110207214216221222223224226228230[[#This Row],[CIE-10]]),COUNTIFS(BASE[Cod.Establecimiento],$B$2,BASE[CODCIE102],GUIA_NACIONAL_2022_1106128105107110207214216221222223224226228230[[#This Row],[CIE-10]]))</calculatedColumnFormula>
    </tableColumn>
    <tableColumn id="4" xr3:uid="{C5F50307-2AB9-43E4-80D4-FB9B4A2025C3}" name="D3" dataDxfId="272">
      <calculatedColumnFormula>IF($B$2="(Todas)",COUNTIF(BASE[CODCIE104],GUIA_NACIONAL_2022_1106128105107110207214216221222223224226228230[[#This Row],[CIE-10]]),COUNTIFS(BASE[Cod.Establecimiento],$B$2,BASE[CODCIE104],GUIA_NACIONAL_2022_1106128105107110207214216221222223224226228230[[#This Row],[CIE-10]]))</calculatedColumnFormula>
    </tableColumn>
    <tableColumn id="5" xr3:uid="{CF5E6537-38CC-41D2-B9AD-DB2B5F06AE23}" name="D4" dataDxfId="271">
      <calculatedColumnFormula>IF($B$2="(Todas)",COUNTIF(BASE[CODCIE106],GUIA_NACIONAL_2022_1106128105107110207214216221222223224226228230[[#This Row],[CIE-10]]),COUNTIFS(BASE[Cod.Establecimiento],$B$2,BASE[CODCIE106],GUIA_NACIONAL_2022_1106128105107110207214216221222223224226228230[[#This Row],[CIE-10]]))</calculatedColumnFormula>
    </tableColumn>
    <tableColumn id="6" xr3:uid="{78B16BD3-48F8-4F5B-B622-F8E1EA370F24}" name="D5" dataDxfId="270">
      <calculatedColumnFormula>IF($B$2="(Todas)",COUNTIF(BASE[CODCIE108],GUIA_NACIONAL_2022_1106128105107110207214216221222223224226228230[[#This Row],[CIE-10]]),COUNTIFS(BASE[Cod.Establecimiento],$B$2,BASE[CODCIE108],GUIA_NACIONAL_2022_1106128105107110207214216221222223224226228230[[#This Row],[CIE-10]]))</calculatedColumnFormula>
    </tableColumn>
    <tableColumn id="7" xr3:uid="{DCB86767-AC82-4E77-9B5A-55CFFA48E6A8}" name="D6" dataDxfId="269">
      <calculatedColumnFormula>IF($B$2="(Todas)",COUNTIF(BASE[CODCIE1010],GUIA_NACIONAL_2022_1106128105107110207214216221222223224226228230[[#This Row],[CIE-10]]),COUNTIFS(BASE[Cod.Establecimiento],$B$2,BASE[CODCIE1010],GUIA_NACIONAL_2022_1106128105107110207214216221222223224226228230[[#This Row],[CIE-10]]))</calculatedColumnFormula>
    </tableColumn>
    <tableColumn id="8" xr3:uid="{4C998B23-32C5-417D-B7A5-0EEE28904558}" name="TOT" dataDxfId="268" dataCellStyle="40% - Énfasis6">
      <calculatedColumnFormula>SUM(GUIA_NACIONAL_2022_1106128105107110207214216221222223224226228230[[#This Row],[D1]:[D6]])</calculatedColumnFormula>
    </tableColumn>
  </tableColumns>
  <tableStyleInfo name="TableStyleLight12" showFirstColumn="0" showLastColumn="0" showRowStripes="1" showColumnStripes="0"/>
</table>
</file>

<file path=xl/tables/table2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0" xr:uid="{356327F7-92A5-4D4C-B920-30A2891B33E5}" name="GUIA_NACIONAL_2022_1106128105107110207210231" displayName="GUIA_NACIONAL_2022_1106128105107110207210231" ref="BO7:BV8" totalsRowShown="0" headerRowDxfId="267">
  <tableColumns count="8">
    <tableColumn id="1" xr3:uid="{066779C6-11AE-47BE-9AD8-17218BA9446B}" name="CIE-10" dataCellStyle="20% - Énfasis4"/>
    <tableColumn id="2" xr3:uid="{7A52FDC6-9BA3-4CE5-B833-29A19C582E97}" name="D1" dataDxfId="266">
      <calculatedColumnFormula>IF($B$2="(Todas)",COUNTIF(BASE[CODCIE10],GUIA_NACIONAL_2022_1106128105107110207210231[[#This Row],[CIE-10]]),COUNTIFS(BASE[Cod.Establecimiento],$B$2,BASE[CODCIE10],GUIA_NACIONAL_2022_1106128105107110207210231[[#This Row],[CIE-10]]))</calculatedColumnFormula>
    </tableColumn>
    <tableColumn id="3" xr3:uid="{36BA8BBD-5838-488B-BB8B-60927FE6FFFD}" name="D2" dataDxfId="265">
      <calculatedColumnFormula>IF($B$2="(Todas)",COUNTIF(BASE[CODCIE102],GUIA_NACIONAL_2022_1106128105107110207210231[[#This Row],[CIE-10]]),COUNTIFS(BASE[Cod.Establecimiento],$B$2,BASE[CODCIE102],GUIA_NACIONAL_2022_1106128105107110207210231[[#This Row],[CIE-10]]))</calculatedColumnFormula>
    </tableColumn>
    <tableColumn id="4" xr3:uid="{C35C54F9-5257-4465-8614-2E0B41A0E3E0}" name="D3" dataDxfId="264">
      <calculatedColumnFormula>IF($B$2="(Todas)",COUNTIF(BASE[CODCIE104],GUIA_NACIONAL_2022_1106128105107110207210231[[#This Row],[CIE-10]]),COUNTIFS(BASE[Cod.Establecimiento],$B$2,BASE[CODCIE104],GUIA_NACIONAL_2022_1106128105107110207210231[[#This Row],[CIE-10]]))</calculatedColumnFormula>
    </tableColumn>
    <tableColumn id="5" xr3:uid="{1D9C3D38-0E75-4480-ADE8-39E6872694E1}" name="D4" dataDxfId="263">
      <calculatedColumnFormula>IF($B$2="(Todas)",COUNTIF(BASE[CODCIE106],GUIA_NACIONAL_2022_1106128105107110207210231[[#This Row],[CIE-10]]),COUNTIFS(BASE[Cod.Establecimiento],$B$2,BASE[CODCIE106],GUIA_NACIONAL_2022_1106128105107110207210231[[#This Row],[CIE-10]]))</calculatedColumnFormula>
    </tableColumn>
    <tableColumn id="6" xr3:uid="{87FA66BD-8C13-46AB-BE2D-732D2E5F7C63}" name="D5" dataDxfId="262">
      <calculatedColumnFormula>IF($B$2="(Todas)",COUNTIF(BASE[CODCIE108],GUIA_NACIONAL_2022_1106128105107110207210231[[#This Row],[CIE-10]]),COUNTIFS(BASE[Cod.Establecimiento],$B$2,BASE[CODCIE108],GUIA_NACIONAL_2022_1106128105107110207210231[[#This Row],[CIE-10]]))</calculatedColumnFormula>
    </tableColumn>
    <tableColumn id="7" xr3:uid="{9580C85C-CEB5-439D-9F7C-5BA2692985E7}" name="D6" dataDxfId="261">
      <calculatedColumnFormula>IF($B$2="(Todas)",COUNTIF(BASE[CODCIE1010],GUIA_NACIONAL_2022_1106128105107110207210231[[#This Row],[CIE-10]]),COUNTIFS(BASE[Cod.Establecimiento],$B$2,BASE[CODCIE1010],GUIA_NACIONAL_2022_1106128105107110207210231[[#This Row],[CIE-10]]))</calculatedColumnFormula>
    </tableColumn>
    <tableColumn id="8" xr3:uid="{08E3BAA4-3648-4CF9-9044-1521AE955C24}" name="TOT" dataDxfId="260" dataCellStyle="40% - Énfasis6">
      <calculatedColumnFormula>SUM(GUIA_NACIONAL_2022_1106128105107110207210231[[#This Row],[D1]:[D6]])</calculatedColumnFormula>
    </tableColumn>
  </tableColumns>
  <tableStyleInfo name="TableStyleLight12" showFirstColumn="0" showLastColumn="0" showRowStripes="1" showColumnStripes="0"/>
</table>
</file>

<file path=xl/tables/table2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1" xr:uid="{4282E214-01CD-4191-816F-F493B691ACAF}" name="GUIA_NACIONAL_2022_1106128105107110207210231232" displayName="GUIA_NACIONAL_2022_1106128105107110207210231232" ref="BO10:BV11" totalsRowShown="0" headerRowDxfId="259">
  <tableColumns count="8">
    <tableColumn id="1" xr3:uid="{7C0659D3-8C52-4928-84E9-E2B209CDE5FE}" name="CIE-10" dataCellStyle="20% - Énfasis4"/>
    <tableColumn id="2" xr3:uid="{269253D5-7E96-48B9-ADE1-89B8B7E78243}" name="D1" dataDxfId="258">
      <calculatedColumnFormula>IF($B$2="(Todas)",COUNTIF(BASE[CODCIE10],GUIA_NACIONAL_2022_1106128105107110207210231232[[#This Row],[CIE-10]]),COUNTIFS(BASE[Cod.Establecimiento],$B$2,BASE[CODCIE10],GUIA_NACIONAL_2022_1106128105107110207210231232[[#This Row],[CIE-10]]))</calculatedColumnFormula>
    </tableColumn>
    <tableColumn id="3" xr3:uid="{B253AAEB-E92F-41C2-B180-E30FA0BB2A12}" name="D2" dataDxfId="257">
      <calculatedColumnFormula>IF($B$2="(Todas)",COUNTIF(BASE[CODCIE102],GUIA_NACIONAL_2022_1106128105107110207210231232[[#This Row],[CIE-10]]),COUNTIFS(BASE[Cod.Establecimiento],$B$2,BASE[CODCIE102],GUIA_NACIONAL_2022_1106128105107110207210231232[[#This Row],[CIE-10]]))</calculatedColumnFormula>
    </tableColumn>
    <tableColumn id="4" xr3:uid="{2FFAAEA2-444C-4160-B2AC-E1DB3F760458}" name="D3" dataDxfId="256">
      <calculatedColumnFormula>IF($B$2="(Todas)",COUNTIF(BASE[CODCIE104],GUIA_NACIONAL_2022_1106128105107110207210231232[[#This Row],[CIE-10]]),COUNTIFS(BASE[Cod.Establecimiento],$B$2,BASE[CODCIE104],GUIA_NACIONAL_2022_1106128105107110207210231232[[#This Row],[CIE-10]]))</calculatedColumnFormula>
    </tableColumn>
    <tableColumn id="5" xr3:uid="{233808BD-5F85-40B1-9915-456166EEE5DF}" name="D4" dataDxfId="255">
      <calculatedColumnFormula>IF($B$2="(Todas)",COUNTIF(BASE[CODCIE106],GUIA_NACIONAL_2022_1106128105107110207210231232[[#This Row],[CIE-10]]),COUNTIFS(BASE[Cod.Establecimiento],$B$2,BASE[CODCIE106],GUIA_NACIONAL_2022_1106128105107110207210231232[[#This Row],[CIE-10]]))</calculatedColumnFormula>
    </tableColumn>
    <tableColumn id="6" xr3:uid="{8A6566AE-E807-46C9-A5A4-FA32800DE035}" name="D5" dataDxfId="254">
      <calculatedColumnFormula>IF($B$2="(Todas)",COUNTIF(BASE[CODCIE108],GUIA_NACIONAL_2022_1106128105107110207210231232[[#This Row],[CIE-10]]),COUNTIFS(BASE[Cod.Establecimiento],$B$2,BASE[CODCIE108],GUIA_NACIONAL_2022_1106128105107110207210231232[[#This Row],[CIE-10]]))</calculatedColumnFormula>
    </tableColumn>
    <tableColumn id="7" xr3:uid="{CAE1FAC7-F547-4634-87F4-C514E02A196F}" name="D6" dataDxfId="253">
      <calculatedColumnFormula>IF($B$2="(Todas)",COUNTIF(BASE[CODCIE1010],GUIA_NACIONAL_2022_1106128105107110207210231232[[#This Row],[CIE-10]]),COUNTIFS(BASE[Cod.Establecimiento],$B$2,BASE[CODCIE1010],GUIA_NACIONAL_2022_1106128105107110207210231232[[#This Row],[CIE-10]]))</calculatedColumnFormula>
    </tableColumn>
    <tableColumn id="8" xr3:uid="{63AA91FD-37BB-4B80-907A-91CEA0F809C1}" name="TOT" dataDxfId="252" dataCellStyle="40% - Énfasis6">
      <calculatedColumnFormula>SUM(GUIA_NACIONAL_2022_1106128105107110207210231232[[#This Row],[D1]:[D6]])</calculatedColumnFormula>
    </tableColumn>
  </tableColumns>
  <tableStyleInfo name="TableStyleLight12" showFirstColumn="0" showLastColumn="0" showRowStripes="1" showColumnStripes="0"/>
</table>
</file>

<file path=xl/tables/table2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3" xr:uid="{7D8CF619-6F46-41F1-8EDC-ED7FD36157BB}" name="GUIA_NACIONAL_2022_1106128105107110207210231232234" displayName="GUIA_NACIONAL_2022_1106128105107110207210231232234" ref="BO14:BV24" totalsRowShown="0" headerRowDxfId="251">
  <tableColumns count="8">
    <tableColumn id="1" xr3:uid="{D43E2FCC-83B2-47C0-B20E-BE9F72ABF6CB}" name="CIE-10" dataCellStyle="20% - Énfasis4"/>
    <tableColumn id="2" xr3:uid="{33109BB2-0C0C-4436-A5EC-D69B3A224DE5}" name="D1" dataDxfId="250">
      <calculatedColumnFormula>IF($B$2="(Todas)",COUNTIF(BASE[CODCIE10],GUIA_NACIONAL_2022_1106128105107110207210231232234[[#This Row],[CIE-10]]),COUNTIFS(BASE[Cod.Establecimiento],$B$2,BASE[CODCIE10],GUIA_NACIONAL_2022_1106128105107110207210231232234[[#This Row],[CIE-10]]))</calculatedColumnFormula>
    </tableColumn>
    <tableColumn id="3" xr3:uid="{08A16DA9-F7C8-4093-8259-B186DE12D027}" name="D2" dataDxfId="249">
      <calculatedColumnFormula>IF($B$2="(Todas)",COUNTIF(BASE[CODCIE102],GUIA_NACIONAL_2022_1106128105107110207210231232234[[#This Row],[CIE-10]]),COUNTIFS(BASE[Cod.Establecimiento],$B$2,BASE[CODCIE102],GUIA_NACIONAL_2022_1106128105107110207210231232234[[#This Row],[CIE-10]]))</calculatedColumnFormula>
    </tableColumn>
    <tableColumn id="4" xr3:uid="{64D3D848-C80F-4D96-BD33-66AC584D5DB7}" name="D3" dataDxfId="248">
      <calculatedColumnFormula>IF($B$2="(Todas)",COUNTIF(BASE[CODCIE104],GUIA_NACIONAL_2022_1106128105107110207210231232234[[#This Row],[CIE-10]]),COUNTIFS(BASE[Cod.Establecimiento],$B$2,BASE[CODCIE104],GUIA_NACIONAL_2022_1106128105107110207210231232234[[#This Row],[CIE-10]]))</calculatedColumnFormula>
    </tableColumn>
    <tableColumn id="5" xr3:uid="{F37881A7-81D6-492C-8184-D94F1859BEEC}" name="D4" dataDxfId="247">
      <calculatedColumnFormula>IF($B$2="(Todas)",COUNTIF(BASE[CODCIE106],GUIA_NACIONAL_2022_1106128105107110207210231232234[[#This Row],[CIE-10]]),COUNTIFS(BASE[Cod.Establecimiento],$B$2,BASE[CODCIE106],GUIA_NACIONAL_2022_1106128105107110207210231232234[[#This Row],[CIE-10]]))</calculatedColumnFormula>
    </tableColumn>
    <tableColumn id="6" xr3:uid="{D55AD795-8D60-48CC-AF8D-D9F7DC0751AC}" name="D5" dataDxfId="246">
      <calculatedColumnFormula>IF($B$2="(Todas)",COUNTIF(BASE[CODCIE108],GUIA_NACIONAL_2022_1106128105107110207210231232234[[#This Row],[CIE-10]]),COUNTIFS(BASE[Cod.Establecimiento],$B$2,BASE[CODCIE108],GUIA_NACIONAL_2022_1106128105107110207210231232234[[#This Row],[CIE-10]]))</calculatedColumnFormula>
    </tableColumn>
    <tableColumn id="7" xr3:uid="{0EC38122-99B2-4DE7-ABDB-5C556179093A}" name="D6" dataDxfId="245">
      <calculatedColumnFormula>IF($B$2="(Todas)",COUNTIF(BASE[CODCIE1010],GUIA_NACIONAL_2022_1106128105107110207210231232234[[#This Row],[CIE-10]]),COUNTIFS(BASE[Cod.Establecimiento],$B$2,BASE[CODCIE1010],GUIA_NACIONAL_2022_1106128105107110207210231232234[[#This Row],[CIE-10]]))</calculatedColumnFormula>
    </tableColumn>
    <tableColumn id="8" xr3:uid="{26B53834-AC95-4D92-89FE-5DC1DB605C9E}" name="TOT" dataDxfId="244" dataCellStyle="40% - Énfasis6">
      <calculatedColumnFormula>SUM(GUIA_NACIONAL_2022_1106128105107110207210231232234[[#This Row],[D1]:[D6]])</calculatedColumnFormula>
    </tableColumn>
  </tableColumns>
  <tableStyleInfo name="TableStyleLight12" showFirstColumn="0" showLastColumn="0" showRowStripes="1" showColumnStripes="0"/>
</table>
</file>

<file path=xl/tables/table2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4" xr:uid="{F0674BA2-9937-41EE-AC66-A7C57CC2E7F1}" name="GUIA_NACIONAL_2022_1106128105107110207210231232234235" displayName="GUIA_NACIONAL_2022_1106128105107110207210231232234235" ref="BO26:BV37" totalsRowShown="0" headerRowDxfId="243">
  <tableColumns count="8">
    <tableColumn id="1" xr3:uid="{E50E8BCC-1751-479B-8A06-AAAA838AD3A4}" name="CIE-10" dataCellStyle="20% - Énfasis4"/>
    <tableColumn id="2" xr3:uid="{F593A6F5-13F0-4CBD-8E9C-AEA9ED745225}" name="D1" dataDxfId="242">
      <calculatedColumnFormula>IF($B$2="(Todas)",COUNTIF(BASE[CODCIE10],GUIA_NACIONAL_2022_1106128105107110207210231232234235[[#This Row],[CIE-10]]),COUNTIFS(BASE[Cod.Establecimiento],$B$2,BASE[CODCIE10],GUIA_NACIONAL_2022_1106128105107110207210231232234235[[#This Row],[CIE-10]]))</calculatedColumnFormula>
    </tableColumn>
    <tableColumn id="3" xr3:uid="{BF316C85-CE4F-41B6-B6DD-65A95BD54AA9}" name="D2" dataDxfId="241">
      <calculatedColumnFormula>IF($B$2="(Todas)",COUNTIF(BASE[CODCIE102],GUIA_NACIONAL_2022_1106128105107110207210231232234235[[#This Row],[CIE-10]]),COUNTIFS(BASE[Cod.Establecimiento],$B$2,BASE[CODCIE102],GUIA_NACIONAL_2022_1106128105107110207210231232234235[[#This Row],[CIE-10]]))</calculatedColumnFormula>
    </tableColumn>
    <tableColumn id="4" xr3:uid="{141E1507-414D-4085-934A-69C49436C437}" name="D3" dataDxfId="240">
      <calculatedColumnFormula>IF($B$2="(Todas)",COUNTIF(BASE[CODCIE104],GUIA_NACIONAL_2022_1106128105107110207210231232234235[[#This Row],[CIE-10]]),COUNTIFS(BASE[Cod.Establecimiento],$B$2,BASE[CODCIE104],GUIA_NACIONAL_2022_1106128105107110207210231232234235[[#This Row],[CIE-10]]))</calculatedColumnFormula>
    </tableColumn>
    <tableColumn id="5" xr3:uid="{17DF9290-2F6A-4204-B13F-5957B9268A02}" name="D4" dataDxfId="239">
      <calculatedColumnFormula>IF($B$2="(Todas)",COUNTIF(BASE[CODCIE106],GUIA_NACIONAL_2022_1106128105107110207210231232234235[[#This Row],[CIE-10]]),COUNTIFS(BASE[Cod.Establecimiento],$B$2,BASE[CODCIE106],GUIA_NACIONAL_2022_1106128105107110207210231232234235[[#This Row],[CIE-10]]))</calculatedColumnFormula>
    </tableColumn>
    <tableColumn id="6" xr3:uid="{E7D230F9-59C8-4CB4-93E1-9FA9BB7104F0}" name="D5" dataDxfId="238">
      <calculatedColumnFormula>IF($B$2="(Todas)",COUNTIF(BASE[CODCIE108],GUIA_NACIONAL_2022_1106128105107110207210231232234235[[#This Row],[CIE-10]]),COUNTIFS(BASE[Cod.Establecimiento],$B$2,BASE[CODCIE108],GUIA_NACIONAL_2022_1106128105107110207210231232234235[[#This Row],[CIE-10]]))</calculatedColumnFormula>
    </tableColumn>
    <tableColumn id="7" xr3:uid="{8D02D7A7-8A3D-4EB0-87AA-44A4D4E1DDFF}" name="D6" dataDxfId="237">
      <calculatedColumnFormula>IF($B$2="(Todas)",COUNTIF(BASE[CODCIE1010],GUIA_NACIONAL_2022_1106128105107110207210231232234235[[#This Row],[CIE-10]]),COUNTIFS(BASE[Cod.Establecimiento],$B$2,BASE[CODCIE1010],GUIA_NACIONAL_2022_1106128105107110207210231232234235[[#This Row],[CIE-10]]))</calculatedColumnFormula>
    </tableColumn>
    <tableColumn id="8" xr3:uid="{682CCFCE-9E7E-491A-A07B-EE0396F64924}" name="TOT" dataDxfId="236" dataCellStyle="40% - Énfasis6">
      <calculatedColumnFormula>SUM(GUIA_NACIONAL_2022_1106128105107110207210231232234235[[#This Row],[D1]:[D6]])</calculatedColumnFormula>
    </tableColumn>
  </tableColumns>
  <tableStyleInfo name="TableStyleLight12" showFirstColumn="0" showLastColumn="0" showRowStripes="1" showColumnStripes="0"/>
</table>
</file>

<file path=xl/tables/table2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5" xr:uid="{16BDD730-3E44-4DA2-9310-7A05F27E80FD}" name="GUIA_NACIONAL_2022_1106128105107110207214216217236" displayName="GUIA_NACIONAL_2022_1106128105107110207214216217236" ref="BO40:BV41" totalsRowShown="0" headerRowDxfId="235">
  <tableColumns count="8">
    <tableColumn id="1" xr3:uid="{D31497DD-C1D2-4F46-BFC8-DDF08417D8FF}" name="CIE-10" dataCellStyle="20% - Énfasis4"/>
    <tableColumn id="2" xr3:uid="{D93A934F-23C7-47C1-BB3C-0F38B61859B5}" name="D1" dataDxfId="234">
      <calculatedColumnFormula>IF($B$2="(Todas)",COUNTIF(BASE[CODCIE10],GUIA_NACIONAL_2022_1106128105107110207214216217236[[#This Row],[CIE-10]]),COUNTIFS(BASE[Cod.Establecimiento],$B$2,BASE[CODCIE10],GUIA_NACIONAL_2022_1106128105107110207214216217236[[#This Row],[CIE-10]]))</calculatedColumnFormula>
    </tableColumn>
    <tableColumn id="3" xr3:uid="{01182926-E289-46D3-B13A-0E902A07CC3A}" name="D2" dataDxfId="233">
      <calculatedColumnFormula>IF($B$2="(Todas)",COUNTIF(BASE[CODCIE102],GUIA_NACIONAL_2022_1106128105107110207214216217236[[#This Row],[CIE-10]]),COUNTIFS(BASE[Cod.Establecimiento],$B$2,BASE[CODCIE102],GUIA_NACIONAL_2022_1106128105107110207214216217236[[#This Row],[CIE-10]]))</calculatedColumnFormula>
    </tableColumn>
    <tableColumn id="4" xr3:uid="{37CF051E-3EA5-4156-807C-E6CA31D7E80D}" name="D3" dataDxfId="232">
      <calculatedColumnFormula>IF($B$2="(Todas)",COUNTIF(BASE[CODCIE104],GUIA_NACIONAL_2022_1106128105107110207214216217236[[#This Row],[CIE-10]]),COUNTIFS(BASE[Cod.Establecimiento],$B$2,BASE[CODCIE104],GUIA_NACIONAL_2022_1106128105107110207214216217236[[#This Row],[CIE-10]]))</calculatedColumnFormula>
    </tableColumn>
    <tableColumn id="5" xr3:uid="{CC79A491-26DB-4352-91A9-7427FCA46460}" name="D4" dataDxfId="231">
      <calculatedColumnFormula>IF($B$2="(Todas)",COUNTIF(BASE[CODCIE106],GUIA_NACIONAL_2022_1106128105107110207214216217236[[#This Row],[CIE-10]]),COUNTIFS(BASE[Cod.Establecimiento],$B$2,BASE[CODCIE106],GUIA_NACIONAL_2022_1106128105107110207214216217236[[#This Row],[CIE-10]]))</calculatedColumnFormula>
    </tableColumn>
    <tableColumn id="6" xr3:uid="{AD107456-D66C-4168-806F-7C92F72322B8}" name="D5" dataDxfId="230">
      <calculatedColumnFormula>IF($B$2="(Todas)",COUNTIF(BASE[CODCIE108],GUIA_NACIONAL_2022_1106128105107110207214216217236[[#This Row],[CIE-10]]),COUNTIFS(BASE[Cod.Establecimiento],$B$2,BASE[CODCIE108],GUIA_NACIONAL_2022_1106128105107110207214216217236[[#This Row],[CIE-10]]))</calculatedColumnFormula>
    </tableColumn>
    <tableColumn id="7" xr3:uid="{3EFBD6C7-2A7E-45C0-AAED-7317D66D8DEE}" name="D6" dataDxfId="229">
      <calculatedColumnFormula>IF($B$2="(Todas)",COUNTIF(BASE[CODCIE1010],GUIA_NACIONAL_2022_1106128105107110207214216217236[[#This Row],[CIE-10]]),COUNTIFS(BASE[Cod.Establecimiento],$B$2,BASE[CODCIE1010],GUIA_NACIONAL_2022_1106128105107110207214216217236[[#This Row],[CIE-10]]))</calculatedColumnFormula>
    </tableColumn>
    <tableColumn id="8" xr3:uid="{60B65712-2DDA-4A7D-B72D-90662C1C5AC1}" name="TOT" dataDxfId="228" dataCellStyle="40% - Énfasis6">
      <calculatedColumnFormula>SUM(GUIA_NACIONAL_2022_1106128105107110207214216217236[[#This Row],[D1]:[D6]])</calculatedColumnFormula>
    </tableColumn>
  </tableColumns>
  <tableStyleInfo name="TableStyleLight12" showFirstColumn="0" showLastColumn="0" showRowStripes="1" showColumnStripes="0"/>
</table>
</file>

<file path=xl/tables/table2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0" xr:uid="{F1D466D2-91F6-4CE5-80C3-B7C3D82380CF}" name="GUIA_NACIONAL_2022_1106128105107110207214216217236241" displayName="GUIA_NACIONAL_2022_1106128105107110207214216217236241" ref="BO44:BV45" totalsRowShown="0" headerRowDxfId="227">
  <tableColumns count="8">
    <tableColumn id="1" xr3:uid="{1AB8B76E-51B4-4C8B-8EE6-84E200FEF3BE}" name="CIE-10" dataCellStyle="20% - Énfasis4"/>
    <tableColumn id="2" xr3:uid="{DAAA6E9E-4C69-44A7-BE74-7AFEC821CE89}" name="D1" dataDxfId="226">
      <calculatedColumnFormula>IF($B$2="(Todas)",COUNTIF(BASE[CODCIE10],GUIA_NACIONAL_2022_1106128105107110207214216217236241[[#This Row],[CIE-10]]),COUNTIFS(BASE[Cod.Establecimiento],$B$2,BASE[CODCIE10],GUIA_NACIONAL_2022_1106128105107110207214216217236241[[#This Row],[CIE-10]]))</calculatedColumnFormula>
    </tableColumn>
    <tableColumn id="3" xr3:uid="{495A270E-1801-46D6-8B83-11EFEFF420F4}" name="D2" dataDxfId="225">
      <calculatedColumnFormula>IF($B$2="(Todas)",COUNTIF(BASE[CODCIE102],GUIA_NACIONAL_2022_1106128105107110207214216217236241[[#This Row],[CIE-10]]),COUNTIFS(BASE[Cod.Establecimiento],$B$2,BASE[CODCIE102],GUIA_NACIONAL_2022_1106128105107110207214216217236241[[#This Row],[CIE-10]]))</calculatedColumnFormula>
    </tableColumn>
    <tableColumn id="4" xr3:uid="{E2040D80-FD13-4E60-ABE8-FCC36CA00504}" name="D3" dataDxfId="224">
      <calculatedColumnFormula>IF($B$2="(Todas)",COUNTIF(BASE[CODCIE104],GUIA_NACIONAL_2022_1106128105107110207214216217236241[[#This Row],[CIE-10]]),COUNTIFS(BASE[Cod.Establecimiento],$B$2,BASE[CODCIE104],GUIA_NACIONAL_2022_1106128105107110207214216217236241[[#This Row],[CIE-10]]))</calculatedColumnFormula>
    </tableColumn>
    <tableColumn id="5" xr3:uid="{62C23FD5-7306-48D0-9DB5-FF617AFD68F6}" name="D4" dataDxfId="223">
      <calculatedColumnFormula>IF($B$2="(Todas)",COUNTIF(BASE[CODCIE106],GUIA_NACIONAL_2022_1106128105107110207214216217236241[[#This Row],[CIE-10]]),COUNTIFS(BASE[Cod.Establecimiento],$B$2,BASE[CODCIE106],GUIA_NACIONAL_2022_1106128105107110207214216217236241[[#This Row],[CIE-10]]))</calculatedColumnFormula>
    </tableColumn>
    <tableColumn id="6" xr3:uid="{04F4EAF8-9D4D-4F14-BE68-6825A06D0407}" name="D5" dataDxfId="222">
      <calculatedColumnFormula>IF($B$2="(Todas)",COUNTIF(BASE[CODCIE108],GUIA_NACIONAL_2022_1106128105107110207214216217236241[[#This Row],[CIE-10]]),COUNTIFS(BASE[Cod.Establecimiento],$B$2,BASE[CODCIE108],GUIA_NACIONAL_2022_1106128105107110207214216217236241[[#This Row],[CIE-10]]))</calculatedColumnFormula>
    </tableColumn>
    <tableColumn id="7" xr3:uid="{8EB7E828-932F-4C06-BEEA-08AE97C06E82}" name="D6" dataDxfId="221">
      <calculatedColumnFormula>IF($B$2="(Todas)",COUNTIF(BASE[CODCIE1010],GUIA_NACIONAL_2022_1106128105107110207214216217236241[[#This Row],[CIE-10]]),COUNTIFS(BASE[Cod.Establecimiento],$B$2,BASE[CODCIE1010],GUIA_NACIONAL_2022_1106128105107110207214216217236241[[#This Row],[CIE-10]]))</calculatedColumnFormula>
    </tableColumn>
    <tableColumn id="8" xr3:uid="{55B94EB0-3A63-493A-804D-4D7CAAF7B35B}" name="TOT" dataDxfId="220" dataCellStyle="40% - Énfasis6">
      <calculatedColumnFormula>SUM(GUIA_NACIONAL_2022_1106128105107110207214216217236241[[#This Row],[D1]:[D6]])</calculatedColumnFormula>
    </tableColumn>
  </tableColumns>
  <tableStyleInfo name="TableStyleLight12" showFirstColumn="0" showLastColumn="0" showRowStripes="1" showColumnStripes="0"/>
</table>
</file>

<file path=xl/tables/table2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1" xr:uid="{9D7B14A4-4122-4E70-9776-47285D74E2A9}" name="GUIA_NACIONAL_2022_1106128105107110207214216217236241242" displayName="GUIA_NACIONAL_2022_1106128105107110207214216217236241242" ref="BO47:BV48" totalsRowShown="0" headerRowDxfId="219">
  <tableColumns count="8">
    <tableColumn id="1" xr3:uid="{54EE5AEA-623E-4C57-B6A3-06E723A7EAEC}" name="CIE-10" dataCellStyle="20% - Énfasis4"/>
    <tableColumn id="2" xr3:uid="{B138ED00-AE14-462B-A7E5-6C5137B7B4F1}" name="D1" dataDxfId="218">
      <calculatedColumnFormula>IF($B$2="(Todas)",COUNTIF(BASE[CODCIE10],GUIA_NACIONAL_2022_1106128105107110207214216217236241242[[#This Row],[CIE-10]]),COUNTIFS(BASE[Cod.Establecimiento],$B$2,BASE[CODCIE10],GUIA_NACIONAL_2022_1106128105107110207214216217236241242[[#This Row],[CIE-10]]))</calculatedColumnFormula>
    </tableColumn>
    <tableColumn id="3" xr3:uid="{12B7744E-6D7E-4E9A-B6D5-F653275626C5}" name="D2" dataDxfId="217">
      <calculatedColumnFormula>IF($B$2="(Todas)",COUNTIF(BASE[CODCIE102],GUIA_NACIONAL_2022_1106128105107110207214216217236241242[[#This Row],[CIE-10]]),COUNTIFS(BASE[Cod.Establecimiento],$B$2,BASE[CODCIE102],GUIA_NACIONAL_2022_1106128105107110207214216217236241242[[#This Row],[CIE-10]]))</calculatedColumnFormula>
    </tableColumn>
    <tableColumn id="4" xr3:uid="{1CF96356-17D9-4E14-87E0-7587F4278AC5}" name="D3" dataDxfId="216">
      <calculatedColumnFormula>IF($B$2="(Todas)",COUNTIF(BASE[CODCIE104],GUIA_NACIONAL_2022_1106128105107110207214216217236241242[[#This Row],[CIE-10]]),COUNTIFS(BASE[Cod.Establecimiento],$B$2,BASE[CODCIE104],GUIA_NACIONAL_2022_1106128105107110207214216217236241242[[#This Row],[CIE-10]]))</calculatedColumnFormula>
    </tableColumn>
    <tableColumn id="5" xr3:uid="{DFD832A5-FC92-4E6F-97F9-2208DD53FBE1}" name="D4" dataDxfId="215">
      <calculatedColumnFormula>IF($B$2="(Todas)",COUNTIF(BASE[CODCIE106],GUIA_NACIONAL_2022_1106128105107110207214216217236241242[[#This Row],[CIE-10]]),COUNTIFS(BASE[Cod.Establecimiento],$B$2,BASE[CODCIE106],GUIA_NACIONAL_2022_1106128105107110207214216217236241242[[#This Row],[CIE-10]]))</calculatedColumnFormula>
    </tableColumn>
    <tableColumn id="6" xr3:uid="{66006B83-52B1-48F4-A600-E5BE7253FD70}" name="D5" dataDxfId="214">
      <calculatedColumnFormula>IF($B$2="(Todas)",COUNTIF(BASE[CODCIE108],GUIA_NACIONAL_2022_1106128105107110207214216217236241242[[#This Row],[CIE-10]]),COUNTIFS(BASE[Cod.Establecimiento],$B$2,BASE[CODCIE108],GUIA_NACIONAL_2022_1106128105107110207214216217236241242[[#This Row],[CIE-10]]))</calculatedColumnFormula>
    </tableColumn>
    <tableColumn id="7" xr3:uid="{5E9C223A-DE92-4F1C-87B7-A3720B4F33C8}" name="D6" dataDxfId="213">
      <calculatedColumnFormula>IF($B$2="(Todas)",COUNTIF(BASE[CODCIE1010],GUIA_NACIONAL_2022_1106128105107110207214216217236241242[[#This Row],[CIE-10]]),COUNTIFS(BASE[Cod.Establecimiento],$B$2,BASE[CODCIE1010],GUIA_NACIONAL_2022_1106128105107110207214216217236241242[[#This Row],[CIE-10]]))</calculatedColumnFormula>
    </tableColumn>
    <tableColumn id="8" xr3:uid="{7840878A-CC48-4723-8F78-417E87C1D5B5}" name="TOT" dataDxfId="212" dataCellStyle="40% - Énfasis6">
      <calculatedColumnFormula>SUM(GUIA_NACIONAL_2022_1106128105107110207214216217236241242[[#This Row],[D1]:[D6]])</calculatedColumnFormula>
    </tableColumn>
  </tableColumns>
  <tableStyleInfo name="TableStyleLight12" showFirstColumn="0" showLastColumn="0" showRowStripes="1" showColumnStripes="0"/>
</table>
</file>

<file path=xl/tables/table2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2" xr:uid="{6EB10949-5C0E-4249-917F-512D4CED13FD}" name="GUIA_NACIONAL_2022_1106128105107111115243" displayName="GUIA_NACIONAL_2022_1106128105107111115243" ref="BO51:BV52" totalsRowShown="0" headerRowDxfId="211">
  <tableColumns count="8">
    <tableColumn id="1" xr3:uid="{7429D245-5CA9-4903-BEB5-DA479D08C7C0}" name="CIE-10" dataCellStyle="20% - Énfasis4"/>
    <tableColumn id="2" xr3:uid="{D9774041-46ED-4AE5-9FB1-3FDCD913804F}" name="D1" dataDxfId="210">
      <calculatedColumnFormula>IF($B$2="(Todas)",COUNTIF(BASE[CODCIE10],GUIA_NACIONAL_2022_1106128105107111115243[[#This Row],[CIE-10]]),COUNTIFS(BASE[Cod.Establecimiento],$B$2,BASE[CODCIE10],GUIA_NACIONAL_2022_1106128105107111115243[[#This Row],[CIE-10]]))</calculatedColumnFormula>
    </tableColumn>
    <tableColumn id="3" xr3:uid="{E6BC6922-7BCA-42F6-88A4-042FC616BBCE}" name="D2" dataDxfId="209">
      <calculatedColumnFormula>IF($B$2="(Todas)",COUNTIF(BASE[CODCIE102],GUIA_NACIONAL_2022_1106128105107111115243[[#This Row],[CIE-10]]),COUNTIFS(BASE[Cod.Establecimiento],$B$2,BASE[CODCIE102],GUIA_NACIONAL_2022_1106128105107111115243[[#This Row],[CIE-10]]))</calculatedColumnFormula>
    </tableColumn>
    <tableColumn id="4" xr3:uid="{98F23EDE-EC8E-45FE-8B52-C56B749F2291}" name="D3" dataDxfId="208">
      <calculatedColumnFormula>IF($B$2="(Todas)",COUNTIF(BASE[CODCIE104],GUIA_NACIONAL_2022_1106128105107111115243[[#This Row],[CIE-10]]),COUNTIFS(BASE[Cod.Establecimiento],$B$2,BASE[CODCIE104],GUIA_NACIONAL_2022_1106128105107111115243[[#This Row],[CIE-10]]))</calculatedColumnFormula>
    </tableColumn>
    <tableColumn id="5" xr3:uid="{9604AE77-4870-4775-B701-42A568BD8273}" name="D4" dataDxfId="207">
      <calculatedColumnFormula>IF($B$2="(Todas)",COUNTIF(BASE[CODCIE106],GUIA_NACIONAL_2022_1106128105107111115243[[#This Row],[CIE-10]]),COUNTIFS(BASE[Cod.Establecimiento],$B$2,BASE[CODCIE106],GUIA_NACIONAL_2022_1106128105107111115243[[#This Row],[CIE-10]]))</calculatedColumnFormula>
    </tableColumn>
    <tableColumn id="6" xr3:uid="{A6D53251-4C03-42EA-BCC4-DC191AC01123}" name="D5" dataDxfId="206">
      <calculatedColumnFormula>IF($B$2="(Todas)",COUNTIF(BASE[CODCIE108],GUIA_NACIONAL_2022_1106128105107111115243[[#This Row],[CIE-10]]),COUNTIFS(BASE[Cod.Establecimiento],$B$2,BASE[CODCIE108],GUIA_NACIONAL_2022_1106128105107111115243[[#This Row],[CIE-10]]))</calculatedColumnFormula>
    </tableColumn>
    <tableColumn id="7" xr3:uid="{BD71461A-6238-4675-8A23-5E335BDC80B4}" name="D6" dataDxfId="205">
      <calculatedColumnFormula>IF($B$2="(Todas)",COUNTIF(BASE[CODCIE1010],GUIA_NACIONAL_2022_1106128105107111115243[[#This Row],[CIE-10]]),COUNTIFS(BASE[Cod.Establecimiento],$B$2,BASE[CODCIE1010],GUIA_NACIONAL_2022_1106128105107111115243[[#This Row],[CIE-10]]))</calculatedColumnFormula>
    </tableColumn>
    <tableColumn id="8" xr3:uid="{0BDE60D7-1C99-4E1B-9B0B-67D2703B8611}" name="TOT" dataDxfId="204" dataCellStyle="40% - Énfasis6">
      <calculatedColumnFormula>SUM(GUIA_NACIONAL_2022_1106128105107111115243[[#This Row],[D1]:[D6]])</calculatedColumnFormula>
    </tableColumn>
  </tableColumns>
  <tableStyleInfo name="TableStyleLight12" showFirstColumn="0" showLastColumn="0" showRowStripes="1" showColumnStripes="0"/>
</table>
</file>

<file path=xl/tables/table2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3" xr:uid="{B776FE53-1D69-480B-89C9-9AA8ACFB788E}" name="GUIA_NACIONAL_2022_1106128105107110207214216217236241244" displayName="GUIA_NACIONAL_2022_1106128105107110207214216217236241244" ref="BO54:BV55" totalsRowShown="0" headerRowDxfId="203">
  <tableColumns count="8">
    <tableColumn id="1" xr3:uid="{5FFDCB52-0E81-450E-B3EF-F510452C9840}" name="CIE-10" dataCellStyle="20% - Énfasis4"/>
    <tableColumn id="2" xr3:uid="{3089415D-B803-44DB-AAF6-CC32949B6005}" name="D1" dataDxfId="202">
      <calculatedColumnFormula>IF($B$2="(Todas)",COUNTIF(BASE[CODCIE10],GUIA_NACIONAL_2022_1106128105107110207214216217236241244[[#This Row],[CIE-10]]),COUNTIFS(BASE[Cod.Establecimiento],$B$2,BASE[CODCIE10],GUIA_NACIONAL_2022_1106128105107110207214216217236241244[[#This Row],[CIE-10]]))</calculatedColumnFormula>
    </tableColumn>
    <tableColumn id="3" xr3:uid="{926D968F-2481-40AC-A025-51E1B91A6276}" name="D2" dataDxfId="201">
      <calculatedColumnFormula>IF($B$2="(Todas)",COUNTIF(BASE[CODCIE102],GUIA_NACIONAL_2022_1106128105107110207214216217236241244[[#This Row],[CIE-10]]),COUNTIFS(BASE[Cod.Establecimiento],$B$2,BASE[CODCIE102],GUIA_NACIONAL_2022_1106128105107110207214216217236241244[[#This Row],[CIE-10]]))</calculatedColumnFormula>
    </tableColumn>
    <tableColumn id="4" xr3:uid="{F5067D90-A29B-4DBA-9D7E-13ADE72FC861}" name="D3" dataDxfId="200">
      <calculatedColumnFormula>IF($B$2="(Todas)",COUNTIF(BASE[CODCIE104],GUIA_NACIONAL_2022_1106128105107110207214216217236241244[[#This Row],[CIE-10]]),COUNTIFS(BASE[Cod.Establecimiento],$B$2,BASE[CODCIE104],GUIA_NACIONAL_2022_1106128105107110207214216217236241244[[#This Row],[CIE-10]]))</calculatedColumnFormula>
    </tableColumn>
    <tableColumn id="5" xr3:uid="{A4918D62-55AD-4902-B46A-0EE3C41963CF}" name="D4" dataDxfId="199">
      <calculatedColumnFormula>IF($B$2="(Todas)",COUNTIF(BASE[CODCIE106],GUIA_NACIONAL_2022_1106128105107110207214216217236241244[[#This Row],[CIE-10]]),COUNTIFS(BASE[Cod.Establecimiento],$B$2,BASE[CODCIE106],GUIA_NACIONAL_2022_1106128105107110207214216217236241244[[#This Row],[CIE-10]]))</calculatedColumnFormula>
    </tableColumn>
    <tableColumn id="6" xr3:uid="{85A606CB-BD73-4887-9BF5-4BA6E3547664}" name="D5" dataDxfId="198">
      <calculatedColumnFormula>IF($B$2="(Todas)",COUNTIF(BASE[CODCIE108],GUIA_NACIONAL_2022_1106128105107110207214216217236241244[[#This Row],[CIE-10]]),COUNTIFS(BASE[Cod.Establecimiento],$B$2,BASE[CODCIE108],GUIA_NACIONAL_2022_1106128105107110207214216217236241244[[#This Row],[CIE-10]]))</calculatedColumnFormula>
    </tableColumn>
    <tableColumn id="7" xr3:uid="{458B40A0-D94E-4BA2-BC29-6DF0A0E78095}" name="D6" dataDxfId="197">
      <calculatedColumnFormula>IF($B$2="(Todas)",COUNTIF(BASE[CODCIE1010],GUIA_NACIONAL_2022_1106128105107110207214216217236241244[[#This Row],[CIE-10]]),COUNTIFS(BASE[Cod.Establecimiento],$B$2,BASE[CODCIE1010],GUIA_NACIONAL_2022_1106128105107110207214216217236241244[[#This Row],[CIE-10]]))</calculatedColumnFormula>
    </tableColumn>
    <tableColumn id="8" xr3:uid="{1F7233E0-CB6C-45D3-A740-531F27BAB768}" name="TOT" dataDxfId="196" dataCellStyle="40% - Énfasis6">
      <calculatedColumnFormula>SUM(GUIA_NACIONAL_2022_1106128105107110207214216217236241244[[#This Row],[D1]:[D6]])</calculatedColumnFormula>
    </tableColumn>
  </tableColumns>
  <tableStyleInfo name="TableStyleLight12" showFirstColumn="0" showLastColumn="0" showRowStripes="1" showColumnStripes="0"/>
</table>
</file>

<file path=xl/tables/table2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4" xr:uid="{24F76097-A9C3-425F-827A-F1DF954A1BD0}" name="GUIA_NACIONAL_2022_1106128105107111115243245" displayName="GUIA_NACIONAL_2022_1106128105107111115243245" ref="BO57:BV58" totalsRowShown="0" headerRowDxfId="195">
  <tableColumns count="8">
    <tableColumn id="1" xr3:uid="{15C30AFA-1E70-428C-949F-4633E8B6CE50}" name="CIE-10" dataCellStyle="20% - Énfasis4"/>
    <tableColumn id="2" xr3:uid="{53C6A50A-A9A3-4C7A-ADA1-BE3EF7AA2B17}" name="D1" dataDxfId="194">
      <calculatedColumnFormula>IF($B$2="(Todas)",COUNTIF(BASE[CODCIE10],GUIA_NACIONAL_2022_1106128105107111115243245[[#This Row],[CIE-10]]),COUNTIFS(BASE[Cod.Establecimiento],$B$2,BASE[CODCIE10],GUIA_NACIONAL_2022_1106128105107111115243245[[#This Row],[CIE-10]]))</calculatedColumnFormula>
    </tableColumn>
    <tableColumn id="3" xr3:uid="{3055863C-B29B-41F4-AAB5-9A421427C4C1}" name="D2" dataDxfId="193">
      <calculatedColumnFormula>IF($B$2="(Todas)",COUNTIF(BASE[CODCIE102],GUIA_NACIONAL_2022_1106128105107111115243245[[#This Row],[CIE-10]]),COUNTIFS(BASE[Cod.Establecimiento],$B$2,BASE[CODCIE102],GUIA_NACIONAL_2022_1106128105107111115243245[[#This Row],[CIE-10]]))</calculatedColumnFormula>
    </tableColumn>
    <tableColumn id="4" xr3:uid="{938D2D44-08AA-4B03-845D-2AB64042A108}" name="D3" dataDxfId="192">
      <calculatedColumnFormula>IF($B$2="(Todas)",COUNTIF(BASE[CODCIE104],GUIA_NACIONAL_2022_1106128105107111115243245[[#This Row],[CIE-10]]),COUNTIFS(BASE[Cod.Establecimiento],$B$2,BASE[CODCIE104],GUIA_NACIONAL_2022_1106128105107111115243245[[#This Row],[CIE-10]]))</calculatedColumnFormula>
    </tableColumn>
    <tableColumn id="5" xr3:uid="{30329F00-DA29-4BDE-B27A-25054551F19A}" name="D4" dataDxfId="191">
      <calculatedColumnFormula>IF($B$2="(Todas)",COUNTIF(BASE[CODCIE106],GUIA_NACIONAL_2022_1106128105107111115243245[[#This Row],[CIE-10]]),COUNTIFS(BASE[Cod.Establecimiento],$B$2,BASE[CODCIE106],GUIA_NACIONAL_2022_1106128105107111115243245[[#This Row],[CIE-10]]))</calculatedColumnFormula>
    </tableColumn>
    <tableColumn id="6" xr3:uid="{9482A9FB-FF9E-4DE5-969F-926AF1BDDF80}" name="D5" dataDxfId="190">
      <calculatedColumnFormula>IF($B$2="(Todas)",COUNTIF(BASE[CODCIE108],GUIA_NACIONAL_2022_1106128105107111115243245[[#This Row],[CIE-10]]),COUNTIFS(BASE[Cod.Establecimiento],$B$2,BASE[CODCIE108],GUIA_NACIONAL_2022_1106128105107111115243245[[#This Row],[CIE-10]]))</calculatedColumnFormula>
    </tableColumn>
    <tableColumn id="7" xr3:uid="{FE6AE6A3-C4B2-4BF0-A181-4E4061948270}" name="D6" dataDxfId="189">
      <calculatedColumnFormula>IF($B$2="(Todas)",COUNTIF(BASE[CODCIE1010],GUIA_NACIONAL_2022_1106128105107111115243245[[#This Row],[CIE-10]]),COUNTIFS(BASE[Cod.Establecimiento],$B$2,BASE[CODCIE1010],GUIA_NACIONAL_2022_1106128105107111115243245[[#This Row],[CIE-10]]))</calculatedColumnFormula>
    </tableColumn>
    <tableColumn id="8" xr3:uid="{5B08B6FF-4D63-42B5-A247-9F09AEC81F67}" name="TOT" dataDxfId="188" dataCellStyle="40% - Énfasis6">
      <calculatedColumnFormula>SUM(GUIA_NACIONAL_2022_1106128105107111115243245[[#This Row],[D1]:[D6]])</calculatedColumnFormula>
    </tableColumn>
  </tableColumns>
  <tableStyleInfo name="TableStyleLight12" showFirstColumn="0" showLastColumn="0" showRowStripes="1" showColumnStripes="0"/>
</table>
</file>

<file path=xl/tables/table2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5" xr:uid="{858880F7-85EF-4EDE-926D-FBBA9C156060}" name="GUIA_NACIONAL_2022_1106128105107110207214216217236241244246" displayName="GUIA_NACIONAL_2022_1106128105107110207214216217236241244246" ref="BO60:BV69" totalsRowShown="0" headerRowDxfId="187">
  <tableColumns count="8">
    <tableColumn id="1" xr3:uid="{F8D1601E-E9F5-4790-8AB4-BD609A048596}" name="CIE-10" dataCellStyle="20% - Énfasis4"/>
    <tableColumn id="2" xr3:uid="{5B15F200-6D7D-46ED-B74A-F434B1F60C2B}" name="D1" dataDxfId="186">
      <calculatedColumnFormula>IF($B$2="(Todas)",COUNTIF(BASE[CODCIE10],GUIA_NACIONAL_2022_1106128105107110207214216217236241244246[[#This Row],[CIE-10]]),COUNTIFS(BASE[Cod.Establecimiento],$B$2,BASE[CODCIE10],GUIA_NACIONAL_2022_1106128105107110207214216217236241244246[[#This Row],[CIE-10]]))</calculatedColumnFormula>
    </tableColumn>
    <tableColumn id="3" xr3:uid="{0E651426-8CAA-490B-B3F4-32B69E51F37F}" name="D2" dataDxfId="185">
      <calculatedColumnFormula>IF($B$2="(Todas)",COUNTIF(BASE[CODCIE102],GUIA_NACIONAL_2022_1106128105107110207214216217236241244246[[#This Row],[CIE-10]]),COUNTIFS(BASE[Cod.Establecimiento],$B$2,BASE[CODCIE102],GUIA_NACIONAL_2022_1106128105107110207214216217236241244246[[#This Row],[CIE-10]]))</calculatedColumnFormula>
    </tableColumn>
    <tableColumn id="4" xr3:uid="{232D1F1D-22EB-4E2C-98D0-C016E2C87D04}" name="D3" dataDxfId="184">
      <calculatedColumnFormula>IF($B$2="(Todas)",COUNTIF(BASE[CODCIE104],GUIA_NACIONAL_2022_1106128105107110207214216217236241244246[[#This Row],[CIE-10]]),COUNTIFS(BASE[Cod.Establecimiento],$B$2,BASE[CODCIE104],GUIA_NACIONAL_2022_1106128105107110207214216217236241244246[[#This Row],[CIE-10]]))</calculatedColumnFormula>
    </tableColumn>
    <tableColumn id="5" xr3:uid="{49DFB80C-CA93-45CA-93F5-BEFA1B7E96CF}" name="D4" dataDxfId="183">
      <calculatedColumnFormula>IF($B$2="(Todas)",COUNTIF(BASE[CODCIE106],GUIA_NACIONAL_2022_1106128105107110207214216217236241244246[[#This Row],[CIE-10]]),COUNTIFS(BASE[Cod.Establecimiento],$B$2,BASE[CODCIE106],GUIA_NACIONAL_2022_1106128105107110207214216217236241244246[[#This Row],[CIE-10]]))</calculatedColumnFormula>
    </tableColumn>
    <tableColumn id="6" xr3:uid="{E10908CD-CD3E-48F6-8B5E-A2EE166D2B6C}" name="D5" dataDxfId="182">
      <calculatedColumnFormula>IF($B$2="(Todas)",COUNTIF(BASE[CODCIE108],GUIA_NACIONAL_2022_1106128105107110207214216217236241244246[[#This Row],[CIE-10]]),COUNTIFS(BASE[Cod.Establecimiento],$B$2,BASE[CODCIE108],GUIA_NACIONAL_2022_1106128105107110207214216217236241244246[[#This Row],[CIE-10]]))</calculatedColumnFormula>
    </tableColumn>
    <tableColumn id="7" xr3:uid="{1B337613-B4CE-4E6E-960D-1C3C60220F31}" name="D6" dataDxfId="181">
      <calculatedColumnFormula>IF($B$2="(Todas)",COUNTIF(BASE[CODCIE1010],GUIA_NACIONAL_2022_1106128105107110207214216217236241244246[[#This Row],[CIE-10]]),COUNTIFS(BASE[Cod.Establecimiento],$B$2,BASE[CODCIE1010],GUIA_NACIONAL_2022_1106128105107110207214216217236241244246[[#This Row],[CIE-10]]))</calculatedColumnFormula>
    </tableColumn>
    <tableColumn id="8" xr3:uid="{2093B440-E310-490F-A646-F9749C29753A}" name="TOT" dataDxfId="180" dataCellStyle="40% - Énfasis6">
      <calculatedColumnFormula>SUM(GUIA_NACIONAL_2022_1106128105107110207214216217236241244246[[#This Row],[D1]:[D6]])</calculatedColumnFormula>
    </tableColumn>
  </tableColumns>
  <tableStyleInfo name="TableStyleLight12" showFirstColumn="0" showLastColumn="0" showRowStripes="1" showColumnStripes="0"/>
</table>
</file>

<file path=xl/tables/table2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6" xr:uid="{22C71AC6-029C-483C-9646-7497E8388447}" name="GUIA_NACIONAL_2022_1106128105107110207214216217236241244246247" displayName="GUIA_NACIONAL_2022_1106128105107110207214216217236241244246247" ref="BO71:BV77" totalsRowShown="0" headerRowDxfId="179">
  <tableColumns count="8">
    <tableColumn id="1" xr3:uid="{84398776-0BCB-41FF-BCF1-6B03D626C2A9}" name="CIE-10" dataCellStyle="20% - Énfasis4"/>
    <tableColumn id="2" xr3:uid="{4439E683-86E6-4B94-8053-30431DEDD8B9}" name="D1" dataDxfId="178">
      <calculatedColumnFormula>IF($B$2="(Todas)",COUNTIF(BASE[CODCIE10],GUIA_NACIONAL_2022_1106128105107110207214216217236241244246247[[#This Row],[CIE-10]]),COUNTIFS(BASE[Cod.Establecimiento],$B$2,BASE[CODCIE10],GUIA_NACIONAL_2022_1106128105107110207214216217236241244246247[[#This Row],[CIE-10]]))</calculatedColumnFormula>
    </tableColumn>
    <tableColumn id="3" xr3:uid="{EF6CDC35-B05B-494A-B989-E53D3D1B4EE0}" name="D2" dataDxfId="177">
      <calculatedColumnFormula>IF($B$2="(Todas)",COUNTIF(BASE[CODCIE102],GUIA_NACIONAL_2022_1106128105107110207214216217236241244246247[[#This Row],[CIE-10]]),COUNTIFS(BASE[Cod.Establecimiento],$B$2,BASE[CODCIE102],GUIA_NACIONAL_2022_1106128105107110207214216217236241244246247[[#This Row],[CIE-10]]))</calculatedColumnFormula>
    </tableColumn>
    <tableColumn id="4" xr3:uid="{5BF2A1AF-1817-4581-8CF8-7E0CC6C98387}" name="D3" dataDxfId="176">
      <calculatedColumnFormula>IF($B$2="(Todas)",COUNTIF(BASE[CODCIE104],GUIA_NACIONAL_2022_1106128105107110207214216217236241244246247[[#This Row],[CIE-10]]),COUNTIFS(BASE[Cod.Establecimiento],$B$2,BASE[CODCIE104],GUIA_NACIONAL_2022_1106128105107110207214216217236241244246247[[#This Row],[CIE-10]]))</calculatedColumnFormula>
    </tableColumn>
    <tableColumn id="5" xr3:uid="{98A5FB69-2820-46BF-9278-A883B5B767D8}" name="D4" dataDxfId="175">
      <calculatedColumnFormula>IF($B$2="(Todas)",COUNTIF(BASE[CODCIE106],GUIA_NACIONAL_2022_1106128105107110207214216217236241244246247[[#This Row],[CIE-10]]),COUNTIFS(BASE[Cod.Establecimiento],$B$2,BASE[CODCIE106],GUIA_NACIONAL_2022_1106128105107110207214216217236241244246247[[#This Row],[CIE-10]]))</calculatedColumnFormula>
    </tableColumn>
    <tableColumn id="6" xr3:uid="{FAA079BA-CD18-4D6A-9A5F-262F97BCF6DD}" name="D5" dataDxfId="174">
      <calculatedColumnFormula>IF($B$2="(Todas)",COUNTIF(BASE[CODCIE108],GUIA_NACIONAL_2022_1106128105107110207214216217236241244246247[[#This Row],[CIE-10]]),COUNTIFS(BASE[Cod.Establecimiento],$B$2,BASE[CODCIE108],GUIA_NACIONAL_2022_1106128105107110207214216217236241244246247[[#This Row],[CIE-10]]))</calculatedColumnFormula>
    </tableColumn>
    <tableColumn id="7" xr3:uid="{21AB662C-CE59-43AA-A2F6-5DF1B24D7278}" name="D6" dataDxfId="173">
      <calculatedColumnFormula>IF($B$2="(Todas)",COUNTIF(BASE[CODCIE1010],GUIA_NACIONAL_2022_1106128105107110207214216217236241244246247[[#This Row],[CIE-10]]),COUNTIFS(BASE[Cod.Establecimiento],$B$2,BASE[CODCIE1010],GUIA_NACIONAL_2022_1106128105107110207214216217236241244246247[[#This Row],[CIE-10]]))</calculatedColumnFormula>
    </tableColumn>
    <tableColumn id="8" xr3:uid="{E74F0DD5-7928-4A37-84D3-3C37E797E802}" name="TOT" dataDxfId="172" dataCellStyle="40% - Énfasis6">
      <calculatedColumnFormula>SUM(GUIA_NACIONAL_2022_1106128105107110207214216217236241244246247[[#This Row],[D1]:[D6]])</calculatedColumnFormula>
    </tableColumn>
  </tableColumns>
  <tableStyleInfo name="TableStyleLight12" showFirstColumn="0" showLastColumn="0" showRowStripes="1" showColumnStripes="0"/>
</table>
</file>

<file path=xl/tables/table2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7" xr:uid="{06C3872D-3841-420D-AB4E-280F6F3FA2AA}" name="GUIA_NACIONAL_2022_1106128105107111115129248" displayName="GUIA_NACIONAL_2022_1106128105107111115129248" ref="BX7:CE8" totalsRowShown="0" headerRowDxfId="171">
  <tableColumns count="8">
    <tableColumn id="1" xr3:uid="{6AFDA0B4-8007-41DF-85DB-ACA0EF4A443A}" name="CIE-10" dataCellStyle="20% - Énfasis4"/>
    <tableColumn id="2" xr3:uid="{238736BA-6DBE-42F3-AA97-8F9A546DD393}" name="D1" dataDxfId="170">
      <calculatedColumnFormula>IF($B$2="(Todas)",COUNTIF(BASE[CODCIE10],GUIA_NACIONAL_2022_1106128105107111115129248[[#This Row],[CIE-10]]),COUNTIFS(BASE[Cod.Establecimiento],$B$2,BASE[CODCIE10],GUIA_NACIONAL_2022_1106128105107111115129248[[#This Row],[CIE-10]]))</calculatedColumnFormula>
    </tableColumn>
    <tableColumn id="3" xr3:uid="{98222F27-A9F3-4521-981B-3AAB5255E254}" name="D2" dataDxfId="169">
      <calculatedColumnFormula>IF($B$2="(Todas)",COUNTIF(BASE[CODCIE102],GUIA_NACIONAL_2022_1106128105107111115129248[[#This Row],[CIE-10]]),COUNTIFS(BASE[Cod.Establecimiento],$B$2,BASE[CODCIE102],GUIA_NACIONAL_2022_1106128105107111115129248[[#This Row],[CIE-10]]))</calculatedColumnFormula>
    </tableColumn>
    <tableColumn id="4" xr3:uid="{BD29F720-060C-4D54-A81E-C9A5B4221C1E}" name="D3" dataDxfId="168">
      <calculatedColumnFormula>IF($B$2="(Todas)",COUNTIF(BASE[CODCIE104],GUIA_NACIONAL_2022_1106128105107111115129248[[#This Row],[CIE-10]]),COUNTIFS(BASE[Cod.Establecimiento],$B$2,BASE[CODCIE104],GUIA_NACIONAL_2022_1106128105107111115129248[[#This Row],[CIE-10]]))</calculatedColumnFormula>
    </tableColumn>
    <tableColumn id="5" xr3:uid="{E26EB68E-0823-47D9-A5F6-93AFD5E441D1}" name="D4" dataDxfId="167">
      <calculatedColumnFormula>IF($B$2="(Todas)",COUNTIF(BASE[CODCIE106],GUIA_NACIONAL_2022_1106128105107111115129248[[#This Row],[CIE-10]]),COUNTIFS(BASE[Cod.Establecimiento],$B$2,BASE[CODCIE106],GUIA_NACIONAL_2022_1106128105107111115129248[[#This Row],[CIE-10]]))</calculatedColumnFormula>
    </tableColumn>
    <tableColumn id="6" xr3:uid="{0EA95AAB-0693-4982-9C82-BDB8DC4BFB31}" name="D5" dataDxfId="166">
      <calculatedColumnFormula>IF($B$2="(Todas)",COUNTIF(BASE[CODCIE108],GUIA_NACIONAL_2022_1106128105107111115129248[[#This Row],[CIE-10]]),COUNTIFS(BASE[Cod.Establecimiento],$B$2,BASE[CODCIE108],GUIA_NACIONAL_2022_1106128105107111115129248[[#This Row],[CIE-10]]))</calculatedColumnFormula>
    </tableColumn>
    <tableColumn id="7" xr3:uid="{F4DA9490-480D-43E7-AA14-612D7C3B4BC4}" name="D6" dataDxfId="165">
      <calculatedColumnFormula>IF($B$2="(Todas)",COUNTIF(BASE[CODCIE1010],GUIA_NACIONAL_2022_1106128105107111115129248[[#This Row],[CIE-10]]),COUNTIFS(BASE[Cod.Establecimiento],$B$2,BASE[CODCIE1010],GUIA_NACIONAL_2022_1106128105107111115129248[[#This Row],[CIE-10]]))</calculatedColumnFormula>
    </tableColumn>
    <tableColumn id="8" xr3:uid="{024A20DB-2220-424B-A112-2FC37962D2A0}" name="TOT" dataDxfId="164" dataCellStyle="40% - Énfasis6">
      <calculatedColumnFormula>SUM(GUIA_NACIONAL_2022_1106128105107111115129248[[#This Row],[D1]:[D6]])</calculatedColumnFormula>
    </tableColumn>
  </tableColumns>
  <tableStyleInfo name="TableStyleLight12" showFirstColumn="0" showLastColumn="0" showRowStripes="1" showColumnStripes="0"/>
</table>
</file>

<file path=xl/tables/table2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8" xr:uid="{1CB04C49-D2C0-4235-84DD-78BC6A195A96}" name="GUIA_NACIONAL_2022_1106128105107111115129249" displayName="GUIA_NACIONAL_2022_1106128105107111115129249" ref="BX10:CE11" totalsRowShown="0" headerRowDxfId="163">
  <tableColumns count="8">
    <tableColumn id="1" xr3:uid="{4A881AE3-CDF9-4E38-902E-F07FA47FE646}" name="CIE-10" dataCellStyle="20% - Énfasis4"/>
    <tableColumn id="2" xr3:uid="{25F6A45E-7B32-4EE2-954D-0D77A5856265}" name="D1" dataDxfId="162">
      <calculatedColumnFormula>IF($B$2="(Todas)",COUNTIF(BASE[CODCIE10],GUIA_NACIONAL_2022_1106128105107111115129249[[#This Row],[CIE-10]]),COUNTIFS(BASE[Cod.Establecimiento],$B$2,BASE[CODCIE10],GUIA_NACIONAL_2022_1106128105107111115129249[[#This Row],[CIE-10]]))</calculatedColumnFormula>
    </tableColumn>
    <tableColumn id="3" xr3:uid="{6C658F6A-6F66-43CF-878F-433A7C0F9525}" name="D2" dataDxfId="161">
      <calculatedColumnFormula>IF($B$2="(Todas)",COUNTIF(BASE[CODCIE102],GUIA_NACIONAL_2022_1106128105107111115129249[[#This Row],[CIE-10]]),COUNTIFS(BASE[Cod.Establecimiento],$B$2,BASE[CODCIE102],GUIA_NACIONAL_2022_1106128105107111115129249[[#This Row],[CIE-10]]))</calculatedColumnFormula>
    </tableColumn>
    <tableColumn id="4" xr3:uid="{E8D10269-EC27-47A6-AB20-DEA5303C29D9}" name="D3" dataDxfId="160">
      <calculatedColumnFormula>IF($B$2="(Todas)",COUNTIF(BASE[CODCIE104],GUIA_NACIONAL_2022_1106128105107111115129249[[#This Row],[CIE-10]]),COUNTIFS(BASE[Cod.Establecimiento],$B$2,BASE[CODCIE104],GUIA_NACIONAL_2022_1106128105107111115129249[[#This Row],[CIE-10]]))</calculatedColumnFormula>
    </tableColumn>
    <tableColumn id="5" xr3:uid="{22D3145D-48B1-4838-A2DD-DEE06C27AD40}" name="D4" dataDxfId="159">
      <calculatedColumnFormula>IF($B$2="(Todas)",COUNTIF(BASE[CODCIE106],GUIA_NACIONAL_2022_1106128105107111115129249[[#This Row],[CIE-10]]),COUNTIFS(BASE[Cod.Establecimiento],$B$2,BASE[CODCIE106],GUIA_NACIONAL_2022_1106128105107111115129249[[#This Row],[CIE-10]]))</calculatedColumnFormula>
    </tableColumn>
    <tableColumn id="6" xr3:uid="{2A430BBE-A9E9-40ED-8ABD-702045586292}" name="D5" dataDxfId="158">
      <calculatedColumnFormula>IF($B$2="(Todas)",COUNTIF(BASE[CODCIE108],GUIA_NACIONAL_2022_1106128105107111115129249[[#This Row],[CIE-10]]),COUNTIFS(BASE[Cod.Establecimiento],$B$2,BASE[CODCIE108],GUIA_NACIONAL_2022_1106128105107111115129249[[#This Row],[CIE-10]]))</calculatedColumnFormula>
    </tableColumn>
    <tableColumn id="7" xr3:uid="{B0AF9715-901D-4FEF-ABEA-EB55DD04D8E1}" name="D6" dataDxfId="157">
      <calculatedColumnFormula>IF($B$2="(Todas)",COUNTIF(BASE[CODCIE1010],GUIA_NACIONAL_2022_1106128105107111115129249[[#This Row],[CIE-10]]),COUNTIFS(BASE[Cod.Establecimiento],$B$2,BASE[CODCIE1010],GUIA_NACIONAL_2022_1106128105107111115129249[[#This Row],[CIE-10]]))</calculatedColumnFormula>
    </tableColumn>
    <tableColumn id="8" xr3:uid="{2217CB53-8CE3-4F46-B013-7322B4181464}" name="TOT" dataDxfId="156" dataCellStyle="40% - Énfasis6">
      <calculatedColumnFormula>SUM(GUIA_NACIONAL_2022_1106128105107111115129249[[#This Row],[D1]:[D6]])</calculatedColumnFormula>
    </tableColumn>
  </tableColumns>
  <tableStyleInfo name="TableStyleLight12" showFirstColumn="0" showLastColumn="0" showRowStripes="1" showColumnStripes="0"/>
</table>
</file>

<file path=xl/tables/table2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9" xr:uid="{61D9D8FD-7227-46EC-8ACA-9B9DB5AE30A2}" name="GUIA_NACIONAL_2022_1106128105107111115129130250" displayName="GUIA_NACIONAL_2022_1106128105107111115129130250" ref="CG21:CN28" totalsRowShown="0" headerRowDxfId="155">
  <tableColumns count="8">
    <tableColumn id="1" xr3:uid="{33A471A1-152B-4D7B-8C30-3C6307A4273F}" name="CIE-10" dataCellStyle="20% - Énfasis4"/>
    <tableColumn id="2" xr3:uid="{9BCB888C-B90D-4C44-9BEA-7F3E77A6C430}" name="D1" dataDxfId="154">
      <calculatedColumnFormula>IF($B$2="(Todas)",COUNTIF(BASE[CODCIE10],GUIA_NACIONAL_2022_1106128105107111115129130250[[#This Row],[CIE-10]]),COUNTIFS(BASE[Cod.Establecimiento],$B$2,BASE[CODCIE10],GUIA_NACIONAL_2022_1106128105107111115129130250[[#This Row],[CIE-10]]))</calculatedColumnFormula>
    </tableColumn>
    <tableColumn id="3" xr3:uid="{92E032EF-485C-41C6-B6A3-21696D568293}" name="D2" dataDxfId="153">
      <calculatedColumnFormula>IF($B$2="(Todas)",COUNTIF(BASE[CODCIE102],GUIA_NACIONAL_2022_1106128105107111115129130250[[#This Row],[CIE-10]]),COUNTIFS(BASE[Cod.Establecimiento],$B$2,BASE[CODCIE102],GUIA_NACIONAL_2022_1106128105107111115129130250[[#This Row],[CIE-10]]))</calculatedColumnFormula>
    </tableColumn>
    <tableColumn id="4" xr3:uid="{532A1D3D-E63F-4C5C-95FB-0C9FED66C45A}" name="D3" dataDxfId="152">
      <calculatedColumnFormula>IF($B$2="(Todas)",COUNTIF(BASE[CODCIE104],GUIA_NACIONAL_2022_1106128105107111115129130250[[#This Row],[CIE-10]]),COUNTIFS(BASE[Cod.Establecimiento],$B$2,BASE[CODCIE104],GUIA_NACIONAL_2022_1106128105107111115129130250[[#This Row],[CIE-10]]))</calculatedColumnFormula>
    </tableColumn>
    <tableColumn id="5" xr3:uid="{66E6C742-5CC6-4112-8739-9A86EAFACF7C}" name="D4" dataDxfId="151">
      <calculatedColumnFormula>IF($B$2="(Todas)",COUNTIF(BASE[CODCIE106],GUIA_NACIONAL_2022_1106128105107111115129130250[[#This Row],[CIE-10]]),COUNTIFS(BASE[Cod.Establecimiento],$B$2,BASE[CODCIE106],GUIA_NACIONAL_2022_1106128105107111115129130250[[#This Row],[CIE-10]]))</calculatedColumnFormula>
    </tableColumn>
    <tableColumn id="6" xr3:uid="{CAAE60FF-09E6-4750-9056-CFE1B0A99A2C}" name="D5" dataDxfId="150">
      <calculatedColumnFormula>IF($B$2="(Todas)",COUNTIF(BASE[CODCIE108],GUIA_NACIONAL_2022_1106128105107111115129130250[[#This Row],[CIE-10]]),COUNTIFS(BASE[Cod.Establecimiento],$B$2,BASE[CODCIE108],GUIA_NACIONAL_2022_1106128105107111115129130250[[#This Row],[CIE-10]]))</calculatedColumnFormula>
    </tableColumn>
    <tableColumn id="7" xr3:uid="{C635A0D4-6B08-4D39-BD9B-5D54D72FD16D}" name="D6" dataDxfId="149">
      <calculatedColumnFormula>IF($B$2="(Todas)",COUNTIF(BASE[CODCIE1010],GUIA_NACIONAL_2022_1106128105107111115129130250[[#This Row],[CIE-10]]),COUNTIFS(BASE[Cod.Establecimiento],$B$2,BASE[CODCIE1010],GUIA_NACIONAL_2022_1106128105107111115129130250[[#This Row],[CIE-10]]))</calculatedColumnFormula>
    </tableColumn>
    <tableColumn id="8" xr3:uid="{5A6EBCBC-0EAC-4CDA-BBED-F94D9B0C0FDA}" name="TOT" dataDxfId="148" dataCellStyle="40% - Énfasis6">
      <calculatedColumnFormula>SUM(GUIA_NACIONAL_2022_1106128105107111115129130250[[#This Row],[D1]:[D6]])</calculatedColumnFormula>
    </tableColumn>
  </tableColumns>
  <tableStyleInfo name="TableStyleLight12" showFirstColumn="0" showLastColumn="0" showRowStripes="1" showColumnStripes="0"/>
</table>
</file>

<file path=xl/tables/table2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0" xr:uid="{196F8227-9149-4F2D-B4AF-A6F4F7BFDA5D}" name="GUIA_NACIONAL_2022_1106128105107111115129130250251" displayName="GUIA_NACIONAL_2022_1106128105107111115129130250251" ref="CG30:CN31" totalsRowShown="0" headerRowDxfId="147">
  <tableColumns count="8">
    <tableColumn id="1" xr3:uid="{BC2CD186-0BB6-4392-B3FC-07D185BCC7E9}" name="CIE-10" dataCellStyle="20% - Énfasis4"/>
    <tableColumn id="2" xr3:uid="{6FA63126-D8A6-4C7B-BBA1-1CAFB713A760}" name="D1" dataDxfId="146">
      <calculatedColumnFormula>IF($B$2="(Todas)",COUNTIF(BASE[CODCIE10],GUIA_NACIONAL_2022_1106128105107111115129130250251[[#This Row],[CIE-10]]),COUNTIFS(BASE[Cod.Establecimiento],$B$2,BASE[CODCIE10],GUIA_NACIONAL_2022_1106128105107111115129130250251[[#This Row],[CIE-10]]))</calculatedColumnFormula>
    </tableColumn>
    <tableColumn id="3" xr3:uid="{5B91D7FB-B458-4145-B2E4-3BD4713CC3F7}" name="D2" dataDxfId="145">
      <calculatedColumnFormula>IF($B$2="(Todas)",COUNTIF(BASE[CODCIE102],GUIA_NACIONAL_2022_1106128105107111115129130250251[[#This Row],[CIE-10]]),COUNTIFS(BASE[Cod.Establecimiento],$B$2,BASE[CODCIE102],GUIA_NACIONAL_2022_1106128105107111115129130250251[[#This Row],[CIE-10]]))</calculatedColumnFormula>
    </tableColumn>
    <tableColumn id="4" xr3:uid="{4B1E3671-77B1-4E98-962E-3FCAF9F9A822}" name="D3" dataDxfId="144">
      <calculatedColumnFormula>IF($B$2="(Todas)",COUNTIF(BASE[CODCIE104],GUIA_NACIONAL_2022_1106128105107111115129130250251[[#This Row],[CIE-10]]),COUNTIFS(BASE[Cod.Establecimiento],$B$2,BASE[CODCIE104],GUIA_NACIONAL_2022_1106128105107111115129130250251[[#This Row],[CIE-10]]))</calculatedColumnFormula>
    </tableColumn>
    <tableColumn id="5" xr3:uid="{170DADF7-A1C7-495B-8F32-77F2894FB648}" name="D4" dataDxfId="143">
      <calculatedColumnFormula>IF($B$2="(Todas)",COUNTIF(BASE[CODCIE106],GUIA_NACIONAL_2022_1106128105107111115129130250251[[#This Row],[CIE-10]]),COUNTIFS(BASE[Cod.Establecimiento],$B$2,BASE[CODCIE106],GUIA_NACIONAL_2022_1106128105107111115129130250251[[#This Row],[CIE-10]]))</calculatedColumnFormula>
    </tableColumn>
    <tableColumn id="6" xr3:uid="{6F775558-10B3-45B6-9E8A-F6C7FFAA96F1}" name="D5" dataDxfId="142">
      <calculatedColumnFormula>IF($B$2="(Todas)",COUNTIF(BASE[CODCIE108],GUIA_NACIONAL_2022_1106128105107111115129130250251[[#This Row],[CIE-10]]),COUNTIFS(BASE[Cod.Establecimiento],$B$2,BASE[CODCIE108],GUIA_NACIONAL_2022_1106128105107111115129130250251[[#This Row],[CIE-10]]))</calculatedColumnFormula>
    </tableColumn>
    <tableColumn id="7" xr3:uid="{676D35A9-B809-4F72-BE79-A95F03774F83}" name="D6" dataDxfId="141">
      <calculatedColumnFormula>IF($B$2="(Todas)",COUNTIF(BASE[CODCIE1010],GUIA_NACIONAL_2022_1106128105107111115129130250251[[#This Row],[CIE-10]]),COUNTIFS(BASE[Cod.Establecimiento],$B$2,BASE[CODCIE1010],GUIA_NACIONAL_2022_1106128105107111115129130250251[[#This Row],[CIE-10]]))</calculatedColumnFormula>
    </tableColumn>
    <tableColumn id="8" xr3:uid="{9061EB2C-1F56-43EF-BE1E-A1CA8C484E9F}" name="TOT" dataDxfId="140" dataCellStyle="40% - Énfasis6">
      <calculatedColumnFormula>SUM(GUIA_NACIONAL_2022_1106128105107111115129130250251[[#This Row],[D1]:[D6]])</calculatedColumnFormula>
    </tableColumn>
  </tableColumns>
  <tableStyleInfo name="TableStyleLight12" showFirstColumn="0" showLastColumn="0" showRowStripes="1" showColumnStripes="0"/>
</table>
</file>

<file path=xl/tables/table2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1" xr:uid="{057DFCB9-9001-4F32-BC99-533689DB5AC2}" name="GUIA_NACIONAL_2022_1106128105107111115129130250251252" displayName="GUIA_NACIONAL_2022_1106128105107111115129130250251252" ref="CG33:CN43" totalsRowShown="0" headerRowDxfId="139">
  <tableColumns count="8">
    <tableColumn id="1" xr3:uid="{3106C332-43B0-465A-8D62-CCF1073959F6}" name="CIE-10" dataCellStyle="20% - Énfasis4"/>
    <tableColumn id="2" xr3:uid="{55B24048-6433-4616-BB97-7A2123CD1CB6}" name="D1" dataDxfId="138">
      <calculatedColumnFormula>IF($B$2="(Todas)",COUNTIF(BASE[CODCIE10],GUIA_NACIONAL_2022_1106128105107111115129130250251252[[#This Row],[CIE-10]]),COUNTIFS(BASE[Cod.Establecimiento],$B$2,BASE[CODCIE10],GUIA_NACIONAL_2022_1106128105107111115129130250251252[[#This Row],[CIE-10]]))</calculatedColumnFormula>
    </tableColumn>
    <tableColumn id="3" xr3:uid="{82A9980E-9115-4547-B0F5-17EF71C57949}" name="D2" dataDxfId="137">
      <calculatedColumnFormula>IF($B$2="(Todas)",COUNTIF(BASE[CODCIE102],GUIA_NACIONAL_2022_1106128105107111115129130250251252[[#This Row],[CIE-10]]),COUNTIFS(BASE[Cod.Establecimiento],$B$2,BASE[CODCIE102],GUIA_NACIONAL_2022_1106128105107111115129130250251252[[#This Row],[CIE-10]]))</calculatedColumnFormula>
    </tableColumn>
    <tableColumn id="4" xr3:uid="{149E7566-8E80-4510-B44E-7F3D220E66A0}" name="D3" dataDxfId="136">
      <calculatedColumnFormula>IF($B$2="(Todas)",COUNTIF(BASE[CODCIE104],GUIA_NACIONAL_2022_1106128105107111115129130250251252[[#This Row],[CIE-10]]),COUNTIFS(BASE[Cod.Establecimiento],$B$2,BASE[CODCIE104],GUIA_NACIONAL_2022_1106128105107111115129130250251252[[#This Row],[CIE-10]]))</calculatedColumnFormula>
    </tableColumn>
    <tableColumn id="5" xr3:uid="{0191D131-6FE7-4D29-8CD8-A7739892EF29}" name="D4" dataDxfId="135">
      <calculatedColumnFormula>IF($B$2="(Todas)",COUNTIF(BASE[CODCIE106],GUIA_NACIONAL_2022_1106128105107111115129130250251252[[#This Row],[CIE-10]]),COUNTIFS(BASE[Cod.Establecimiento],$B$2,BASE[CODCIE106],GUIA_NACIONAL_2022_1106128105107111115129130250251252[[#This Row],[CIE-10]]))</calculatedColumnFormula>
    </tableColumn>
    <tableColumn id="6" xr3:uid="{A58CCC1E-F46C-4CD9-8DCA-CDB894E37DBC}" name="D5" dataDxfId="134">
      <calculatedColumnFormula>IF($B$2="(Todas)",COUNTIF(BASE[CODCIE108],GUIA_NACIONAL_2022_1106128105107111115129130250251252[[#This Row],[CIE-10]]),COUNTIFS(BASE[Cod.Establecimiento],$B$2,BASE[CODCIE108],GUIA_NACIONAL_2022_1106128105107111115129130250251252[[#This Row],[CIE-10]]))</calculatedColumnFormula>
    </tableColumn>
    <tableColumn id="7" xr3:uid="{5587FE08-0F7D-47CE-BFF5-58902F185CDF}" name="D6" dataDxfId="133">
      <calculatedColumnFormula>IF($B$2="(Todas)",COUNTIF(BASE[CODCIE1010],GUIA_NACIONAL_2022_1106128105107111115129130250251252[[#This Row],[CIE-10]]),COUNTIFS(BASE[Cod.Establecimiento],$B$2,BASE[CODCIE1010],GUIA_NACIONAL_2022_1106128105107111115129130250251252[[#This Row],[CIE-10]]))</calculatedColumnFormula>
    </tableColumn>
    <tableColumn id="8" xr3:uid="{0B8B9CF3-71AF-4EC4-A586-83077684C231}" name="TOT" dataDxfId="132" dataCellStyle="40% - Énfasis6">
      <calculatedColumnFormula>SUM(GUIA_NACIONAL_2022_1106128105107111115129130250251252[[#This Row],[D1]:[D6]])</calculatedColumnFormula>
    </tableColumn>
  </tableColumns>
  <tableStyleInfo name="TableStyleLight12" showFirstColumn="0" showLastColumn="0" showRowStripes="1" showColumnStripes="0"/>
</table>
</file>

<file path=xl/tables/table2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2" xr:uid="{6703A3B8-553B-418C-B38D-07C321CEE7D6}" name="GUIA_NACIONAL_2022_1106128105107111115129130250251252253" displayName="GUIA_NACIONAL_2022_1106128105107111115129130250251252253" ref="CG45:CN55" totalsRowShown="0" headerRowDxfId="131">
  <tableColumns count="8">
    <tableColumn id="1" xr3:uid="{9D9791F5-E526-4518-B909-1B86466588F3}" name="CIE-10" dataCellStyle="20% - Énfasis4"/>
    <tableColumn id="2" xr3:uid="{0A8399F0-FE12-49FE-9B81-D150A7340DA2}" name="D1" dataDxfId="130">
      <calculatedColumnFormula>IF($B$2="(Todas)",COUNTIF(BASE[CODCIE10],GUIA_NACIONAL_2022_1106128105107111115129130250251252253[[#This Row],[CIE-10]]),COUNTIFS(BASE[Cod.Establecimiento],$B$2,BASE[CODCIE10],GUIA_NACIONAL_2022_1106128105107111115129130250251252253[[#This Row],[CIE-10]]))</calculatedColumnFormula>
    </tableColumn>
    <tableColumn id="3" xr3:uid="{D61331DB-AB48-40F9-8701-4792091AFD4B}" name="D2" dataDxfId="129">
      <calculatedColumnFormula>IF($B$2="(Todas)",COUNTIF(BASE[CODCIE102],GUIA_NACIONAL_2022_1106128105107111115129130250251252253[[#This Row],[CIE-10]]),COUNTIFS(BASE[Cod.Establecimiento],$B$2,BASE[CODCIE102],GUIA_NACIONAL_2022_1106128105107111115129130250251252253[[#This Row],[CIE-10]]))</calculatedColumnFormula>
    </tableColumn>
    <tableColumn id="4" xr3:uid="{019AD3D7-FE74-442D-8154-859F4AEAB62E}" name="D3" dataDxfId="128">
      <calculatedColumnFormula>IF($B$2="(Todas)",COUNTIF(BASE[CODCIE104],GUIA_NACIONAL_2022_1106128105107111115129130250251252253[[#This Row],[CIE-10]]),COUNTIFS(BASE[Cod.Establecimiento],$B$2,BASE[CODCIE104],GUIA_NACIONAL_2022_1106128105107111115129130250251252253[[#This Row],[CIE-10]]))</calculatedColumnFormula>
    </tableColumn>
    <tableColumn id="5" xr3:uid="{AAB1FF4A-C88E-48AF-8B38-9E6F01B4C2B2}" name="D4" dataDxfId="127">
      <calculatedColumnFormula>IF($B$2="(Todas)",COUNTIF(BASE[CODCIE106],GUIA_NACIONAL_2022_1106128105107111115129130250251252253[[#This Row],[CIE-10]]),COUNTIFS(BASE[Cod.Establecimiento],$B$2,BASE[CODCIE106],GUIA_NACIONAL_2022_1106128105107111115129130250251252253[[#This Row],[CIE-10]]))</calculatedColumnFormula>
    </tableColumn>
    <tableColumn id="6" xr3:uid="{53C23A61-70EC-4462-8918-FAECE496ABC8}" name="D5" dataDxfId="126">
      <calculatedColumnFormula>IF($B$2="(Todas)",COUNTIF(BASE[CODCIE108],GUIA_NACIONAL_2022_1106128105107111115129130250251252253[[#This Row],[CIE-10]]),COUNTIFS(BASE[Cod.Establecimiento],$B$2,BASE[CODCIE108],GUIA_NACIONAL_2022_1106128105107111115129130250251252253[[#This Row],[CIE-10]]))</calculatedColumnFormula>
    </tableColumn>
    <tableColumn id="7" xr3:uid="{3BC38466-BCF5-4EC7-9912-6A4543654A34}" name="D6" dataDxfId="125">
      <calculatedColumnFormula>IF($B$2="(Todas)",COUNTIF(BASE[CODCIE1010],GUIA_NACIONAL_2022_1106128105107111115129130250251252253[[#This Row],[CIE-10]]),COUNTIFS(BASE[Cod.Establecimiento],$B$2,BASE[CODCIE1010],GUIA_NACIONAL_2022_1106128105107111115129130250251252253[[#This Row],[CIE-10]]))</calculatedColumnFormula>
    </tableColumn>
    <tableColumn id="8" xr3:uid="{434080D6-37C0-4EEB-B91F-88E78E4B1F03}" name="TOT" dataDxfId="124" dataCellStyle="40% - Énfasis6">
      <calculatedColumnFormula>SUM(GUIA_NACIONAL_2022_1106128105107111115129130250251252253[[#This Row],[D1]:[D6]])</calculatedColumnFormula>
    </tableColumn>
  </tableColumns>
  <tableStyleInfo name="TableStyleLight12" showFirstColumn="0" showLastColumn="0" showRowStripes="1" showColumnStripes="0"/>
</table>
</file>

<file path=xl/tables/table2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3" xr:uid="{496F571B-80BC-4FA1-BCFD-39235FFE398B}" name="GUIA_NACIONAL_2022_1106128105107111115129130131254" displayName="GUIA_NACIONAL_2022_1106128105107111115129130131254" ref="CP7:CW8" totalsRowShown="0" headerRowDxfId="123">
  <tableColumns count="8">
    <tableColumn id="1" xr3:uid="{C4245619-90C1-42AB-A7AB-3E551B6EDCE0}" name="CIE-10" dataCellStyle="20% - Énfasis4"/>
    <tableColumn id="2" xr3:uid="{5A0AE592-1CD9-488B-B08D-C500B68EAC32}" name="D1" dataDxfId="122">
      <calculatedColumnFormula>IF($B$2="(Todas)",COUNTIF(BASE[CODCIE10],GUIA_NACIONAL_2022_1106128105107111115129130131254[[#This Row],[CIE-10]]),COUNTIFS(BASE[Cod.Establecimiento],$B$2,BASE[CODCIE10],GUIA_NACIONAL_2022_1106128105107111115129130131254[[#This Row],[CIE-10]]))</calculatedColumnFormula>
    </tableColumn>
    <tableColumn id="3" xr3:uid="{FA525E31-36C1-4503-9B2A-E5D71AECA7DF}" name="D2" dataDxfId="121">
      <calculatedColumnFormula>IF($B$2="(Todas)",COUNTIF(BASE[CODCIE102],GUIA_NACIONAL_2022_1106128105107111115129130131254[[#This Row],[CIE-10]]),COUNTIFS(BASE[Cod.Establecimiento],$B$2,BASE[CODCIE102],GUIA_NACIONAL_2022_1106128105107111115129130131254[[#This Row],[CIE-10]]))</calculatedColumnFormula>
    </tableColumn>
    <tableColumn id="4" xr3:uid="{AE1C034F-271A-484E-9B4B-A4C3BC2D32A3}" name="D3" dataDxfId="120">
      <calculatedColumnFormula>IF($B$2="(Todas)",COUNTIF(BASE[CODCIE104],GUIA_NACIONAL_2022_1106128105107111115129130131254[[#This Row],[CIE-10]]),COUNTIFS(BASE[Cod.Establecimiento],$B$2,BASE[CODCIE104],GUIA_NACIONAL_2022_1106128105107111115129130131254[[#This Row],[CIE-10]]))</calculatedColumnFormula>
    </tableColumn>
    <tableColumn id="5" xr3:uid="{21B52527-C5CB-41A1-9DB3-D30B4F0B8732}" name="D4" dataDxfId="119">
      <calculatedColumnFormula>IF($B$2="(Todas)",COUNTIF(BASE[CODCIE106],GUIA_NACIONAL_2022_1106128105107111115129130131254[[#This Row],[CIE-10]]),COUNTIFS(BASE[Cod.Establecimiento],$B$2,BASE[CODCIE106],GUIA_NACIONAL_2022_1106128105107111115129130131254[[#This Row],[CIE-10]]))</calculatedColumnFormula>
    </tableColumn>
    <tableColumn id="6" xr3:uid="{94C915B3-B1A7-40F5-8938-0FFCF0E05137}" name="D5" dataDxfId="118">
      <calculatedColumnFormula>IF($B$2="(Todas)",COUNTIF(BASE[CODCIE108],GUIA_NACIONAL_2022_1106128105107111115129130131254[[#This Row],[CIE-10]]),COUNTIFS(BASE[Cod.Establecimiento],$B$2,BASE[CODCIE108],GUIA_NACIONAL_2022_1106128105107111115129130131254[[#This Row],[CIE-10]]))</calculatedColumnFormula>
    </tableColumn>
    <tableColumn id="7" xr3:uid="{984FDDE7-3F17-4565-B688-1FC483693D76}" name="D6" dataDxfId="117">
      <calculatedColumnFormula>IF($B$2="(Todas)",COUNTIF(BASE[CODCIE1010],GUIA_NACIONAL_2022_1106128105107111115129130131254[[#This Row],[CIE-10]]),COUNTIFS(BASE[Cod.Establecimiento],$B$2,BASE[CODCIE1010],GUIA_NACIONAL_2022_1106128105107111115129130131254[[#This Row],[CIE-10]]))</calculatedColumnFormula>
    </tableColumn>
    <tableColumn id="8" xr3:uid="{3B4B3C02-15FD-41EF-BCC7-4ADABDDD84FB}" name="TOT" dataDxfId="116" dataCellStyle="40% - Énfasis6">
      <calculatedColumnFormula>SUM(GUIA_NACIONAL_2022_1106128105107111115129130131254[[#This Row],[D1]:[D6]])</calculatedColumnFormula>
    </tableColumn>
  </tableColumns>
  <tableStyleInfo name="TableStyleLight12" showFirstColumn="0" showLastColumn="0" showRowStripes="1" showColumnStripes="0"/>
</table>
</file>

<file path=xl/tables/table2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4" xr:uid="{62EDF3C8-C22F-4257-BC10-EA47311A3859}" name="GUIA_NACIONAL_2022_1106128105107111115129130131255" displayName="GUIA_NACIONAL_2022_1106128105107111115129130131255" ref="CP10:CW11" totalsRowShown="0" headerRowDxfId="115">
  <tableColumns count="8">
    <tableColumn id="1" xr3:uid="{5D2F212D-C943-45FA-BC31-5CADABF5D27B}" name="CIE-10" dataCellStyle="20% - Énfasis4"/>
    <tableColumn id="2" xr3:uid="{0CE0B35C-9F29-4547-B17B-D1E581ACE9F4}" name="D1" dataDxfId="114">
      <calculatedColumnFormula>IF($B$2="(Todas)",COUNTIF(BASE[CODCIE10],GUIA_NACIONAL_2022_1106128105107111115129130131255[[#This Row],[CIE-10]]),COUNTIFS(BASE[Cod.Establecimiento],$B$2,BASE[CODCIE10],GUIA_NACIONAL_2022_1106128105107111115129130131255[[#This Row],[CIE-10]]))</calculatedColumnFormula>
    </tableColumn>
    <tableColumn id="3" xr3:uid="{FE41741F-36F0-42A5-A35E-26A199D0EF13}" name="D2" dataDxfId="113">
      <calculatedColumnFormula>IF($B$2="(Todas)",COUNTIF(BASE[CODCIE102],GUIA_NACIONAL_2022_1106128105107111115129130131255[[#This Row],[CIE-10]]),COUNTIFS(BASE[Cod.Establecimiento],$B$2,BASE[CODCIE102],GUIA_NACIONAL_2022_1106128105107111115129130131255[[#This Row],[CIE-10]]))</calculatedColumnFormula>
    </tableColumn>
    <tableColumn id="4" xr3:uid="{33FB5592-08FD-4377-9D2A-9AE60CBF0F47}" name="D3" dataDxfId="112">
      <calculatedColumnFormula>IF($B$2="(Todas)",COUNTIF(BASE[CODCIE104],GUIA_NACIONAL_2022_1106128105107111115129130131255[[#This Row],[CIE-10]]),COUNTIFS(BASE[Cod.Establecimiento],$B$2,BASE[CODCIE104],GUIA_NACIONAL_2022_1106128105107111115129130131255[[#This Row],[CIE-10]]))</calculatedColumnFormula>
    </tableColumn>
    <tableColumn id="5" xr3:uid="{A998DFCF-72CA-479D-A2DA-8F30CE47BF95}" name="D4" dataDxfId="111">
      <calculatedColumnFormula>IF($B$2="(Todas)",COUNTIF(BASE[CODCIE106],GUIA_NACIONAL_2022_1106128105107111115129130131255[[#This Row],[CIE-10]]),COUNTIFS(BASE[Cod.Establecimiento],$B$2,BASE[CODCIE106],GUIA_NACIONAL_2022_1106128105107111115129130131255[[#This Row],[CIE-10]]))</calculatedColumnFormula>
    </tableColumn>
    <tableColumn id="6" xr3:uid="{5161AF3F-D046-4205-87DC-ECBA6F0BFB30}" name="D5" dataDxfId="110">
      <calculatedColumnFormula>IF($B$2="(Todas)",COUNTIF(BASE[CODCIE108],GUIA_NACIONAL_2022_1106128105107111115129130131255[[#This Row],[CIE-10]]),COUNTIFS(BASE[Cod.Establecimiento],$B$2,BASE[CODCIE108],GUIA_NACIONAL_2022_1106128105107111115129130131255[[#This Row],[CIE-10]]))</calculatedColumnFormula>
    </tableColumn>
    <tableColumn id="7" xr3:uid="{FBE417EC-418F-4554-BB36-2B122E518D8E}" name="D6" dataDxfId="109">
      <calculatedColumnFormula>IF($B$2="(Todas)",COUNTIF(BASE[CODCIE1010],GUIA_NACIONAL_2022_1106128105107111115129130131255[[#This Row],[CIE-10]]),COUNTIFS(BASE[Cod.Establecimiento],$B$2,BASE[CODCIE1010],GUIA_NACIONAL_2022_1106128105107111115129130131255[[#This Row],[CIE-10]]))</calculatedColumnFormula>
    </tableColumn>
    <tableColumn id="8" xr3:uid="{B3FCD9D4-2FA0-4A00-98C8-25E5AC7EB792}" name="TOT" dataDxfId="108" dataCellStyle="40% - Énfasis6">
      <calculatedColumnFormula>SUM(GUIA_NACIONAL_2022_1106128105107111115129130131255[[#This Row],[D1]:[D6]])</calculatedColumnFormula>
    </tableColumn>
  </tableColumns>
  <tableStyleInfo name="TableStyleLight12" showFirstColumn="0" showLastColumn="0" showRowStripes="1" showColumnStripes="0"/>
</table>
</file>

<file path=xl/tables/table2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5" xr:uid="{FAF45CA3-472D-4F23-BCA9-D3CB9C941525}" name="GUIA_NACIONAL_2022_1106128105107111115129130131132133256" displayName="GUIA_NACIONAL_2022_1106128105107111115129130131132133256" ref="DH7:DO18" totalsRowShown="0" headerRowDxfId="107">
  <tableColumns count="8">
    <tableColumn id="1" xr3:uid="{5C0900A8-BAFE-46A6-BFAA-DD2FE9072A82}" name="CIE-10" dataCellStyle="20% - Énfasis4"/>
    <tableColumn id="2" xr3:uid="{4E00524A-3F9A-4873-A92E-F83525DFA3E9}" name="D1" dataDxfId="106">
      <calculatedColumnFormula>IF($B$2="(Todas)",COUNTIF(BASE[CODCIE10],GUIA_NACIONAL_2022_1106128105107111115129130131132133256[[#This Row],[CIE-10]]),COUNTIFS(BASE[Cod.Establecimiento],$B$2,BASE[CODCIE10],GUIA_NACIONAL_2022_1106128105107111115129130131132133256[[#This Row],[CIE-10]]))</calculatedColumnFormula>
    </tableColumn>
    <tableColumn id="3" xr3:uid="{5C83365A-3890-43FA-A5C8-1E4B597D1475}" name="D2" dataDxfId="105">
      <calculatedColumnFormula>IF($B$2="(Todas)",COUNTIF(BASE[CODCIE102],GUIA_NACIONAL_2022_1106128105107111115129130131132133256[[#This Row],[CIE-10]]),COUNTIFS(BASE[Cod.Establecimiento],$B$2,BASE[CODCIE102],GUIA_NACIONAL_2022_1106128105107111115129130131132133256[[#This Row],[CIE-10]]))</calculatedColumnFormula>
    </tableColumn>
    <tableColumn id="4" xr3:uid="{EF61A8DE-4A11-47A9-8AB9-E8E59A087857}" name="D3" dataDxfId="104">
      <calculatedColumnFormula>IF($B$2="(Todas)",COUNTIF(BASE[CODCIE104],GUIA_NACIONAL_2022_1106128105107111115129130131132133256[[#This Row],[CIE-10]]),COUNTIFS(BASE[Cod.Establecimiento],$B$2,BASE[CODCIE104],GUIA_NACIONAL_2022_1106128105107111115129130131132133256[[#This Row],[CIE-10]]))</calculatedColumnFormula>
    </tableColumn>
    <tableColumn id="5" xr3:uid="{368758A8-759C-4C71-AEB4-74332A6973FE}" name="D4" dataDxfId="103">
      <calculatedColumnFormula>IF($B$2="(Todas)",COUNTIF(BASE[CODCIE106],GUIA_NACIONAL_2022_1106128105107111115129130131132133256[[#This Row],[CIE-10]]),COUNTIFS(BASE[Cod.Establecimiento],$B$2,BASE[CODCIE106],GUIA_NACIONAL_2022_1106128105107111115129130131132133256[[#This Row],[CIE-10]]))</calculatedColumnFormula>
    </tableColumn>
    <tableColumn id="6" xr3:uid="{570CAAE8-A734-4DE7-8286-DF5C70E8D7AF}" name="D5" dataDxfId="102">
      <calculatedColumnFormula>IF($B$2="(Todas)",COUNTIF(BASE[CODCIE108],GUIA_NACIONAL_2022_1106128105107111115129130131132133256[[#This Row],[CIE-10]]),COUNTIFS(BASE[Cod.Establecimiento],$B$2,BASE[CODCIE108],GUIA_NACIONAL_2022_1106128105107111115129130131132133256[[#This Row],[CIE-10]]))</calculatedColumnFormula>
    </tableColumn>
    <tableColumn id="7" xr3:uid="{7892CEB5-F6DE-4646-A43E-379CF5E922D0}" name="D6" dataDxfId="101">
      <calculatedColumnFormula>IF($B$2="(Todas)",COUNTIF(BASE[CODCIE1010],GUIA_NACIONAL_2022_1106128105107111115129130131132133256[[#This Row],[CIE-10]]),COUNTIFS(BASE[Cod.Establecimiento],$B$2,BASE[CODCIE1010],GUIA_NACIONAL_2022_1106128105107111115129130131132133256[[#This Row],[CIE-10]]))</calculatedColumnFormula>
    </tableColumn>
    <tableColumn id="8" xr3:uid="{B196E23A-4345-46E8-AECA-A2C5D0FA543D}" name="TOT" dataDxfId="100" dataCellStyle="40% - Énfasis6">
      <calculatedColumnFormula>SUM(GUIA_NACIONAL_2022_1106128105107111115129130131132133256[[#This Row],[D1]:[D6]])</calculatedColumnFormula>
    </tableColumn>
  </tableColumns>
  <tableStyleInfo name="TableStyleLight12" showFirstColumn="0" showLastColumn="0" showRowStripes="1" showColumnStripes="0"/>
</table>
</file>

<file path=xl/tables/table2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6" xr:uid="{28807FE0-77AB-44CE-835D-ECEA84E92C62}" name="GUIA_NACIONAL_2022_1106128105107110207210231257" displayName="GUIA_NACIONAL_2022_1106128105107110207210231257" ref="DH20:DO21" totalsRowShown="0" headerRowDxfId="99">
  <tableColumns count="8">
    <tableColumn id="1" xr3:uid="{A82C0F40-E720-4AE0-8F87-32E2986C5251}" name="CIE-10" dataCellStyle="20% - Énfasis4"/>
    <tableColumn id="2" xr3:uid="{D60A0F84-E64D-4879-8C26-B5195D9B47ED}" name="D1" dataDxfId="98">
      <calculatedColumnFormula>IF($B$2="(Todas)",COUNTIF(BASE[CODCIE10],GUIA_NACIONAL_2022_1106128105107110207210231257[[#This Row],[CIE-10]]),COUNTIFS(BASE[Cod.Establecimiento],$B$2,BASE[CODCIE10],GUIA_NACIONAL_2022_1106128105107110207210231257[[#This Row],[CIE-10]]))</calculatedColumnFormula>
    </tableColumn>
    <tableColumn id="3" xr3:uid="{66259AA3-1869-48A9-B93C-AB36A398CE14}" name="D2" dataDxfId="97">
      <calculatedColumnFormula>IF($B$2="(Todas)",COUNTIF(BASE[CODCIE102],GUIA_NACIONAL_2022_1106128105107110207210231257[[#This Row],[CIE-10]]),COUNTIFS(BASE[Cod.Establecimiento],$B$2,BASE[CODCIE102],GUIA_NACIONAL_2022_1106128105107110207210231257[[#This Row],[CIE-10]]))</calculatedColumnFormula>
    </tableColumn>
    <tableColumn id="4" xr3:uid="{AF616E34-DDBF-4DB6-8A67-4069886805F9}" name="D3" dataDxfId="96">
      <calculatedColumnFormula>IF($B$2="(Todas)",COUNTIF(BASE[CODCIE104],GUIA_NACIONAL_2022_1106128105107110207210231257[[#This Row],[CIE-10]]),COUNTIFS(BASE[Cod.Establecimiento],$B$2,BASE[CODCIE104],GUIA_NACIONAL_2022_1106128105107110207210231257[[#This Row],[CIE-10]]))</calculatedColumnFormula>
    </tableColumn>
    <tableColumn id="5" xr3:uid="{8EB11F59-DCBD-45C6-96A8-88F1E0844450}" name="D4" dataDxfId="95">
      <calculatedColumnFormula>IF($B$2="(Todas)",COUNTIF(BASE[CODCIE106],GUIA_NACIONAL_2022_1106128105107110207210231257[[#This Row],[CIE-10]]),COUNTIFS(BASE[Cod.Establecimiento],$B$2,BASE[CODCIE106],GUIA_NACIONAL_2022_1106128105107110207210231257[[#This Row],[CIE-10]]))</calculatedColumnFormula>
    </tableColumn>
    <tableColumn id="6" xr3:uid="{BF2F7FB4-0867-48AF-8E3C-83A6A3DEECC4}" name="D5" dataDxfId="94">
      <calculatedColumnFormula>IF($B$2="(Todas)",COUNTIF(BASE[CODCIE108],GUIA_NACIONAL_2022_1106128105107110207210231257[[#This Row],[CIE-10]]),COUNTIFS(BASE[Cod.Establecimiento],$B$2,BASE[CODCIE108],GUIA_NACIONAL_2022_1106128105107110207210231257[[#This Row],[CIE-10]]))</calculatedColumnFormula>
    </tableColumn>
    <tableColumn id="7" xr3:uid="{98A1C957-7F62-4A42-84DD-4885A3D9B431}" name="D6" dataDxfId="93">
      <calculatedColumnFormula>IF($B$2="(Todas)",COUNTIF(BASE[CODCIE1010],GUIA_NACIONAL_2022_1106128105107110207210231257[[#This Row],[CIE-10]]),COUNTIFS(BASE[Cod.Establecimiento],$B$2,BASE[CODCIE1010],GUIA_NACIONAL_2022_1106128105107110207210231257[[#This Row],[CIE-10]]))</calculatedColumnFormula>
    </tableColumn>
    <tableColumn id="8" xr3:uid="{A7FAB608-8BCB-4181-ABB0-B34638CA7517}" name="TOT" dataDxfId="92" dataCellStyle="40% - Énfasis6">
      <calculatedColumnFormula>SUM(GUIA_NACIONAL_2022_1106128105107110207210231257[[#This Row],[D1]:[D6]])</calculatedColumnFormula>
    </tableColumn>
  </tableColumns>
  <tableStyleInfo name="TableStyleLight12" showFirstColumn="0" showLastColumn="0" showRowStripes="1" showColumnStripes="0"/>
</table>
</file>

<file path=xl/tables/table2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7" xr:uid="{6AAAC67E-98A1-48FD-BF86-F3941A951225}" name="GUIA_NACIONAL_2022_1106128105107111115129130131132133256258" displayName="GUIA_NACIONAL_2022_1106128105107111115129130131132133256258" ref="DH23:DO24" totalsRowShown="0" headerRowDxfId="91">
  <tableColumns count="8">
    <tableColumn id="1" xr3:uid="{C2E43ADD-9952-48ED-883D-308E54072DC4}" name="CIE-10" dataCellStyle="20% - Énfasis4"/>
    <tableColumn id="2" xr3:uid="{9A4A916C-8F95-4938-BC2A-0F8B12197664}" name="D1" dataDxfId="90">
      <calculatedColumnFormula>IF($B$2="(Todas)",COUNTIF(BASE[CODCIE10],GUIA_NACIONAL_2022_1106128105107111115129130131132133256258[[#This Row],[CIE-10]]),COUNTIFS(BASE[Cod.Establecimiento],$B$2,BASE[CODCIE10],GUIA_NACIONAL_2022_1106128105107111115129130131132133256258[[#This Row],[CIE-10]]))</calculatedColumnFormula>
    </tableColumn>
    <tableColumn id="3" xr3:uid="{FF2B1A2C-C8BB-4AD5-9B27-D858CB159F6E}" name="D2" dataDxfId="89">
      <calculatedColumnFormula>IF($B$2="(Todas)",COUNTIF(BASE[CODCIE102],GUIA_NACIONAL_2022_1106128105107111115129130131132133256258[[#This Row],[CIE-10]]),COUNTIFS(BASE[Cod.Establecimiento],$B$2,BASE[CODCIE102],GUIA_NACIONAL_2022_1106128105107111115129130131132133256258[[#This Row],[CIE-10]]))</calculatedColumnFormula>
    </tableColumn>
    <tableColumn id="4" xr3:uid="{EB704C06-2607-463A-9827-A0EC8908A1AD}" name="D3" dataDxfId="88">
      <calculatedColumnFormula>IF($B$2="(Todas)",COUNTIF(BASE[CODCIE104],GUIA_NACIONAL_2022_1106128105107111115129130131132133256258[[#This Row],[CIE-10]]),COUNTIFS(BASE[Cod.Establecimiento],$B$2,BASE[CODCIE104],GUIA_NACIONAL_2022_1106128105107111115129130131132133256258[[#This Row],[CIE-10]]))</calculatedColumnFormula>
    </tableColumn>
    <tableColumn id="5" xr3:uid="{EADFA66B-E016-4508-88B9-88C29BA79C5D}" name="D4" dataDxfId="87">
      <calculatedColumnFormula>IF($B$2="(Todas)",COUNTIF(BASE[CODCIE106],GUIA_NACIONAL_2022_1106128105107111115129130131132133256258[[#This Row],[CIE-10]]),COUNTIFS(BASE[Cod.Establecimiento],$B$2,BASE[CODCIE106],GUIA_NACIONAL_2022_1106128105107111115129130131132133256258[[#This Row],[CIE-10]]))</calculatedColumnFormula>
    </tableColumn>
    <tableColumn id="6" xr3:uid="{6021BC48-0C09-4B17-86CB-2C58970A0254}" name="D5" dataDxfId="86">
      <calculatedColumnFormula>IF($B$2="(Todas)",COUNTIF(BASE[CODCIE108],GUIA_NACIONAL_2022_1106128105107111115129130131132133256258[[#This Row],[CIE-10]]),COUNTIFS(BASE[Cod.Establecimiento],$B$2,BASE[CODCIE108],GUIA_NACIONAL_2022_1106128105107111115129130131132133256258[[#This Row],[CIE-10]]))</calculatedColumnFormula>
    </tableColumn>
    <tableColumn id="7" xr3:uid="{43B5FF5D-E44B-41E0-BBFC-0CF1ADC6BFD4}" name="D6" dataDxfId="85">
      <calculatedColumnFormula>IF($B$2="(Todas)",COUNTIF(BASE[CODCIE1010],GUIA_NACIONAL_2022_1106128105107111115129130131132133256258[[#This Row],[CIE-10]]),COUNTIFS(BASE[Cod.Establecimiento],$B$2,BASE[CODCIE1010],GUIA_NACIONAL_2022_1106128105107111115129130131132133256258[[#This Row],[CIE-10]]))</calculatedColumnFormula>
    </tableColumn>
    <tableColumn id="8" xr3:uid="{4A3CECA0-6234-4333-98F7-C4A26B965BC3}" name="TOT" dataDxfId="84" dataCellStyle="40% - Énfasis6">
      <calculatedColumnFormula>SUM(GUIA_NACIONAL_2022_1106128105107111115129130131132133256258[[#This Row],[D1]:[D6]])</calculatedColumnFormula>
    </tableColumn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13" Type="http://schemas.openxmlformats.org/officeDocument/2006/relationships/table" Target="../tables/table11.xml"/><Relationship Id="rId3" Type="http://schemas.openxmlformats.org/officeDocument/2006/relationships/vmlDrawing" Target="../drawings/vmlDrawing1.vml"/><Relationship Id="rId7" Type="http://schemas.openxmlformats.org/officeDocument/2006/relationships/table" Target="../tables/table5.xml"/><Relationship Id="rId12" Type="http://schemas.openxmlformats.org/officeDocument/2006/relationships/table" Target="../tables/table10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4.xml"/><Relationship Id="rId11" Type="http://schemas.openxmlformats.org/officeDocument/2006/relationships/table" Target="../tables/table9.xml"/><Relationship Id="rId5" Type="http://schemas.openxmlformats.org/officeDocument/2006/relationships/table" Target="../tables/table3.xml"/><Relationship Id="rId10" Type="http://schemas.openxmlformats.org/officeDocument/2006/relationships/table" Target="../tables/table8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Relationship Id="rId1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21.xml"/><Relationship Id="rId18" Type="http://schemas.openxmlformats.org/officeDocument/2006/relationships/table" Target="../tables/table26.xml"/><Relationship Id="rId26" Type="http://schemas.openxmlformats.org/officeDocument/2006/relationships/table" Target="../tables/table34.xml"/><Relationship Id="rId39" Type="http://schemas.openxmlformats.org/officeDocument/2006/relationships/table" Target="../tables/table47.xml"/><Relationship Id="rId21" Type="http://schemas.openxmlformats.org/officeDocument/2006/relationships/table" Target="../tables/table29.xml"/><Relationship Id="rId34" Type="http://schemas.openxmlformats.org/officeDocument/2006/relationships/table" Target="../tables/table42.xml"/><Relationship Id="rId42" Type="http://schemas.openxmlformats.org/officeDocument/2006/relationships/table" Target="../tables/table50.xml"/><Relationship Id="rId47" Type="http://schemas.openxmlformats.org/officeDocument/2006/relationships/table" Target="../tables/table55.xml"/><Relationship Id="rId50" Type="http://schemas.openxmlformats.org/officeDocument/2006/relationships/table" Target="../tables/table58.xml"/><Relationship Id="rId7" Type="http://schemas.openxmlformats.org/officeDocument/2006/relationships/table" Target="../tables/table15.xml"/><Relationship Id="rId2" Type="http://schemas.openxmlformats.org/officeDocument/2006/relationships/printerSettings" Target="../printerSettings/printerSettings2.bin"/><Relationship Id="rId16" Type="http://schemas.openxmlformats.org/officeDocument/2006/relationships/table" Target="../tables/table24.xml"/><Relationship Id="rId29" Type="http://schemas.openxmlformats.org/officeDocument/2006/relationships/table" Target="../tables/table37.xml"/><Relationship Id="rId11" Type="http://schemas.openxmlformats.org/officeDocument/2006/relationships/table" Target="../tables/table19.xml"/><Relationship Id="rId24" Type="http://schemas.openxmlformats.org/officeDocument/2006/relationships/table" Target="../tables/table32.xml"/><Relationship Id="rId32" Type="http://schemas.openxmlformats.org/officeDocument/2006/relationships/table" Target="../tables/table40.xml"/><Relationship Id="rId37" Type="http://schemas.openxmlformats.org/officeDocument/2006/relationships/table" Target="../tables/table45.xml"/><Relationship Id="rId40" Type="http://schemas.openxmlformats.org/officeDocument/2006/relationships/table" Target="../tables/table48.xml"/><Relationship Id="rId45" Type="http://schemas.openxmlformats.org/officeDocument/2006/relationships/table" Target="../tables/table53.xml"/><Relationship Id="rId53" Type="http://schemas.openxmlformats.org/officeDocument/2006/relationships/comments" Target="../comments2.xml"/><Relationship Id="rId5" Type="http://schemas.openxmlformats.org/officeDocument/2006/relationships/table" Target="../tables/table13.xml"/><Relationship Id="rId10" Type="http://schemas.openxmlformats.org/officeDocument/2006/relationships/table" Target="../tables/table18.xml"/><Relationship Id="rId19" Type="http://schemas.openxmlformats.org/officeDocument/2006/relationships/table" Target="../tables/table27.xml"/><Relationship Id="rId31" Type="http://schemas.openxmlformats.org/officeDocument/2006/relationships/table" Target="../tables/table39.xml"/><Relationship Id="rId44" Type="http://schemas.openxmlformats.org/officeDocument/2006/relationships/table" Target="../tables/table52.xml"/><Relationship Id="rId52" Type="http://schemas.openxmlformats.org/officeDocument/2006/relationships/table" Target="../tables/table60.xml"/><Relationship Id="rId4" Type="http://schemas.openxmlformats.org/officeDocument/2006/relationships/table" Target="../tables/table12.xml"/><Relationship Id="rId9" Type="http://schemas.openxmlformats.org/officeDocument/2006/relationships/table" Target="../tables/table17.xml"/><Relationship Id="rId14" Type="http://schemas.openxmlformats.org/officeDocument/2006/relationships/table" Target="../tables/table22.xml"/><Relationship Id="rId22" Type="http://schemas.openxmlformats.org/officeDocument/2006/relationships/table" Target="../tables/table30.xml"/><Relationship Id="rId27" Type="http://schemas.openxmlformats.org/officeDocument/2006/relationships/table" Target="../tables/table35.xml"/><Relationship Id="rId30" Type="http://schemas.openxmlformats.org/officeDocument/2006/relationships/table" Target="../tables/table38.xml"/><Relationship Id="rId35" Type="http://schemas.openxmlformats.org/officeDocument/2006/relationships/table" Target="../tables/table43.xml"/><Relationship Id="rId43" Type="http://schemas.openxmlformats.org/officeDocument/2006/relationships/table" Target="../tables/table51.xml"/><Relationship Id="rId48" Type="http://schemas.openxmlformats.org/officeDocument/2006/relationships/table" Target="../tables/table56.xml"/><Relationship Id="rId8" Type="http://schemas.openxmlformats.org/officeDocument/2006/relationships/table" Target="../tables/table16.xml"/><Relationship Id="rId51" Type="http://schemas.openxmlformats.org/officeDocument/2006/relationships/table" Target="../tables/table59.xml"/><Relationship Id="rId3" Type="http://schemas.openxmlformats.org/officeDocument/2006/relationships/vmlDrawing" Target="../drawings/vmlDrawing2.vml"/><Relationship Id="rId12" Type="http://schemas.openxmlformats.org/officeDocument/2006/relationships/table" Target="../tables/table20.xml"/><Relationship Id="rId17" Type="http://schemas.openxmlformats.org/officeDocument/2006/relationships/table" Target="../tables/table25.xml"/><Relationship Id="rId25" Type="http://schemas.openxmlformats.org/officeDocument/2006/relationships/table" Target="../tables/table33.xml"/><Relationship Id="rId33" Type="http://schemas.openxmlformats.org/officeDocument/2006/relationships/table" Target="../tables/table41.xml"/><Relationship Id="rId38" Type="http://schemas.openxmlformats.org/officeDocument/2006/relationships/table" Target="../tables/table46.xml"/><Relationship Id="rId46" Type="http://schemas.openxmlformats.org/officeDocument/2006/relationships/table" Target="../tables/table54.xml"/><Relationship Id="rId20" Type="http://schemas.openxmlformats.org/officeDocument/2006/relationships/table" Target="../tables/table28.xml"/><Relationship Id="rId41" Type="http://schemas.openxmlformats.org/officeDocument/2006/relationships/table" Target="../tables/table49.xml"/><Relationship Id="rId1" Type="http://schemas.openxmlformats.org/officeDocument/2006/relationships/pivotTable" Target="../pivotTables/pivotTable2.xml"/><Relationship Id="rId6" Type="http://schemas.openxmlformats.org/officeDocument/2006/relationships/table" Target="../tables/table14.xml"/><Relationship Id="rId15" Type="http://schemas.openxmlformats.org/officeDocument/2006/relationships/table" Target="../tables/table23.xml"/><Relationship Id="rId23" Type="http://schemas.openxmlformats.org/officeDocument/2006/relationships/table" Target="../tables/table31.xml"/><Relationship Id="rId28" Type="http://schemas.openxmlformats.org/officeDocument/2006/relationships/table" Target="../tables/table36.xml"/><Relationship Id="rId36" Type="http://schemas.openxmlformats.org/officeDocument/2006/relationships/table" Target="../tables/table44.xml"/><Relationship Id="rId49" Type="http://schemas.openxmlformats.org/officeDocument/2006/relationships/table" Target="../tables/table57.xm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69.xml"/><Relationship Id="rId18" Type="http://schemas.openxmlformats.org/officeDocument/2006/relationships/table" Target="../tables/table74.xml"/><Relationship Id="rId26" Type="http://schemas.openxmlformats.org/officeDocument/2006/relationships/table" Target="../tables/table82.xml"/><Relationship Id="rId39" Type="http://schemas.openxmlformats.org/officeDocument/2006/relationships/table" Target="../tables/table95.xml"/><Relationship Id="rId21" Type="http://schemas.openxmlformats.org/officeDocument/2006/relationships/table" Target="../tables/table77.xml"/><Relationship Id="rId34" Type="http://schemas.openxmlformats.org/officeDocument/2006/relationships/table" Target="../tables/table90.xml"/><Relationship Id="rId42" Type="http://schemas.openxmlformats.org/officeDocument/2006/relationships/table" Target="../tables/table98.xml"/><Relationship Id="rId47" Type="http://schemas.openxmlformats.org/officeDocument/2006/relationships/comments" Target="../comments3.xml"/><Relationship Id="rId7" Type="http://schemas.openxmlformats.org/officeDocument/2006/relationships/table" Target="../tables/table63.xml"/><Relationship Id="rId2" Type="http://schemas.openxmlformats.org/officeDocument/2006/relationships/hyperlink" Target="https://dgvs.mspbs.gov.py/files/guiaNacional/Guia-Vigilancia-2015.pdf" TargetMode="External"/><Relationship Id="rId16" Type="http://schemas.openxmlformats.org/officeDocument/2006/relationships/table" Target="../tables/table72.xml"/><Relationship Id="rId29" Type="http://schemas.openxmlformats.org/officeDocument/2006/relationships/table" Target="../tables/table85.xml"/><Relationship Id="rId1" Type="http://schemas.openxmlformats.org/officeDocument/2006/relationships/pivotTable" Target="../pivotTables/pivotTable3.xml"/><Relationship Id="rId6" Type="http://schemas.openxmlformats.org/officeDocument/2006/relationships/table" Target="../tables/table62.xml"/><Relationship Id="rId11" Type="http://schemas.openxmlformats.org/officeDocument/2006/relationships/table" Target="../tables/table67.xml"/><Relationship Id="rId24" Type="http://schemas.openxmlformats.org/officeDocument/2006/relationships/table" Target="../tables/table80.xml"/><Relationship Id="rId32" Type="http://schemas.openxmlformats.org/officeDocument/2006/relationships/table" Target="../tables/table88.xml"/><Relationship Id="rId37" Type="http://schemas.openxmlformats.org/officeDocument/2006/relationships/table" Target="../tables/table93.xml"/><Relationship Id="rId40" Type="http://schemas.openxmlformats.org/officeDocument/2006/relationships/table" Target="../tables/table96.xml"/><Relationship Id="rId45" Type="http://schemas.openxmlformats.org/officeDocument/2006/relationships/table" Target="../tables/table101.xml"/><Relationship Id="rId5" Type="http://schemas.openxmlformats.org/officeDocument/2006/relationships/table" Target="../tables/table61.xml"/><Relationship Id="rId15" Type="http://schemas.openxmlformats.org/officeDocument/2006/relationships/table" Target="../tables/table71.xml"/><Relationship Id="rId23" Type="http://schemas.openxmlformats.org/officeDocument/2006/relationships/table" Target="../tables/table79.xml"/><Relationship Id="rId28" Type="http://schemas.openxmlformats.org/officeDocument/2006/relationships/table" Target="../tables/table84.xml"/><Relationship Id="rId36" Type="http://schemas.openxmlformats.org/officeDocument/2006/relationships/table" Target="../tables/table92.xml"/><Relationship Id="rId10" Type="http://schemas.openxmlformats.org/officeDocument/2006/relationships/table" Target="../tables/table66.xml"/><Relationship Id="rId19" Type="http://schemas.openxmlformats.org/officeDocument/2006/relationships/table" Target="../tables/table75.xml"/><Relationship Id="rId31" Type="http://schemas.openxmlformats.org/officeDocument/2006/relationships/table" Target="../tables/table87.xml"/><Relationship Id="rId44" Type="http://schemas.openxmlformats.org/officeDocument/2006/relationships/table" Target="../tables/table100.xml"/><Relationship Id="rId4" Type="http://schemas.openxmlformats.org/officeDocument/2006/relationships/vmlDrawing" Target="../drawings/vmlDrawing3.vml"/><Relationship Id="rId9" Type="http://schemas.openxmlformats.org/officeDocument/2006/relationships/table" Target="../tables/table65.xml"/><Relationship Id="rId14" Type="http://schemas.openxmlformats.org/officeDocument/2006/relationships/table" Target="../tables/table70.xml"/><Relationship Id="rId22" Type="http://schemas.openxmlformats.org/officeDocument/2006/relationships/table" Target="../tables/table78.xml"/><Relationship Id="rId27" Type="http://schemas.openxmlformats.org/officeDocument/2006/relationships/table" Target="../tables/table83.xml"/><Relationship Id="rId30" Type="http://schemas.openxmlformats.org/officeDocument/2006/relationships/table" Target="../tables/table86.xml"/><Relationship Id="rId35" Type="http://schemas.openxmlformats.org/officeDocument/2006/relationships/table" Target="../tables/table91.xml"/><Relationship Id="rId43" Type="http://schemas.openxmlformats.org/officeDocument/2006/relationships/table" Target="../tables/table99.xml"/><Relationship Id="rId8" Type="http://schemas.openxmlformats.org/officeDocument/2006/relationships/table" Target="../tables/table64.xml"/><Relationship Id="rId3" Type="http://schemas.openxmlformats.org/officeDocument/2006/relationships/printerSettings" Target="../printerSettings/printerSettings3.bin"/><Relationship Id="rId12" Type="http://schemas.openxmlformats.org/officeDocument/2006/relationships/table" Target="../tables/table68.xml"/><Relationship Id="rId17" Type="http://schemas.openxmlformats.org/officeDocument/2006/relationships/table" Target="../tables/table73.xml"/><Relationship Id="rId25" Type="http://schemas.openxmlformats.org/officeDocument/2006/relationships/table" Target="../tables/table81.xml"/><Relationship Id="rId33" Type="http://schemas.openxmlformats.org/officeDocument/2006/relationships/table" Target="../tables/table89.xml"/><Relationship Id="rId38" Type="http://schemas.openxmlformats.org/officeDocument/2006/relationships/table" Target="../tables/table94.xml"/><Relationship Id="rId46" Type="http://schemas.openxmlformats.org/officeDocument/2006/relationships/table" Target="../tables/table102.xml"/><Relationship Id="rId20" Type="http://schemas.openxmlformats.org/officeDocument/2006/relationships/table" Target="../tables/table76.xml"/><Relationship Id="rId41" Type="http://schemas.openxmlformats.org/officeDocument/2006/relationships/table" Target="../tables/table97.xm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table" Target="../tables/table215.xml"/><Relationship Id="rId21" Type="http://schemas.openxmlformats.org/officeDocument/2006/relationships/table" Target="../tables/table119.xml"/><Relationship Id="rId42" Type="http://schemas.openxmlformats.org/officeDocument/2006/relationships/table" Target="../tables/table140.xml"/><Relationship Id="rId63" Type="http://schemas.openxmlformats.org/officeDocument/2006/relationships/table" Target="../tables/table161.xml"/><Relationship Id="rId84" Type="http://schemas.openxmlformats.org/officeDocument/2006/relationships/table" Target="../tables/table182.xml"/><Relationship Id="rId138" Type="http://schemas.openxmlformats.org/officeDocument/2006/relationships/table" Target="../tables/table236.xml"/><Relationship Id="rId107" Type="http://schemas.openxmlformats.org/officeDocument/2006/relationships/table" Target="../tables/table205.xml"/><Relationship Id="rId11" Type="http://schemas.openxmlformats.org/officeDocument/2006/relationships/table" Target="../tables/table109.xml"/><Relationship Id="rId32" Type="http://schemas.openxmlformats.org/officeDocument/2006/relationships/table" Target="../tables/table130.xml"/><Relationship Id="rId53" Type="http://schemas.openxmlformats.org/officeDocument/2006/relationships/table" Target="../tables/table151.xml"/><Relationship Id="rId74" Type="http://schemas.openxmlformats.org/officeDocument/2006/relationships/table" Target="../tables/table172.xml"/><Relationship Id="rId128" Type="http://schemas.openxmlformats.org/officeDocument/2006/relationships/table" Target="../tables/table226.xml"/><Relationship Id="rId149" Type="http://schemas.openxmlformats.org/officeDocument/2006/relationships/table" Target="../tables/table247.xml"/><Relationship Id="rId5" Type="http://schemas.openxmlformats.org/officeDocument/2006/relationships/table" Target="../tables/table103.xml"/><Relationship Id="rId95" Type="http://schemas.openxmlformats.org/officeDocument/2006/relationships/table" Target="../tables/table193.xml"/><Relationship Id="rId22" Type="http://schemas.openxmlformats.org/officeDocument/2006/relationships/table" Target="../tables/table120.xml"/><Relationship Id="rId27" Type="http://schemas.openxmlformats.org/officeDocument/2006/relationships/table" Target="../tables/table125.xml"/><Relationship Id="rId43" Type="http://schemas.openxmlformats.org/officeDocument/2006/relationships/table" Target="../tables/table141.xml"/><Relationship Id="rId48" Type="http://schemas.openxmlformats.org/officeDocument/2006/relationships/table" Target="../tables/table146.xml"/><Relationship Id="rId64" Type="http://schemas.openxmlformats.org/officeDocument/2006/relationships/table" Target="../tables/table162.xml"/><Relationship Id="rId69" Type="http://schemas.openxmlformats.org/officeDocument/2006/relationships/table" Target="../tables/table167.xml"/><Relationship Id="rId113" Type="http://schemas.openxmlformats.org/officeDocument/2006/relationships/table" Target="../tables/table211.xml"/><Relationship Id="rId118" Type="http://schemas.openxmlformats.org/officeDocument/2006/relationships/table" Target="../tables/table216.xml"/><Relationship Id="rId134" Type="http://schemas.openxmlformats.org/officeDocument/2006/relationships/table" Target="../tables/table232.xml"/><Relationship Id="rId139" Type="http://schemas.openxmlformats.org/officeDocument/2006/relationships/table" Target="../tables/table237.xml"/><Relationship Id="rId80" Type="http://schemas.openxmlformats.org/officeDocument/2006/relationships/table" Target="../tables/table178.xml"/><Relationship Id="rId85" Type="http://schemas.openxmlformats.org/officeDocument/2006/relationships/table" Target="../tables/table183.xml"/><Relationship Id="rId150" Type="http://schemas.openxmlformats.org/officeDocument/2006/relationships/table" Target="../tables/table248.xml"/><Relationship Id="rId12" Type="http://schemas.openxmlformats.org/officeDocument/2006/relationships/table" Target="../tables/table110.xml"/><Relationship Id="rId17" Type="http://schemas.openxmlformats.org/officeDocument/2006/relationships/table" Target="../tables/table115.xml"/><Relationship Id="rId33" Type="http://schemas.openxmlformats.org/officeDocument/2006/relationships/table" Target="../tables/table131.xml"/><Relationship Id="rId38" Type="http://schemas.openxmlformats.org/officeDocument/2006/relationships/table" Target="../tables/table136.xml"/><Relationship Id="rId59" Type="http://schemas.openxmlformats.org/officeDocument/2006/relationships/table" Target="../tables/table157.xml"/><Relationship Id="rId103" Type="http://schemas.openxmlformats.org/officeDocument/2006/relationships/table" Target="../tables/table201.xml"/><Relationship Id="rId108" Type="http://schemas.openxmlformats.org/officeDocument/2006/relationships/table" Target="../tables/table206.xml"/><Relationship Id="rId124" Type="http://schemas.openxmlformats.org/officeDocument/2006/relationships/table" Target="../tables/table222.xml"/><Relationship Id="rId129" Type="http://schemas.openxmlformats.org/officeDocument/2006/relationships/table" Target="../tables/table227.xml"/><Relationship Id="rId54" Type="http://schemas.openxmlformats.org/officeDocument/2006/relationships/table" Target="../tables/table152.xml"/><Relationship Id="rId70" Type="http://schemas.openxmlformats.org/officeDocument/2006/relationships/table" Target="../tables/table168.xml"/><Relationship Id="rId75" Type="http://schemas.openxmlformats.org/officeDocument/2006/relationships/table" Target="../tables/table173.xml"/><Relationship Id="rId91" Type="http://schemas.openxmlformats.org/officeDocument/2006/relationships/table" Target="../tables/table189.xml"/><Relationship Id="rId96" Type="http://schemas.openxmlformats.org/officeDocument/2006/relationships/table" Target="../tables/table194.xml"/><Relationship Id="rId140" Type="http://schemas.openxmlformats.org/officeDocument/2006/relationships/table" Target="../tables/table238.xml"/><Relationship Id="rId145" Type="http://schemas.openxmlformats.org/officeDocument/2006/relationships/table" Target="../tables/table243.xml"/><Relationship Id="rId1" Type="http://schemas.openxmlformats.org/officeDocument/2006/relationships/pivotTable" Target="../pivotTables/pivotTable4.xml"/><Relationship Id="rId6" Type="http://schemas.openxmlformats.org/officeDocument/2006/relationships/table" Target="../tables/table104.xml"/><Relationship Id="rId23" Type="http://schemas.openxmlformats.org/officeDocument/2006/relationships/table" Target="../tables/table121.xml"/><Relationship Id="rId28" Type="http://schemas.openxmlformats.org/officeDocument/2006/relationships/table" Target="../tables/table126.xml"/><Relationship Id="rId49" Type="http://schemas.openxmlformats.org/officeDocument/2006/relationships/table" Target="../tables/table147.xml"/><Relationship Id="rId114" Type="http://schemas.openxmlformats.org/officeDocument/2006/relationships/table" Target="../tables/table212.xml"/><Relationship Id="rId119" Type="http://schemas.openxmlformats.org/officeDocument/2006/relationships/table" Target="../tables/table217.xml"/><Relationship Id="rId44" Type="http://schemas.openxmlformats.org/officeDocument/2006/relationships/table" Target="../tables/table142.xml"/><Relationship Id="rId60" Type="http://schemas.openxmlformats.org/officeDocument/2006/relationships/table" Target="../tables/table158.xml"/><Relationship Id="rId65" Type="http://schemas.openxmlformats.org/officeDocument/2006/relationships/table" Target="../tables/table163.xml"/><Relationship Id="rId81" Type="http://schemas.openxmlformats.org/officeDocument/2006/relationships/table" Target="../tables/table179.xml"/><Relationship Id="rId86" Type="http://schemas.openxmlformats.org/officeDocument/2006/relationships/table" Target="../tables/table184.xml"/><Relationship Id="rId130" Type="http://schemas.openxmlformats.org/officeDocument/2006/relationships/table" Target="../tables/table228.xml"/><Relationship Id="rId135" Type="http://schemas.openxmlformats.org/officeDocument/2006/relationships/table" Target="../tables/table233.xml"/><Relationship Id="rId151" Type="http://schemas.openxmlformats.org/officeDocument/2006/relationships/table" Target="../tables/table249.xml"/><Relationship Id="rId13" Type="http://schemas.openxmlformats.org/officeDocument/2006/relationships/table" Target="../tables/table111.xml"/><Relationship Id="rId18" Type="http://schemas.openxmlformats.org/officeDocument/2006/relationships/table" Target="../tables/table116.xml"/><Relationship Id="rId39" Type="http://schemas.openxmlformats.org/officeDocument/2006/relationships/table" Target="../tables/table137.xml"/><Relationship Id="rId109" Type="http://schemas.openxmlformats.org/officeDocument/2006/relationships/table" Target="../tables/table207.xml"/><Relationship Id="rId34" Type="http://schemas.openxmlformats.org/officeDocument/2006/relationships/table" Target="../tables/table132.xml"/><Relationship Id="rId50" Type="http://schemas.openxmlformats.org/officeDocument/2006/relationships/table" Target="../tables/table148.xml"/><Relationship Id="rId55" Type="http://schemas.openxmlformats.org/officeDocument/2006/relationships/table" Target="../tables/table153.xml"/><Relationship Id="rId76" Type="http://schemas.openxmlformats.org/officeDocument/2006/relationships/table" Target="../tables/table174.xml"/><Relationship Id="rId97" Type="http://schemas.openxmlformats.org/officeDocument/2006/relationships/table" Target="../tables/table195.xml"/><Relationship Id="rId104" Type="http://schemas.openxmlformats.org/officeDocument/2006/relationships/table" Target="../tables/table202.xml"/><Relationship Id="rId120" Type="http://schemas.openxmlformats.org/officeDocument/2006/relationships/table" Target="../tables/table218.xml"/><Relationship Id="rId125" Type="http://schemas.openxmlformats.org/officeDocument/2006/relationships/table" Target="../tables/table223.xml"/><Relationship Id="rId141" Type="http://schemas.openxmlformats.org/officeDocument/2006/relationships/table" Target="../tables/table239.xml"/><Relationship Id="rId146" Type="http://schemas.openxmlformats.org/officeDocument/2006/relationships/table" Target="../tables/table244.xml"/><Relationship Id="rId7" Type="http://schemas.openxmlformats.org/officeDocument/2006/relationships/table" Target="../tables/table105.xml"/><Relationship Id="rId71" Type="http://schemas.openxmlformats.org/officeDocument/2006/relationships/table" Target="../tables/table169.xml"/><Relationship Id="rId92" Type="http://schemas.openxmlformats.org/officeDocument/2006/relationships/table" Target="../tables/table190.xml"/><Relationship Id="rId2" Type="http://schemas.openxmlformats.org/officeDocument/2006/relationships/hyperlink" Target="https://dgvs.mspbs.gov.py/files/guiaNacional/Guia_de_Vigilancia_2022_act_6_junio.pdf" TargetMode="External"/><Relationship Id="rId29" Type="http://schemas.openxmlformats.org/officeDocument/2006/relationships/table" Target="../tables/table127.xml"/><Relationship Id="rId24" Type="http://schemas.openxmlformats.org/officeDocument/2006/relationships/table" Target="../tables/table122.xml"/><Relationship Id="rId40" Type="http://schemas.openxmlformats.org/officeDocument/2006/relationships/table" Target="../tables/table138.xml"/><Relationship Id="rId45" Type="http://schemas.openxmlformats.org/officeDocument/2006/relationships/table" Target="../tables/table143.xml"/><Relationship Id="rId66" Type="http://schemas.openxmlformats.org/officeDocument/2006/relationships/table" Target="../tables/table164.xml"/><Relationship Id="rId87" Type="http://schemas.openxmlformats.org/officeDocument/2006/relationships/table" Target="../tables/table185.xml"/><Relationship Id="rId110" Type="http://schemas.openxmlformats.org/officeDocument/2006/relationships/table" Target="../tables/table208.xml"/><Relationship Id="rId115" Type="http://schemas.openxmlformats.org/officeDocument/2006/relationships/table" Target="../tables/table213.xml"/><Relationship Id="rId131" Type="http://schemas.openxmlformats.org/officeDocument/2006/relationships/table" Target="../tables/table229.xml"/><Relationship Id="rId136" Type="http://schemas.openxmlformats.org/officeDocument/2006/relationships/table" Target="../tables/table234.xml"/><Relationship Id="rId61" Type="http://schemas.openxmlformats.org/officeDocument/2006/relationships/table" Target="../tables/table159.xml"/><Relationship Id="rId82" Type="http://schemas.openxmlformats.org/officeDocument/2006/relationships/table" Target="../tables/table180.xml"/><Relationship Id="rId152" Type="http://schemas.openxmlformats.org/officeDocument/2006/relationships/table" Target="../tables/table250.xml"/><Relationship Id="rId19" Type="http://schemas.openxmlformats.org/officeDocument/2006/relationships/table" Target="../tables/table117.xml"/><Relationship Id="rId14" Type="http://schemas.openxmlformats.org/officeDocument/2006/relationships/table" Target="../tables/table112.xml"/><Relationship Id="rId30" Type="http://schemas.openxmlformats.org/officeDocument/2006/relationships/table" Target="../tables/table128.xml"/><Relationship Id="rId35" Type="http://schemas.openxmlformats.org/officeDocument/2006/relationships/table" Target="../tables/table133.xml"/><Relationship Id="rId56" Type="http://schemas.openxmlformats.org/officeDocument/2006/relationships/table" Target="../tables/table154.xml"/><Relationship Id="rId77" Type="http://schemas.openxmlformats.org/officeDocument/2006/relationships/table" Target="../tables/table175.xml"/><Relationship Id="rId100" Type="http://schemas.openxmlformats.org/officeDocument/2006/relationships/table" Target="../tables/table198.xml"/><Relationship Id="rId105" Type="http://schemas.openxmlformats.org/officeDocument/2006/relationships/table" Target="../tables/table203.xml"/><Relationship Id="rId126" Type="http://schemas.openxmlformats.org/officeDocument/2006/relationships/table" Target="../tables/table224.xml"/><Relationship Id="rId147" Type="http://schemas.openxmlformats.org/officeDocument/2006/relationships/table" Target="../tables/table245.xml"/><Relationship Id="rId8" Type="http://schemas.openxmlformats.org/officeDocument/2006/relationships/table" Target="../tables/table106.xml"/><Relationship Id="rId51" Type="http://schemas.openxmlformats.org/officeDocument/2006/relationships/table" Target="../tables/table149.xml"/><Relationship Id="rId72" Type="http://schemas.openxmlformats.org/officeDocument/2006/relationships/table" Target="../tables/table170.xml"/><Relationship Id="rId93" Type="http://schemas.openxmlformats.org/officeDocument/2006/relationships/table" Target="../tables/table191.xml"/><Relationship Id="rId98" Type="http://schemas.openxmlformats.org/officeDocument/2006/relationships/table" Target="../tables/table196.xml"/><Relationship Id="rId121" Type="http://schemas.openxmlformats.org/officeDocument/2006/relationships/table" Target="../tables/table219.xml"/><Relationship Id="rId142" Type="http://schemas.openxmlformats.org/officeDocument/2006/relationships/table" Target="../tables/table240.xml"/><Relationship Id="rId3" Type="http://schemas.openxmlformats.org/officeDocument/2006/relationships/printerSettings" Target="../printerSettings/printerSettings4.bin"/><Relationship Id="rId25" Type="http://schemas.openxmlformats.org/officeDocument/2006/relationships/table" Target="../tables/table123.xml"/><Relationship Id="rId46" Type="http://schemas.openxmlformats.org/officeDocument/2006/relationships/table" Target="../tables/table144.xml"/><Relationship Id="rId67" Type="http://schemas.openxmlformats.org/officeDocument/2006/relationships/table" Target="../tables/table165.xml"/><Relationship Id="rId116" Type="http://schemas.openxmlformats.org/officeDocument/2006/relationships/table" Target="../tables/table214.xml"/><Relationship Id="rId137" Type="http://schemas.openxmlformats.org/officeDocument/2006/relationships/table" Target="../tables/table235.xml"/><Relationship Id="rId20" Type="http://schemas.openxmlformats.org/officeDocument/2006/relationships/table" Target="../tables/table118.xml"/><Relationship Id="rId41" Type="http://schemas.openxmlformats.org/officeDocument/2006/relationships/table" Target="../tables/table139.xml"/><Relationship Id="rId62" Type="http://schemas.openxmlformats.org/officeDocument/2006/relationships/table" Target="../tables/table160.xml"/><Relationship Id="rId83" Type="http://schemas.openxmlformats.org/officeDocument/2006/relationships/table" Target="../tables/table181.xml"/><Relationship Id="rId88" Type="http://schemas.openxmlformats.org/officeDocument/2006/relationships/table" Target="../tables/table186.xml"/><Relationship Id="rId111" Type="http://schemas.openxmlformats.org/officeDocument/2006/relationships/table" Target="../tables/table209.xml"/><Relationship Id="rId132" Type="http://schemas.openxmlformats.org/officeDocument/2006/relationships/table" Target="../tables/table230.xml"/><Relationship Id="rId153" Type="http://schemas.openxmlformats.org/officeDocument/2006/relationships/comments" Target="../comments4.xml"/><Relationship Id="rId15" Type="http://schemas.openxmlformats.org/officeDocument/2006/relationships/table" Target="../tables/table113.xml"/><Relationship Id="rId36" Type="http://schemas.openxmlformats.org/officeDocument/2006/relationships/table" Target="../tables/table134.xml"/><Relationship Id="rId57" Type="http://schemas.openxmlformats.org/officeDocument/2006/relationships/table" Target="../tables/table155.xml"/><Relationship Id="rId106" Type="http://schemas.openxmlformats.org/officeDocument/2006/relationships/table" Target="../tables/table204.xml"/><Relationship Id="rId127" Type="http://schemas.openxmlformats.org/officeDocument/2006/relationships/table" Target="../tables/table225.xml"/><Relationship Id="rId10" Type="http://schemas.openxmlformats.org/officeDocument/2006/relationships/table" Target="../tables/table108.xml"/><Relationship Id="rId31" Type="http://schemas.openxmlformats.org/officeDocument/2006/relationships/table" Target="../tables/table129.xml"/><Relationship Id="rId52" Type="http://schemas.openxmlformats.org/officeDocument/2006/relationships/table" Target="../tables/table150.xml"/><Relationship Id="rId73" Type="http://schemas.openxmlformats.org/officeDocument/2006/relationships/table" Target="../tables/table171.xml"/><Relationship Id="rId78" Type="http://schemas.openxmlformats.org/officeDocument/2006/relationships/table" Target="../tables/table176.xml"/><Relationship Id="rId94" Type="http://schemas.openxmlformats.org/officeDocument/2006/relationships/table" Target="../tables/table192.xml"/><Relationship Id="rId99" Type="http://schemas.openxmlformats.org/officeDocument/2006/relationships/table" Target="../tables/table197.xml"/><Relationship Id="rId101" Type="http://schemas.openxmlformats.org/officeDocument/2006/relationships/table" Target="../tables/table199.xml"/><Relationship Id="rId122" Type="http://schemas.openxmlformats.org/officeDocument/2006/relationships/table" Target="../tables/table220.xml"/><Relationship Id="rId143" Type="http://schemas.openxmlformats.org/officeDocument/2006/relationships/table" Target="../tables/table241.xml"/><Relationship Id="rId148" Type="http://schemas.openxmlformats.org/officeDocument/2006/relationships/table" Target="../tables/table246.xml"/><Relationship Id="rId4" Type="http://schemas.openxmlformats.org/officeDocument/2006/relationships/vmlDrawing" Target="../drawings/vmlDrawing4.vml"/><Relationship Id="rId9" Type="http://schemas.openxmlformats.org/officeDocument/2006/relationships/table" Target="../tables/table107.xml"/><Relationship Id="rId26" Type="http://schemas.openxmlformats.org/officeDocument/2006/relationships/table" Target="../tables/table124.xml"/><Relationship Id="rId47" Type="http://schemas.openxmlformats.org/officeDocument/2006/relationships/table" Target="../tables/table145.xml"/><Relationship Id="rId68" Type="http://schemas.openxmlformats.org/officeDocument/2006/relationships/table" Target="../tables/table166.xml"/><Relationship Id="rId89" Type="http://schemas.openxmlformats.org/officeDocument/2006/relationships/table" Target="../tables/table187.xml"/><Relationship Id="rId112" Type="http://schemas.openxmlformats.org/officeDocument/2006/relationships/table" Target="../tables/table210.xml"/><Relationship Id="rId133" Type="http://schemas.openxmlformats.org/officeDocument/2006/relationships/table" Target="../tables/table231.xml"/><Relationship Id="rId16" Type="http://schemas.openxmlformats.org/officeDocument/2006/relationships/table" Target="../tables/table114.xml"/><Relationship Id="rId37" Type="http://schemas.openxmlformats.org/officeDocument/2006/relationships/table" Target="../tables/table135.xml"/><Relationship Id="rId58" Type="http://schemas.openxmlformats.org/officeDocument/2006/relationships/table" Target="../tables/table156.xml"/><Relationship Id="rId79" Type="http://schemas.openxmlformats.org/officeDocument/2006/relationships/table" Target="../tables/table177.xml"/><Relationship Id="rId102" Type="http://schemas.openxmlformats.org/officeDocument/2006/relationships/table" Target="../tables/table200.xml"/><Relationship Id="rId123" Type="http://schemas.openxmlformats.org/officeDocument/2006/relationships/table" Target="../tables/table221.xml"/><Relationship Id="rId144" Type="http://schemas.openxmlformats.org/officeDocument/2006/relationships/table" Target="../tables/table242.xml"/><Relationship Id="rId90" Type="http://schemas.openxmlformats.org/officeDocument/2006/relationships/table" Target="../tables/table18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X1055"/>
  <sheetViews>
    <sheetView zoomScaleNormal="100" workbookViewId="0">
      <pane ySplit="2" topLeftCell="A3" activePane="bottomLeft" state="frozen"/>
      <selection pane="bottomLeft" activeCell="A3" sqref="A3"/>
    </sheetView>
  </sheetViews>
  <sheetFormatPr baseColWidth="10" defaultColWidth="9.140625" defaultRowHeight="15"/>
  <cols>
    <col min="1" max="1" width="11.7109375" style="73" bestFit="1" customWidth="1"/>
    <col min="2" max="2" width="18.85546875" style="2" customWidth="1"/>
    <col min="3" max="3" width="16.42578125" style="2" customWidth="1"/>
    <col min="4" max="4" width="31.28515625" style="2" bestFit="1" customWidth="1"/>
    <col min="5" max="5" width="17.85546875" style="2" customWidth="1"/>
    <col min="6" max="6" width="35.140625" style="2" bestFit="1" customWidth="1"/>
    <col min="7" max="7" width="19.5703125" style="2" bestFit="1" customWidth="1"/>
    <col min="8" max="8" width="18.28515625" style="2" customWidth="1"/>
    <col min="9" max="9" width="35.140625" style="2" bestFit="1" customWidth="1"/>
    <col min="10" max="10" width="9.7109375" style="2" bestFit="1" customWidth="1"/>
    <col min="11" max="11" width="7.85546875" style="2" bestFit="1" customWidth="1"/>
    <col min="12" max="12" width="16.42578125" style="2" customWidth="1"/>
    <col min="13" max="13" width="11.7109375" style="2" bestFit="1" customWidth="1"/>
    <col min="14" max="14" width="28.28515625" style="2" customWidth="1"/>
    <col min="15" max="15" width="22" style="2" customWidth="1"/>
    <col min="16" max="16" width="20.7109375" style="2" customWidth="1"/>
    <col min="17" max="17" width="19.5703125" style="2" bestFit="1" customWidth="1"/>
    <col min="18" max="18" width="17.85546875" style="2" customWidth="1"/>
    <col min="19" max="19" width="12.5703125" style="2" customWidth="1"/>
    <col min="20" max="20" width="12.5703125" style="2" bestFit="1" customWidth="1"/>
    <col min="21" max="21" width="16.5703125" style="2" customWidth="1"/>
    <col min="22" max="22" width="35.140625" style="2" bestFit="1" customWidth="1"/>
    <col min="23" max="23" width="11.7109375" style="2" customWidth="1"/>
    <col min="24" max="24" width="27.28515625" style="2" bestFit="1" customWidth="1"/>
    <col min="25" max="25" width="17.5703125" style="2" customWidth="1"/>
    <col min="26" max="26" width="12.7109375" style="2" customWidth="1"/>
    <col min="27" max="27" width="27.28515625" style="2" bestFit="1" customWidth="1"/>
    <col min="28" max="28" width="18.5703125" style="2" customWidth="1"/>
    <col min="29" max="29" width="12.7109375" style="2" customWidth="1"/>
    <col min="30" max="30" width="27.28515625" style="2" bestFit="1" customWidth="1"/>
    <col min="31" max="31" width="18.5703125" style="2" customWidth="1"/>
    <col min="32" max="32" width="12.7109375" style="2" customWidth="1"/>
    <col min="33" max="33" width="27.28515625" style="2" bestFit="1" customWidth="1"/>
    <col min="34" max="34" width="18.5703125" style="2" customWidth="1"/>
    <col min="35" max="35" width="12.7109375" style="2" customWidth="1"/>
    <col min="36" max="36" width="27.28515625" style="2" bestFit="1" customWidth="1"/>
    <col min="37" max="37" width="18.5703125" style="2" customWidth="1"/>
    <col min="38" max="38" width="13.7109375" style="2" customWidth="1"/>
    <col min="39" max="39" width="27.28515625" style="2" bestFit="1" customWidth="1"/>
    <col min="40" max="40" width="19.5703125" style="2" customWidth="1"/>
    <col min="41" max="41" width="13.7109375" style="2" customWidth="1"/>
    <col min="42" max="42" width="23" style="2" customWidth="1"/>
    <col min="43" max="43" width="11.85546875" style="2" customWidth="1"/>
    <col min="44" max="44" width="12.140625" style="2" customWidth="1"/>
    <col min="45" max="45" width="54.7109375" style="2" bestFit="1" customWidth="1"/>
    <col min="46" max="48" width="31.28515625" style="2" bestFit="1" customWidth="1"/>
    <col min="49" max="49" width="11.7109375" style="2" bestFit="1" customWidth="1"/>
    <col min="50" max="50" width="10.85546875" style="2" customWidth="1"/>
    <col min="51" max="51" width="11.7109375" style="2" bestFit="1" customWidth="1"/>
    <col min="52" max="52" width="30.5703125" style="2" customWidth="1"/>
    <col min="53" max="53" width="15.5703125" style="2" bestFit="1" customWidth="1"/>
    <col min="54" max="54" width="15" style="2" customWidth="1"/>
    <col min="55" max="55" width="12.140625" style="2" customWidth="1"/>
    <col min="56" max="56" width="23.42578125" style="2" bestFit="1" customWidth="1"/>
    <col min="57" max="57" width="9" style="2" bestFit="1" customWidth="1"/>
    <col min="58" max="59" width="23.42578125" style="2" bestFit="1" customWidth="1"/>
    <col min="60" max="60" width="11" style="2" customWidth="1"/>
    <col min="61" max="62" width="23.42578125" style="2" bestFit="1" customWidth="1"/>
    <col min="63" max="63" width="11" style="2" customWidth="1"/>
    <col min="64" max="65" width="23.42578125" style="2" bestFit="1" customWidth="1"/>
    <col min="66" max="66" width="11" style="2" customWidth="1"/>
    <col min="67" max="68" width="23.42578125" style="2" bestFit="1" customWidth="1"/>
    <col min="69" max="69" width="11" style="2" customWidth="1"/>
    <col min="70" max="71" width="23.42578125" style="2" bestFit="1" customWidth="1"/>
    <col min="72" max="72" width="11" style="2" customWidth="1"/>
    <col min="73" max="73" width="23.7109375" style="2" customWidth="1"/>
    <col min="74" max="74" width="46.85546875" style="2" bestFit="1" customWidth="1"/>
    <col min="75" max="75" width="23.42578125" style="2" bestFit="1" customWidth="1"/>
    <col min="76" max="76" width="46.85546875" style="2" bestFit="1" customWidth="1"/>
    <col min="77" max="78" width="9.140625" style="2" customWidth="1"/>
    <col min="79" max="16384" width="9.140625" style="2"/>
  </cols>
  <sheetData>
    <row r="1" spans="1:76" ht="19.5" customHeight="1">
      <c r="A1" s="75" t="s">
        <v>0</v>
      </c>
      <c r="B1" s="77"/>
      <c r="C1" s="77"/>
      <c r="D1" s="77"/>
      <c r="E1" s="77"/>
      <c r="F1" s="77"/>
      <c r="G1" s="76"/>
      <c r="H1" s="75" t="s">
        <v>1</v>
      </c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6"/>
      <c r="U1" s="75" t="s">
        <v>2</v>
      </c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6"/>
      <c r="AO1" s="75" t="s">
        <v>3</v>
      </c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6"/>
      <c r="BC1" s="75" t="s">
        <v>4</v>
      </c>
      <c r="BD1" s="77"/>
      <c r="BE1" s="77"/>
      <c r="BF1" s="77"/>
      <c r="BG1" s="77"/>
      <c r="BH1" s="77"/>
      <c r="BI1" s="77"/>
      <c r="BJ1" s="77"/>
      <c r="BK1" s="77"/>
      <c r="BL1" s="77"/>
      <c r="BM1" s="77"/>
      <c r="BN1" s="77"/>
      <c r="BO1" s="77"/>
      <c r="BP1" s="77"/>
      <c r="BQ1" s="77"/>
      <c r="BR1" s="77"/>
      <c r="BS1" s="77"/>
      <c r="BT1" s="76"/>
      <c r="BU1" s="75" t="s">
        <v>5</v>
      </c>
      <c r="BV1" s="76"/>
      <c r="BW1" s="75" t="s">
        <v>6</v>
      </c>
      <c r="BX1" s="76"/>
    </row>
    <row r="2" spans="1:76" ht="18.75" customHeight="1">
      <c r="A2" s="71" t="s">
        <v>7</v>
      </c>
      <c r="B2" s="11" t="s">
        <v>8</v>
      </c>
      <c r="C2" s="11" t="s">
        <v>9</v>
      </c>
      <c r="D2" s="11" t="s">
        <v>10</v>
      </c>
      <c r="E2" s="11" t="s">
        <v>11</v>
      </c>
      <c r="F2" s="11" t="s">
        <v>12</v>
      </c>
      <c r="G2" s="11" t="s">
        <v>13</v>
      </c>
      <c r="H2" s="11" t="s">
        <v>14</v>
      </c>
      <c r="I2" s="11" t="s">
        <v>15</v>
      </c>
      <c r="J2" s="11" t="s">
        <v>16</v>
      </c>
      <c r="K2" s="11" t="s">
        <v>17</v>
      </c>
      <c r="L2" s="11" t="s">
        <v>18</v>
      </c>
      <c r="M2" s="11" t="s">
        <v>19</v>
      </c>
      <c r="N2" s="11" t="s">
        <v>20</v>
      </c>
      <c r="O2" s="11" t="s">
        <v>21</v>
      </c>
      <c r="P2" s="11" t="s">
        <v>22</v>
      </c>
      <c r="Q2" s="11" t="s">
        <v>23</v>
      </c>
      <c r="R2" s="11" t="s">
        <v>24</v>
      </c>
      <c r="S2" s="11" t="s">
        <v>25</v>
      </c>
      <c r="T2" s="11" t="s">
        <v>26</v>
      </c>
      <c r="U2" s="11" t="s">
        <v>27</v>
      </c>
      <c r="V2" s="11" t="s">
        <v>28</v>
      </c>
      <c r="W2" s="11" t="s">
        <v>29</v>
      </c>
      <c r="X2" s="11" t="s">
        <v>30</v>
      </c>
      <c r="Y2" s="11" t="s">
        <v>31</v>
      </c>
      <c r="Z2" s="11" t="s">
        <v>32</v>
      </c>
      <c r="AA2" s="11" t="s">
        <v>33</v>
      </c>
      <c r="AB2" s="11" t="s">
        <v>34</v>
      </c>
      <c r="AC2" s="11" t="s">
        <v>35</v>
      </c>
      <c r="AD2" s="11" t="s">
        <v>36</v>
      </c>
      <c r="AE2" s="11" t="s">
        <v>37</v>
      </c>
      <c r="AF2" s="11" t="s">
        <v>38</v>
      </c>
      <c r="AG2" s="11" t="s">
        <v>39</v>
      </c>
      <c r="AH2" s="11" t="s">
        <v>40</v>
      </c>
      <c r="AI2" s="11" t="s">
        <v>41</v>
      </c>
      <c r="AJ2" s="11" t="s">
        <v>42</v>
      </c>
      <c r="AK2" s="11" t="s">
        <v>43</v>
      </c>
      <c r="AL2" s="11" t="s">
        <v>44</v>
      </c>
      <c r="AM2" s="11" t="s">
        <v>45</v>
      </c>
      <c r="AN2" s="11" t="s">
        <v>46</v>
      </c>
      <c r="AO2" s="11" t="s">
        <v>47</v>
      </c>
      <c r="AP2" s="11" t="s">
        <v>48</v>
      </c>
      <c r="AQ2" s="11" t="s">
        <v>49</v>
      </c>
      <c r="AR2" s="11" t="s">
        <v>50</v>
      </c>
      <c r="AS2" s="11" t="s">
        <v>51</v>
      </c>
      <c r="AT2" s="11" t="s">
        <v>52</v>
      </c>
      <c r="AU2" s="11" t="s">
        <v>53</v>
      </c>
      <c r="AV2" s="11" t="s">
        <v>54</v>
      </c>
      <c r="AW2" s="11" t="s">
        <v>55</v>
      </c>
      <c r="AX2" s="11" t="s">
        <v>56</v>
      </c>
      <c r="AY2" s="11" t="s">
        <v>57</v>
      </c>
      <c r="AZ2" s="11" t="s">
        <v>58</v>
      </c>
      <c r="BA2" s="11" t="s">
        <v>59</v>
      </c>
      <c r="BB2" s="11" t="s">
        <v>60</v>
      </c>
      <c r="BC2" s="11" t="s">
        <v>61</v>
      </c>
      <c r="BD2" s="11" t="s">
        <v>62</v>
      </c>
      <c r="BE2" s="11" t="s">
        <v>63</v>
      </c>
      <c r="BF2" s="11" t="s">
        <v>64</v>
      </c>
      <c r="BG2" s="11" t="s">
        <v>65</v>
      </c>
      <c r="BH2" s="11" t="s">
        <v>66</v>
      </c>
      <c r="BI2" s="11" t="s">
        <v>67</v>
      </c>
      <c r="BJ2" s="11" t="s">
        <v>68</v>
      </c>
      <c r="BK2" s="11" t="s">
        <v>69</v>
      </c>
      <c r="BL2" s="11" t="s">
        <v>70</v>
      </c>
      <c r="BM2" s="11" t="s">
        <v>71</v>
      </c>
      <c r="BN2" s="11" t="s">
        <v>72</v>
      </c>
      <c r="BO2" s="11" t="s">
        <v>73</v>
      </c>
      <c r="BP2" s="11" t="s">
        <v>74</v>
      </c>
      <c r="BQ2" s="11" t="s">
        <v>75</v>
      </c>
      <c r="BR2" s="11" t="s">
        <v>76</v>
      </c>
      <c r="BS2" s="11" t="s">
        <v>77</v>
      </c>
      <c r="BT2" s="11" t="s">
        <v>78</v>
      </c>
      <c r="BU2" s="11" t="s">
        <v>79</v>
      </c>
      <c r="BV2" s="11" t="s">
        <v>80</v>
      </c>
      <c r="BW2" s="11" t="s">
        <v>81</v>
      </c>
      <c r="BX2" s="11" t="s">
        <v>82</v>
      </c>
    </row>
    <row r="3" spans="1:76" ht="19.5" customHeight="1">
      <c r="A3" s="72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</row>
    <row r="4" spans="1:76">
      <c r="A4" s="72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</row>
    <row r="5" spans="1:76">
      <c r="A5" s="72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</row>
    <row r="6" spans="1:76">
      <c r="A6" s="72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</row>
    <row r="7" spans="1:76">
      <c r="A7" s="72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</row>
    <row r="8" spans="1:76">
      <c r="A8" s="72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</row>
    <row r="9" spans="1:76">
      <c r="A9" s="72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</row>
    <row r="10" spans="1:76">
      <c r="A10" s="72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</row>
    <row r="11" spans="1:76">
      <c r="A11" s="72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</row>
    <row r="12" spans="1:76">
      <c r="A12" s="7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</row>
    <row r="13" spans="1:76">
      <c r="A13" s="72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</row>
    <row r="14" spans="1:76">
      <c r="A14" s="72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</row>
    <row r="15" spans="1:76">
      <c r="A15" s="72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</row>
    <row r="16" spans="1:76">
      <c r="A16" s="72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</row>
    <row r="17" spans="1:76">
      <c r="A17" s="72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</row>
    <row r="18" spans="1:76">
      <c r="A18" s="72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</row>
    <row r="19" spans="1:76">
      <c r="A19" s="72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</row>
    <row r="20" spans="1:76">
      <c r="A20" s="72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</row>
    <row r="21" spans="1:76">
      <c r="A21" s="72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</row>
    <row r="22" spans="1:76">
      <c r="A22" s="7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</row>
    <row r="23" spans="1:76">
      <c r="A23" s="72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</row>
    <row r="24" spans="1:76">
      <c r="A24" s="72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</row>
    <row r="25" spans="1:76">
      <c r="A25" s="72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</row>
    <row r="26" spans="1:76">
      <c r="A26" s="72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</row>
    <row r="27" spans="1:76">
      <c r="A27" s="72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</row>
    <row r="28" spans="1:76">
      <c r="A28" s="72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</row>
    <row r="29" spans="1:76">
      <c r="A29" s="72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</row>
    <row r="30" spans="1:76">
      <c r="A30" s="72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</row>
    <row r="31" spans="1:76">
      <c r="A31" s="72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</row>
    <row r="32" spans="1:76">
      <c r="A32" s="7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</row>
    <row r="33" spans="1:76">
      <c r="A33" s="72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</row>
    <row r="34" spans="1:76">
      <c r="A34" s="72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</row>
    <row r="35" spans="1:76">
      <c r="A35" s="72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</row>
    <row r="36" spans="1:76">
      <c r="A36" s="72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</row>
    <row r="37" spans="1:76">
      <c r="A37" s="72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</row>
    <row r="38" spans="1:76">
      <c r="A38" s="72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</row>
    <row r="39" spans="1:76">
      <c r="A39" s="72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</row>
    <row r="40" spans="1:76">
      <c r="A40" s="72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</row>
    <row r="41" spans="1:76">
      <c r="A41" s="72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</row>
    <row r="42" spans="1:76">
      <c r="A42" s="7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</row>
    <row r="43" spans="1:76">
      <c r="A43" s="72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</row>
    <row r="44" spans="1:76">
      <c r="A44" s="72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</row>
    <row r="45" spans="1:76">
      <c r="A45" s="72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</row>
    <row r="46" spans="1:76">
      <c r="A46" s="72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</row>
    <row r="47" spans="1:76">
      <c r="A47" s="72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</row>
    <row r="48" spans="1:76">
      <c r="A48" s="72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</row>
    <row r="49" spans="1:76">
      <c r="A49" s="72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</row>
    <row r="50" spans="1:76">
      <c r="A50" s="72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</row>
    <row r="51" spans="1:76">
      <c r="A51" s="72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</row>
    <row r="52" spans="1:76">
      <c r="A52" s="7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</row>
    <row r="53" spans="1:76">
      <c r="A53" s="72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</row>
    <row r="54" spans="1:76">
      <c r="A54" s="72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</row>
    <row r="55" spans="1:76">
      <c r="A55" s="72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</row>
    <row r="56" spans="1:76">
      <c r="A56" s="72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</row>
    <row r="57" spans="1:76">
      <c r="A57" s="72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</row>
    <row r="58" spans="1:76">
      <c r="A58" s="72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</row>
    <row r="59" spans="1:76">
      <c r="A59" s="72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</row>
    <row r="60" spans="1:76">
      <c r="A60" s="72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</row>
    <row r="61" spans="1:76">
      <c r="A61" s="72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</row>
    <row r="62" spans="1:76">
      <c r="A62" s="7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</row>
    <row r="63" spans="1:76">
      <c r="A63" s="72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</row>
    <row r="64" spans="1:76">
      <c r="A64" s="72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</row>
    <row r="65" spans="1:76">
      <c r="A65" s="72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</row>
    <row r="66" spans="1:76">
      <c r="A66" s="72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</row>
    <row r="67" spans="1:76">
      <c r="A67" s="72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</row>
    <row r="68" spans="1:76">
      <c r="A68" s="72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</row>
    <row r="69" spans="1:76">
      <c r="A69" s="72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</row>
    <row r="70" spans="1:76">
      <c r="A70" s="72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</row>
    <row r="71" spans="1:76">
      <c r="A71" s="72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</row>
    <row r="72" spans="1:76">
      <c r="A72" s="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</row>
    <row r="73" spans="1:76">
      <c r="A73" s="72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</row>
    <row r="74" spans="1:76">
      <c r="A74" s="72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</row>
    <row r="75" spans="1:76">
      <c r="A75" s="72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</row>
    <row r="76" spans="1:76">
      <c r="A76" s="72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</row>
    <row r="77" spans="1:76">
      <c r="A77" s="72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</row>
    <row r="78" spans="1:76">
      <c r="A78" s="72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</row>
    <row r="79" spans="1:76">
      <c r="A79" s="72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</row>
    <row r="80" spans="1:76">
      <c r="A80" s="72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</row>
    <row r="81" spans="1:76">
      <c r="A81" s="72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</row>
    <row r="82" spans="1:76">
      <c r="A82" s="7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</row>
    <row r="83" spans="1:76">
      <c r="A83" s="72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</row>
    <row r="84" spans="1:76">
      <c r="A84" s="72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</row>
    <row r="85" spans="1:76">
      <c r="A85" s="72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</row>
    <row r="86" spans="1:76">
      <c r="A86" s="72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</row>
    <row r="87" spans="1:76">
      <c r="A87" s="72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</row>
    <row r="88" spans="1:76">
      <c r="A88" s="72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</row>
    <row r="89" spans="1:76">
      <c r="A89" s="72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</row>
    <row r="90" spans="1:76">
      <c r="A90" s="72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</row>
    <row r="91" spans="1:76">
      <c r="A91" s="72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</row>
    <row r="92" spans="1:76">
      <c r="A92" s="7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</row>
    <row r="93" spans="1:76">
      <c r="A93" s="72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</row>
    <row r="94" spans="1:76">
      <c r="A94" s="72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</row>
    <row r="95" spans="1:76">
      <c r="A95" s="72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</row>
    <row r="96" spans="1:76">
      <c r="A96" s="72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</row>
    <row r="97" spans="1:76">
      <c r="A97" s="72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</row>
    <row r="98" spans="1:76">
      <c r="A98" s="72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</row>
    <row r="99" spans="1:76">
      <c r="A99" s="72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</row>
    <row r="100" spans="1:76">
      <c r="A100" s="72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</row>
    <row r="101" spans="1:76">
      <c r="A101" s="72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</row>
    <row r="102" spans="1:76">
      <c r="A102" s="7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</row>
    <row r="103" spans="1:76">
      <c r="A103" s="72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</row>
    <row r="104" spans="1:76">
      <c r="A104" s="72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</row>
    <row r="105" spans="1:76">
      <c r="A105" s="72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</row>
    <row r="106" spans="1:76">
      <c r="A106" s="72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</row>
    <row r="107" spans="1:76">
      <c r="A107" s="72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</row>
    <row r="108" spans="1:76">
      <c r="A108" s="72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</row>
    <row r="109" spans="1:76">
      <c r="A109" s="72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</row>
    <row r="110" spans="1:76">
      <c r="A110" s="72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</row>
    <row r="111" spans="1:76">
      <c r="A111" s="72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</row>
    <row r="112" spans="1:76">
      <c r="A112" s="7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</row>
    <row r="113" spans="1:76">
      <c r="A113" s="72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</row>
    <row r="114" spans="1:76">
      <c r="A114" s="72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</row>
    <row r="115" spans="1:76">
      <c r="A115" s="72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</row>
    <row r="116" spans="1:76">
      <c r="A116" s="72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</row>
    <row r="117" spans="1:76">
      <c r="A117" s="72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</row>
    <row r="118" spans="1:76">
      <c r="A118" s="72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</row>
    <row r="119" spans="1:76">
      <c r="A119" s="72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</row>
    <row r="120" spans="1:76">
      <c r="A120" s="72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</row>
    <row r="121" spans="1:76">
      <c r="A121" s="72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</row>
    <row r="122" spans="1:76">
      <c r="A122" s="7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</row>
    <row r="123" spans="1:76">
      <c r="A123" s="72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</row>
    <row r="124" spans="1:76">
      <c r="A124" s="72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</row>
    <row r="125" spans="1:76">
      <c r="A125" s="72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</row>
    <row r="126" spans="1:76">
      <c r="A126" s="72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</row>
    <row r="127" spans="1:76">
      <c r="A127" s="72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</row>
    <row r="128" spans="1:76">
      <c r="A128" s="72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</row>
    <row r="129" spans="1:76">
      <c r="A129" s="72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</row>
    <row r="130" spans="1:76">
      <c r="A130" s="72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</row>
    <row r="131" spans="1:76">
      <c r="A131" s="72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</row>
    <row r="132" spans="1:76">
      <c r="A132" s="7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</row>
    <row r="133" spans="1:76">
      <c r="A133" s="72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</row>
    <row r="134" spans="1:76">
      <c r="A134" s="72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</row>
    <row r="135" spans="1:76">
      <c r="A135" s="72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</row>
    <row r="136" spans="1:76">
      <c r="A136" s="72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</row>
    <row r="137" spans="1:76">
      <c r="A137" s="72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</row>
    <row r="138" spans="1:76">
      <c r="A138" s="72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</row>
    <row r="139" spans="1:76">
      <c r="A139" s="72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</row>
    <row r="140" spans="1:76">
      <c r="A140" s="72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</row>
    <row r="141" spans="1:76">
      <c r="A141" s="72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</row>
    <row r="142" spans="1:76">
      <c r="A142" s="7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</row>
    <row r="143" spans="1:76">
      <c r="A143" s="72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</row>
    <row r="144" spans="1:76">
      <c r="A144" s="72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</row>
    <row r="145" spans="1:76">
      <c r="A145" s="72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</row>
    <row r="146" spans="1:76">
      <c r="A146" s="72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</row>
    <row r="147" spans="1:76">
      <c r="A147" s="72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</row>
    <row r="148" spans="1:76">
      <c r="A148" s="72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</row>
    <row r="149" spans="1:76">
      <c r="A149" s="72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</row>
    <row r="150" spans="1:76">
      <c r="A150" s="72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</row>
    <row r="151" spans="1:76">
      <c r="A151" s="72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</row>
    <row r="152" spans="1:76">
      <c r="A152" s="7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</row>
    <row r="153" spans="1:76">
      <c r="A153" s="72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</row>
    <row r="154" spans="1:76">
      <c r="A154" s="72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</row>
    <row r="155" spans="1:76">
      <c r="A155" s="72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</row>
    <row r="156" spans="1:76">
      <c r="A156" s="72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</row>
    <row r="157" spans="1:76">
      <c r="A157" s="72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</row>
    <row r="158" spans="1:76">
      <c r="A158" s="72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</row>
    <row r="159" spans="1:76">
      <c r="A159" s="72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</row>
    <row r="160" spans="1:76">
      <c r="A160" s="72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</row>
    <row r="161" spans="1:76">
      <c r="A161" s="72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</row>
    <row r="162" spans="1:76">
      <c r="A162" s="7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</row>
    <row r="163" spans="1:76">
      <c r="A163" s="72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</row>
    <row r="164" spans="1:76">
      <c r="A164" s="72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</row>
    <row r="165" spans="1:76">
      <c r="A165" s="72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</row>
    <row r="166" spans="1:76">
      <c r="A166" s="72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</row>
    <row r="167" spans="1:76">
      <c r="A167" s="72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</row>
    <row r="168" spans="1:76">
      <c r="A168" s="72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</row>
    <row r="169" spans="1:76">
      <c r="A169" s="72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</row>
    <row r="170" spans="1:76">
      <c r="A170" s="72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</row>
    <row r="171" spans="1:76">
      <c r="A171" s="72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</row>
    <row r="172" spans="1:76">
      <c r="A172" s="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</row>
    <row r="173" spans="1:76">
      <c r="A173" s="72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</row>
    <row r="174" spans="1:76">
      <c r="A174" s="72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</row>
    <row r="175" spans="1:76">
      <c r="A175" s="72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</row>
    <row r="176" spans="1:76">
      <c r="A176" s="72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</row>
    <row r="177" spans="1:76">
      <c r="A177" s="72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</row>
    <row r="178" spans="1:76">
      <c r="A178" s="72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</row>
    <row r="179" spans="1:76">
      <c r="A179" s="72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</row>
    <row r="180" spans="1:76">
      <c r="A180" s="72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</row>
    <row r="181" spans="1:76">
      <c r="A181" s="72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</row>
    <row r="182" spans="1:76">
      <c r="A182" s="7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</row>
    <row r="183" spans="1:76">
      <c r="A183" s="72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</row>
    <row r="184" spans="1:76">
      <c r="A184" s="72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</row>
    <row r="185" spans="1:76">
      <c r="A185" s="72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</row>
    <row r="186" spans="1:76">
      <c r="A186" s="72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</row>
    <row r="187" spans="1:76">
      <c r="A187" s="72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</row>
    <row r="188" spans="1:76">
      <c r="A188" s="72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</row>
    <row r="189" spans="1:76">
      <c r="A189" s="72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</row>
    <row r="190" spans="1:76">
      <c r="A190" s="72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</row>
    <row r="191" spans="1:76">
      <c r="A191" s="72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</row>
    <row r="192" spans="1:76">
      <c r="A192" s="7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</row>
    <row r="193" spans="1:76">
      <c r="A193" s="72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</row>
    <row r="194" spans="1:76">
      <c r="A194" s="72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</row>
    <row r="195" spans="1:76">
      <c r="A195" s="72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</row>
    <row r="196" spans="1:76">
      <c r="A196" s="72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</row>
    <row r="197" spans="1:76">
      <c r="A197" s="72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</row>
    <row r="198" spans="1:76">
      <c r="A198" s="72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</row>
    <row r="199" spans="1:76">
      <c r="A199" s="72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</row>
    <row r="200" spans="1:76">
      <c r="A200" s="72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</row>
    <row r="201" spans="1:76">
      <c r="A201" s="72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</row>
    <row r="202" spans="1:76">
      <c r="A202" s="7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</row>
    <row r="203" spans="1:76">
      <c r="A203" s="72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</row>
    <row r="204" spans="1:76">
      <c r="A204" s="72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</row>
    <row r="205" spans="1:76">
      <c r="A205" s="72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</row>
    <row r="206" spans="1:76">
      <c r="A206" s="72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</row>
    <row r="207" spans="1:76">
      <c r="A207" s="72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</row>
    <row r="208" spans="1:76">
      <c r="A208" s="72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</row>
    <row r="209" spans="1:76">
      <c r="A209" s="72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</row>
    <row r="210" spans="1:76">
      <c r="A210" s="72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</row>
    <row r="211" spans="1:76">
      <c r="A211" s="72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</row>
    <row r="212" spans="1:76">
      <c r="A212" s="7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</row>
    <row r="213" spans="1:76">
      <c r="A213" s="72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</row>
    <row r="214" spans="1:76">
      <c r="A214" s="72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</row>
    <row r="215" spans="1:76">
      <c r="A215" s="72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</row>
    <row r="216" spans="1:76">
      <c r="A216" s="72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</row>
    <row r="217" spans="1:76">
      <c r="A217" s="72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</row>
    <row r="218" spans="1:76">
      <c r="A218" s="72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</row>
    <row r="219" spans="1:76">
      <c r="A219" s="72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</row>
    <row r="220" spans="1:76">
      <c r="A220" s="72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</row>
    <row r="221" spans="1:76">
      <c r="A221" s="72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</row>
    <row r="222" spans="1:76">
      <c r="A222" s="7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</row>
    <row r="223" spans="1:76">
      <c r="A223" s="72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</row>
    <row r="224" spans="1:76">
      <c r="A224" s="72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</row>
    <row r="225" spans="1:76">
      <c r="A225" s="72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</row>
    <row r="226" spans="1:76">
      <c r="A226" s="72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</row>
    <row r="227" spans="1:76">
      <c r="A227" s="72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</row>
    <row r="228" spans="1:76">
      <c r="A228" s="72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</row>
    <row r="229" spans="1:76">
      <c r="A229" s="72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</row>
    <row r="230" spans="1:76">
      <c r="A230" s="72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</row>
    <row r="231" spans="1:76">
      <c r="A231" s="72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</row>
    <row r="232" spans="1:76">
      <c r="A232" s="7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</row>
    <row r="233" spans="1:76">
      <c r="A233" s="72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</row>
    <row r="234" spans="1:76">
      <c r="A234" s="72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</row>
    <row r="235" spans="1:76">
      <c r="A235" s="72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</row>
    <row r="236" spans="1:76">
      <c r="A236" s="72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</row>
    <row r="237" spans="1:76">
      <c r="A237" s="72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</row>
    <row r="238" spans="1:76">
      <c r="A238" s="72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</row>
    <row r="239" spans="1:76">
      <c r="A239" s="72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</row>
    <row r="240" spans="1:76">
      <c r="A240" s="72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</row>
    <row r="241" spans="1:76">
      <c r="A241" s="72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</row>
    <row r="242" spans="1:76">
      <c r="A242" s="7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</row>
    <row r="243" spans="1:76">
      <c r="A243" s="72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</row>
    <row r="244" spans="1:76">
      <c r="A244" s="72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</row>
    <row r="245" spans="1:76">
      <c r="A245" s="72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</row>
    <row r="246" spans="1:76">
      <c r="A246" s="72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</row>
    <row r="247" spans="1:76">
      <c r="A247" s="72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</row>
    <row r="248" spans="1:76">
      <c r="A248" s="72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</row>
    <row r="249" spans="1:76">
      <c r="A249" s="72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</row>
    <row r="250" spans="1:76">
      <c r="A250" s="72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</row>
    <row r="251" spans="1:76">
      <c r="A251" s="72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</row>
    <row r="252" spans="1:76">
      <c r="A252" s="7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</row>
    <row r="253" spans="1:76">
      <c r="A253" s="72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</row>
    <row r="254" spans="1:76">
      <c r="A254" s="72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</row>
    <row r="255" spans="1:76">
      <c r="A255" s="72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</row>
    <row r="256" spans="1:76">
      <c r="A256" s="72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</row>
    <row r="257" spans="1:76">
      <c r="A257" s="72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</row>
    <row r="258" spans="1:76">
      <c r="A258" s="72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</row>
    <row r="259" spans="1:76">
      <c r="A259" s="72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</row>
    <row r="260" spans="1:76">
      <c r="A260" s="72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</row>
    <row r="261" spans="1:76">
      <c r="A261" s="72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</row>
    <row r="262" spans="1:76">
      <c r="A262" s="7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</row>
    <row r="263" spans="1:76">
      <c r="A263" s="72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</row>
    <row r="264" spans="1:76">
      <c r="A264" s="72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</row>
    <row r="265" spans="1:76">
      <c r="A265" s="72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</row>
    <row r="266" spans="1:76">
      <c r="A266" s="72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</row>
    <row r="267" spans="1:76">
      <c r="A267" s="72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</row>
    <row r="268" spans="1:76">
      <c r="A268" s="72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</row>
    <row r="269" spans="1:76">
      <c r="A269" s="72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</row>
    <row r="270" spans="1:76">
      <c r="A270" s="72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</row>
    <row r="271" spans="1:76">
      <c r="A271" s="72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</row>
    <row r="272" spans="1:76">
      <c r="A272" s="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</row>
    <row r="273" spans="1:76">
      <c r="A273" s="72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</row>
    <row r="274" spans="1:76">
      <c r="A274" s="72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</row>
    <row r="275" spans="1:76">
      <c r="A275" s="72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</row>
    <row r="276" spans="1:76">
      <c r="A276" s="72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</row>
    <row r="277" spans="1:76">
      <c r="A277" s="72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</row>
    <row r="278" spans="1:76">
      <c r="A278" s="72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</row>
    <row r="279" spans="1:76">
      <c r="A279" s="72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</row>
    <row r="280" spans="1:76">
      <c r="A280" s="72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</row>
    <row r="281" spans="1:76">
      <c r="A281" s="72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</row>
    <row r="282" spans="1:76">
      <c r="A282" s="7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</row>
    <row r="283" spans="1:76">
      <c r="A283" s="72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</row>
    <row r="284" spans="1:76">
      <c r="A284" s="72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</row>
    <row r="285" spans="1:76">
      <c r="A285" s="72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</row>
    <row r="286" spans="1:76">
      <c r="A286" s="72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</row>
    <row r="287" spans="1:76">
      <c r="A287" s="72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</row>
    <row r="288" spans="1:76">
      <c r="A288" s="72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</row>
    <row r="289" spans="1:76">
      <c r="A289" s="72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</row>
    <row r="290" spans="1:76">
      <c r="A290" s="72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</row>
    <row r="291" spans="1:76">
      <c r="A291" s="72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</row>
    <row r="292" spans="1:76">
      <c r="A292" s="7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</row>
    <row r="293" spans="1:76">
      <c r="A293" s="72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</row>
    <row r="294" spans="1:76">
      <c r="A294" s="72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</row>
    <row r="295" spans="1:76">
      <c r="A295" s="72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</row>
    <row r="296" spans="1:76">
      <c r="A296" s="72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</row>
    <row r="297" spans="1:76">
      <c r="A297" s="72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</row>
    <row r="298" spans="1:76">
      <c r="A298" s="72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</row>
    <row r="299" spans="1:76">
      <c r="A299" s="72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</row>
    <row r="300" spans="1:76">
      <c r="A300" s="72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</row>
    <row r="301" spans="1:76">
      <c r="A301" s="72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</row>
    <row r="302" spans="1:76">
      <c r="A302" s="7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/>
      <c r="BX302"/>
    </row>
    <row r="303" spans="1:76">
      <c r="A303" s="72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</row>
    <row r="304" spans="1:76">
      <c r="A304" s="72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</row>
    <row r="305" spans="1:76">
      <c r="A305" s="72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</row>
    <row r="306" spans="1:76">
      <c r="A306" s="72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</row>
    <row r="307" spans="1:76">
      <c r="A307" s="72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</row>
    <row r="308" spans="1:76">
      <c r="A308" s="72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</row>
    <row r="309" spans="1:76">
      <c r="A309" s="72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</row>
    <row r="310" spans="1:76">
      <c r="A310" s="72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  <c r="BR310"/>
      <c r="BS310"/>
      <c r="BT310"/>
      <c r="BU310"/>
      <c r="BV310"/>
      <c r="BW310"/>
      <c r="BX310"/>
    </row>
    <row r="311" spans="1:76">
      <c r="A311" s="72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  <c r="BR311"/>
      <c r="BS311"/>
      <c r="BT311"/>
      <c r="BU311"/>
      <c r="BV311"/>
      <c r="BW311"/>
      <c r="BX311"/>
    </row>
    <row r="312" spans="1:76">
      <c r="A312" s="7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  <c r="BR312"/>
      <c r="BS312"/>
      <c r="BT312"/>
      <c r="BU312"/>
      <c r="BV312"/>
      <c r="BW312"/>
      <c r="BX312"/>
    </row>
    <row r="313" spans="1:76">
      <c r="A313" s="72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/>
      <c r="BX313"/>
    </row>
    <row r="314" spans="1:76">
      <c r="A314" s="72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  <c r="BV314"/>
      <c r="BW314"/>
      <c r="BX314"/>
    </row>
    <row r="315" spans="1:76">
      <c r="A315" s="72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  <c r="BR315"/>
      <c r="BS315"/>
      <c r="BT315"/>
      <c r="BU315"/>
      <c r="BV315"/>
      <c r="BW315"/>
      <c r="BX315"/>
    </row>
    <row r="316" spans="1:76">
      <c r="A316" s="72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  <c r="BR316"/>
      <c r="BS316"/>
      <c r="BT316"/>
      <c r="BU316"/>
      <c r="BV316"/>
      <c r="BW316"/>
      <c r="BX316"/>
    </row>
    <row r="317" spans="1:76">
      <c r="A317" s="72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  <c r="BV317"/>
      <c r="BW317"/>
      <c r="BX317"/>
    </row>
    <row r="318" spans="1:76">
      <c r="A318" s="72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  <c r="BR318"/>
      <c r="BS318"/>
      <c r="BT318"/>
      <c r="BU318"/>
      <c r="BV318"/>
      <c r="BW318"/>
      <c r="BX318"/>
    </row>
    <row r="319" spans="1:76">
      <c r="A319" s="72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  <c r="BR319"/>
      <c r="BS319"/>
      <c r="BT319"/>
      <c r="BU319"/>
      <c r="BV319"/>
      <c r="BW319"/>
      <c r="BX319"/>
    </row>
    <row r="320" spans="1:76">
      <c r="A320" s="72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  <c r="BR320"/>
      <c r="BS320"/>
      <c r="BT320"/>
      <c r="BU320"/>
      <c r="BV320"/>
      <c r="BW320"/>
      <c r="BX320"/>
    </row>
    <row r="321" spans="1:76">
      <c r="A321" s="72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  <c r="BV321"/>
      <c r="BW321"/>
      <c r="BX321"/>
    </row>
    <row r="322" spans="1:76">
      <c r="A322" s="7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  <c r="BR322"/>
      <c r="BS322"/>
      <c r="BT322"/>
      <c r="BU322"/>
      <c r="BV322"/>
      <c r="BW322"/>
      <c r="BX322"/>
    </row>
    <row r="323" spans="1:76">
      <c r="A323" s="72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  <c r="BR323"/>
      <c r="BS323"/>
      <c r="BT323"/>
      <c r="BU323"/>
      <c r="BV323"/>
      <c r="BW323"/>
      <c r="BX323"/>
    </row>
    <row r="324" spans="1:76">
      <c r="A324" s="72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  <c r="BR324"/>
      <c r="BS324"/>
      <c r="BT324"/>
      <c r="BU324"/>
      <c r="BV324"/>
      <c r="BW324"/>
      <c r="BX324"/>
    </row>
    <row r="325" spans="1:76">
      <c r="A325" s="72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</row>
    <row r="326" spans="1:76">
      <c r="A326" s="72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  <c r="BR326"/>
      <c r="BS326"/>
      <c r="BT326"/>
      <c r="BU326"/>
      <c r="BV326"/>
      <c r="BW326"/>
      <c r="BX326"/>
    </row>
    <row r="327" spans="1:76">
      <c r="A327" s="72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  <c r="BV327"/>
      <c r="BW327"/>
      <c r="BX327"/>
    </row>
    <row r="328" spans="1:76">
      <c r="A328" s="72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  <c r="BR328"/>
      <c r="BS328"/>
      <c r="BT328"/>
      <c r="BU328"/>
      <c r="BV328"/>
      <c r="BW328"/>
      <c r="BX328"/>
    </row>
    <row r="329" spans="1:76">
      <c r="A329" s="72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  <c r="BV329"/>
      <c r="BW329"/>
      <c r="BX329"/>
    </row>
    <row r="330" spans="1:76">
      <c r="A330" s="72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</row>
    <row r="331" spans="1:76">
      <c r="A331" s="72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  <c r="BV331"/>
      <c r="BW331"/>
      <c r="BX331"/>
    </row>
    <row r="332" spans="1:76">
      <c r="A332" s="7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</row>
    <row r="333" spans="1:76">
      <c r="A333" s="72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  <c r="BV333"/>
      <c r="BW333"/>
      <c r="BX333"/>
    </row>
    <row r="334" spans="1:76">
      <c r="A334" s="72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  <c r="BV334"/>
      <c r="BW334"/>
      <c r="BX334"/>
    </row>
    <row r="335" spans="1:76">
      <c r="A335" s="72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  <c r="BV335"/>
      <c r="BW335"/>
      <c r="BX335"/>
    </row>
    <row r="336" spans="1:76">
      <c r="A336" s="72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  <c r="BR336"/>
      <c r="BS336"/>
      <c r="BT336"/>
      <c r="BU336"/>
      <c r="BV336"/>
      <c r="BW336"/>
      <c r="BX336"/>
    </row>
    <row r="337" spans="1:76">
      <c r="A337" s="72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  <c r="BR337"/>
      <c r="BS337"/>
      <c r="BT337"/>
      <c r="BU337"/>
      <c r="BV337"/>
      <c r="BW337"/>
      <c r="BX337"/>
    </row>
    <row r="338" spans="1:76">
      <c r="A338" s="72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</row>
    <row r="339" spans="1:76">
      <c r="A339" s="72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  <c r="BR339"/>
      <c r="BS339"/>
      <c r="BT339"/>
      <c r="BU339"/>
      <c r="BV339"/>
      <c r="BW339"/>
      <c r="BX339"/>
    </row>
    <row r="340" spans="1:76">
      <c r="A340" s="72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  <c r="BV340"/>
      <c r="BW340"/>
      <c r="BX340"/>
    </row>
    <row r="341" spans="1:76">
      <c r="A341" s="72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  <c r="BV341"/>
      <c r="BW341"/>
      <c r="BX341"/>
    </row>
    <row r="342" spans="1:76">
      <c r="A342" s="7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  <c r="BR342"/>
      <c r="BS342"/>
      <c r="BT342"/>
      <c r="BU342"/>
      <c r="BV342"/>
      <c r="BW342"/>
      <c r="BX342"/>
    </row>
    <row r="343" spans="1:76">
      <c r="A343" s="72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  <c r="BR343"/>
      <c r="BS343"/>
      <c r="BT343"/>
      <c r="BU343"/>
      <c r="BV343"/>
      <c r="BW343"/>
      <c r="BX343"/>
    </row>
    <row r="344" spans="1:76">
      <c r="A344" s="72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  <c r="BR344"/>
      <c r="BS344"/>
      <c r="BT344"/>
      <c r="BU344"/>
      <c r="BV344"/>
      <c r="BW344"/>
      <c r="BX344"/>
    </row>
    <row r="345" spans="1:76">
      <c r="A345" s="72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  <c r="BR345"/>
      <c r="BS345"/>
      <c r="BT345"/>
      <c r="BU345"/>
      <c r="BV345"/>
      <c r="BW345"/>
      <c r="BX345"/>
    </row>
    <row r="346" spans="1:76">
      <c r="A346" s="72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  <c r="BR346"/>
      <c r="BS346"/>
      <c r="BT346"/>
      <c r="BU346"/>
      <c r="BV346"/>
      <c r="BW346"/>
      <c r="BX346"/>
    </row>
    <row r="347" spans="1:76">
      <c r="A347" s="72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  <c r="BR347"/>
      <c r="BS347"/>
      <c r="BT347"/>
      <c r="BU347"/>
      <c r="BV347"/>
      <c r="BW347"/>
      <c r="BX347"/>
    </row>
    <row r="348" spans="1:76">
      <c r="A348" s="72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  <c r="BR348"/>
      <c r="BS348"/>
      <c r="BT348"/>
      <c r="BU348"/>
      <c r="BV348"/>
      <c r="BW348"/>
      <c r="BX348"/>
    </row>
    <row r="349" spans="1:76">
      <c r="A349" s="72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  <c r="BR349"/>
      <c r="BS349"/>
      <c r="BT349"/>
      <c r="BU349"/>
      <c r="BV349"/>
      <c r="BW349"/>
      <c r="BX349"/>
    </row>
    <row r="350" spans="1:76">
      <c r="A350" s="72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  <c r="BR350"/>
      <c r="BS350"/>
      <c r="BT350"/>
      <c r="BU350"/>
      <c r="BV350"/>
      <c r="BW350"/>
      <c r="BX350"/>
    </row>
    <row r="351" spans="1:76">
      <c r="A351" s="72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  <c r="BR351"/>
      <c r="BS351"/>
      <c r="BT351"/>
      <c r="BU351"/>
      <c r="BV351"/>
      <c r="BW351"/>
      <c r="BX351"/>
    </row>
    <row r="352" spans="1:76">
      <c r="A352" s="7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  <c r="BR352"/>
      <c r="BS352"/>
      <c r="BT352"/>
      <c r="BU352"/>
      <c r="BV352"/>
      <c r="BW352"/>
      <c r="BX352"/>
    </row>
    <row r="353" spans="1:76">
      <c r="A353" s="72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  <c r="BR353"/>
      <c r="BS353"/>
      <c r="BT353"/>
      <c r="BU353"/>
      <c r="BV353"/>
      <c r="BW353"/>
      <c r="BX353"/>
    </row>
    <row r="354" spans="1:76">
      <c r="A354" s="72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  <c r="BR354"/>
      <c r="BS354"/>
      <c r="BT354"/>
      <c r="BU354"/>
      <c r="BV354"/>
      <c r="BW354"/>
      <c r="BX354"/>
    </row>
    <row r="355" spans="1:76">
      <c r="A355" s="72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  <c r="BV355"/>
      <c r="BW355"/>
      <c r="BX355"/>
    </row>
    <row r="356" spans="1:76">
      <c r="A356" s="72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  <c r="BR356"/>
      <c r="BS356"/>
      <c r="BT356"/>
      <c r="BU356"/>
      <c r="BV356"/>
      <c r="BW356"/>
      <c r="BX356"/>
    </row>
    <row r="357" spans="1:76">
      <c r="A357" s="72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  <c r="BR357"/>
      <c r="BS357"/>
      <c r="BT357"/>
      <c r="BU357"/>
      <c r="BV357"/>
      <c r="BW357"/>
      <c r="BX357"/>
    </row>
    <row r="358" spans="1:76">
      <c r="A358" s="72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  <c r="BR358"/>
      <c r="BS358"/>
      <c r="BT358"/>
      <c r="BU358"/>
      <c r="BV358"/>
      <c r="BW358"/>
      <c r="BX358"/>
    </row>
    <row r="359" spans="1:76">
      <c r="A359" s="72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  <c r="BR359"/>
      <c r="BS359"/>
      <c r="BT359"/>
      <c r="BU359"/>
      <c r="BV359"/>
      <c r="BW359"/>
      <c r="BX359"/>
    </row>
    <row r="360" spans="1:76">
      <c r="A360" s="72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  <c r="BR360"/>
      <c r="BS360"/>
      <c r="BT360"/>
      <c r="BU360"/>
      <c r="BV360"/>
      <c r="BW360"/>
      <c r="BX360"/>
    </row>
    <row r="361" spans="1:76">
      <c r="A361" s="72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  <c r="BV361"/>
      <c r="BW361"/>
      <c r="BX361"/>
    </row>
    <row r="362" spans="1:76">
      <c r="A362" s="7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  <c r="BR362"/>
      <c r="BS362"/>
      <c r="BT362"/>
      <c r="BU362"/>
      <c r="BV362"/>
      <c r="BW362"/>
      <c r="BX362"/>
    </row>
    <row r="363" spans="1:76">
      <c r="A363" s="72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  <c r="BR363"/>
      <c r="BS363"/>
      <c r="BT363"/>
      <c r="BU363"/>
      <c r="BV363"/>
      <c r="BW363"/>
      <c r="BX363"/>
    </row>
    <row r="364" spans="1:76">
      <c r="A364" s="72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  <c r="BR364"/>
      <c r="BS364"/>
      <c r="BT364"/>
      <c r="BU364"/>
      <c r="BV364"/>
      <c r="BW364"/>
      <c r="BX364"/>
    </row>
    <row r="365" spans="1:76">
      <c r="A365" s="72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  <c r="BR365"/>
      <c r="BS365"/>
      <c r="BT365"/>
      <c r="BU365"/>
      <c r="BV365"/>
      <c r="BW365"/>
      <c r="BX365"/>
    </row>
    <row r="366" spans="1:76">
      <c r="A366" s="72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  <c r="BR366"/>
      <c r="BS366"/>
      <c r="BT366"/>
      <c r="BU366"/>
      <c r="BV366"/>
      <c r="BW366"/>
      <c r="BX366"/>
    </row>
    <row r="367" spans="1:76">
      <c r="A367" s="72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  <c r="BR367"/>
      <c r="BS367"/>
      <c r="BT367"/>
      <c r="BU367"/>
      <c r="BV367"/>
      <c r="BW367"/>
      <c r="BX367"/>
    </row>
    <row r="368" spans="1:76">
      <c r="A368" s="72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  <c r="BR368"/>
      <c r="BS368"/>
      <c r="BT368"/>
      <c r="BU368"/>
      <c r="BV368"/>
      <c r="BW368"/>
      <c r="BX368"/>
    </row>
    <row r="369" spans="1:76">
      <c r="A369" s="72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  <c r="BR369"/>
      <c r="BS369"/>
      <c r="BT369"/>
      <c r="BU369"/>
      <c r="BV369"/>
      <c r="BW369"/>
      <c r="BX369"/>
    </row>
    <row r="370" spans="1:76">
      <c r="A370" s="72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  <c r="BR370"/>
      <c r="BS370"/>
      <c r="BT370"/>
      <c r="BU370"/>
      <c r="BV370"/>
      <c r="BW370"/>
      <c r="BX370"/>
    </row>
    <row r="371" spans="1:76">
      <c r="A371" s="72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  <c r="BR371"/>
      <c r="BS371"/>
      <c r="BT371"/>
      <c r="BU371"/>
      <c r="BV371"/>
      <c r="BW371"/>
      <c r="BX371"/>
    </row>
    <row r="372" spans="1:76">
      <c r="A372" s="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  <c r="BR372"/>
      <c r="BS372"/>
      <c r="BT372"/>
      <c r="BU372"/>
      <c r="BV372"/>
      <c r="BW372"/>
      <c r="BX372"/>
    </row>
    <row r="373" spans="1:76">
      <c r="A373" s="72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  <c r="BR373"/>
      <c r="BS373"/>
      <c r="BT373"/>
      <c r="BU373"/>
      <c r="BV373"/>
      <c r="BW373"/>
      <c r="BX373"/>
    </row>
    <row r="374" spans="1:76">
      <c r="A374" s="72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  <c r="BR374"/>
      <c r="BS374"/>
      <c r="BT374"/>
      <c r="BU374"/>
      <c r="BV374"/>
      <c r="BW374"/>
      <c r="BX374"/>
    </row>
    <row r="375" spans="1:76">
      <c r="A375" s="72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  <c r="BR375"/>
      <c r="BS375"/>
      <c r="BT375"/>
      <c r="BU375"/>
      <c r="BV375"/>
      <c r="BW375"/>
      <c r="BX375"/>
    </row>
    <row r="376" spans="1:76">
      <c r="A376" s="72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  <c r="BR376"/>
      <c r="BS376"/>
      <c r="BT376"/>
      <c r="BU376"/>
      <c r="BV376"/>
      <c r="BW376"/>
      <c r="BX376"/>
    </row>
    <row r="377" spans="1:76">
      <c r="A377" s="72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  <c r="BR377"/>
      <c r="BS377"/>
      <c r="BT377"/>
      <c r="BU377"/>
      <c r="BV377"/>
      <c r="BW377"/>
      <c r="BX377"/>
    </row>
    <row r="378" spans="1:76">
      <c r="A378" s="72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  <c r="BV378"/>
      <c r="BW378"/>
      <c r="BX378"/>
    </row>
    <row r="379" spans="1:76">
      <c r="A379" s="72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  <c r="BR379"/>
      <c r="BS379"/>
      <c r="BT379"/>
      <c r="BU379"/>
      <c r="BV379"/>
      <c r="BW379"/>
      <c r="BX379"/>
    </row>
    <row r="380" spans="1:76">
      <c r="A380" s="72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  <c r="BR380"/>
      <c r="BS380"/>
      <c r="BT380"/>
      <c r="BU380"/>
      <c r="BV380"/>
      <c r="BW380"/>
      <c r="BX380"/>
    </row>
    <row r="381" spans="1:76">
      <c r="A381" s="72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  <c r="BR381"/>
      <c r="BS381"/>
      <c r="BT381"/>
      <c r="BU381"/>
      <c r="BV381"/>
      <c r="BW381"/>
      <c r="BX381"/>
    </row>
    <row r="382" spans="1:76">
      <c r="A382" s="7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  <c r="BR382"/>
      <c r="BS382"/>
      <c r="BT382"/>
      <c r="BU382"/>
      <c r="BV382"/>
      <c r="BW382"/>
      <c r="BX382"/>
    </row>
    <row r="383" spans="1:76">
      <c r="A383" s="72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  <c r="BR383"/>
      <c r="BS383"/>
      <c r="BT383"/>
      <c r="BU383"/>
      <c r="BV383"/>
      <c r="BW383"/>
      <c r="BX383"/>
    </row>
    <row r="384" spans="1:76">
      <c r="A384" s="72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  <c r="BR384"/>
      <c r="BS384"/>
      <c r="BT384"/>
      <c r="BU384"/>
      <c r="BV384"/>
      <c r="BW384"/>
      <c r="BX384"/>
    </row>
    <row r="385" spans="1:76">
      <c r="A385" s="72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  <c r="BR385"/>
      <c r="BS385"/>
      <c r="BT385"/>
      <c r="BU385"/>
      <c r="BV385"/>
      <c r="BW385"/>
      <c r="BX385"/>
    </row>
    <row r="386" spans="1:76">
      <c r="A386" s="72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  <c r="BR386"/>
      <c r="BS386"/>
      <c r="BT386"/>
      <c r="BU386"/>
      <c r="BV386"/>
      <c r="BW386"/>
      <c r="BX386"/>
    </row>
    <row r="387" spans="1:76">
      <c r="A387" s="72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  <c r="BR387"/>
      <c r="BS387"/>
      <c r="BT387"/>
      <c r="BU387"/>
      <c r="BV387"/>
      <c r="BW387"/>
      <c r="BX387"/>
    </row>
    <row r="388" spans="1:76">
      <c r="A388" s="72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  <c r="BR388"/>
      <c r="BS388"/>
      <c r="BT388"/>
      <c r="BU388"/>
      <c r="BV388"/>
      <c r="BW388"/>
      <c r="BX388"/>
    </row>
    <row r="389" spans="1:76">
      <c r="A389" s="72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  <c r="BR389"/>
      <c r="BS389"/>
      <c r="BT389"/>
      <c r="BU389"/>
      <c r="BV389"/>
      <c r="BW389"/>
      <c r="BX389"/>
    </row>
    <row r="390" spans="1:76">
      <c r="A390" s="72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  <c r="BR390"/>
      <c r="BS390"/>
      <c r="BT390"/>
      <c r="BU390"/>
      <c r="BV390"/>
      <c r="BW390"/>
      <c r="BX390"/>
    </row>
    <row r="391" spans="1:76">
      <c r="A391" s="72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  <c r="BR391"/>
      <c r="BS391"/>
      <c r="BT391"/>
      <c r="BU391"/>
      <c r="BV391"/>
      <c r="BW391"/>
      <c r="BX391"/>
    </row>
    <row r="392" spans="1:76">
      <c r="A392" s="7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  <c r="BR392"/>
      <c r="BS392"/>
      <c r="BT392"/>
      <c r="BU392"/>
      <c r="BV392"/>
      <c r="BW392"/>
      <c r="BX392"/>
    </row>
    <row r="393" spans="1:76">
      <c r="A393" s="72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  <c r="BR393"/>
      <c r="BS393"/>
      <c r="BT393"/>
      <c r="BU393"/>
      <c r="BV393"/>
      <c r="BW393"/>
      <c r="BX393"/>
    </row>
    <row r="394" spans="1:76">
      <c r="A394" s="72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  <c r="BR394"/>
      <c r="BS394"/>
      <c r="BT394"/>
      <c r="BU394"/>
      <c r="BV394"/>
      <c r="BW394"/>
      <c r="BX394"/>
    </row>
    <row r="395" spans="1:76">
      <c r="A395" s="72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  <c r="BR395"/>
      <c r="BS395"/>
      <c r="BT395"/>
      <c r="BU395"/>
      <c r="BV395"/>
      <c r="BW395"/>
      <c r="BX395"/>
    </row>
    <row r="396" spans="1:76">
      <c r="A396" s="72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  <c r="BR396"/>
      <c r="BS396"/>
      <c r="BT396"/>
      <c r="BU396"/>
      <c r="BV396"/>
      <c r="BW396"/>
      <c r="BX396"/>
    </row>
    <row r="397" spans="1:76">
      <c r="A397" s="72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  <c r="BR397"/>
      <c r="BS397"/>
      <c r="BT397"/>
      <c r="BU397"/>
      <c r="BV397"/>
      <c r="BW397"/>
      <c r="BX397"/>
    </row>
    <row r="398" spans="1:76">
      <c r="A398" s="72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  <c r="BR398"/>
      <c r="BS398"/>
      <c r="BT398"/>
      <c r="BU398"/>
      <c r="BV398"/>
      <c r="BW398"/>
      <c r="BX398"/>
    </row>
    <row r="399" spans="1:76">
      <c r="A399" s="72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  <c r="BR399"/>
      <c r="BS399"/>
      <c r="BT399"/>
      <c r="BU399"/>
      <c r="BV399"/>
      <c r="BW399"/>
      <c r="BX399"/>
    </row>
    <row r="400" spans="1:76">
      <c r="A400" s="72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  <c r="BR400"/>
      <c r="BS400"/>
      <c r="BT400"/>
      <c r="BU400"/>
      <c r="BV400"/>
      <c r="BW400"/>
      <c r="BX400"/>
    </row>
    <row r="401" spans="1:76">
      <c r="A401" s="72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  <c r="BR401"/>
      <c r="BS401"/>
      <c r="BT401"/>
      <c r="BU401"/>
      <c r="BV401"/>
      <c r="BW401"/>
      <c r="BX401"/>
    </row>
    <row r="402" spans="1:76">
      <c r="A402" s="7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  <c r="BR402"/>
      <c r="BS402"/>
      <c r="BT402"/>
      <c r="BU402"/>
      <c r="BV402"/>
      <c r="BW402"/>
      <c r="BX402"/>
    </row>
    <row r="403" spans="1:76">
      <c r="A403" s="72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  <c r="BR403"/>
      <c r="BS403"/>
      <c r="BT403"/>
      <c r="BU403"/>
      <c r="BV403"/>
      <c r="BW403"/>
      <c r="BX403"/>
    </row>
    <row r="404" spans="1:76">
      <c r="A404" s="72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  <c r="BR404"/>
      <c r="BS404"/>
      <c r="BT404"/>
      <c r="BU404"/>
      <c r="BV404"/>
      <c r="BW404"/>
      <c r="BX404"/>
    </row>
    <row r="405" spans="1:76">
      <c r="A405" s="72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  <c r="BR405"/>
      <c r="BS405"/>
      <c r="BT405"/>
      <c r="BU405"/>
      <c r="BV405"/>
      <c r="BW405"/>
      <c r="BX405"/>
    </row>
    <row r="406" spans="1:76">
      <c r="A406" s="72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  <c r="BR406"/>
      <c r="BS406"/>
      <c r="BT406"/>
      <c r="BU406"/>
      <c r="BV406"/>
      <c r="BW406"/>
      <c r="BX406"/>
    </row>
    <row r="407" spans="1:76">
      <c r="A407" s="72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  <c r="BR407"/>
      <c r="BS407"/>
      <c r="BT407"/>
      <c r="BU407"/>
      <c r="BV407"/>
      <c r="BW407"/>
      <c r="BX407"/>
    </row>
    <row r="408" spans="1:76">
      <c r="A408" s="72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  <c r="BR408"/>
      <c r="BS408"/>
      <c r="BT408"/>
      <c r="BU408"/>
      <c r="BV408"/>
      <c r="BW408"/>
      <c r="BX408"/>
    </row>
    <row r="409" spans="1:76">
      <c r="A409" s="72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  <c r="BR409"/>
      <c r="BS409"/>
      <c r="BT409"/>
      <c r="BU409"/>
      <c r="BV409"/>
      <c r="BW409"/>
      <c r="BX409"/>
    </row>
    <row r="410" spans="1:76">
      <c r="A410" s="72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  <c r="BR410"/>
      <c r="BS410"/>
      <c r="BT410"/>
      <c r="BU410"/>
      <c r="BV410"/>
      <c r="BW410"/>
      <c r="BX410"/>
    </row>
    <row r="411" spans="1:76">
      <c r="A411" s="72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  <c r="BR411"/>
      <c r="BS411"/>
      <c r="BT411"/>
      <c r="BU411"/>
      <c r="BV411"/>
      <c r="BW411"/>
      <c r="BX411"/>
    </row>
    <row r="412" spans="1:76">
      <c r="A412" s="7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  <c r="BR412"/>
      <c r="BS412"/>
      <c r="BT412"/>
      <c r="BU412"/>
      <c r="BV412"/>
      <c r="BW412"/>
      <c r="BX412"/>
    </row>
    <row r="413" spans="1:76">
      <c r="A413" s="72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  <c r="BR413"/>
      <c r="BS413"/>
      <c r="BT413"/>
      <c r="BU413"/>
      <c r="BV413"/>
      <c r="BW413"/>
      <c r="BX413"/>
    </row>
    <row r="414" spans="1:76">
      <c r="A414" s="72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  <c r="BR414"/>
      <c r="BS414"/>
      <c r="BT414"/>
      <c r="BU414"/>
      <c r="BV414"/>
      <c r="BW414"/>
      <c r="BX414"/>
    </row>
    <row r="415" spans="1:76">
      <c r="A415" s="72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/>
      <c r="BD415"/>
      <c r="BE415"/>
      <c r="BF415"/>
      <c r="BG415"/>
      <c r="BH415"/>
      <c r="BI415"/>
      <c r="BJ415"/>
      <c r="BK415"/>
      <c r="BL415"/>
      <c r="BM415"/>
      <c r="BN415"/>
      <c r="BO415"/>
      <c r="BP415"/>
      <c r="BQ415"/>
      <c r="BR415"/>
      <c r="BS415"/>
      <c r="BT415"/>
      <c r="BU415"/>
      <c r="BV415"/>
      <c r="BW415"/>
      <c r="BX415"/>
    </row>
    <row r="416" spans="1:76">
      <c r="A416" s="72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  <c r="BR416"/>
      <c r="BS416"/>
      <c r="BT416"/>
      <c r="BU416"/>
      <c r="BV416"/>
      <c r="BW416"/>
      <c r="BX416"/>
    </row>
    <row r="417" spans="1:76">
      <c r="A417" s="72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  <c r="BR417"/>
      <c r="BS417"/>
      <c r="BT417"/>
      <c r="BU417"/>
      <c r="BV417"/>
      <c r="BW417"/>
      <c r="BX417"/>
    </row>
    <row r="418" spans="1:76">
      <c r="A418" s="72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/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  <c r="BR418"/>
      <c r="BS418"/>
      <c r="BT418"/>
      <c r="BU418"/>
      <c r="BV418"/>
      <c r="BW418"/>
      <c r="BX418"/>
    </row>
    <row r="419" spans="1:76">
      <c r="A419" s="72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  <c r="BR419"/>
      <c r="BS419"/>
      <c r="BT419"/>
      <c r="BU419"/>
      <c r="BV419"/>
      <c r="BW419"/>
      <c r="BX419"/>
    </row>
    <row r="420" spans="1:76">
      <c r="A420" s="72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  <c r="BR420"/>
      <c r="BS420"/>
      <c r="BT420"/>
      <c r="BU420"/>
      <c r="BV420"/>
      <c r="BW420"/>
      <c r="BX420"/>
    </row>
    <row r="421" spans="1:76">
      <c r="A421" s="72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  <c r="BR421"/>
      <c r="BS421"/>
      <c r="BT421"/>
      <c r="BU421"/>
      <c r="BV421"/>
      <c r="BW421"/>
      <c r="BX421"/>
    </row>
    <row r="422" spans="1:76">
      <c r="A422" s="7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  <c r="BR422"/>
      <c r="BS422"/>
      <c r="BT422"/>
      <c r="BU422"/>
      <c r="BV422"/>
      <c r="BW422"/>
      <c r="BX422"/>
    </row>
    <row r="423" spans="1:76">
      <c r="A423" s="72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  <c r="BR423"/>
      <c r="BS423"/>
      <c r="BT423"/>
      <c r="BU423"/>
      <c r="BV423"/>
      <c r="BW423"/>
      <c r="BX423"/>
    </row>
    <row r="424" spans="1:76">
      <c r="A424" s="72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  <c r="BR424"/>
      <c r="BS424"/>
      <c r="BT424"/>
      <c r="BU424"/>
      <c r="BV424"/>
      <c r="BW424"/>
      <c r="BX424"/>
    </row>
    <row r="425" spans="1:76">
      <c r="A425" s="72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  <c r="BR425"/>
      <c r="BS425"/>
      <c r="BT425"/>
      <c r="BU425"/>
      <c r="BV425"/>
      <c r="BW425"/>
      <c r="BX425"/>
    </row>
    <row r="426" spans="1:76">
      <c r="A426" s="72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  <c r="BR426"/>
      <c r="BS426"/>
      <c r="BT426"/>
      <c r="BU426"/>
      <c r="BV426"/>
      <c r="BW426"/>
      <c r="BX426"/>
    </row>
    <row r="427" spans="1:76">
      <c r="A427" s="72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  <c r="BR427"/>
      <c r="BS427"/>
      <c r="BT427"/>
      <c r="BU427"/>
      <c r="BV427"/>
      <c r="BW427"/>
      <c r="BX427"/>
    </row>
    <row r="428" spans="1:76">
      <c r="A428" s="72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  <c r="BR428"/>
      <c r="BS428"/>
      <c r="BT428"/>
      <c r="BU428"/>
      <c r="BV428"/>
      <c r="BW428"/>
      <c r="BX428"/>
    </row>
    <row r="429" spans="1:76">
      <c r="A429" s="72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  <c r="BR429"/>
      <c r="BS429"/>
      <c r="BT429"/>
      <c r="BU429"/>
      <c r="BV429"/>
      <c r="BW429"/>
      <c r="BX429"/>
    </row>
    <row r="430" spans="1:76">
      <c r="A430" s="72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  <c r="BR430"/>
      <c r="BS430"/>
      <c r="BT430"/>
      <c r="BU430"/>
      <c r="BV430"/>
      <c r="BW430"/>
      <c r="BX430"/>
    </row>
    <row r="431" spans="1:76">
      <c r="A431" s="72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  <c r="BR431"/>
      <c r="BS431"/>
      <c r="BT431"/>
      <c r="BU431"/>
      <c r="BV431"/>
      <c r="BW431"/>
      <c r="BX431"/>
    </row>
    <row r="432" spans="1:76">
      <c r="A432" s="7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  <c r="BR432"/>
      <c r="BS432"/>
      <c r="BT432"/>
      <c r="BU432"/>
      <c r="BV432"/>
      <c r="BW432"/>
      <c r="BX432"/>
    </row>
    <row r="433" spans="1:76">
      <c r="A433" s="72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  <c r="BR433"/>
      <c r="BS433"/>
      <c r="BT433"/>
      <c r="BU433"/>
      <c r="BV433"/>
      <c r="BW433"/>
      <c r="BX433"/>
    </row>
    <row r="434" spans="1:76">
      <c r="A434" s="72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  <c r="BR434"/>
      <c r="BS434"/>
      <c r="BT434"/>
      <c r="BU434"/>
      <c r="BV434"/>
      <c r="BW434"/>
      <c r="BX434"/>
    </row>
    <row r="435" spans="1:76">
      <c r="A435" s="72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/>
      <c r="BD435"/>
      <c r="BE435"/>
      <c r="BF435"/>
      <c r="BG435"/>
      <c r="BH435"/>
      <c r="BI435"/>
      <c r="BJ435"/>
      <c r="BK435"/>
      <c r="BL435"/>
      <c r="BM435"/>
      <c r="BN435"/>
      <c r="BO435"/>
      <c r="BP435"/>
      <c r="BQ435"/>
      <c r="BR435"/>
      <c r="BS435"/>
      <c r="BT435"/>
      <c r="BU435"/>
      <c r="BV435"/>
      <c r="BW435"/>
      <c r="BX435"/>
    </row>
    <row r="436" spans="1:76">
      <c r="A436" s="72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/>
      <c r="BF436"/>
      <c r="BG436"/>
      <c r="BH436"/>
      <c r="BI436"/>
      <c r="BJ436"/>
      <c r="BK436"/>
      <c r="BL436"/>
      <c r="BM436"/>
      <c r="BN436"/>
      <c r="BO436"/>
      <c r="BP436"/>
      <c r="BQ436"/>
      <c r="BR436"/>
      <c r="BS436"/>
      <c r="BT436"/>
      <c r="BU436"/>
      <c r="BV436"/>
      <c r="BW436"/>
      <c r="BX436"/>
    </row>
    <row r="437" spans="1:76">
      <c r="A437" s="72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  <c r="BR437"/>
      <c r="BS437"/>
      <c r="BT437"/>
      <c r="BU437"/>
      <c r="BV437"/>
      <c r="BW437"/>
      <c r="BX437"/>
    </row>
    <row r="438" spans="1:76">
      <c r="A438" s="72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  <c r="BC438"/>
      <c r="BD438"/>
      <c r="BE438"/>
      <c r="BF438"/>
      <c r="BG438"/>
      <c r="BH438"/>
      <c r="BI438"/>
      <c r="BJ438"/>
      <c r="BK438"/>
      <c r="BL438"/>
      <c r="BM438"/>
      <c r="BN438"/>
      <c r="BO438"/>
      <c r="BP438"/>
      <c r="BQ438"/>
      <c r="BR438"/>
      <c r="BS438"/>
      <c r="BT438"/>
      <c r="BU438"/>
      <c r="BV438"/>
      <c r="BW438"/>
      <c r="BX438"/>
    </row>
    <row r="439" spans="1:76">
      <c r="A439" s="72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  <c r="BR439"/>
      <c r="BS439"/>
      <c r="BT439"/>
      <c r="BU439"/>
      <c r="BV439"/>
      <c r="BW439"/>
      <c r="BX439"/>
    </row>
    <row r="440" spans="1:76">
      <c r="A440" s="72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  <c r="BF440"/>
      <c r="BG440"/>
      <c r="BH440"/>
      <c r="BI440"/>
      <c r="BJ440"/>
      <c r="BK440"/>
      <c r="BL440"/>
      <c r="BM440"/>
      <c r="BN440"/>
      <c r="BO440"/>
      <c r="BP440"/>
      <c r="BQ440"/>
      <c r="BR440"/>
      <c r="BS440"/>
      <c r="BT440"/>
      <c r="BU440"/>
      <c r="BV440"/>
      <c r="BW440"/>
      <c r="BX440"/>
    </row>
    <row r="441" spans="1:76">
      <c r="A441" s="72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  <c r="BR441"/>
      <c r="BS441"/>
      <c r="BT441"/>
      <c r="BU441"/>
      <c r="BV441"/>
      <c r="BW441"/>
      <c r="BX441"/>
    </row>
    <row r="442" spans="1:76">
      <c r="A442" s="7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/>
      <c r="BD442"/>
      <c r="BE442"/>
      <c r="BF442"/>
      <c r="BG442"/>
      <c r="BH442"/>
      <c r="BI442"/>
      <c r="BJ442"/>
      <c r="BK442"/>
      <c r="BL442"/>
      <c r="BM442"/>
      <c r="BN442"/>
      <c r="BO442"/>
      <c r="BP442"/>
      <c r="BQ442"/>
      <c r="BR442"/>
      <c r="BS442"/>
      <c r="BT442"/>
      <c r="BU442"/>
      <c r="BV442"/>
      <c r="BW442"/>
      <c r="BX442"/>
    </row>
    <row r="443" spans="1:76">
      <c r="A443" s="72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  <c r="BC443"/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/>
      <c r="BR443"/>
      <c r="BS443"/>
      <c r="BT443"/>
      <c r="BU443"/>
      <c r="BV443"/>
      <c r="BW443"/>
      <c r="BX443"/>
    </row>
    <row r="444" spans="1:76">
      <c r="A444" s="72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/>
      <c r="BD444"/>
      <c r="BE444"/>
      <c r="BF444"/>
      <c r="BG444"/>
      <c r="BH444"/>
      <c r="BI444"/>
      <c r="BJ444"/>
      <c r="BK444"/>
      <c r="BL444"/>
      <c r="BM444"/>
      <c r="BN444"/>
      <c r="BO444"/>
      <c r="BP444"/>
      <c r="BQ444"/>
      <c r="BR444"/>
      <c r="BS444"/>
      <c r="BT444"/>
      <c r="BU444"/>
      <c r="BV444"/>
      <c r="BW444"/>
      <c r="BX444"/>
    </row>
    <row r="445" spans="1:76">
      <c r="A445" s="72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  <c r="BC445"/>
      <c r="BD445"/>
      <c r="BE445"/>
      <c r="BF445"/>
      <c r="BG445"/>
      <c r="BH445"/>
      <c r="BI445"/>
      <c r="BJ445"/>
      <c r="BK445"/>
      <c r="BL445"/>
      <c r="BM445"/>
      <c r="BN445"/>
      <c r="BO445"/>
      <c r="BP445"/>
      <c r="BQ445"/>
      <c r="BR445"/>
      <c r="BS445"/>
      <c r="BT445"/>
      <c r="BU445"/>
      <c r="BV445"/>
      <c r="BW445"/>
      <c r="BX445"/>
    </row>
    <row r="446" spans="1:76">
      <c r="A446" s="72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/>
      <c r="BC446"/>
      <c r="BD446"/>
      <c r="BE446"/>
      <c r="BF446"/>
      <c r="BG446"/>
      <c r="BH446"/>
      <c r="BI446"/>
      <c r="BJ446"/>
      <c r="BK446"/>
      <c r="BL446"/>
      <c r="BM446"/>
      <c r="BN446"/>
      <c r="BO446"/>
      <c r="BP446"/>
      <c r="BQ446"/>
      <c r="BR446"/>
      <c r="BS446"/>
      <c r="BT446"/>
      <c r="BU446"/>
      <c r="BV446"/>
      <c r="BW446"/>
      <c r="BX446"/>
    </row>
    <row r="447" spans="1:76">
      <c r="A447" s="72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/>
      <c r="BD447"/>
      <c r="BE447"/>
      <c r="BF447"/>
      <c r="BG447"/>
      <c r="BH447"/>
      <c r="BI447"/>
      <c r="BJ447"/>
      <c r="BK447"/>
      <c r="BL447"/>
      <c r="BM447"/>
      <c r="BN447"/>
      <c r="BO447"/>
      <c r="BP447"/>
      <c r="BQ447"/>
      <c r="BR447"/>
      <c r="BS447"/>
      <c r="BT447"/>
      <c r="BU447"/>
      <c r="BV447"/>
      <c r="BW447"/>
      <c r="BX447"/>
    </row>
    <row r="448" spans="1:76">
      <c r="A448" s="72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/>
      <c r="BD448"/>
      <c r="BE448"/>
      <c r="BF448"/>
      <c r="BG448"/>
      <c r="BH448"/>
      <c r="BI448"/>
      <c r="BJ448"/>
      <c r="BK448"/>
      <c r="BL448"/>
      <c r="BM448"/>
      <c r="BN448"/>
      <c r="BO448"/>
      <c r="BP448"/>
      <c r="BQ448"/>
      <c r="BR448"/>
      <c r="BS448"/>
      <c r="BT448"/>
      <c r="BU448"/>
      <c r="BV448"/>
      <c r="BW448"/>
      <c r="BX448"/>
    </row>
    <row r="449" spans="1:76">
      <c r="A449" s="72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/>
      <c r="BD449"/>
      <c r="BE449"/>
      <c r="BF449"/>
      <c r="BG449"/>
      <c r="BH449"/>
      <c r="BI449"/>
      <c r="BJ449"/>
      <c r="BK449"/>
      <c r="BL449"/>
      <c r="BM449"/>
      <c r="BN449"/>
      <c r="BO449"/>
      <c r="BP449"/>
      <c r="BQ449"/>
      <c r="BR449"/>
      <c r="BS449"/>
      <c r="BT449"/>
      <c r="BU449"/>
      <c r="BV449"/>
      <c r="BW449"/>
      <c r="BX449"/>
    </row>
    <row r="450" spans="1:76">
      <c r="A450" s="72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/>
      <c r="BD450"/>
      <c r="BE450"/>
      <c r="BF450"/>
      <c r="BG450"/>
      <c r="BH450"/>
      <c r="BI450"/>
      <c r="BJ450"/>
      <c r="BK450"/>
      <c r="BL450"/>
      <c r="BM450"/>
      <c r="BN450"/>
      <c r="BO450"/>
      <c r="BP450"/>
      <c r="BQ450"/>
      <c r="BR450"/>
      <c r="BS450"/>
      <c r="BT450"/>
      <c r="BU450"/>
      <c r="BV450"/>
      <c r="BW450"/>
      <c r="BX450"/>
    </row>
    <row r="451" spans="1:76">
      <c r="A451" s="72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/>
      <c r="BD451"/>
      <c r="BE451"/>
      <c r="BF451"/>
      <c r="BG451"/>
      <c r="BH451"/>
      <c r="BI451"/>
      <c r="BJ451"/>
      <c r="BK451"/>
      <c r="BL451"/>
      <c r="BM451"/>
      <c r="BN451"/>
      <c r="BO451"/>
      <c r="BP451"/>
      <c r="BQ451"/>
      <c r="BR451"/>
      <c r="BS451"/>
      <c r="BT451"/>
      <c r="BU451"/>
      <c r="BV451"/>
      <c r="BW451"/>
      <c r="BX451"/>
    </row>
    <row r="452" spans="1:76">
      <c r="A452" s="7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  <c r="BF452"/>
      <c r="BG452"/>
      <c r="BH452"/>
      <c r="BI452"/>
      <c r="BJ452"/>
      <c r="BK452"/>
      <c r="BL452"/>
      <c r="BM452"/>
      <c r="BN452"/>
      <c r="BO452"/>
      <c r="BP452"/>
      <c r="BQ452"/>
      <c r="BR452"/>
      <c r="BS452"/>
      <c r="BT452"/>
      <c r="BU452"/>
      <c r="BV452"/>
      <c r="BW452"/>
      <c r="BX452"/>
    </row>
    <row r="453" spans="1:76">
      <c r="A453" s="72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/>
      <c r="BD453"/>
      <c r="BE453"/>
      <c r="BF453"/>
      <c r="BG453"/>
      <c r="BH453"/>
      <c r="BI453"/>
      <c r="BJ453"/>
      <c r="BK453"/>
      <c r="BL453"/>
      <c r="BM453"/>
      <c r="BN453"/>
      <c r="BO453"/>
      <c r="BP453"/>
      <c r="BQ453"/>
      <c r="BR453"/>
      <c r="BS453"/>
      <c r="BT453"/>
      <c r="BU453"/>
      <c r="BV453"/>
      <c r="BW453"/>
      <c r="BX453"/>
    </row>
    <row r="454" spans="1:76">
      <c r="A454" s="72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  <c r="BC454"/>
      <c r="BD454"/>
      <c r="BE454"/>
      <c r="BF454"/>
      <c r="BG454"/>
      <c r="BH454"/>
      <c r="BI454"/>
      <c r="BJ454"/>
      <c r="BK454"/>
      <c r="BL454"/>
      <c r="BM454"/>
      <c r="BN454"/>
      <c r="BO454"/>
      <c r="BP454"/>
      <c r="BQ454"/>
      <c r="BR454"/>
      <c r="BS454"/>
      <c r="BT454"/>
      <c r="BU454"/>
      <c r="BV454"/>
      <c r="BW454"/>
      <c r="BX454"/>
    </row>
    <row r="455" spans="1:76">
      <c r="A455" s="72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/>
      <c r="BD455"/>
      <c r="BE455"/>
      <c r="BF455"/>
      <c r="BG455"/>
      <c r="BH455"/>
      <c r="BI455"/>
      <c r="BJ455"/>
      <c r="BK455"/>
      <c r="BL455"/>
      <c r="BM455"/>
      <c r="BN455"/>
      <c r="BO455"/>
      <c r="BP455"/>
      <c r="BQ455"/>
      <c r="BR455"/>
      <c r="BS455"/>
      <c r="BT455"/>
      <c r="BU455"/>
      <c r="BV455"/>
      <c r="BW455"/>
      <c r="BX455"/>
    </row>
    <row r="456" spans="1:76">
      <c r="A456" s="72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/>
      <c r="BD456"/>
      <c r="BE456"/>
      <c r="BF456"/>
      <c r="BG456"/>
      <c r="BH456"/>
      <c r="BI456"/>
      <c r="BJ456"/>
      <c r="BK456"/>
      <c r="BL456"/>
      <c r="BM456"/>
      <c r="BN456"/>
      <c r="BO456"/>
      <c r="BP456"/>
      <c r="BQ456"/>
      <c r="BR456"/>
      <c r="BS456"/>
      <c r="BT456"/>
      <c r="BU456"/>
      <c r="BV456"/>
      <c r="BW456"/>
      <c r="BX456"/>
    </row>
    <row r="457" spans="1:76">
      <c r="A457" s="72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/>
      <c r="BD457"/>
      <c r="BE457"/>
      <c r="BF457"/>
      <c r="BG457"/>
      <c r="BH457"/>
      <c r="BI457"/>
      <c r="BJ457"/>
      <c r="BK457"/>
      <c r="BL457"/>
      <c r="BM457"/>
      <c r="BN457"/>
      <c r="BO457"/>
      <c r="BP457"/>
      <c r="BQ457"/>
      <c r="BR457"/>
      <c r="BS457"/>
      <c r="BT457"/>
      <c r="BU457"/>
      <c r="BV457"/>
      <c r="BW457"/>
      <c r="BX457"/>
    </row>
    <row r="458" spans="1:76">
      <c r="A458" s="72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  <c r="AZ458"/>
      <c r="BA458"/>
      <c r="BB458"/>
      <c r="BC458"/>
      <c r="BD458"/>
      <c r="BE458"/>
      <c r="BF458"/>
      <c r="BG458"/>
      <c r="BH458"/>
      <c r="BI458"/>
      <c r="BJ458"/>
      <c r="BK458"/>
      <c r="BL458"/>
      <c r="BM458"/>
      <c r="BN458"/>
      <c r="BO458"/>
      <c r="BP458"/>
      <c r="BQ458"/>
      <c r="BR458"/>
      <c r="BS458"/>
      <c r="BT458"/>
      <c r="BU458"/>
      <c r="BV458"/>
      <c r="BW458"/>
      <c r="BX458"/>
    </row>
    <row r="459" spans="1:76">
      <c r="A459" s="72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  <c r="BC459"/>
      <c r="BD459"/>
      <c r="BE459"/>
      <c r="BF459"/>
      <c r="BG459"/>
      <c r="BH459"/>
      <c r="BI459"/>
      <c r="BJ459"/>
      <c r="BK459"/>
      <c r="BL459"/>
      <c r="BM459"/>
      <c r="BN459"/>
      <c r="BO459"/>
      <c r="BP459"/>
      <c r="BQ459"/>
      <c r="BR459"/>
      <c r="BS459"/>
      <c r="BT459"/>
      <c r="BU459"/>
      <c r="BV459"/>
      <c r="BW459"/>
      <c r="BX459"/>
    </row>
    <row r="460" spans="1:76">
      <c r="A460" s="72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  <c r="BF460"/>
      <c r="BG460"/>
      <c r="BH460"/>
      <c r="BI460"/>
      <c r="BJ460"/>
      <c r="BK460"/>
      <c r="BL460"/>
      <c r="BM460"/>
      <c r="BN460"/>
      <c r="BO460"/>
      <c r="BP460"/>
      <c r="BQ460"/>
      <c r="BR460"/>
      <c r="BS460"/>
      <c r="BT460"/>
      <c r="BU460"/>
      <c r="BV460"/>
      <c r="BW460"/>
      <c r="BX460"/>
    </row>
    <row r="461" spans="1:76">
      <c r="A461" s="72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/>
      <c r="BD461"/>
      <c r="BE461"/>
      <c r="BF461"/>
      <c r="BG461"/>
      <c r="BH461"/>
      <c r="BI461"/>
      <c r="BJ461"/>
      <c r="BK461"/>
      <c r="BL461"/>
      <c r="BM461"/>
      <c r="BN461"/>
      <c r="BO461"/>
      <c r="BP461"/>
      <c r="BQ461"/>
      <c r="BR461"/>
      <c r="BS461"/>
      <c r="BT461"/>
      <c r="BU461"/>
      <c r="BV461"/>
      <c r="BW461"/>
      <c r="BX461"/>
    </row>
    <row r="462" spans="1:76">
      <c r="A462" s="7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/>
      <c r="BD462"/>
      <c r="BE462"/>
      <c r="BF462"/>
      <c r="BG462"/>
      <c r="BH462"/>
      <c r="BI462"/>
      <c r="BJ462"/>
      <c r="BK462"/>
      <c r="BL462"/>
      <c r="BM462"/>
      <c r="BN462"/>
      <c r="BO462"/>
      <c r="BP462"/>
      <c r="BQ462"/>
      <c r="BR462"/>
      <c r="BS462"/>
      <c r="BT462"/>
      <c r="BU462"/>
      <c r="BV462"/>
      <c r="BW462"/>
      <c r="BX462"/>
    </row>
    <row r="463" spans="1:76">
      <c r="A463" s="72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/>
      <c r="BD463"/>
      <c r="BE463"/>
      <c r="BF463"/>
      <c r="BG463"/>
      <c r="BH463"/>
      <c r="BI463"/>
      <c r="BJ463"/>
      <c r="BK463"/>
      <c r="BL463"/>
      <c r="BM463"/>
      <c r="BN463"/>
      <c r="BO463"/>
      <c r="BP463"/>
      <c r="BQ463"/>
      <c r="BR463"/>
      <c r="BS463"/>
      <c r="BT463"/>
      <c r="BU463"/>
      <c r="BV463"/>
      <c r="BW463"/>
      <c r="BX463"/>
    </row>
    <row r="464" spans="1:76">
      <c r="A464" s="72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/>
      <c r="BF464"/>
      <c r="BG464"/>
      <c r="BH464"/>
      <c r="BI464"/>
      <c r="BJ464"/>
      <c r="BK464"/>
      <c r="BL464"/>
      <c r="BM464"/>
      <c r="BN464"/>
      <c r="BO464"/>
      <c r="BP464"/>
      <c r="BQ464"/>
      <c r="BR464"/>
      <c r="BS464"/>
      <c r="BT464"/>
      <c r="BU464"/>
      <c r="BV464"/>
      <c r="BW464"/>
      <c r="BX464"/>
    </row>
    <row r="465" spans="1:76">
      <c r="A465" s="72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C465"/>
      <c r="BD465"/>
      <c r="BE465"/>
      <c r="BF465"/>
      <c r="BG465"/>
      <c r="BH465"/>
      <c r="BI465"/>
      <c r="BJ465"/>
      <c r="BK465"/>
      <c r="BL465"/>
      <c r="BM465"/>
      <c r="BN465"/>
      <c r="BO465"/>
      <c r="BP465"/>
      <c r="BQ465"/>
      <c r="BR465"/>
      <c r="BS465"/>
      <c r="BT465"/>
      <c r="BU465"/>
      <c r="BV465"/>
      <c r="BW465"/>
      <c r="BX465"/>
    </row>
    <row r="466" spans="1:76">
      <c r="A466" s="72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C466"/>
      <c r="BD466"/>
      <c r="BE466"/>
      <c r="BF466"/>
      <c r="BG466"/>
      <c r="BH466"/>
      <c r="BI466"/>
      <c r="BJ466"/>
      <c r="BK466"/>
      <c r="BL466"/>
      <c r="BM466"/>
      <c r="BN466"/>
      <c r="BO466"/>
      <c r="BP466"/>
      <c r="BQ466"/>
      <c r="BR466"/>
      <c r="BS466"/>
      <c r="BT466"/>
      <c r="BU466"/>
      <c r="BV466"/>
      <c r="BW466"/>
      <c r="BX466"/>
    </row>
    <row r="467" spans="1:76">
      <c r="A467" s="72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C467"/>
      <c r="BD467"/>
      <c r="BE467"/>
      <c r="BF467"/>
      <c r="BG467"/>
      <c r="BH467"/>
      <c r="BI467"/>
      <c r="BJ467"/>
      <c r="BK467"/>
      <c r="BL467"/>
      <c r="BM467"/>
      <c r="BN467"/>
      <c r="BO467"/>
      <c r="BP467"/>
      <c r="BQ467"/>
      <c r="BR467"/>
      <c r="BS467"/>
      <c r="BT467"/>
      <c r="BU467"/>
      <c r="BV467"/>
      <c r="BW467"/>
      <c r="BX467"/>
    </row>
    <row r="468" spans="1:76">
      <c r="A468" s="72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/>
      <c r="BD468"/>
      <c r="BE468"/>
      <c r="BF468"/>
      <c r="BG468"/>
      <c r="BH468"/>
      <c r="BI468"/>
      <c r="BJ468"/>
      <c r="BK468"/>
      <c r="BL468"/>
      <c r="BM468"/>
      <c r="BN468"/>
      <c r="BO468"/>
      <c r="BP468"/>
      <c r="BQ468"/>
      <c r="BR468"/>
      <c r="BS468"/>
      <c r="BT468"/>
      <c r="BU468"/>
      <c r="BV468"/>
      <c r="BW468"/>
      <c r="BX468"/>
    </row>
    <row r="469" spans="1:76">
      <c r="A469" s="72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C469"/>
      <c r="BD469"/>
      <c r="BE469"/>
      <c r="BF469"/>
      <c r="BG469"/>
      <c r="BH469"/>
      <c r="BI469"/>
      <c r="BJ469"/>
      <c r="BK469"/>
      <c r="BL469"/>
      <c r="BM469"/>
      <c r="BN469"/>
      <c r="BO469"/>
      <c r="BP469"/>
      <c r="BQ469"/>
      <c r="BR469"/>
      <c r="BS469"/>
      <c r="BT469"/>
      <c r="BU469"/>
      <c r="BV469"/>
      <c r="BW469"/>
      <c r="BX469"/>
    </row>
    <row r="470" spans="1:76">
      <c r="A470" s="72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C470"/>
      <c r="BD470"/>
      <c r="BE470"/>
      <c r="BF470"/>
      <c r="BG470"/>
      <c r="BH470"/>
      <c r="BI470"/>
      <c r="BJ470"/>
      <c r="BK470"/>
      <c r="BL470"/>
      <c r="BM470"/>
      <c r="BN470"/>
      <c r="BO470"/>
      <c r="BP470"/>
      <c r="BQ470"/>
      <c r="BR470"/>
      <c r="BS470"/>
      <c r="BT470"/>
      <c r="BU470"/>
      <c r="BV470"/>
      <c r="BW470"/>
      <c r="BX470"/>
    </row>
    <row r="471" spans="1:76">
      <c r="A471" s="72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C471"/>
      <c r="BD471"/>
      <c r="BE471"/>
      <c r="BF471"/>
      <c r="BG471"/>
      <c r="BH471"/>
      <c r="BI471"/>
      <c r="BJ471"/>
      <c r="BK471"/>
      <c r="BL471"/>
      <c r="BM471"/>
      <c r="BN471"/>
      <c r="BO471"/>
      <c r="BP471"/>
      <c r="BQ471"/>
      <c r="BR471"/>
      <c r="BS471"/>
      <c r="BT471"/>
      <c r="BU471"/>
      <c r="BV471"/>
      <c r="BW471"/>
      <c r="BX471"/>
    </row>
    <row r="472" spans="1:76">
      <c r="A472" s="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/>
      <c r="BD472"/>
      <c r="BE472"/>
      <c r="BF472"/>
      <c r="BG472"/>
      <c r="BH472"/>
      <c r="BI472"/>
      <c r="BJ472"/>
      <c r="BK472"/>
      <c r="BL472"/>
      <c r="BM472"/>
      <c r="BN472"/>
      <c r="BO472"/>
      <c r="BP472"/>
      <c r="BQ472"/>
      <c r="BR472"/>
      <c r="BS472"/>
      <c r="BT472"/>
      <c r="BU472"/>
      <c r="BV472"/>
      <c r="BW472"/>
      <c r="BX472"/>
    </row>
    <row r="473" spans="1:76">
      <c r="A473" s="72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  <c r="BA473"/>
      <c r="BB473"/>
      <c r="BC473"/>
      <c r="BD473"/>
      <c r="BE473"/>
      <c r="BF473"/>
      <c r="BG473"/>
      <c r="BH473"/>
      <c r="BI473"/>
      <c r="BJ473"/>
      <c r="BK473"/>
      <c r="BL473"/>
      <c r="BM473"/>
      <c r="BN473"/>
      <c r="BO473"/>
      <c r="BP473"/>
      <c r="BQ473"/>
      <c r="BR473"/>
      <c r="BS473"/>
      <c r="BT473"/>
      <c r="BU473"/>
      <c r="BV473"/>
      <c r="BW473"/>
      <c r="BX473"/>
    </row>
    <row r="474" spans="1:76">
      <c r="A474" s="72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  <c r="BB474"/>
      <c r="BC474"/>
      <c r="BD474"/>
      <c r="BE474"/>
      <c r="BF474"/>
      <c r="BG474"/>
      <c r="BH474"/>
      <c r="BI474"/>
      <c r="BJ474"/>
      <c r="BK474"/>
      <c r="BL474"/>
      <c r="BM474"/>
      <c r="BN474"/>
      <c r="BO474"/>
      <c r="BP474"/>
      <c r="BQ474"/>
      <c r="BR474"/>
      <c r="BS474"/>
      <c r="BT474"/>
      <c r="BU474"/>
      <c r="BV474"/>
      <c r="BW474"/>
      <c r="BX474"/>
    </row>
    <row r="475" spans="1:76">
      <c r="A475" s="72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  <c r="AY475"/>
      <c r="AZ475"/>
      <c r="BA475"/>
      <c r="BB475"/>
      <c r="BC475"/>
      <c r="BD475"/>
      <c r="BE475"/>
      <c r="BF475"/>
      <c r="BG475"/>
      <c r="BH475"/>
      <c r="BI475"/>
      <c r="BJ475"/>
      <c r="BK475"/>
      <c r="BL475"/>
      <c r="BM475"/>
      <c r="BN475"/>
      <c r="BO475"/>
      <c r="BP475"/>
      <c r="BQ475"/>
      <c r="BR475"/>
      <c r="BS475"/>
      <c r="BT475"/>
      <c r="BU475"/>
      <c r="BV475"/>
      <c r="BW475"/>
      <c r="BX475"/>
    </row>
    <row r="476" spans="1:76">
      <c r="A476" s="72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/>
      <c r="BD476"/>
      <c r="BE476"/>
      <c r="BF476"/>
      <c r="BG476"/>
      <c r="BH476"/>
      <c r="BI476"/>
      <c r="BJ476"/>
      <c r="BK476"/>
      <c r="BL476"/>
      <c r="BM476"/>
      <c r="BN476"/>
      <c r="BO476"/>
      <c r="BP476"/>
      <c r="BQ476"/>
      <c r="BR476"/>
      <c r="BS476"/>
      <c r="BT476"/>
      <c r="BU476"/>
      <c r="BV476"/>
      <c r="BW476"/>
      <c r="BX476"/>
    </row>
    <row r="477" spans="1:76">
      <c r="A477" s="72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  <c r="BB477"/>
      <c r="BC477"/>
      <c r="BD477"/>
      <c r="BE477"/>
      <c r="BF477"/>
      <c r="BG477"/>
      <c r="BH477"/>
      <c r="BI477"/>
      <c r="BJ477"/>
      <c r="BK477"/>
      <c r="BL477"/>
      <c r="BM477"/>
      <c r="BN477"/>
      <c r="BO477"/>
      <c r="BP477"/>
      <c r="BQ477"/>
      <c r="BR477"/>
      <c r="BS477"/>
      <c r="BT477"/>
      <c r="BU477"/>
      <c r="BV477"/>
      <c r="BW477"/>
      <c r="BX477"/>
    </row>
    <row r="478" spans="1:76">
      <c r="A478" s="72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  <c r="AZ478"/>
      <c r="BA478"/>
      <c r="BB478"/>
      <c r="BC478"/>
      <c r="BD478"/>
      <c r="BE478"/>
      <c r="BF478"/>
      <c r="BG478"/>
      <c r="BH478"/>
      <c r="BI478"/>
      <c r="BJ478"/>
      <c r="BK478"/>
      <c r="BL478"/>
      <c r="BM478"/>
      <c r="BN478"/>
      <c r="BO478"/>
      <c r="BP478"/>
      <c r="BQ478"/>
      <c r="BR478"/>
      <c r="BS478"/>
      <c r="BT478"/>
      <c r="BU478"/>
      <c r="BV478"/>
      <c r="BW478"/>
      <c r="BX478"/>
    </row>
    <row r="479" spans="1:76">
      <c r="A479" s="72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  <c r="BB479"/>
      <c r="BC479"/>
      <c r="BD479"/>
      <c r="BE479"/>
      <c r="BF479"/>
      <c r="BG479"/>
      <c r="BH479"/>
      <c r="BI479"/>
      <c r="BJ479"/>
      <c r="BK479"/>
      <c r="BL479"/>
      <c r="BM479"/>
      <c r="BN479"/>
      <c r="BO479"/>
      <c r="BP479"/>
      <c r="BQ479"/>
      <c r="BR479"/>
      <c r="BS479"/>
      <c r="BT479"/>
      <c r="BU479"/>
      <c r="BV479"/>
      <c r="BW479"/>
      <c r="BX479"/>
    </row>
    <row r="480" spans="1:76">
      <c r="A480" s="72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/>
      <c r="BD480"/>
      <c r="BE480"/>
      <c r="BF480"/>
      <c r="BG480"/>
      <c r="BH480"/>
      <c r="BI480"/>
      <c r="BJ480"/>
      <c r="BK480"/>
      <c r="BL480"/>
      <c r="BM480"/>
      <c r="BN480"/>
      <c r="BO480"/>
      <c r="BP480"/>
      <c r="BQ480"/>
      <c r="BR480"/>
      <c r="BS480"/>
      <c r="BT480"/>
      <c r="BU480"/>
      <c r="BV480"/>
      <c r="BW480"/>
      <c r="BX480"/>
    </row>
    <row r="481" spans="1:76">
      <c r="A481" s="72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  <c r="BB481"/>
      <c r="BC481"/>
      <c r="BD481"/>
      <c r="BE481"/>
      <c r="BF481"/>
      <c r="BG481"/>
      <c r="BH481"/>
      <c r="BI481"/>
      <c r="BJ481"/>
      <c r="BK481"/>
      <c r="BL481"/>
      <c r="BM481"/>
      <c r="BN481"/>
      <c r="BO481"/>
      <c r="BP481"/>
      <c r="BQ481"/>
      <c r="BR481"/>
      <c r="BS481"/>
      <c r="BT481"/>
      <c r="BU481"/>
      <c r="BV481"/>
      <c r="BW481"/>
      <c r="BX481"/>
    </row>
    <row r="482" spans="1:76">
      <c r="A482" s="7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  <c r="AY482"/>
      <c r="AZ482"/>
      <c r="BA482"/>
      <c r="BB482"/>
      <c r="BC482"/>
      <c r="BD482"/>
      <c r="BE482"/>
      <c r="BF482"/>
      <c r="BG482"/>
      <c r="BH482"/>
      <c r="BI482"/>
      <c r="BJ482"/>
      <c r="BK482"/>
      <c r="BL482"/>
      <c r="BM482"/>
      <c r="BN482"/>
      <c r="BO482"/>
      <c r="BP482"/>
      <c r="BQ482"/>
      <c r="BR482"/>
      <c r="BS482"/>
      <c r="BT482"/>
      <c r="BU482"/>
      <c r="BV482"/>
      <c r="BW482"/>
      <c r="BX482"/>
    </row>
    <row r="483" spans="1:76">
      <c r="A483" s="72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  <c r="AZ483"/>
      <c r="BA483"/>
      <c r="BB483"/>
      <c r="BC483"/>
      <c r="BD483"/>
      <c r="BE483"/>
      <c r="BF483"/>
      <c r="BG483"/>
      <c r="BH483"/>
      <c r="BI483"/>
      <c r="BJ483"/>
      <c r="BK483"/>
      <c r="BL483"/>
      <c r="BM483"/>
      <c r="BN483"/>
      <c r="BO483"/>
      <c r="BP483"/>
      <c r="BQ483"/>
      <c r="BR483"/>
      <c r="BS483"/>
      <c r="BT483"/>
      <c r="BU483"/>
      <c r="BV483"/>
      <c r="BW483"/>
      <c r="BX483"/>
    </row>
    <row r="484" spans="1:76">
      <c r="A484" s="72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  <c r="BC484"/>
      <c r="BD484"/>
      <c r="BE484"/>
      <c r="BF484"/>
      <c r="BG484"/>
      <c r="BH484"/>
      <c r="BI484"/>
      <c r="BJ484"/>
      <c r="BK484"/>
      <c r="BL484"/>
      <c r="BM484"/>
      <c r="BN484"/>
      <c r="BO484"/>
      <c r="BP484"/>
      <c r="BQ484"/>
      <c r="BR484"/>
      <c r="BS484"/>
      <c r="BT484"/>
      <c r="BU484"/>
      <c r="BV484"/>
      <c r="BW484"/>
      <c r="BX484"/>
    </row>
    <row r="485" spans="1:76">
      <c r="A485" s="72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/>
      <c r="AZ485"/>
      <c r="BA485"/>
      <c r="BB485"/>
      <c r="BC485"/>
      <c r="BD485"/>
      <c r="BE485"/>
      <c r="BF485"/>
      <c r="BG485"/>
      <c r="BH485"/>
      <c r="BI485"/>
      <c r="BJ485"/>
      <c r="BK485"/>
      <c r="BL485"/>
      <c r="BM485"/>
      <c r="BN485"/>
      <c r="BO485"/>
      <c r="BP485"/>
      <c r="BQ485"/>
      <c r="BR485"/>
      <c r="BS485"/>
      <c r="BT485"/>
      <c r="BU485"/>
      <c r="BV485"/>
      <c r="BW485"/>
      <c r="BX485"/>
    </row>
    <row r="486" spans="1:76">
      <c r="A486" s="72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  <c r="AY486"/>
      <c r="AZ486"/>
      <c r="BA486"/>
      <c r="BB486"/>
      <c r="BC486"/>
      <c r="BD486"/>
      <c r="BE486"/>
      <c r="BF486"/>
      <c r="BG486"/>
      <c r="BH486"/>
      <c r="BI486"/>
      <c r="BJ486"/>
      <c r="BK486"/>
      <c r="BL486"/>
      <c r="BM486"/>
      <c r="BN486"/>
      <c r="BO486"/>
      <c r="BP486"/>
      <c r="BQ486"/>
      <c r="BR486"/>
      <c r="BS486"/>
      <c r="BT486"/>
      <c r="BU486"/>
      <c r="BV486"/>
      <c r="BW486"/>
      <c r="BX486"/>
    </row>
    <row r="487" spans="1:76">
      <c r="A487" s="72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  <c r="AY487"/>
      <c r="AZ487"/>
      <c r="BA487"/>
      <c r="BB487"/>
      <c r="BC487"/>
      <c r="BD487"/>
      <c r="BE487"/>
      <c r="BF487"/>
      <c r="BG487"/>
      <c r="BH487"/>
      <c r="BI487"/>
      <c r="BJ487"/>
      <c r="BK487"/>
      <c r="BL487"/>
      <c r="BM487"/>
      <c r="BN487"/>
      <c r="BO487"/>
      <c r="BP487"/>
      <c r="BQ487"/>
      <c r="BR487"/>
      <c r="BS487"/>
      <c r="BT487"/>
      <c r="BU487"/>
      <c r="BV487"/>
      <c r="BW487"/>
      <c r="BX487"/>
    </row>
    <row r="488" spans="1:76">
      <c r="A488" s="72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/>
      <c r="BD488"/>
      <c r="BE488"/>
      <c r="BF488"/>
      <c r="BG488"/>
      <c r="BH488"/>
      <c r="BI488"/>
      <c r="BJ488"/>
      <c r="BK488"/>
      <c r="BL488"/>
      <c r="BM488"/>
      <c r="BN488"/>
      <c r="BO488"/>
      <c r="BP488"/>
      <c r="BQ488"/>
      <c r="BR488"/>
      <c r="BS488"/>
      <c r="BT488"/>
      <c r="BU488"/>
      <c r="BV488"/>
      <c r="BW488"/>
      <c r="BX488"/>
    </row>
    <row r="489" spans="1:76">
      <c r="A489" s="72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  <c r="AZ489"/>
      <c r="BA489"/>
      <c r="BB489"/>
      <c r="BC489"/>
      <c r="BD489"/>
      <c r="BE489"/>
      <c r="BF489"/>
      <c r="BG489"/>
      <c r="BH489"/>
      <c r="BI489"/>
      <c r="BJ489"/>
      <c r="BK489"/>
      <c r="BL489"/>
      <c r="BM489"/>
      <c r="BN489"/>
      <c r="BO489"/>
      <c r="BP489"/>
      <c r="BQ489"/>
      <c r="BR489"/>
      <c r="BS489"/>
      <c r="BT489"/>
      <c r="BU489"/>
      <c r="BV489"/>
      <c r="BW489"/>
      <c r="BX489"/>
    </row>
    <row r="490" spans="1:76">
      <c r="A490" s="72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  <c r="AZ490"/>
      <c r="BA490"/>
      <c r="BB490"/>
      <c r="BC490"/>
      <c r="BD490"/>
      <c r="BE490"/>
      <c r="BF490"/>
      <c r="BG490"/>
      <c r="BH490"/>
      <c r="BI490"/>
      <c r="BJ490"/>
      <c r="BK490"/>
      <c r="BL490"/>
      <c r="BM490"/>
      <c r="BN490"/>
      <c r="BO490"/>
      <c r="BP490"/>
      <c r="BQ490"/>
      <c r="BR490"/>
      <c r="BS490"/>
      <c r="BT490"/>
      <c r="BU490"/>
      <c r="BV490"/>
      <c r="BW490"/>
      <c r="BX490"/>
    </row>
    <row r="491" spans="1:76">
      <c r="A491" s="72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  <c r="AY491"/>
      <c r="AZ491"/>
      <c r="BA491"/>
      <c r="BB491"/>
      <c r="BC491"/>
      <c r="BD491"/>
      <c r="BE491"/>
      <c r="BF491"/>
      <c r="BG491"/>
      <c r="BH491"/>
      <c r="BI491"/>
      <c r="BJ491"/>
      <c r="BK491"/>
      <c r="BL491"/>
      <c r="BM491"/>
      <c r="BN491"/>
      <c r="BO491"/>
      <c r="BP491"/>
      <c r="BQ491"/>
      <c r="BR491"/>
      <c r="BS491"/>
      <c r="BT491"/>
      <c r="BU491"/>
      <c r="BV491"/>
      <c r="BW491"/>
      <c r="BX491"/>
    </row>
    <row r="492" spans="1:76">
      <c r="A492" s="7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  <c r="BC492"/>
      <c r="BD492"/>
      <c r="BE492"/>
      <c r="BF492"/>
      <c r="BG492"/>
      <c r="BH492"/>
      <c r="BI492"/>
      <c r="BJ492"/>
      <c r="BK492"/>
      <c r="BL492"/>
      <c r="BM492"/>
      <c r="BN492"/>
      <c r="BO492"/>
      <c r="BP492"/>
      <c r="BQ492"/>
      <c r="BR492"/>
      <c r="BS492"/>
      <c r="BT492"/>
      <c r="BU492"/>
      <c r="BV492"/>
      <c r="BW492"/>
      <c r="BX492"/>
    </row>
    <row r="493" spans="1:76">
      <c r="A493" s="72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  <c r="AZ493"/>
      <c r="BA493"/>
      <c r="BB493"/>
      <c r="BC493"/>
      <c r="BD493"/>
      <c r="BE493"/>
      <c r="BF493"/>
      <c r="BG493"/>
      <c r="BH493"/>
      <c r="BI493"/>
      <c r="BJ493"/>
      <c r="BK493"/>
      <c r="BL493"/>
      <c r="BM493"/>
      <c r="BN493"/>
      <c r="BO493"/>
      <c r="BP493"/>
      <c r="BQ493"/>
      <c r="BR493"/>
      <c r="BS493"/>
      <c r="BT493"/>
      <c r="BU493"/>
      <c r="BV493"/>
      <c r="BW493"/>
      <c r="BX493"/>
    </row>
    <row r="494" spans="1:76">
      <c r="A494" s="72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  <c r="AY494"/>
      <c r="AZ494"/>
      <c r="BA494"/>
      <c r="BB494"/>
      <c r="BC494"/>
      <c r="BD494"/>
      <c r="BE494"/>
      <c r="BF494"/>
      <c r="BG494"/>
      <c r="BH494"/>
      <c r="BI494"/>
      <c r="BJ494"/>
      <c r="BK494"/>
      <c r="BL494"/>
      <c r="BM494"/>
      <c r="BN494"/>
      <c r="BO494"/>
      <c r="BP494"/>
      <c r="BQ494"/>
      <c r="BR494"/>
      <c r="BS494"/>
      <c r="BT494"/>
      <c r="BU494"/>
      <c r="BV494"/>
      <c r="BW494"/>
      <c r="BX494"/>
    </row>
    <row r="495" spans="1:76">
      <c r="A495" s="72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  <c r="AZ495"/>
      <c r="BA495"/>
      <c r="BB495"/>
      <c r="BC495"/>
      <c r="BD495"/>
      <c r="BE495"/>
      <c r="BF495"/>
      <c r="BG495"/>
      <c r="BH495"/>
      <c r="BI495"/>
      <c r="BJ495"/>
      <c r="BK495"/>
      <c r="BL495"/>
      <c r="BM495"/>
      <c r="BN495"/>
      <c r="BO495"/>
      <c r="BP495"/>
      <c r="BQ495"/>
      <c r="BR495"/>
      <c r="BS495"/>
      <c r="BT495"/>
      <c r="BU495"/>
      <c r="BV495"/>
      <c r="BW495"/>
      <c r="BX495"/>
    </row>
    <row r="496" spans="1:76">
      <c r="A496" s="72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  <c r="BC496"/>
      <c r="BD496"/>
      <c r="BE496"/>
      <c r="BF496"/>
      <c r="BG496"/>
      <c r="BH496"/>
      <c r="BI496"/>
      <c r="BJ496"/>
      <c r="BK496"/>
      <c r="BL496"/>
      <c r="BM496"/>
      <c r="BN496"/>
      <c r="BO496"/>
      <c r="BP496"/>
      <c r="BQ496"/>
      <c r="BR496"/>
      <c r="BS496"/>
      <c r="BT496"/>
      <c r="BU496"/>
      <c r="BV496"/>
      <c r="BW496"/>
      <c r="BX496"/>
    </row>
    <row r="497" spans="1:76">
      <c r="A497" s="72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  <c r="AZ497"/>
      <c r="BA497"/>
      <c r="BB497"/>
      <c r="BC497"/>
      <c r="BD497"/>
      <c r="BE497"/>
      <c r="BF497"/>
      <c r="BG497"/>
      <c r="BH497"/>
      <c r="BI497"/>
      <c r="BJ497"/>
      <c r="BK497"/>
      <c r="BL497"/>
      <c r="BM497"/>
      <c r="BN497"/>
      <c r="BO497"/>
      <c r="BP497"/>
      <c r="BQ497"/>
      <c r="BR497"/>
      <c r="BS497"/>
      <c r="BT497"/>
      <c r="BU497"/>
      <c r="BV497"/>
      <c r="BW497"/>
      <c r="BX497"/>
    </row>
    <row r="498" spans="1:76">
      <c r="A498" s="72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  <c r="AZ498"/>
      <c r="BA498"/>
      <c r="BB498"/>
      <c r="BC498"/>
      <c r="BD498"/>
      <c r="BE498"/>
      <c r="BF498"/>
      <c r="BG498"/>
      <c r="BH498"/>
      <c r="BI498"/>
      <c r="BJ498"/>
      <c r="BK498"/>
      <c r="BL498"/>
      <c r="BM498"/>
      <c r="BN498"/>
      <c r="BO498"/>
      <c r="BP498"/>
      <c r="BQ498"/>
      <c r="BR498"/>
      <c r="BS498"/>
      <c r="BT498"/>
      <c r="BU498"/>
      <c r="BV498"/>
      <c r="BW498"/>
      <c r="BX498"/>
    </row>
    <row r="499" spans="1:76">
      <c r="A499" s="72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/>
      <c r="BA499"/>
      <c r="BB499"/>
      <c r="BC499"/>
      <c r="BD499"/>
      <c r="BE499"/>
      <c r="BF499"/>
      <c r="BG499"/>
      <c r="BH499"/>
      <c r="BI499"/>
      <c r="BJ499"/>
      <c r="BK499"/>
      <c r="BL499"/>
      <c r="BM499"/>
      <c r="BN499"/>
      <c r="BO499"/>
      <c r="BP499"/>
      <c r="BQ499"/>
      <c r="BR499"/>
      <c r="BS499"/>
      <c r="BT499"/>
      <c r="BU499"/>
      <c r="BV499"/>
      <c r="BW499"/>
      <c r="BX499"/>
    </row>
    <row r="500" spans="1:76">
      <c r="A500" s="72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  <c r="AZ500"/>
      <c r="BA500"/>
      <c r="BB500"/>
      <c r="BC500"/>
      <c r="BD500"/>
      <c r="BE500"/>
      <c r="BF500"/>
      <c r="BG500"/>
      <c r="BH500"/>
      <c r="BI500"/>
      <c r="BJ500"/>
      <c r="BK500"/>
      <c r="BL500"/>
      <c r="BM500"/>
      <c r="BN500"/>
      <c r="BO500"/>
      <c r="BP500"/>
      <c r="BQ500"/>
      <c r="BR500"/>
      <c r="BS500"/>
      <c r="BT500"/>
      <c r="BU500"/>
      <c r="BV500"/>
      <c r="BW500"/>
      <c r="BX500"/>
    </row>
    <row r="501" spans="1:76">
      <c r="A501" s="72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  <c r="BB501"/>
      <c r="BC501"/>
      <c r="BD501"/>
      <c r="BE501"/>
      <c r="BF501"/>
      <c r="BG501"/>
      <c r="BH501"/>
      <c r="BI501"/>
      <c r="BJ501"/>
      <c r="BK501"/>
      <c r="BL501"/>
      <c r="BM501"/>
      <c r="BN501"/>
      <c r="BO501"/>
      <c r="BP501"/>
      <c r="BQ501"/>
      <c r="BR501"/>
      <c r="BS501"/>
      <c r="BT501"/>
      <c r="BU501"/>
      <c r="BV501"/>
      <c r="BW501"/>
      <c r="BX501"/>
    </row>
    <row r="502" spans="1:76">
      <c r="A502" s="7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  <c r="AY502"/>
      <c r="AZ502"/>
      <c r="BA502"/>
      <c r="BB502"/>
      <c r="BC502"/>
      <c r="BD502"/>
      <c r="BE502"/>
      <c r="BF502"/>
      <c r="BG502"/>
      <c r="BH502"/>
      <c r="BI502"/>
      <c r="BJ502"/>
      <c r="BK502"/>
      <c r="BL502"/>
      <c r="BM502"/>
      <c r="BN502"/>
      <c r="BO502"/>
      <c r="BP502"/>
      <c r="BQ502"/>
      <c r="BR502"/>
      <c r="BS502"/>
      <c r="BT502"/>
      <c r="BU502"/>
      <c r="BV502"/>
      <c r="BW502"/>
      <c r="BX502"/>
    </row>
    <row r="503" spans="1:76">
      <c r="A503" s="72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/>
      <c r="AZ503"/>
      <c r="BA503"/>
      <c r="BB503"/>
      <c r="BC503"/>
      <c r="BD503"/>
      <c r="BE503"/>
      <c r="BF503"/>
      <c r="BG503"/>
      <c r="BH503"/>
      <c r="BI503"/>
      <c r="BJ503"/>
      <c r="BK503"/>
      <c r="BL503"/>
      <c r="BM503"/>
      <c r="BN503"/>
      <c r="BO503"/>
      <c r="BP503"/>
      <c r="BQ503"/>
      <c r="BR503"/>
      <c r="BS503"/>
      <c r="BT503"/>
      <c r="BU503"/>
      <c r="BV503"/>
      <c r="BW503"/>
      <c r="BX503"/>
    </row>
    <row r="504" spans="1:76">
      <c r="A504" s="72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  <c r="AY504"/>
      <c r="AZ504"/>
      <c r="BA504"/>
      <c r="BB504"/>
      <c r="BC504"/>
      <c r="BD504"/>
      <c r="BE504"/>
      <c r="BF504"/>
      <c r="BG504"/>
      <c r="BH504"/>
      <c r="BI504"/>
      <c r="BJ504"/>
      <c r="BK504"/>
      <c r="BL504"/>
      <c r="BM504"/>
      <c r="BN504"/>
      <c r="BO504"/>
      <c r="BP504"/>
      <c r="BQ504"/>
      <c r="BR504"/>
      <c r="BS504"/>
      <c r="BT504"/>
      <c r="BU504"/>
      <c r="BV504"/>
      <c r="BW504"/>
      <c r="BX504"/>
    </row>
    <row r="505" spans="1:76">
      <c r="A505" s="72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  <c r="AY505"/>
      <c r="AZ505"/>
      <c r="BA505"/>
      <c r="BB505"/>
      <c r="BC505"/>
      <c r="BD505"/>
      <c r="BE505"/>
      <c r="BF505"/>
      <c r="BG505"/>
      <c r="BH505"/>
      <c r="BI505"/>
      <c r="BJ505"/>
      <c r="BK505"/>
      <c r="BL505"/>
      <c r="BM505"/>
      <c r="BN505"/>
      <c r="BO505"/>
      <c r="BP505"/>
      <c r="BQ505"/>
      <c r="BR505"/>
      <c r="BS505"/>
      <c r="BT505"/>
      <c r="BU505"/>
      <c r="BV505"/>
      <c r="BW505"/>
      <c r="BX505"/>
    </row>
    <row r="506" spans="1:76">
      <c r="A506" s="72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  <c r="AY506"/>
      <c r="AZ506"/>
      <c r="BA506"/>
      <c r="BB506"/>
      <c r="BC506"/>
      <c r="BD506"/>
      <c r="BE506"/>
      <c r="BF506"/>
      <c r="BG506"/>
      <c r="BH506"/>
      <c r="BI506"/>
      <c r="BJ506"/>
      <c r="BK506"/>
      <c r="BL506"/>
      <c r="BM506"/>
      <c r="BN506"/>
      <c r="BO506"/>
      <c r="BP506"/>
      <c r="BQ506"/>
      <c r="BR506"/>
      <c r="BS506"/>
      <c r="BT506"/>
      <c r="BU506"/>
      <c r="BV506"/>
      <c r="BW506"/>
      <c r="BX506"/>
    </row>
    <row r="507" spans="1:76">
      <c r="A507" s="72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  <c r="AY507"/>
      <c r="AZ507"/>
      <c r="BA507"/>
      <c r="BB507"/>
      <c r="BC507"/>
      <c r="BD507"/>
      <c r="BE507"/>
      <c r="BF507"/>
      <c r="BG507"/>
      <c r="BH507"/>
      <c r="BI507"/>
      <c r="BJ507"/>
      <c r="BK507"/>
      <c r="BL507"/>
      <c r="BM507"/>
      <c r="BN507"/>
      <c r="BO507"/>
      <c r="BP507"/>
      <c r="BQ507"/>
      <c r="BR507"/>
      <c r="BS507"/>
      <c r="BT507"/>
      <c r="BU507"/>
      <c r="BV507"/>
      <c r="BW507"/>
      <c r="BX507"/>
    </row>
    <row r="508" spans="1:76">
      <c r="A508" s="72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  <c r="AY508"/>
      <c r="AZ508"/>
      <c r="BA508"/>
      <c r="BB508"/>
      <c r="BC508"/>
      <c r="BD508"/>
      <c r="BE508"/>
      <c r="BF508"/>
      <c r="BG508"/>
      <c r="BH508"/>
      <c r="BI508"/>
      <c r="BJ508"/>
      <c r="BK508"/>
      <c r="BL508"/>
      <c r="BM508"/>
      <c r="BN508"/>
      <c r="BO508"/>
      <c r="BP508"/>
      <c r="BQ508"/>
      <c r="BR508"/>
      <c r="BS508"/>
      <c r="BT508"/>
      <c r="BU508"/>
      <c r="BV508"/>
      <c r="BW508"/>
      <c r="BX508"/>
    </row>
    <row r="509" spans="1:76">
      <c r="A509" s="72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  <c r="AY509"/>
      <c r="AZ509"/>
      <c r="BA509"/>
      <c r="BB509"/>
      <c r="BC509"/>
      <c r="BD509"/>
      <c r="BE509"/>
      <c r="BF509"/>
      <c r="BG509"/>
      <c r="BH509"/>
      <c r="BI509"/>
      <c r="BJ509"/>
      <c r="BK509"/>
      <c r="BL509"/>
      <c r="BM509"/>
      <c r="BN509"/>
      <c r="BO509"/>
      <c r="BP509"/>
      <c r="BQ509"/>
      <c r="BR509"/>
      <c r="BS509"/>
      <c r="BT509"/>
      <c r="BU509"/>
      <c r="BV509"/>
      <c r="BW509"/>
      <c r="BX509"/>
    </row>
    <row r="510" spans="1:76">
      <c r="A510" s="72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/>
      <c r="AR510"/>
      <c r="AS510"/>
      <c r="AT510"/>
      <c r="AU510"/>
      <c r="AV510"/>
      <c r="AW510"/>
      <c r="AX510"/>
      <c r="AY510"/>
      <c r="AZ510"/>
      <c r="BA510"/>
      <c r="BB510"/>
      <c r="BC510"/>
      <c r="BD510"/>
      <c r="BE510"/>
      <c r="BF510"/>
      <c r="BG510"/>
      <c r="BH510"/>
      <c r="BI510"/>
      <c r="BJ510"/>
      <c r="BK510"/>
      <c r="BL510"/>
      <c r="BM510"/>
      <c r="BN510"/>
      <c r="BO510"/>
      <c r="BP510"/>
      <c r="BQ510"/>
      <c r="BR510"/>
      <c r="BS510"/>
      <c r="BT510"/>
      <c r="BU510"/>
      <c r="BV510"/>
      <c r="BW510"/>
      <c r="BX510"/>
    </row>
    <row r="511" spans="1:76">
      <c r="A511" s="72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  <c r="AY511"/>
      <c r="AZ511"/>
      <c r="BA511"/>
      <c r="BB511"/>
      <c r="BC511"/>
      <c r="BD511"/>
      <c r="BE511"/>
      <c r="BF511"/>
      <c r="BG511"/>
      <c r="BH511"/>
      <c r="BI511"/>
      <c r="BJ511"/>
      <c r="BK511"/>
      <c r="BL511"/>
      <c r="BM511"/>
      <c r="BN511"/>
      <c r="BO511"/>
      <c r="BP511"/>
      <c r="BQ511"/>
      <c r="BR511"/>
      <c r="BS511"/>
      <c r="BT511"/>
      <c r="BU511"/>
      <c r="BV511"/>
      <c r="BW511"/>
      <c r="BX511"/>
    </row>
    <row r="512" spans="1:76">
      <c r="A512" s="7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  <c r="AY512"/>
      <c r="AZ512"/>
      <c r="BA512"/>
      <c r="BB512"/>
      <c r="BC512"/>
      <c r="BD512"/>
      <c r="BE512"/>
      <c r="BF512"/>
      <c r="BG512"/>
      <c r="BH512"/>
      <c r="BI512"/>
      <c r="BJ512"/>
      <c r="BK512"/>
      <c r="BL512"/>
      <c r="BM512"/>
      <c r="BN512"/>
      <c r="BO512"/>
      <c r="BP512"/>
      <c r="BQ512"/>
      <c r="BR512"/>
      <c r="BS512"/>
      <c r="BT512"/>
      <c r="BU512"/>
      <c r="BV512"/>
      <c r="BW512"/>
      <c r="BX512"/>
    </row>
    <row r="513" spans="1:76">
      <c r="A513" s="72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/>
      <c r="AG513"/>
      <c r="AH513"/>
      <c r="AI513"/>
      <c r="AJ513"/>
      <c r="AK513"/>
      <c r="AL513"/>
      <c r="AM513"/>
      <c r="AN513"/>
      <c r="AO513"/>
      <c r="AP513"/>
      <c r="AQ513"/>
      <c r="AR513"/>
      <c r="AS513"/>
      <c r="AT513"/>
      <c r="AU513"/>
      <c r="AV513"/>
      <c r="AW513"/>
      <c r="AX513"/>
      <c r="AY513"/>
      <c r="AZ513"/>
      <c r="BA513"/>
      <c r="BB513"/>
      <c r="BC513"/>
      <c r="BD513"/>
      <c r="BE513"/>
      <c r="BF513"/>
      <c r="BG513"/>
      <c r="BH513"/>
      <c r="BI513"/>
      <c r="BJ513"/>
      <c r="BK513"/>
      <c r="BL513"/>
      <c r="BM513"/>
      <c r="BN513"/>
      <c r="BO513"/>
      <c r="BP513"/>
      <c r="BQ513"/>
      <c r="BR513"/>
      <c r="BS513"/>
      <c r="BT513"/>
      <c r="BU513"/>
      <c r="BV513"/>
      <c r="BW513"/>
      <c r="BX513"/>
    </row>
    <row r="514" spans="1:76">
      <c r="A514" s="72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  <c r="AZ514"/>
      <c r="BA514"/>
      <c r="BB514"/>
      <c r="BC514"/>
      <c r="BD514"/>
      <c r="BE514"/>
      <c r="BF514"/>
      <c r="BG514"/>
      <c r="BH514"/>
      <c r="BI514"/>
      <c r="BJ514"/>
      <c r="BK514"/>
      <c r="BL514"/>
      <c r="BM514"/>
      <c r="BN514"/>
      <c r="BO514"/>
      <c r="BP514"/>
      <c r="BQ514"/>
      <c r="BR514"/>
      <c r="BS514"/>
      <c r="BT514"/>
      <c r="BU514"/>
      <c r="BV514"/>
      <c r="BW514"/>
      <c r="BX514"/>
    </row>
    <row r="515" spans="1:76">
      <c r="A515" s="72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  <c r="AY515"/>
      <c r="AZ515"/>
      <c r="BA515"/>
      <c r="BB515"/>
      <c r="BC515"/>
      <c r="BD515"/>
      <c r="BE515"/>
      <c r="BF515"/>
      <c r="BG515"/>
      <c r="BH515"/>
      <c r="BI515"/>
      <c r="BJ515"/>
      <c r="BK515"/>
      <c r="BL515"/>
      <c r="BM515"/>
      <c r="BN515"/>
      <c r="BO515"/>
      <c r="BP515"/>
      <c r="BQ515"/>
      <c r="BR515"/>
      <c r="BS515"/>
      <c r="BT515"/>
      <c r="BU515"/>
      <c r="BV515"/>
      <c r="BW515"/>
      <c r="BX515"/>
    </row>
    <row r="516" spans="1:76">
      <c r="A516" s="72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  <c r="AJ516"/>
      <c r="AK516"/>
      <c r="AL516"/>
      <c r="AM516"/>
      <c r="AN516"/>
      <c r="AO516"/>
      <c r="AP516"/>
      <c r="AQ516"/>
      <c r="AR516"/>
      <c r="AS516"/>
      <c r="AT516"/>
      <c r="AU516"/>
      <c r="AV516"/>
      <c r="AW516"/>
      <c r="AX516"/>
      <c r="AY516"/>
      <c r="AZ516"/>
      <c r="BA516"/>
      <c r="BB516"/>
      <c r="BC516"/>
      <c r="BD516"/>
      <c r="BE516"/>
      <c r="BF516"/>
      <c r="BG516"/>
      <c r="BH516"/>
      <c r="BI516"/>
      <c r="BJ516"/>
      <c r="BK516"/>
      <c r="BL516"/>
      <c r="BM516"/>
      <c r="BN516"/>
      <c r="BO516"/>
      <c r="BP516"/>
      <c r="BQ516"/>
      <c r="BR516"/>
      <c r="BS516"/>
      <c r="BT516"/>
      <c r="BU516"/>
      <c r="BV516"/>
      <c r="BW516"/>
      <c r="BX516"/>
    </row>
    <row r="517" spans="1:76">
      <c r="A517" s="72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  <c r="AZ517"/>
      <c r="BA517"/>
      <c r="BB517"/>
      <c r="BC517"/>
      <c r="BD517"/>
      <c r="BE517"/>
      <c r="BF517"/>
      <c r="BG517"/>
      <c r="BH517"/>
      <c r="BI517"/>
      <c r="BJ517"/>
      <c r="BK517"/>
      <c r="BL517"/>
      <c r="BM517"/>
      <c r="BN517"/>
      <c r="BO517"/>
      <c r="BP517"/>
      <c r="BQ517"/>
      <c r="BR517"/>
      <c r="BS517"/>
      <c r="BT517"/>
      <c r="BU517"/>
      <c r="BV517"/>
      <c r="BW517"/>
      <c r="BX517"/>
    </row>
    <row r="518" spans="1:76">
      <c r="A518" s="72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/>
      <c r="AR518"/>
      <c r="AS518"/>
      <c r="AT518"/>
      <c r="AU518"/>
      <c r="AV518"/>
      <c r="AW518"/>
      <c r="AX518"/>
      <c r="AY518"/>
      <c r="AZ518"/>
      <c r="BA518"/>
      <c r="BB518"/>
      <c r="BC518"/>
      <c r="BD518"/>
      <c r="BE518"/>
      <c r="BF518"/>
      <c r="BG518"/>
      <c r="BH518"/>
      <c r="BI518"/>
      <c r="BJ518"/>
      <c r="BK518"/>
      <c r="BL518"/>
      <c r="BM518"/>
      <c r="BN518"/>
      <c r="BO518"/>
      <c r="BP518"/>
      <c r="BQ518"/>
      <c r="BR518"/>
      <c r="BS518"/>
      <c r="BT518"/>
      <c r="BU518"/>
      <c r="BV518"/>
      <c r="BW518"/>
      <c r="BX518"/>
    </row>
    <row r="519" spans="1:76">
      <c r="A519" s="72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  <c r="AY519"/>
      <c r="AZ519"/>
      <c r="BA519"/>
      <c r="BB519"/>
      <c r="BC519"/>
      <c r="BD519"/>
      <c r="BE519"/>
      <c r="BF519"/>
      <c r="BG519"/>
      <c r="BH519"/>
      <c r="BI519"/>
      <c r="BJ519"/>
      <c r="BK519"/>
      <c r="BL519"/>
      <c r="BM519"/>
      <c r="BN519"/>
      <c r="BO519"/>
      <c r="BP519"/>
      <c r="BQ519"/>
      <c r="BR519"/>
      <c r="BS519"/>
      <c r="BT519"/>
      <c r="BU519"/>
      <c r="BV519"/>
      <c r="BW519"/>
      <c r="BX519"/>
    </row>
    <row r="520" spans="1:76">
      <c r="A520" s="72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  <c r="AY520"/>
      <c r="AZ520"/>
      <c r="BA520"/>
      <c r="BB520"/>
      <c r="BC520"/>
      <c r="BD520"/>
      <c r="BE520"/>
      <c r="BF520"/>
      <c r="BG520"/>
      <c r="BH520"/>
      <c r="BI520"/>
      <c r="BJ520"/>
      <c r="BK520"/>
      <c r="BL520"/>
      <c r="BM520"/>
      <c r="BN520"/>
      <c r="BO520"/>
      <c r="BP520"/>
      <c r="BQ520"/>
      <c r="BR520"/>
      <c r="BS520"/>
      <c r="BT520"/>
      <c r="BU520"/>
      <c r="BV520"/>
      <c r="BW520"/>
      <c r="BX520"/>
    </row>
    <row r="521" spans="1:76">
      <c r="A521" s="72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  <c r="AG521"/>
      <c r="AH521"/>
      <c r="AI521"/>
      <c r="AJ521"/>
      <c r="AK521"/>
      <c r="AL521"/>
      <c r="AM521"/>
      <c r="AN521"/>
      <c r="AO521"/>
      <c r="AP521"/>
      <c r="AQ521"/>
      <c r="AR521"/>
      <c r="AS521"/>
      <c r="AT521"/>
      <c r="AU521"/>
      <c r="AV521"/>
      <c r="AW521"/>
      <c r="AX521"/>
      <c r="AY521"/>
      <c r="AZ521"/>
      <c r="BA521"/>
      <c r="BB521"/>
      <c r="BC521"/>
      <c r="BD521"/>
      <c r="BE521"/>
      <c r="BF521"/>
      <c r="BG521"/>
      <c r="BH521"/>
      <c r="BI521"/>
      <c r="BJ521"/>
      <c r="BK521"/>
      <c r="BL521"/>
      <c r="BM521"/>
      <c r="BN521"/>
      <c r="BO521"/>
      <c r="BP521"/>
      <c r="BQ521"/>
      <c r="BR521"/>
      <c r="BS521"/>
      <c r="BT521"/>
      <c r="BU521"/>
      <c r="BV521"/>
      <c r="BW521"/>
      <c r="BX521"/>
    </row>
    <row r="522" spans="1:76">
      <c r="A522" s="7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/>
      <c r="AG522"/>
      <c r="AH522"/>
      <c r="AI522"/>
      <c r="AJ522"/>
      <c r="AK522"/>
      <c r="AL522"/>
      <c r="AM522"/>
      <c r="AN522"/>
      <c r="AO522"/>
      <c r="AP522"/>
      <c r="AQ522"/>
      <c r="AR522"/>
      <c r="AS522"/>
      <c r="AT522"/>
      <c r="AU522"/>
      <c r="AV522"/>
      <c r="AW522"/>
      <c r="AX522"/>
      <c r="AY522"/>
      <c r="AZ522"/>
      <c r="BA522"/>
      <c r="BB522"/>
      <c r="BC522"/>
      <c r="BD522"/>
      <c r="BE522"/>
      <c r="BF522"/>
      <c r="BG522"/>
      <c r="BH522"/>
      <c r="BI522"/>
      <c r="BJ522"/>
      <c r="BK522"/>
      <c r="BL522"/>
      <c r="BM522"/>
      <c r="BN522"/>
      <c r="BO522"/>
      <c r="BP522"/>
      <c r="BQ522"/>
      <c r="BR522"/>
      <c r="BS522"/>
      <c r="BT522"/>
      <c r="BU522"/>
      <c r="BV522"/>
      <c r="BW522"/>
      <c r="BX522"/>
    </row>
    <row r="523" spans="1:76">
      <c r="A523" s="72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/>
      <c r="AK523"/>
      <c r="AL523"/>
      <c r="AM523"/>
      <c r="AN523"/>
      <c r="AO523"/>
      <c r="AP523"/>
      <c r="AQ523"/>
      <c r="AR523"/>
      <c r="AS523"/>
      <c r="AT523"/>
      <c r="AU523"/>
      <c r="AV523"/>
      <c r="AW523"/>
      <c r="AX523"/>
      <c r="AY523"/>
      <c r="AZ523"/>
      <c r="BA523"/>
      <c r="BB523"/>
      <c r="BC523"/>
      <c r="BD523"/>
      <c r="BE523"/>
      <c r="BF523"/>
      <c r="BG523"/>
      <c r="BH523"/>
      <c r="BI523"/>
      <c r="BJ523"/>
      <c r="BK523"/>
      <c r="BL523"/>
      <c r="BM523"/>
      <c r="BN523"/>
      <c r="BO523"/>
      <c r="BP523"/>
      <c r="BQ523"/>
      <c r="BR523"/>
      <c r="BS523"/>
      <c r="BT523"/>
      <c r="BU523"/>
      <c r="BV523"/>
      <c r="BW523"/>
      <c r="BX523"/>
    </row>
    <row r="524" spans="1:76">
      <c r="A524" s="72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/>
      <c r="AK524"/>
      <c r="AL524"/>
      <c r="AM524"/>
      <c r="AN524"/>
      <c r="AO524"/>
      <c r="AP524"/>
      <c r="AQ524"/>
      <c r="AR524"/>
      <c r="AS524"/>
      <c r="AT524"/>
      <c r="AU524"/>
      <c r="AV524"/>
      <c r="AW524"/>
      <c r="AX524"/>
      <c r="AY524"/>
      <c r="AZ524"/>
      <c r="BA524"/>
      <c r="BB524"/>
      <c r="BC524"/>
      <c r="BD524"/>
      <c r="BE524"/>
      <c r="BF524"/>
      <c r="BG524"/>
      <c r="BH524"/>
      <c r="BI524"/>
      <c r="BJ524"/>
      <c r="BK524"/>
      <c r="BL524"/>
      <c r="BM524"/>
      <c r="BN524"/>
      <c r="BO524"/>
      <c r="BP524"/>
      <c r="BQ524"/>
      <c r="BR524"/>
      <c r="BS524"/>
      <c r="BT524"/>
      <c r="BU524"/>
      <c r="BV524"/>
      <c r="BW524"/>
      <c r="BX524"/>
    </row>
    <row r="525" spans="1:76">
      <c r="A525" s="72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V525"/>
      <c r="AW525"/>
      <c r="AX525"/>
      <c r="AY525"/>
      <c r="AZ525"/>
      <c r="BA525"/>
      <c r="BB525"/>
      <c r="BC525"/>
      <c r="BD525"/>
      <c r="BE525"/>
      <c r="BF525"/>
      <c r="BG525"/>
      <c r="BH525"/>
      <c r="BI525"/>
      <c r="BJ525"/>
      <c r="BK525"/>
      <c r="BL525"/>
      <c r="BM525"/>
      <c r="BN525"/>
      <c r="BO525"/>
      <c r="BP525"/>
      <c r="BQ525"/>
      <c r="BR525"/>
      <c r="BS525"/>
      <c r="BT525"/>
      <c r="BU525"/>
      <c r="BV525"/>
      <c r="BW525"/>
      <c r="BX525"/>
    </row>
    <row r="526" spans="1:76">
      <c r="A526" s="72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/>
      <c r="AG526"/>
      <c r="AH526"/>
      <c r="AI526"/>
      <c r="AJ526"/>
      <c r="AK526"/>
      <c r="AL526"/>
      <c r="AM526"/>
      <c r="AN526"/>
      <c r="AO526"/>
      <c r="AP526"/>
      <c r="AQ526"/>
      <c r="AR526"/>
      <c r="AS526"/>
      <c r="AT526"/>
      <c r="AU526"/>
      <c r="AV526"/>
      <c r="AW526"/>
      <c r="AX526"/>
      <c r="AY526"/>
      <c r="AZ526"/>
      <c r="BA526"/>
      <c r="BB526"/>
      <c r="BC526"/>
      <c r="BD526"/>
      <c r="BE526"/>
      <c r="BF526"/>
      <c r="BG526"/>
      <c r="BH526"/>
      <c r="BI526"/>
      <c r="BJ526"/>
      <c r="BK526"/>
      <c r="BL526"/>
      <c r="BM526"/>
      <c r="BN526"/>
      <c r="BO526"/>
      <c r="BP526"/>
      <c r="BQ526"/>
      <c r="BR526"/>
      <c r="BS526"/>
      <c r="BT526"/>
      <c r="BU526"/>
      <c r="BV526"/>
      <c r="BW526"/>
      <c r="BX526"/>
    </row>
    <row r="527" spans="1:76">
      <c r="A527" s="72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K527"/>
      <c r="AL527"/>
      <c r="AM527"/>
      <c r="AN527"/>
      <c r="AO527"/>
      <c r="AP527"/>
      <c r="AQ527"/>
      <c r="AR527"/>
      <c r="AS527"/>
      <c r="AT527"/>
      <c r="AU527"/>
      <c r="AV527"/>
      <c r="AW527"/>
      <c r="AX527"/>
      <c r="AY527"/>
      <c r="AZ527"/>
      <c r="BA527"/>
      <c r="BB527"/>
      <c r="BC527"/>
      <c r="BD527"/>
      <c r="BE527"/>
      <c r="BF527"/>
      <c r="BG527"/>
      <c r="BH527"/>
      <c r="BI527"/>
      <c r="BJ527"/>
      <c r="BK527"/>
      <c r="BL527"/>
      <c r="BM527"/>
      <c r="BN527"/>
      <c r="BO527"/>
      <c r="BP527"/>
      <c r="BQ527"/>
      <c r="BR527"/>
      <c r="BS527"/>
      <c r="BT527"/>
      <c r="BU527"/>
      <c r="BV527"/>
      <c r="BW527"/>
      <c r="BX527"/>
    </row>
    <row r="528" spans="1:76">
      <c r="A528" s="72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  <c r="AY528"/>
      <c r="AZ528"/>
      <c r="BA528"/>
      <c r="BB528"/>
      <c r="BC528"/>
      <c r="BD528"/>
      <c r="BE528"/>
      <c r="BF528"/>
      <c r="BG528"/>
      <c r="BH528"/>
      <c r="BI528"/>
      <c r="BJ528"/>
      <c r="BK528"/>
      <c r="BL528"/>
      <c r="BM528"/>
      <c r="BN528"/>
      <c r="BO528"/>
      <c r="BP528"/>
      <c r="BQ528"/>
      <c r="BR528"/>
      <c r="BS528"/>
      <c r="BT528"/>
      <c r="BU528"/>
      <c r="BV528"/>
      <c r="BW528"/>
      <c r="BX528"/>
    </row>
    <row r="529" spans="1:76">
      <c r="A529" s="72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/>
      <c r="AY529"/>
      <c r="AZ529"/>
      <c r="BA529"/>
      <c r="BB529"/>
      <c r="BC529"/>
      <c r="BD529"/>
      <c r="BE529"/>
      <c r="BF529"/>
      <c r="BG529"/>
      <c r="BH529"/>
      <c r="BI529"/>
      <c r="BJ529"/>
      <c r="BK529"/>
      <c r="BL529"/>
      <c r="BM529"/>
      <c r="BN529"/>
      <c r="BO529"/>
      <c r="BP529"/>
      <c r="BQ529"/>
      <c r="BR529"/>
      <c r="BS529"/>
      <c r="BT529"/>
      <c r="BU529"/>
      <c r="BV529"/>
      <c r="BW529"/>
      <c r="BX529"/>
    </row>
    <row r="530" spans="1:76">
      <c r="A530" s="72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  <c r="AL530"/>
      <c r="AM530"/>
      <c r="AN530"/>
      <c r="AO530"/>
      <c r="AP530"/>
      <c r="AQ530"/>
      <c r="AR530"/>
      <c r="AS530"/>
      <c r="AT530"/>
      <c r="AU530"/>
      <c r="AV530"/>
      <c r="AW530"/>
      <c r="AX530"/>
      <c r="AY530"/>
      <c r="AZ530"/>
      <c r="BA530"/>
      <c r="BB530"/>
      <c r="BC530"/>
      <c r="BD530"/>
      <c r="BE530"/>
      <c r="BF530"/>
      <c r="BG530"/>
      <c r="BH530"/>
      <c r="BI530"/>
      <c r="BJ530"/>
      <c r="BK530"/>
      <c r="BL530"/>
      <c r="BM530"/>
      <c r="BN530"/>
      <c r="BO530"/>
      <c r="BP530"/>
      <c r="BQ530"/>
      <c r="BR530"/>
      <c r="BS530"/>
      <c r="BT530"/>
      <c r="BU530"/>
      <c r="BV530"/>
      <c r="BW530"/>
      <c r="BX530"/>
    </row>
    <row r="531" spans="1:76">
      <c r="A531" s="72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/>
      <c r="AK531"/>
      <c r="AL531"/>
      <c r="AM531"/>
      <c r="AN531"/>
      <c r="AO531"/>
      <c r="AP531"/>
      <c r="AQ531"/>
      <c r="AR531"/>
      <c r="AS531"/>
      <c r="AT531"/>
      <c r="AU531"/>
      <c r="AV531"/>
      <c r="AW531"/>
      <c r="AX531"/>
      <c r="AY531"/>
      <c r="AZ531"/>
      <c r="BA531"/>
      <c r="BB531"/>
      <c r="BC531"/>
      <c r="BD531"/>
      <c r="BE531"/>
      <c r="BF531"/>
      <c r="BG531"/>
      <c r="BH531"/>
      <c r="BI531"/>
      <c r="BJ531"/>
      <c r="BK531"/>
      <c r="BL531"/>
      <c r="BM531"/>
      <c r="BN531"/>
      <c r="BO531"/>
      <c r="BP531"/>
      <c r="BQ531"/>
      <c r="BR531"/>
      <c r="BS531"/>
      <c r="BT531"/>
      <c r="BU531"/>
      <c r="BV531"/>
      <c r="BW531"/>
      <c r="BX531"/>
    </row>
    <row r="532" spans="1:76">
      <c r="A532" s="7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/>
      <c r="AR532"/>
      <c r="AS532"/>
      <c r="AT532"/>
      <c r="AU532"/>
      <c r="AV532"/>
      <c r="AW532"/>
      <c r="AX532"/>
      <c r="AY532"/>
      <c r="AZ532"/>
      <c r="BA532"/>
      <c r="BB532"/>
      <c r="BC532"/>
      <c r="BD532"/>
      <c r="BE532"/>
      <c r="BF532"/>
      <c r="BG532"/>
      <c r="BH532"/>
      <c r="BI532"/>
      <c r="BJ532"/>
      <c r="BK532"/>
      <c r="BL532"/>
      <c r="BM532"/>
      <c r="BN532"/>
      <c r="BO532"/>
      <c r="BP532"/>
      <c r="BQ532"/>
      <c r="BR532"/>
      <c r="BS532"/>
      <c r="BT532"/>
      <c r="BU532"/>
      <c r="BV532"/>
      <c r="BW532"/>
      <c r="BX532"/>
    </row>
    <row r="533" spans="1:76">
      <c r="A533" s="72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  <c r="AY533"/>
      <c r="AZ533"/>
      <c r="BA533"/>
      <c r="BB533"/>
      <c r="BC533"/>
      <c r="BD533"/>
      <c r="BE533"/>
      <c r="BF533"/>
      <c r="BG533"/>
      <c r="BH533"/>
      <c r="BI533"/>
      <c r="BJ533"/>
      <c r="BK533"/>
      <c r="BL533"/>
      <c r="BM533"/>
      <c r="BN533"/>
      <c r="BO533"/>
      <c r="BP533"/>
      <c r="BQ533"/>
      <c r="BR533"/>
      <c r="BS533"/>
      <c r="BT533"/>
      <c r="BU533"/>
      <c r="BV533"/>
      <c r="BW533"/>
      <c r="BX533"/>
    </row>
    <row r="534" spans="1:76">
      <c r="A534" s="72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/>
      <c r="AL534"/>
      <c r="AM534"/>
      <c r="AN534"/>
      <c r="AO534"/>
      <c r="AP534"/>
      <c r="AQ534"/>
      <c r="AR534"/>
      <c r="AS534"/>
      <c r="AT534"/>
      <c r="AU534"/>
      <c r="AV534"/>
      <c r="AW534"/>
      <c r="AX534"/>
      <c r="AY534"/>
      <c r="AZ534"/>
      <c r="BA534"/>
      <c r="BB534"/>
      <c r="BC534"/>
      <c r="BD534"/>
      <c r="BE534"/>
      <c r="BF534"/>
      <c r="BG534"/>
      <c r="BH534"/>
      <c r="BI534"/>
      <c r="BJ534"/>
      <c r="BK534"/>
      <c r="BL534"/>
      <c r="BM534"/>
      <c r="BN534"/>
      <c r="BO534"/>
      <c r="BP534"/>
      <c r="BQ534"/>
      <c r="BR534"/>
      <c r="BS534"/>
      <c r="BT534"/>
      <c r="BU534"/>
      <c r="BV534"/>
      <c r="BW534"/>
      <c r="BX534"/>
    </row>
    <row r="535" spans="1:76">
      <c r="A535" s="72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/>
      <c r="AS535"/>
      <c r="AT535"/>
      <c r="AU535"/>
      <c r="AV535"/>
      <c r="AW535"/>
      <c r="AX535"/>
      <c r="AY535"/>
      <c r="AZ535"/>
      <c r="BA535"/>
      <c r="BB535"/>
      <c r="BC535"/>
      <c r="BD535"/>
      <c r="BE535"/>
      <c r="BF535"/>
      <c r="BG535"/>
      <c r="BH535"/>
      <c r="BI535"/>
      <c r="BJ535"/>
      <c r="BK535"/>
      <c r="BL535"/>
      <c r="BM535"/>
      <c r="BN535"/>
      <c r="BO535"/>
      <c r="BP535"/>
      <c r="BQ535"/>
      <c r="BR535"/>
      <c r="BS535"/>
      <c r="BT535"/>
      <c r="BU535"/>
      <c r="BV535"/>
      <c r="BW535"/>
      <c r="BX535"/>
    </row>
    <row r="536" spans="1:76">
      <c r="A536" s="72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  <c r="AY536"/>
      <c r="AZ536"/>
      <c r="BA536"/>
      <c r="BB536"/>
      <c r="BC536"/>
      <c r="BD536"/>
      <c r="BE536"/>
      <c r="BF536"/>
      <c r="BG536"/>
      <c r="BH536"/>
      <c r="BI536"/>
      <c r="BJ536"/>
      <c r="BK536"/>
      <c r="BL536"/>
      <c r="BM536"/>
      <c r="BN536"/>
      <c r="BO536"/>
      <c r="BP536"/>
      <c r="BQ536"/>
      <c r="BR536"/>
      <c r="BS536"/>
      <c r="BT536"/>
      <c r="BU536"/>
      <c r="BV536"/>
      <c r="BW536"/>
      <c r="BX536"/>
    </row>
    <row r="537" spans="1:76">
      <c r="A537" s="72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  <c r="AJ537"/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/>
      <c r="AY537"/>
      <c r="AZ537"/>
      <c r="BA537"/>
      <c r="BB537"/>
      <c r="BC537"/>
      <c r="BD537"/>
      <c r="BE537"/>
      <c r="BF537"/>
      <c r="BG537"/>
      <c r="BH537"/>
      <c r="BI537"/>
      <c r="BJ537"/>
      <c r="BK537"/>
      <c r="BL537"/>
      <c r="BM537"/>
      <c r="BN537"/>
      <c r="BO537"/>
      <c r="BP537"/>
      <c r="BQ537"/>
      <c r="BR537"/>
      <c r="BS537"/>
      <c r="BT537"/>
      <c r="BU537"/>
      <c r="BV537"/>
      <c r="BW537"/>
      <c r="BX537"/>
    </row>
    <row r="538" spans="1:76">
      <c r="A538" s="72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  <c r="AG538"/>
      <c r="AH538"/>
      <c r="AI538"/>
      <c r="AJ538"/>
      <c r="AK538"/>
      <c r="AL538"/>
      <c r="AM538"/>
      <c r="AN538"/>
      <c r="AO538"/>
      <c r="AP538"/>
      <c r="AQ538"/>
      <c r="AR538"/>
      <c r="AS538"/>
      <c r="AT538"/>
      <c r="AU538"/>
      <c r="AV538"/>
      <c r="AW538"/>
      <c r="AX538"/>
      <c r="AY538"/>
      <c r="AZ538"/>
      <c r="BA538"/>
      <c r="BB538"/>
      <c r="BC538"/>
      <c r="BD538"/>
      <c r="BE538"/>
      <c r="BF538"/>
      <c r="BG538"/>
      <c r="BH538"/>
      <c r="BI538"/>
      <c r="BJ538"/>
      <c r="BK538"/>
      <c r="BL538"/>
      <c r="BM538"/>
      <c r="BN538"/>
      <c r="BO538"/>
      <c r="BP538"/>
      <c r="BQ538"/>
      <c r="BR538"/>
      <c r="BS538"/>
      <c r="BT538"/>
      <c r="BU538"/>
      <c r="BV538"/>
      <c r="BW538"/>
      <c r="BX538"/>
    </row>
    <row r="539" spans="1:76">
      <c r="A539" s="72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  <c r="AY539"/>
      <c r="AZ539"/>
      <c r="BA539"/>
      <c r="BB539"/>
      <c r="BC539"/>
      <c r="BD539"/>
      <c r="BE539"/>
      <c r="BF539"/>
      <c r="BG539"/>
      <c r="BH539"/>
      <c r="BI539"/>
      <c r="BJ539"/>
      <c r="BK539"/>
      <c r="BL539"/>
      <c r="BM539"/>
      <c r="BN539"/>
      <c r="BO539"/>
      <c r="BP539"/>
      <c r="BQ539"/>
      <c r="BR539"/>
      <c r="BS539"/>
      <c r="BT539"/>
      <c r="BU539"/>
      <c r="BV539"/>
      <c r="BW539"/>
      <c r="BX539"/>
    </row>
    <row r="540" spans="1:76">
      <c r="A540" s="72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  <c r="AY540"/>
      <c r="AZ540"/>
      <c r="BA540"/>
      <c r="BB540"/>
      <c r="BC540"/>
      <c r="BD540"/>
      <c r="BE540"/>
      <c r="BF540"/>
      <c r="BG540"/>
      <c r="BH540"/>
      <c r="BI540"/>
      <c r="BJ540"/>
      <c r="BK540"/>
      <c r="BL540"/>
      <c r="BM540"/>
      <c r="BN540"/>
      <c r="BO540"/>
      <c r="BP540"/>
      <c r="BQ540"/>
      <c r="BR540"/>
      <c r="BS540"/>
      <c r="BT540"/>
      <c r="BU540"/>
      <c r="BV540"/>
      <c r="BW540"/>
      <c r="BX540"/>
    </row>
    <row r="541" spans="1:76">
      <c r="A541" s="72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  <c r="AY541"/>
      <c r="AZ541"/>
      <c r="BA541"/>
      <c r="BB541"/>
      <c r="BC541"/>
      <c r="BD541"/>
      <c r="BE541"/>
      <c r="BF541"/>
      <c r="BG541"/>
      <c r="BH541"/>
      <c r="BI541"/>
      <c r="BJ541"/>
      <c r="BK541"/>
      <c r="BL541"/>
      <c r="BM541"/>
      <c r="BN541"/>
      <c r="BO541"/>
      <c r="BP541"/>
      <c r="BQ541"/>
      <c r="BR541"/>
      <c r="BS541"/>
      <c r="BT541"/>
      <c r="BU541"/>
      <c r="BV541"/>
      <c r="BW541"/>
      <c r="BX541"/>
    </row>
    <row r="542" spans="1:76">
      <c r="A542" s="7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  <c r="AJ542"/>
      <c r="AK542"/>
      <c r="AL542"/>
      <c r="AM542"/>
      <c r="AN542"/>
      <c r="AO542"/>
      <c r="AP542"/>
      <c r="AQ542"/>
      <c r="AR542"/>
      <c r="AS542"/>
      <c r="AT542"/>
      <c r="AU542"/>
      <c r="AV542"/>
      <c r="AW542"/>
      <c r="AX542"/>
      <c r="AY542"/>
      <c r="AZ542"/>
      <c r="BA542"/>
      <c r="BB542"/>
      <c r="BC542"/>
      <c r="BD542"/>
      <c r="BE542"/>
      <c r="BF542"/>
      <c r="BG542"/>
      <c r="BH542"/>
      <c r="BI542"/>
      <c r="BJ542"/>
      <c r="BK542"/>
      <c r="BL542"/>
      <c r="BM542"/>
      <c r="BN542"/>
      <c r="BO542"/>
      <c r="BP542"/>
      <c r="BQ542"/>
      <c r="BR542"/>
      <c r="BS542"/>
      <c r="BT542"/>
      <c r="BU542"/>
      <c r="BV542"/>
      <c r="BW542"/>
      <c r="BX542"/>
    </row>
    <row r="543" spans="1:76">
      <c r="A543" s="72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/>
      <c r="AL543"/>
      <c r="AM543"/>
      <c r="AN543"/>
      <c r="AO543"/>
      <c r="AP543"/>
      <c r="AQ543"/>
      <c r="AR543"/>
      <c r="AS543"/>
      <c r="AT543"/>
      <c r="AU543"/>
      <c r="AV543"/>
      <c r="AW543"/>
      <c r="AX543"/>
      <c r="AY543"/>
      <c r="AZ543"/>
      <c r="BA543"/>
      <c r="BB543"/>
      <c r="BC543"/>
      <c r="BD543"/>
      <c r="BE543"/>
      <c r="BF543"/>
      <c r="BG543"/>
      <c r="BH543"/>
      <c r="BI543"/>
      <c r="BJ543"/>
      <c r="BK543"/>
      <c r="BL543"/>
      <c r="BM543"/>
      <c r="BN543"/>
      <c r="BO543"/>
      <c r="BP543"/>
      <c r="BQ543"/>
      <c r="BR543"/>
      <c r="BS543"/>
      <c r="BT543"/>
      <c r="BU543"/>
      <c r="BV543"/>
      <c r="BW543"/>
      <c r="BX543"/>
    </row>
    <row r="544" spans="1:76">
      <c r="A544" s="72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/>
      <c r="AL544"/>
      <c r="AM544"/>
      <c r="AN544"/>
      <c r="AO544"/>
      <c r="AP544"/>
      <c r="AQ544"/>
      <c r="AR544"/>
      <c r="AS544"/>
      <c r="AT544"/>
      <c r="AU544"/>
      <c r="AV544"/>
      <c r="AW544"/>
      <c r="AX544"/>
      <c r="AY544"/>
      <c r="AZ544"/>
      <c r="BA544"/>
      <c r="BB544"/>
      <c r="BC544"/>
      <c r="BD544"/>
      <c r="BE544"/>
      <c r="BF544"/>
      <c r="BG544"/>
      <c r="BH544"/>
      <c r="BI544"/>
      <c r="BJ544"/>
      <c r="BK544"/>
      <c r="BL544"/>
      <c r="BM544"/>
      <c r="BN544"/>
      <c r="BO544"/>
      <c r="BP544"/>
      <c r="BQ544"/>
      <c r="BR544"/>
      <c r="BS544"/>
      <c r="BT544"/>
      <c r="BU544"/>
      <c r="BV544"/>
      <c r="BW544"/>
      <c r="BX544"/>
    </row>
    <row r="545" spans="1:76">
      <c r="A545" s="72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I545"/>
      <c r="AJ545"/>
      <c r="AK545"/>
      <c r="AL545"/>
      <c r="AM545"/>
      <c r="AN545"/>
      <c r="AO545"/>
      <c r="AP545"/>
      <c r="AQ545"/>
      <c r="AR545"/>
      <c r="AS545"/>
      <c r="AT545"/>
      <c r="AU545"/>
      <c r="AV545"/>
      <c r="AW545"/>
      <c r="AX545"/>
      <c r="AY545"/>
      <c r="AZ545"/>
      <c r="BA545"/>
      <c r="BB545"/>
      <c r="BC545"/>
      <c r="BD545"/>
      <c r="BE545"/>
      <c r="BF545"/>
      <c r="BG545"/>
      <c r="BH545"/>
      <c r="BI545"/>
      <c r="BJ545"/>
      <c r="BK545"/>
      <c r="BL545"/>
      <c r="BM545"/>
      <c r="BN545"/>
      <c r="BO545"/>
      <c r="BP545"/>
      <c r="BQ545"/>
      <c r="BR545"/>
      <c r="BS545"/>
      <c r="BT545"/>
      <c r="BU545"/>
      <c r="BV545"/>
      <c r="BW545"/>
      <c r="BX545"/>
    </row>
    <row r="546" spans="1:76">
      <c r="A546" s="72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  <c r="AY546"/>
      <c r="AZ546"/>
      <c r="BA546"/>
      <c r="BB546"/>
      <c r="BC546"/>
      <c r="BD546"/>
      <c r="BE546"/>
      <c r="BF546"/>
      <c r="BG546"/>
      <c r="BH546"/>
      <c r="BI546"/>
      <c r="BJ546"/>
      <c r="BK546"/>
      <c r="BL546"/>
      <c r="BM546"/>
      <c r="BN546"/>
      <c r="BO546"/>
      <c r="BP546"/>
      <c r="BQ546"/>
      <c r="BR546"/>
      <c r="BS546"/>
      <c r="BT546"/>
      <c r="BU546"/>
      <c r="BV546"/>
      <c r="BW546"/>
      <c r="BX546"/>
    </row>
    <row r="547" spans="1:76">
      <c r="A547" s="72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  <c r="AJ547"/>
      <c r="AK547"/>
      <c r="AL547"/>
      <c r="AM547"/>
      <c r="AN547"/>
      <c r="AO547"/>
      <c r="AP547"/>
      <c r="AQ547"/>
      <c r="AR547"/>
      <c r="AS547"/>
      <c r="AT547"/>
      <c r="AU547"/>
      <c r="AV547"/>
      <c r="AW547"/>
      <c r="AX547"/>
      <c r="AY547"/>
      <c r="AZ547"/>
      <c r="BA547"/>
      <c r="BB547"/>
      <c r="BC547"/>
      <c r="BD547"/>
      <c r="BE547"/>
      <c r="BF547"/>
      <c r="BG547"/>
      <c r="BH547"/>
      <c r="BI547"/>
      <c r="BJ547"/>
      <c r="BK547"/>
      <c r="BL547"/>
      <c r="BM547"/>
      <c r="BN547"/>
      <c r="BO547"/>
      <c r="BP547"/>
      <c r="BQ547"/>
      <c r="BR547"/>
      <c r="BS547"/>
      <c r="BT547"/>
      <c r="BU547"/>
      <c r="BV547"/>
      <c r="BW547"/>
      <c r="BX547"/>
    </row>
    <row r="548" spans="1:76">
      <c r="A548" s="72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  <c r="AY548"/>
      <c r="AZ548"/>
      <c r="BA548"/>
      <c r="BB548"/>
      <c r="BC548"/>
      <c r="BD548"/>
      <c r="BE548"/>
      <c r="BF548"/>
      <c r="BG548"/>
      <c r="BH548"/>
      <c r="BI548"/>
      <c r="BJ548"/>
      <c r="BK548"/>
      <c r="BL548"/>
      <c r="BM548"/>
      <c r="BN548"/>
      <c r="BO548"/>
      <c r="BP548"/>
      <c r="BQ548"/>
      <c r="BR548"/>
      <c r="BS548"/>
      <c r="BT548"/>
      <c r="BU548"/>
      <c r="BV548"/>
      <c r="BW548"/>
      <c r="BX548"/>
    </row>
    <row r="549" spans="1:76">
      <c r="A549" s="72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/>
      <c r="AI549"/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/>
      <c r="AY549"/>
      <c r="AZ549"/>
      <c r="BA549"/>
      <c r="BB549"/>
      <c r="BC549"/>
      <c r="BD549"/>
      <c r="BE549"/>
      <c r="BF549"/>
      <c r="BG549"/>
      <c r="BH549"/>
      <c r="BI549"/>
      <c r="BJ549"/>
      <c r="BK549"/>
      <c r="BL549"/>
      <c r="BM549"/>
      <c r="BN549"/>
      <c r="BO549"/>
      <c r="BP549"/>
      <c r="BQ549"/>
      <c r="BR549"/>
      <c r="BS549"/>
      <c r="BT549"/>
      <c r="BU549"/>
      <c r="BV549"/>
      <c r="BW549"/>
      <c r="BX549"/>
    </row>
    <row r="550" spans="1:76">
      <c r="A550" s="72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/>
      <c r="AK550"/>
      <c r="AL550"/>
      <c r="AM550"/>
      <c r="AN550"/>
      <c r="AO550"/>
      <c r="AP550"/>
      <c r="AQ550"/>
      <c r="AR550"/>
      <c r="AS550"/>
      <c r="AT550"/>
      <c r="AU550"/>
      <c r="AV550"/>
      <c r="AW550"/>
      <c r="AX550"/>
      <c r="AY550"/>
      <c r="AZ550"/>
      <c r="BA550"/>
      <c r="BB550"/>
      <c r="BC550"/>
      <c r="BD550"/>
      <c r="BE550"/>
      <c r="BF550"/>
      <c r="BG550"/>
      <c r="BH550"/>
      <c r="BI550"/>
      <c r="BJ550"/>
      <c r="BK550"/>
      <c r="BL550"/>
      <c r="BM550"/>
      <c r="BN550"/>
      <c r="BO550"/>
      <c r="BP550"/>
      <c r="BQ550"/>
      <c r="BR550"/>
      <c r="BS550"/>
      <c r="BT550"/>
      <c r="BU550"/>
      <c r="BV550"/>
      <c r="BW550"/>
      <c r="BX550"/>
    </row>
    <row r="551" spans="1:76">
      <c r="A551" s="72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  <c r="AY551"/>
      <c r="AZ551"/>
      <c r="BA551"/>
      <c r="BB551"/>
      <c r="BC551"/>
      <c r="BD551"/>
      <c r="BE551"/>
      <c r="BF551"/>
      <c r="BG551"/>
      <c r="BH551"/>
      <c r="BI551"/>
      <c r="BJ551"/>
      <c r="BK551"/>
      <c r="BL551"/>
      <c r="BM551"/>
      <c r="BN551"/>
      <c r="BO551"/>
      <c r="BP551"/>
      <c r="BQ551"/>
      <c r="BR551"/>
      <c r="BS551"/>
      <c r="BT551"/>
      <c r="BU551"/>
      <c r="BV551"/>
      <c r="BW551"/>
      <c r="BX551"/>
    </row>
    <row r="552" spans="1:76">
      <c r="A552" s="7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  <c r="AY552"/>
      <c r="AZ552"/>
      <c r="BA552"/>
      <c r="BB552"/>
      <c r="BC552"/>
      <c r="BD552"/>
      <c r="BE552"/>
      <c r="BF552"/>
      <c r="BG552"/>
      <c r="BH552"/>
      <c r="BI552"/>
      <c r="BJ552"/>
      <c r="BK552"/>
      <c r="BL552"/>
      <c r="BM552"/>
      <c r="BN552"/>
      <c r="BO552"/>
      <c r="BP552"/>
      <c r="BQ552"/>
      <c r="BR552"/>
      <c r="BS552"/>
      <c r="BT552"/>
      <c r="BU552"/>
      <c r="BV552"/>
      <c r="BW552"/>
      <c r="BX552"/>
    </row>
    <row r="553" spans="1:76">
      <c r="A553" s="72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I553"/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  <c r="AY553"/>
      <c r="AZ553"/>
      <c r="BA553"/>
      <c r="BB553"/>
      <c r="BC553"/>
      <c r="BD553"/>
      <c r="BE553"/>
      <c r="BF553"/>
      <c r="BG553"/>
      <c r="BH553"/>
      <c r="BI553"/>
      <c r="BJ553"/>
      <c r="BK553"/>
      <c r="BL553"/>
      <c r="BM553"/>
      <c r="BN553"/>
      <c r="BO553"/>
      <c r="BP553"/>
      <c r="BQ553"/>
      <c r="BR553"/>
      <c r="BS553"/>
      <c r="BT553"/>
      <c r="BU553"/>
      <c r="BV553"/>
      <c r="BW553"/>
      <c r="BX553"/>
    </row>
    <row r="554" spans="1:76">
      <c r="A554" s="72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/>
      <c r="AL554"/>
      <c r="AM554"/>
      <c r="AN554"/>
      <c r="AO554"/>
      <c r="AP554"/>
      <c r="AQ554"/>
      <c r="AR554"/>
      <c r="AS554"/>
      <c r="AT554"/>
      <c r="AU554"/>
      <c r="AV554"/>
      <c r="AW554"/>
      <c r="AX554"/>
      <c r="AY554"/>
      <c r="AZ554"/>
      <c r="BA554"/>
      <c r="BB554"/>
      <c r="BC554"/>
      <c r="BD554"/>
      <c r="BE554"/>
      <c r="BF554"/>
      <c r="BG554"/>
      <c r="BH554"/>
      <c r="BI554"/>
      <c r="BJ554"/>
      <c r="BK554"/>
      <c r="BL554"/>
      <c r="BM554"/>
      <c r="BN554"/>
      <c r="BO554"/>
      <c r="BP554"/>
      <c r="BQ554"/>
      <c r="BR554"/>
      <c r="BS554"/>
      <c r="BT554"/>
      <c r="BU554"/>
      <c r="BV554"/>
      <c r="BW554"/>
      <c r="BX554"/>
    </row>
    <row r="555" spans="1:76">
      <c r="A555" s="72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  <c r="AY555"/>
      <c r="AZ555"/>
      <c r="BA555"/>
      <c r="BB555"/>
      <c r="BC555"/>
      <c r="BD555"/>
      <c r="BE555"/>
      <c r="BF555"/>
      <c r="BG555"/>
      <c r="BH555"/>
      <c r="BI555"/>
      <c r="BJ555"/>
      <c r="BK555"/>
      <c r="BL555"/>
      <c r="BM555"/>
      <c r="BN555"/>
      <c r="BO555"/>
      <c r="BP555"/>
      <c r="BQ555"/>
      <c r="BR555"/>
      <c r="BS555"/>
      <c r="BT555"/>
      <c r="BU555"/>
      <c r="BV555"/>
      <c r="BW555"/>
      <c r="BX555"/>
    </row>
    <row r="556" spans="1:76">
      <c r="A556" s="72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  <c r="AY556"/>
      <c r="AZ556"/>
      <c r="BA556"/>
      <c r="BB556"/>
      <c r="BC556"/>
      <c r="BD556"/>
      <c r="BE556"/>
      <c r="BF556"/>
      <c r="BG556"/>
      <c r="BH556"/>
      <c r="BI556"/>
      <c r="BJ556"/>
      <c r="BK556"/>
      <c r="BL556"/>
      <c r="BM556"/>
      <c r="BN556"/>
      <c r="BO556"/>
      <c r="BP556"/>
      <c r="BQ556"/>
      <c r="BR556"/>
      <c r="BS556"/>
      <c r="BT556"/>
      <c r="BU556"/>
      <c r="BV556"/>
      <c r="BW556"/>
      <c r="BX556"/>
    </row>
    <row r="557" spans="1:76">
      <c r="A557" s="72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  <c r="AY557"/>
      <c r="AZ557"/>
      <c r="BA557"/>
      <c r="BB557"/>
      <c r="BC557"/>
      <c r="BD557"/>
      <c r="BE557"/>
      <c r="BF557"/>
      <c r="BG557"/>
      <c r="BH557"/>
      <c r="BI557"/>
      <c r="BJ557"/>
      <c r="BK557"/>
      <c r="BL557"/>
      <c r="BM557"/>
      <c r="BN557"/>
      <c r="BO557"/>
      <c r="BP557"/>
      <c r="BQ557"/>
      <c r="BR557"/>
      <c r="BS557"/>
      <c r="BT557"/>
      <c r="BU557"/>
      <c r="BV557"/>
      <c r="BW557"/>
      <c r="BX557"/>
    </row>
    <row r="558" spans="1:76">
      <c r="A558" s="72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  <c r="AY558"/>
      <c r="AZ558"/>
      <c r="BA558"/>
      <c r="BB558"/>
      <c r="BC558"/>
      <c r="BD558"/>
      <c r="BE558"/>
      <c r="BF558"/>
      <c r="BG558"/>
      <c r="BH558"/>
      <c r="BI558"/>
      <c r="BJ558"/>
      <c r="BK558"/>
      <c r="BL558"/>
      <c r="BM558"/>
      <c r="BN558"/>
      <c r="BO558"/>
      <c r="BP558"/>
      <c r="BQ558"/>
      <c r="BR558"/>
      <c r="BS558"/>
      <c r="BT558"/>
      <c r="BU558"/>
      <c r="BV558"/>
      <c r="BW558"/>
      <c r="BX558"/>
    </row>
    <row r="559" spans="1:76">
      <c r="A559" s="72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/>
      <c r="AL559"/>
      <c r="AM559"/>
      <c r="AN559"/>
      <c r="AO559"/>
      <c r="AP559"/>
      <c r="AQ559"/>
      <c r="AR559"/>
      <c r="AS559"/>
      <c r="AT559"/>
      <c r="AU559"/>
      <c r="AV559"/>
      <c r="AW559"/>
      <c r="AX559"/>
      <c r="AY559"/>
      <c r="AZ559"/>
      <c r="BA559"/>
      <c r="BB559"/>
      <c r="BC559"/>
      <c r="BD559"/>
      <c r="BE559"/>
      <c r="BF559"/>
      <c r="BG559"/>
      <c r="BH559"/>
      <c r="BI559"/>
      <c r="BJ559"/>
      <c r="BK559"/>
      <c r="BL559"/>
      <c r="BM559"/>
      <c r="BN559"/>
      <c r="BO559"/>
      <c r="BP559"/>
      <c r="BQ559"/>
      <c r="BR559"/>
      <c r="BS559"/>
      <c r="BT559"/>
      <c r="BU559"/>
      <c r="BV559"/>
      <c r="BW559"/>
      <c r="BX559"/>
    </row>
    <row r="560" spans="1:76">
      <c r="A560" s="72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  <c r="AG560"/>
      <c r="AH560"/>
      <c r="AI560"/>
      <c r="AJ560"/>
      <c r="AK560"/>
      <c r="AL560"/>
      <c r="AM560"/>
      <c r="AN560"/>
      <c r="AO560"/>
      <c r="AP560"/>
      <c r="AQ560"/>
      <c r="AR560"/>
      <c r="AS560"/>
      <c r="AT560"/>
      <c r="AU560"/>
      <c r="AV560"/>
      <c r="AW560"/>
      <c r="AX560"/>
      <c r="AY560"/>
      <c r="AZ560"/>
      <c r="BA560"/>
      <c r="BB560"/>
      <c r="BC560"/>
      <c r="BD560"/>
      <c r="BE560"/>
      <c r="BF560"/>
      <c r="BG560"/>
      <c r="BH560"/>
      <c r="BI560"/>
      <c r="BJ560"/>
      <c r="BK560"/>
      <c r="BL560"/>
      <c r="BM560"/>
      <c r="BN560"/>
      <c r="BO560"/>
      <c r="BP560"/>
      <c r="BQ560"/>
      <c r="BR560"/>
      <c r="BS560"/>
      <c r="BT560"/>
      <c r="BU560"/>
      <c r="BV560"/>
      <c r="BW560"/>
      <c r="BX560"/>
    </row>
    <row r="561" spans="1:76">
      <c r="A561" s="72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  <c r="AG561"/>
      <c r="AH561"/>
      <c r="AI561"/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  <c r="AY561"/>
      <c r="AZ561"/>
      <c r="BA561"/>
      <c r="BB561"/>
      <c r="BC561"/>
      <c r="BD561"/>
      <c r="BE561"/>
      <c r="BF561"/>
      <c r="BG561"/>
      <c r="BH561"/>
      <c r="BI561"/>
      <c r="BJ561"/>
      <c r="BK561"/>
      <c r="BL561"/>
      <c r="BM561"/>
      <c r="BN561"/>
      <c r="BO561"/>
      <c r="BP561"/>
      <c r="BQ561"/>
      <c r="BR561"/>
      <c r="BS561"/>
      <c r="BT561"/>
      <c r="BU561"/>
      <c r="BV561"/>
      <c r="BW561"/>
      <c r="BX561"/>
    </row>
    <row r="562" spans="1:76">
      <c r="A562" s="7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  <c r="AY562"/>
      <c r="AZ562"/>
      <c r="BA562"/>
      <c r="BB562"/>
      <c r="BC562"/>
      <c r="BD562"/>
      <c r="BE562"/>
      <c r="BF562"/>
      <c r="BG562"/>
      <c r="BH562"/>
      <c r="BI562"/>
      <c r="BJ562"/>
      <c r="BK562"/>
      <c r="BL562"/>
      <c r="BM562"/>
      <c r="BN562"/>
      <c r="BO562"/>
      <c r="BP562"/>
      <c r="BQ562"/>
      <c r="BR562"/>
      <c r="BS562"/>
      <c r="BT562"/>
      <c r="BU562"/>
      <c r="BV562"/>
      <c r="BW562"/>
      <c r="BX562"/>
    </row>
    <row r="563" spans="1:76">
      <c r="A563" s="72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/>
      <c r="AI563"/>
      <c r="AJ563"/>
      <c r="AK563"/>
      <c r="AL563"/>
      <c r="AM563"/>
      <c r="AN563"/>
      <c r="AO563"/>
      <c r="AP563"/>
      <c r="AQ563"/>
      <c r="AR563"/>
      <c r="AS563"/>
      <c r="AT563"/>
      <c r="AU563"/>
      <c r="AV563"/>
      <c r="AW563"/>
      <c r="AX563"/>
      <c r="AY563"/>
      <c r="AZ563"/>
      <c r="BA563"/>
      <c r="BB563"/>
      <c r="BC563"/>
      <c r="BD563"/>
      <c r="BE563"/>
      <c r="BF563"/>
      <c r="BG563"/>
      <c r="BH563"/>
      <c r="BI563"/>
      <c r="BJ563"/>
      <c r="BK563"/>
      <c r="BL563"/>
      <c r="BM563"/>
      <c r="BN563"/>
      <c r="BO563"/>
      <c r="BP563"/>
      <c r="BQ563"/>
      <c r="BR563"/>
      <c r="BS563"/>
      <c r="BT563"/>
      <c r="BU563"/>
      <c r="BV563"/>
      <c r="BW563"/>
      <c r="BX563"/>
    </row>
    <row r="564" spans="1:76">
      <c r="A564" s="72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/>
      <c r="AK564"/>
      <c r="AL564"/>
      <c r="AM564"/>
      <c r="AN564"/>
      <c r="AO564"/>
      <c r="AP564"/>
      <c r="AQ564"/>
      <c r="AR564"/>
      <c r="AS564"/>
      <c r="AT564"/>
      <c r="AU564"/>
      <c r="AV564"/>
      <c r="AW564"/>
      <c r="AX564"/>
      <c r="AY564"/>
      <c r="AZ564"/>
      <c r="BA564"/>
      <c r="BB564"/>
      <c r="BC564"/>
      <c r="BD564"/>
      <c r="BE564"/>
      <c r="BF564"/>
      <c r="BG564"/>
      <c r="BH564"/>
      <c r="BI564"/>
      <c r="BJ564"/>
      <c r="BK564"/>
      <c r="BL564"/>
      <c r="BM564"/>
      <c r="BN564"/>
      <c r="BO564"/>
      <c r="BP564"/>
      <c r="BQ564"/>
      <c r="BR564"/>
      <c r="BS564"/>
      <c r="BT564"/>
      <c r="BU564"/>
      <c r="BV564"/>
      <c r="BW564"/>
      <c r="BX564"/>
    </row>
    <row r="565" spans="1:76">
      <c r="A565" s="72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  <c r="AY565"/>
      <c r="AZ565"/>
      <c r="BA565"/>
      <c r="BB565"/>
      <c r="BC565"/>
      <c r="BD565"/>
      <c r="BE565"/>
      <c r="BF565"/>
      <c r="BG565"/>
      <c r="BH565"/>
      <c r="BI565"/>
      <c r="BJ565"/>
      <c r="BK565"/>
      <c r="BL565"/>
      <c r="BM565"/>
      <c r="BN565"/>
      <c r="BO565"/>
      <c r="BP565"/>
      <c r="BQ565"/>
      <c r="BR565"/>
      <c r="BS565"/>
      <c r="BT565"/>
      <c r="BU565"/>
      <c r="BV565"/>
      <c r="BW565"/>
      <c r="BX565"/>
    </row>
    <row r="566" spans="1:76">
      <c r="A566" s="72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I566"/>
      <c r="AJ566"/>
      <c r="AK566"/>
      <c r="AL566"/>
      <c r="AM566"/>
      <c r="AN566"/>
      <c r="AO566"/>
      <c r="AP566"/>
      <c r="AQ566"/>
      <c r="AR566"/>
      <c r="AS566"/>
      <c r="AT566"/>
      <c r="AU566"/>
      <c r="AV566"/>
      <c r="AW566"/>
      <c r="AX566"/>
      <c r="AY566"/>
      <c r="AZ566"/>
      <c r="BA566"/>
      <c r="BB566"/>
      <c r="BC566"/>
      <c r="BD566"/>
      <c r="BE566"/>
      <c r="BF566"/>
      <c r="BG566"/>
      <c r="BH566"/>
      <c r="BI566"/>
      <c r="BJ566"/>
      <c r="BK566"/>
      <c r="BL566"/>
      <c r="BM566"/>
      <c r="BN566"/>
      <c r="BO566"/>
      <c r="BP566"/>
      <c r="BQ566"/>
      <c r="BR566"/>
      <c r="BS566"/>
      <c r="BT566"/>
      <c r="BU566"/>
      <c r="BV566"/>
      <c r="BW566"/>
      <c r="BX566"/>
    </row>
    <row r="567" spans="1:76">
      <c r="A567" s="72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  <c r="AY567"/>
      <c r="AZ567"/>
      <c r="BA567"/>
      <c r="BB567"/>
      <c r="BC567"/>
      <c r="BD567"/>
      <c r="BE567"/>
      <c r="BF567"/>
      <c r="BG567"/>
      <c r="BH567"/>
      <c r="BI567"/>
      <c r="BJ567"/>
      <c r="BK567"/>
      <c r="BL567"/>
      <c r="BM567"/>
      <c r="BN567"/>
      <c r="BO567"/>
      <c r="BP567"/>
      <c r="BQ567"/>
      <c r="BR567"/>
      <c r="BS567"/>
      <c r="BT567"/>
      <c r="BU567"/>
      <c r="BV567"/>
      <c r="BW567"/>
      <c r="BX567"/>
    </row>
    <row r="568" spans="1:76">
      <c r="A568" s="72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  <c r="AY568"/>
      <c r="AZ568"/>
      <c r="BA568"/>
      <c r="BB568"/>
      <c r="BC568"/>
      <c r="BD568"/>
      <c r="BE568"/>
      <c r="BF568"/>
      <c r="BG568"/>
      <c r="BH568"/>
      <c r="BI568"/>
      <c r="BJ568"/>
      <c r="BK568"/>
      <c r="BL568"/>
      <c r="BM568"/>
      <c r="BN568"/>
      <c r="BO568"/>
      <c r="BP568"/>
      <c r="BQ568"/>
      <c r="BR568"/>
      <c r="BS568"/>
      <c r="BT568"/>
      <c r="BU568"/>
      <c r="BV568"/>
      <c r="BW568"/>
      <c r="BX568"/>
    </row>
    <row r="569" spans="1:76">
      <c r="A569" s="72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  <c r="AZ569"/>
      <c r="BA569"/>
      <c r="BB569"/>
      <c r="BC569"/>
      <c r="BD569"/>
      <c r="BE569"/>
      <c r="BF569"/>
      <c r="BG569"/>
      <c r="BH569"/>
      <c r="BI569"/>
      <c r="BJ569"/>
      <c r="BK569"/>
      <c r="BL569"/>
      <c r="BM569"/>
      <c r="BN569"/>
      <c r="BO569"/>
      <c r="BP569"/>
      <c r="BQ569"/>
      <c r="BR569"/>
      <c r="BS569"/>
      <c r="BT569"/>
      <c r="BU569"/>
      <c r="BV569"/>
      <c r="BW569"/>
      <c r="BX569"/>
    </row>
    <row r="570" spans="1:76">
      <c r="A570" s="72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  <c r="AY570"/>
      <c r="AZ570"/>
      <c r="BA570"/>
      <c r="BB570"/>
      <c r="BC570"/>
      <c r="BD570"/>
      <c r="BE570"/>
      <c r="BF570"/>
      <c r="BG570"/>
      <c r="BH570"/>
      <c r="BI570"/>
      <c r="BJ570"/>
      <c r="BK570"/>
      <c r="BL570"/>
      <c r="BM570"/>
      <c r="BN570"/>
      <c r="BO570"/>
      <c r="BP570"/>
      <c r="BQ570"/>
      <c r="BR570"/>
      <c r="BS570"/>
      <c r="BT570"/>
      <c r="BU570"/>
      <c r="BV570"/>
      <c r="BW570"/>
      <c r="BX570"/>
    </row>
    <row r="571" spans="1:76">
      <c r="A571" s="72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  <c r="AG571"/>
      <c r="AH571"/>
      <c r="AI571"/>
      <c r="AJ571"/>
      <c r="AK571"/>
      <c r="AL571"/>
      <c r="AM571"/>
      <c r="AN571"/>
      <c r="AO571"/>
      <c r="AP571"/>
      <c r="AQ571"/>
      <c r="AR571"/>
      <c r="AS571"/>
      <c r="AT571"/>
      <c r="AU571"/>
      <c r="AV571"/>
      <c r="AW571"/>
      <c r="AX571"/>
      <c r="AY571"/>
      <c r="AZ571"/>
      <c r="BA571"/>
      <c r="BB571"/>
      <c r="BC571"/>
      <c r="BD571"/>
      <c r="BE571"/>
      <c r="BF571"/>
      <c r="BG571"/>
      <c r="BH571"/>
      <c r="BI571"/>
      <c r="BJ571"/>
      <c r="BK571"/>
      <c r="BL571"/>
      <c r="BM571"/>
      <c r="BN571"/>
      <c r="BO571"/>
      <c r="BP571"/>
      <c r="BQ571"/>
      <c r="BR571"/>
      <c r="BS571"/>
      <c r="BT571"/>
      <c r="BU571"/>
      <c r="BV571"/>
      <c r="BW571"/>
      <c r="BX571"/>
    </row>
    <row r="572" spans="1:76">
      <c r="A572" s="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  <c r="AG572"/>
      <c r="AH572"/>
      <c r="AI572"/>
      <c r="AJ572"/>
      <c r="AK572"/>
      <c r="AL572"/>
      <c r="AM572"/>
      <c r="AN572"/>
      <c r="AO572"/>
      <c r="AP572"/>
      <c r="AQ572"/>
      <c r="AR572"/>
      <c r="AS572"/>
      <c r="AT572"/>
      <c r="AU572"/>
      <c r="AV572"/>
      <c r="AW572"/>
      <c r="AX572"/>
      <c r="AY572"/>
      <c r="AZ572"/>
      <c r="BA572"/>
      <c r="BB572"/>
      <c r="BC572"/>
      <c r="BD572"/>
      <c r="BE572"/>
      <c r="BF572"/>
      <c r="BG572"/>
      <c r="BH572"/>
      <c r="BI572"/>
      <c r="BJ572"/>
      <c r="BK572"/>
      <c r="BL572"/>
      <c r="BM572"/>
      <c r="BN572"/>
      <c r="BO572"/>
      <c r="BP572"/>
      <c r="BQ572"/>
      <c r="BR572"/>
      <c r="BS572"/>
      <c r="BT572"/>
      <c r="BU572"/>
      <c r="BV572"/>
      <c r="BW572"/>
      <c r="BX572"/>
    </row>
    <row r="573" spans="1:76">
      <c r="A573" s="72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  <c r="AY573"/>
      <c r="AZ573"/>
      <c r="BA573"/>
      <c r="BB573"/>
      <c r="BC573"/>
      <c r="BD573"/>
      <c r="BE573"/>
      <c r="BF573"/>
      <c r="BG573"/>
      <c r="BH573"/>
      <c r="BI573"/>
      <c r="BJ573"/>
      <c r="BK573"/>
      <c r="BL573"/>
      <c r="BM573"/>
      <c r="BN573"/>
      <c r="BO573"/>
      <c r="BP573"/>
      <c r="BQ573"/>
      <c r="BR573"/>
      <c r="BS573"/>
      <c r="BT573"/>
      <c r="BU573"/>
      <c r="BV573"/>
      <c r="BW573"/>
      <c r="BX573"/>
    </row>
    <row r="574" spans="1:76">
      <c r="A574" s="72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  <c r="AY574"/>
      <c r="AZ574"/>
      <c r="BA574"/>
      <c r="BB574"/>
      <c r="BC574"/>
      <c r="BD574"/>
      <c r="BE574"/>
      <c r="BF574"/>
      <c r="BG574"/>
      <c r="BH574"/>
      <c r="BI574"/>
      <c r="BJ574"/>
      <c r="BK574"/>
      <c r="BL574"/>
      <c r="BM574"/>
      <c r="BN574"/>
      <c r="BO574"/>
      <c r="BP574"/>
      <c r="BQ574"/>
      <c r="BR574"/>
      <c r="BS574"/>
      <c r="BT574"/>
      <c r="BU574"/>
      <c r="BV574"/>
      <c r="BW574"/>
      <c r="BX574"/>
    </row>
    <row r="575" spans="1:76">
      <c r="A575" s="72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  <c r="AG575"/>
      <c r="AH575"/>
      <c r="AI575"/>
      <c r="AJ575"/>
      <c r="AK575"/>
      <c r="AL575"/>
      <c r="AM575"/>
      <c r="AN575"/>
      <c r="AO575"/>
      <c r="AP575"/>
      <c r="AQ575"/>
      <c r="AR575"/>
      <c r="AS575"/>
      <c r="AT575"/>
      <c r="AU575"/>
      <c r="AV575"/>
      <c r="AW575"/>
      <c r="AX575"/>
      <c r="AY575"/>
      <c r="AZ575"/>
      <c r="BA575"/>
      <c r="BB575"/>
      <c r="BC575"/>
      <c r="BD575"/>
      <c r="BE575"/>
      <c r="BF575"/>
      <c r="BG575"/>
      <c r="BH575"/>
      <c r="BI575"/>
      <c r="BJ575"/>
      <c r="BK575"/>
      <c r="BL575"/>
      <c r="BM575"/>
      <c r="BN575"/>
      <c r="BO575"/>
      <c r="BP575"/>
      <c r="BQ575"/>
      <c r="BR575"/>
      <c r="BS575"/>
      <c r="BT575"/>
      <c r="BU575"/>
      <c r="BV575"/>
      <c r="BW575"/>
      <c r="BX575"/>
    </row>
    <row r="576" spans="1:76">
      <c r="A576" s="72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/>
      <c r="AK576"/>
      <c r="AL576"/>
      <c r="AM576"/>
      <c r="AN576"/>
      <c r="AO576"/>
      <c r="AP576"/>
      <c r="AQ576"/>
      <c r="AR576"/>
      <c r="AS576"/>
      <c r="AT576"/>
      <c r="AU576"/>
      <c r="AV576"/>
      <c r="AW576"/>
      <c r="AX576"/>
      <c r="AY576"/>
      <c r="AZ576"/>
      <c r="BA576"/>
      <c r="BB576"/>
      <c r="BC576"/>
      <c r="BD576"/>
      <c r="BE576"/>
      <c r="BF576"/>
      <c r="BG576"/>
      <c r="BH576"/>
      <c r="BI576"/>
      <c r="BJ576"/>
      <c r="BK576"/>
      <c r="BL576"/>
      <c r="BM576"/>
      <c r="BN576"/>
      <c r="BO576"/>
      <c r="BP576"/>
      <c r="BQ576"/>
      <c r="BR576"/>
      <c r="BS576"/>
      <c r="BT576"/>
      <c r="BU576"/>
      <c r="BV576"/>
      <c r="BW576"/>
      <c r="BX576"/>
    </row>
    <row r="577" spans="1:76">
      <c r="A577" s="72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/>
      <c r="AL577"/>
      <c r="AM577"/>
      <c r="AN577"/>
      <c r="AO577"/>
      <c r="AP577"/>
      <c r="AQ577"/>
      <c r="AR577"/>
      <c r="AS577"/>
      <c r="AT577"/>
      <c r="AU577"/>
      <c r="AV577"/>
      <c r="AW577"/>
      <c r="AX577"/>
      <c r="AY577"/>
      <c r="AZ577"/>
      <c r="BA577"/>
      <c r="BB577"/>
      <c r="BC577"/>
      <c r="BD577"/>
      <c r="BE577"/>
      <c r="BF577"/>
      <c r="BG577"/>
      <c r="BH577"/>
      <c r="BI577"/>
      <c r="BJ577"/>
      <c r="BK577"/>
      <c r="BL577"/>
      <c r="BM577"/>
      <c r="BN577"/>
      <c r="BO577"/>
      <c r="BP577"/>
      <c r="BQ577"/>
      <c r="BR577"/>
      <c r="BS577"/>
      <c r="BT577"/>
      <c r="BU577"/>
      <c r="BV577"/>
      <c r="BW577"/>
      <c r="BX577"/>
    </row>
    <row r="578" spans="1:76">
      <c r="A578" s="72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  <c r="AG578"/>
      <c r="AH578"/>
      <c r="AI578"/>
      <c r="AJ578"/>
      <c r="AK578"/>
      <c r="AL578"/>
      <c r="AM578"/>
      <c r="AN578"/>
      <c r="AO578"/>
      <c r="AP578"/>
      <c r="AQ578"/>
      <c r="AR578"/>
      <c r="AS578"/>
      <c r="AT578"/>
      <c r="AU578"/>
      <c r="AV578"/>
      <c r="AW578"/>
      <c r="AX578"/>
      <c r="AY578"/>
      <c r="AZ578"/>
      <c r="BA578"/>
      <c r="BB578"/>
      <c r="BC578"/>
      <c r="BD578"/>
      <c r="BE578"/>
      <c r="BF578"/>
      <c r="BG578"/>
      <c r="BH578"/>
      <c r="BI578"/>
      <c r="BJ578"/>
      <c r="BK578"/>
      <c r="BL578"/>
      <c r="BM578"/>
      <c r="BN578"/>
      <c r="BO578"/>
      <c r="BP578"/>
      <c r="BQ578"/>
      <c r="BR578"/>
      <c r="BS578"/>
      <c r="BT578"/>
      <c r="BU578"/>
      <c r="BV578"/>
      <c r="BW578"/>
      <c r="BX578"/>
    </row>
    <row r="579" spans="1:76">
      <c r="A579" s="72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/>
      <c r="AG579"/>
      <c r="AH579"/>
      <c r="AI579"/>
      <c r="AJ579"/>
      <c r="AK579"/>
      <c r="AL579"/>
      <c r="AM579"/>
      <c r="AN579"/>
      <c r="AO579"/>
      <c r="AP579"/>
      <c r="AQ579"/>
      <c r="AR579"/>
      <c r="AS579"/>
      <c r="AT579"/>
      <c r="AU579"/>
      <c r="AV579"/>
      <c r="AW579"/>
      <c r="AX579"/>
      <c r="AY579"/>
      <c r="AZ579"/>
      <c r="BA579"/>
      <c r="BB579"/>
      <c r="BC579"/>
      <c r="BD579"/>
      <c r="BE579"/>
      <c r="BF579"/>
      <c r="BG579"/>
      <c r="BH579"/>
      <c r="BI579"/>
      <c r="BJ579"/>
      <c r="BK579"/>
      <c r="BL579"/>
      <c r="BM579"/>
      <c r="BN579"/>
      <c r="BO579"/>
      <c r="BP579"/>
      <c r="BQ579"/>
      <c r="BR579"/>
      <c r="BS579"/>
      <c r="BT579"/>
      <c r="BU579"/>
      <c r="BV579"/>
      <c r="BW579"/>
      <c r="BX579"/>
    </row>
    <row r="580" spans="1:76">
      <c r="A580" s="72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  <c r="AG580"/>
      <c r="AH580"/>
      <c r="AI580"/>
      <c r="AJ580"/>
      <c r="AK580"/>
      <c r="AL580"/>
      <c r="AM580"/>
      <c r="AN580"/>
      <c r="AO580"/>
      <c r="AP580"/>
      <c r="AQ580"/>
      <c r="AR580"/>
      <c r="AS580"/>
      <c r="AT580"/>
      <c r="AU580"/>
      <c r="AV580"/>
      <c r="AW580"/>
      <c r="AX580"/>
      <c r="AY580"/>
      <c r="AZ580"/>
      <c r="BA580"/>
      <c r="BB580"/>
      <c r="BC580"/>
      <c r="BD580"/>
      <c r="BE580"/>
      <c r="BF580"/>
      <c r="BG580"/>
      <c r="BH580"/>
      <c r="BI580"/>
      <c r="BJ580"/>
      <c r="BK580"/>
      <c r="BL580"/>
      <c r="BM580"/>
      <c r="BN580"/>
      <c r="BO580"/>
      <c r="BP580"/>
      <c r="BQ580"/>
      <c r="BR580"/>
      <c r="BS580"/>
      <c r="BT580"/>
      <c r="BU580"/>
      <c r="BV580"/>
      <c r="BW580"/>
      <c r="BX580"/>
    </row>
    <row r="581" spans="1:76">
      <c r="A581" s="72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  <c r="AG581"/>
      <c r="AH581"/>
      <c r="AI581"/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  <c r="AY581"/>
      <c r="AZ581"/>
      <c r="BA581"/>
      <c r="BB581"/>
      <c r="BC581"/>
      <c r="BD581"/>
      <c r="BE581"/>
      <c r="BF581"/>
      <c r="BG581"/>
      <c r="BH581"/>
      <c r="BI581"/>
      <c r="BJ581"/>
      <c r="BK581"/>
      <c r="BL581"/>
      <c r="BM581"/>
      <c r="BN581"/>
      <c r="BO581"/>
      <c r="BP581"/>
      <c r="BQ581"/>
      <c r="BR581"/>
      <c r="BS581"/>
      <c r="BT581"/>
      <c r="BU581"/>
      <c r="BV581"/>
      <c r="BW581"/>
      <c r="BX581"/>
    </row>
    <row r="582" spans="1:76">
      <c r="A582" s="7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  <c r="AH582"/>
      <c r="AI582"/>
      <c r="AJ582"/>
      <c r="AK582"/>
      <c r="AL582"/>
      <c r="AM582"/>
      <c r="AN582"/>
      <c r="AO582"/>
      <c r="AP582"/>
      <c r="AQ582"/>
      <c r="AR582"/>
      <c r="AS582"/>
      <c r="AT582"/>
      <c r="AU582"/>
      <c r="AV582"/>
      <c r="AW582"/>
      <c r="AX582"/>
      <c r="AY582"/>
      <c r="AZ582"/>
      <c r="BA582"/>
      <c r="BB582"/>
      <c r="BC582"/>
      <c r="BD582"/>
      <c r="BE582"/>
      <c r="BF582"/>
      <c r="BG582"/>
      <c r="BH582"/>
      <c r="BI582"/>
      <c r="BJ582"/>
      <c r="BK582"/>
      <c r="BL582"/>
      <c r="BM582"/>
      <c r="BN582"/>
      <c r="BO582"/>
      <c r="BP582"/>
      <c r="BQ582"/>
      <c r="BR582"/>
      <c r="BS582"/>
      <c r="BT582"/>
      <c r="BU582"/>
      <c r="BV582"/>
      <c r="BW582"/>
      <c r="BX582"/>
    </row>
    <row r="583" spans="1:76">
      <c r="A583" s="72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/>
      <c r="AG583"/>
      <c r="AH583"/>
      <c r="AI583"/>
      <c r="AJ583"/>
      <c r="AK583"/>
      <c r="AL583"/>
      <c r="AM583"/>
      <c r="AN583"/>
      <c r="AO583"/>
      <c r="AP583"/>
      <c r="AQ583"/>
      <c r="AR583"/>
      <c r="AS583"/>
      <c r="AT583"/>
      <c r="AU583"/>
      <c r="AV583"/>
      <c r="AW583"/>
      <c r="AX583"/>
      <c r="AY583"/>
      <c r="AZ583"/>
      <c r="BA583"/>
      <c r="BB583"/>
      <c r="BC583"/>
      <c r="BD583"/>
      <c r="BE583"/>
      <c r="BF583"/>
      <c r="BG583"/>
      <c r="BH583"/>
      <c r="BI583"/>
      <c r="BJ583"/>
      <c r="BK583"/>
      <c r="BL583"/>
      <c r="BM583"/>
      <c r="BN583"/>
      <c r="BO583"/>
      <c r="BP583"/>
      <c r="BQ583"/>
      <c r="BR583"/>
      <c r="BS583"/>
      <c r="BT583"/>
      <c r="BU583"/>
      <c r="BV583"/>
      <c r="BW583"/>
      <c r="BX583"/>
    </row>
    <row r="584" spans="1:76">
      <c r="A584" s="72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/>
      <c r="AK584"/>
      <c r="AL584"/>
      <c r="AM584"/>
      <c r="AN584"/>
      <c r="AO584"/>
      <c r="AP584"/>
      <c r="AQ584"/>
      <c r="AR584"/>
      <c r="AS584"/>
      <c r="AT584"/>
      <c r="AU584"/>
      <c r="AV584"/>
      <c r="AW584"/>
      <c r="AX584"/>
      <c r="AY584"/>
      <c r="AZ584"/>
      <c r="BA584"/>
      <c r="BB584"/>
      <c r="BC584"/>
      <c r="BD584"/>
      <c r="BE584"/>
      <c r="BF584"/>
      <c r="BG584"/>
      <c r="BH584"/>
      <c r="BI584"/>
      <c r="BJ584"/>
      <c r="BK584"/>
      <c r="BL584"/>
      <c r="BM584"/>
      <c r="BN584"/>
      <c r="BO584"/>
      <c r="BP584"/>
      <c r="BQ584"/>
      <c r="BR584"/>
      <c r="BS584"/>
      <c r="BT584"/>
      <c r="BU584"/>
      <c r="BV584"/>
      <c r="BW584"/>
      <c r="BX584"/>
    </row>
    <row r="585" spans="1:76">
      <c r="A585" s="72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  <c r="AG585"/>
      <c r="AH585"/>
      <c r="AI585"/>
      <c r="AJ585"/>
      <c r="AK585"/>
      <c r="AL585"/>
      <c r="AM585"/>
      <c r="AN585"/>
      <c r="AO585"/>
      <c r="AP585"/>
      <c r="AQ585"/>
      <c r="AR585"/>
      <c r="AS585"/>
      <c r="AT585"/>
      <c r="AU585"/>
      <c r="AV585"/>
      <c r="AW585"/>
      <c r="AX585"/>
      <c r="AY585"/>
      <c r="AZ585"/>
      <c r="BA585"/>
      <c r="BB585"/>
      <c r="BC585"/>
      <c r="BD585"/>
      <c r="BE585"/>
      <c r="BF585"/>
      <c r="BG585"/>
      <c r="BH585"/>
      <c r="BI585"/>
      <c r="BJ585"/>
      <c r="BK585"/>
      <c r="BL585"/>
      <c r="BM585"/>
      <c r="BN585"/>
      <c r="BO585"/>
      <c r="BP585"/>
      <c r="BQ585"/>
      <c r="BR585"/>
      <c r="BS585"/>
      <c r="BT585"/>
      <c r="BU585"/>
      <c r="BV585"/>
      <c r="BW585"/>
      <c r="BX585"/>
    </row>
    <row r="586" spans="1:76">
      <c r="A586" s="72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  <c r="AG586"/>
      <c r="AH586"/>
      <c r="AI586"/>
      <c r="AJ586"/>
      <c r="AK586"/>
      <c r="AL586"/>
      <c r="AM586"/>
      <c r="AN586"/>
      <c r="AO586"/>
      <c r="AP586"/>
      <c r="AQ586"/>
      <c r="AR586"/>
      <c r="AS586"/>
      <c r="AT586"/>
      <c r="AU586"/>
      <c r="AV586"/>
      <c r="AW586"/>
      <c r="AX586"/>
      <c r="AY586"/>
      <c r="AZ586"/>
      <c r="BA586"/>
      <c r="BB586"/>
      <c r="BC586"/>
      <c r="BD586"/>
      <c r="BE586"/>
      <c r="BF586"/>
      <c r="BG586"/>
      <c r="BH586"/>
      <c r="BI586"/>
      <c r="BJ586"/>
      <c r="BK586"/>
      <c r="BL586"/>
      <c r="BM586"/>
      <c r="BN586"/>
      <c r="BO586"/>
      <c r="BP586"/>
      <c r="BQ586"/>
      <c r="BR586"/>
      <c r="BS586"/>
      <c r="BT586"/>
      <c r="BU586"/>
      <c r="BV586"/>
      <c r="BW586"/>
      <c r="BX586"/>
    </row>
    <row r="587" spans="1:76">
      <c r="A587" s="72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/>
      <c r="AG587"/>
      <c r="AH587"/>
      <c r="AI587"/>
      <c r="AJ587"/>
      <c r="AK587"/>
      <c r="AL587"/>
      <c r="AM587"/>
      <c r="AN587"/>
      <c r="AO587"/>
      <c r="AP587"/>
      <c r="AQ587"/>
      <c r="AR587"/>
      <c r="AS587"/>
      <c r="AT587"/>
      <c r="AU587"/>
      <c r="AV587"/>
      <c r="AW587"/>
      <c r="AX587"/>
      <c r="AY587"/>
      <c r="AZ587"/>
      <c r="BA587"/>
      <c r="BB587"/>
      <c r="BC587"/>
      <c r="BD587"/>
      <c r="BE587"/>
      <c r="BF587"/>
      <c r="BG587"/>
      <c r="BH587"/>
      <c r="BI587"/>
      <c r="BJ587"/>
      <c r="BK587"/>
      <c r="BL587"/>
      <c r="BM587"/>
      <c r="BN587"/>
      <c r="BO587"/>
      <c r="BP587"/>
      <c r="BQ587"/>
      <c r="BR587"/>
      <c r="BS587"/>
      <c r="BT587"/>
      <c r="BU587"/>
      <c r="BV587"/>
      <c r="BW587"/>
      <c r="BX587"/>
    </row>
    <row r="588" spans="1:76">
      <c r="A588" s="72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/>
      <c r="AI588"/>
      <c r="AJ588"/>
      <c r="AK588"/>
      <c r="AL588"/>
      <c r="AM588"/>
      <c r="AN588"/>
      <c r="AO588"/>
      <c r="AP588"/>
      <c r="AQ588"/>
      <c r="AR588"/>
      <c r="AS588"/>
      <c r="AT588"/>
      <c r="AU588"/>
      <c r="AV588"/>
      <c r="AW588"/>
      <c r="AX588"/>
      <c r="AY588"/>
      <c r="AZ588"/>
      <c r="BA588"/>
      <c r="BB588"/>
      <c r="BC588"/>
      <c r="BD588"/>
      <c r="BE588"/>
      <c r="BF588"/>
      <c r="BG588"/>
      <c r="BH588"/>
      <c r="BI588"/>
      <c r="BJ588"/>
      <c r="BK588"/>
      <c r="BL588"/>
      <c r="BM588"/>
      <c r="BN588"/>
      <c r="BO588"/>
      <c r="BP588"/>
      <c r="BQ588"/>
      <c r="BR588"/>
      <c r="BS588"/>
      <c r="BT588"/>
      <c r="BU588"/>
      <c r="BV588"/>
      <c r="BW588"/>
      <c r="BX588"/>
    </row>
    <row r="589" spans="1:76">
      <c r="A589" s="72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/>
      <c r="AR589"/>
      <c r="AS589"/>
      <c r="AT589"/>
      <c r="AU589"/>
      <c r="AV589"/>
      <c r="AW589"/>
      <c r="AX589"/>
      <c r="AY589"/>
      <c r="AZ589"/>
      <c r="BA589"/>
      <c r="BB589"/>
      <c r="BC589"/>
      <c r="BD589"/>
      <c r="BE589"/>
      <c r="BF589"/>
      <c r="BG589"/>
      <c r="BH589"/>
      <c r="BI589"/>
      <c r="BJ589"/>
      <c r="BK589"/>
      <c r="BL589"/>
      <c r="BM589"/>
      <c r="BN589"/>
      <c r="BO589"/>
      <c r="BP589"/>
      <c r="BQ589"/>
      <c r="BR589"/>
      <c r="BS589"/>
      <c r="BT589"/>
      <c r="BU589"/>
      <c r="BV589"/>
      <c r="BW589"/>
      <c r="BX589"/>
    </row>
    <row r="590" spans="1:76">
      <c r="A590" s="72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  <c r="AG590"/>
      <c r="AH590"/>
      <c r="AI590"/>
      <c r="AJ590"/>
      <c r="AK590"/>
      <c r="AL590"/>
      <c r="AM590"/>
      <c r="AN590"/>
      <c r="AO590"/>
      <c r="AP590"/>
      <c r="AQ590"/>
      <c r="AR590"/>
      <c r="AS590"/>
      <c r="AT590"/>
      <c r="AU590"/>
      <c r="AV590"/>
      <c r="AW590"/>
      <c r="AX590"/>
      <c r="AY590"/>
      <c r="AZ590"/>
      <c r="BA590"/>
      <c r="BB590"/>
      <c r="BC590"/>
      <c r="BD590"/>
      <c r="BE590"/>
      <c r="BF590"/>
      <c r="BG590"/>
      <c r="BH590"/>
      <c r="BI590"/>
      <c r="BJ590"/>
      <c r="BK590"/>
      <c r="BL590"/>
      <c r="BM590"/>
      <c r="BN590"/>
      <c r="BO590"/>
      <c r="BP590"/>
      <c r="BQ590"/>
      <c r="BR590"/>
      <c r="BS590"/>
      <c r="BT590"/>
      <c r="BU590"/>
      <c r="BV590"/>
      <c r="BW590"/>
      <c r="BX590"/>
    </row>
    <row r="591" spans="1:76">
      <c r="A591" s="72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/>
      <c r="AF591"/>
      <c r="AG591"/>
      <c r="AH591"/>
      <c r="AI591"/>
      <c r="AJ591"/>
      <c r="AK591"/>
      <c r="AL591"/>
      <c r="AM591"/>
      <c r="AN591"/>
      <c r="AO591"/>
      <c r="AP591"/>
      <c r="AQ591"/>
      <c r="AR591"/>
      <c r="AS591"/>
      <c r="AT591"/>
      <c r="AU591"/>
      <c r="AV591"/>
      <c r="AW591"/>
      <c r="AX591"/>
      <c r="AY591"/>
      <c r="AZ591"/>
      <c r="BA591"/>
      <c r="BB591"/>
      <c r="BC591"/>
      <c r="BD591"/>
      <c r="BE591"/>
      <c r="BF591"/>
      <c r="BG591"/>
      <c r="BH591"/>
      <c r="BI591"/>
      <c r="BJ591"/>
      <c r="BK591"/>
      <c r="BL591"/>
      <c r="BM591"/>
      <c r="BN591"/>
      <c r="BO591"/>
      <c r="BP591"/>
      <c r="BQ591"/>
      <c r="BR591"/>
      <c r="BS591"/>
      <c r="BT591"/>
      <c r="BU591"/>
      <c r="BV591"/>
      <c r="BW591"/>
      <c r="BX591"/>
    </row>
    <row r="592" spans="1:76">
      <c r="A592" s="7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/>
      <c r="AG592"/>
      <c r="AH592"/>
      <c r="AI592"/>
      <c r="AJ592"/>
      <c r="AK592"/>
      <c r="AL592"/>
      <c r="AM592"/>
      <c r="AN592"/>
      <c r="AO592"/>
      <c r="AP592"/>
      <c r="AQ592"/>
      <c r="AR592"/>
      <c r="AS592"/>
      <c r="AT592"/>
      <c r="AU592"/>
      <c r="AV592"/>
      <c r="AW592"/>
      <c r="AX592"/>
      <c r="AY592"/>
      <c r="AZ592"/>
      <c r="BA592"/>
      <c r="BB592"/>
      <c r="BC592"/>
      <c r="BD592"/>
      <c r="BE592"/>
      <c r="BF592"/>
      <c r="BG592"/>
      <c r="BH592"/>
      <c r="BI592"/>
      <c r="BJ592"/>
      <c r="BK592"/>
      <c r="BL592"/>
      <c r="BM592"/>
      <c r="BN592"/>
      <c r="BO592"/>
      <c r="BP592"/>
      <c r="BQ592"/>
      <c r="BR592"/>
      <c r="BS592"/>
      <c r="BT592"/>
      <c r="BU592"/>
      <c r="BV592"/>
      <c r="BW592"/>
      <c r="BX592"/>
    </row>
    <row r="593" spans="1:76">
      <c r="A593" s="72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  <c r="AG593"/>
      <c r="AH593"/>
      <c r="AI593"/>
      <c r="AJ593"/>
      <c r="AK593"/>
      <c r="AL593"/>
      <c r="AM593"/>
      <c r="AN593"/>
      <c r="AO593"/>
      <c r="AP593"/>
      <c r="AQ593"/>
      <c r="AR593"/>
      <c r="AS593"/>
      <c r="AT593"/>
      <c r="AU593"/>
      <c r="AV593"/>
      <c r="AW593"/>
      <c r="AX593"/>
      <c r="AY593"/>
      <c r="AZ593"/>
      <c r="BA593"/>
      <c r="BB593"/>
      <c r="BC593"/>
      <c r="BD593"/>
      <c r="BE593"/>
      <c r="BF593"/>
      <c r="BG593"/>
      <c r="BH593"/>
      <c r="BI593"/>
      <c r="BJ593"/>
      <c r="BK593"/>
      <c r="BL593"/>
      <c r="BM593"/>
      <c r="BN593"/>
      <c r="BO593"/>
      <c r="BP593"/>
      <c r="BQ593"/>
      <c r="BR593"/>
      <c r="BS593"/>
      <c r="BT593"/>
      <c r="BU593"/>
      <c r="BV593"/>
      <c r="BW593"/>
      <c r="BX593"/>
    </row>
    <row r="594" spans="1:76">
      <c r="A594" s="72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/>
      <c r="AR594"/>
      <c r="AS594"/>
      <c r="AT594"/>
      <c r="AU594"/>
      <c r="AV594"/>
      <c r="AW594"/>
      <c r="AX594"/>
      <c r="AY594"/>
      <c r="AZ594"/>
      <c r="BA594"/>
      <c r="BB594"/>
      <c r="BC594"/>
      <c r="BD594"/>
      <c r="BE594"/>
      <c r="BF594"/>
      <c r="BG594"/>
      <c r="BH594"/>
      <c r="BI594"/>
      <c r="BJ594"/>
      <c r="BK594"/>
      <c r="BL594"/>
      <c r="BM594"/>
      <c r="BN594"/>
      <c r="BO594"/>
      <c r="BP594"/>
      <c r="BQ594"/>
      <c r="BR594"/>
      <c r="BS594"/>
      <c r="BT594"/>
      <c r="BU594"/>
      <c r="BV594"/>
      <c r="BW594"/>
      <c r="BX594"/>
    </row>
    <row r="595" spans="1:76">
      <c r="A595" s="72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  <c r="AG595"/>
      <c r="AH595"/>
      <c r="AI595"/>
      <c r="AJ595"/>
      <c r="AK595"/>
      <c r="AL595"/>
      <c r="AM595"/>
      <c r="AN595"/>
      <c r="AO595"/>
      <c r="AP595"/>
      <c r="AQ595"/>
      <c r="AR595"/>
      <c r="AS595"/>
      <c r="AT595"/>
      <c r="AU595"/>
      <c r="AV595"/>
      <c r="AW595"/>
      <c r="AX595"/>
      <c r="AY595"/>
      <c r="AZ595"/>
      <c r="BA595"/>
      <c r="BB595"/>
      <c r="BC595"/>
      <c r="BD595"/>
      <c r="BE595"/>
      <c r="BF595"/>
      <c r="BG595"/>
      <c r="BH595"/>
      <c r="BI595"/>
      <c r="BJ595"/>
      <c r="BK595"/>
      <c r="BL595"/>
      <c r="BM595"/>
      <c r="BN595"/>
      <c r="BO595"/>
      <c r="BP595"/>
      <c r="BQ595"/>
      <c r="BR595"/>
      <c r="BS595"/>
      <c r="BT595"/>
      <c r="BU595"/>
      <c r="BV595"/>
      <c r="BW595"/>
      <c r="BX595"/>
    </row>
    <row r="596" spans="1:76">
      <c r="A596" s="72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  <c r="AG596"/>
      <c r="AH596"/>
      <c r="AI596"/>
      <c r="AJ596"/>
      <c r="AK596"/>
      <c r="AL596"/>
      <c r="AM596"/>
      <c r="AN596"/>
      <c r="AO596"/>
      <c r="AP596"/>
      <c r="AQ596"/>
      <c r="AR596"/>
      <c r="AS596"/>
      <c r="AT596"/>
      <c r="AU596"/>
      <c r="AV596"/>
      <c r="AW596"/>
      <c r="AX596"/>
      <c r="AY596"/>
      <c r="AZ596"/>
      <c r="BA596"/>
      <c r="BB596"/>
      <c r="BC596"/>
      <c r="BD596"/>
      <c r="BE596"/>
      <c r="BF596"/>
      <c r="BG596"/>
      <c r="BH596"/>
      <c r="BI596"/>
      <c r="BJ596"/>
      <c r="BK596"/>
      <c r="BL596"/>
      <c r="BM596"/>
      <c r="BN596"/>
      <c r="BO596"/>
      <c r="BP596"/>
      <c r="BQ596"/>
      <c r="BR596"/>
      <c r="BS596"/>
      <c r="BT596"/>
      <c r="BU596"/>
      <c r="BV596"/>
      <c r="BW596"/>
      <c r="BX596"/>
    </row>
    <row r="597" spans="1:76">
      <c r="A597" s="72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  <c r="AG597"/>
      <c r="AH597"/>
      <c r="AI597"/>
      <c r="AJ597"/>
      <c r="AK597"/>
      <c r="AL597"/>
      <c r="AM597"/>
      <c r="AN597"/>
      <c r="AO597"/>
      <c r="AP597"/>
      <c r="AQ597"/>
      <c r="AR597"/>
      <c r="AS597"/>
      <c r="AT597"/>
      <c r="AU597"/>
      <c r="AV597"/>
      <c r="AW597"/>
      <c r="AX597"/>
      <c r="AY597"/>
      <c r="AZ597"/>
      <c r="BA597"/>
      <c r="BB597"/>
      <c r="BC597"/>
      <c r="BD597"/>
      <c r="BE597"/>
      <c r="BF597"/>
      <c r="BG597"/>
      <c r="BH597"/>
      <c r="BI597"/>
      <c r="BJ597"/>
      <c r="BK597"/>
      <c r="BL597"/>
      <c r="BM597"/>
      <c r="BN597"/>
      <c r="BO597"/>
      <c r="BP597"/>
      <c r="BQ597"/>
      <c r="BR597"/>
      <c r="BS597"/>
      <c r="BT597"/>
      <c r="BU597"/>
      <c r="BV597"/>
      <c r="BW597"/>
      <c r="BX597"/>
    </row>
    <row r="598" spans="1:76">
      <c r="A598" s="72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  <c r="AG598"/>
      <c r="AH598"/>
      <c r="AI598"/>
      <c r="AJ598"/>
      <c r="AK598"/>
      <c r="AL598"/>
      <c r="AM598"/>
      <c r="AN598"/>
      <c r="AO598"/>
      <c r="AP598"/>
      <c r="AQ598"/>
      <c r="AR598"/>
      <c r="AS598"/>
      <c r="AT598"/>
      <c r="AU598"/>
      <c r="AV598"/>
      <c r="AW598"/>
      <c r="AX598"/>
      <c r="AY598"/>
      <c r="AZ598"/>
      <c r="BA598"/>
      <c r="BB598"/>
      <c r="BC598"/>
      <c r="BD598"/>
      <c r="BE598"/>
      <c r="BF598"/>
      <c r="BG598"/>
      <c r="BH598"/>
      <c r="BI598"/>
      <c r="BJ598"/>
      <c r="BK598"/>
      <c r="BL598"/>
      <c r="BM598"/>
      <c r="BN598"/>
      <c r="BO598"/>
      <c r="BP598"/>
      <c r="BQ598"/>
      <c r="BR598"/>
      <c r="BS598"/>
      <c r="BT598"/>
      <c r="BU598"/>
      <c r="BV598"/>
      <c r="BW598"/>
      <c r="BX598"/>
    </row>
    <row r="599" spans="1:76">
      <c r="A599" s="72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/>
      <c r="AI599"/>
      <c r="AJ599"/>
      <c r="AK599"/>
      <c r="AL599"/>
      <c r="AM599"/>
      <c r="AN599"/>
      <c r="AO599"/>
      <c r="AP599"/>
      <c r="AQ599"/>
      <c r="AR599"/>
      <c r="AS599"/>
      <c r="AT599"/>
      <c r="AU599"/>
      <c r="AV599"/>
      <c r="AW599"/>
      <c r="AX599"/>
      <c r="AY599"/>
      <c r="AZ599"/>
      <c r="BA599"/>
      <c r="BB599"/>
      <c r="BC599"/>
      <c r="BD599"/>
      <c r="BE599"/>
      <c r="BF599"/>
      <c r="BG599"/>
      <c r="BH599"/>
      <c r="BI599"/>
      <c r="BJ599"/>
      <c r="BK599"/>
      <c r="BL599"/>
      <c r="BM599"/>
      <c r="BN599"/>
      <c r="BO599"/>
      <c r="BP599"/>
      <c r="BQ599"/>
      <c r="BR599"/>
      <c r="BS599"/>
      <c r="BT599"/>
      <c r="BU599"/>
      <c r="BV599"/>
      <c r="BW599"/>
      <c r="BX599"/>
    </row>
    <row r="600" spans="1:76">
      <c r="A600" s="72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/>
      <c r="AG600"/>
      <c r="AH600"/>
      <c r="AI600"/>
      <c r="AJ600"/>
      <c r="AK600"/>
      <c r="AL600"/>
      <c r="AM600"/>
      <c r="AN600"/>
      <c r="AO600"/>
      <c r="AP600"/>
      <c r="AQ600"/>
      <c r="AR600"/>
      <c r="AS600"/>
      <c r="AT600"/>
      <c r="AU600"/>
      <c r="AV600"/>
      <c r="AW600"/>
      <c r="AX600"/>
      <c r="AY600"/>
      <c r="AZ600"/>
      <c r="BA600"/>
      <c r="BB600"/>
      <c r="BC600"/>
      <c r="BD600"/>
      <c r="BE600"/>
      <c r="BF600"/>
      <c r="BG600"/>
      <c r="BH600"/>
      <c r="BI600"/>
      <c r="BJ600"/>
      <c r="BK600"/>
      <c r="BL600"/>
      <c r="BM600"/>
      <c r="BN600"/>
      <c r="BO600"/>
      <c r="BP600"/>
      <c r="BQ600"/>
      <c r="BR600"/>
      <c r="BS600"/>
      <c r="BT600"/>
      <c r="BU600"/>
      <c r="BV600"/>
      <c r="BW600"/>
      <c r="BX600"/>
    </row>
    <row r="601" spans="1:76">
      <c r="A601" s="72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  <c r="AG601"/>
      <c r="AH601"/>
      <c r="AI601"/>
      <c r="AJ601"/>
      <c r="AK601"/>
      <c r="AL601"/>
      <c r="AM601"/>
      <c r="AN601"/>
      <c r="AO601"/>
      <c r="AP601"/>
      <c r="AQ601"/>
      <c r="AR601"/>
      <c r="AS601"/>
      <c r="AT601"/>
      <c r="AU601"/>
      <c r="AV601"/>
      <c r="AW601"/>
      <c r="AX601"/>
      <c r="AY601"/>
      <c r="AZ601"/>
      <c r="BA601"/>
      <c r="BB601"/>
      <c r="BC601"/>
      <c r="BD601"/>
      <c r="BE601"/>
      <c r="BF601"/>
      <c r="BG601"/>
      <c r="BH601"/>
      <c r="BI601"/>
      <c r="BJ601"/>
      <c r="BK601"/>
      <c r="BL601"/>
      <c r="BM601"/>
      <c r="BN601"/>
      <c r="BO601"/>
      <c r="BP601"/>
      <c r="BQ601"/>
      <c r="BR601"/>
      <c r="BS601"/>
      <c r="BT601"/>
      <c r="BU601"/>
      <c r="BV601"/>
      <c r="BW601"/>
      <c r="BX601"/>
    </row>
    <row r="602" spans="1:76">
      <c r="A602" s="7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  <c r="AG602"/>
      <c r="AH602"/>
      <c r="AI602"/>
      <c r="AJ602"/>
      <c r="AK602"/>
      <c r="AL602"/>
      <c r="AM602"/>
      <c r="AN602"/>
      <c r="AO602"/>
      <c r="AP602"/>
      <c r="AQ602"/>
      <c r="AR602"/>
      <c r="AS602"/>
      <c r="AT602"/>
      <c r="AU602"/>
      <c r="AV602"/>
      <c r="AW602"/>
      <c r="AX602"/>
      <c r="AY602"/>
      <c r="AZ602"/>
      <c r="BA602"/>
      <c r="BB602"/>
      <c r="BC602"/>
      <c r="BD602"/>
      <c r="BE602"/>
      <c r="BF602"/>
      <c r="BG602"/>
      <c r="BH602"/>
      <c r="BI602"/>
      <c r="BJ602"/>
      <c r="BK602"/>
      <c r="BL602"/>
      <c r="BM602"/>
      <c r="BN602"/>
      <c r="BO602"/>
      <c r="BP602"/>
      <c r="BQ602"/>
      <c r="BR602"/>
      <c r="BS602"/>
      <c r="BT602"/>
      <c r="BU602"/>
      <c r="BV602"/>
      <c r="BW602"/>
      <c r="BX602"/>
    </row>
    <row r="603" spans="1:76">
      <c r="A603" s="72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/>
      <c r="AK603"/>
      <c r="AL603"/>
      <c r="AM603"/>
      <c r="AN603"/>
      <c r="AO603"/>
      <c r="AP603"/>
      <c r="AQ603"/>
      <c r="AR603"/>
      <c r="AS603"/>
      <c r="AT603"/>
      <c r="AU603"/>
      <c r="AV603"/>
      <c r="AW603"/>
      <c r="AX603"/>
      <c r="AY603"/>
      <c r="AZ603"/>
      <c r="BA603"/>
      <c r="BB603"/>
      <c r="BC603"/>
      <c r="BD603"/>
      <c r="BE603"/>
      <c r="BF603"/>
      <c r="BG603"/>
      <c r="BH603"/>
      <c r="BI603"/>
      <c r="BJ603"/>
      <c r="BK603"/>
      <c r="BL603"/>
      <c r="BM603"/>
      <c r="BN603"/>
      <c r="BO603"/>
      <c r="BP603"/>
      <c r="BQ603"/>
      <c r="BR603"/>
      <c r="BS603"/>
      <c r="BT603"/>
      <c r="BU603"/>
      <c r="BV603"/>
      <c r="BW603"/>
      <c r="BX603"/>
    </row>
    <row r="604" spans="1:76">
      <c r="A604" s="72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  <c r="AG604"/>
      <c r="AH604"/>
      <c r="AI604"/>
      <c r="AJ604"/>
      <c r="AK604"/>
      <c r="AL604"/>
      <c r="AM604"/>
      <c r="AN604"/>
      <c r="AO604"/>
      <c r="AP604"/>
      <c r="AQ604"/>
      <c r="AR604"/>
      <c r="AS604"/>
      <c r="AT604"/>
      <c r="AU604"/>
      <c r="AV604"/>
      <c r="AW604"/>
      <c r="AX604"/>
      <c r="AY604"/>
      <c r="AZ604"/>
      <c r="BA604"/>
      <c r="BB604"/>
      <c r="BC604"/>
      <c r="BD604"/>
      <c r="BE604"/>
      <c r="BF604"/>
      <c r="BG604"/>
      <c r="BH604"/>
      <c r="BI604"/>
      <c r="BJ604"/>
      <c r="BK604"/>
      <c r="BL604"/>
      <c r="BM604"/>
      <c r="BN604"/>
      <c r="BO604"/>
      <c r="BP604"/>
      <c r="BQ604"/>
      <c r="BR604"/>
      <c r="BS604"/>
      <c r="BT604"/>
      <c r="BU604"/>
      <c r="BV604"/>
      <c r="BW604"/>
      <c r="BX604"/>
    </row>
    <row r="605" spans="1:76">
      <c r="A605" s="72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  <c r="AG605"/>
      <c r="AH605"/>
      <c r="AI605"/>
      <c r="AJ605"/>
      <c r="AK605"/>
      <c r="AL605"/>
      <c r="AM605"/>
      <c r="AN605"/>
      <c r="AO605"/>
      <c r="AP605"/>
      <c r="AQ605"/>
      <c r="AR605"/>
      <c r="AS605"/>
      <c r="AT605"/>
      <c r="AU605"/>
      <c r="AV605"/>
      <c r="AW605"/>
      <c r="AX605"/>
      <c r="AY605"/>
      <c r="AZ605"/>
      <c r="BA605"/>
      <c r="BB605"/>
      <c r="BC605"/>
      <c r="BD605"/>
      <c r="BE605"/>
      <c r="BF605"/>
      <c r="BG605"/>
      <c r="BH605"/>
      <c r="BI605"/>
      <c r="BJ605"/>
      <c r="BK605"/>
      <c r="BL605"/>
      <c r="BM605"/>
      <c r="BN605"/>
      <c r="BO605"/>
      <c r="BP605"/>
      <c r="BQ605"/>
      <c r="BR605"/>
      <c r="BS605"/>
      <c r="BT605"/>
      <c r="BU605"/>
      <c r="BV605"/>
      <c r="BW605"/>
      <c r="BX605"/>
    </row>
    <row r="606" spans="1:76">
      <c r="A606" s="72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  <c r="AG606"/>
      <c r="AH606"/>
      <c r="AI606"/>
      <c r="AJ606"/>
      <c r="AK606"/>
      <c r="AL606"/>
      <c r="AM606"/>
      <c r="AN606"/>
      <c r="AO606"/>
      <c r="AP606"/>
      <c r="AQ606"/>
      <c r="AR606"/>
      <c r="AS606"/>
      <c r="AT606"/>
      <c r="AU606"/>
      <c r="AV606"/>
      <c r="AW606"/>
      <c r="AX606"/>
      <c r="AY606"/>
      <c r="AZ606"/>
      <c r="BA606"/>
      <c r="BB606"/>
      <c r="BC606"/>
      <c r="BD606"/>
      <c r="BE606"/>
      <c r="BF606"/>
      <c r="BG606"/>
      <c r="BH606"/>
      <c r="BI606"/>
      <c r="BJ606"/>
      <c r="BK606"/>
      <c r="BL606"/>
      <c r="BM606"/>
      <c r="BN606"/>
      <c r="BO606"/>
      <c r="BP606"/>
      <c r="BQ606"/>
      <c r="BR606"/>
      <c r="BS606"/>
      <c r="BT606"/>
      <c r="BU606"/>
      <c r="BV606"/>
      <c r="BW606"/>
      <c r="BX606"/>
    </row>
    <row r="607" spans="1:76">
      <c r="A607" s="72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/>
      <c r="AF607"/>
      <c r="AG607"/>
      <c r="AH607"/>
      <c r="AI607"/>
      <c r="AJ607"/>
      <c r="AK607"/>
      <c r="AL607"/>
      <c r="AM607"/>
      <c r="AN607"/>
      <c r="AO607"/>
      <c r="AP607"/>
      <c r="AQ607"/>
      <c r="AR607"/>
      <c r="AS607"/>
      <c r="AT607"/>
      <c r="AU607"/>
      <c r="AV607"/>
      <c r="AW607"/>
      <c r="AX607"/>
      <c r="AY607"/>
      <c r="AZ607"/>
      <c r="BA607"/>
      <c r="BB607"/>
      <c r="BC607"/>
      <c r="BD607"/>
      <c r="BE607"/>
      <c r="BF607"/>
      <c r="BG607"/>
      <c r="BH607"/>
      <c r="BI607"/>
      <c r="BJ607"/>
      <c r="BK607"/>
      <c r="BL607"/>
      <c r="BM607"/>
      <c r="BN607"/>
      <c r="BO607"/>
      <c r="BP607"/>
      <c r="BQ607"/>
      <c r="BR607"/>
      <c r="BS607"/>
      <c r="BT607"/>
      <c r="BU607"/>
      <c r="BV607"/>
      <c r="BW607"/>
      <c r="BX607"/>
    </row>
    <row r="608" spans="1:76">
      <c r="A608" s="72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  <c r="AG608"/>
      <c r="AH608"/>
      <c r="AI608"/>
      <c r="AJ608"/>
      <c r="AK608"/>
      <c r="AL608"/>
      <c r="AM608"/>
      <c r="AN608"/>
      <c r="AO608"/>
      <c r="AP608"/>
      <c r="AQ608"/>
      <c r="AR608"/>
      <c r="AS608"/>
      <c r="AT608"/>
      <c r="AU608"/>
      <c r="AV608"/>
      <c r="AW608"/>
      <c r="AX608"/>
      <c r="AY608"/>
      <c r="AZ608"/>
      <c r="BA608"/>
      <c r="BB608"/>
      <c r="BC608"/>
      <c r="BD608"/>
      <c r="BE608"/>
      <c r="BF608"/>
      <c r="BG608"/>
      <c r="BH608"/>
      <c r="BI608"/>
      <c r="BJ608"/>
      <c r="BK608"/>
      <c r="BL608"/>
      <c r="BM608"/>
      <c r="BN608"/>
      <c r="BO608"/>
      <c r="BP608"/>
      <c r="BQ608"/>
      <c r="BR608"/>
      <c r="BS608"/>
      <c r="BT608"/>
      <c r="BU608"/>
      <c r="BV608"/>
      <c r="BW608"/>
      <c r="BX608"/>
    </row>
    <row r="609" spans="1:76">
      <c r="A609" s="72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  <c r="AG609"/>
      <c r="AH609"/>
      <c r="AI609"/>
      <c r="AJ609"/>
      <c r="AK609"/>
      <c r="AL609"/>
      <c r="AM609"/>
      <c r="AN609"/>
      <c r="AO609"/>
      <c r="AP609"/>
      <c r="AQ609"/>
      <c r="AR609"/>
      <c r="AS609"/>
      <c r="AT609"/>
      <c r="AU609"/>
      <c r="AV609"/>
      <c r="AW609"/>
      <c r="AX609"/>
      <c r="AY609"/>
      <c r="AZ609"/>
      <c r="BA609"/>
      <c r="BB609"/>
      <c r="BC609"/>
      <c r="BD609"/>
      <c r="BE609"/>
      <c r="BF609"/>
      <c r="BG609"/>
      <c r="BH609"/>
      <c r="BI609"/>
      <c r="BJ609"/>
      <c r="BK609"/>
      <c r="BL609"/>
      <c r="BM609"/>
      <c r="BN609"/>
      <c r="BO609"/>
      <c r="BP609"/>
      <c r="BQ609"/>
      <c r="BR609"/>
      <c r="BS609"/>
      <c r="BT609"/>
      <c r="BU609"/>
      <c r="BV609"/>
      <c r="BW609"/>
      <c r="BX609"/>
    </row>
    <row r="610" spans="1:76">
      <c r="A610" s="72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  <c r="AG610"/>
      <c r="AH610"/>
      <c r="AI610"/>
      <c r="AJ610"/>
      <c r="AK610"/>
      <c r="AL610"/>
      <c r="AM610"/>
      <c r="AN610"/>
      <c r="AO610"/>
      <c r="AP610"/>
      <c r="AQ610"/>
      <c r="AR610"/>
      <c r="AS610"/>
      <c r="AT610"/>
      <c r="AU610"/>
      <c r="AV610"/>
      <c r="AW610"/>
      <c r="AX610"/>
      <c r="AY610"/>
      <c r="AZ610"/>
      <c r="BA610"/>
      <c r="BB610"/>
      <c r="BC610"/>
      <c r="BD610"/>
      <c r="BE610"/>
      <c r="BF610"/>
      <c r="BG610"/>
      <c r="BH610"/>
      <c r="BI610"/>
      <c r="BJ610"/>
      <c r="BK610"/>
      <c r="BL610"/>
      <c r="BM610"/>
      <c r="BN610"/>
      <c r="BO610"/>
      <c r="BP610"/>
      <c r="BQ610"/>
      <c r="BR610"/>
      <c r="BS610"/>
      <c r="BT610"/>
      <c r="BU610"/>
      <c r="BV610"/>
      <c r="BW610"/>
      <c r="BX610"/>
    </row>
    <row r="611" spans="1:76">
      <c r="A611" s="72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  <c r="AG611"/>
      <c r="AH611"/>
      <c r="AI611"/>
      <c r="AJ611"/>
      <c r="AK611"/>
      <c r="AL611"/>
      <c r="AM611"/>
      <c r="AN611"/>
      <c r="AO611"/>
      <c r="AP611"/>
      <c r="AQ611"/>
      <c r="AR611"/>
      <c r="AS611"/>
      <c r="AT611"/>
      <c r="AU611"/>
      <c r="AV611"/>
      <c r="AW611"/>
      <c r="AX611"/>
      <c r="AY611"/>
      <c r="AZ611"/>
      <c r="BA611"/>
      <c r="BB611"/>
      <c r="BC611"/>
      <c r="BD611"/>
      <c r="BE611"/>
      <c r="BF611"/>
      <c r="BG611"/>
      <c r="BH611"/>
      <c r="BI611"/>
      <c r="BJ611"/>
      <c r="BK611"/>
      <c r="BL611"/>
      <c r="BM611"/>
      <c r="BN611"/>
      <c r="BO611"/>
      <c r="BP611"/>
      <c r="BQ611"/>
      <c r="BR611"/>
      <c r="BS611"/>
      <c r="BT611"/>
      <c r="BU611"/>
      <c r="BV611"/>
      <c r="BW611"/>
      <c r="BX611"/>
    </row>
    <row r="612" spans="1:76">
      <c r="A612" s="7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  <c r="AG612"/>
      <c r="AH612"/>
      <c r="AI612"/>
      <c r="AJ612"/>
      <c r="AK612"/>
      <c r="AL612"/>
      <c r="AM612"/>
      <c r="AN612"/>
      <c r="AO612"/>
      <c r="AP612"/>
      <c r="AQ612"/>
      <c r="AR612"/>
      <c r="AS612"/>
      <c r="AT612"/>
      <c r="AU612"/>
      <c r="AV612"/>
      <c r="AW612"/>
      <c r="AX612"/>
      <c r="AY612"/>
      <c r="AZ612"/>
      <c r="BA612"/>
      <c r="BB612"/>
      <c r="BC612"/>
      <c r="BD612"/>
      <c r="BE612"/>
      <c r="BF612"/>
      <c r="BG612"/>
      <c r="BH612"/>
      <c r="BI612"/>
      <c r="BJ612"/>
      <c r="BK612"/>
      <c r="BL612"/>
      <c r="BM612"/>
      <c r="BN612"/>
      <c r="BO612"/>
      <c r="BP612"/>
      <c r="BQ612"/>
      <c r="BR612"/>
      <c r="BS612"/>
      <c r="BT612"/>
      <c r="BU612"/>
      <c r="BV612"/>
      <c r="BW612"/>
      <c r="BX612"/>
    </row>
    <row r="613" spans="1:76">
      <c r="A613" s="72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  <c r="AG613"/>
      <c r="AH613"/>
      <c r="AI613"/>
      <c r="AJ613"/>
      <c r="AK613"/>
      <c r="AL613"/>
      <c r="AM613"/>
      <c r="AN613"/>
      <c r="AO613"/>
      <c r="AP613"/>
      <c r="AQ613"/>
      <c r="AR613"/>
      <c r="AS613"/>
      <c r="AT613"/>
      <c r="AU613"/>
      <c r="AV613"/>
      <c r="AW613"/>
      <c r="AX613"/>
      <c r="AY613"/>
      <c r="AZ613"/>
      <c r="BA613"/>
      <c r="BB613"/>
      <c r="BC613"/>
      <c r="BD613"/>
      <c r="BE613"/>
      <c r="BF613"/>
      <c r="BG613"/>
      <c r="BH613"/>
      <c r="BI613"/>
      <c r="BJ613"/>
      <c r="BK613"/>
      <c r="BL613"/>
      <c r="BM613"/>
      <c r="BN613"/>
      <c r="BO613"/>
      <c r="BP613"/>
      <c r="BQ613"/>
      <c r="BR613"/>
      <c r="BS613"/>
      <c r="BT613"/>
      <c r="BU613"/>
      <c r="BV613"/>
      <c r="BW613"/>
      <c r="BX613"/>
    </row>
    <row r="614" spans="1:76">
      <c r="A614" s="72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  <c r="AG614"/>
      <c r="AH614"/>
      <c r="AI614"/>
      <c r="AJ614"/>
      <c r="AK614"/>
      <c r="AL614"/>
      <c r="AM614"/>
      <c r="AN614"/>
      <c r="AO614"/>
      <c r="AP614"/>
      <c r="AQ614"/>
      <c r="AR614"/>
      <c r="AS614"/>
      <c r="AT614"/>
      <c r="AU614"/>
      <c r="AV614"/>
      <c r="AW614"/>
      <c r="AX614"/>
      <c r="AY614"/>
      <c r="AZ614"/>
      <c r="BA614"/>
      <c r="BB614"/>
      <c r="BC614"/>
      <c r="BD614"/>
      <c r="BE614"/>
      <c r="BF614"/>
      <c r="BG614"/>
      <c r="BH614"/>
      <c r="BI614"/>
      <c r="BJ614"/>
      <c r="BK614"/>
      <c r="BL614"/>
      <c r="BM614"/>
      <c r="BN614"/>
      <c r="BO614"/>
      <c r="BP614"/>
      <c r="BQ614"/>
      <c r="BR614"/>
      <c r="BS614"/>
      <c r="BT614"/>
      <c r="BU614"/>
      <c r="BV614"/>
      <c r="BW614"/>
      <c r="BX614"/>
    </row>
    <row r="615" spans="1:76">
      <c r="A615" s="72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  <c r="AG615"/>
      <c r="AH615"/>
      <c r="AI615"/>
      <c r="AJ615"/>
      <c r="AK615"/>
      <c r="AL615"/>
      <c r="AM615"/>
      <c r="AN615"/>
      <c r="AO615"/>
      <c r="AP615"/>
      <c r="AQ615"/>
      <c r="AR615"/>
      <c r="AS615"/>
      <c r="AT615"/>
      <c r="AU615"/>
      <c r="AV615"/>
      <c r="AW615"/>
      <c r="AX615"/>
      <c r="AY615"/>
      <c r="AZ615"/>
      <c r="BA615"/>
      <c r="BB615"/>
      <c r="BC615"/>
      <c r="BD615"/>
      <c r="BE615"/>
      <c r="BF615"/>
      <c r="BG615"/>
      <c r="BH615"/>
      <c r="BI615"/>
      <c r="BJ615"/>
      <c r="BK615"/>
      <c r="BL615"/>
      <c r="BM615"/>
      <c r="BN615"/>
      <c r="BO615"/>
      <c r="BP615"/>
      <c r="BQ615"/>
      <c r="BR615"/>
      <c r="BS615"/>
      <c r="BT615"/>
      <c r="BU615"/>
      <c r="BV615"/>
      <c r="BW615"/>
      <c r="BX615"/>
    </row>
    <row r="616" spans="1:76">
      <c r="A616" s="72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  <c r="AG616"/>
      <c r="AH616"/>
      <c r="AI616"/>
      <c r="AJ616"/>
      <c r="AK616"/>
      <c r="AL616"/>
      <c r="AM616"/>
      <c r="AN616"/>
      <c r="AO616"/>
      <c r="AP616"/>
      <c r="AQ616"/>
      <c r="AR616"/>
      <c r="AS616"/>
      <c r="AT616"/>
      <c r="AU616"/>
      <c r="AV616"/>
      <c r="AW616"/>
      <c r="AX616"/>
      <c r="AY616"/>
      <c r="AZ616"/>
      <c r="BA616"/>
      <c r="BB616"/>
      <c r="BC616"/>
      <c r="BD616"/>
      <c r="BE616"/>
      <c r="BF616"/>
      <c r="BG616"/>
      <c r="BH616"/>
      <c r="BI616"/>
      <c r="BJ616"/>
      <c r="BK616"/>
      <c r="BL616"/>
      <c r="BM616"/>
      <c r="BN616"/>
      <c r="BO616"/>
      <c r="BP616"/>
      <c r="BQ616"/>
      <c r="BR616"/>
      <c r="BS616"/>
      <c r="BT616"/>
      <c r="BU616"/>
      <c r="BV616"/>
      <c r="BW616"/>
      <c r="BX616"/>
    </row>
    <row r="617" spans="1:76">
      <c r="A617" s="72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  <c r="AG617"/>
      <c r="AH617"/>
      <c r="AI617"/>
      <c r="AJ617"/>
      <c r="AK617"/>
      <c r="AL617"/>
      <c r="AM617"/>
      <c r="AN617"/>
      <c r="AO617"/>
      <c r="AP617"/>
      <c r="AQ617"/>
      <c r="AR617"/>
      <c r="AS617"/>
      <c r="AT617"/>
      <c r="AU617"/>
      <c r="AV617"/>
      <c r="AW617"/>
      <c r="AX617"/>
      <c r="AY617"/>
      <c r="AZ617"/>
      <c r="BA617"/>
      <c r="BB617"/>
      <c r="BC617"/>
      <c r="BD617"/>
      <c r="BE617"/>
      <c r="BF617"/>
      <c r="BG617"/>
      <c r="BH617"/>
      <c r="BI617"/>
      <c r="BJ617"/>
      <c r="BK617"/>
      <c r="BL617"/>
      <c r="BM617"/>
      <c r="BN617"/>
      <c r="BO617"/>
      <c r="BP617"/>
      <c r="BQ617"/>
      <c r="BR617"/>
      <c r="BS617"/>
      <c r="BT617"/>
      <c r="BU617"/>
      <c r="BV617"/>
      <c r="BW617"/>
      <c r="BX617"/>
    </row>
    <row r="618" spans="1:76">
      <c r="A618" s="72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I618"/>
      <c r="AJ618"/>
      <c r="AK618"/>
      <c r="AL618"/>
      <c r="AM618"/>
      <c r="AN618"/>
      <c r="AO618"/>
      <c r="AP618"/>
      <c r="AQ618"/>
      <c r="AR618"/>
      <c r="AS618"/>
      <c r="AT618"/>
      <c r="AU618"/>
      <c r="AV618"/>
      <c r="AW618"/>
      <c r="AX618"/>
      <c r="AY618"/>
      <c r="AZ618"/>
      <c r="BA618"/>
      <c r="BB618"/>
      <c r="BC618"/>
      <c r="BD618"/>
      <c r="BE618"/>
      <c r="BF618"/>
      <c r="BG618"/>
      <c r="BH618"/>
      <c r="BI618"/>
      <c r="BJ618"/>
      <c r="BK618"/>
      <c r="BL618"/>
      <c r="BM618"/>
      <c r="BN618"/>
      <c r="BO618"/>
      <c r="BP618"/>
      <c r="BQ618"/>
      <c r="BR618"/>
      <c r="BS618"/>
      <c r="BT618"/>
      <c r="BU618"/>
      <c r="BV618"/>
      <c r="BW618"/>
      <c r="BX618"/>
    </row>
    <row r="619" spans="1:76">
      <c r="A619" s="72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/>
      <c r="AG619"/>
      <c r="AH619"/>
      <c r="AI619"/>
      <c r="AJ619"/>
      <c r="AK619"/>
      <c r="AL619"/>
      <c r="AM619"/>
      <c r="AN619"/>
      <c r="AO619"/>
      <c r="AP619"/>
      <c r="AQ619"/>
      <c r="AR619"/>
      <c r="AS619"/>
      <c r="AT619"/>
      <c r="AU619"/>
      <c r="AV619"/>
      <c r="AW619"/>
      <c r="AX619"/>
      <c r="AY619"/>
      <c r="AZ619"/>
      <c r="BA619"/>
      <c r="BB619"/>
      <c r="BC619"/>
      <c r="BD619"/>
      <c r="BE619"/>
      <c r="BF619"/>
      <c r="BG619"/>
      <c r="BH619"/>
      <c r="BI619"/>
      <c r="BJ619"/>
      <c r="BK619"/>
      <c r="BL619"/>
      <c r="BM619"/>
      <c r="BN619"/>
      <c r="BO619"/>
      <c r="BP619"/>
      <c r="BQ619"/>
      <c r="BR619"/>
      <c r="BS619"/>
      <c r="BT619"/>
      <c r="BU619"/>
      <c r="BV619"/>
      <c r="BW619"/>
      <c r="BX619"/>
    </row>
    <row r="620" spans="1:76">
      <c r="A620" s="72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/>
      <c r="AI620"/>
      <c r="AJ620"/>
      <c r="AK620"/>
      <c r="AL620"/>
      <c r="AM620"/>
      <c r="AN620"/>
      <c r="AO620"/>
      <c r="AP620"/>
      <c r="AQ620"/>
      <c r="AR620"/>
      <c r="AS620"/>
      <c r="AT620"/>
      <c r="AU620"/>
      <c r="AV620"/>
      <c r="AW620"/>
      <c r="AX620"/>
      <c r="AY620"/>
      <c r="AZ620"/>
      <c r="BA620"/>
      <c r="BB620"/>
      <c r="BC620"/>
      <c r="BD620"/>
      <c r="BE620"/>
      <c r="BF620"/>
      <c r="BG620"/>
      <c r="BH620"/>
      <c r="BI620"/>
      <c r="BJ620"/>
      <c r="BK620"/>
      <c r="BL620"/>
      <c r="BM620"/>
      <c r="BN620"/>
      <c r="BO620"/>
      <c r="BP620"/>
      <c r="BQ620"/>
      <c r="BR620"/>
      <c r="BS620"/>
      <c r="BT620"/>
      <c r="BU620"/>
      <c r="BV620"/>
      <c r="BW620"/>
      <c r="BX620"/>
    </row>
    <row r="621" spans="1:76">
      <c r="A621" s="72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  <c r="AG621"/>
      <c r="AH621"/>
      <c r="AI621"/>
      <c r="AJ621"/>
      <c r="AK621"/>
      <c r="AL621"/>
      <c r="AM621"/>
      <c r="AN621"/>
      <c r="AO621"/>
      <c r="AP621"/>
      <c r="AQ621"/>
      <c r="AR621"/>
      <c r="AS621"/>
      <c r="AT621"/>
      <c r="AU621"/>
      <c r="AV621"/>
      <c r="AW621"/>
      <c r="AX621"/>
      <c r="AY621"/>
      <c r="AZ621"/>
      <c r="BA621"/>
      <c r="BB621"/>
      <c r="BC621"/>
      <c r="BD621"/>
      <c r="BE621"/>
      <c r="BF621"/>
      <c r="BG621"/>
      <c r="BH621"/>
      <c r="BI621"/>
      <c r="BJ621"/>
      <c r="BK621"/>
      <c r="BL621"/>
      <c r="BM621"/>
      <c r="BN621"/>
      <c r="BO621"/>
      <c r="BP621"/>
      <c r="BQ621"/>
      <c r="BR621"/>
      <c r="BS621"/>
      <c r="BT621"/>
      <c r="BU621"/>
      <c r="BV621"/>
      <c r="BW621"/>
      <c r="BX621"/>
    </row>
    <row r="622" spans="1:76">
      <c r="A622" s="7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K622"/>
      <c r="AL622"/>
      <c r="AM622"/>
      <c r="AN622"/>
      <c r="AO622"/>
      <c r="AP622"/>
      <c r="AQ622"/>
      <c r="AR622"/>
      <c r="AS622"/>
      <c r="AT622"/>
      <c r="AU622"/>
      <c r="AV622"/>
      <c r="AW622"/>
      <c r="AX622"/>
      <c r="AY622"/>
      <c r="AZ622"/>
      <c r="BA622"/>
      <c r="BB622"/>
      <c r="BC622"/>
      <c r="BD622"/>
      <c r="BE622"/>
      <c r="BF622"/>
      <c r="BG622"/>
      <c r="BH622"/>
      <c r="BI622"/>
      <c r="BJ622"/>
      <c r="BK622"/>
      <c r="BL622"/>
      <c r="BM622"/>
      <c r="BN622"/>
      <c r="BO622"/>
      <c r="BP622"/>
      <c r="BQ622"/>
      <c r="BR622"/>
      <c r="BS622"/>
      <c r="BT622"/>
      <c r="BU622"/>
      <c r="BV622"/>
      <c r="BW622"/>
      <c r="BX622"/>
    </row>
    <row r="623" spans="1:76">
      <c r="A623" s="72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  <c r="AG623"/>
      <c r="AH623"/>
      <c r="AI623"/>
      <c r="AJ623"/>
      <c r="AK623"/>
      <c r="AL623"/>
      <c r="AM623"/>
      <c r="AN623"/>
      <c r="AO623"/>
      <c r="AP623"/>
      <c r="AQ623"/>
      <c r="AR623"/>
      <c r="AS623"/>
      <c r="AT623"/>
      <c r="AU623"/>
      <c r="AV623"/>
      <c r="AW623"/>
      <c r="AX623"/>
      <c r="AY623"/>
      <c r="AZ623"/>
      <c r="BA623"/>
      <c r="BB623"/>
      <c r="BC623"/>
      <c r="BD623"/>
      <c r="BE623"/>
      <c r="BF623"/>
      <c r="BG623"/>
      <c r="BH623"/>
      <c r="BI623"/>
      <c r="BJ623"/>
      <c r="BK623"/>
      <c r="BL623"/>
      <c r="BM623"/>
      <c r="BN623"/>
      <c r="BO623"/>
      <c r="BP623"/>
      <c r="BQ623"/>
      <c r="BR623"/>
      <c r="BS623"/>
      <c r="BT623"/>
      <c r="BU623"/>
      <c r="BV623"/>
      <c r="BW623"/>
      <c r="BX623"/>
    </row>
    <row r="624" spans="1:76">
      <c r="A624" s="72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/>
      <c r="AR624"/>
      <c r="AS624"/>
      <c r="AT624"/>
      <c r="AU624"/>
      <c r="AV624"/>
      <c r="AW624"/>
      <c r="AX624"/>
      <c r="AY624"/>
      <c r="AZ624"/>
      <c r="BA624"/>
      <c r="BB624"/>
      <c r="BC624"/>
      <c r="BD624"/>
      <c r="BE624"/>
      <c r="BF624"/>
      <c r="BG624"/>
      <c r="BH624"/>
      <c r="BI624"/>
      <c r="BJ624"/>
      <c r="BK624"/>
      <c r="BL624"/>
      <c r="BM624"/>
      <c r="BN624"/>
      <c r="BO624"/>
      <c r="BP624"/>
      <c r="BQ624"/>
      <c r="BR624"/>
      <c r="BS624"/>
      <c r="BT624"/>
      <c r="BU624"/>
      <c r="BV624"/>
      <c r="BW624"/>
      <c r="BX624"/>
    </row>
    <row r="625" spans="1:76">
      <c r="A625" s="72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  <c r="AH625"/>
      <c r="AI625"/>
      <c r="AJ625"/>
      <c r="AK625"/>
      <c r="AL625"/>
      <c r="AM625"/>
      <c r="AN625"/>
      <c r="AO625"/>
      <c r="AP625"/>
      <c r="AQ625"/>
      <c r="AR625"/>
      <c r="AS625"/>
      <c r="AT625"/>
      <c r="AU625"/>
      <c r="AV625"/>
      <c r="AW625"/>
      <c r="AX625"/>
      <c r="AY625"/>
      <c r="AZ625"/>
      <c r="BA625"/>
      <c r="BB625"/>
      <c r="BC625"/>
      <c r="BD625"/>
      <c r="BE625"/>
      <c r="BF625"/>
      <c r="BG625"/>
      <c r="BH625"/>
      <c r="BI625"/>
      <c r="BJ625"/>
      <c r="BK625"/>
      <c r="BL625"/>
      <c r="BM625"/>
      <c r="BN625"/>
      <c r="BO625"/>
      <c r="BP625"/>
      <c r="BQ625"/>
      <c r="BR625"/>
      <c r="BS625"/>
      <c r="BT625"/>
      <c r="BU625"/>
      <c r="BV625"/>
      <c r="BW625"/>
      <c r="BX625"/>
    </row>
    <row r="626" spans="1:76">
      <c r="A626" s="72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/>
      <c r="AG626"/>
      <c r="AH626"/>
      <c r="AI626"/>
      <c r="AJ626"/>
      <c r="AK626"/>
      <c r="AL626"/>
      <c r="AM626"/>
      <c r="AN626"/>
      <c r="AO626"/>
      <c r="AP626"/>
      <c r="AQ626"/>
      <c r="AR626"/>
      <c r="AS626"/>
      <c r="AT626"/>
      <c r="AU626"/>
      <c r="AV626"/>
      <c r="AW626"/>
      <c r="AX626"/>
      <c r="AY626"/>
      <c r="AZ626"/>
      <c r="BA626"/>
      <c r="BB626"/>
      <c r="BC626"/>
      <c r="BD626"/>
      <c r="BE626"/>
      <c r="BF626"/>
      <c r="BG626"/>
      <c r="BH626"/>
      <c r="BI626"/>
      <c r="BJ626"/>
      <c r="BK626"/>
      <c r="BL626"/>
      <c r="BM626"/>
      <c r="BN626"/>
      <c r="BO626"/>
      <c r="BP626"/>
      <c r="BQ626"/>
      <c r="BR626"/>
      <c r="BS626"/>
      <c r="BT626"/>
      <c r="BU626"/>
      <c r="BV626"/>
      <c r="BW626"/>
      <c r="BX626"/>
    </row>
    <row r="627" spans="1:76">
      <c r="A627" s="72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  <c r="AG627"/>
      <c r="AH627"/>
      <c r="AI627"/>
      <c r="AJ627"/>
      <c r="AK627"/>
      <c r="AL627"/>
      <c r="AM627"/>
      <c r="AN627"/>
      <c r="AO627"/>
      <c r="AP627"/>
      <c r="AQ627"/>
      <c r="AR627"/>
      <c r="AS627"/>
      <c r="AT627"/>
      <c r="AU627"/>
      <c r="AV627"/>
      <c r="AW627"/>
      <c r="AX627"/>
      <c r="AY627"/>
      <c r="AZ627"/>
      <c r="BA627"/>
      <c r="BB627"/>
      <c r="BC627"/>
      <c r="BD627"/>
      <c r="BE627"/>
      <c r="BF627"/>
      <c r="BG627"/>
      <c r="BH627"/>
      <c r="BI627"/>
      <c r="BJ627"/>
      <c r="BK627"/>
      <c r="BL627"/>
      <c r="BM627"/>
      <c r="BN627"/>
      <c r="BO627"/>
      <c r="BP627"/>
      <c r="BQ627"/>
      <c r="BR627"/>
      <c r="BS627"/>
      <c r="BT627"/>
      <c r="BU627"/>
      <c r="BV627"/>
      <c r="BW627"/>
      <c r="BX627"/>
    </row>
    <row r="628" spans="1:76">
      <c r="A628" s="72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/>
      <c r="AG628"/>
      <c r="AH628"/>
      <c r="AI628"/>
      <c r="AJ628"/>
      <c r="AK628"/>
      <c r="AL628"/>
      <c r="AM628"/>
      <c r="AN628"/>
      <c r="AO628"/>
      <c r="AP628"/>
      <c r="AQ628"/>
      <c r="AR628"/>
      <c r="AS628"/>
      <c r="AT628"/>
      <c r="AU628"/>
      <c r="AV628"/>
      <c r="AW628"/>
      <c r="AX628"/>
      <c r="AY628"/>
      <c r="AZ628"/>
      <c r="BA628"/>
      <c r="BB628"/>
      <c r="BC628"/>
      <c r="BD628"/>
      <c r="BE628"/>
      <c r="BF628"/>
      <c r="BG628"/>
      <c r="BH628"/>
      <c r="BI628"/>
      <c r="BJ628"/>
      <c r="BK628"/>
      <c r="BL628"/>
      <c r="BM628"/>
      <c r="BN628"/>
      <c r="BO628"/>
      <c r="BP628"/>
      <c r="BQ628"/>
      <c r="BR628"/>
      <c r="BS628"/>
      <c r="BT628"/>
      <c r="BU628"/>
      <c r="BV628"/>
      <c r="BW628"/>
      <c r="BX628"/>
    </row>
    <row r="629" spans="1:76">
      <c r="A629" s="72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  <c r="AG629"/>
      <c r="AH629"/>
      <c r="AI629"/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/>
      <c r="AX629"/>
      <c r="AY629"/>
      <c r="AZ629"/>
      <c r="BA629"/>
      <c r="BB629"/>
      <c r="BC629"/>
      <c r="BD629"/>
      <c r="BE629"/>
      <c r="BF629"/>
      <c r="BG629"/>
      <c r="BH629"/>
      <c r="BI629"/>
      <c r="BJ629"/>
      <c r="BK629"/>
      <c r="BL629"/>
      <c r="BM629"/>
      <c r="BN629"/>
      <c r="BO629"/>
      <c r="BP629"/>
      <c r="BQ629"/>
      <c r="BR629"/>
      <c r="BS629"/>
      <c r="BT629"/>
      <c r="BU629"/>
      <c r="BV629"/>
      <c r="BW629"/>
      <c r="BX629"/>
    </row>
    <row r="630" spans="1:76">
      <c r="A630" s="72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  <c r="AG630"/>
      <c r="AH630"/>
      <c r="AI630"/>
      <c r="AJ630"/>
      <c r="AK630"/>
      <c r="AL630"/>
      <c r="AM630"/>
      <c r="AN630"/>
      <c r="AO630"/>
      <c r="AP630"/>
      <c r="AQ630"/>
      <c r="AR630"/>
      <c r="AS630"/>
      <c r="AT630"/>
      <c r="AU630"/>
      <c r="AV630"/>
      <c r="AW630"/>
      <c r="AX630"/>
      <c r="AY630"/>
      <c r="AZ630"/>
      <c r="BA630"/>
      <c r="BB630"/>
      <c r="BC630"/>
      <c r="BD630"/>
      <c r="BE630"/>
      <c r="BF630"/>
      <c r="BG630"/>
      <c r="BH630"/>
      <c r="BI630"/>
      <c r="BJ630"/>
      <c r="BK630"/>
      <c r="BL630"/>
      <c r="BM630"/>
      <c r="BN630"/>
      <c r="BO630"/>
      <c r="BP630"/>
      <c r="BQ630"/>
      <c r="BR630"/>
      <c r="BS630"/>
      <c r="BT630"/>
      <c r="BU630"/>
      <c r="BV630"/>
      <c r="BW630"/>
      <c r="BX630"/>
    </row>
    <row r="631" spans="1:76">
      <c r="A631" s="72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/>
      <c r="AK631"/>
      <c r="AL631"/>
      <c r="AM631"/>
      <c r="AN631"/>
      <c r="AO631"/>
      <c r="AP631"/>
      <c r="AQ631"/>
      <c r="AR631"/>
      <c r="AS631"/>
      <c r="AT631"/>
      <c r="AU631"/>
      <c r="AV631"/>
      <c r="AW631"/>
      <c r="AX631"/>
      <c r="AY631"/>
      <c r="AZ631"/>
      <c r="BA631"/>
      <c r="BB631"/>
      <c r="BC631"/>
      <c r="BD631"/>
      <c r="BE631"/>
      <c r="BF631"/>
      <c r="BG631"/>
      <c r="BH631"/>
      <c r="BI631"/>
      <c r="BJ631"/>
      <c r="BK631"/>
      <c r="BL631"/>
      <c r="BM631"/>
      <c r="BN631"/>
      <c r="BO631"/>
      <c r="BP631"/>
      <c r="BQ631"/>
      <c r="BR631"/>
      <c r="BS631"/>
      <c r="BT631"/>
      <c r="BU631"/>
      <c r="BV631"/>
      <c r="BW631"/>
      <c r="BX631"/>
    </row>
    <row r="632" spans="1:76">
      <c r="A632" s="7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  <c r="AK632"/>
      <c r="AL632"/>
      <c r="AM632"/>
      <c r="AN632"/>
      <c r="AO632"/>
      <c r="AP632"/>
      <c r="AQ632"/>
      <c r="AR632"/>
      <c r="AS632"/>
      <c r="AT632"/>
      <c r="AU632"/>
      <c r="AV632"/>
      <c r="AW632"/>
      <c r="AX632"/>
      <c r="AY632"/>
      <c r="AZ632"/>
      <c r="BA632"/>
      <c r="BB632"/>
      <c r="BC632"/>
      <c r="BD632"/>
      <c r="BE632"/>
      <c r="BF632"/>
      <c r="BG632"/>
      <c r="BH632"/>
      <c r="BI632"/>
      <c r="BJ632"/>
      <c r="BK632"/>
      <c r="BL632"/>
      <c r="BM632"/>
      <c r="BN632"/>
      <c r="BO632"/>
      <c r="BP632"/>
      <c r="BQ632"/>
      <c r="BR632"/>
      <c r="BS632"/>
      <c r="BT632"/>
      <c r="BU632"/>
      <c r="BV632"/>
      <c r="BW632"/>
      <c r="BX632"/>
    </row>
    <row r="633" spans="1:76">
      <c r="A633" s="72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  <c r="AY633"/>
      <c r="AZ633"/>
      <c r="BA633"/>
      <c r="BB633"/>
      <c r="BC633"/>
      <c r="BD633"/>
      <c r="BE633"/>
      <c r="BF633"/>
      <c r="BG633"/>
      <c r="BH633"/>
      <c r="BI633"/>
      <c r="BJ633"/>
      <c r="BK633"/>
      <c r="BL633"/>
      <c r="BM633"/>
      <c r="BN633"/>
      <c r="BO633"/>
      <c r="BP633"/>
      <c r="BQ633"/>
      <c r="BR633"/>
      <c r="BS633"/>
      <c r="BT633"/>
      <c r="BU633"/>
      <c r="BV633"/>
      <c r="BW633"/>
      <c r="BX633"/>
    </row>
    <row r="634" spans="1:76">
      <c r="A634" s="72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/>
      <c r="AR634"/>
      <c r="AS634"/>
      <c r="AT634"/>
      <c r="AU634"/>
      <c r="AV634"/>
      <c r="AW634"/>
      <c r="AX634"/>
      <c r="AY634"/>
      <c r="AZ634"/>
      <c r="BA634"/>
      <c r="BB634"/>
      <c r="BC634"/>
      <c r="BD634"/>
      <c r="BE634"/>
      <c r="BF634"/>
      <c r="BG634"/>
      <c r="BH634"/>
      <c r="BI634"/>
      <c r="BJ634"/>
      <c r="BK634"/>
      <c r="BL634"/>
      <c r="BM634"/>
      <c r="BN634"/>
      <c r="BO634"/>
      <c r="BP634"/>
      <c r="BQ634"/>
      <c r="BR634"/>
      <c r="BS634"/>
      <c r="BT634"/>
      <c r="BU634"/>
      <c r="BV634"/>
      <c r="BW634"/>
      <c r="BX634"/>
    </row>
    <row r="635" spans="1:76">
      <c r="A635" s="72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  <c r="AG635"/>
      <c r="AH635"/>
      <c r="AI635"/>
      <c r="AJ635"/>
      <c r="AK635"/>
      <c r="AL635"/>
      <c r="AM635"/>
      <c r="AN635"/>
      <c r="AO635"/>
      <c r="AP635"/>
      <c r="AQ635"/>
      <c r="AR635"/>
      <c r="AS635"/>
      <c r="AT635"/>
      <c r="AU635"/>
      <c r="AV635"/>
      <c r="AW635"/>
      <c r="AX635"/>
      <c r="AY635"/>
      <c r="AZ635"/>
      <c r="BA635"/>
      <c r="BB635"/>
      <c r="BC635"/>
      <c r="BD635"/>
      <c r="BE635"/>
      <c r="BF635"/>
      <c r="BG635"/>
      <c r="BH635"/>
      <c r="BI635"/>
      <c r="BJ635"/>
      <c r="BK635"/>
      <c r="BL635"/>
      <c r="BM635"/>
      <c r="BN635"/>
      <c r="BO635"/>
      <c r="BP635"/>
      <c r="BQ635"/>
      <c r="BR635"/>
      <c r="BS635"/>
      <c r="BT635"/>
      <c r="BU635"/>
      <c r="BV635"/>
      <c r="BW635"/>
      <c r="BX635"/>
    </row>
    <row r="636" spans="1:76">
      <c r="A636" s="72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/>
      <c r="AK636"/>
      <c r="AL636"/>
      <c r="AM636"/>
      <c r="AN636"/>
      <c r="AO636"/>
      <c r="AP636"/>
      <c r="AQ636"/>
      <c r="AR636"/>
      <c r="AS636"/>
      <c r="AT636"/>
      <c r="AU636"/>
      <c r="AV636"/>
      <c r="AW636"/>
      <c r="AX636"/>
      <c r="AY636"/>
      <c r="AZ636"/>
      <c r="BA636"/>
      <c r="BB636"/>
      <c r="BC636"/>
      <c r="BD636"/>
      <c r="BE636"/>
      <c r="BF636"/>
      <c r="BG636"/>
      <c r="BH636"/>
      <c r="BI636"/>
      <c r="BJ636"/>
      <c r="BK636"/>
      <c r="BL636"/>
      <c r="BM636"/>
      <c r="BN636"/>
      <c r="BO636"/>
      <c r="BP636"/>
      <c r="BQ636"/>
      <c r="BR636"/>
      <c r="BS636"/>
      <c r="BT636"/>
      <c r="BU636"/>
      <c r="BV636"/>
      <c r="BW636"/>
      <c r="BX636"/>
    </row>
    <row r="637" spans="1:76">
      <c r="A637" s="72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/>
      <c r="AG637"/>
      <c r="AH637"/>
      <c r="AI637"/>
      <c r="AJ637"/>
      <c r="AK637"/>
      <c r="AL637"/>
      <c r="AM637"/>
      <c r="AN637"/>
      <c r="AO637"/>
      <c r="AP637"/>
      <c r="AQ637"/>
      <c r="AR637"/>
      <c r="AS637"/>
      <c r="AT637"/>
      <c r="AU637"/>
      <c r="AV637"/>
      <c r="AW637"/>
      <c r="AX637"/>
      <c r="AY637"/>
      <c r="AZ637"/>
      <c r="BA637"/>
      <c r="BB637"/>
      <c r="BC637"/>
      <c r="BD637"/>
      <c r="BE637"/>
      <c r="BF637"/>
      <c r="BG637"/>
      <c r="BH637"/>
      <c r="BI637"/>
      <c r="BJ637"/>
      <c r="BK637"/>
      <c r="BL637"/>
      <c r="BM637"/>
      <c r="BN637"/>
      <c r="BO637"/>
      <c r="BP637"/>
      <c r="BQ637"/>
      <c r="BR637"/>
      <c r="BS637"/>
      <c r="BT637"/>
      <c r="BU637"/>
      <c r="BV637"/>
      <c r="BW637"/>
      <c r="BX637"/>
    </row>
    <row r="638" spans="1:76">
      <c r="A638" s="72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  <c r="AG638"/>
      <c r="AH638"/>
      <c r="AI638"/>
      <c r="AJ638"/>
      <c r="AK638"/>
      <c r="AL638"/>
      <c r="AM638"/>
      <c r="AN638"/>
      <c r="AO638"/>
      <c r="AP638"/>
      <c r="AQ638"/>
      <c r="AR638"/>
      <c r="AS638"/>
      <c r="AT638"/>
      <c r="AU638"/>
      <c r="AV638"/>
      <c r="AW638"/>
      <c r="AX638"/>
      <c r="AY638"/>
      <c r="AZ638"/>
      <c r="BA638"/>
      <c r="BB638"/>
      <c r="BC638"/>
      <c r="BD638"/>
      <c r="BE638"/>
      <c r="BF638"/>
      <c r="BG638"/>
      <c r="BH638"/>
      <c r="BI638"/>
      <c r="BJ638"/>
      <c r="BK638"/>
      <c r="BL638"/>
      <c r="BM638"/>
      <c r="BN638"/>
      <c r="BO638"/>
      <c r="BP638"/>
      <c r="BQ638"/>
      <c r="BR638"/>
      <c r="BS638"/>
      <c r="BT638"/>
      <c r="BU638"/>
      <c r="BV638"/>
      <c r="BW638"/>
      <c r="BX638"/>
    </row>
    <row r="639" spans="1:76">
      <c r="A639" s="72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  <c r="AG639"/>
      <c r="AH639"/>
      <c r="AI639"/>
      <c r="AJ639"/>
      <c r="AK639"/>
      <c r="AL639"/>
      <c r="AM639"/>
      <c r="AN639"/>
      <c r="AO639"/>
      <c r="AP639"/>
      <c r="AQ639"/>
      <c r="AR639"/>
      <c r="AS639"/>
      <c r="AT639"/>
      <c r="AU639"/>
      <c r="AV639"/>
      <c r="AW639"/>
      <c r="AX639"/>
      <c r="AY639"/>
      <c r="AZ639"/>
      <c r="BA639"/>
      <c r="BB639"/>
      <c r="BC639"/>
      <c r="BD639"/>
      <c r="BE639"/>
      <c r="BF639"/>
      <c r="BG639"/>
      <c r="BH639"/>
      <c r="BI639"/>
      <c r="BJ639"/>
      <c r="BK639"/>
      <c r="BL639"/>
      <c r="BM639"/>
      <c r="BN639"/>
      <c r="BO639"/>
      <c r="BP639"/>
      <c r="BQ639"/>
      <c r="BR639"/>
      <c r="BS639"/>
      <c r="BT639"/>
      <c r="BU639"/>
      <c r="BV639"/>
      <c r="BW639"/>
      <c r="BX639"/>
    </row>
    <row r="640" spans="1:76">
      <c r="A640" s="72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/>
      <c r="AG640"/>
      <c r="AH640"/>
      <c r="AI640"/>
      <c r="AJ640"/>
      <c r="AK640"/>
      <c r="AL640"/>
      <c r="AM640"/>
      <c r="AN640"/>
      <c r="AO640"/>
      <c r="AP640"/>
      <c r="AQ640"/>
      <c r="AR640"/>
      <c r="AS640"/>
      <c r="AT640"/>
      <c r="AU640"/>
      <c r="AV640"/>
      <c r="AW640"/>
      <c r="AX640"/>
      <c r="AY640"/>
      <c r="AZ640"/>
      <c r="BA640"/>
      <c r="BB640"/>
      <c r="BC640"/>
      <c r="BD640"/>
      <c r="BE640"/>
      <c r="BF640"/>
      <c r="BG640"/>
      <c r="BH640"/>
      <c r="BI640"/>
      <c r="BJ640"/>
      <c r="BK640"/>
      <c r="BL640"/>
      <c r="BM640"/>
      <c r="BN640"/>
      <c r="BO640"/>
      <c r="BP640"/>
      <c r="BQ640"/>
      <c r="BR640"/>
      <c r="BS640"/>
      <c r="BT640"/>
      <c r="BU640"/>
      <c r="BV640"/>
      <c r="BW640"/>
      <c r="BX640"/>
    </row>
    <row r="641" spans="1:76">
      <c r="A641" s="72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  <c r="AG641"/>
      <c r="AH641"/>
      <c r="AI641"/>
      <c r="AJ641"/>
      <c r="AK641"/>
      <c r="AL641"/>
      <c r="AM641"/>
      <c r="AN641"/>
      <c r="AO641"/>
      <c r="AP641"/>
      <c r="AQ641"/>
      <c r="AR641"/>
      <c r="AS641"/>
      <c r="AT641"/>
      <c r="AU641"/>
      <c r="AV641"/>
      <c r="AW641"/>
      <c r="AX641"/>
      <c r="AY641"/>
      <c r="AZ641"/>
      <c r="BA641"/>
      <c r="BB641"/>
      <c r="BC641"/>
      <c r="BD641"/>
      <c r="BE641"/>
      <c r="BF641"/>
      <c r="BG641"/>
      <c r="BH641"/>
      <c r="BI641"/>
      <c r="BJ641"/>
      <c r="BK641"/>
      <c r="BL641"/>
      <c r="BM641"/>
      <c r="BN641"/>
      <c r="BO641"/>
      <c r="BP641"/>
      <c r="BQ641"/>
      <c r="BR641"/>
      <c r="BS641"/>
      <c r="BT641"/>
      <c r="BU641"/>
      <c r="BV641"/>
      <c r="BW641"/>
      <c r="BX641"/>
    </row>
    <row r="642" spans="1:76">
      <c r="A642" s="7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/>
      <c r="AG642"/>
      <c r="AH642"/>
      <c r="AI642"/>
      <c r="AJ642"/>
      <c r="AK642"/>
      <c r="AL642"/>
      <c r="AM642"/>
      <c r="AN642"/>
      <c r="AO642"/>
      <c r="AP642"/>
      <c r="AQ642"/>
      <c r="AR642"/>
      <c r="AS642"/>
      <c r="AT642"/>
      <c r="AU642"/>
      <c r="AV642"/>
      <c r="AW642"/>
      <c r="AX642"/>
      <c r="AY642"/>
      <c r="AZ642"/>
      <c r="BA642"/>
      <c r="BB642"/>
      <c r="BC642"/>
      <c r="BD642"/>
      <c r="BE642"/>
      <c r="BF642"/>
      <c r="BG642"/>
      <c r="BH642"/>
      <c r="BI642"/>
      <c r="BJ642"/>
      <c r="BK642"/>
      <c r="BL642"/>
      <c r="BM642"/>
      <c r="BN642"/>
      <c r="BO642"/>
      <c r="BP642"/>
      <c r="BQ642"/>
      <c r="BR642"/>
      <c r="BS642"/>
      <c r="BT642"/>
      <c r="BU642"/>
      <c r="BV642"/>
      <c r="BW642"/>
      <c r="BX642"/>
    </row>
    <row r="643" spans="1:76">
      <c r="A643" s="72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  <c r="AG643"/>
      <c r="AH643"/>
      <c r="AI643"/>
      <c r="AJ643"/>
      <c r="AK643"/>
      <c r="AL643"/>
      <c r="AM643"/>
      <c r="AN643"/>
      <c r="AO643"/>
      <c r="AP643"/>
      <c r="AQ643"/>
      <c r="AR643"/>
      <c r="AS643"/>
      <c r="AT643"/>
      <c r="AU643"/>
      <c r="AV643"/>
      <c r="AW643"/>
      <c r="AX643"/>
      <c r="AY643"/>
      <c r="AZ643"/>
      <c r="BA643"/>
      <c r="BB643"/>
      <c r="BC643"/>
      <c r="BD643"/>
      <c r="BE643"/>
      <c r="BF643"/>
      <c r="BG643"/>
      <c r="BH643"/>
      <c r="BI643"/>
      <c r="BJ643"/>
      <c r="BK643"/>
      <c r="BL643"/>
      <c r="BM643"/>
      <c r="BN643"/>
      <c r="BO643"/>
      <c r="BP643"/>
      <c r="BQ643"/>
      <c r="BR643"/>
      <c r="BS643"/>
      <c r="BT643"/>
      <c r="BU643"/>
      <c r="BV643"/>
      <c r="BW643"/>
      <c r="BX643"/>
    </row>
    <row r="644" spans="1:76">
      <c r="A644" s="72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  <c r="AG644"/>
      <c r="AH644"/>
      <c r="AI644"/>
      <c r="AJ644"/>
      <c r="AK644"/>
      <c r="AL644"/>
      <c r="AM644"/>
      <c r="AN644"/>
      <c r="AO644"/>
      <c r="AP644"/>
      <c r="AQ644"/>
      <c r="AR644"/>
      <c r="AS644"/>
      <c r="AT644"/>
      <c r="AU644"/>
      <c r="AV644"/>
      <c r="AW644"/>
      <c r="AX644"/>
      <c r="AY644"/>
      <c r="AZ644"/>
      <c r="BA644"/>
      <c r="BB644"/>
      <c r="BC644"/>
      <c r="BD644"/>
      <c r="BE644"/>
      <c r="BF644"/>
      <c r="BG644"/>
      <c r="BH644"/>
      <c r="BI644"/>
      <c r="BJ644"/>
      <c r="BK644"/>
      <c r="BL644"/>
      <c r="BM644"/>
      <c r="BN644"/>
      <c r="BO644"/>
      <c r="BP644"/>
      <c r="BQ644"/>
      <c r="BR644"/>
      <c r="BS644"/>
      <c r="BT644"/>
      <c r="BU644"/>
      <c r="BV644"/>
      <c r="BW644"/>
      <c r="BX644"/>
    </row>
    <row r="645" spans="1:76">
      <c r="A645" s="72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/>
      <c r="AY645"/>
      <c r="AZ645"/>
      <c r="BA645"/>
      <c r="BB645"/>
      <c r="BC645"/>
      <c r="BD645"/>
      <c r="BE645"/>
      <c r="BF645"/>
      <c r="BG645"/>
      <c r="BH645"/>
      <c r="BI645"/>
      <c r="BJ645"/>
      <c r="BK645"/>
      <c r="BL645"/>
      <c r="BM645"/>
      <c r="BN645"/>
      <c r="BO645"/>
      <c r="BP645"/>
      <c r="BQ645"/>
      <c r="BR645"/>
      <c r="BS645"/>
      <c r="BT645"/>
      <c r="BU645"/>
      <c r="BV645"/>
      <c r="BW645"/>
      <c r="BX645"/>
    </row>
    <row r="646" spans="1:76">
      <c r="A646" s="72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  <c r="AG646"/>
      <c r="AH646"/>
      <c r="AI646"/>
      <c r="AJ646"/>
      <c r="AK646"/>
      <c r="AL646"/>
      <c r="AM646"/>
      <c r="AN646"/>
      <c r="AO646"/>
      <c r="AP646"/>
      <c r="AQ646"/>
      <c r="AR646"/>
      <c r="AS646"/>
      <c r="AT646"/>
      <c r="AU646"/>
      <c r="AV646"/>
      <c r="AW646"/>
      <c r="AX646"/>
      <c r="AY646"/>
      <c r="AZ646"/>
      <c r="BA646"/>
      <c r="BB646"/>
      <c r="BC646"/>
      <c r="BD646"/>
      <c r="BE646"/>
      <c r="BF646"/>
      <c r="BG646"/>
      <c r="BH646"/>
      <c r="BI646"/>
      <c r="BJ646"/>
      <c r="BK646"/>
      <c r="BL646"/>
      <c r="BM646"/>
      <c r="BN646"/>
      <c r="BO646"/>
      <c r="BP646"/>
      <c r="BQ646"/>
      <c r="BR646"/>
      <c r="BS646"/>
      <c r="BT646"/>
      <c r="BU646"/>
      <c r="BV646"/>
      <c r="BW646"/>
      <c r="BX646"/>
    </row>
    <row r="647" spans="1:76">
      <c r="A647" s="72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  <c r="AG647"/>
      <c r="AH647"/>
      <c r="AI647"/>
      <c r="AJ647"/>
      <c r="AK647"/>
      <c r="AL647"/>
      <c r="AM647"/>
      <c r="AN647"/>
      <c r="AO647"/>
      <c r="AP647"/>
      <c r="AQ647"/>
      <c r="AR647"/>
      <c r="AS647"/>
      <c r="AT647"/>
      <c r="AU647"/>
      <c r="AV647"/>
      <c r="AW647"/>
      <c r="AX647"/>
      <c r="AY647"/>
      <c r="AZ647"/>
      <c r="BA647"/>
      <c r="BB647"/>
      <c r="BC647"/>
      <c r="BD647"/>
      <c r="BE647"/>
      <c r="BF647"/>
      <c r="BG647"/>
      <c r="BH647"/>
      <c r="BI647"/>
      <c r="BJ647"/>
      <c r="BK647"/>
      <c r="BL647"/>
      <c r="BM647"/>
      <c r="BN647"/>
      <c r="BO647"/>
      <c r="BP647"/>
      <c r="BQ647"/>
      <c r="BR647"/>
      <c r="BS647"/>
      <c r="BT647"/>
      <c r="BU647"/>
      <c r="BV647"/>
      <c r="BW647"/>
      <c r="BX647"/>
    </row>
    <row r="648" spans="1:76">
      <c r="A648" s="72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/>
      <c r="AG648"/>
      <c r="AH648"/>
      <c r="AI648"/>
      <c r="AJ648"/>
      <c r="AK648"/>
      <c r="AL648"/>
      <c r="AM648"/>
      <c r="AN648"/>
      <c r="AO648"/>
      <c r="AP648"/>
      <c r="AQ648"/>
      <c r="AR648"/>
      <c r="AS648"/>
      <c r="AT648"/>
      <c r="AU648"/>
      <c r="AV648"/>
      <c r="AW648"/>
      <c r="AX648"/>
      <c r="AY648"/>
      <c r="AZ648"/>
      <c r="BA648"/>
      <c r="BB648"/>
      <c r="BC648"/>
      <c r="BD648"/>
      <c r="BE648"/>
      <c r="BF648"/>
      <c r="BG648"/>
      <c r="BH648"/>
      <c r="BI648"/>
      <c r="BJ648"/>
      <c r="BK648"/>
      <c r="BL648"/>
      <c r="BM648"/>
      <c r="BN648"/>
      <c r="BO648"/>
      <c r="BP648"/>
      <c r="BQ648"/>
      <c r="BR648"/>
      <c r="BS648"/>
      <c r="BT648"/>
      <c r="BU648"/>
      <c r="BV648"/>
      <c r="BW648"/>
      <c r="BX648"/>
    </row>
    <row r="649" spans="1:76">
      <c r="A649" s="72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  <c r="AY649"/>
      <c r="AZ649"/>
      <c r="BA649"/>
      <c r="BB649"/>
      <c r="BC649"/>
      <c r="BD649"/>
      <c r="BE649"/>
      <c r="BF649"/>
      <c r="BG649"/>
      <c r="BH649"/>
      <c r="BI649"/>
      <c r="BJ649"/>
      <c r="BK649"/>
      <c r="BL649"/>
      <c r="BM649"/>
      <c r="BN649"/>
      <c r="BO649"/>
      <c r="BP649"/>
      <c r="BQ649"/>
      <c r="BR649"/>
      <c r="BS649"/>
      <c r="BT649"/>
      <c r="BU649"/>
      <c r="BV649"/>
      <c r="BW649"/>
      <c r="BX649"/>
    </row>
    <row r="650" spans="1:76">
      <c r="A650" s="72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  <c r="AG650"/>
      <c r="AH650"/>
      <c r="AI650"/>
      <c r="AJ650"/>
      <c r="AK650"/>
      <c r="AL650"/>
      <c r="AM650"/>
      <c r="AN650"/>
      <c r="AO650"/>
      <c r="AP650"/>
      <c r="AQ650"/>
      <c r="AR650"/>
      <c r="AS650"/>
      <c r="AT650"/>
      <c r="AU650"/>
      <c r="AV650"/>
      <c r="AW650"/>
      <c r="AX650"/>
      <c r="AY650"/>
      <c r="AZ650"/>
      <c r="BA650"/>
      <c r="BB650"/>
      <c r="BC650"/>
      <c r="BD650"/>
      <c r="BE650"/>
      <c r="BF650"/>
      <c r="BG650"/>
      <c r="BH650"/>
      <c r="BI650"/>
      <c r="BJ650"/>
      <c r="BK650"/>
      <c r="BL650"/>
      <c r="BM650"/>
      <c r="BN650"/>
      <c r="BO650"/>
      <c r="BP650"/>
      <c r="BQ650"/>
      <c r="BR650"/>
      <c r="BS650"/>
      <c r="BT650"/>
      <c r="BU650"/>
      <c r="BV650"/>
      <c r="BW650"/>
      <c r="BX650"/>
    </row>
    <row r="651" spans="1:76">
      <c r="A651" s="72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/>
      <c r="AF651"/>
      <c r="AG651"/>
      <c r="AH651"/>
      <c r="AI651"/>
      <c r="AJ651"/>
      <c r="AK651"/>
      <c r="AL651"/>
      <c r="AM651"/>
      <c r="AN651"/>
      <c r="AO651"/>
      <c r="AP651"/>
      <c r="AQ651"/>
      <c r="AR651"/>
      <c r="AS651"/>
      <c r="AT651"/>
      <c r="AU651"/>
      <c r="AV651"/>
      <c r="AW651"/>
      <c r="AX651"/>
      <c r="AY651"/>
      <c r="AZ651"/>
      <c r="BA651"/>
      <c r="BB651"/>
      <c r="BC651"/>
      <c r="BD651"/>
      <c r="BE651"/>
      <c r="BF651"/>
      <c r="BG651"/>
      <c r="BH651"/>
      <c r="BI651"/>
      <c r="BJ651"/>
      <c r="BK651"/>
      <c r="BL651"/>
      <c r="BM651"/>
      <c r="BN651"/>
      <c r="BO651"/>
      <c r="BP651"/>
      <c r="BQ651"/>
      <c r="BR651"/>
      <c r="BS651"/>
      <c r="BT651"/>
      <c r="BU651"/>
      <c r="BV651"/>
      <c r="BW651"/>
      <c r="BX651"/>
    </row>
    <row r="652" spans="1:76">
      <c r="A652" s="7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  <c r="AG652"/>
      <c r="AH652"/>
      <c r="AI652"/>
      <c r="AJ652"/>
      <c r="AK652"/>
      <c r="AL652"/>
      <c r="AM652"/>
      <c r="AN652"/>
      <c r="AO652"/>
      <c r="AP652"/>
      <c r="AQ652"/>
      <c r="AR652"/>
      <c r="AS652"/>
      <c r="AT652"/>
      <c r="AU652"/>
      <c r="AV652"/>
      <c r="AW652"/>
      <c r="AX652"/>
      <c r="AY652"/>
      <c r="AZ652"/>
      <c r="BA652"/>
      <c r="BB652"/>
      <c r="BC652"/>
      <c r="BD652"/>
      <c r="BE652"/>
      <c r="BF652"/>
      <c r="BG652"/>
      <c r="BH652"/>
      <c r="BI652"/>
      <c r="BJ652"/>
      <c r="BK652"/>
      <c r="BL652"/>
      <c r="BM652"/>
      <c r="BN652"/>
      <c r="BO652"/>
      <c r="BP652"/>
      <c r="BQ652"/>
      <c r="BR652"/>
      <c r="BS652"/>
      <c r="BT652"/>
      <c r="BU652"/>
      <c r="BV652"/>
      <c r="BW652"/>
      <c r="BX652"/>
    </row>
    <row r="653" spans="1:76">
      <c r="A653" s="72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  <c r="AG653"/>
      <c r="AH653"/>
      <c r="AI653"/>
      <c r="AJ653"/>
      <c r="AK653"/>
      <c r="AL653"/>
      <c r="AM653"/>
      <c r="AN653"/>
      <c r="AO653"/>
      <c r="AP653"/>
      <c r="AQ653"/>
      <c r="AR653"/>
      <c r="AS653"/>
      <c r="AT653"/>
      <c r="AU653"/>
      <c r="AV653"/>
      <c r="AW653"/>
      <c r="AX653"/>
      <c r="AY653"/>
      <c r="AZ653"/>
      <c r="BA653"/>
      <c r="BB653"/>
      <c r="BC653"/>
      <c r="BD653"/>
      <c r="BE653"/>
      <c r="BF653"/>
      <c r="BG653"/>
      <c r="BH653"/>
      <c r="BI653"/>
      <c r="BJ653"/>
      <c r="BK653"/>
      <c r="BL653"/>
      <c r="BM653"/>
      <c r="BN653"/>
      <c r="BO653"/>
      <c r="BP653"/>
      <c r="BQ653"/>
      <c r="BR653"/>
      <c r="BS653"/>
      <c r="BT653"/>
      <c r="BU653"/>
      <c r="BV653"/>
      <c r="BW653"/>
      <c r="BX653"/>
    </row>
    <row r="654" spans="1:76">
      <c r="A654" s="72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/>
      <c r="AF654"/>
      <c r="AG654"/>
      <c r="AH654"/>
      <c r="AI654"/>
      <c r="AJ654"/>
      <c r="AK654"/>
      <c r="AL654"/>
      <c r="AM654"/>
      <c r="AN654"/>
      <c r="AO654"/>
      <c r="AP654"/>
      <c r="AQ654"/>
      <c r="AR654"/>
      <c r="AS654"/>
      <c r="AT654"/>
      <c r="AU654"/>
      <c r="AV654"/>
      <c r="AW654"/>
      <c r="AX654"/>
      <c r="AY654"/>
      <c r="AZ654"/>
      <c r="BA654"/>
      <c r="BB654"/>
      <c r="BC654"/>
      <c r="BD654"/>
      <c r="BE654"/>
      <c r="BF654"/>
      <c r="BG654"/>
      <c r="BH654"/>
      <c r="BI654"/>
      <c r="BJ654"/>
      <c r="BK654"/>
      <c r="BL654"/>
      <c r="BM654"/>
      <c r="BN654"/>
      <c r="BO654"/>
      <c r="BP654"/>
      <c r="BQ654"/>
      <c r="BR654"/>
      <c r="BS654"/>
      <c r="BT654"/>
      <c r="BU654"/>
      <c r="BV654"/>
      <c r="BW654"/>
      <c r="BX654"/>
    </row>
    <row r="655" spans="1:76">
      <c r="A655" s="72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/>
      <c r="AG655"/>
      <c r="AH655"/>
      <c r="AI655"/>
      <c r="AJ655"/>
      <c r="AK655"/>
      <c r="AL655"/>
      <c r="AM655"/>
      <c r="AN655"/>
      <c r="AO655"/>
      <c r="AP655"/>
      <c r="AQ655"/>
      <c r="AR655"/>
      <c r="AS655"/>
      <c r="AT655"/>
      <c r="AU655"/>
      <c r="AV655"/>
      <c r="AW655"/>
      <c r="AX655"/>
      <c r="AY655"/>
      <c r="AZ655"/>
      <c r="BA655"/>
      <c r="BB655"/>
      <c r="BC655"/>
      <c r="BD655"/>
      <c r="BE655"/>
      <c r="BF655"/>
      <c r="BG655"/>
      <c r="BH655"/>
      <c r="BI655"/>
      <c r="BJ655"/>
      <c r="BK655"/>
      <c r="BL655"/>
      <c r="BM655"/>
      <c r="BN655"/>
      <c r="BO655"/>
      <c r="BP655"/>
      <c r="BQ655"/>
      <c r="BR655"/>
      <c r="BS655"/>
      <c r="BT655"/>
      <c r="BU655"/>
      <c r="BV655"/>
      <c r="BW655"/>
      <c r="BX655"/>
    </row>
    <row r="656" spans="1:76">
      <c r="A656" s="72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/>
      <c r="AG656"/>
      <c r="AH656"/>
      <c r="AI656"/>
      <c r="AJ656"/>
      <c r="AK656"/>
      <c r="AL656"/>
      <c r="AM656"/>
      <c r="AN656"/>
      <c r="AO656"/>
      <c r="AP656"/>
      <c r="AQ656"/>
      <c r="AR656"/>
      <c r="AS656"/>
      <c r="AT656"/>
      <c r="AU656"/>
      <c r="AV656"/>
      <c r="AW656"/>
      <c r="AX656"/>
      <c r="AY656"/>
      <c r="AZ656"/>
      <c r="BA656"/>
      <c r="BB656"/>
      <c r="BC656"/>
      <c r="BD656"/>
      <c r="BE656"/>
      <c r="BF656"/>
      <c r="BG656"/>
      <c r="BH656"/>
      <c r="BI656"/>
      <c r="BJ656"/>
      <c r="BK656"/>
      <c r="BL656"/>
      <c r="BM656"/>
      <c r="BN656"/>
      <c r="BO656"/>
      <c r="BP656"/>
      <c r="BQ656"/>
      <c r="BR656"/>
      <c r="BS656"/>
      <c r="BT656"/>
      <c r="BU656"/>
      <c r="BV656"/>
      <c r="BW656"/>
      <c r="BX656"/>
    </row>
    <row r="657" spans="1:76">
      <c r="A657" s="72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  <c r="AG657"/>
      <c r="AH657"/>
      <c r="AI657"/>
      <c r="AJ657"/>
      <c r="AK657"/>
      <c r="AL657"/>
      <c r="AM657"/>
      <c r="AN657"/>
      <c r="AO657"/>
      <c r="AP657"/>
      <c r="AQ657"/>
      <c r="AR657"/>
      <c r="AS657"/>
      <c r="AT657"/>
      <c r="AU657"/>
      <c r="AV657"/>
      <c r="AW657"/>
      <c r="AX657"/>
      <c r="AY657"/>
      <c r="AZ657"/>
      <c r="BA657"/>
      <c r="BB657"/>
      <c r="BC657"/>
      <c r="BD657"/>
      <c r="BE657"/>
      <c r="BF657"/>
      <c r="BG657"/>
      <c r="BH657"/>
      <c r="BI657"/>
      <c r="BJ657"/>
      <c r="BK657"/>
      <c r="BL657"/>
      <c r="BM657"/>
      <c r="BN657"/>
      <c r="BO657"/>
      <c r="BP657"/>
      <c r="BQ657"/>
      <c r="BR657"/>
      <c r="BS657"/>
      <c r="BT657"/>
      <c r="BU657"/>
      <c r="BV657"/>
      <c r="BW657"/>
      <c r="BX657"/>
    </row>
    <row r="658" spans="1:76">
      <c r="A658" s="72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/>
      <c r="AG658"/>
      <c r="AH658"/>
      <c r="AI658"/>
      <c r="AJ658"/>
      <c r="AK658"/>
      <c r="AL658"/>
      <c r="AM658"/>
      <c r="AN658"/>
      <c r="AO658"/>
      <c r="AP658"/>
      <c r="AQ658"/>
      <c r="AR658"/>
      <c r="AS658"/>
      <c r="AT658"/>
      <c r="AU658"/>
      <c r="AV658"/>
      <c r="AW658"/>
      <c r="AX658"/>
      <c r="AY658"/>
      <c r="AZ658"/>
      <c r="BA658"/>
      <c r="BB658"/>
      <c r="BC658"/>
      <c r="BD658"/>
      <c r="BE658"/>
      <c r="BF658"/>
      <c r="BG658"/>
      <c r="BH658"/>
      <c r="BI658"/>
      <c r="BJ658"/>
      <c r="BK658"/>
      <c r="BL658"/>
      <c r="BM658"/>
      <c r="BN658"/>
      <c r="BO658"/>
      <c r="BP658"/>
      <c r="BQ658"/>
      <c r="BR658"/>
      <c r="BS658"/>
      <c r="BT658"/>
      <c r="BU658"/>
      <c r="BV658"/>
      <c r="BW658"/>
      <c r="BX658"/>
    </row>
    <row r="659" spans="1:76">
      <c r="A659" s="72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  <c r="AG659"/>
      <c r="AH659"/>
      <c r="AI659"/>
      <c r="AJ659"/>
      <c r="AK659"/>
      <c r="AL659"/>
      <c r="AM659"/>
      <c r="AN659"/>
      <c r="AO659"/>
      <c r="AP659"/>
      <c r="AQ659"/>
      <c r="AR659"/>
      <c r="AS659"/>
      <c r="AT659"/>
      <c r="AU659"/>
      <c r="AV659"/>
      <c r="AW659"/>
      <c r="AX659"/>
      <c r="AY659"/>
      <c r="AZ659"/>
      <c r="BA659"/>
      <c r="BB659"/>
      <c r="BC659"/>
      <c r="BD659"/>
      <c r="BE659"/>
      <c r="BF659"/>
      <c r="BG659"/>
      <c r="BH659"/>
      <c r="BI659"/>
      <c r="BJ659"/>
      <c r="BK659"/>
      <c r="BL659"/>
      <c r="BM659"/>
      <c r="BN659"/>
      <c r="BO659"/>
      <c r="BP659"/>
      <c r="BQ659"/>
      <c r="BR659"/>
      <c r="BS659"/>
      <c r="BT659"/>
      <c r="BU659"/>
      <c r="BV659"/>
      <c r="BW659"/>
      <c r="BX659"/>
    </row>
    <row r="660" spans="1:76">
      <c r="A660" s="72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/>
      <c r="AF660"/>
      <c r="AG660"/>
      <c r="AH660"/>
      <c r="AI660"/>
      <c r="AJ660"/>
      <c r="AK660"/>
      <c r="AL660"/>
      <c r="AM660"/>
      <c r="AN660"/>
      <c r="AO660"/>
      <c r="AP660"/>
      <c r="AQ660"/>
      <c r="AR660"/>
      <c r="AS660"/>
      <c r="AT660"/>
      <c r="AU660"/>
      <c r="AV660"/>
      <c r="AW660"/>
      <c r="AX660"/>
      <c r="AY660"/>
      <c r="AZ660"/>
      <c r="BA660"/>
      <c r="BB660"/>
      <c r="BC660"/>
      <c r="BD660"/>
      <c r="BE660"/>
      <c r="BF660"/>
      <c r="BG660"/>
      <c r="BH660"/>
      <c r="BI660"/>
      <c r="BJ660"/>
      <c r="BK660"/>
      <c r="BL660"/>
      <c r="BM660"/>
      <c r="BN660"/>
      <c r="BO660"/>
      <c r="BP660"/>
      <c r="BQ660"/>
      <c r="BR660"/>
      <c r="BS660"/>
      <c r="BT660"/>
      <c r="BU660"/>
      <c r="BV660"/>
      <c r="BW660"/>
      <c r="BX660"/>
    </row>
    <row r="661" spans="1:76">
      <c r="A661" s="72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/>
      <c r="AG661"/>
      <c r="AH661"/>
      <c r="AI661"/>
      <c r="AJ661"/>
      <c r="AK661"/>
      <c r="AL661"/>
      <c r="AM661"/>
      <c r="AN661"/>
      <c r="AO661"/>
      <c r="AP661"/>
      <c r="AQ661"/>
      <c r="AR661"/>
      <c r="AS661"/>
      <c r="AT661"/>
      <c r="AU661"/>
      <c r="AV661"/>
      <c r="AW661"/>
      <c r="AX661"/>
      <c r="AY661"/>
      <c r="AZ661"/>
      <c r="BA661"/>
      <c r="BB661"/>
      <c r="BC661"/>
      <c r="BD661"/>
      <c r="BE661"/>
      <c r="BF661"/>
      <c r="BG661"/>
      <c r="BH661"/>
      <c r="BI661"/>
      <c r="BJ661"/>
      <c r="BK661"/>
      <c r="BL661"/>
      <c r="BM661"/>
      <c r="BN661"/>
      <c r="BO661"/>
      <c r="BP661"/>
      <c r="BQ661"/>
      <c r="BR661"/>
      <c r="BS661"/>
      <c r="BT661"/>
      <c r="BU661"/>
      <c r="BV661"/>
      <c r="BW661"/>
      <c r="BX661"/>
    </row>
    <row r="662" spans="1:76">
      <c r="A662" s="7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/>
      <c r="AG662"/>
      <c r="AH662"/>
      <c r="AI662"/>
      <c r="AJ662"/>
      <c r="AK662"/>
      <c r="AL662"/>
      <c r="AM662"/>
      <c r="AN662"/>
      <c r="AO662"/>
      <c r="AP662"/>
      <c r="AQ662"/>
      <c r="AR662"/>
      <c r="AS662"/>
      <c r="AT662"/>
      <c r="AU662"/>
      <c r="AV662"/>
      <c r="AW662"/>
      <c r="AX662"/>
      <c r="AY662"/>
      <c r="AZ662"/>
      <c r="BA662"/>
      <c r="BB662"/>
      <c r="BC662"/>
      <c r="BD662"/>
      <c r="BE662"/>
      <c r="BF662"/>
      <c r="BG662"/>
      <c r="BH662"/>
      <c r="BI662"/>
      <c r="BJ662"/>
      <c r="BK662"/>
      <c r="BL662"/>
      <c r="BM662"/>
      <c r="BN662"/>
      <c r="BO662"/>
      <c r="BP662"/>
      <c r="BQ662"/>
      <c r="BR662"/>
      <c r="BS662"/>
      <c r="BT662"/>
      <c r="BU662"/>
      <c r="BV662"/>
      <c r="BW662"/>
      <c r="BX662"/>
    </row>
    <row r="663" spans="1:76">
      <c r="A663" s="72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/>
      <c r="AG663"/>
      <c r="AH663"/>
      <c r="AI663"/>
      <c r="AJ663"/>
      <c r="AK663"/>
      <c r="AL663"/>
      <c r="AM663"/>
      <c r="AN663"/>
      <c r="AO663"/>
      <c r="AP663"/>
      <c r="AQ663"/>
      <c r="AR663"/>
      <c r="AS663"/>
      <c r="AT663"/>
      <c r="AU663"/>
      <c r="AV663"/>
      <c r="AW663"/>
      <c r="AX663"/>
      <c r="AY663"/>
      <c r="AZ663"/>
      <c r="BA663"/>
      <c r="BB663"/>
      <c r="BC663"/>
      <c r="BD663"/>
      <c r="BE663"/>
      <c r="BF663"/>
      <c r="BG663"/>
      <c r="BH663"/>
      <c r="BI663"/>
      <c r="BJ663"/>
      <c r="BK663"/>
      <c r="BL663"/>
      <c r="BM663"/>
      <c r="BN663"/>
      <c r="BO663"/>
      <c r="BP663"/>
      <c r="BQ663"/>
      <c r="BR663"/>
      <c r="BS663"/>
      <c r="BT663"/>
      <c r="BU663"/>
      <c r="BV663"/>
      <c r="BW663"/>
      <c r="BX663"/>
    </row>
    <row r="664" spans="1:76">
      <c r="A664" s="72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  <c r="AG664"/>
      <c r="AH664"/>
      <c r="AI664"/>
      <c r="AJ664"/>
      <c r="AK664"/>
      <c r="AL664"/>
      <c r="AM664"/>
      <c r="AN664"/>
      <c r="AO664"/>
      <c r="AP664"/>
      <c r="AQ664"/>
      <c r="AR664"/>
      <c r="AS664"/>
      <c r="AT664"/>
      <c r="AU664"/>
      <c r="AV664"/>
      <c r="AW664"/>
      <c r="AX664"/>
      <c r="AY664"/>
      <c r="AZ664"/>
      <c r="BA664"/>
      <c r="BB664"/>
      <c r="BC664"/>
      <c r="BD664"/>
      <c r="BE664"/>
      <c r="BF664"/>
      <c r="BG664"/>
      <c r="BH664"/>
      <c r="BI664"/>
      <c r="BJ664"/>
      <c r="BK664"/>
      <c r="BL664"/>
      <c r="BM664"/>
      <c r="BN664"/>
      <c r="BO664"/>
      <c r="BP664"/>
      <c r="BQ664"/>
      <c r="BR664"/>
      <c r="BS664"/>
      <c r="BT664"/>
      <c r="BU664"/>
      <c r="BV664"/>
      <c r="BW664"/>
      <c r="BX664"/>
    </row>
    <row r="665" spans="1:76">
      <c r="A665" s="72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/>
      <c r="AG665"/>
      <c r="AH665"/>
      <c r="AI665"/>
      <c r="AJ665"/>
      <c r="AK665"/>
      <c r="AL665"/>
      <c r="AM665"/>
      <c r="AN665"/>
      <c r="AO665"/>
      <c r="AP665"/>
      <c r="AQ665"/>
      <c r="AR665"/>
      <c r="AS665"/>
      <c r="AT665"/>
      <c r="AU665"/>
      <c r="AV665"/>
      <c r="AW665"/>
      <c r="AX665"/>
      <c r="AY665"/>
      <c r="AZ665"/>
      <c r="BA665"/>
      <c r="BB665"/>
      <c r="BC665"/>
      <c r="BD665"/>
      <c r="BE665"/>
      <c r="BF665"/>
      <c r="BG665"/>
      <c r="BH665"/>
      <c r="BI665"/>
      <c r="BJ665"/>
      <c r="BK665"/>
      <c r="BL665"/>
      <c r="BM665"/>
      <c r="BN665"/>
      <c r="BO665"/>
      <c r="BP665"/>
      <c r="BQ665"/>
      <c r="BR665"/>
      <c r="BS665"/>
      <c r="BT665"/>
      <c r="BU665"/>
      <c r="BV665"/>
      <c r="BW665"/>
      <c r="BX665"/>
    </row>
    <row r="666" spans="1:76">
      <c r="A666" s="72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  <c r="AG666"/>
      <c r="AH666"/>
      <c r="AI666"/>
      <c r="AJ666"/>
      <c r="AK666"/>
      <c r="AL666"/>
      <c r="AM666"/>
      <c r="AN666"/>
      <c r="AO666"/>
      <c r="AP666"/>
      <c r="AQ666"/>
      <c r="AR666"/>
      <c r="AS666"/>
      <c r="AT666"/>
      <c r="AU666"/>
      <c r="AV666"/>
      <c r="AW666"/>
      <c r="AX666"/>
      <c r="AY666"/>
      <c r="AZ666"/>
      <c r="BA666"/>
      <c r="BB666"/>
      <c r="BC666"/>
      <c r="BD666"/>
      <c r="BE666"/>
      <c r="BF666"/>
      <c r="BG666"/>
      <c r="BH666"/>
      <c r="BI666"/>
      <c r="BJ666"/>
      <c r="BK666"/>
      <c r="BL666"/>
      <c r="BM666"/>
      <c r="BN666"/>
      <c r="BO666"/>
      <c r="BP666"/>
      <c r="BQ666"/>
      <c r="BR666"/>
      <c r="BS666"/>
      <c r="BT666"/>
      <c r="BU666"/>
      <c r="BV666"/>
      <c r="BW666"/>
      <c r="BX666"/>
    </row>
    <row r="667" spans="1:76">
      <c r="A667" s="72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/>
      <c r="AF667"/>
      <c r="AG667"/>
      <c r="AH667"/>
      <c r="AI667"/>
      <c r="AJ667"/>
      <c r="AK667"/>
      <c r="AL667"/>
      <c r="AM667"/>
      <c r="AN667"/>
      <c r="AO667"/>
      <c r="AP667"/>
      <c r="AQ667"/>
      <c r="AR667"/>
      <c r="AS667"/>
      <c r="AT667"/>
      <c r="AU667"/>
      <c r="AV667"/>
      <c r="AW667"/>
      <c r="AX667"/>
      <c r="AY667"/>
      <c r="AZ667"/>
      <c r="BA667"/>
      <c r="BB667"/>
      <c r="BC667"/>
      <c r="BD667"/>
      <c r="BE667"/>
      <c r="BF667"/>
      <c r="BG667"/>
      <c r="BH667"/>
      <c r="BI667"/>
      <c r="BJ667"/>
      <c r="BK667"/>
      <c r="BL667"/>
      <c r="BM667"/>
      <c r="BN667"/>
      <c r="BO667"/>
      <c r="BP667"/>
      <c r="BQ667"/>
      <c r="BR667"/>
      <c r="BS667"/>
      <c r="BT667"/>
      <c r="BU667"/>
      <c r="BV667"/>
      <c r="BW667"/>
      <c r="BX667"/>
    </row>
    <row r="668" spans="1:76">
      <c r="A668" s="72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  <c r="AG668"/>
      <c r="AH668"/>
      <c r="AI668"/>
      <c r="AJ668"/>
      <c r="AK668"/>
      <c r="AL668"/>
      <c r="AM668"/>
      <c r="AN668"/>
      <c r="AO668"/>
      <c r="AP668"/>
      <c r="AQ668"/>
      <c r="AR668"/>
      <c r="AS668"/>
      <c r="AT668"/>
      <c r="AU668"/>
      <c r="AV668"/>
      <c r="AW668"/>
      <c r="AX668"/>
      <c r="AY668"/>
      <c r="AZ668"/>
      <c r="BA668"/>
      <c r="BB668"/>
      <c r="BC668"/>
      <c r="BD668"/>
      <c r="BE668"/>
      <c r="BF668"/>
      <c r="BG668"/>
      <c r="BH668"/>
      <c r="BI668"/>
      <c r="BJ668"/>
      <c r="BK668"/>
      <c r="BL668"/>
      <c r="BM668"/>
      <c r="BN668"/>
      <c r="BO668"/>
      <c r="BP668"/>
      <c r="BQ668"/>
      <c r="BR668"/>
      <c r="BS668"/>
      <c r="BT668"/>
      <c r="BU668"/>
      <c r="BV668"/>
      <c r="BW668"/>
      <c r="BX668"/>
    </row>
    <row r="669" spans="1:76">
      <c r="A669" s="72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/>
      <c r="AG669"/>
      <c r="AH669"/>
      <c r="AI669"/>
      <c r="AJ669"/>
      <c r="AK669"/>
      <c r="AL669"/>
      <c r="AM669"/>
      <c r="AN669"/>
      <c r="AO669"/>
      <c r="AP669"/>
      <c r="AQ669"/>
      <c r="AR669"/>
      <c r="AS669"/>
      <c r="AT669"/>
      <c r="AU669"/>
      <c r="AV669"/>
      <c r="AW669"/>
      <c r="AX669"/>
      <c r="AY669"/>
      <c r="AZ669"/>
      <c r="BA669"/>
      <c r="BB669"/>
      <c r="BC669"/>
      <c r="BD669"/>
      <c r="BE669"/>
      <c r="BF669"/>
      <c r="BG669"/>
      <c r="BH669"/>
      <c r="BI669"/>
      <c r="BJ669"/>
      <c r="BK669"/>
      <c r="BL669"/>
      <c r="BM669"/>
      <c r="BN669"/>
      <c r="BO669"/>
      <c r="BP669"/>
      <c r="BQ669"/>
      <c r="BR669"/>
      <c r="BS669"/>
      <c r="BT669"/>
      <c r="BU669"/>
      <c r="BV669"/>
      <c r="BW669"/>
      <c r="BX669"/>
    </row>
    <row r="670" spans="1:76">
      <c r="A670" s="72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/>
      <c r="AG670"/>
      <c r="AH670"/>
      <c r="AI670"/>
      <c r="AJ670"/>
      <c r="AK670"/>
      <c r="AL670"/>
      <c r="AM670"/>
      <c r="AN670"/>
      <c r="AO670"/>
      <c r="AP670"/>
      <c r="AQ670"/>
      <c r="AR670"/>
      <c r="AS670"/>
      <c r="AT670"/>
      <c r="AU670"/>
      <c r="AV670"/>
      <c r="AW670"/>
      <c r="AX670"/>
      <c r="AY670"/>
      <c r="AZ670"/>
      <c r="BA670"/>
      <c r="BB670"/>
      <c r="BC670"/>
      <c r="BD670"/>
      <c r="BE670"/>
      <c r="BF670"/>
      <c r="BG670"/>
      <c r="BH670"/>
      <c r="BI670"/>
      <c r="BJ670"/>
      <c r="BK670"/>
      <c r="BL670"/>
      <c r="BM670"/>
      <c r="BN670"/>
      <c r="BO670"/>
      <c r="BP670"/>
      <c r="BQ670"/>
      <c r="BR670"/>
      <c r="BS670"/>
      <c r="BT670"/>
      <c r="BU670"/>
      <c r="BV670"/>
      <c r="BW670"/>
      <c r="BX670"/>
    </row>
    <row r="671" spans="1:76">
      <c r="A671" s="72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/>
      <c r="AK671"/>
      <c r="AL671"/>
      <c r="AM671"/>
      <c r="AN671"/>
      <c r="AO671"/>
      <c r="AP671"/>
      <c r="AQ671"/>
      <c r="AR671"/>
      <c r="AS671"/>
      <c r="AT671"/>
      <c r="AU671"/>
      <c r="AV671"/>
      <c r="AW671"/>
      <c r="AX671"/>
      <c r="AY671"/>
      <c r="AZ671"/>
      <c r="BA671"/>
      <c r="BB671"/>
      <c r="BC671"/>
      <c r="BD671"/>
      <c r="BE671"/>
      <c r="BF671"/>
      <c r="BG671"/>
      <c r="BH671"/>
      <c r="BI671"/>
      <c r="BJ671"/>
      <c r="BK671"/>
      <c r="BL671"/>
      <c r="BM671"/>
      <c r="BN671"/>
      <c r="BO671"/>
      <c r="BP671"/>
      <c r="BQ671"/>
      <c r="BR671"/>
      <c r="BS671"/>
      <c r="BT671"/>
      <c r="BU671"/>
      <c r="BV671"/>
      <c r="BW671"/>
      <c r="BX671"/>
    </row>
    <row r="672" spans="1:76">
      <c r="A672" s="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/>
      <c r="AF672"/>
      <c r="AG672"/>
      <c r="AH672"/>
      <c r="AI672"/>
      <c r="AJ672"/>
      <c r="AK672"/>
      <c r="AL672"/>
      <c r="AM672"/>
      <c r="AN672"/>
      <c r="AO672"/>
      <c r="AP672"/>
      <c r="AQ672"/>
      <c r="AR672"/>
      <c r="AS672"/>
      <c r="AT672"/>
      <c r="AU672"/>
      <c r="AV672"/>
      <c r="AW672"/>
      <c r="AX672"/>
      <c r="AY672"/>
      <c r="AZ672"/>
      <c r="BA672"/>
      <c r="BB672"/>
      <c r="BC672"/>
      <c r="BD672"/>
      <c r="BE672"/>
      <c r="BF672"/>
      <c r="BG672"/>
      <c r="BH672"/>
      <c r="BI672"/>
      <c r="BJ672"/>
      <c r="BK672"/>
      <c r="BL672"/>
      <c r="BM672"/>
      <c r="BN672"/>
      <c r="BO672"/>
      <c r="BP672"/>
      <c r="BQ672"/>
      <c r="BR672"/>
      <c r="BS672"/>
      <c r="BT672"/>
      <c r="BU672"/>
      <c r="BV672"/>
      <c r="BW672"/>
      <c r="BX672"/>
    </row>
    <row r="673" spans="1:76">
      <c r="A673" s="72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/>
      <c r="AF673"/>
      <c r="AG673"/>
      <c r="AH673"/>
      <c r="AI673"/>
      <c r="AJ673"/>
      <c r="AK673"/>
      <c r="AL673"/>
      <c r="AM673"/>
      <c r="AN673"/>
      <c r="AO673"/>
      <c r="AP673"/>
      <c r="AQ673"/>
      <c r="AR673"/>
      <c r="AS673"/>
      <c r="AT673"/>
      <c r="AU673"/>
      <c r="AV673"/>
      <c r="AW673"/>
      <c r="AX673"/>
      <c r="AY673"/>
      <c r="AZ673"/>
      <c r="BA673"/>
      <c r="BB673"/>
      <c r="BC673"/>
      <c r="BD673"/>
      <c r="BE673"/>
      <c r="BF673"/>
      <c r="BG673"/>
      <c r="BH673"/>
      <c r="BI673"/>
      <c r="BJ673"/>
      <c r="BK673"/>
      <c r="BL673"/>
      <c r="BM673"/>
      <c r="BN673"/>
      <c r="BO673"/>
      <c r="BP673"/>
      <c r="BQ673"/>
      <c r="BR673"/>
      <c r="BS673"/>
      <c r="BT673"/>
      <c r="BU673"/>
      <c r="BV673"/>
      <c r="BW673"/>
      <c r="BX673"/>
    </row>
    <row r="674" spans="1:76">
      <c r="A674" s="72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/>
      <c r="AG674"/>
      <c r="AH674"/>
      <c r="AI674"/>
      <c r="AJ674"/>
      <c r="AK674"/>
      <c r="AL674"/>
      <c r="AM674"/>
      <c r="AN674"/>
      <c r="AO674"/>
      <c r="AP674"/>
      <c r="AQ674"/>
      <c r="AR674"/>
      <c r="AS674"/>
      <c r="AT674"/>
      <c r="AU674"/>
      <c r="AV674"/>
      <c r="AW674"/>
      <c r="AX674"/>
      <c r="AY674"/>
      <c r="AZ674"/>
      <c r="BA674"/>
      <c r="BB674"/>
      <c r="BC674"/>
      <c r="BD674"/>
      <c r="BE674"/>
      <c r="BF674"/>
      <c r="BG674"/>
      <c r="BH674"/>
      <c r="BI674"/>
      <c r="BJ674"/>
      <c r="BK674"/>
      <c r="BL674"/>
      <c r="BM674"/>
      <c r="BN674"/>
      <c r="BO674"/>
      <c r="BP674"/>
      <c r="BQ674"/>
      <c r="BR674"/>
      <c r="BS674"/>
      <c r="BT674"/>
      <c r="BU674"/>
      <c r="BV674"/>
      <c r="BW674"/>
      <c r="BX674"/>
    </row>
    <row r="675" spans="1:76">
      <c r="A675" s="72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/>
      <c r="AF675"/>
      <c r="AG675"/>
      <c r="AH675"/>
      <c r="AI675"/>
      <c r="AJ675"/>
      <c r="AK675"/>
      <c r="AL675"/>
      <c r="AM675"/>
      <c r="AN675"/>
      <c r="AO675"/>
      <c r="AP675"/>
      <c r="AQ675"/>
      <c r="AR675"/>
      <c r="AS675"/>
      <c r="AT675"/>
      <c r="AU675"/>
      <c r="AV675"/>
      <c r="AW675"/>
      <c r="AX675"/>
      <c r="AY675"/>
      <c r="AZ675"/>
      <c r="BA675"/>
      <c r="BB675"/>
      <c r="BC675"/>
      <c r="BD675"/>
      <c r="BE675"/>
      <c r="BF675"/>
      <c r="BG675"/>
      <c r="BH675"/>
      <c r="BI675"/>
      <c r="BJ675"/>
      <c r="BK675"/>
      <c r="BL675"/>
      <c r="BM675"/>
      <c r="BN675"/>
      <c r="BO675"/>
      <c r="BP675"/>
      <c r="BQ675"/>
      <c r="BR675"/>
      <c r="BS675"/>
      <c r="BT675"/>
      <c r="BU675"/>
      <c r="BV675"/>
      <c r="BW675"/>
      <c r="BX675"/>
    </row>
    <row r="676" spans="1:76">
      <c r="A676" s="72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  <c r="AG676"/>
      <c r="AH676"/>
      <c r="AI676"/>
      <c r="AJ676"/>
      <c r="AK676"/>
      <c r="AL676"/>
      <c r="AM676"/>
      <c r="AN676"/>
      <c r="AO676"/>
      <c r="AP676"/>
      <c r="AQ676"/>
      <c r="AR676"/>
      <c r="AS676"/>
      <c r="AT676"/>
      <c r="AU676"/>
      <c r="AV676"/>
      <c r="AW676"/>
      <c r="AX676"/>
      <c r="AY676"/>
      <c r="AZ676"/>
      <c r="BA676"/>
      <c r="BB676"/>
      <c r="BC676"/>
      <c r="BD676"/>
      <c r="BE676"/>
      <c r="BF676"/>
      <c r="BG676"/>
      <c r="BH676"/>
      <c r="BI676"/>
      <c r="BJ676"/>
      <c r="BK676"/>
      <c r="BL676"/>
      <c r="BM676"/>
      <c r="BN676"/>
      <c r="BO676"/>
      <c r="BP676"/>
      <c r="BQ676"/>
      <c r="BR676"/>
      <c r="BS676"/>
      <c r="BT676"/>
      <c r="BU676"/>
      <c r="BV676"/>
      <c r="BW676"/>
      <c r="BX676"/>
    </row>
    <row r="677" spans="1:76">
      <c r="A677" s="72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  <c r="AG677"/>
      <c r="AH677"/>
      <c r="AI677"/>
      <c r="AJ677"/>
      <c r="AK677"/>
      <c r="AL677"/>
      <c r="AM677"/>
      <c r="AN677"/>
      <c r="AO677"/>
      <c r="AP677"/>
      <c r="AQ677"/>
      <c r="AR677"/>
      <c r="AS677"/>
      <c r="AT677"/>
      <c r="AU677"/>
      <c r="AV677"/>
      <c r="AW677"/>
      <c r="AX677"/>
      <c r="AY677"/>
      <c r="AZ677"/>
      <c r="BA677"/>
      <c r="BB677"/>
      <c r="BC677"/>
      <c r="BD677"/>
      <c r="BE677"/>
      <c r="BF677"/>
      <c r="BG677"/>
      <c r="BH677"/>
      <c r="BI677"/>
      <c r="BJ677"/>
      <c r="BK677"/>
      <c r="BL677"/>
      <c r="BM677"/>
      <c r="BN677"/>
      <c r="BO677"/>
      <c r="BP677"/>
      <c r="BQ677"/>
      <c r="BR677"/>
      <c r="BS677"/>
      <c r="BT677"/>
      <c r="BU677"/>
      <c r="BV677"/>
      <c r="BW677"/>
      <c r="BX677"/>
    </row>
    <row r="678" spans="1:76">
      <c r="A678" s="72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  <c r="AD678"/>
      <c r="AE678"/>
      <c r="AF678"/>
      <c r="AG678"/>
      <c r="AH678"/>
      <c r="AI678"/>
      <c r="AJ678"/>
      <c r="AK678"/>
      <c r="AL678"/>
      <c r="AM678"/>
      <c r="AN678"/>
      <c r="AO678"/>
      <c r="AP678"/>
      <c r="AQ678"/>
      <c r="AR678"/>
      <c r="AS678"/>
      <c r="AT678"/>
      <c r="AU678"/>
      <c r="AV678"/>
      <c r="AW678"/>
      <c r="AX678"/>
      <c r="AY678"/>
      <c r="AZ678"/>
      <c r="BA678"/>
      <c r="BB678"/>
      <c r="BC678"/>
      <c r="BD678"/>
      <c r="BE678"/>
      <c r="BF678"/>
      <c r="BG678"/>
      <c r="BH678"/>
      <c r="BI678"/>
      <c r="BJ678"/>
      <c r="BK678"/>
      <c r="BL678"/>
      <c r="BM678"/>
      <c r="BN678"/>
      <c r="BO678"/>
      <c r="BP678"/>
      <c r="BQ678"/>
      <c r="BR678"/>
      <c r="BS678"/>
      <c r="BT678"/>
      <c r="BU678"/>
      <c r="BV678"/>
      <c r="BW678"/>
      <c r="BX678"/>
    </row>
    <row r="679" spans="1:76">
      <c r="A679" s="72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K679"/>
      <c r="AL679"/>
      <c r="AM679"/>
      <c r="AN679"/>
      <c r="AO679"/>
      <c r="AP679"/>
      <c r="AQ679"/>
      <c r="AR679"/>
      <c r="AS679"/>
      <c r="AT679"/>
      <c r="AU679"/>
      <c r="AV679"/>
      <c r="AW679"/>
      <c r="AX679"/>
      <c r="AY679"/>
      <c r="AZ679"/>
      <c r="BA679"/>
      <c r="BB679"/>
      <c r="BC679"/>
      <c r="BD679"/>
      <c r="BE679"/>
      <c r="BF679"/>
      <c r="BG679"/>
      <c r="BH679"/>
      <c r="BI679"/>
      <c r="BJ679"/>
      <c r="BK679"/>
      <c r="BL679"/>
      <c r="BM679"/>
      <c r="BN679"/>
      <c r="BO679"/>
      <c r="BP679"/>
      <c r="BQ679"/>
      <c r="BR679"/>
      <c r="BS679"/>
      <c r="BT679"/>
      <c r="BU679"/>
      <c r="BV679"/>
      <c r="BW679"/>
      <c r="BX679"/>
    </row>
    <row r="680" spans="1:76">
      <c r="A680" s="72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/>
      <c r="AG680"/>
      <c r="AH680"/>
      <c r="AI680"/>
      <c r="AJ680"/>
      <c r="AK680"/>
      <c r="AL680"/>
      <c r="AM680"/>
      <c r="AN680"/>
      <c r="AO680"/>
      <c r="AP680"/>
      <c r="AQ680"/>
      <c r="AR680"/>
      <c r="AS680"/>
      <c r="AT680"/>
      <c r="AU680"/>
      <c r="AV680"/>
      <c r="AW680"/>
      <c r="AX680"/>
      <c r="AY680"/>
      <c r="AZ680"/>
      <c r="BA680"/>
      <c r="BB680"/>
      <c r="BC680"/>
      <c r="BD680"/>
      <c r="BE680"/>
      <c r="BF680"/>
      <c r="BG680"/>
      <c r="BH680"/>
      <c r="BI680"/>
      <c r="BJ680"/>
      <c r="BK680"/>
      <c r="BL680"/>
      <c r="BM680"/>
      <c r="BN680"/>
      <c r="BO680"/>
      <c r="BP680"/>
      <c r="BQ680"/>
      <c r="BR680"/>
      <c r="BS680"/>
      <c r="BT680"/>
      <c r="BU680"/>
      <c r="BV680"/>
      <c r="BW680"/>
      <c r="BX680"/>
    </row>
    <row r="681" spans="1:76">
      <c r="A681" s="72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  <c r="AG681"/>
      <c r="AH681"/>
      <c r="AI681"/>
      <c r="AJ681"/>
      <c r="AK681"/>
      <c r="AL681"/>
      <c r="AM681"/>
      <c r="AN681"/>
      <c r="AO681"/>
      <c r="AP681"/>
      <c r="AQ681"/>
      <c r="AR681"/>
      <c r="AS681"/>
      <c r="AT681"/>
      <c r="AU681"/>
      <c r="AV681"/>
      <c r="AW681"/>
      <c r="AX681"/>
      <c r="AY681"/>
      <c r="AZ681"/>
      <c r="BA681"/>
      <c r="BB681"/>
      <c r="BC681"/>
      <c r="BD681"/>
      <c r="BE681"/>
      <c r="BF681"/>
      <c r="BG681"/>
      <c r="BH681"/>
      <c r="BI681"/>
      <c r="BJ681"/>
      <c r="BK681"/>
      <c r="BL681"/>
      <c r="BM681"/>
      <c r="BN681"/>
      <c r="BO681"/>
      <c r="BP681"/>
      <c r="BQ681"/>
      <c r="BR681"/>
      <c r="BS681"/>
      <c r="BT681"/>
      <c r="BU681"/>
      <c r="BV681"/>
      <c r="BW681"/>
      <c r="BX681"/>
    </row>
    <row r="682" spans="1:76">
      <c r="A682" s="7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/>
      <c r="AF682"/>
      <c r="AG682"/>
      <c r="AH682"/>
      <c r="AI682"/>
      <c r="AJ682"/>
      <c r="AK682"/>
      <c r="AL682"/>
      <c r="AM682"/>
      <c r="AN682"/>
      <c r="AO682"/>
      <c r="AP682"/>
      <c r="AQ682"/>
      <c r="AR682"/>
      <c r="AS682"/>
      <c r="AT682"/>
      <c r="AU682"/>
      <c r="AV682"/>
      <c r="AW682"/>
      <c r="AX682"/>
      <c r="AY682"/>
      <c r="AZ682"/>
      <c r="BA682"/>
      <c r="BB682"/>
      <c r="BC682"/>
      <c r="BD682"/>
      <c r="BE682"/>
      <c r="BF682"/>
      <c r="BG682"/>
      <c r="BH682"/>
      <c r="BI682"/>
      <c r="BJ682"/>
      <c r="BK682"/>
      <c r="BL682"/>
      <c r="BM682"/>
      <c r="BN682"/>
      <c r="BO682"/>
      <c r="BP682"/>
      <c r="BQ682"/>
      <c r="BR682"/>
      <c r="BS682"/>
      <c r="BT682"/>
      <c r="BU682"/>
      <c r="BV682"/>
      <c r="BW682"/>
      <c r="BX682"/>
    </row>
    <row r="683" spans="1:76">
      <c r="A683" s="72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/>
      <c r="AF683"/>
      <c r="AG683"/>
      <c r="AH683"/>
      <c r="AI683"/>
      <c r="AJ683"/>
      <c r="AK683"/>
      <c r="AL683"/>
      <c r="AM683"/>
      <c r="AN683"/>
      <c r="AO683"/>
      <c r="AP683"/>
      <c r="AQ683"/>
      <c r="AR683"/>
      <c r="AS683"/>
      <c r="AT683"/>
      <c r="AU683"/>
      <c r="AV683"/>
      <c r="AW683"/>
      <c r="AX683"/>
      <c r="AY683"/>
      <c r="AZ683"/>
      <c r="BA683"/>
      <c r="BB683"/>
      <c r="BC683"/>
      <c r="BD683"/>
      <c r="BE683"/>
      <c r="BF683"/>
      <c r="BG683"/>
      <c r="BH683"/>
      <c r="BI683"/>
      <c r="BJ683"/>
      <c r="BK683"/>
      <c r="BL683"/>
      <c r="BM683"/>
      <c r="BN683"/>
      <c r="BO683"/>
      <c r="BP683"/>
      <c r="BQ683"/>
      <c r="BR683"/>
      <c r="BS683"/>
      <c r="BT683"/>
      <c r="BU683"/>
      <c r="BV683"/>
      <c r="BW683"/>
      <c r="BX683"/>
    </row>
    <row r="684" spans="1:76">
      <c r="A684" s="72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  <c r="AF684"/>
      <c r="AG684"/>
      <c r="AH684"/>
      <c r="AI684"/>
      <c r="AJ684"/>
      <c r="AK684"/>
      <c r="AL684"/>
      <c r="AM684"/>
      <c r="AN684"/>
      <c r="AO684"/>
      <c r="AP684"/>
      <c r="AQ684"/>
      <c r="AR684"/>
      <c r="AS684"/>
      <c r="AT684"/>
      <c r="AU684"/>
      <c r="AV684"/>
      <c r="AW684"/>
      <c r="AX684"/>
      <c r="AY684"/>
      <c r="AZ684"/>
      <c r="BA684"/>
      <c r="BB684"/>
      <c r="BC684"/>
      <c r="BD684"/>
      <c r="BE684"/>
      <c r="BF684"/>
      <c r="BG684"/>
      <c r="BH684"/>
      <c r="BI684"/>
      <c r="BJ684"/>
      <c r="BK684"/>
      <c r="BL684"/>
      <c r="BM684"/>
      <c r="BN684"/>
      <c r="BO684"/>
      <c r="BP684"/>
      <c r="BQ684"/>
      <c r="BR684"/>
      <c r="BS684"/>
      <c r="BT684"/>
      <c r="BU684"/>
      <c r="BV684"/>
      <c r="BW684"/>
      <c r="BX684"/>
    </row>
    <row r="685" spans="1:76">
      <c r="A685" s="72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/>
      <c r="AG685"/>
      <c r="AH685"/>
      <c r="AI685"/>
      <c r="AJ685"/>
      <c r="AK685"/>
      <c r="AL685"/>
      <c r="AM685"/>
      <c r="AN685"/>
      <c r="AO685"/>
      <c r="AP685"/>
      <c r="AQ685"/>
      <c r="AR685"/>
      <c r="AS685"/>
      <c r="AT685"/>
      <c r="AU685"/>
      <c r="AV685"/>
      <c r="AW685"/>
      <c r="AX685"/>
      <c r="AY685"/>
      <c r="AZ685"/>
      <c r="BA685"/>
      <c r="BB685"/>
      <c r="BC685"/>
      <c r="BD685"/>
      <c r="BE685"/>
      <c r="BF685"/>
      <c r="BG685"/>
      <c r="BH685"/>
      <c r="BI685"/>
      <c r="BJ685"/>
      <c r="BK685"/>
      <c r="BL685"/>
      <c r="BM685"/>
      <c r="BN685"/>
      <c r="BO685"/>
      <c r="BP685"/>
      <c r="BQ685"/>
      <c r="BR685"/>
      <c r="BS685"/>
      <c r="BT685"/>
      <c r="BU685"/>
      <c r="BV685"/>
      <c r="BW685"/>
      <c r="BX685"/>
    </row>
    <row r="686" spans="1:76">
      <c r="A686" s="72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/>
      <c r="AF686"/>
      <c r="AG686"/>
      <c r="AH686"/>
      <c r="AI686"/>
      <c r="AJ686"/>
      <c r="AK686"/>
      <c r="AL686"/>
      <c r="AM686"/>
      <c r="AN686"/>
      <c r="AO686"/>
      <c r="AP686"/>
      <c r="AQ686"/>
      <c r="AR686"/>
      <c r="AS686"/>
      <c r="AT686"/>
      <c r="AU686"/>
      <c r="AV686"/>
      <c r="AW686"/>
      <c r="AX686"/>
      <c r="AY686"/>
      <c r="AZ686"/>
      <c r="BA686"/>
      <c r="BB686"/>
      <c r="BC686"/>
      <c r="BD686"/>
      <c r="BE686"/>
      <c r="BF686"/>
      <c r="BG686"/>
      <c r="BH686"/>
      <c r="BI686"/>
      <c r="BJ686"/>
      <c r="BK686"/>
      <c r="BL686"/>
      <c r="BM686"/>
      <c r="BN686"/>
      <c r="BO686"/>
      <c r="BP686"/>
      <c r="BQ686"/>
      <c r="BR686"/>
      <c r="BS686"/>
      <c r="BT686"/>
      <c r="BU686"/>
      <c r="BV686"/>
      <c r="BW686"/>
      <c r="BX686"/>
    </row>
    <row r="687" spans="1:76">
      <c r="A687" s="72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/>
      <c r="AG687"/>
      <c r="AH687"/>
      <c r="AI687"/>
      <c r="AJ687"/>
      <c r="AK687"/>
      <c r="AL687"/>
      <c r="AM687"/>
      <c r="AN687"/>
      <c r="AO687"/>
      <c r="AP687"/>
      <c r="AQ687"/>
      <c r="AR687"/>
      <c r="AS687"/>
      <c r="AT687"/>
      <c r="AU687"/>
      <c r="AV687"/>
      <c r="AW687"/>
      <c r="AX687"/>
      <c r="AY687"/>
      <c r="AZ687"/>
      <c r="BA687"/>
      <c r="BB687"/>
      <c r="BC687"/>
      <c r="BD687"/>
      <c r="BE687"/>
      <c r="BF687"/>
      <c r="BG687"/>
      <c r="BH687"/>
      <c r="BI687"/>
      <c r="BJ687"/>
      <c r="BK687"/>
      <c r="BL687"/>
      <c r="BM687"/>
      <c r="BN687"/>
      <c r="BO687"/>
      <c r="BP687"/>
      <c r="BQ687"/>
      <c r="BR687"/>
      <c r="BS687"/>
      <c r="BT687"/>
      <c r="BU687"/>
      <c r="BV687"/>
      <c r="BW687"/>
      <c r="BX687"/>
    </row>
    <row r="688" spans="1:76">
      <c r="A688" s="72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/>
      <c r="AG688"/>
      <c r="AH688"/>
      <c r="AI688"/>
      <c r="AJ688"/>
      <c r="AK688"/>
      <c r="AL688"/>
      <c r="AM688"/>
      <c r="AN688"/>
      <c r="AO688"/>
      <c r="AP688"/>
      <c r="AQ688"/>
      <c r="AR688"/>
      <c r="AS688"/>
      <c r="AT688"/>
      <c r="AU688"/>
      <c r="AV688"/>
      <c r="AW688"/>
      <c r="AX688"/>
      <c r="AY688"/>
      <c r="AZ688"/>
      <c r="BA688"/>
      <c r="BB688"/>
      <c r="BC688"/>
      <c r="BD688"/>
      <c r="BE688"/>
      <c r="BF688"/>
      <c r="BG688"/>
      <c r="BH688"/>
      <c r="BI688"/>
      <c r="BJ688"/>
      <c r="BK688"/>
      <c r="BL688"/>
      <c r="BM688"/>
      <c r="BN688"/>
      <c r="BO688"/>
      <c r="BP688"/>
      <c r="BQ688"/>
      <c r="BR688"/>
      <c r="BS688"/>
      <c r="BT688"/>
      <c r="BU688"/>
      <c r="BV688"/>
      <c r="BW688"/>
      <c r="BX688"/>
    </row>
    <row r="689" spans="1:76">
      <c r="A689" s="72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/>
      <c r="AG689"/>
      <c r="AH689"/>
      <c r="AI689"/>
      <c r="AJ689"/>
      <c r="AK689"/>
      <c r="AL689"/>
      <c r="AM689"/>
      <c r="AN689"/>
      <c r="AO689"/>
      <c r="AP689"/>
      <c r="AQ689"/>
      <c r="AR689"/>
      <c r="AS689"/>
      <c r="AT689"/>
      <c r="AU689"/>
      <c r="AV689"/>
      <c r="AW689"/>
      <c r="AX689"/>
      <c r="AY689"/>
      <c r="AZ689"/>
      <c r="BA689"/>
      <c r="BB689"/>
      <c r="BC689"/>
      <c r="BD689"/>
      <c r="BE689"/>
      <c r="BF689"/>
      <c r="BG689"/>
      <c r="BH689"/>
      <c r="BI689"/>
      <c r="BJ689"/>
      <c r="BK689"/>
      <c r="BL689"/>
      <c r="BM689"/>
      <c r="BN689"/>
      <c r="BO689"/>
      <c r="BP689"/>
      <c r="BQ689"/>
      <c r="BR689"/>
      <c r="BS689"/>
      <c r="BT689"/>
      <c r="BU689"/>
      <c r="BV689"/>
      <c r="BW689"/>
      <c r="BX689"/>
    </row>
    <row r="690" spans="1:76">
      <c r="A690" s="72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/>
      <c r="AF690"/>
      <c r="AG690"/>
      <c r="AH690"/>
      <c r="AI690"/>
      <c r="AJ690"/>
      <c r="AK690"/>
      <c r="AL690"/>
      <c r="AM690"/>
      <c r="AN690"/>
      <c r="AO690"/>
      <c r="AP690"/>
      <c r="AQ690"/>
      <c r="AR690"/>
      <c r="AS690"/>
      <c r="AT690"/>
      <c r="AU690"/>
      <c r="AV690"/>
      <c r="AW690"/>
      <c r="AX690"/>
      <c r="AY690"/>
      <c r="AZ690"/>
      <c r="BA690"/>
      <c r="BB690"/>
      <c r="BC690"/>
      <c r="BD690"/>
      <c r="BE690"/>
      <c r="BF690"/>
      <c r="BG690"/>
      <c r="BH690"/>
      <c r="BI690"/>
      <c r="BJ690"/>
      <c r="BK690"/>
      <c r="BL690"/>
      <c r="BM690"/>
      <c r="BN690"/>
      <c r="BO690"/>
      <c r="BP690"/>
      <c r="BQ690"/>
      <c r="BR690"/>
      <c r="BS690"/>
      <c r="BT690"/>
      <c r="BU690"/>
      <c r="BV690"/>
      <c r="BW690"/>
      <c r="BX690"/>
    </row>
    <row r="691" spans="1:76">
      <c r="A691" s="72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/>
      <c r="AF691"/>
      <c r="AG691"/>
      <c r="AH691"/>
      <c r="AI691"/>
      <c r="AJ691"/>
      <c r="AK691"/>
      <c r="AL691"/>
      <c r="AM691"/>
      <c r="AN691"/>
      <c r="AO691"/>
      <c r="AP691"/>
      <c r="AQ691"/>
      <c r="AR691"/>
      <c r="AS691"/>
      <c r="AT691"/>
      <c r="AU691"/>
      <c r="AV691"/>
      <c r="AW691"/>
      <c r="AX691"/>
      <c r="AY691"/>
      <c r="AZ691"/>
      <c r="BA691"/>
      <c r="BB691"/>
      <c r="BC691"/>
      <c r="BD691"/>
      <c r="BE691"/>
      <c r="BF691"/>
      <c r="BG691"/>
      <c r="BH691"/>
      <c r="BI691"/>
      <c r="BJ691"/>
      <c r="BK691"/>
      <c r="BL691"/>
      <c r="BM691"/>
      <c r="BN691"/>
      <c r="BO691"/>
      <c r="BP691"/>
      <c r="BQ691"/>
      <c r="BR691"/>
      <c r="BS691"/>
      <c r="BT691"/>
      <c r="BU691"/>
      <c r="BV691"/>
      <c r="BW691"/>
      <c r="BX691"/>
    </row>
    <row r="692" spans="1:76">
      <c r="A692" s="7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/>
      <c r="AG692"/>
      <c r="AH692"/>
      <c r="AI692"/>
      <c r="AJ692"/>
      <c r="AK692"/>
      <c r="AL692"/>
      <c r="AM692"/>
      <c r="AN692"/>
      <c r="AO692"/>
      <c r="AP692"/>
      <c r="AQ692"/>
      <c r="AR692"/>
      <c r="AS692"/>
      <c r="AT692"/>
      <c r="AU692"/>
      <c r="AV692"/>
      <c r="AW692"/>
      <c r="AX692"/>
      <c r="AY692"/>
      <c r="AZ692"/>
      <c r="BA692"/>
      <c r="BB692"/>
      <c r="BC692"/>
      <c r="BD692"/>
      <c r="BE692"/>
      <c r="BF692"/>
      <c r="BG692"/>
      <c r="BH692"/>
      <c r="BI692"/>
      <c r="BJ692"/>
      <c r="BK692"/>
      <c r="BL692"/>
      <c r="BM692"/>
      <c r="BN692"/>
      <c r="BO692"/>
      <c r="BP692"/>
      <c r="BQ692"/>
      <c r="BR692"/>
      <c r="BS692"/>
      <c r="BT692"/>
      <c r="BU692"/>
      <c r="BV692"/>
      <c r="BW692"/>
      <c r="BX692"/>
    </row>
    <row r="693" spans="1:76">
      <c r="A693" s="72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/>
      <c r="AG693"/>
      <c r="AH693"/>
      <c r="AI693"/>
      <c r="AJ693"/>
      <c r="AK693"/>
      <c r="AL693"/>
      <c r="AM693"/>
      <c r="AN693"/>
      <c r="AO693"/>
      <c r="AP693"/>
      <c r="AQ693"/>
      <c r="AR693"/>
      <c r="AS693"/>
      <c r="AT693"/>
      <c r="AU693"/>
      <c r="AV693"/>
      <c r="AW693"/>
      <c r="AX693"/>
      <c r="AY693"/>
      <c r="AZ693"/>
      <c r="BA693"/>
      <c r="BB693"/>
      <c r="BC693"/>
      <c r="BD693"/>
      <c r="BE693"/>
      <c r="BF693"/>
      <c r="BG693"/>
      <c r="BH693"/>
      <c r="BI693"/>
      <c r="BJ693"/>
      <c r="BK693"/>
      <c r="BL693"/>
      <c r="BM693"/>
      <c r="BN693"/>
      <c r="BO693"/>
      <c r="BP693"/>
      <c r="BQ693"/>
      <c r="BR693"/>
      <c r="BS693"/>
      <c r="BT693"/>
      <c r="BU693"/>
      <c r="BV693"/>
      <c r="BW693"/>
      <c r="BX693"/>
    </row>
    <row r="694" spans="1:76">
      <c r="A694" s="72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/>
      <c r="AF694"/>
      <c r="AG694"/>
      <c r="AH694"/>
      <c r="AI694"/>
      <c r="AJ694"/>
      <c r="AK694"/>
      <c r="AL694"/>
      <c r="AM694"/>
      <c r="AN694"/>
      <c r="AO694"/>
      <c r="AP694"/>
      <c r="AQ694"/>
      <c r="AR694"/>
      <c r="AS694"/>
      <c r="AT694"/>
      <c r="AU694"/>
      <c r="AV694"/>
      <c r="AW694"/>
      <c r="AX694"/>
      <c r="AY694"/>
      <c r="AZ694"/>
      <c r="BA694"/>
      <c r="BB694"/>
      <c r="BC694"/>
      <c r="BD694"/>
      <c r="BE694"/>
      <c r="BF694"/>
      <c r="BG694"/>
      <c r="BH694"/>
      <c r="BI694"/>
      <c r="BJ694"/>
      <c r="BK694"/>
      <c r="BL694"/>
      <c r="BM694"/>
      <c r="BN694"/>
      <c r="BO694"/>
      <c r="BP694"/>
      <c r="BQ694"/>
      <c r="BR694"/>
      <c r="BS694"/>
      <c r="BT694"/>
      <c r="BU694"/>
      <c r="BV694"/>
      <c r="BW694"/>
      <c r="BX694"/>
    </row>
    <row r="695" spans="1:76">
      <c r="A695" s="72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/>
      <c r="AG695"/>
      <c r="AH695"/>
      <c r="AI695"/>
      <c r="AJ695"/>
      <c r="AK695"/>
      <c r="AL695"/>
      <c r="AM695"/>
      <c r="AN695"/>
      <c r="AO695"/>
      <c r="AP695"/>
      <c r="AQ695"/>
      <c r="AR695"/>
      <c r="AS695"/>
      <c r="AT695"/>
      <c r="AU695"/>
      <c r="AV695"/>
      <c r="AW695"/>
      <c r="AX695"/>
      <c r="AY695"/>
      <c r="AZ695"/>
      <c r="BA695"/>
      <c r="BB695"/>
      <c r="BC695"/>
      <c r="BD695"/>
      <c r="BE695"/>
      <c r="BF695"/>
      <c r="BG695"/>
      <c r="BH695"/>
      <c r="BI695"/>
      <c r="BJ695"/>
      <c r="BK695"/>
      <c r="BL695"/>
      <c r="BM695"/>
      <c r="BN695"/>
      <c r="BO695"/>
      <c r="BP695"/>
      <c r="BQ695"/>
      <c r="BR695"/>
      <c r="BS695"/>
      <c r="BT695"/>
      <c r="BU695"/>
      <c r="BV695"/>
      <c r="BW695"/>
      <c r="BX695"/>
    </row>
    <row r="696" spans="1:76">
      <c r="A696" s="72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/>
      <c r="AF696"/>
      <c r="AG696"/>
      <c r="AH696"/>
      <c r="AI696"/>
      <c r="AJ696"/>
      <c r="AK696"/>
      <c r="AL696"/>
      <c r="AM696"/>
      <c r="AN696"/>
      <c r="AO696"/>
      <c r="AP696"/>
      <c r="AQ696"/>
      <c r="AR696"/>
      <c r="AS696"/>
      <c r="AT696"/>
      <c r="AU696"/>
      <c r="AV696"/>
      <c r="AW696"/>
      <c r="AX696"/>
      <c r="AY696"/>
      <c r="AZ696"/>
      <c r="BA696"/>
      <c r="BB696"/>
      <c r="BC696"/>
      <c r="BD696"/>
      <c r="BE696"/>
      <c r="BF696"/>
      <c r="BG696"/>
      <c r="BH696"/>
      <c r="BI696"/>
      <c r="BJ696"/>
      <c r="BK696"/>
      <c r="BL696"/>
      <c r="BM696"/>
      <c r="BN696"/>
      <c r="BO696"/>
      <c r="BP696"/>
      <c r="BQ696"/>
      <c r="BR696"/>
      <c r="BS696"/>
      <c r="BT696"/>
      <c r="BU696"/>
      <c r="BV696"/>
      <c r="BW696"/>
      <c r="BX696"/>
    </row>
    <row r="697" spans="1:76">
      <c r="A697" s="72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/>
      <c r="AG697"/>
      <c r="AH697"/>
      <c r="AI697"/>
      <c r="AJ697"/>
      <c r="AK697"/>
      <c r="AL697"/>
      <c r="AM697"/>
      <c r="AN697"/>
      <c r="AO697"/>
      <c r="AP697"/>
      <c r="AQ697"/>
      <c r="AR697"/>
      <c r="AS697"/>
      <c r="AT697"/>
      <c r="AU697"/>
      <c r="AV697"/>
      <c r="AW697"/>
      <c r="AX697"/>
      <c r="AY697"/>
      <c r="AZ697"/>
      <c r="BA697"/>
      <c r="BB697"/>
      <c r="BC697"/>
      <c r="BD697"/>
      <c r="BE697"/>
      <c r="BF697"/>
      <c r="BG697"/>
      <c r="BH697"/>
      <c r="BI697"/>
      <c r="BJ697"/>
      <c r="BK697"/>
      <c r="BL697"/>
      <c r="BM697"/>
      <c r="BN697"/>
      <c r="BO697"/>
      <c r="BP697"/>
      <c r="BQ697"/>
      <c r="BR697"/>
      <c r="BS697"/>
      <c r="BT697"/>
      <c r="BU697"/>
      <c r="BV697"/>
      <c r="BW697"/>
      <c r="BX697"/>
    </row>
    <row r="698" spans="1:76">
      <c r="A698" s="72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/>
      <c r="AG698"/>
      <c r="AH698"/>
      <c r="AI698"/>
      <c r="AJ698"/>
      <c r="AK698"/>
      <c r="AL698"/>
      <c r="AM698"/>
      <c r="AN698"/>
      <c r="AO698"/>
      <c r="AP698"/>
      <c r="AQ698"/>
      <c r="AR698"/>
      <c r="AS698"/>
      <c r="AT698"/>
      <c r="AU698"/>
      <c r="AV698"/>
      <c r="AW698"/>
      <c r="AX698"/>
      <c r="AY698"/>
      <c r="AZ698"/>
      <c r="BA698"/>
      <c r="BB698"/>
      <c r="BC698"/>
      <c r="BD698"/>
      <c r="BE698"/>
      <c r="BF698"/>
      <c r="BG698"/>
      <c r="BH698"/>
      <c r="BI698"/>
      <c r="BJ698"/>
      <c r="BK698"/>
      <c r="BL698"/>
      <c r="BM698"/>
      <c r="BN698"/>
      <c r="BO698"/>
      <c r="BP698"/>
      <c r="BQ698"/>
      <c r="BR698"/>
      <c r="BS698"/>
      <c r="BT698"/>
      <c r="BU698"/>
      <c r="BV698"/>
      <c r="BW698"/>
      <c r="BX698"/>
    </row>
    <row r="699" spans="1:76">
      <c r="A699" s="72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/>
      <c r="AF699"/>
      <c r="AG699"/>
      <c r="AH699"/>
      <c r="AI699"/>
      <c r="AJ699"/>
      <c r="AK699"/>
      <c r="AL699"/>
      <c r="AM699"/>
      <c r="AN699"/>
      <c r="AO699"/>
      <c r="AP699"/>
      <c r="AQ699"/>
      <c r="AR699"/>
      <c r="AS699"/>
      <c r="AT699"/>
      <c r="AU699"/>
      <c r="AV699"/>
      <c r="AW699"/>
      <c r="AX699"/>
      <c r="AY699"/>
      <c r="AZ699"/>
      <c r="BA699"/>
      <c r="BB699"/>
      <c r="BC699"/>
      <c r="BD699"/>
      <c r="BE699"/>
      <c r="BF699"/>
      <c r="BG699"/>
      <c r="BH699"/>
      <c r="BI699"/>
      <c r="BJ699"/>
      <c r="BK699"/>
      <c r="BL699"/>
      <c r="BM699"/>
      <c r="BN699"/>
      <c r="BO699"/>
      <c r="BP699"/>
      <c r="BQ699"/>
      <c r="BR699"/>
      <c r="BS699"/>
      <c r="BT699"/>
      <c r="BU699"/>
      <c r="BV699"/>
      <c r="BW699"/>
      <c r="BX699"/>
    </row>
    <row r="700" spans="1:76">
      <c r="A700" s="72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  <c r="AF700"/>
      <c r="AG700"/>
      <c r="AH700"/>
      <c r="AI700"/>
      <c r="AJ700"/>
      <c r="AK700"/>
      <c r="AL700"/>
      <c r="AM700"/>
      <c r="AN700"/>
      <c r="AO700"/>
      <c r="AP700"/>
      <c r="AQ700"/>
      <c r="AR700"/>
      <c r="AS700"/>
      <c r="AT700"/>
      <c r="AU700"/>
      <c r="AV700"/>
      <c r="AW700"/>
      <c r="AX700"/>
      <c r="AY700"/>
      <c r="AZ700"/>
      <c r="BA700"/>
      <c r="BB700"/>
      <c r="BC700"/>
      <c r="BD700"/>
      <c r="BE700"/>
      <c r="BF700"/>
      <c r="BG700"/>
      <c r="BH700"/>
      <c r="BI700"/>
      <c r="BJ700"/>
      <c r="BK700"/>
      <c r="BL700"/>
      <c r="BM700"/>
      <c r="BN700"/>
      <c r="BO700"/>
      <c r="BP700"/>
      <c r="BQ700"/>
      <c r="BR700"/>
      <c r="BS700"/>
      <c r="BT700"/>
      <c r="BU700"/>
      <c r="BV700"/>
      <c r="BW700"/>
      <c r="BX700"/>
    </row>
    <row r="701" spans="1:76">
      <c r="A701" s="72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/>
      <c r="AG701"/>
      <c r="AH701"/>
      <c r="AI701"/>
      <c r="AJ701"/>
      <c r="AK701"/>
      <c r="AL701"/>
      <c r="AM701"/>
      <c r="AN701"/>
      <c r="AO701"/>
      <c r="AP701"/>
      <c r="AQ701"/>
      <c r="AR701"/>
      <c r="AS701"/>
      <c r="AT701"/>
      <c r="AU701"/>
      <c r="AV701"/>
      <c r="AW701"/>
      <c r="AX701"/>
      <c r="AY701"/>
      <c r="AZ701"/>
      <c r="BA701"/>
      <c r="BB701"/>
      <c r="BC701"/>
      <c r="BD701"/>
      <c r="BE701"/>
      <c r="BF701"/>
      <c r="BG701"/>
      <c r="BH701"/>
      <c r="BI701"/>
      <c r="BJ701"/>
      <c r="BK701"/>
      <c r="BL701"/>
      <c r="BM701"/>
      <c r="BN701"/>
      <c r="BO701"/>
      <c r="BP701"/>
      <c r="BQ701"/>
      <c r="BR701"/>
      <c r="BS701"/>
      <c r="BT701"/>
      <c r="BU701"/>
      <c r="BV701"/>
      <c r="BW701"/>
      <c r="BX701"/>
    </row>
    <row r="702" spans="1:76">
      <c r="A702" s="7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  <c r="AF702"/>
      <c r="AG702"/>
      <c r="AH702"/>
      <c r="AI702"/>
      <c r="AJ702"/>
      <c r="AK702"/>
      <c r="AL702"/>
      <c r="AM702"/>
      <c r="AN702"/>
      <c r="AO702"/>
      <c r="AP702"/>
      <c r="AQ702"/>
      <c r="AR702"/>
      <c r="AS702"/>
      <c r="AT702"/>
      <c r="AU702"/>
      <c r="AV702"/>
      <c r="AW702"/>
      <c r="AX702"/>
      <c r="AY702"/>
      <c r="AZ702"/>
      <c r="BA702"/>
      <c r="BB702"/>
      <c r="BC702"/>
      <c r="BD702"/>
      <c r="BE702"/>
      <c r="BF702"/>
      <c r="BG702"/>
      <c r="BH702"/>
      <c r="BI702"/>
      <c r="BJ702"/>
      <c r="BK702"/>
      <c r="BL702"/>
      <c r="BM702"/>
      <c r="BN702"/>
      <c r="BO702"/>
      <c r="BP702"/>
      <c r="BQ702"/>
      <c r="BR702"/>
      <c r="BS702"/>
      <c r="BT702"/>
      <c r="BU702"/>
      <c r="BV702"/>
      <c r="BW702"/>
      <c r="BX702"/>
    </row>
    <row r="703" spans="1:76">
      <c r="A703" s="72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/>
      <c r="AG703"/>
      <c r="AH703"/>
      <c r="AI703"/>
      <c r="AJ703"/>
      <c r="AK703"/>
      <c r="AL703"/>
      <c r="AM703"/>
      <c r="AN703"/>
      <c r="AO703"/>
      <c r="AP703"/>
      <c r="AQ703"/>
      <c r="AR703"/>
      <c r="AS703"/>
      <c r="AT703"/>
      <c r="AU703"/>
      <c r="AV703"/>
      <c r="AW703"/>
      <c r="AX703"/>
      <c r="AY703"/>
      <c r="AZ703"/>
      <c r="BA703"/>
      <c r="BB703"/>
      <c r="BC703"/>
      <c r="BD703"/>
      <c r="BE703"/>
      <c r="BF703"/>
      <c r="BG703"/>
      <c r="BH703"/>
      <c r="BI703"/>
      <c r="BJ703"/>
      <c r="BK703"/>
      <c r="BL703"/>
      <c r="BM703"/>
      <c r="BN703"/>
      <c r="BO703"/>
      <c r="BP703"/>
      <c r="BQ703"/>
      <c r="BR703"/>
      <c r="BS703"/>
      <c r="BT703"/>
      <c r="BU703"/>
      <c r="BV703"/>
      <c r="BW703"/>
      <c r="BX703"/>
    </row>
    <row r="704" spans="1:76">
      <c r="A704" s="72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/>
      <c r="AG704"/>
      <c r="AH704"/>
      <c r="AI704"/>
      <c r="AJ704"/>
      <c r="AK704"/>
      <c r="AL704"/>
      <c r="AM704"/>
      <c r="AN704"/>
      <c r="AO704"/>
      <c r="AP704"/>
      <c r="AQ704"/>
      <c r="AR704"/>
      <c r="AS704"/>
      <c r="AT704"/>
      <c r="AU704"/>
      <c r="AV704"/>
      <c r="AW704"/>
      <c r="AX704"/>
      <c r="AY704"/>
      <c r="AZ704"/>
      <c r="BA704"/>
      <c r="BB704"/>
      <c r="BC704"/>
      <c r="BD704"/>
      <c r="BE704"/>
      <c r="BF704"/>
      <c r="BG704"/>
      <c r="BH704"/>
      <c r="BI704"/>
      <c r="BJ704"/>
      <c r="BK704"/>
      <c r="BL704"/>
      <c r="BM704"/>
      <c r="BN704"/>
      <c r="BO704"/>
      <c r="BP704"/>
      <c r="BQ704"/>
      <c r="BR704"/>
      <c r="BS704"/>
      <c r="BT704"/>
      <c r="BU704"/>
      <c r="BV704"/>
      <c r="BW704"/>
      <c r="BX704"/>
    </row>
    <row r="705" spans="1:76">
      <c r="A705" s="72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  <c r="AG705"/>
      <c r="AH705"/>
      <c r="AI705"/>
      <c r="AJ705"/>
      <c r="AK705"/>
      <c r="AL705"/>
      <c r="AM705"/>
      <c r="AN705"/>
      <c r="AO705"/>
      <c r="AP705"/>
      <c r="AQ705"/>
      <c r="AR705"/>
      <c r="AS705"/>
      <c r="AT705"/>
      <c r="AU705"/>
      <c r="AV705"/>
      <c r="AW705"/>
      <c r="AX705"/>
      <c r="AY705"/>
      <c r="AZ705"/>
      <c r="BA705"/>
      <c r="BB705"/>
      <c r="BC705"/>
      <c r="BD705"/>
      <c r="BE705"/>
      <c r="BF705"/>
      <c r="BG705"/>
      <c r="BH705"/>
      <c r="BI705"/>
      <c r="BJ705"/>
      <c r="BK705"/>
      <c r="BL705"/>
      <c r="BM705"/>
      <c r="BN705"/>
      <c r="BO705"/>
      <c r="BP705"/>
      <c r="BQ705"/>
      <c r="BR705"/>
      <c r="BS705"/>
      <c r="BT705"/>
      <c r="BU705"/>
      <c r="BV705"/>
      <c r="BW705"/>
      <c r="BX705"/>
    </row>
    <row r="706" spans="1:76">
      <c r="A706" s="72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  <c r="AF706"/>
      <c r="AG706"/>
      <c r="AH706"/>
      <c r="AI706"/>
      <c r="AJ706"/>
      <c r="AK706"/>
      <c r="AL706"/>
      <c r="AM706"/>
      <c r="AN706"/>
      <c r="AO706"/>
      <c r="AP706"/>
      <c r="AQ706"/>
      <c r="AR706"/>
      <c r="AS706"/>
      <c r="AT706"/>
      <c r="AU706"/>
      <c r="AV706"/>
      <c r="AW706"/>
      <c r="AX706"/>
      <c r="AY706"/>
      <c r="AZ706"/>
      <c r="BA706"/>
      <c r="BB706"/>
      <c r="BC706"/>
      <c r="BD706"/>
      <c r="BE706"/>
      <c r="BF706"/>
      <c r="BG706"/>
      <c r="BH706"/>
      <c r="BI706"/>
      <c r="BJ706"/>
      <c r="BK706"/>
      <c r="BL706"/>
      <c r="BM706"/>
      <c r="BN706"/>
      <c r="BO706"/>
      <c r="BP706"/>
      <c r="BQ706"/>
      <c r="BR706"/>
      <c r="BS706"/>
      <c r="BT706"/>
      <c r="BU706"/>
      <c r="BV706"/>
      <c r="BW706"/>
      <c r="BX706"/>
    </row>
    <row r="707" spans="1:76">
      <c r="A707" s="72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  <c r="AG707"/>
      <c r="AH707"/>
      <c r="AI707"/>
      <c r="AJ707"/>
      <c r="AK707"/>
      <c r="AL707"/>
      <c r="AM707"/>
      <c r="AN707"/>
      <c r="AO707"/>
      <c r="AP707"/>
      <c r="AQ707"/>
      <c r="AR707"/>
      <c r="AS707"/>
      <c r="AT707"/>
      <c r="AU707"/>
      <c r="AV707"/>
      <c r="AW707"/>
      <c r="AX707"/>
      <c r="AY707"/>
      <c r="AZ707"/>
      <c r="BA707"/>
      <c r="BB707"/>
      <c r="BC707"/>
      <c r="BD707"/>
      <c r="BE707"/>
      <c r="BF707"/>
      <c r="BG707"/>
      <c r="BH707"/>
      <c r="BI707"/>
      <c r="BJ707"/>
      <c r="BK707"/>
      <c r="BL707"/>
      <c r="BM707"/>
      <c r="BN707"/>
      <c r="BO707"/>
      <c r="BP707"/>
      <c r="BQ707"/>
      <c r="BR707"/>
      <c r="BS707"/>
      <c r="BT707"/>
      <c r="BU707"/>
      <c r="BV707"/>
      <c r="BW707"/>
      <c r="BX707"/>
    </row>
    <row r="708" spans="1:76">
      <c r="A708" s="72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  <c r="AG708"/>
      <c r="AH708"/>
      <c r="AI708"/>
      <c r="AJ708"/>
      <c r="AK708"/>
      <c r="AL708"/>
      <c r="AM708"/>
      <c r="AN708"/>
      <c r="AO708"/>
      <c r="AP708"/>
      <c r="AQ708"/>
      <c r="AR708"/>
      <c r="AS708"/>
      <c r="AT708"/>
      <c r="AU708"/>
      <c r="AV708"/>
      <c r="AW708"/>
      <c r="AX708"/>
      <c r="AY708"/>
      <c r="AZ708"/>
      <c r="BA708"/>
      <c r="BB708"/>
      <c r="BC708"/>
      <c r="BD708"/>
      <c r="BE708"/>
      <c r="BF708"/>
      <c r="BG708"/>
      <c r="BH708"/>
      <c r="BI708"/>
      <c r="BJ708"/>
      <c r="BK708"/>
      <c r="BL708"/>
      <c r="BM708"/>
      <c r="BN708"/>
      <c r="BO708"/>
      <c r="BP708"/>
      <c r="BQ708"/>
      <c r="BR708"/>
      <c r="BS708"/>
      <c r="BT708"/>
      <c r="BU708"/>
      <c r="BV708"/>
      <c r="BW708"/>
      <c r="BX708"/>
    </row>
    <row r="709" spans="1:76">
      <c r="A709" s="72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/>
      <c r="AF709"/>
      <c r="AG709"/>
      <c r="AH709"/>
      <c r="AI709"/>
      <c r="AJ709"/>
      <c r="AK709"/>
      <c r="AL709"/>
      <c r="AM709"/>
      <c r="AN709"/>
      <c r="AO709"/>
      <c r="AP709"/>
      <c r="AQ709"/>
      <c r="AR709"/>
      <c r="AS709"/>
      <c r="AT709"/>
      <c r="AU709"/>
      <c r="AV709"/>
      <c r="AW709"/>
      <c r="AX709"/>
      <c r="AY709"/>
      <c r="AZ709"/>
      <c r="BA709"/>
      <c r="BB709"/>
      <c r="BC709"/>
      <c r="BD709"/>
      <c r="BE709"/>
      <c r="BF709"/>
      <c r="BG709"/>
      <c r="BH709"/>
      <c r="BI709"/>
      <c r="BJ709"/>
      <c r="BK709"/>
      <c r="BL709"/>
      <c r="BM709"/>
      <c r="BN709"/>
      <c r="BO709"/>
      <c r="BP709"/>
      <c r="BQ709"/>
      <c r="BR709"/>
      <c r="BS709"/>
      <c r="BT709"/>
      <c r="BU709"/>
      <c r="BV709"/>
      <c r="BW709"/>
      <c r="BX709"/>
    </row>
    <row r="710" spans="1:76">
      <c r="A710" s="72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  <c r="AG710"/>
      <c r="AH710"/>
      <c r="AI710"/>
      <c r="AJ710"/>
      <c r="AK710"/>
      <c r="AL710"/>
      <c r="AM710"/>
      <c r="AN710"/>
      <c r="AO710"/>
      <c r="AP710"/>
      <c r="AQ710"/>
      <c r="AR710"/>
      <c r="AS710"/>
      <c r="AT710"/>
      <c r="AU710"/>
      <c r="AV710"/>
      <c r="AW710"/>
      <c r="AX710"/>
      <c r="AY710"/>
      <c r="AZ710"/>
      <c r="BA710"/>
      <c r="BB710"/>
      <c r="BC710"/>
      <c r="BD710"/>
      <c r="BE710"/>
      <c r="BF710"/>
      <c r="BG710"/>
      <c r="BH710"/>
      <c r="BI710"/>
      <c r="BJ710"/>
      <c r="BK710"/>
      <c r="BL710"/>
      <c r="BM710"/>
      <c r="BN710"/>
      <c r="BO710"/>
      <c r="BP710"/>
      <c r="BQ710"/>
      <c r="BR710"/>
      <c r="BS710"/>
      <c r="BT710"/>
      <c r="BU710"/>
      <c r="BV710"/>
      <c r="BW710"/>
      <c r="BX710"/>
    </row>
    <row r="711" spans="1:76">
      <c r="A711" s="72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/>
      <c r="AG711"/>
      <c r="AH711"/>
      <c r="AI711"/>
      <c r="AJ711"/>
      <c r="AK711"/>
      <c r="AL711"/>
      <c r="AM711"/>
      <c r="AN711"/>
      <c r="AO711"/>
      <c r="AP711"/>
      <c r="AQ711"/>
      <c r="AR711"/>
      <c r="AS711"/>
      <c r="AT711"/>
      <c r="AU711"/>
      <c r="AV711"/>
      <c r="AW711"/>
      <c r="AX711"/>
      <c r="AY711"/>
      <c r="AZ711"/>
      <c r="BA711"/>
      <c r="BB711"/>
      <c r="BC711"/>
      <c r="BD711"/>
      <c r="BE711"/>
      <c r="BF711"/>
      <c r="BG711"/>
      <c r="BH711"/>
      <c r="BI711"/>
      <c r="BJ711"/>
      <c r="BK711"/>
      <c r="BL711"/>
      <c r="BM711"/>
      <c r="BN711"/>
      <c r="BO711"/>
      <c r="BP711"/>
      <c r="BQ711"/>
      <c r="BR711"/>
      <c r="BS711"/>
      <c r="BT711"/>
      <c r="BU711"/>
      <c r="BV711"/>
      <c r="BW711"/>
      <c r="BX711"/>
    </row>
    <row r="712" spans="1:76">
      <c r="A712" s="7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/>
      <c r="AG712"/>
      <c r="AH712"/>
      <c r="AI712"/>
      <c r="AJ712"/>
      <c r="AK712"/>
      <c r="AL712"/>
      <c r="AM712"/>
      <c r="AN712"/>
      <c r="AO712"/>
      <c r="AP712"/>
      <c r="AQ712"/>
      <c r="AR712"/>
      <c r="AS712"/>
      <c r="AT712"/>
      <c r="AU712"/>
      <c r="AV712"/>
      <c r="AW712"/>
      <c r="AX712"/>
      <c r="AY712"/>
      <c r="AZ712"/>
      <c r="BA712"/>
      <c r="BB712"/>
      <c r="BC712"/>
      <c r="BD712"/>
      <c r="BE712"/>
      <c r="BF712"/>
      <c r="BG712"/>
      <c r="BH712"/>
      <c r="BI712"/>
      <c r="BJ712"/>
      <c r="BK712"/>
      <c r="BL712"/>
      <c r="BM712"/>
      <c r="BN712"/>
      <c r="BO712"/>
      <c r="BP712"/>
      <c r="BQ712"/>
      <c r="BR712"/>
      <c r="BS712"/>
      <c r="BT712"/>
      <c r="BU712"/>
      <c r="BV712"/>
      <c r="BW712"/>
      <c r="BX712"/>
    </row>
    <row r="713" spans="1:76">
      <c r="A713" s="72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/>
      <c r="AF713"/>
      <c r="AG713"/>
      <c r="AH713"/>
      <c r="AI713"/>
      <c r="AJ713"/>
      <c r="AK713"/>
      <c r="AL713"/>
      <c r="AM713"/>
      <c r="AN713"/>
      <c r="AO713"/>
      <c r="AP713"/>
      <c r="AQ713"/>
      <c r="AR713"/>
      <c r="AS713"/>
      <c r="AT713"/>
      <c r="AU713"/>
      <c r="AV713"/>
      <c r="AW713"/>
      <c r="AX713"/>
      <c r="AY713"/>
      <c r="AZ713"/>
      <c r="BA713"/>
      <c r="BB713"/>
      <c r="BC713"/>
      <c r="BD713"/>
      <c r="BE713"/>
      <c r="BF713"/>
      <c r="BG713"/>
      <c r="BH713"/>
      <c r="BI713"/>
      <c r="BJ713"/>
      <c r="BK713"/>
      <c r="BL713"/>
      <c r="BM713"/>
      <c r="BN713"/>
      <c r="BO713"/>
      <c r="BP713"/>
      <c r="BQ713"/>
      <c r="BR713"/>
      <c r="BS713"/>
      <c r="BT713"/>
      <c r="BU713"/>
      <c r="BV713"/>
      <c r="BW713"/>
      <c r="BX713"/>
    </row>
    <row r="714" spans="1:76">
      <c r="A714" s="72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/>
      <c r="AG714"/>
      <c r="AH714"/>
      <c r="AI714"/>
      <c r="AJ714"/>
      <c r="AK714"/>
      <c r="AL714"/>
      <c r="AM714"/>
      <c r="AN714"/>
      <c r="AO714"/>
      <c r="AP714"/>
      <c r="AQ714"/>
      <c r="AR714"/>
      <c r="AS714"/>
      <c r="AT714"/>
      <c r="AU714"/>
      <c r="AV714"/>
      <c r="AW714"/>
      <c r="AX714"/>
      <c r="AY714"/>
      <c r="AZ714"/>
      <c r="BA714"/>
      <c r="BB714"/>
      <c r="BC714"/>
      <c r="BD714"/>
      <c r="BE714"/>
      <c r="BF714"/>
      <c r="BG714"/>
      <c r="BH714"/>
      <c r="BI714"/>
      <c r="BJ714"/>
      <c r="BK714"/>
      <c r="BL714"/>
      <c r="BM714"/>
      <c r="BN714"/>
      <c r="BO714"/>
      <c r="BP714"/>
      <c r="BQ714"/>
      <c r="BR714"/>
      <c r="BS714"/>
      <c r="BT714"/>
      <c r="BU714"/>
      <c r="BV714"/>
      <c r="BW714"/>
      <c r="BX714"/>
    </row>
    <row r="715" spans="1:76">
      <c r="A715" s="72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  <c r="AG715"/>
      <c r="AH715"/>
      <c r="AI715"/>
      <c r="AJ715"/>
      <c r="AK715"/>
      <c r="AL715"/>
      <c r="AM715"/>
      <c r="AN715"/>
      <c r="AO715"/>
      <c r="AP715"/>
      <c r="AQ715"/>
      <c r="AR715"/>
      <c r="AS715"/>
      <c r="AT715"/>
      <c r="AU715"/>
      <c r="AV715"/>
      <c r="AW715"/>
      <c r="AX715"/>
      <c r="AY715"/>
      <c r="AZ715"/>
      <c r="BA715"/>
      <c r="BB715"/>
      <c r="BC715"/>
      <c r="BD715"/>
      <c r="BE715"/>
      <c r="BF715"/>
      <c r="BG715"/>
      <c r="BH715"/>
      <c r="BI715"/>
      <c r="BJ715"/>
      <c r="BK715"/>
      <c r="BL715"/>
      <c r="BM715"/>
      <c r="BN715"/>
      <c r="BO715"/>
      <c r="BP715"/>
      <c r="BQ715"/>
      <c r="BR715"/>
      <c r="BS715"/>
      <c r="BT715"/>
      <c r="BU715"/>
      <c r="BV715"/>
      <c r="BW715"/>
      <c r="BX715"/>
    </row>
    <row r="716" spans="1:76">
      <c r="A716" s="72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/>
      <c r="AF716"/>
      <c r="AG716"/>
      <c r="AH716"/>
      <c r="AI716"/>
      <c r="AJ716"/>
      <c r="AK716"/>
      <c r="AL716"/>
      <c r="AM716"/>
      <c r="AN716"/>
      <c r="AO716"/>
      <c r="AP716"/>
      <c r="AQ716"/>
      <c r="AR716"/>
      <c r="AS716"/>
      <c r="AT716"/>
      <c r="AU716"/>
      <c r="AV716"/>
      <c r="AW716"/>
      <c r="AX716"/>
      <c r="AY716"/>
      <c r="AZ716"/>
      <c r="BA716"/>
      <c r="BB716"/>
      <c r="BC716"/>
      <c r="BD716"/>
      <c r="BE716"/>
      <c r="BF716"/>
      <c r="BG716"/>
      <c r="BH716"/>
      <c r="BI716"/>
      <c r="BJ716"/>
      <c r="BK716"/>
      <c r="BL716"/>
      <c r="BM716"/>
      <c r="BN716"/>
      <c r="BO716"/>
      <c r="BP716"/>
      <c r="BQ716"/>
      <c r="BR716"/>
      <c r="BS716"/>
      <c r="BT716"/>
      <c r="BU716"/>
      <c r="BV716"/>
      <c r="BW716"/>
      <c r="BX716"/>
    </row>
    <row r="717" spans="1:76">
      <c r="A717" s="72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/>
      <c r="AG717"/>
      <c r="AH717"/>
      <c r="AI717"/>
      <c r="AJ717"/>
      <c r="AK717"/>
      <c r="AL717"/>
      <c r="AM717"/>
      <c r="AN717"/>
      <c r="AO717"/>
      <c r="AP717"/>
      <c r="AQ717"/>
      <c r="AR717"/>
      <c r="AS717"/>
      <c r="AT717"/>
      <c r="AU717"/>
      <c r="AV717"/>
      <c r="AW717"/>
      <c r="AX717"/>
      <c r="AY717"/>
      <c r="AZ717"/>
      <c r="BA717"/>
      <c r="BB717"/>
      <c r="BC717"/>
      <c r="BD717"/>
      <c r="BE717"/>
      <c r="BF717"/>
      <c r="BG717"/>
      <c r="BH717"/>
      <c r="BI717"/>
      <c r="BJ717"/>
      <c r="BK717"/>
      <c r="BL717"/>
      <c r="BM717"/>
      <c r="BN717"/>
      <c r="BO717"/>
      <c r="BP717"/>
      <c r="BQ717"/>
      <c r="BR717"/>
      <c r="BS717"/>
      <c r="BT717"/>
      <c r="BU717"/>
      <c r="BV717"/>
      <c r="BW717"/>
      <c r="BX717"/>
    </row>
    <row r="718" spans="1:76">
      <c r="A718" s="72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/>
      <c r="AF718"/>
      <c r="AG718"/>
      <c r="AH718"/>
      <c r="AI718"/>
      <c r="AJ718"/>
      <c r="AK718"/>
      <c r="AL718"/>
      <c r="AM718"/>
      <c r="AN718"/>
      <c r="AO718"/>
      <c r="AP718"/>
      <c r="AQ718"/>
      <c r="AR718"/>
      <c r="AS718"/>
      <c r="AT718"/>
      <c r="AU718"/>
      <c r="AV718"/>
      <c r="AW718"/>
      <c r="AX718"/>
      <c r="AY718"/>
      <c r="AZ718"/>
      <c r="BA718"/>
      <c r="BB718"/>
      <c r="BC718"/>
      <c r="BD718"/>
      <c r="BE718"/>
      <c r="BF718"/>
      <c r="BG718"/>
      <c r="BH718"/>
      <c r="BI718"/>
      <c r="BJ718"/>
      <c r="BK718"/>
      <c r="BL718"/>
      <c r="BM718"/>
      <c r="BN718"/>
      <c r="BO718"/>
      <c r="BP718"/>
      <c r="BQ718"/>
      <c r="BR718"/>
      <c r="BS718"/>
      <c r="BT718"/>
      <c r="BU718"/>
      <c r="BV718"/>
      <c r="BW718"/>
      <c r="BX718"/>
    </row>
    <row r="719" spans="1:76">
      <c r="A719" s="72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/>
      <c r="AF719"/>
      <c r="AG719"/>
      <c r="AH719"/>
      <c r="AI719"/>
      <c r="AJ719"/>
      <c r="AK719"/>
      <c r="AL719"/>
      <c r="AM719"/>
      <c r="AN719"/>
      <c r="AO719"/>
      <c r="AP719"/>
      <c r="AQ719"/>
      <c r="AR719"/>
      <c r="AS719"/>
      <c r="AT719"/>
      <c r="AU719"/>
      <c r="AV719"/>
      <c r="AW719"/>
      <c r="AX719"/>
      <c r="AY719"/>
      <c r="AZ719"/>
      <c r="BA719"/>
      <c r="BB719"/>
      <c r="BC719"/>
      <c r="BD719"/>
      <c r="BE719"/>
      <c r="BF719"/>
      <c r="BG719"/>
      <c r="BH719"/>
      <c r="BI719"/>
      <c r="BJ719"/>
      <c r="BK719"/>
      <c r="BL719"/>
      <c r="BM719"/>
      <c r="BN719"/>
      <c r="BO719"/>
      <c r="BP719"/>
      <c r="BQ719"/>
      <c r="BR719"/>
      <c r="BS719"/>
      <c r="BT719"/>
      <c r="BU719"/>
      <c r="BV719"/>
      <c r="BW719"/>
      <c r="BX719"/>
    </row>
    <row r="720" spans="1:76">
      <c r="A720" s="72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/>
      <c r="AG720"/>
      <c r="AH720"/>
      <c r="AI720"/>
      <c r="AJ720"/>
      <c r="AK720"/>
      <c r="AL720"/>
      <c r="AM720"/>
      <c r="AN720"/>
      <c r="AO720"/>
      <c r="AP720"/>
      <c r="AQ720"/>
      <c r="AR720"/>
      <c r="AS720"/>
      <c r="AT720"/>
      <c r="AU720"/>
      <c r="AV720"/>
      <c r="AW720"/>
      <c r="AX720"/>
      <c r="AY720"/>
      <c r="AZ720"/>
      <c r="BA720"/>
      <c r="BB720"/>
      <c r="BC720"/>
      <c r="BD720"/>
      <c r="BE720"/>
      <c r="BF720"/>
      <c r="BG720"/>
      <c r="BH720"/>
      <c r="BI720"/>
      <c r="BJ720"/>
      <c r="BK720"/>
      <c r="BL720"/>
      <c r="BM720"/>
      <c r="BN720"/>
      <c r="BO720"/>
      <c r="BP720"/>
      <c r="BQ720"/>
      <c r="BR720"/>
      <c r="BS720"/>
      <c r="BT720"/>
      <c r="BU720"/>
      <c r="BV720"/>
      <c r="BW720"/>
      <c r="BX720"/>
    </row>
    <row r="721" spans="1:76">
      <c r="A721" s="72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/>
      <c r="AG721"/>
      <c r="AH721"/>
      <c r="AI721"/>
      <c r="AJ721"/>
      <c r="AK721"/>
      <c r="AL721"/>
      <c r="AM721"/>
      <c r="AN721"/>
      <c r="AO721"/>
      <c r="AP721"/>
      <c r="AQ721"/>
      <c r="AR721"/>
      <c r="AS721"/>
      <c r="AT721"/>
      <c r="AU721"/>
      <c r="AV721"/>
      <c r="AW721"/>
      <c r="AX721"/>
      <c r="AY721"/>
      <c r="AZ721"/>
      <c r="BA721"/>
      <c r="BB721"/>
      <c r="BC721"/>
      <c r="BD721"/>
      <c r="BE721"/>
      <c r="BF721"/>
      <c r="BG721"/>
      <c r="BH721"/>
      <c r="BI721"/>
      <c r="BJ721"/>
      <c r="BK721"/>
      <c r="BL721"/>
      <c r="BM721"/>
      <c r="BN721"/>
      <c r="BO721"/>
      <c r="BP721"/>
      <c r="BQ721"/>
      <c r="BR721"/>
      <c r="BS721"/>
      <c r="BT721"/>
      <c r="BU721"/>
      <c r="BV721"/>
      <c r="BW721"/>
      <c r="BX721"/>
    </row>
    <row r="722" spans="1:76">
      <c r="A722" s="7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/>
      <c r="AG722"/>
      <c r="AH722"/>
      <c r="AI722"/>
      <c r="AJ722"/>
      <c r="AK722"/>
      <c r="AL722"/>
      <c r="AM722"/>
      <c r="AN722"/>
      <c r="AO722"/>
      <c r="AP722"/>
      <c r="AQ722"/>
      <c r="AR722"/>
      <c r="AS722"/>
      <c r="AT722"/>
      <c r="AU722"/>
      <c r="AV722"/>
      <c r="AW722"/>
      <c r="AX722"/>
      <c r="AY722"/>
      <c r="AZ722"/>
      <c r="BA722"/>
      <c r="BB722"/>
      <c r="BC722"/>
      <c r="BD722"/>
      <c r="BE722"/>
      <c r="BF722"/>
      <c r="BG722"/>
      <c r="BH722"/>
      <c r="BI722"/>
      <c r="BJ722"/>
      <c r="BK722"/>
      <c r="BL722"/>
      <c r="BM722"/>
      <c r="BN722"/>
      <c r="BO722"/>
      <c r="BP722"/>
      <c r="BQ722"/>
      <c r="BR722"/>
      <c r="BS722"/>
      <c r="BT722"/>
      <c r="BU722"/>
      <c r="BV722"/>
      <c r="BW722"/>
      <c r="BX722"/>
    </row>
    <row r="723" spans="1:76">
      <c r="A723" s="72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/>
      <c r="AK723"/>
      <c r="AL723"/>
      <c r="AM723"/>
      <c r="AN723"/>
      <c r="AO723"/>
      <c r="AP723"/>
      <c r="AQ723"/>
      <c r="AR723"/>
      <c r="AS723"/>
      <c r="AT723"/>
      <c r="AU723"/>
      <c r="AV723"/>
      <c r="AW723"/>
      <c r="AX723"/>
      <c r="AY723"/>
      <c r="AZ723"/>
      <c r="BA723"/>
      <c r="BB723"/>
      <c r="BC723"/>
      <c r="BD723"/>
      <c r="BE723"/>
      <c r="BF723"/>
      <c r="BG723"/>
      <c r="BH723"/>
      <c r="BI723"/>
      <c r="BJ723"/>
      <c r="BK723"/>
      <c r="BL723"/>
      <c r="BM723"/>
      <c r="BN723"/>
      <c r="BO723"/>
      <c r="BP723"/>
      <c r="BQ723"/>
      <c r="BR723"/>
      <c r="BS723"/>
      <c r="BT723"/>
      <c r="BU723"/>
      <c r="BV723"/>
      <c r="BW723"/>
      <c r="BX723"/>
    </row>
    <row r="724" spans="1:76">
      <c r="A724" s="72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/>
      <c r="AF724"/>
      <c r="AG724"/>
      <c r="AH724"/>
      <c r="AI724"/>
      <c r="AJ724"/>
      <c r="AK724"/>
      <c r="AL724"/>
      <c r="AM724"/>
      <c r="AN724"/>
      <c r="AO724"/>
      <c r="AP724"/>
      <c r="AQ724"/>
      <c r="AR724"/>
      <c r="AS724"/>
      <c r="AT724"/>
      <c r="AU724"/>
      <c r="AV724"/>
      <c r="AW724"/>
      <c r="AX724"/>
      <c r="AY724"/>
      <c r="AZ724"/>
      <c r="BA724"/>
      <c r="BB724"/>
      <c r="BC724"/>
      <c r="BD724"/>
      <c r="BE724"/>
      <c r="BF724"/>
      <c r="BG724"/>
      <c r="BH724"/>
      <c r="BI724"/>
      <c r="BJ724"/>
      <c r="BK724"/>
      <c r="BL724"/>
      <c r="BM724"/>
      <c r="BN724"/>
      <c r="BO724"/>
      <c r="BP724"/>
      <c r="BQ724"/>
      <c r="BR724"/>
      <c r="BS724"/>
      <c r="BT724"/>
      <c r="BU724"/>
      <c r="BV724"/>
      <c r="BW724"/>
      <c r="BX724"/>
    </row>
    <row r="725" spans="1:76">
      <c r="A725" s="72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  <c r="AF725"/>
      <c r="AG725"/>
      <c r="AH725"/>
      <c r="AI725"/>
      <c r="AJ725"/>
      <c r="AK725"/>
      <c r="AL725"/>
      <c r="AM725"/>
      <c r="AN725"/>
      <c r="AO725"/>
      <c r="AP725"/>
      <c r="AQ725"/>
      <c r="AR725"/>
      <c r="AS725"/>
      <c r="AT725"/>
      <c r="AU725"/>
      <c r="AV725"/>
      <c r="AW725"/>
      <c r="AX725"/>
      <c r="AY725"/>
      <c r="AZ725"/>
      <c r="BA725"/>
      <c r="BB725"/>
      <c r="BC725"/>
      <c r="BD725"/>
      <c r="BE725"/>
      <c r="BF725"/>
      <c r="BG725"/>
      <c r="BH725"/>
      <c r="BI725"/>
      <c r="BJ725"/>
      <c r="BK725"/>
      <c r="BL725"/>
      <c r="BM725"/>
      <c r="BN725"/>
      <c r="BO725"/>
      <c r="BP725"/>
      <c r="BQ725"/>
      <c r="BR725"/>
      <c r="BS725"/>
      <c r="BT725"/>
      <c r="BU725"/>
      <c r="BV725"/>
      <c r="BW725"/>
      <c r="BX725"/>
    </row>
    <row r="726" spans="1:76">
      <c r="A726" s="72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/>
      <c r="AG726"/>
      <c r="AH726"/>
      <c r="AI726"/>
      <c r="AJ726"/>
      <c r="AK726"/>
      <c r="AL726"/>
      <c r="AM726"/>
      <c r="AN726"/>
      <c r="AO726"/>
      <c r="AP726"/>
      <c r="AQ726"/>
      <c r="AR726"/>
      <c r="AS726"/>
      <c r="AT726"/>
      <c r="AU726"/>
      <c r="AV726"/>
      <c r="AW726"/>
      <c r="AX726"/>
      <c r="AY726"/>
      <c r="AZ726"/>
      <c r="BA726"/>
      <c r="BB726"/>
      <c r="BC726"/>
      <c r="BD726"/>
      <c r="BE726"/>
      <c r="BF726"/>
      <c r="BG726"/>
      <c r="BH726"/>
      <c r="BI726"/>
      <c r="BJ726"/>
      <c r="BK726"/>
      <c r="BL726"/>
      <c r="BM726"/>
      <c r="BN726"/>
      <c r="BO726"/>
      <c r="BP726"/>
      <c r="BQ726"/>
      <c r="BR726"/>
      <c r="BS726"/>
      <c r="BT726"/>
      <c r="BU726"/>
      <c r="BV726"/>
      <c r="BW726"/>
      <c r="BX726"/>
    </row>
    <row r="727" spans="1:76">
      <c r="A727" s="72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/>
      <c r="AG727"/>
      <c r="AH727"/>
      <c r="AI727"/>
      <c r="AJ727"/>
      <c r="AK727"/>
      <c r="AL727"/>
      <c r="AM727"/>
      <c r="AN727"/>
      <c r="AO727"/>
      <c r="AP727"/>
      <c r="AQ727"/>
      <c r="AR727"/>
      <c r="AS727"/>
      <c r="AT727"/>
      <c r="AU727"/>
      <c r="AV727"/>
      <c r="AW727"/>
      <c r="AX727"/>
      <c r="AY727"/>
      <c r="AZ727"/>
      <c r="BA727"/>
      <c r="BB727"/>
      <c r="BC727"/>
      <c r="BD727"/>
      <c r="BE727"/>
      <c r="BF727"/>
      <c r="BG727"/>
      <c r="BH727"/>
      <c r="BI727"/>
      <c r="BJ727"/>
      <c r="BK727"/>
      <c r="BL727"/>
      <c r="BM727"/>
      <c r="BN727"/>
      <c r="BO727"/>
      <c r="BP727"/>
      <c r="BQ727"/>
      <c r="BR727"/>
      <c r="BS727"/>
      <c r="BT727"/>
      <c r="BU727"/>
      <c r="BV727"/>
      <c r="BW727"/>
      <c r="BX727"/>
    </row>
    <row r="728" spans="1:76">
      <c r="A728" s="72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/>
      <c r="AF728"/>
      <c r="AG728"/>
      <c r="AH728"/>
      <c r="AI728"/>
      <c r="AJ728"/>
      <c r="AK728"/>
      <c r="AL728"/>
      <c r="AM728"/>
      <c r="AN728"/>
      <c r="AO728"/>
      <c r="AP728"/>
      <c r="AQ728"/>
      <c r="AR728"/>
      <c r="AS728"/>
      <c r="AT728"/>
      <c r="AU728"/>
      <c r="AV728"/>
      <c r="AW728"/>
      <c r="AX728"/>
      <c r="AY728"/>
      <c r="AZ728"/>
      <c r="BA728"/>
      <c r="BB728"/>
      <c r="BC728"/>
      <c r="BD728"/>
      <c r="BE728"/>
      <c r="BF728"/>
      <c r="BG728"/>
      <c r="BH728"/>
      <c r="BI728"/>
      <c r="BJ728"/>
      <c r="BK728"/>
      <c r="BL728"/>
      <c r="BM728"/>
      <c r="BN728"/>
      <c r="BO728"/>
      <c r="BP728"/>
      <c r="BQ728"/>
      <c r="BR728"/>
      <c r="BS728"/>
      <c r="BT728"/>
      <c r="BU728"/>
      <c r="BV728"/>
      <c r="BW728"/>
      <c r="BX728"/>
    </row>
    <row r="729" spans="1:76">
      <c r="A729" s="72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/>
      <c r="AF729"/>
      <c r="AG729"/>
      <c r="AH729"/>
      <c r="AI729"/>
      <c r="AJ729"/>
      <c r="AK729"/>
      <c r="AL729"/>
      <c r="AM729"/>
      <c r="AN729"/>
      <c r="AO729"/>
      <c r="AP729"/>
      <c r="AQ729"/>
      <c r="AR729"/>
      <c r="AS729"/>
      <c r="AT729"/>
      <c r="AU729"/>
      <c r="AV729"/>
      <c r="AW729"/>
      <c r="AX729"/>
      <c r="AY729"/>
      <c r="AZ729"/>
      <c r="BA729"/>
      <c r="BB729"/>
      <c r="BC729"/>
      <c r="BD729"/>
      <c r="BE729"/>
      <c r="BF729"/>
      <c r="BG729"/>
      <c r="BH729"/>
      <c r="BI729"/>
      <c r="BJ729"/>
      <c r="BK729"/>
      <c r="BL729"/>
      <c r="BM729"/>
      <c r="BN729"/>
      <c r="BO729"/>
      <c r="BP729"/>
      <c r="BQ729"/>
      <c r="BR729"/>
      <c r="BS729"/>
      <c r="BT729"/>
      <c r="BU729"/>
      <c r="BV729"/>
      <c r="BW729"/>
      <c r="BX729"/>
    </row>
    <row r="730" spans="1:76">
      <c r="A730" s="72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/>
      <c r="AG730"/>
      <c r="AH730"/>
      <c r="AI730"/>
      <c r="AJ730"/>
      <c r="AK730"/>
      <c r="AL730"/>
      <c r="AM730"/>
      <c r="AN730"/>
      <c r="AO730"/>
      <c r="AP730"/>
      <c r="AQ730"/>
      <c r="AR730"/>
      <c r="AS730"/>
      <c r="AT730"/>
      <c r="AU730"/>
      <c r="AV730"/>
      <c r="AW730"/>
      <c r="AX730"/>
      <c r="AY730"/>
      <c r="AZ730"/>
      <c r="BA730"/>
      <c r="BB730"/>
      <c r="BC730"/>
      <c r="BD730"/>
      <c r="BE730"/>
      <c r="BF730"/>
      <c r="BG730"/>
      <c r="BH730"/>
      <c r="BI730"/>
      <c r="BJ730"/>
      <c r="BK730"/>
      <c r="BL730"/>
      <c r="BM730"/>
      <c r="BN730"/>
      <c r="BO730"/>
      <c r="BP730"/>
      <c r="BQ730"/>
      <c r="BR730"/>
      <c r="BS730"/>
      <c r="BT730"/>
      <c r="BU730"/>
      <c r="BV730"/>
      <c r="BW730"/>
      <c r="BX730"/>
    </row>
    <row r="731" spans="1:76">
      <c r="A731" s="72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/>
      <c r="AG731"/>
      <c r="AH731"/>
      <c r="AI731"/>
      <c r="AJ731"/>
      <c r="AK731"/>
      <c r="AL731"/>
      <c r="AM731"/>
      <c r="AN731"/>
      <c r="AO731"/>
      <c r="AP731"/>
      <c r="AQ731"/>
      <c r="AR731"/>
      <c r="AS731"/>
      <c r="AT731"/>
      <c r="AU731"/>
      <c r="AV731"/>
      <c r="AW731"/>
      <c r="AX731"/>
      <c r="AY731"/>
      <c r="AZ731"/>
      <c r="BA731"/>
      <c r="BB731"/>
      <c r="BC731"/>
      <c r="BD731"/>
      <c r="BE731"/>
      <c r="BF731"/>
      <c r="BG731"/>
      <c r="BH731"/>
      <c r="BI731"/>
      <c r="BJ731"/>
      <c r="BK731"/>
      <c r="BL731"/>
      <c r="BM731"/>
      <c r="BN731"/>
      <c r="BO731"/>
      <c r="BP731"/>
      <c r="BQ731"/>
      <c r="BR731"/>
      <c r="BS731"/>
      <c r="BT731"/>
      <c r="BU731"/>
      <c r="BV731"/>
      <c r="BW731"/>
      <c r="BX731"/>
    </row>
    <row r="732" spans="1:76">
      <c r="A732" s="7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/>
      <c r="AF732"/>
      <c r="AG732"/>
      <c r="AH732"/>
      <c r="AI732"/>
      <c r="AJ732"/>
      <c r="AK732"/>
      <c r="AL732"/>
      <c r="AM732"/>
      <c r="AN732"/>
      <c r="AO732"/>
      <c r="AP732"/>
      <c r="AQ732"/>
      <c r="AR732"/>
      <c r="AS732"/>
      <c r="AT732"/>
      <c r="AU732"/>
      <c r="AV732"/>
      <c r="AW732"/>
      <c r="AX732"/>
      <c r="AY732"/>
      <c r="AZ732"/>
      <c r="BA732"/>
      <c r="BB732"/>
      <c r="BC732"/>
      <c r="BD732"/>
      <c r="BE732"/>
      <c r="BF732"/>
      <c r="BG732"/>
      <c r="BH732"/>
      <c r="BI732"/>
      <c r="BJ732"/>
      <c r="BK732"/>
      <c r="BL732"/>
      <c r="BM732"/>
      <c r="BN732"/>
      <c r="BO732"/>
      <c r="BP732"/>
      <c r="BQ732"/>
      <c r="BR732"/>
      <c r="BS732"/>
      <c r="BT732"/>
      <c r="BU732"/>
      <c r="BV732"/>
      <c r="BW732"/>
      <c r="BX732"/>
    </row>
    <row r="733" spans="1:76">
      <c r="A733" s="72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  <c r="AG733"/>
      <c r="AH733"/>
      <c r="AI733"/>
      <c r="AJ733"/>
      <c r="AK733"/>
      <c r="AL733"/>
      <c r="AM733"/>
      <c r="AN733"/>
      <c r="AO733"/>
      <c r="AP733"/>
      <c r="AQ733"/>
      <c r="AR733"/>
      <c r="AS733"/>
      <c r="AT733"/>
      <c r="AU733"/>
      <c r="AV733"/>
      <c r="AW733"/>
      <c r="AX733"/>
      <c r="AY733"/>
      <c r="AZ733"/>
      <c r="BA733"/>
      <c r="BB733"/>
      <c r="BC733"/>
      <c r="BD733"/>
      <c r="BE733"/>
      <c r="BF733"/>
      <c r="BG733"/>
      <c r="BH733"/>
      <c r="BI733"/>
      <c r="BJ733"/>
      <c r="BK733"/>
      <c r="BL733"/>
      <c r="BM733"/>
      <c r="BN733"/>
      <c r="BO733"/>
      <c r="BP733"/>
      <c r="BQ733"/>
      <c r="BR733"/>
      <c r="BS733"/>
      <c r="BT733"/>
      <c r="BU733"/>
      <c r="BV733"/>
      <c r="BW733"/>
      <c r="BX733"/>
    </row>
    <row r="734" spans="1:76">
      <c r="A734" s="72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/>
      <c r="AG734"/>
      <c r="AH734"/>
      <c r="AI734"/>
      <c r="AJ734"/>
      <c r="AK734"/>
      <c r="AL734"/>
      <c r="AM734"/>
      <c r="AN734"/>
      <c r="AO734"/>
      <c r="AP734"/>
      <c r="AQ734"/>
      <c r="AR734"/>
      <c r="AS734"/>
      <c r="AT734"/>
      <c r="AU734"/>
      <c r="AV734"/>
      <c r="AW734"/>
      <c r="AX734"/>
      <c r="AY734"/>
      <c r="AZ734"/>
      <c r="BA734"/>
      <c r="BB734"/>
      <c r="BC734"/>
      <c r="BD734"/>
      <c r="BE734"/>
      <c r="BF734"/>
      <c r="BG734"/>
      <c r="BH734"/>
      <c r="BI734"/>
      <c r="BJ734"/>
      <c r="BK734"/>
      <c r="BL734"/>
      <c r="BM734"/>
      <c r="BN734"/>
      <c r="BO734"/>
      <c r="BP734"/>
      <c r="BQ734"/>
      <c r="BR734"/>
      <c r="BS734"/>
      <c r="BT734"/>
      <c r="BU734"/>
      <c r="BV734"/>
      <c r="BW734"/>
      <c r="BX734"/>
    </row>
    <row r="735" spans="1:76">
      <c r="A735" s="72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/>
      <c r="AG735"/>
      <c r="AH735"/>
      <c r="AI735"/>
      <c r="AJ735"/>
      <c r="AK735"/>
      <c r="AL735"/>
      <c r="AM735"/>
      <c r="AN735"/>
      <c r="AO735"/>
      <c r="AP735"/>
      <c r="AQ735"/>
      <c r="AR735"/>
      <c r="AS735"/>
      <c r="AT735"/>
      <c r="AU735"/>
      <c r="AV735"/>
      <c r="AW735"/>
      <c r="AX735"/>
      <c r="AY735"/>
      <c r="AZ735"/>
      <c r="BA735"/>
      <c r="BB735"/>
      <c r="BC735"/>
      <c r="BD735"/>
      <c r="BE735"/>
      <c r="BF735"/>
      <c r="BG735"/>
      <c r="BH735"/>
      <c r="BI735"/>
      <c r="BJ735"/>
      <c r="BK735"/>
      <c r="BL735"/>
      <c r="BM735"/>
      <c r="BN735"/>
      <c r="BO735"/>
      <c r="BP735"/>
      <c r="BQ735"/>
      <c r="BR735"/>
      <c r="BS735"/>
      <c r="BT735"/>
      <c r="BU735"/>
      <c r="BV735"/>
      <c r="BW735"/>
      <c r="BX735"/>
    </row>
    <row r="736" spans="1:76">
      <c r="A736" s="72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/>
      <c r="AF736"/>
      <c r="AG736"/>
      <c r="AH736"/>
      <c r="AI736"/>
      <c r="AJ736"/>
      <c r="AK736"/>
      <c r="AL736"/>
      <c r="AM736"/>
      <c r="AN736"/>
      <c r="AO736"/>
      <c r="AP736"/>
      <c r="AQ736"/>
      <c r="AR736"/>
      <c r="AS736"/>
      <c r="AT736"/>
      <c r="AU736"/>
      <c r="AV736"/>
      <c r="AW736"/>
      <c r="AX736"/>
      <c r="AY736"/>
      <c r="AZ736"/>
      <c r="BA736"/>
      <c r="BB736"/>
      <c r="BC736"/>
      <c r="BD736"/>
      <c r="BE736"/>
      <c r="BF736"/>
      <c r="BG736"/>
      <c r="BH736"/>
      <c r="BI736"/>
      <c r="BJ736"/>
      <c r="BK736"/>
      <c r="BL736"/>
      <c r="BM736"/>
      <c r="BN736"/>
      <c r="BO736"/>
      <c r="BP736"/>
      <c r="BQ736"/>
      <c r="BR736"/>
      <c r="BS736"/>
      <c r="BT736"/>
      <c r="BU736"/>
      <c r="BV736"/>
      <c r="BW736"/>
      <c r="BX736"/>
    </row>
    <row r="737" spans="1:76">
      <c r="A737" s="72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/>
      <c r="AF737"/>
      <c r="AG737"/>
      <c r="AH737"/>
      <c r="AI737"/>
      <c r="AJ737"/>
      <c r="AK737"/>
      <c r="AL737"/>
      <c r="AM737"/>
      <c r="AN737"/>
      <c r="AO737"/>
      <c r="AP737"/>
      <c r="AQ737"/>
      <c r="AR737"/>
      <c r="AS737"/>
      <c r="AT737"/>
      <c r="AU737"/>
      <c r="AV737"/>
      <c r="AW737"/>
      <c r="AX737"/>
      <c r="AY737"/>
      <c r="AZ737"/>
      <c r="BA737"/>
      <c r="BB737"/>
      <c r="BC737"/>
      <c r="BD737"/>
      <c r="BE737"/>
      <c r="BF737"/>
      <c r="BG737"/>
      <c r="BH737"/>
      <c r="BI737"/>
      <c r="BJ737"/>
      <c r="BK737"/>
      <c r="BL737"/>
      <c r="BM737"/>
      <c r="BN737"/>
      <c r="BO737"/>
      <c r="BP737"/>
      <c r="BQ737"/>
      <c r="BR737"/>
      <c r="BS737"/>
      <c r="BT737"/>
      <c r="BU737"/>
      <c r="BV737"/>
      <c r="BW737"/>
      <c r="BX737"/>
    </row>
    <row r="738" spans="1:76">
      <c r="A738" s="72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  <c r="AD738"/>
      <c r="AE738"/>
      <c r="AF738"/>
      <c r="AG738"/>
      <c r="AH738"/>
      <c r="AI738"/>
      <c r="AJ738"/>
      <c r="AK738"/>
      <c r="AL738"/>
      <c r="AM738"/>
      <c r="AN738"/>
      <c r="AO738"/>
      <c r="AP738"/>
      <c r="AQ738"/>
      <c r="AR738"/>
      <c r="AS738"/>
      <c r="AT738"/>
      <c r="AU738"/>
      <c r="AV738"/>
      <c r="AW738"/>
      <c r="AX738"/>
      <c r="AY738"/>
      <c r="AZ738"/>
      <c r="BA738"/>
      <c r="BB738"/>
      <c r="BC738"/>
      <c r="BD738"/>
      <c r="BE738"/>
      <c r="BF738"/>
      <c r="BG738"/>
      <c r="BH738"/>
      <c r="BI738"/>
      <c r="BJ738"/>
      <c r="BK738"/>
      <c r="BL738"/>
      <c r="BM738"/>
      <c r="BN738"/>
      <c r="BO738"/>
      <c r="BP738"/>
      <c r="BQ738"/>
      <c r="BR738"/>
      <c r="BS738"/>
      <c r="BT738"/>
      <c r="BU738"/>
      <c r="BV738"/>
      <c r="BW738"/>
      <c r="BX738"/>
    </row>
    <row r="739" spans="1:76">
      <c r="A739" s="72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/>
      <c r="AF739"/>
      <c r="AG739"/>
      <c r="AH739"/>
      <c r="AI739"/>
      <c r="AJ739"/>
      <c r="AK739"/>
      <c r="AL739"/>
      <c r="AM739"/>
      <c r="AN739"/>
      <c r="AO739"/>
      <c r="AP739"/>
      <c r="AQ739"/>
      <c r="AR739"/>
      <c r="AS739"/>
      <c r="AT739"/>
      <c r="AU739"/>
      <c r="AV739"/>
      <c r="AW739"/>
      <c r="AX739"/>
      <c r="AY739"/>
      <c r="AZ739"/>
      <c r="BA739"/>
      <c r="BB739"/>
      <c r="BC739"/>
      <c r="BD739"/>
      <c r="BE739"/>
      <c r="BF739"/>
      <c r="BG739"/>
      <c r="BH739"/>
      <c r="BI739"/>
      <c r="BJ739"/>
      <c r="BK739"/>
      <c r="BL739"/>
      <c r="BM739"/>
      <c r="BN739"/>
      <c r="BO739"/>
      <c r="BP739"/>
      <c r="BQ739"/>
      <c r="BR739"/>
      <c r="BS739"/>
      <c r="BT739"/>
      <c r="BU739"/>
      <c r="BV739"/>
      <c r="BW739"/>
      <c r="BX739"/>
    </row>
    <row r="740" spans="1:76">
      <c r="A740" s="72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  <c r="AD740"/>
      <c r="AE740"/>
      <c r="AF740"/>
      <c r="AG740"/>
      <c r="AH740"/>
      <c r="AI740"/>
      <c r="AJ740"/>
      <c r="AK740"/>
      <c r="AL740"/>
      <c r="AM740"/>
      <c r="AN740"/>
      <c r="AO740"/>
      <c r="AP740"/>
      <c r="AQ740"/>
      <c r="AR740"/>
      <c r="AS740"/>
      <c r="AT740"/>
      <c r="AU740"/>
      <c r="AV740"/>
      <c r="AW740"/>
      <c r="AX740"/>
      <c r="AY740"/>
      <c r="AZ740"/>
      <c r="BA740"/>
      <c r="BB740"/>
      <c r="BC740"/>
      <c r="BD740"/>
      <c r="BE740"/>
      <c r="BF740"/>
      <c r="BG740"/>
      <c r="BH740"/>
      <c r="BI740"/>
      <c r="BJ740"/>
      <c r="BK740"/>
      <c r="BL740"/>
      <c r="BM740"/>
      <c r="BN740"/>
      <c r="BO740"/>
      <c r="BP740"/>
      <c r="BQ740"/>
      <c r="BR740"/>
      <c r="BS740"/>
      <c r="BT740"/>
      <c r="BU740"/>
      <c r="BV740"/>
      <c r="BW740"/>
      <c r="BX740"/>
    </row>
    <row r="741" spans="1:76">
      <c r="A741" s="72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/>
      <c r="AG741"/>
      <c r="AH741"/>
      <c r="AI741"/>
      <c r="AJ741"/>
      <c r="AK741"/>
      <c r="AL741"/>
      <c r="AM741"/>
      <c r="AN741"/>
      <c r="AO741"/>
      <c r="AP741"/>
      <c r="AQ741"/>
      <c r="AR741"/>
      <c r="AS741"/>
      <c r="AT741"/>
      <c r="AU741"/>
      <c r="AV741"/>
      <c r="AW741"/>
      <c r="AX741"/>
      <c r="AY741"/>
      <c r="AZ741"/>
      <c r="BA741"/>
      <c r="BB741"/>
      <c r="BC741"/>
      <c r="BD741"/>
      <c r="BE741"/>
      <c r="BF741"/>
      <c r="BG741"/>
      <c r="BH741"/>
      <c r="BI741"/>
      <c r="BJ741"/>
      <c r="BK741"/>
      <c r="BL741"/>
      <c r="BM741"/>
      <c r="BN741"/>
      <c r="BO741"/>
      <c r="BP741"/>
      <c r="BQ741"/>
      <c r="BR741"/>
      <c r="BS741"/>
      <c r="BT741"/>
      <c r="BU741"/>
      <c r="BV741"/>
      <c r="BW741"/>
      <c r="BX741"/>
    </row>
    <row r="742" spans="1:76">
      <c r="A742" s="7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/>
      <c r="AF742"/>
      <c r="AG742"/>
      <c r="AH742"/>
      <c r="AI742"/>
      <c r="AJ742"/>
      <c r="AK742"/>
      <c r="AL742"/>
      <c r="AM742"/>
      <c r="AN742"/>
      <c r="AO742"/>
      <c r="AP742"/>
      <c r="AQ742"/>
      <c r="AR742"/>
      <c r="AS742"/>
      <c r="AT742"/>
      <c r="AU742"/>
      <c r="AV742"/>
      <c r="AW742"/>
      <c r="AX742"/>
      <c r="AY742"/>
      <c r="AZ742"/>
      <c r="BA742"/>
      <c r="BB742"/>
      <c r="BC742"/>
      <c r="BD742"/>
      <c r="BE742"/>
      <c r="BF742"/>
      <c r="BG742"/>
      <c r="BH742"/>
      <c r="BI742"/>
      <c r="BJ742"/>
      <c r="BK742"/>
      <c r="BL742"/>
      <c r="BM742"/>
      <c r="BN742"/>
      <c r="BO742"/>
      <c r="BP742"/>
      <c r="BQ742"/>
      <c r="BR742"/>
      <c r="BS742"/>
      <c r="BT742"/>
      <c r="BU742"/>
      <c r="BV742"/>
      <c r="BW742"/>
      <c r="BX742"/>
    </row>
    <row r="743" spans="1:76">
      <c r="A743" s="72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/>
      <c r="AG743"/>
      <c r="AH743"/>
      <c r="AI743"/>
      <c r="AJ743"/>
      <c r="AK743"/>
      <c r="AL743"/>
      <c r="AM743"/>
      <c r="AN743"/>
      <c r="AO743"/>
      <c r="AP743"/>
      <c r="AQ743"/>
      <c r="AR743"/>
      <c r="AS743"/>
      <c r="AT743"/>
      <c r="AU743"/>
      <c r="AV743"/>
      <c r="AW743"/>
      <c r="AX743"/>
      <c r="AY743"/>
      <c r="AZ743"/>
      <c r="BA743"/>
      <c r="BB743"/>
      <c r="BC743"/>
      <c r="BD743"/>
      <c r="BE743"/>
      <c r="BF743"/>
      <c r="BG743"/>
      <c r="BH743"/>
      <c r="BI743"/>
      <c r="BJ743"/>
      <c r="BK743"/>
      <c r="BL743"/>
      <c r="BM743"/>
      <c r="BN743"/>
      <c r="BO743"/>
      <c r="BP743"/>
      <c r="BQ743"/>
      <c r="BR743"/>
      <c r="BS743"/>
      <c r="BT743"/>
      <c r="BU743"/>
      <c r="BV743"/>
      <c r="BW743"/>
      <c r="BX743"/>
    </row>
    <row r="744" spans="1:76">
      <c r="A744" s="72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/>
      <c r="AF744"/>
      <c r="AG744"/>
      <c r="AH744"/>
      <c r="AI744"/>
      <c r="AJ744"/>
      <c r="AK744"/>
      <c r="AL744"/>
      <c r="AM744"/>
      <c r="AN744"/>
      <c r="AO744"/>
      <c r="AP744"/>
      <c r="AQ744"/>
      <c r="AR744"/>
      <c r="AS744"/>
      <c r="AT744"/>
      <c r="AU744"/>
      <c r="AV744"/>
      <c r="AW744"/>
      <c r="AX744"/>
      <c r="AY744"/>
      <c r="AZ744"/>
      <c r="BA744"/>
      <c r="BB744"/>
      <c r="BC744"/>
      <c r="BD744"/>
      <c r="BE744"/>
      <c r="BF744"/>
      <c r="BG744"/>
      <c r="BH744"/>
      <c r="BI744"/>
      <c r="BJ744"/>
      <c r="BK744"/>
      <c r="BL744"/>
      <c r="BM744"/>
      <c r="BN744"/>
      <c r="BO744"/>
      <c r="BP744"/>
      <c r="BQ744"/>
      <c r="BR744"/>
      <c r="BS744"/>
      <c r="BT744"/>
      <c r="BU744"/>
      <c r="BV744"/>
      <c r="BW744"/>
      <c r="BX744"/>
    </row>
    <row r="745" spans="1:76">
      <c r="A745" s="72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/>
      <c r="AF745"/>
      <c r="AG745"/>
      <c r="AH745"/>
      <c r="AI745"/>
      <c r="AJ745"/>
      <c r="AK745"/>
      <c r="AL745"/>
      <c r="AM745"/>
      <c r="AN745"/>
      <c r="AO745"/>
      <c r="AP745"/>
      <c r="AQ745"/>
      <c r="AR745"/>
      <c r="AS745"/>
      <c r="AT745"/>
      <c r="AU745"/>
      <c r="AV745"/>
      <c r="AW745"/>
      <c r="AX745"/>
      <c r="AY745"/>
      <c r="AZ745"/>
      <c r="BA745"/>
      <c r="BB745"/>
      <c r="BC745"/>
      <c r="BD745"/>
      <c r="BE745"/>
      <c r="BF745"/>
      <c r="BG745"/>
      <c r="BH745"/>
      <c r="BI745"/>
      <c r="BJ745"/>
      <c r="BK745"/>
      <c r="BL745"/>
      <c r="BM745"/>
      <c r="BN745"/>
      <c r="BO745"/>
      <c r="BP745"/>
      <c r="BQ745"/>
      <c r="BR745"/>
      <c r="BS745"/>
      <c r="BT745"/>
      <c r="BU745"/>
      <c r="BV745"/>
      <c r="BW745"/>
      <c r="BX745"/>
    </row>
    <row r="746" spans="1:76">
      <c r="A746" s="72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/>
      <c r="AF746"/>
      <c r="AG746"/>
      <c r="AH746"/>
      <c r="AI746"/>
      <c r="AJ746"/>
      <c r="AK746"/>
      <c r="AL746"/>
      <c r="AM746"/>
      <c r="AN746"/>
      <c r="AO746"/>
      <c r="AP746"/>
      <c r="AQ746"/>
      <c r="AR746"/>
      <c r="AS746"/>
      <c r="AT746"/>
      <c r="AU746"/>
      <c r="AV746"/>
      <c r="AW746"/>
      <c r="AX746"/>
      <c r="AY746"/>
      <c r="AZ746"/>
      <c r="BA746"/>
      <c r="BB746"/>
      <c r="BC746"/>
      <c r="BD746"/>
      <c r="BE746"/>
      <c r="BF746"/>
      <c r="BG746"/>
      <c r="BH746"/>
      <c r="BI746"/>
      <c r="BJ746"/>
      <c r="BK746"/>
      <c r="BL746"/>
      <c r="BM746"/>
      <c r="BN746"/>
      <c r="BO746"/>
      <c r="BP746"/>
      <c r="BQ746"/>
      <c r="BR746"/>
      <c r="BS746"/>
      <c r="BT746"/>
      <c r="BU746"/>
      <c r="BV746"/>
      <c r="BW746"/>
      <c r="BX746"/>
    </row>
    <row r="747" spans="1:76">
      <c r="A747" s="72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/>
      <c r="AF747"/>
      <c r="AG747"/>
      <c r="AH747"/>
      <c r="AI747"/>
      <c r="AJ747"/>
      <c r="AK747"/>
      <c r="AL747"/>
      <c r="AM747"/>
      <c r="AN747"/>
      <c r="AO747"/>
      <c r="AP747"/>
      <c r="AQ747"/>
      <c r="AR747"/>
      <c r="AS747"/>
      <c r="AT747"/>
      <c r="AU747"/>
      <c r="AV747"/>
      <c r="AW747"/>
      <c r="AX747"/>
      <c r="AY747"/>
      <c r="AZ747"/>
      <c r="BA747"/>
      <c r="BB747"/>
      <c r="BC747"/>
      <c r="BD747"/>
      <c r="BE747"/>
      <c r="BF747"/>
      <c r="BG747"/>
      <c r="BH747"/>
      <c r="BI747"/>
      <c r="BJ747"/>
      <c r="BK747"/>
      <c r="BL747"/>
      <c r="BM747"/>
      <c r="BN747"/>
      <c r="BO747"/>
      <c r="BP747"/>
      <c r="BQ747"/>
      <c r="BR747"/>
      <c r="BS747"/>
      <c r="BT747"/>
      <c r="BU747"/>
      <c r="BV747"/>
      <c r="BW747"/>
      <c r="BX747"/>
    </row>
    <row r="748" spans="1:76">
      <c r="A748" s="72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  <c r="AG748"/>
      <c r="AH748"/>
      <c r="AI748"/>
      <c r="AJ748"/>
      <c r="AK748"/>
      <c r="AL748"/>
      <c r="AM748"/>
      <c r="AN748"/>
      <c r="AO748"/>
      <c r="AP748"/>
      <c r="AQ748"/>
      <c r="AR748"/>
      <c r="AS748"/>
      <c r="AT748"/>
      <c r="AU748"/>
      <c r="AV748"/>
      <c r="AW748"/>
      <c r="AX748"/>
      <c r="AY748"/>
      <c r="AZ748"/>
      <c r="BA748"/>
      <c r="BB748"/>
      <c r="BC748"/>
      <c r="BD748"/>
      <c r="BE748"/>
      <c r="BF748"/>
      <c r="BG748"/>
      <c r="BH748"/>
      <c r="BI748"/>
      <c r="BJ748"/>
      <c r="BK748"/>
      <c r="BL748"/>
      <c r="BM748"/>
      <c r="BN748"/>
      <c r="BO748"/>
      <c r="BP748"/>
      <c r="BQ748"/>
      <c r="BR748"/>
      <c r="BS748"/>
      <c r="BT748"/>
      <c r="BU748"/>
      <c r="BV748"/>
      <c r="BW748"/>
      <c r="BX748"/>
    </row>
    <row r="749" spans="1:76">
      <c r="A749" s="72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/>
      <c r="AF749"/>
      <c r="AG749"/>
      <c r="AH749"/>
      <c r="AI749"/>
      <c r="AJ749"/>
      <c r="AK749"/>
      <c r="AL749"/>
      <c r="AM749"/>
      <c r="AN749"/>
      <c r="AO749"/>
      <c r="AP749"/>
      <c r="AQ749"/>
      <c r="AR749"/>
      <c r="AS749"/>
      <c r="AT749"/>
      <c r="AU749"/>
      <c r="AV749"/>
      <c r="AW749"/>
      <c r="AX749"/>
      <c r="AY749"/>
      <c r="AZ749"/>
      <c r="BA749"/>
      <c r="BB749"/>
      <c r="BC749"/>
      <c r="BD749"/>
      <c r="BE749"/>
      <c r="BF749"/>
      <c r="BG749"/>
      <c r="BH749"/>
      <c r="BI749"/>
      <c r="BJ749"/>
      <c r="BK749"/>
      <c r="BL749"/>
      <c r="BM749"/>
      <c r="BN749"/>
      <c r="BO749"/>
      <c r="BP749"/>
      <c r="BQ749"/>
      <c r="BR749"/>
      <c r="BS749"/>
      <c r="BT749"/>
      <c r="BU749"/>
      <c r="BV749"/>
      <c r="BW749"/>
      <c r="BX749"/>
    </row>
    <row r="750" spans="1:76">
      <c r="A750" s="72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/>
      <c r="AG750"/>
      <c r="AH750"/>
      <c r="AI750"/>
      <c r="AJ750"/>
      <c r="AK750"/>
      <c r="AL750"/>
      <c r="AM750"/>
      <c r="AN750"/>
      <c r="AO750"/>
      <c r="AP750"/>
      <c r="AQ750"/>
      <c r="AR750"/>
      <c r="AS750"/>
      <c r="AT750"/>
      <c r="AU750"/>
      <c r="AV750"/>
      <c r="AW750"/>
      <c r="AX750"/>
      <c r="AY750"/>
      <c r="AZ750"/>
      <c r="BA750"/>
      <c r="BB750"/>
      <c r="BC750"/>
      <c r="BD750"/>
      <c r="BE750"/>
      <c r="BF750"/>
      <c r="BG750"/>
      <c r="BH750"/>
      <c r="BI750"/>
      <c r="BJ750"/>
      <c r="BK750"/>
      <c r="BL750"/>
      <c r="BM750"/>
      <c r="BN750"/>
      <c r="BO750"/>
      <c r="BP750"/>
      <c r="BQ750"/>
      <c r="BR750"/>
      <c r="BS750"/>
      <c r="BT750"/>
      <c r="BU750"/>
      <c r="BV750"/>
      <c r="BW750"/>
      <c r="BX750"/>
    </row>
    <row r="751" spans="1:76">
      <c r="A751" s="72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/>
      <c r="AF751"/>
      <c r="AG751"/>
      <c r="AH751"/>
      <c r="AI751"/>
      <c r="AJ751"/>
      <c r="AK751"/>
      <c r="AL751"/>
      <c r="AM751"/>
      <c r="AN751"/>
      <c r="AO751"/>
      <c r="AP751"/>
      <c r="AQ751"/>
      <c r="AR751"/>
      <c r="AS751"/>
      <c r="AT751"/>
      <c r="AU751"/>
      <c r="AV751"/>
      <c r="AW751"/>
      <c r="AX751"/>
      <c r="AY751"/>
      <c r="AZ751"/>
      <c r="BA751"/>
      <c r="BB751"/>
      <c r="BC751"/>
      <c r="BD751"/>
      <c r="BE751"/>
      <c r="BF751"/>
      <c r="BG751"/>
      <c r="BH751"/>
      <c r="BI751"/>
      <c r="BJ751"/>
      <c r="BK751"/>
      <c r="BL751"/>
      <c r="BM751"/>
      <c r="BN751"/>
      <c r="BO751"/>
      <c r="BP751"/>
      <c r="BQ751"/>
      <c r="BR751"/>
      <c r="BS751"/>
      <c r="BT751"/>
      <c r="BU751"/>
      <c r="BV751"/>
      <c r="BW751"/>
      <c r="BX751"/>
    </row>
    <row r="752" spans="1:76">
      <c r="A752" s="7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/>
      <c r="AF752"/>
      <c r="AG752"/>
      <c r="AH752"/>
      <c r="AI752"/>
      <c r="AJ752"/>
      <c r="AK752"/>
      <c r="AL752"/>
      <c r="AM752"/>
      <c r="AN752"/>
      <c r="AO752"/>
      <c r="AP752"/>
      <c r="AQ752"/>
      <c r="AR752"/>
      <c r="AS752"/>
      <c r="AT752"/>
      <c r="AU752"/>
      <c r="AV752"/>
      <c r="AW752"/>
      <c r="AX752"/>
      <c r="AY752"/>
      <c r="AZ752"/>
      <c r="BA752"/>
      <c r="BB752"/>
      <c r="BC752"/>
      <c r="BD752"/>
      <c r="BE752"/>
      <c r="BF752"/>
      <c r="BG752"/>
      <c r="BH752"/>
      <c r="BI752"/>
      <c r="BJ752"/>
      <c r="BK752"/>
      <c r="BL752"/>
      <c r="BM752"/>
      <c r="BN752"/>
      <c r="BO752"/>
      <c r="BP752"/>
      <c r="BQ752"/>
      <c r="BR752"/>
      <c r="BS752"/>
      <c r="BT752"/>
      <c r="BU752"/>
      <c r="BV752"/>
      <c r="BW752"/>
      <c r="BX752"/>
    </row>
    <row r="753" spans="1:76">
      <c r="A753" s="72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/>
      <c r="AG753"/>
      <c r="AH753"/>
      <c r="AI753"/>
      <c r="AJ753"/>
      <c r="AK753"/>
      <c r="AL753"/>
      <c r="AM753"/>
      <c r="AN753"/>
      <c r="AO753"/>
      <c r="AP753"/>
      <c r="AQ753"/>
      <c r="AR753"/>
      <c r="AS753"/>
      <c r="AT753"/>
      <c r="AU753"/>
      <c r="AV753"/>
      <c r="AW753"/>
      <c r="AX753"/>
      <c r="AY753"/>
      <c r="AZ753"/>
      <c r="BA753"/>
      <c r="BB753"/>
      <c r="BC753"/>
      <c r="BD753"/>
      <c r="BE753"/>
      <c r="BF753"/>
      <c r="BG753"/>
      <c r="BH753"/>
      <c r="BI753"/>
      <c r="BJ753"/>
      <c r="BK753"/>
      <c r="BL753"/>
      <c r="BM753"/>
      <c r="BN753"/>
      <c r="BO753"/>
      <c r="BP753"/>
      <c r="BQ753"/>
      <c r="BR753"/>
      <c r="BS753"/>
      <c r="BT753"/>
      <c r="BU753"/>
      <c r="BV753"/>
      <c r="BW753"/>
      <c r="BX753"/>
    </row>
    <row r="754" spans="1:76">
      <c r="A754" s="72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/>
      <c r="AF754"/>
      <c r="AG754"/>
      <c r="AH754"/>
      <c r="AI754"/>
      <c r="AJ754"/>
      <c r="AK754"/>
      <c r="AL754"/>
      <c r="AM754"/>
      <c r="AN754"/>
      <c r="AO754"/>
      <c r="AP754"/>
      <c r="AQ754"/>
      <c r="AR754"/>
      <c r="AS754"/>
      <c r="AT754"/>
      <c r="AU754"/>
      <c r="AV754"/>
      <c r="AW754"/>
      <c r="AX754"/>
      <c r="AY754"/>
      <c r="AZ754"/>
      <c r="BA754"/>
      <c r="BB754"/>
      <c r="BC754"/>
      <c r="BD754"/>
      <c r="BE754"/>
      <c r="BF754"/>
      <c r="BG754"/>
      <c r="BH754"/>
      <c r="BI754"/>
      <c r="BJ754"/>
      <c r="BK754"/>
      <c r="BL754"/>
      <c r="BM754"/>
      <c r="BN754"/>
      <c r="BO754"/>
      <c r="BP754"/>
      <c r="BQ754"/>
      <c r="BR754"/>
      <c r="BS754"/>
      <c r="BT754"/>
      <c r="BU754"/>
      <c r="BV754"/>
      <c r="BW754"/>
      <c r="BX754"/>
    </row>
    <row r="755" spans="1:76">
      <c r="A755" s="72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  <c r="AD755"/>
      <c r="AE755"/>
      <c r="AF755"/>
      <c r="AG755"/>
      <c r="AH755"/>
      <c r="AI755"/>
      <c r="AJ755"/>
      <c r="AK755"/>
      <c r="AL755"/>
      <c r="AM755"/>
      <c r="AN755"/>
      <c r="AO755"/>
      <c r="AP755"/>
      <c r="AQ755"/>
      <c r="AR755"/>
      <c r="AS755"/>
      <c r="AT755"/>
      <c r="AU755"/>
      <c r="AV755"/>
      <c r="AW755"/>
      <c r="AX755"/>
      <c r="AY755"/>
      <c r="AZ755"/>
      <c r="BA755"/>
      <c r="BB755"/>
      <c r="BC755"/>
      <c r="BD755"/>
      <c r="BE755"/>
      <c r="BF755"/>
      <c r="BG755"/>
      <c r="BH755"/>
      <c r="BI755"/>
      <c r="BJ755"/>
      <c r="BK755"/>
      <c r="BL755"/>
      <c r="BM755"/>
      <c r="BN755"/>
      <c r="BO755"/>
      <c r="BP755"/>
      <c r="BQ755"/>
      <c r="BR755"/>
      <c r="BS755"/>
      <c r="BT755"/>
      <c r="BU755"/>
      <c r="BV755"/>
      <c r="BW755"/>
      <c r="BX755"/>
    </row>
    <row r="756" spans="1:76">
      <c r="A756" s="72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  <c r="AD756"/>
      <c r="AE756"/>
      <c r="AF756"/>
      <c r="AG756"/>
      <c r="AH756"/>
      <c r="AI756"/>
      <c r="AJ756"/>
      <c r="AK756"/>
      <c r="AL756"/>
      <c r="AM756"/>
      <c r="AN756"/>
      <c r="AO756"/>
      <c r="AP756"/>
      <c r="AQ756"/>
      <c r="AR756"/>
      <c r="AS756"/>
      <c r="AT756"/>
      <c r="AU756"/>
      <c r="AV756"/>
      <c r="AW756"/>
      <c r="AX756"/>
      <c r="AY756"/>
      <c r="AZ756"/>
      <c r="BA756"/>
      <c r="BB756"/>
      <c r="BC756"/>
      <c r="BD756"/>
      <c r="BE756"/>
      <c r="BF756"/>
      <c r="BG756"/>
      <c r="BH756"/>
      <c r="BI756"/>
      <c r="BJ756"/>
      <c r="BK756"/>
      <c r="BL756"/>
      <c r="BM756"/>
      <c r="BN756"/>
      <c r="BO756"/>
      <c r="BP756"/>
      <c r="BQ756"/>
      <c r="BR756"/>
      <c r="BS756"/>
      <c r="BT756"/>
      <c r="BU756"/>
      <c r="BV756"/>
      <c r="BW756"/>
      <c r="BX756"/>
    </row>
    <row r="757" spans="1:76">
      <c r="A757" s="72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/>
      <c r="AF757"/>
      <c r="AG757"/>
      <c r="AH757"/>
      <c r="AI757"/>
      <c r="AJ757"/>
      <c r="AK757"/>
      <c r="AL757"/>
      <c r="AM757"/>
      <c r="AN757"/>
      <c r="AO757"/>
      <c r="AP757"/>
      <c r="AQ757"/>
      <c r="AR757"/>
      <c r="AS757"/>
      <c r="AT757"/>
      <c r="AU757"/>
      <c r="AV757"/>
      <c r="AW757"/>
      <c r="AX757"/>
      <c r="AY757"/>
      <c r="AZ757"/>
      <c r="BA757"/>
      <c r="BB757"/>
      <c r="BC757"/>
      <c r="BD757"/>
      <c r="BE757"/>
      <c r="BF757"/>
      <c r="BG757"/>
      <c r="BH757"/>
      <c r="BI757"/>
      <c r="BJ757"/>
      <c r="BK757"/>
      <c r="BL757"/>
      <c r="BM757"/>
      <c r="BN757"/>
      <c r="BO757"/>
      <c r="BP757"/>
      <c r="BQ757"/>
      <c r="BR757"/>
      <c r="BS757"/>
      <c r="BT757"/>
      <c r="BU757"/>
      <c r="BV757"/>
      <c r="BW757"/>
      <c r="BX757"/>
    </row>
    <row r="758" spans="1:76">
      <c r="A758" s="72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/>
      <c r="AF758"/>
      <c r="AG758"/>
      <c r="AH758"/>
      <c r="AI758"/>
      <c r="AJ758"/>
      <c r="AK758"/>
      <c r="AL758"/>
      <c r="AM758"/>
      <c r="AN758"/>
      <c r="AO758"/>
      <c r="AP758"/>
      <c r="AQ758"/>
      <c r="AR758"/>
      <c r="AS758"/>
      <c r="AT758"/>
      <c r="AU758"/>
      <c r="AV758"/>
      <c r="AW758"/>
      <c r="AX758"/>
      <c r="AY758"/>
      <c r="AZ758"/>
      <c r="BA758"/>
      <c r="BB758"/>
      <c r="BC758"/>
      <c r="BD758"/>
      <c r="BE758"/>
      <c r="BF758"/>
      <c r="BG758"/>
      <c r="BH758"/>
      <c r="BI758"/>
      <c r="BJ758"/>
      <c r="BK758"/>
      <c r="BL758"/>
      <c r="BM758"/>
      <c r="BN758"/>
      <c r="BO758"/>
      <c r="BP758"/>
      <c r="BQ758"/>
      <c r="BR758"/>
      <c r="BS758"/>
      <c r="BT758"/>
      <c r="BU758"/>
      <c r="BV758"/>
      <c r="BW758"/>
      <c r="BX758"/>
    </row>
    <row r="759" spans="1:76">
      <c r="A759" s="72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  <c r="AD759"/>
      <c r="AE759"/>
      <c r="AF759"/>
      <c r="AG759"/>
      <c r="AH759"/>
      <c r="AI759"/>
      <c r="AJ759"/>
      <c r="AK759"/>
      <c r="AL759"/>
      <c r="AM759"/>
      <c r="AN759"/>
      <c r="AO759"/>
      <c r="AP759"/>
      <c r="AQ759"/>
      <c r="AR759"/>
      <c r="AS759"/>
      <c r="AT759"/>
      <c r="AU759"/>
      <c r="AV759"/>
      <c r="AW759"/>
      <c r="AX759"/>
      <c r="AY759"/>
      <c r="AZ759"/>
      <c r="BA759"/>
      <c r="BB759"/>
      <c r="BC759"/>
      <c r="BD759"/>
      <c r="BE759"/>
      <c r="BF759"/>
      <c r="BG759"/>
      <c r="BH759"/>
      <c r="BI759"/>
      <c r="BJ759"/>
      <c r="BK759"/>
      <c r="BL759"/>
      <c r="BM759"/>
      <c r="BN759"/>
      <c r="BO759"/>
      <c r="BP759"/>
      <c r="BQ759"/>
      <c r="BR759"/>
      <c r="BS759"/>
      <c r="BT759"/>
      <c r="BU759"/>
      <c r="BV759"/>
      <c r="BW759"/>
      <c r="BX759"/>
    </row>
    <row r="760" spans="1:76">
      <c r="A760" s="72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/>
      <c r="AF760"/>
      <c r="AG760"/>
      <c r="AH760"/>
      <c r="AI760"/>
      <c r="AJ760"/>
      <c r="AK760"/>
      <c r="AL760"/>
      <c r="AM760"/>
      <c r="AN760"/>
      <c r="AO760"/>
      <c r="AP760"/>
      <c r="AQ760"/>
      <c r="AR760"/>
      <c r="AS760"/>
      <c r="AT760"/>
      <c r="AU760"/>
      <c r="AV760"/>
      <c r="AW760"/>
      <c r="AX760"/>
      <c r="AY760"/>
      <c r="AZ760"/>
      <c r="BA760"/>
      <c r="BB760"/>
      <c r="BC760"/>
      <c r="BD760"/>
      <c r="BE760"/>
      <c r="BF760"/>
      <c r="BG760"/>
      <c r="BH760"/>
      <c r="BI760"/>
      <c r="BJ760"/>
      <c r="BK760"/>
      <c r="BL760"/>
      <c r="BM760"/>
      <c r="BN760"/>
      <c r="BO760"/>
      <c r="BP760"/>
      <c r="BQ760"/>
      <c r="BR760"/>
      <c r="BS760"/>
      <c r="BT760"/>
      <c r="BU760"/>
      <c r="BV760"/>
      <c r="BW760"/>
      <c r="BX760"/>
    </row>
    <row r="761" spans="1:76">
      <c r="A761" s="72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/>
      <c r="AF761"/>
      <c r="AG761"/>
      <c r="AH761"/>
      <c r="AI761"/>
      <c r="AJ761"/>
      <c r="AK761"/>
      <c r="AL761"/>
      <c r="AM761"/>
      <c r="AN761"/>
      <c r="AO761"/>
      <c r="AP761"/>
      <c r="AQ761"/>
      <c r="AR761"/>
      <c r="AS761"/>
      <c r="AT761"/>
      <c r="AU761"/>
      <c r="AV761"/>
      <c r="AW761"/>
      <c r="AX761"/>
      <c r="AY761"/>
      <c r="AZ761"/>
      <c r="BA761"/>
      <c r="BB761"/>
      <c r="BC761"/>
      <c r="BD761"/>
      <c r="BE761"/>
      <c r="BF761"/>
      <c r="BG761"/>
      <c r="BH761"/>
      <c r="BI761"/>
      <c r="BJ761"/>
      <c r="BK761"/>
      <c r="BL761"/>
      <c r="BM761"/>
      <c r="BN761"/>
      <c r="BO761"/>
      <c r="BP761"/>
      <c r="BQ761"/>
      <c r="BR761"/>
      <c r="BS761"/>
      <c r="BT761"/>
      <c r="BU761"/>
      <c r="BV761"/>
      <c r="BW761"/>
      <c r="BX761"/>
    </row>
    <row r="762" spans="1:76">
      <c r="A762" s="7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/>
      <c r="AF762"/>
      <c r="AG762"/>
      <c r="AH762"/>
      <c r="AI762"/>
      <c r="AJ762"/>
      <c r="AK762"/>
      <c r="AL762"/>
      <c r="AM762"/>
      <c r="AN762"/>
      <c r="AO762"/>
      <c r="AP762"/>
      <c r="AQ762"/>
      <c r="AR762"/>
      <c r="AS762"/>
      <c r="AT762"/>
      <c r="AU762"/>
      <c r="AV762"/>
      <c r="AW762"/>
      <c r="AX762"/>
      <c r="AY762"/>
      <c r="AZ762"/>
      <c r="BA762"/>
      <c r="BB762"/>
      <c r="BC762"/>
      <c r="BD762"/>
      <c r="BE762"/>
      <c r="BF762"/>
      <c r="BG762"/>
      <c r="BH762"/>
      <c r="BI762"/>
      <c r="BJ762"/>
      <c r="BK762"/>
      <c r="BL762"/>
      <c r="BM762"/>
      <c r="BN762"/>
      <c r="BO762"/>
      <c r="BP762"/>
      <c r="BQ762"/>
      <c r="BR762"/>
      <c r="BS762"/>
      <c r="BT762"/>
      <c r="BU762"/>
      <c r="BV762"/>
      <c r="BW762"/>
      <c r="BX762"/>
    </row>
    <row r="763" spans="1:76">
      <c r="A763" s="72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/>
      <c r="AF763"/>
      <c r="AG763"/>
      <c r="AH763"/>
      <c r="AI763"/>
      <c r="AJ763"/>
      <c r="AK763"/>
      <c r="AL763"/>
      <c r="AM763"/>
      <c r="AN763"/>
      <c r="AO763"/>
      <c r="AP763"/>
      <c r="AQ763"/>
      <c r="AR763"/>
      <c r="AS763"/>
      <c r="AT763"/>
      <c r="AU763"/>
      <c r="AV763"/>
      <c r="AW763"/>
      <c r="AX763"/>
      <c r="AY763"/>
      <c r="AZ763"/>
      <c r="BA763"/>
      <c r="BB763"/>
      <c r="BC763"/>
      <c r="BD763"/>
      <c r="BE763"/>
      <c r="BF763"/>
      <c r="BG763"/>
      <c r="BH763"/>
      <c r="BI763"/>
      <c r="BJ763"/>
      <c r="BK763"/>
      <c r="BL763"/>
      <c r="BM763"/>
      <c r="BN763"/>
      <c r="BO763"/>
      <c r="BP763"/>
      <c r="BQ763"/>
      <c r="BR763"/>
      <c r="BS763"/>
      <c r="BT763"/>
      <c r="BU763"/>
      <c r="BV763"/>
      <c r="BW763"/>
      <c r="BX763"/>
    </row>
    <row r="764" spans="1:76">
      <c r="A764" s="72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/>
      <c r="AF764"/>
      <c r="AG764"/>
      <c r="AH764"/>
      <c r="AI764"/>
      <c r="AJ764"/>
      <c r="AK764"/>
      <c r="AL764"/>
      <c r="AM764"/>
      <c r="AN764"/>
      <c r="AO764"/>
      <c r="AP764"/>
      <c r="AQ764"/>
      <c r="AR764"/>
      <c r="AS764"/>
      <c r="AT764"/>
      <c r="AU764"/>
      <c r="AV764"/>
      <c r="AW764"/>
      <c r="AX764"/>
      <c r="AY764"/>
      <c r="AZ764"/>
      <c r="BA764"/>
      <c r="BB764"/>
      <c r="BC764"/>
      <c r="BD764"/>
      <c r="BE764"/>
      <c r="BF764"/>
      <c r="BG764"/>
      <c r="BH764"/>
      <c r="BI764"/>
      <c r="BJ764"/>
      <c r="BK764"/>
      <c r="BL764"/>
      <c r="BM764"/>
      <c r="BN764"/>
      <c r="BO764"/>
      <c r="BP764"/>
      <c r="BQ764"/>
      <c r="BR764"/>
      <c r="BS764"/>
      <c r="BT764"/>
      <c r="BU764"/>
      <c r="BV764"/>
      <c r="BW764"/>
      <c r="BX764"/>
    </row>
    <row r="765" spans="1:76">
      <c r="A765" s="72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/>
      <c r="AF765"/>
      <c r="AG765"/>
      <c r="AH765"/>
      <c r="AI765"/>
      <c r="AJ765"/>
      <c r="AK765"/>
      <c r="AL765"/>
      <c r="AM765"/>
      <c r="AN765"/>
      <c r="AO765"/>
      <c r="AP765"/>
      <c r="AQ765"/>
      <c r="AR765"/>
      <c r="AS765"/>
      <c r="AT765"/>
      <c r="AU765"/>
      <c r="AV765"/>
      <c r="AW765"/>
      <c r="AX765"/>
      <c r="AY765"/>
      <c r="AZ765"/>
      <c r="BA765"/>
      <c r="BB765"/>
      <c r="BC765"/>
      <c r="BD765"/>
      <c r="BE765"/>
      <c r="BF765"/>
      <c r="BG765"/>
      <c r="BH765"/>
      <c r="BI765"/>
      <c r="BJ765"/>
      <c r="BK765"/>
      <c r="BL765"/>
      <c r="BM765"/>
      <c r="BN765"/>
      <c r="BO765"/>
      <c r="BP765"/>
      <c r="BQ765"/>
      <c r="BR765"/>
      <c r="BS765"/>
      <c r="BT765"/>
      <c r="BU765"/>
      <c r="BV765"/>
      <c r="BW765"/>
      <c r="BX765"/>
    </row>
    <row r="766" spans="1:76">
      <c r="A766" s="72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/>
      <c r="AF766"/>
      <c r="AG766"/>
      <c r="AH766"/>
      <c r="AI766"/>
      <c r="AJ766"/>
      <c r="AK766"/>
      <c r="AL766"/>
      <c r="AM766"/>
      <c r="AN766"/>
      <c r="AO766"/>
      <c r="AP766"/>
      <c r="AQ766"/>
      <c r="AR766"/>
      <c r="AS766"/>
      <c r="AT766"/>
      <c r="AU766"/>
      <c r="AV766"/>
      <c r="AW766"/>
      <c r="AX766"/>
      <c r="AY766"/>
      <c r="AZ766"/>
      <c r="BA766"/>
      <c r="BB766"/>
      <c r="BC766"/>
      <c r="BD766"/>
      <c r="BE766"/>
      <c r="BF766"/>
      <c r="BG766"/>
      <c r="BH766"/>
      <c r="BI766"/>
      <c r="BJ766"/>
      <c r="BK766"/>
      <c r="BL766"/>
      <c r="BM766"/>
      <c r="BN766"/>
      <c r="BO766"/>
      <c r="BP766"/>
      <c r="BQ766"/>
      <c r="BR766"/>
      <c r="BS766"/>
      <c r="BT766"/>
      <c r="BU766"/>
      <c r="BV766"/>
      <c r="BW766"/>
      <c r="BX766"/>
    </row>
    <row r="767" spans="1:76">
      <c r="A767" s="72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/>
      <c r="AF767"/>
      <c r="AG767"/>
      <c r="AH767"/>
      <c r="AI767"/>
      <c r="AJ767"/>
      <c r="AK767"/>
      <c r="AL767"/>
      <c r="AM767"/>
      <c r="AN767"/>
      <c r="AO767"/>
      <c r="AP767"/>
      <c r="AQ767"/>
      <c r="AR767"/>
      <c r="AS767"/>
      <c r="AT767"/>
      <c r="AU767"/>
      <c r="AV767"/>
      <c r="AW767"/>
      <c r="AX767"/>
      <c r="AY767"/>
      <c r="AZ767"/>
      <c r="BA767"/>
      <c r="BB767"/>
      <c r="BC767"/>
      <c r="BD767"/>
      <c r="BE767"/>
      <c r="BF767"/>
      <c r="BG767"/>
      <c r="BH767"/>
      <c r="BI767"/>
      <c r="BJ767"/>
      <c r="BK767"/>
      <c r="BL767"/>
      <c r="BM767"/>
      <c r="BN767"/>
      <c r="BO767"/>
      <c r="BP767"/>
      <c r="BQ767"/>
      <c r="BR767"/>
      <c r="BS767"/>
      <c r="BT767"/>
      <c r="BU767"/>
      <c r="BV767"/>
      <c r="BW767"/>
      <c r="BX767"/>
    </row>
    <row r="768" spans="1:76">
      <c r="A768" s="72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/>
      <c r="AG768"/>
      <c r="AH768"/>
      <c r="AI768"/>
      <c r="AJ768"/>
      <c r="AK768"/>
      <c r="AL768"/>
      <c r="AM768"/>
      <c r="AN768"/>
      <c r="AO768"/>
      <c r="AP768"/>
      <c r="AQ768"/>
      <c r="AR768"/>
      <c r="AS768"/>
      <c r="AT768"/>
      <c r="AU768"/>
      <c r="AV768"/>
      <c r="AW768"/>
      <c r="AX768"/>
      <c r="AY768"/>
      <c r="AZ768"/>
      <c r="BA768"/>
      <c r="BB768"/>
      <c r="BC768"/>
      <c r="BD768"/>
      <c r="BE768"/>
      <c r="BF768"/>
      <c r="BG768"/>
      <c r="BH768"/>
      <c r="BI768"/>
      <c r="BJ768"/>
      <c r="BK768"/>
      <c r="BL768"/>
      <c r="BM768"/>
      <c r="BN768"/>
      <c r="BO768"/>
      <c r="BP768"/>
      <c r="BQ768"/>
      <c r="BR768"/>
      <c r="BS768"/>
      <c r="BT768"/>
      <c r="BU768"/>
      <c r="BV768"/>
      <c r="BW768"/>
      <c r="BX768"/>
    </row>
    <row r="769" spans="1:76">
      <c r="A769" s="72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/>
      <c r="AG769"/>
      <c r="AH769"/>
      <c r="AI769"/>
      <c r="AJ769"/>
      <c r="AK769"/>
      <c r="AL769"/>
      <c r="AM769"/>
      <c r="AN769"/>
      <c r="AO769"/>
      <c r="AP769"/>
      <c r="AQ769"/>
      <c r="AR769"/>
      <c r="AS769"/>
      <c r="AT769"/>
      <c r="AU769"/>
      <c r="AV769"/>
      <c r="AW769"/>
      <c r="AX769"/>
      <c r="AY769"/>
      <c r="AZ769"/>
      <c r="BA769"/>
      <c r="BB769"/>
      <c r="BC769"/>
      <c r="BD769"/>
      <c r="BE769"/>
      <c r="BF769"/>
      <c r="BG769"/>
      <c r="BH769"/>
      <c r="BI769"/>
      <c r="BJ769"/>
      <c r="BK769"/>
      <c r="BL769"/>
      <c r="BM769"/>
      <c r="BN769"/>
      <c r="BO769"/>
      <c r="BP769"/>
      <c r="BQ769"/>
      <c r="BR769"/>
      <c r="BS769"/>
      <c r="BT769"/>
      <c r="BU769"/>
      <c r="BV769"/>
      <c r="BW769"/>
      <c r="BX769"/>
    </row>
    <row r="770" spans="1:76">
      <c r="A770" s="72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/>
      <c r="AF770"/>
      <c r="AG770"/>
      <c r="AH770"/>
      <c r="AI770"/>
      <c r="AJ770"/>
      <c r="AK770"/>
      <c r="AL770"/>
      <c r="AM770"/>
      <c r="AN770"/>
      <c r="AO770"/>
      <c r="AP770"/>
      <c r="AQ770"/>
      <c r="AR770"/>
      <c r="AS770"/>
      <c r="AT770"/>
      <c r="AU770"/>
      <c r="AV770"/>
      <c r="AW770"/>
      <c r="AX770"/>
      <c r="AY770"/>
      <c r="AZ770"/>
      <c r="BA770"/>
      <c r="BB770"/>
      <c r="BC770"/>
      <c r="BD770"/>
      <c r="BE770"/>
      <c r="BF770"/>
      <c r="BG770"/>
      <c r="BH770"/>
      <c r="BI770"/>
      <c r="BJ770"/>
      <c r="BK770"/>
      <c r="BL770"/>
      <c r="BM770"/>
      <c r="BN770"/>
      <c r="BO770"/>
      <c r="BP770"/>
      <c r="BQ770"/>
      <c r="BR770"/>
      <c r="BS770"/>
      <c r="BT770"/>
      <c r="BU770"/>
      <c r="BV770"/>
      <c r="BW770"/>
      <c r="BX770"/>
    </row>
    <row r="771" spans="1:76">
      <c r="A771" s="72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/>
      <c r="AF771"/>
      <c r="AG771"/>
      <c r="AH771"/>
      <c r="AI771"/>
      <c r="AJ771"/>
      <c r="AK771"/>
      <c r="AL771"/>
      <c r="AM771"/>
      <c r="AN771"/>
      <c r="AO771"/>
      <c r="AP771"/>
      <c r="AQ771"/>
      <c r="AR771"/>
      <c r="AS771"/>
      <c r="AT771"/>
      <c r="AU771"/>
      <c r="AV771"/>
      <c r="AW771"/>
      <c r="AX771"/>
      <c r="AY771"/>
      <c r="AZ771"/>
      <c r="BA771"/>
      <c r="BB771"/>
      <c r="BC771"/>
      <c r="BD771"/>
      <c r="BE771"/>
      <c r="BF771"/>
      <c r="BG771"/>
      <c r="BH771"/>
      <c r="BI771"/>
      <c r="BJ771"/>
      <c r="BK771"/>
      <c r="BL771"/>
      <c r="BM771"/>
      <c r="BN771"/>
      <c r="BO771"/>
      <c r="BP771"/>
      <c r="BQ771"/>
      <c r="BR771"/>
      <c r="BS771"/>
      <c r="BT771"/>
      <c r="BU771"/>
      <c r="BV771"/>
      <c r="BW771"/>
      <c r="BX771"/>
    </row>
    <row r="772" spans="1:76">
      <c r="A772" s="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/>
      <c r="AF772"/>
      <c r="AG772"/>
      <c r="AH772"/>
      <c r="AI772"/>
      <c r="AJ772"/>
      <c r="AK772"/>
      <c r="AL772"/>
      <c r="AM772"/>
      <c r="AN772"/>
      <c r="AO772"/>
      <c r="AP772"/>
      <c r="AQ772"/>
      <c r="AR772"/>
      <c r="AS772"/>
      <c r="AT772"/>
      <c r="AU772"/>
      <c r="AV772"/>
      <c r="AW772"/>
      <c r="AX772"/>
      <c r="AY772"/>
      <c r="AZ772"/>
      <c r="BA772"/>
      <c r="BB772"/>
      <c r="BC772"/>
      <c r="BD772"/>
      <c r="BE772"/>
      <c r="BF772"/>
      <c r="BG772"/>
      <c r="BH772"/>
      <c r="BI772"/>
      <c r="BJ772"/>
      <c r="BK772"/>
      <c r="BL772"/>
      <c r="BM772"/>
      <c r="BN772"/>
      <c r="BO772"/>
      <c r="BP772"/>
      <c r="BQ772"/>
      <c r="BR772"/>
      <c r="BS772"/>
      <c r="BT772"/>
      <c r="BU772"/>
      <c r="BV772"/>
      <c r="BW772"/>
      <c r="BX772"/>
    </row>
    <row r="773" spans="1:76">
      <c r="A773" s="72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/>
      <c r="AF773"/>
      <c r="AG773"/>
      <c r="AH773"/>
      <c r="AI773"/>
      <c r="AJ773"/>
      <c r="AK773"/>
      <c r="AL773"/>
      <c r="AM773"/>
      <c r="AN773"/>
      <c r="AO773"/>
      <c r="AP773"/>
      <c r="AQ773"/>
      <c r="AR773"/>
      <c r="AS773"/>
      <c r="AT773"/>
      <c r="AU773"/>
      <c r="AV773"/>
      <c r="AW773"/>
      <c r="AX773"/>
      <c r="AY773"/>
      <c r="AZ773"/>
      <c r="BA773"/>
      <c r="BB773"/>
      <c r="BC773"/>
      <c r="BD773"/>
      <c r="BE773"/>
      <c r="BF773"/>
      <c r="BG773"/>
      <c r="BH773"/>
      <c r="BI773"/>
      <c r="BJ773"/>
      <c r="BK773"/>
      <c r="BL773"/>
      <c r="BM773"/>
      <c r="BN773"/>
      <c r="BO773"/>
      <c r="BP773"/>
      <c r="BQ773"/>
      <c r="BR773"/>
      <c r="BS773"/>
      <c r="BT773"/>
      <c r="BU773"/>
      <c r="BV773"/>
      <c r="BW773"/>
      <c r="BX773"/>
    </row>
    <row r="774" spans="1:76">
      <c r="A774" s="72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/>
      <c r="AF774"/>
      <c r="AG774"/>
      <c r="AH774"/>
      <c r="AI774"/>
      <c r="AJ774"/>
      <c r="AK774"/>
      <c r="AL774"/>
      <c r="AM774"/>
      <c r="AN774"/>
      <c r="AO774"/>
      <c r="AP774"/>
      <c r="AQ774"/>
      <c r="AR774"/>
      <c r="AS774"/>
      <c r="AT774"/>
      <c r="AU774"/>
      <c r="AV774"/>
      <c r="AW774"/>
      <c r="AX774"/>
      <c r="AY774"/>
      <c r="AZ774"/>
      <c r="BA774"/>
      <c r="BB774"/>
      <c r="BC774"/>
      <c r="BD774"/>
      <c r="BE774"/>
      <c r="BF774"/>
      <c r="BG774"/>
      <c r="BH774"/>
      <c r="BI774"/>
      <c r="BJ774"/>
      <c r="BK774"/>
      <c r="BL774"/>
      <c r="BM774"/>
      <c r="BN774"/>
      <c r="BO774"/>
      <c r="BP774"/>
      <c r="BQ774"/>
      <c r="BR774"/>
      <c r="BS774"/>
      <c r="BT774"/>
      <c r="BU774"/>
      <c r="BV774"/>
      <c r="BW774"/>
      <c r="BX774"/>
    </row>
    <row r="775" spans="1:76">
      <c r="A775" s="72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/>
      <c r="AF775"/>
      <c r="AG775"/>
      <c r="AH775"/>
      <c r="AI775"/>
      <c r="AJ775"/>
      <c r="AK775"/>
      <c r="AL775"/>
      <c r="AM775"/>
      <c r="AN775"/>
      <c r="AO775"/>
      <c r="AP775"/>
      <c r="AQ775"/>
      <c r="AR775"/>
      <c r="AS775"/>
      <c r="AT775"/>
      <c r="AU775"/>
      <c r="AV775"/>
      <c r="AW775"/>
      <c r="AX775"/>
      <c r="AY775"/>
      <c r="AZ775"/>
      <c r="BA775"/>
      <c r="BB775"/>
      <c r="BC775"/>
      <c r="BD775"/>
      <c r="BE775"/>
      <c r="BF775"/>
      <c r="BG775"/>
      <c r="BH775"/>
      <c r="BI775"/>
      <c r="BJ775"/>
      <c r="BK775"/>
      <c r="BL775"/>
      <c r="BM775"/>
      <c r="BN775"/>
      <c r="BO775"/>
      <c r="BP775"/>
      <c r="BQ775"/>
      <c r="BR775"/>
      <c r="BS775"/>
      <c r="BT775"/>
      <c r="BU775"/>
      <c r="BV775"/>
      <c r="BW775"/>
      <c r="BX775"/>
    </row>
    <row r="776" spans="1:76">
      <c r="A776" s="72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/>
      <c r="AF776"/>
      <c r="AG776"/>
      <c r="AH776"/>
      <c r="AI776"/>
      <c r="AJ776"/>
      <c r="AK776"/>
      <c r="AL776"/>
      <c r="AM776"/>
      <c r="AN776"/>
      <c r="AO776"/>
      <c r="AP776"/>
      <c r="AQ776"/>
      <c r="AR776"/>
      <c r="AS776"/>
      <c r="AT776"/>
      <c r="AU776"/>
      <c r="AV776"/>
      <c r="AW776"/>
      <c r="AX776"/>
      <c r="AY776"/>
      <c r="AZ776"/>
      <c r="BA776"/>
      <c r="BB776"/>
      <c r="BC776"/>
      <c r="BD776"/>
      <c r="BE776"/>
      <c r="BF776"/>
      <c r="BG776"/>
      <c r="BH776"/>
      <c r="BI776"/>
      <c r="BJ776"/>
      <c r="BK776"/>
      <c r="BL776"/>
      <c r="BM776"/>
      <c r="BN776"/>
      <c r="BO776"/>
      <c r="BP776"/>
      <c r="BQ776"/>
      <c r="BR776"/>
      <c r="BS776"/>
      <c r="BT776"/>
      <c r="BU776"/>
      <c r="BV776"/>
      <c r="BW776"/>
      <c r="BX776"/>
    </row>
    <row r="777" spans="1:76">
      <c r="A777" s="72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/>
      <c r="AF777"/>
      <c r="AG777"/>
      <c r="AH777"/>
      <c r="AI777"/>
      <c r="AJ777"/>
      <c r="AK777"/>
      <c r="AL777"/>
      <c r="AM777"/>
      <c r="AN777"/>
      <c r="AO777"/>
      <c r="AP777"/>
      <c r="AQ777"/>
      <c r="AR777"/>
      <c r="AS777"/>
      <c r="AT777"/>
      <c r="AU777"/>
      <c r="AV777"/>
      <c r="AW777"/>
      <c r="AX777"/>
      <c r="AY777"/>
      <c r="AZ777"/>
      <c r="BA777"/>
      <c r="BB777"/>
      <c r="BC777"/>
      <c r="BD777"/>
      <c r="BE777"/>
      <c r="BF777"/>
      <c r="BG777"/>
      <c r="BH777"/>
      <c r="BI777"/>
      <c r="BJ777"/>
      <c r="BK777"/>
      <c r="BL777"/>
      <c r="BM777"/>
      <c r="BN777"/>
      <c r="BO777"/>
      <c r="BP777"/>
      <c r="BQ777"/>
      <c r="BR777"/>
      <c r="BS777"/>
      <c r="BT777"/>
      <c r="BU777"/>
      <c r="BV777"/>
      <c r="BW777"/>
      <c r="BX777"/>
    </row>
    <row r="778" spans="1:76">
      <c r="A778" s="72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/>
      <c r="AF778"/>
      <c r="AG778"/>
      <c r="AH778"/>
      <c r="AI778"/>
      <c r="AJ778"/>
      <c r="AK778"/>
      <c r="AL778"/>
      <c r="AM778"/>
      <c r="AN778"/>
      <c r="AO778"/>
      <c r="AP778"/>
      <c r="AQ778"/>
      <c r="AR778"/>
      <c r="AS778"/>
      <c r="AT778"/>
      <c r="AU778"/>
      <c r="AV778"/>
      <c r="AW778"/>
      <c r="AX778"/>
      <c r="AY778"/>
      <c r="AZ778"/>
      <c r="BA778"/>
      <c r="BB778"/>
      <c r="BC778"/>
      <c r="BD778"/>
      <c r="BE778"/>
      <c r="BF778"/>
      <c r="BG778"/>
      <c r="BH778"/>
      <c r="BI778"/>
      <c r="BJ778"/>
      <c r="BK778"/>
      <c r="BL778"/>
      <c r="BM778"/>
      <c r="BN778"/>
      <c r="BO778"/>
      <c r="BP778"/>
      <c r="BQ778"/>
      <c r="BR778"/>
      <c r="BS778"/>
      <c r="BT778"/>
      <c r="BU778"/>
      <c r="BV778"/>
      <c r="BW778"/>
      <c r="BX778"/>
    </row>
    <row r="779" spans="1:76">
      <c r="A779" s="72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/>
      <c r="AF779"/>
      <c r="AG779"/>
      <c r="AH779"/>
      <c r="AI779"/>
      <c r="AJ779"/>
      <c r="AK779"/>
      <c r="AL779"/>
      <c r="AM779"/>
      <c r="AN779"/>
      <c r="AO779"/>
      <c r="AP779"/>
      <c r="AQ779"/>
      <c r="AR779"/>
      <c r="AS779"/>
      <c r="AT779"/>
      <c r="AU779"/>
      <c r="AV779"/>
      <c r="AW779"/>
      <c r="AX779"/>
      <c r="AY779"/>
      <c r="AZ779"/>
      <c r="BA779"/>
      <c r="BB779"/>
      <c r="BC779"/>
      <c r="BD779"/>
      <c r="BE779"/>
      <c r="BF779"/>
      <c r="BG779"/>
      <c r="BH779"/>
      <c r="BI779"/>
      <c r="BJ779"/>
      <c r="BK779"/>
      <c r="BL779"/>
      <c r="BM779"/>
      <c r="BN779"/>
      <c r="BO779"/>
      <c r="BP779"/>
      <c r="BQ779"/>
      <c r="BR779"/>
      <c r="BS779"/>
      <c r="BT779"/>
      <c r="BU779"/>
      <c r="BV779"/>
      <c r="BW779"/>
      <c r="BX779"/>
    </row>
    <row r="780" spans="1:76">
      <c r="A780" s="72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/>
      <c r="AF780"/>
      <c r="AG780"/>
      <c r="AH780"/>
      <c r="AI780"/>
      <c r="AJ780"/>
      <c r="AK780"/>
      <c r="AL780"/>
      <c r="AM780"/>
      <c r="AN780"/>
      <c r="AO780"/>
      <c r="AP780"/>
      <c r="AQ780"/>
      <c r="AR780"/>
      <c r="AS780"/>
      <c r="AT780"/>
      <c r="AU780"/>
      <c r="AV780"/>
      <c r="AW780"/>
      <c r="AX780"/>
      <c r="AY780"/>
      <c r="AZ780"/>
      <c r="BA780"/>
      <c r="BB780"/>
      <c r="BC780"/>
      <c r="BD780"/>
      <c r="BE780"/>
      <c r="BF780"/>
      <c r="BG780"/>
      <c r="BH780"/>
      <c r="BI780"/>
      <c r="BJ780"/>
      <c r="BK780"/>
      <c r="BL780"/>
      <c r="BM780"/>
      <c r="BN780"/>
      <c r="BO780"/>
      <c r="BP780"/>
      <c r="BQ780"/>
      <c r="BR780"/>
      <c r="BS780"/>
      <c r="BT780"/>
      <c r="BU780"/>
      <c r="BV780"/>
      <c r="BW780"/>
      <c r="BX780"/>
    </row>
    <row r="781" spans="1:76">
      <c r="A781" s="72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/>
      <c r="AF781"/>
      <c r="AG781"/>
      <c r="AH781"/>
      <c r="AI781"/>
      <c r="AJ781"/>
      <c r="AK781"/>
      <c r="AL781"/>
      <c r="AM781"/>
      <c r="AN781"/>
      <c r="AO781"/>
      <c r="AP781"/>
      <c r="AQ781"/>
      <c r="AR781"/>
      <c r="AS781"/>
      <c r="AT781"/>
      <c r="AU781"/>
      <c r="AV781"/>
      <c r="AW781"/>
      <c r="AX781"/>
      <c r="AY781"/>
      <c r="AZ781"/>
      <c r="BA781"/>
      <c r="BB781"/>
      <c r="BC781"/>
      <c r="BD781"/>
      <c r="BE781"/>
      <c r="BF781"/>
      <c r="BG781"/>
      <c r="BH781"/>
      <c r="BI781"/>
      <c r="BJ781"/>
      <c r="BK781"/>
      <c r="BL781"/>
      <c r="BM781"/>
      <c r="BN781"/>
      <c r="BO781"/>
      <c r="BP781"/>
      <c r="BQ781"/>
      <c r="BR781"/>
      <c r="BS781"/>
      <c r="BT781"/>
      <c r="BU781"/>
      <c r="BV781"/>
      <c r="BW781"/>
      <c r="BX781"/>
    </row>
    <row r="782" spans="1:76">
      <c r="A782" s="7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/>
      <c r="AF782"/>
      <c r="AG782"/>
      <c r="AH782"/>
      <c r="AI782"/>
      <c r="AJ782"/>
      <c r="AK782"/>
      <c r="AL782"/>
      <c r="AM782"/>
      <c r="AN782"/>
      <c r="AO782"/>
      <c r="AP782"/>
      <c r="AQ782"/>
      <c r="AR782"/>
      <c r="AS782"/>
      <c r="AT782"/>
      <c r="AU782"/>
      <c r="AV782"/>
      <c r="AW782"/>
      <c r="AX782"/>
      <c r="AY782"/>
      <c r="AZ782"/>
      <c r="BA782"/>
      <c r="BB782"/>
      <c r="BC782"/>
      <c r="BD782"/>
      <c r="BE782"/>
      <c r="BF782"/>
      <c r="BG782"/>
      <c r="BH782"/>
      <c r="BI782"/>
      <c r="BJ782"/>
      <c r="BK782"/>
      <c r="BL782"/>
      <c r="BM782"/>
      <c r="BN782"/>
      <c r="BO782"/>
      <c r="BP782"/>
      <c r="BQ782"/>
      <c r="BR782"/>
      <c r="BS782"/>
      <c r="BT782"/>
      <c r="BU782"/>
      <c r="BV782"/>
      <c r="BW782"/>
      <c r="BX782"/>
    </row>
    <row r="783" spans="1:76">
      <c r="A783" s="72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  <c r="AD783"/>
      <c r="AE783"/>
      <c r="AF783"/>
      <c r="AG783"/>
      <c r="AH783"/>
      <c r="AI783"/>
      <c r="AJ783"/>
      <c r="AK783"/>
      <c r="AL783"/>
      <c r="AM783"/>
      <c r="AN783"/>
      <c r="AO783"/>
      <c r="AP783"/>
      <c r="AQ783"/>
      <c r="AR783"/>
      <c r="AS783"/>
      <c r="AT783"/>
      <c r="AU783"/>
      <c r="AV783"/>
      <c r="AW783"/>
      <c r="AX783"/>
      <c r="AY783"/>
      <c r="AZ783"/>
      <c r="BA783"/>
      <c r="BB783"/>
      <c r="BC783"/>
      <c r="BD783"/>
      <c r="BE783"/>
      <c r="BF783"/>
      <c r="BG783"/>
      <c r="BH783"/>
      <c r="BI783"/>
      <c r="BJ783"/>
      <c r="BK783"/>
      <c r="BL783"/>
      <c r="BM783"/>
      <c r="BN783"/>
      <c r="BO783"/>
      <c r="BP783"/>
      <c r="BQ783"/>
      <c r="BR783"/>
      <c r="BS783"/>
      <c r="BT783"/>
      <c r="BU783"/>
      <c r="BV783"/>
      <c r="BW783"/>
      <c r="BX783"/>
    </row>
    <row r="784" spans="1:76">
      <c r="A784" s="72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/>
      <c r="AF784"/>
      <c r="AG784"/>
      <c r="AH784"/>
      <c r="AI784"/>
      <c r="AJ784"/>
      <c r="AK784"/>
      <c r="AL784"/>
      <c r="AM784"/>
      <c r="AN784"/>
      <c r="AO784"/>
      <c r="AP784"/>
      <c r="AQ784"/>
      <c r="AR784"/>
      <c r="AS784"/>
      <c r="AT784"/>
      <c r="AU784"/>
      <c r="AV784"/>
      <c r="AW784"/>
      <c r="AX784"/>
      <c r="AY784"/>
      <c r="AZ784"/>
      <c r="BA784"/>
      <c r="BB784"/>
      <c r="BC784"/>
      <c r="BD784"/>
      <c r="BE784"/>
      <c r="BF784"/>
      <c r="BG784"/>
      <c r="BH784"/>
      <c r="BI784"/>
      <c r="BJ784"/>
      <c r="BK784"/>
      <c r="BL784"/>
      <c r="BM784"/>
      <c r="BN784"/>
      <c r="BO784"/>
      <c r="BP784"/>
      <c r="BQ784"/>
      <c r="BR784"/>
      <c r="BS784"/>
      <c r="BT784"/>
      <c r="BU784"/>
      <c r="BV784"/>
      <c r="BW784"/>
      <c r="BX784"/>
    </row>
    <row r="785" spans="1:76">
      <c r="A785" s="72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/>
      <c r="AF785"/>
      <c r="AG785"/>
      <c r="AH785"/>
      <c r="AI785"/>
      <c r="AJ785"/>
      <c r="AK785"/>
      <c r="AL785"/>
      <c r="AM785"/>
      <c r="AN785"/>
      <c r="AO785"/>
      <c r="AP785"/>
      <c r="AQ785"/>
      <c r="AR785"/>
      <c r="AS785"/>
      <c r="AT785"/>
      <c r="AU785"/>
      <c r="AV785"/>
      <c r="AW785"/>
      <c r="AX785"/>
      <c r="AY785"/>
      <c r="AZ785"/>
      <c r="BA785"/>
      <c r="BB785"/>
      <c r="BC785"/>
      <c r="BD785"/>
      <c r="BE785"/>
      <c r="BF785"/>
      <c r="BG785"/>
      <c r="BH785"/>
      <c r="BI785"/>
      <c r="BJ785"/>
      <c r="BK785"/>
      <c r="BL785"/>
      <c r="BM785"/>
      <c r="BN785"/>
      <c r="BO785"/>
      <c r="BP785"/>
      <c r="BQ785"/>
      <c r="BR785"/>
      <c r="BS785"/>
      <c r="BT785"/>
      <c r="BU785"/>
      <c r="BV785"/>
      <c r="BW785"/>
      <c r="BX785"/>
    </row>
    <row r="786" spans="1:76">
      <c r="A786" s="72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/>
      <c r="AF786"/>
      <c r="AG786"/>
      <c r="AH786"/>
      <c r="AI786"/>
      <c r="AJ786"/>
      <c r="AK786"/>
      <c r="AL786"/>
      <c r="AM786"/>
      <c r="AN786"/>
      <c r="AO786"/>
      <c r="AP786"/>
      <c r="AQ786"/>
      <c r="AR786"/>
      <c r="AS786"/>
      <c r="AT786"/>
      <c r="AU786"/>
      <c r="AV786"/>
      <c r="AW786"/>
      <c r="AX786"/>
      <c r="AY786"/>
      <c r="AZ786"/>
      <c r="BA786"/>
      <c r="BB786"/>
      <c r="BC786"/>
      <c r="BD786"/>
      <c r="BE786"/>
      <c r="BF786"/>
      <c r="BG786"/>
      <c r="BH786"/>
      <c r="BI786"/>
      <c r="BJ786"/>
      <c r="BK786"/>
      <c r="BL786"/>
      <c r="BM786"/>
      <c r="BN786"/>
      <c r="BO786"/>
      <c r="BP786"/>
      <c r="BQ786"/>
      <c r="BR786"/>
      <c r="BS786"/>
      <c r="BT786"/>
      <c r="BU786"/>
      <c r="BV786"/>
      <c r="BW786"/>
      <c r="BX786"/>
    </row>
    <row r="787" spans="1:76">
      <c r="A787" s="72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/>
      <c r="AF787"/>
      <c r="AG787"/>
      <c r="AH787"/>
      <c r="AI787"/>
      <c r="AJ787"/>
      <c r="AK787"/>
      <c r="AL787"/>
      <c r="AM787"/>
      <c r="AN787"/>
      <c r="AO787"/>
      <c r="AP787"/>
      <c r="AQ787"/>
      <c r="AR787"/>
      <c r="AS787"/>
      <c r="AT787"/>
      <c r="AU787"/>
      <c r="AV787"/>
      <c r="AW787"/>
      <c r="AX787"/>
      <c r="AY787"/>
      <c r="AZ787"/>
      <c r="BA787"/>
      <c r="BB787"/>
      <c r="BC787"/>
      <c r="BD787"/>
      <c r="BE787"/>
      <c r="BF787"/>
      <c r="BG787"/>
      <c r="BH787"/>
      <c r="BI787"/>
      <c r="BJ787"/>
      <c r="BK787"/>
      <c r="BL787"/>
      <c r="BM787"/>
      <c r="BN787"/>
      <c r="BO787"/>
      <c r="BP787"/>
      <c r="BQ787"/>
      <c r="BR787"/>
      <c r="BS787"/>
      <c r="BT787"/>
      <c r="BU787"/>
      <c r="BV787"/>
      <c r="BW787"/>
      <c r="BX787"/>
    </row>
    <row r="788" spans="1:76">
      <c r="A788" s="72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/>
      <c r="AF788"/>
      <c r="AG788"/>
      <c r="AH788"/>
      <c r="AI788"/>
      <c r="AJ788"/>
      <c r="AK788"/>
      <c r="AL788"/>
      <c r="AM788"/>
      <c r="AN788"/>
      <c r="AO788"/>
      <c r="AP788"/>
      <c r="AQ788"/>
      <c r="AR788"/>
      <c r="AS788"/>
      <c r="AT788"/>
      <c r="AU788"/>
      <c r="AV788"/>
      <c r="AW788"/>
      <c r="AX788"/>
      <c r="AY788"/>
      <c r="AZ788"/>
      <c r="BA788"/>
      <c r="BB788"/>
      <c r="BC788"/>
      <c r="BD788"/>
      <c r="BE788"/>
      <c r="BF788"/>
      <c r="BG788"/>
      <c r="BH788"/>
      <c r="BI788"/>
      <c r="BJ788"/>
      <c r="BK788"/>
      <c r="BL788"/>
      <c r="BM788"/>
      <c r="BN788"/>
      <c r="BO788"/>
      <c r="BP788"/>
      <c r="BQ788"/>
      <c r="BR788"/>
      <c r="BS788"/>
      <c r="BT788"/>
      <c r="BU788"/>
      <c r="BV788"/>
      <c r="BW788"/>
      <c r="BX788"/>
    </row>
    <row r="789" spans="1:76">
      <c r="A789" s="72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/>
      <c r="AF789"/>
      <c r="AG789"/>
      <c r="AH789"/>
      <c r="AI789"/>
      <c r="AJ789"/>
      <c r="AK789"/>
      <c r="AL789"/>
      <c r="AM789"/>
      <c r="AN789"/>
      <c r="AO789"/>
      <c r="AP789"/>
      <c r="AQ789"/>
      <c r="AR789"/>
      <c r="AS789"/>
      <c r="AT789"/>
      <c r="AU789"/>
      <c r="AV789"/>
      <c r="AW789"/>
      <c r="AX789"/>
      <c r="AY789"/>
      <c r="AZ789"/>
      <c r="BA789"/>
      <c r="BB789"/>
      <c r="BC789"/>
      <c r="BD789"/>
      <c r="BE789"/>
      <c r="BF789"/>
      <c r="BG789"/>
      <c r="BH789"/>
      <c r="BI789"/>
      <c r="BJ789"/>
      <c r="BK789"/>
      <c r="BL789"/>
      <c r="BM789"/>
      <c r="BN789"/>
      <c r="BO789"/>
      <c r="BP789"/>
      <c r="BQ789"/>
      <c r="BR789"/>
      <c r="BS789"/>
      <c r="BT789"/>
      <c r="BU789"/>
      <c r="BV789"/>
      <c r="BW789"/>
      <c r="BX789"/>
    </row>
    <row r="790" spans="1:76">
      <c r="A790" s="72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/>
      <c r="AF790"/>
      <c r="AG790"/>
      <c r="AH790"/>
      <c r="AI790"/>
      <c r="AJ790"/>
      <c r="AK790"/>
      <c r="AL790"/>
      <c r="AM790"/>
      <c r="AN790"/>
      <c r="AO790"/>
      <c r="AP790"/>
      <c r="AQ790"/>
      <c r="AR790"/>
      <c r="AS790"/>
      <c r="AT790"/>
      <c r="AU790"/>
      <c r="AV790"/>
      <c r="AW790"/>
      <c r="AX790"/>
      <c r="AY790"/>
      <c r="AZ790"/>
      <c r="BA790"/>
      <c r="BB790"/>
      <c r="BC790"/>
      <c r="BD790"/>
      <c r="BE790"/>
      <c r="BF790"/>
      <c r="BG790"/>
      <c r="BH790"/>
      <c r="BI790"/>
      <c r="BJ790"/>
      <c r="BK790"/>
      <c r="BL790"/>
      <c r="BM790"/>
      <c r="BN790"/>
      <c r="BO790"/>
      <c r="BP790"/>
      <c r="BQ790"/>
      <c r="BR790"/>
      <c r="BS790"/>
      <c r="BT790"/>
      <c r="BU790"/>
      <c r="BV790"/>
      <c r="BW790"/>
      <c r="BX790"/>
    </row>
    <row r="791" spans="1:76">
      <c r="A791" s="72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/>
      <c r="AF791"/>
      <c r="AG791"/>
      <c r="AH791"/>
      <c r="AI791"/>
      <c r="AJ791"/>
      <c r="AK791"/>
      <c r="AL791"/>
      <c r="AM791"/>
      <c r="AN791"/>
      <c r="AO791"/>
      <c r="AP791"/>
      <c r="AQ791"/>
      <c r="AR791"/>
      <c r="AS791"/>
      <c r="AT791"/>
      <c r="AU791"/>
      <c r="AV791"/>
      <c r="AW791"/>
      <c r="AX791"/>
      <c r="AY791"/>
      <c r="AZ791"/>
      <c r="BA791"/>
      <c r="BB791"/>
      <c r="BC791"/>
      <c r="BD791"/>
      <c r="BE791"/>
      <c r="BF791"/>
      <c r="BG791"/>
      <c r="BH791"/>
      <c r="BI791"/>
      <c r="BJ791"/>
      <c r="BK791"/>
      <c r="BL791"/>
      <c r="BM791"/>
      <c r="BN791"/>
      <c r="BO791"/>
      <c r="BP791"/>
      <c r="BQ791"/>
      <c r="BR791"/>
      <c r="BS791"/>
      <c r="BT791"/>
      <c r="BU791"/>
      <c r="BV791"/>
      <c r="BW791"/>
      <c r="BX791"/>
    </row>
    <row r="792" spans="1:76">
      <c r="A792" s="7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  <c r="AB792"/>
      <c r="AC792"/>
      <c r="AD792"/>
      <c r="AE792"/>
      <c r="AF792"/>
      <c r="AG792"/>
      <c r="AH792"/>
      <c r="AI792"/>
      <c r="AJ792"/>
      <c r="AK792"/>
      <c r="AL792"/>
      <c r="AM792"/>
      <c r="AN792"/>
      <c r="AO792"/>
      <c r="AP792"/>
      <c r="AQ792"/>
      <c r="AR792"/>
      <c r="AS792"/>
      <c r="AT792"/>
      <c r="AU792"/>
      <c r="AV792"/>
      <c r="AW792"/>
      <c r="AX792"/>
      <c r="AY792"/>
      <c r="AZ792"/>
      <c r="BA792"/>
      <c r="BB792"/>
      <c r="BC792"/>
      <c r="BD792"/>
      <c r="BE792"/>
      <c r="BF792"/>
      <c r="BG792"/>
      <c r="BH792"/>
      <c r="BI792"/>
      <c r="BJ792"/>
      <c r="BK792"/>
      <c r="BL792"/>
      <c r="BM792"/>
      <c r="BN792"/>
      <c r="BO792"/>
      <c r="BP792"/>
      <c r="BQ792"/>
      <c r="BR792"/>
      <c r="BS792"/>
      <c r="BT792"/>
      <c r="BU792"/>
      <c r="BV792"/>
      <c r="BW792"/>
      <c r="BX792"/>
    </row>
    <row r="793" spans="1:76">
      <c r="A793" s="72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/>
      <c r="AF793"/>
      <c r="AG793"/>
      <c r="AH793"/>
      <c r="AI793"/>
      <c r="AJ793"/>
      <c r="AK793"/>
      <c r="AL793"/>
      <c r="AM793"/>
      <c r="AN793"/>
      <c r="AO793"/>
      <c r="AP793"/>
      <c r="AQ793"/>
      <c r="AR793"/>
      <c r="AS793"/>
      <c r="AT793"/>
      <c r="AU793"/>
      <c r="AV793"/>
      <c r="AW793"/>
      <c r="AX793"/>
      <c r="AY793"/>
      <c r="AZ793"/>
      <c r="BA793"/>
      <c r="BB793"/>
      <c r="BC793"/>
      <c r="BD793"/>
      <c r="BE793"/>
      <c r="BF793"/>
      <c r="BG793"/>
      <c r="BH793"/>
      <c r="BI793"/>
      <c r="BJ793"/>
      <c r="BK793"/>
      <c r="BL793"/>
      <c r="BM793"/>
      <c r="BN793"/>
      <c r="BO793"/>
      <c r="BP793"/>
      <c r="BQ793"/>
      <c r="BR793"/>
      <c r="BS793"/>
      <c r="BT793"/>
      <c r="BU793"/>
      <c r="BV793"/>
      <c r="BW793"/>
      <c r="BX793"/>
    </row>
    <row r="794" spans="1:76">
      <c r="A794" s="72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/>
      <c r="AF794"/>
      <c r="AG794"/>
      <c r="AH794"/>
      <c r="AI794"/>
      <c r="AJ794"/>
      <c r="AK794"/>
      <c r="AL794"/>
      <c r="AM794"/>
      <c r="AN794"/>
      <c r="AO794"/>
      <c r="AP794"/>
      <c r="AQ794"/>
      <c r="AR794"/>
      <c r="AS794"/>
      <c r="AT794"/>
      <c r="AU794"/>
      <c r="AV794"/>
      <c r="AW794"/>
      <c r="AX794"/>
      <c r="AY794"/>
      <c r="AZ794"/>
      <c r="BA794"/>
      <c r="BB794"/>
      <c r="BC794"/>
      <c r="BD794"/>
      <c r="BE794"/>
      <c r="BF794"/>
      <c r="BG794"/>
      <c r="BH794"/>
      <c r="BI794"/>
      <c r="BJ794"/>
      <c r="BK794"/>
      <c r="BL794"/>
      <c r="BM794"/>
      <c r="BN794"/>
      <c r="BO794"/>
      <c r="BP794"/>
      <c r="BQ794"/>
      <c r="BR794"/>
      <c r="BS794"/>
      <c r="BT794"/>
      <c r="BU794"/>
      <c r="BV794"/>
      <c r="BW794"/>
      <c r="BX794"/>
    </row>
    <row r="795" spans="1:76">
      <c r="A795" s="72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/>
      <c r="AF795"/>
      <c r="AG795"/>
      <c r="AH795"/>
      <c r="AI795"/>
      <c r="AJ795"/>
      <c r="AK795"/>
      <c r="AL795"/>
      <c r="AM795"/>
      <c r="AN795"/>
      <c r="AO795"/>
      <c r="AP795"/>
      <c r="AQ795"/>
      <c r="AR795"/>
      <c r="AS795"/>
      <c r="AT795"/>
      <c r="AU795"/>
      <c r="AV795"/>
      <c r="AW795"/>
      <c r="AX795"/>
      <c r="AY795"/>
      <c r="AZ795"/>
      <c r="BA795"/>
      <c r="BB795"/>
      <c r="BC795"/>
      <c r="BD795"/>
      <c r="BE795"/>
      <c r="BF795"/>
      <c r="BG795"/>
      <c r="BH795"/>
      <c r="BI795"/>
      <c r="BJ795"/>
      <c r="BK795"/>
      <c r="BL795"/>
      <c r="BM795"/>
      <c r="BN795"/>
      <c r="BO795"/>
      <c r="BP795"/>
      <c r="BQ795"/>
      <c r="BR795"/>
      <c r="BS795"/>
      <c r="BT795"/>
      <c r="BU795"/>
      <c r="BV795"/>
      <c r="BW795"/>
      <c r="BX795"/>
    </row>
    <row r="796" spans="1:76">
      <c r="A796" s="72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/>
      <c r="AG796"/>
      <c r="AH796"/>
      <c r="AI796"/>
      <c r="AJ796"/>
      <c r="AK796"/>
      <c r="AL796"/>
      <c r="AM796"/>
      <c r="AN796"/>
      <c r="AO796"/>
      <c r="AP796"/>
      <c r="AQ796"/>
      <c r="AR796"/>
      <c r="AS796"/>
      <c r="AT796"/>
      <c r="AU796"/>
      <c r="AV796"/>
      <c r="AW796"/>
      <c r="AX796"/>
      <c r="AY796"/>
      <c r="AZ796"/>
      <c r="BA796"/>
      <c r="BB796"/>
      <c r="BC796"/>
      <c r="BD796"/>
      <c r="BE796"/>
      <c r="BF796"/>
      <c r="BG796"/>
      <c r="BH796"/>
      <c r="BI796"/>
      <c r="BJ796"/>
      <c r="BK796"/>
      <c r="BL796"/>
      <c r="BM796"/>
      <c r="BN796"/>
      <c r="BO796"/>
      <c r="BP796"/>
      <c r="BQ796"/>
      <c r="BR796"/>
      <c r="BS796"/>
      <c r="BT796"/>
      <c r="BU796"/>
      <c r="BV796"/>
      <c r="BW796"/>
      <c r="BX796"/>
    </row>
    <row r="797" spans="1:76">
      <c r="A797" s="72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/>
      <c r="AF797"/>
      <c r="AG797"/>
      <c r="AH797"/>
      <c r="AI797"/>
      <c r="AJ797"/>
      <c r="AK797"/>
      <c r="AL797"/>
      <c r="AM797"/>
      <c r="AN797"/>
      <c r="AO797"/>
      <c r="AP797"/>
      <c r="AQ797"/>
      <c r="AR797"/>
      <c r="AS797"/>
      <c r="AT797"/>
      <c r="AU797"/>
      <c r="AV797"/>
      <c r="AW797"/>
      <c r="AX797"/>
      <c r="AY797"/>
      <c r="AZ797"/>
      <c r="BA797"/>
      <c r="BB797"/>
      <c r="BC797"/>
      <c r="BD797"/>
      <c r="BE797"/>
      <c r="BF797"/>
      <c r="BG797"/>
      <c r="BH797"/>
      <c r="BI797"/>
      <c r="BJ797"/>
      <c r="BK797"/>
      <c r="BL797"/>
      <c r="BM797"/>
      <c r="BN797"/>
      <c r="BO797"/>
      <c r="BP797"/>
      <c r="BQ797"/>
      <c r="BR797"/>
      <c r="BS797"/>
      <c r="BT797"/>
      <c r="BU797"/>
      <c r="BV797"/>
      <c r="BW797"/>
      <c r="BX797"/>
    </row>
    <row r="798" spans="1:76">
      <c r="A798" s="72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/>
      <c r="AF798"/>
      <c r="AG798"/>
      <c r="AH798"/>
      <c r="AI798"/>
      <c r="AJ798"/>
      <c r="AK798"/>
      <c r="AL798"/>
      <c r="AM798"/>
      <c r="AN798"/>
      <c r="AO798"/>
      <c r="AP798"/>
      <c r="AQ798"/>
      <c r="AR798"/>
      <c r="AS798"/>
      <c r="AT798"/>
      <c r="AU798"/>
      <c r="AV798"/>
      <c r="AW798"/>
      <c r="AX798"/>
      <c r="AY798"/>
      <c r="AZ798"/>
      <c r="BA798"/>
      <c r="BB798"/>
      <c r="BC798"/>
      <c r="BD798"/>
      <c r="BE798"/>
      <c r="BF798"/>
      <c r="BG798"/>
      <c r="BH798"/>
      <c r="BI798"/>
      <c r="BJ798"/>
      <c r="BK798"/>
      <c r="BL798"/>
      <c r="BM798"/>
      <c r="BN798"/>
      <c r="BO798"/>
      <c r="BP798"/>
      <c r="BQ798"/>
      <c r="BR798"/>
      <c r="BS798"/>
      <c r="BT798"/>
      <c r="BU798"/>
      <c r="BV798"/>
      <c r="BW798"/>
      <c r="BX798"/>
    </row>
    <row r="799" spans="1:76">
      <c r="A799" s="72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/>
      <c r="AF799"/>
      <c r="AG799"/>
      <c r="AH799"/>
      <c r="AI799"/>
      <c r="AJ799"/>
      <c r="AK799"/>
      <c r="AL799"/>
      <c r="AM799"/>
      <c r="AN799"/>
      <c r="AO799"/>
      <c r="AP799"/>
      <c r="AQ799"/>
      <c r="AR799"/>
      <c r="AS799"/>
      <c r="AT799"/>
      <c r="AU799"/>
      <c r="AV799"/>
      <c r="AW799"/>
      <c r="AX799"/>
      <c r="AY799"/>
      <c r="AZ799"/>
      <c r="BA799"/>
      <c r="BB799"/>
      <c r="BC799"/>
      <c r="BD799"/>
      <c r="BE799"/>
      <c r="BF799"/>
      <c r="BG799"/>
      <c r="BH799"/>
      <c r="BI799"/>
      <c r="BJ799"/>
      <c r="BK799"/>
      <c r="BL799"/>
      <c r="BM799"/>
      <c r="BN799"/>
      <c r="BO799"/>
      <c r="BP799"/>
      <c r="BQ799"/>
      <c r="BR799"/>
      <c r="BS799"/>
      <c r="BT799"/>
      <c r="BU799"/>
      <c r="BV799"/>
      <c r="BW799"/>
      <c r="BX799"/>
    </row>
    <row r="800" spans="1:76">
      <c r="A800" s="72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/>
      <c r="AG800"/>
      <c r="AH800"/>
      <c r="AI800"/>
      <c r="AJ800"/>
      <c r="AK800"/>
      <c r="AL800"/>
      <c r="AM800"/>
      <c r="AN800"/>
      <c r="AO800"/>
      <c r="AP800"/>
      <c r="AQ800"/>
      <c r="AR800"/>
      <c r="AS800"/>
      <c r="AT800"/>
      <c r="AU800"/>
      <c r="AV800"/>
      <c r="AW800"/>
      <c r="AX800"/>
      <c r="AY800"/>
      <c r="AZ800"/>
      <c r="BA800"/>
      <c r="BB800"/>
      <c r="BC800"/>
      <c r="BD800"/>
      <c r="BE800"/>
      <c r="BF800"/>
      <c r="BG800"/>
      <c r="BH800"/>
      <c r="BI800"/>
      <c r="BJ800"/>
      <c r="BK800"/>
      <c r="BL800"/>
      <c r="BM800"/>
      <c r="BN800"/>
      <c r="BO800"/>
      <c r="BP800"/>
      <c r="BQ800"/>
      <c r="BR800"/>
      <c r="BS800"/>
      <c r="BT800"/>
      <c r="BU800"/>
      <c r="BV800"/>
      <c r="BW800"/>
      <c r="BX800"/>
    </row>
    <row r="801" spans="1:76">
      <c r="A801" s="72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/>
      <c r="AF801"/>
      <c r="AG801"/>
      <c r="AH801"/>
      <c r="AI801"/>
      <c r="AJ801"/>
      <c r="AK801"/>
      <c r="AL801"/>
      <c r="AM801"/>
      <c r="AN801"/>
      <c r="AO801"/>
      <c r="AP801"/>
      <c r="AQ801"/>
      <c r="AR801"/>
      <c r="AS801"/>
      <c r="AT801"/>
      <c r="AU801"/>
      <c r="AV801"/>
      <c r="AW801"/>
      <c r="AX801"/>
      <c r="AY801"/>
      <c r="AZ801"/>
      <c r="BA801"/>
      <c r="BB801"/>
      <c r="BC801"/>
      <c r="BD801"/>
      <c r="BE801"/>
      <c r="BF801"/>
      <c r="BG801"/>
      <c r="BH801"/>
      <c r="BI801"/>
      <c r="BJ801"/>
      <c r="BK801"/>
      <c r="BL801"/>
      <c r="BM801"/>
      <c r="BN801"/>
      <c r="BO801"/>
      <c r="BP801"/>
      <c r="BQ801"/>
      <c r="BR801"/>
      <c r="BS801"/>
      <c r="BT801"/>
      <c r="BU801"/>
      <c r="BV801"/>
      <c r="BW801"/>
      <c r="BX801"/>
    </row>
    <row r="802" spans="1:76">
      <c r="A802" s="7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/>
      <c r="AF802"/>
      <c r="AG802"/>
      <c r="AH802"/>
      <c r="AI802"/>
      <c r="AJ802"/>
      <c r="AK802"/>
      <c r="AL802"/>
      <c r="AM802"/>
      <c r="AN802"/>
      <c r="AO802"/>
      <c r="AP802"/>
      <c r="AQ802"/>
      <c r="AR802"/>
      <c r="AS802"/>
      <c r="AT802"/>
      <c r="AU802"/>
      <c r="AV802"/>
      <c r="AW802"/>
      <c r="AX802"/>
      <c r="AY802"/>
      <c r="AZ802"/>
      <c r="BA802"/>
      <c r="BB802"/>
      <c r="BC802"/>
      <c r="BD802"/>
      <c r="BE802"/>
      <c r="BF802"/>
      <c r="BG802"/>
      <c r="BH802"/>
      <c r="BI802"/>
      <c r="BJ802"/>
      <c r="BK802"/>
      <c r="BL802"/>
      <c r="BM802"/>
      <c r="BN802"/>
      <c r="BO802"/>
      <c r="BP802"/>
      <c r="BQ802"/>
      <c r="BR802"/>
      <c r="BS802"/>
      <c r="BT802"/>
      <c r="BU802"/>
      <c r="BV802"/>
      <c r="BW802"/>
      <c r="BX802"/>
    </row>
    <row r="803" spans="1:76">
      <c r="A803" s="72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  <c r="AF803"/>
      <c r="AG803"/>
      <c r="AH803"/>
      <c r="AI803"/>
      <c r="AJ803"/>
      <c r="AK803"/>
      <c r="AL803"/>
      <c r="AM803"/>
      <c r="AN803"/>
      <c r="AO803"/>
      <c r="AP803"/>
      <c r="AQ803"/>
      <c r="AR803"/>
      <c r="AS803"/>
      <c r="AT803"/>
      <c r="AU803"/>
      <c r="AV803"/>
      <c r="AW803"/>
      <c r="AX803"/>
      <c r="AY803"/>
      <c r="AZ803"/>
      <c r="BA803"/>
      <c r="BB803"/>
      <c r="BC803"/>
      <c r="BD803"/>
      <c r="BE803"/>
      <c r="BF803"/>
      <c r="BG803"/>
      <c r="BH803"/>
      <c r="BI803"/>
      <c r="BJ803"/>
      <c r="BK803"/>
      <c r="BL803"/>
      <c r="BM803"/>
      <c r="BN803"/>
      <c r="BO803"/>
      <c r="BP803"/>
      <c r="BQ803"/>
      <c r="BR803"/>
      <c r="BS803"/>
      <c r="BT803"/>
      <c r="BU803"/>
      <c r="BV803"/>
      <c r="BW803"/>
      <c r="BX803"/>
    </row>
    <row r="804" spans="1:76">
      <c r="A804" s="72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/>
      <c r="AF804"/>
      <c r="AG804"/>
      <c r="AH804"/>
      <c r="AI804"/>
      <c r="AJ804"/>
      <c r="AK804"/>
      <c r="AL804"/>
      <c r="AM804"/>
      <c r="AN804"/>
      <c r="AO804"/>
      <c r="AP804"/>
      <c r="AQ804"/>
      <c r="AR804"/>
      <c r="AS804"/>
      <c r="AT804"/>
      <c r="AU804"/>
      <c r="AV804"/>
      <c r="AW804"/>
      <c r="AX804"/>
      <c r="AY804"/>
      <c r="AZ804"/>
      <c r="BA804"/>
      <c r="BB804"/>
      <c r="BC804"/>
      <c r="BD804"/>
      <c r="BE804"/>
      <c r="BF804"/>
      <c r="BG804"/>
      <c r="BH804"/>
      <c r="BI804"/>
      <c r="BJ804"/>
      <c r="BK804"/>
      <c r="BL804"/>
      <c r="BM804"/>
      <c r="BN804"/>
      <c r="BO804"/>
      <c r="BP804"/>
      <c r="BQ804"/>
      <c r="BR804"/>
      <c r="BS804"/>
      <c r="BT804"/>
      <c r="BU804"/>
      <c r="BV804"/>
      <c r="BW804"/>
      <c r="BX804"/>
    </row>
    <row r="805" spans="1:76">
      <c r="A805" s="72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/>
      <c r="AG805"/>
      <c r="AH805"/>
      <c r="AI805"/>
      <c r="AJ805"/>
      <c r="AK805"/>
      <c r="AL805"/>
      <c r="AM805"/>
      <c r="AN805"/>
      <c r="AO805"/>
      <c r="AP805"/>
      <c r="AQ805"/>
      <c r="AR805"/>
      <c r="AS805"/>
      <c r="AT805"/>
      <c r="AU805"/>
      <c r="AV805"/>
      <c r="AW805"/>
      <c r="AX805"/>
      <c r="AY805"/>
      <c r="AZ805"/>
      <c r="BA805"/>
      <c r="BB805"/>
      <c r="BC805"/>
      <c r="BD805"/>
      <c r="BE805"/>
      <c r="BF805"/>
      <c r="BG805"/>
      <c r="BH805"/>
      <c r="BI805"/>
      <c r="BJ805"/>
      <c r="BK805"/>
      <c r="BL805"/>
      <c r="BM805"/>
      <c r="BN805"/>
      <c r="BO805"/>
      <c r="BP805"/>
      <c r="BQ805"/>
      <c r="BR805"/>
      <c r="BS805"/>
      <c r="BT805"/>
      <c r="BU805"/>
      <c r="BV805"/>
      <c r="BW805"/>
      <c r="BX805"/>
    </row>
    <row r="806" spans="1:76">
      <c r="A806" s="72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/>
      <c r="AF806"/>
      <c r="AG806"/>
      <c r="AH806"/>
      <c r="AI806"/>
      <c r="AJ806"/>
      <c r="AK806"/>
      <c r="AL806"/>
      <c r="AM806"/>
      <c r="AN806"/>
      <c r="AO806"/>
      <c r="AP806"/>
      <c r="AQ806"/>
      <c r="AR806"/>
      <c r="AS806"/>
      <c r="AT806"/>
      <c r="AU806"/>
      <c r="AV806"/>
      <c r="AW806"/>
      <c r="AX806"/>
      <c r="AY806"/>
      <c r="AZ806"/>
      <c r="BA806"/>
      <c r="BB806"/>
      <c r="BC806"/>
      <c r="BD806"/>
      <c r="BE806"/>
      <c r="BF806"/>
      <c r="BG806"/>
      <c r="BH806"/>
      <c r="BI806"/>
      <c r="BJ806"/>
      <c r="BK806"/>
      <c r="BL806"/>
      <c r="BM806"/>
      <c r="BN806"/>
      <c r="BO806"/>
      <c r="BP806"/>
      <c r="BQ806"/>
      <c r="BR806"/>
      <c r="BS806"/>
      <c r="BT806"/>
      <c r="BU806"/>
      <c r="BV806"/>
      <c r="BW806"/>
      <c r="BX806"/>
    </row>
    <row r="807" spans="1:76">
      <c r="A807" s="72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/>
      <c r="AD807"/>
      <c r="AE807"/>
      <c r="AF807"/>
      <c r="AG807"/>
      <c r="AH807"/>
      <c r="AI807"/>
      <c r="AJ807"/>
      <c r="AK807"/>
      <c r="AL807"/>
      <c r="AM807"/>
      <c r="AN807"/>
      <c r="AO807"/>
      <c r="AP807"/>
      <c r="AQ807"/>
      <c r="AR807"/>
      <c r="AS807"/>
      <c r="AT807"/>
      <c r="AU807"/>
      <c r="AV807"/>
      <c r="AW807"/>
      <c r="AX807"/>
      <c r="AY807"/>
      <c r="AZ807"/>
      <c r="BA807"/>
      <c r="BB807"/>
      <c r="BC807"/>
      <c r="BD807"/>
      <c r="BE807"/>
      <c r="BF807"/>
      <c r="BG807"/>
      <c r="BH807"/>
      <c r="BI807"/>
      <c r="BJ807"/>
      <c r="BK807"/>
      <c r="BL807"/>
      <c r="BM807"/>
      <c r="BN807"/>
      <c r="BO807"/>
      <c r="BP807"/>
      <c r="BQ807"/>
      <c r="BR807"/>
      <c r="BS807"/>
      <c r="BT807"/>
      <c r="BU807"/>
      <c r="BV807"/>
      <c r="BW807"/>
      <c r="BX807"/>
    </row>
    <row r="808" spans="1:76">
      <c r="A808" s="72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/>
      <c r="AF808"/>
      <c r="AG808"/>
      <c r="AH808"/>
      <c r="AI808"/>
      <c r="AJ808"/>
      <c r="AK808"/>
      <c r="AL808"/>
      <c r="AM808"/>
      <c r="AN808"/>
      <c r="AO808"/>
      <c r="AP808"/>
      <c r="AQ808"/>
      <c r="AR808"/>
      <c r="AS808"/>
      <c r="AT808"/>
      <c r="AU808"/>
      <c r="AV808"/>
      <c r="AW808"/>
      <c r="AX808"/>
      <c r="AY808"/>
      <c r="AZ808"/>
      <c r="BA808"/>
      <c r="BB808"/>
      <c r="BC808"/>
      <c r="BD808"/>
      <c r="BE808"/>
      <c r="BF808"/>
      <c r="BG808"/>
      <c r="BH808"/>
      <c r="BI808"/>
      <c r="BJ808"/>
      <c r="BK808"/>
      <c r="BL808"/>
      <c r="BM808"/>
      <c r="BN808"/>
      <c r="BO808"/>
      <c r="BP808"/>
      <c r="BQ808"/>
      <c r="BR808"/>
      <c r="BS808"/>
      <c r="BT808"/>
      <c r="BU808"/>
      <c r="BV808"/>
      <c r="BW808"/>
      <c r="BX808"/>
    </row>
    <row r="809" spans="1:76">
      <c r="A809" s="72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/>
      <c r="AF809"/>
      <c r="AG809"/>
      <c r="AH809"/>
      <c r="AI809"/>
      <c r="AJ809"/>
      <c r="AK809"/>
      <c r="AL809"/>
      <c r="AM809"/>
      <c r="AN809"/>
      <c r="AO809"/>
      <c r="AP809"/>
      <c r="AQ809"/>
      <c r="AR809"/>
      <c r="AS809"/>
      <c r="AT809"/>
      <c r="AU809"/>
      <c r="AV809"/>
      <c r="AW809"/>
      <c r="AX809"/>
      <c r="AY809"/>
      <c r="AZ809"/>
      <c r="BA809"/>
      <c r="BB809"/>
      <c r="BC809"/>
      <c r="BD809"/>
      <c r="BE809"/>
      <c r="BF809"/>
      <c r="BG809"/>
      <c r="BH809"/>
      <c r="BI809"/>
      <c r="BJ809"/>
      <c r="BK809"/>
      <c r="BL809"/>
      <c r="BM809"/>
      <c r="BN809"/>
      <c r="BO809"/>
      <c r="BP809"/>
      <c r="BQ809"/>
      <c r="BR809"/>
      <c r="BS809"/>
      <c r="BT809"/>
      <c r="BU809"/>
      <c r="BV809"/>
      <c r="BW809"/>
      <c r="BX809"/>
    </row>
    <row r="810" spans="1:76">
      <c r="A810" s="72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/>
      <c r="AF810"/>
      <c r="AG810"/>
      <c r="AH810"/>
      <c r="AI810"/>
      <c r="AJ810"/>
      <c r="AK810"/>
      <c r="AL810"/>
      <c r="AM810"/>
      <c r="AN810"/>
      <c r="AO810"/>
      <c r="AP810"/>
      <c r="AQ810"/>
      <c r="AR810"/>
      <c r="AS810"/>
      <c r="AT810"/>
      <c r="AU810"/>
      <c r="AV810"/>
      <c r="AW810"/>
      <c r="AX810"/>
      <c r="AY810"/>
      <c r="AZ810"/>
      <c r="BA810"/>
      <c r="BB810"/>
      <c r="BC810"/>
      <c r="BD810"/>
      <c r="BE810"/>
      <c r="BF810"/>
      <c r="BG810"/>
      <c r="BH810"/>
      <c r="BI810"/>
      <c r="BJ810"/>
      <c r="BK810"/>
      <c r="BL810"/>
      <c r="BM810"/>
      <c r="BN810"/>
      <c r="BO810"/>
      <c r="BP810"/>
      <c r="BQ810"/>
      <c r="BR810"/>
      <c r="BS810"/>
      <c r="BT810"/>
      <c r="BU810"/>
      <c r="BV810"/>
      <c r="BW810"/>
      <c r="BX810"/>
    </row>
    <row r="811" spans="1:76">
      <c r="A811" s="72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/>
      <c r="AF811"/>
      <c r="AG811"/>
      <c r="AH811"/>
      <c r="AI811"/>
      <c r="AJ811"/>
      <c r="AK811"/>
      <c r="AL811"/>
      <c r="AM811"/>
      <c r="AN811"/>
      <c r="AO811"/>
      <c r="AP811"/>
      <c r="AQ811"/>
      <c r="AR811"/>
      <c r="AS811"/>
      <c r="AT811"/>
      <c r="AU811"/>
      <c r="AV811"/>
      <c r="AW811"/>
      <c r="AX811"/>
      <c r="AY811"/>
      <c r="AZ811"/>
      <c r="BA811"/>
      <c r="BB811"/>
      <c r="BC811"/>
      <c r="BD811"/>
      <c r="BE811"/>
      <c r="BF811"/>
      <c r="BG811"/>
      <c r="BH811"/>
      <c r="BI811"/>
      <c r="BJ811"/>
      <c r="BK811"/>
      <c r="BL811"/>
      <c r="BM811"/>
      <c r="BN811"/>
      <c r="BO811"/>
      <c r="BP811"/>
      <c r="BQ811"/>
      <c r="BR811"/>
      <c r="BS811"/>
      <c r="BT811"/>
      <c r="BU811"/>
      <c r="BV811"/>
      <c r="BW811"/>
      <c r="BX811"/>
    </row>
    <row r="812" spans="1:76">
      <c r="A812" s="7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/>
      <c r="AF812"/>
      <c r="AG812"/>
      <c r="AH812"/>
      <c r="AI812"/>
      <c r="AJ812"/>
      <c r="AK812"/>
      <c r="AL812"/>
      <c r="AM812"/>
      <c r="AN812"/>
      <c r="AO812"/>
      <c r="AP812"/>
      <c r="AQ812"/>
      <c r="AR812"/>
      <c r="AS812"/>
      <c r="AT812"/>
      <c r="AU812"/>
      <c r="AV812"/>
      <c r="AW812"/>
      <c r="AX812"/>
      <c r="AY812"/>
      <c r="AZ812"/>
      <c r="BA812"/>
      <c r="BB812"/>
      <c r="BC812"/>
      <c r="BD812"/>
      <c r="BE812"/>
      <c r="BF812"/>
      <c r="BG812"/>
      <c r="BH812"/>
      <c r="BI812"/>
      <c r="BJ812"/>
      <c r="BK812"/>
      <c r="BL812"/>
      <c r="BM812"/>
      <c r="BN812"/>
      <c r="BO812"/>
      <c r="BP812"/>
      <c r="BQ812"/>
      <c r="BR812"/>
      <c r="BS812"/>
      <c r="BT812"/>
      <c r="BU812"/>
      <c r="BV812"/>
      <c r="BW812"/>
      <c r="BX812"/>
    </row>
    <row r="813" spans="1:76">
      <c r="A813" s="72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/>
      <c r="AG813"/>
      <c r="AH813"/>
      <c r="AI813"/>
      <c r="AJ813"/>
      <c r="AK813"/>
      <c r="AL813"/>
      <c r="AM813"/>
      <c r="AN813"/>
      <c r="AO813"/>
      <c r="AP813"/>
      <c r="AQ813"/>
      <c r="AR813"/>
      <c r="AS813"/>
      <c r="AT813"/>
      <c r="AU813"/>
      <c r="AV813"/>
      <c r="AW813"/>
      <c r="AX813"/>
      <c r="AY813"/>
      <c r="AZ813"/>
      <c r="BA813"/>
      <c r="BB813"/>
      <c r="BC813"/>
      <c r="BD813"/>
      <c r="BE813"/>
      <c r="BF813"/>
      <c r="BG813"/>
      <c r="BH813"/>
      <c r="BI813"/>
      <c r="BJ813"/>
      <c r="BK813"/>
      <c r="BL813"/>
      <c r="BM813"/>
      <c r="BN813"/>
      <c r="BO813"/>
      <c r="BP813"/>
      <c r="BQ813"/>
      <c r="BR813"/>
      <c r="BS813"/>
      <c r="BT813"/>
      <c r="BU813"/>
      <c r="BV813"/>
      <c r="BW813"/>
      <c r="BX813"/>
    </row>
    <row r="814" spans="1:76">
      <c r="A814" s="72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/>
      <c r="AG814"/>
      <c r="AH814"/>
      <c r="AI814"/>
      <c r="AJ814"/>
      <c r="AK814"/>
      <c r="AL814"/>
      <c r="AM814"/>
      <c r="AN814"/>
      <c r="AO814"/>
      <c r="AP814"/>
      <c r="AQ814"/>
      <c r="AR814"/>
      <c r="AS814"/>
      <c r="AT814"/>
      <c r="AU814"/>
      <c r="AV814"/>
      <c r="AW814"/>
      <c r="AX814"/>
      <c r="AY814"/>
      <c r="AZ814"/>
      <c r="BA814"/>
      <c r="BB814"/>
      <c r="BC814"/>
      <c r="BD814"/>
      <c r="BE814"/>
      <c r="BF814"/>
      <c r="BG814"/>
      <c r="BH814"/>
      <c r="BI814"/>
      <c r="BJ814"/>
      <c r="BK814"/>
      <c r="BL814"/>
      <c r="BM814"/>
      <c r="BN814"/>
      <c r="BO814"/>
      <c r="BP814"/>
      <c r="BQ814"/>
      <c r="BR814"/>
      <c r="BS814"/>
      <c r="BT814"/>
      <c r="BU814"/>
      <c r="BV814"/>
      <c r="BW814"/>
      <c r="BX814"/>
    </row>
    <row r="815" spans="1:76">
      <c r="A815" s="72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/>
      <c r="AF815"/>
      <c r="AG815"/>
      <c r="AH815"/>
      <c r="AI815"/>
      <c r="AJ815"/>
      <c r="AK815"/>
      <c r="AL815"/>
      <c r="AM815"/>
      <c r="AN815"/>
      <c r="AO815"/>
      <c r="AP815"/>
      <c r="AQ815"/>
      <c r="AR815"/>
      <c r="AS815"/>
      <c r="AT815"/>
      <c r="AU815"/>
      <c r="AV815"/>
      <c r="AW815"/>
      <c r="AX815"/>
      <c r="AY815"/>
      <c r="AZ815"/>
      <c r="BA815"/>
      <c r="BB815"/>
      <c r="BC815"/>
      <c r="BD815"/>
      <c r="BE815"/>
      <c r="BF815"/>
      <c r="BG815"/>
      <c r="BH815"/>
      <c r="BI815"/>
      <c r="BJ815"/>
      <c r="BK815"/>
      <c r="BL815"/>
      <c r="BM815"/>
      <c r="BN815"/>
      <c r="BO815"/>
      <c r="BP815"/>
      <c r="BQ815"/>
      <c r="BR815"/>
      <c r="BS815"/>
      <c r="BT815"/>
      <c r="BU815"/>
      <c r="BV815"/>
      <c r="BW815"/>
      <c r="BX815"/>
    </row>
    <row r="816" spans="1:76">
      <c r="A816" s="72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/>
      <c r="AE816"/>
      <c r="AF816"/>
      <c r="AG816"/>
      <c r="AH816"/>
      <c r="AI816"/>
      <c r="AJ816"/>
      <c r="AK816"/>
      <c r="AL816"/>
      <c r="AM816"/>
      <c r="AN816"/>
      <c r="AO816"/>
      <c r="AP816"/>
      <c r="AQ816"/>
      <c r="AR816"/>
      <c r="AS816"/>
      <c r="AT816"/>
      <c r="AU816"/>
      <c r="AV816"/>
      <c r="AW816"/>
      <c r="AX816"/>
      <c r="AY816"/>
      <c r="AZ816"/>
      <c r="BA816"/>
      <c r="BB816"/>
      <c r="BC816"/>
      <c r="BD816"/>
      <c r="BE816"/>
      <c r="BF816"/>
      <c r="BG816"/>
      <c r="BH816"/>
      <c r="BI816"/>
      <c r="BJ816"/>
      <c r="BK816"/>
      <c r="BL816"/>
      <c r="BM816"/>
      <c r="BN816"/>
      <c r="BO816"/>
      <c r="BP816"/>
      <c r="BQ816"/>
      <c r="BR816"/>
      <c r="BS816"/>
      <c r="BT816"/>
      <c r="BU816"/>
      <c r="BV816"/>
      <c r="BW816"/>
      <c r="BX816"/>
    </row>
    <row r="817" spans="1:76">
      <c r="A817" s="72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/>
      <c r="AF817"/>
      <c r="AG817"/>
      <c r="AH817"/>
      <c r="AI817"/>
      <c r="AJ817"/>
      <c r="AK817"/>
      <c r="AL817"/>
      <c r="AM817"/>
      <c r="AN817"/>
      <c r="AO817"/>
      <c r="AP817"/>
      <c r="AQ817"/>
      <c r="AR817"/>
      <c r="AS817"/>
      <c r="AT817"/>
      <c r="AU817"/>
      <c r="AV817"/>
      <c r="AW817"/>
      <c r="AX817"/>
      <c r="AY817"/>
      <c r="AZ817"/>
      <c r="BA817"/>
      <c r="BB817"/>
      <c r="BC817"/>
      <c r="BD817"/>
      <c r="BE817"/>
      <c r="BF817"/>
      <c r="BG817"/>
      <c r="BH817"/>
      <c r="BI817"/>
      <c r="BJ817"/>
      <c r="BK817"/>
      <c r="BL817"/>
      <c r="BM817"/>
      <c r="BN817"/>
      <c r="BO817"/>
      <c r="BP817"/>
      <c r="BQ817"/>
      <c r="BR817"/>
      <c r="BS817"/>
      <c r="BT817"/>
      <c r="BU817"/>
      <c r="BV817"/>
      <c r="BW817"/>
      <c r="BX817"/>
    </row>
    <row r="818" spans="1:76">
      <c r="A818" s="72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  <c r="AC818"/>
      <c r="AD818"/>
      <c r="AE818"/>
      <c r="AF818"/>
      <c r="AG818"/>
      <c r="AH818"/>
      <c r="AI818"/>
      <c r="AJ818"/>
      <c r="AK818"/>
      <c r="AL818"/>
      <c r="AM818"/>
      <c r="AN818"/>
      <c r="AO818"/>
      <c r="AP818"/>
      <c r="AQ818"/>
      <c r="AR818"/>
      <c r="AS818"/>
      <c r="AT818"/>
      <c r="AU818"/>
      <c r="AV818"/>
      <c r="AW818"/>
      <c r="AX818"/>
      <c r="AY818"/>
      <c r="AZ818"/>
      <c r="BA818"/>
      <c r="BB818"/>
      <c r="BC818"/>
      <c r="BD818"/>
      <c r="BE818"/>
      <c r="BF818"/>
      <c r="BG818"/>
      <c r="BH818"/>
      <c r="BI818"/>
      <c r="BJ818"/>
      <c r="BK818"/>
      <c r="BL818"/>
      <c r="BM818"/>
      <c r="BN818"/>
      <c r="BO818"/>
      <c r="BP818"/>
      <c r="BQ818"/>
      <c r="BR818"/>
      <c r="BS818"/>
      <c r="BT818"/>
      <c r="BU818"/>
      <c r="BV818"/>
      <c r="BW818"/>
      <c r="BX818"/>
    </row>
    <row r="819" spans="1:76">
      <c r="A819" s="72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/>
      <c r="AF819"/>
      <c r="AG819"/>
      <c r="AH819"/>
      <c r="AI819"/>
      <c r="AJ819"/>
      <c r="AK819"/>
      <c r="AL819"/>
      <c r="AM819"/>
      <c r="AN819"/>
      <c r="AO819"/>
      <c r="AP819"/>
      <c r="AQ819"/>
      <c r="AR819"/>
      <c r="AS819"/>
      <c r="AT819"/>
      <c r="AU819"/>
      <c r="AV819"/>
      <c r="AW819"/>
      <c r="AX819"/>
      <c r="AY819"/>
      <c r="AZ819"/>
      <c r="BA819"/>
      <c r="BB819"/>
      <c r="BC819"/>
      <c r="BD819"/>
      <c r="BE819"/>
      <c r="BF819"/>
      <c r="BG819"/>
      <c r="BH819"/>
      <c r="BI819"/>
      <c r="BJ819"/>
      <c r="BK819"/>
      <c r="BL819"/>
      <c r="BM819"/>
      <c r="BN819"/>
      <c r="BO819"/>
      <c r="BP819"/>
      <c r="BQ819"/>
      <c r="BR819"/>
      <c r="BS819"/>
      <c r="BT819"/>
      <c r="BU819"/>
      <c r="BV819"/>
      <c r="BW819"/>
      <c r="BX819"/>
    </row>
    <row r="820" spans="1:76">
      <c r="A820" s="72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/>
      <c r="AD820"/>
      <c r="AE820"/>
      <c r="AF820"/>
      <c r="AG820"/>
      <c r="AH820"/>
      <c r="AI820"/>
      <c r="AJ820"/>
      <c r="AK820"/>
      <c r="AL820"/>
      <c r="AM820"/>
      <c r="AN820"/>
      <c r="AO820"/>
      <c r="AP820"/>
      <c r="AQ820"/>
      <c r="AR820"/>
      <c r="AS820"/>
      <c r="AT820"/>
      <c r="AU820"/>
      <c r="AV820"/>
      <c r="AW820"/>
      <c r="AX820"/>
      <c r="AY820"/>
      <c r="AZ820"/>
      <c r="BA820"/>
      <c r="BB820"/>
      <c r="BC820"/>
      <c r="BD820"/>
      <c r="BE820"/>
      <c r="BF820"/>
      <c r="BG820"/>
      <c r="BH820"/>
      <c r="BI820"/>
      <c r="BJ820"/>
      <c r="BK820"/>
      <c r="BL820"/>
      <c r="BM820"/>
      <c r="BN820"/>
      <c r="BO820"/>
      <c r="BP820"/>
      <c r="BQ820"/>
      <c r="BR820"/>
      <c r="BS820"/>
      <c r="BT820"/>
      <c r="BU820"/>
      <c r="BV820"/>
      <c r="BW820"/>
      <c r="BX820"/>
    </row>
    <row r="821" spans="1:76">
      <c r="A821" s="72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  <c r="AD821"/>
      <c r="AE821"/>
      <c r="AF821"/>
      <c r="AG821"/>
      <c r="AH821"/>
      <c r="AI821"/>
      <c r="AJ821"/>
      <c r="AK821"/>
      <c r="AL821"/>
      <c r="AM821"/>
      <c r="AN821"/>
      <c r="AO821"/>
      <c r="AP821"/>
      <c r="AQ821"/>
      <c r="AR821"/>
      <c r="AS821"/>
      <c r="AT821"/>
      <c r="AU821"/>
      <c r="AV821"/>
      <c r="AW821"/>
      <c r="AX821"/>
      <c r="AY821"/>
      <c r="AZ821"/>
      <c r="BA821"/>
      <c r="BB821"/>
      <c r="BC821"/>
      <c r="BD821"/>
      <c r="BE821"/>
      <c r="BF821"/>
      <c r="BG821"/>
      <c r="BH821"/>
      <c r="BI821"/>
      <c r="BJ821"/>
      <c r="BK821"/>
      <c r="BL821"/>
      <c r="BM821"/>
      <c r="BN821"/>
      <c r="BO821"/>
      <c r="BP821"/>
      <c r="BQ821"/>
      <c r="BR821"/>
      <c r="BS821"/>
      <c r="BT821"/>
      <c r="BU821"/>
      <c r="BV821"/>
      <c r="BW821"/>
      <c r="BX821"/>
    </row>
    <row r="822" spans="1:76">
      <c r="A822" s="7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/>
      <c r="AF822"/>
      <c r="AG822"/>
      <c r="AH822"/>
      <c r="AI822"/>
      <c r="AJ822"/>
      <c r="AK822"/>
      <c r="AL822"/>
      <c r="AM822"/>
      <c r="AN822"/>
      <c r="AO822"/>
      <c r="AP822"/>
      <c r="AQ822"/>
      <c r="AR822"/>
      <c r="AS822"/>
      <c r="AT822"/>
      <c r="AU822"/>
      <c r="AV822"/>
      <c r="AW822"/>
      <c r="AX822"/>
      <c r="AY822"/>
      <c r="AZ822"/>
      <c r="BA822"/>
      <c r="BB822"/>
      <c r="BC822"/>
      <c r="BD822"/>
      <c r="BE822"/>
      <c r="BF822"/>
      <c r="BG822"/>
      <c r="BH822"/>
      <c r="BI822"/>
      <c r="BJ822"/>
      <c r="BK822"/>
      <c r="BL822"/>
      <c r="BM822"/>
      <c r="BN822"/>
      <c r="BO822"/>
      <c r="BP822"/>
      <c r="BQ822"/>
      <c r="BR822"/>
      <c r="BS822"/>
      <c r="BT822"/>
      <c r="BU822"/>
      <c r="BV822"/>
      <c r="BW822"/>
      <c r="BX822"/>
    </row>
    <row r="823" spans="1:76">
      <c r="A823" s="72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/>
      <c r="AF823"/>
      <c r="AG823"/>
      <c r="AH823"/>
      <c r="AI823"/>
      <c r="AJ823"/>
      <c r="AK823"/>
      <c r="AL823"/>
      <c r="AM823"/>
      <c r="AN823"/>
      <c r="AO823"/>
      <c r="AP823"/>
      <c r="AQ823"/>
      <c r="AR823"/>
      <c r="AS823"/>
      <c r="AT823"/>
      <c r="AU823"/>
      <c r="AV823"/>
      <c r="AW823"/>
      <c r="AX823"/>
      <c r="AY823"/>
      <c r="AZ823"/>
      <c r="BA823"/>
      <c r="BB823"/>
      <c r="BC823"/>
      <c r="BD823"/>
      <c r="BE823"/>
      <c r="BF823"/>
      <c r="BG823"/>
      <c r="BH823"/>
      <c r="BI823"/>
      <c r="BJ823"/>
      <c r="BK823"/>
      <c r="BL823"/>
      <c r="BM823"/>
      <c r="BN823"/>
      <c r="BO823"/>
      <c r="BP823"/>
      <c r="BQ823"/>
      <c r="BR823"/>
      <c r="BS823"/>
      <c r="BT823"/>
      <c r="BU823"/>
      <c r="BV823"/>
      <c r="BW823"/>
      <c r="BX823"/>
    </row>
    <row r="824" spans="1:76">
      <c r="A824" s="72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/>
      <c r="AF824"/>
      <c r="AG824"/>
      <c r="AH824"/>
      <c r="AI824"/>
      <c r="AJ824"/>
      <c r="AK824"/>
      <c r="AL824"/>
      <c r="AM824"/>
      <c r="AN824"/>
      <c r="AO824"/>
      <c r="AP824"/>
      <c r="AQ824"/>
      <c r="AR824"/>
      <c r="AS824"/>
      <c r="AT824"/>
      <c r="AU824"/>
      <c r="AV824"/>
      <c r="AW824"/>
      <c r="AX824"/>
      <c r="AY824"/>
      <c r="AZ824"/>
      <c r="BA824"/>
      <c r="BB824"/>
      <c r="BC824"/>
      <c r="BD824"/>
      <c r="BE824"/>
      <c r="BF824"/>
      <c r="BG824"/>
      <c r="BH824"/>
      <c r="BI824"/>
      <c r="BJ824"/>
      <c r="BK824"/>
      <c r="BL824"/>
      <c r="BM824"/>
      <c r="BN824"/>
      <c r="BO824"/>
      <c r="BP824"/>
      <c r="BQ824"/>
      <c r="BR824"/>
      <c r="BS824"/>
      <c r="BT824"/>
      <c r="BU824"/>
      <c r="BV824"/>
      <c r="BW824"/>
      <c r="BX824"/>
    </row>
    <row r="825" spans="1:76">
      <c r="A825" s="72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/>
      <c r="AF825"/>
      <c r="AG825"/>
      <c r="AH825"/>
      <c r="AI825"/>
      <c r="AJ825"/>
      <c r="AK825"/>
      <c r="AL825"/>
      <c r="AM825"/>
      <c r="AN825"/>
      <c r="AO825"/>
      <c r="AP825"/>
      <c r="AQ825"/>
      <c r="AR825"/>
      <c r="AS825"/>
      <c r="AT825"/>
      <c r="AU825"/>
      <c r="AV825"/>
      <c r="AW825"/>
      <c r="AX825"/>
      <c r="AY825"/>
      <c r="AZ825"/>
      <c r="BA825"/>
      <c r="BB825"/>
      <c r="BC825"/>
      <c r="BD825"/>
      <c r="BE825"/>
      <c r="BF825"/>
      <c r="BG825"/>
      <c r="BH825"/>
      <c r="BI825"/>
      <c r="BJ825"/>
      <c r="BK825"/>
      <c r="BL825"/>
      <c r="BM825"/>
      <c r="BN825"/>
      <c r="BO825"/>
      <c r="BP825"/>
      <c r="BQ825"/>
      <c r="BR825"/>
      <c r="BS825"/>
      <c r="BT825"/>
      <c r="BU825"/>
      <c r="BV825"/>
      <c r="BW825"/>
      <c r="BX825"/>
    </row>
    <row r="826" spans="1:76">
      <c r="A826" s="72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/>
      <c r="AF826"/>
      <c r="AG826"/>
      <c r="AH826"/>
      <c r="AI826"/>
      <c r="AJ826"/>
      <c r="AK826"/>
      <c r="AL826"/>
      <c r="AM826"/>
      <c r="AN826"/>
      <c r="AO826"/>
      <c r="AP826"/>
      <c r="AQ826"/>
      <c r="AR826"/>
      <c r="AS826"/>
      <c r="AT826"/>
      <c r="AU826"/>
      <c r="AV826"/>
      <c r="AW826"/>
      <c r="AX826"/>
      <c r="AY826"/>
      <c r="AZ826"/>
      <c r="BA826"/>
      <c r="BB826"/>
      <c r="BC826"/>
      <c r="BD826"/>
      <c r="BE826"/>
      <c r="BF826"/>
      <c r="BG826"/>
      <c r="BH826"/>
      <c r="BI826"/>
      <c r="BJ826"/>
      <c r="BK826"/>
      <c r="BL826"/>
      <c r="BM826"/>
      <c r="BN826"/>
      <c r="BO826"/>
      <c r="BP826"/>
      <c r="BQ826"/>
      <c r="BR826"/>
      <c r="BS826"/>
      <c r="BT826"/>
      <c r="BU826"/>
      <c r="BV826"/>
      <c r="BW826"/>
      <c r="BX826"/>
    </row>
    <row r="827" spans="1:76">
      <c r="A827" s="72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/>
      <c r="AF827"/>
      <c r="AG827"/>
      <c r="AH827"/>
      <c r="AI827"/>
      <c r="AJ827"/>
      <c r="AK827"/>
      <c r="AL827"/>
      <c r="AM827"/>
      <c r="AN827"/>
      <c r="AO827"/>
      <c r="AP827"/>
      <c r="AQ827"/>
      <c r="AR827"/>
      <c r="AS827"/>
      <c r="AT827"/>
      <c r="AU827"/>
      <c r="AV827"/>
      <c r="AW827"/>
      <c r="AX827"/>
      <c r="AY827"/>
      <c r="AZ827"/>
      <c r="BA827"/>
      <c r="BB827"/>
      <c r="BC827"/>
      <c r="BD827"/>
      <c r="BE827"/>
      <c r="BF827"/>
      <c r="BG827"/>
      <c r="BH827"/>
      <c r="BI827"/>
      <c r="BJ827"/>
      <c r="BK827"/>
      <c r="BL827"/>
      <c r="BM827"/>
      <c r="BN827"/>
      <c r="BO827"/>
      <c r="BP827"/>
      <c r="BQ827"/>
      <c r="BR827"/>
      <c r="BS827"/>
      <c r="BT827"/>
      <c r="BU827"/>
      <c r="BV827"/>
      <c r="BW827"/>
      <c r="BX827"/>
    </row>
    <row r="828" spans="1:76">
      <c r="A828" s="72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/>
      <c r="AF828"/>
      <c r="AG828"/>
      <c r="AH828"/>
      <c r="AI828"/>
      <c r="AJ828"/>
      <c r="AK828"/>
      <c r="AL828"/>
      <c r="AM828"/>
      <c r="AN828"/>
      <c r="AO828"/>
      <c r="AP828"/>
      <c r="AQ828"/>
      <c r="AR828"/>
      <c r="AS828"/>
      <c r="AT828"/>
      <c r="AU828"/>
      <c r="AV828"/>
      <c r="AW828"/>
      <c r="AX828"/>
      <c r="AY828"/>
      <c r="AZ828"/>
      <c r="BA828"/>
      <c r="BB828"/>
      <c r="BC828"/>
      <c r="BD828"/>
      <c r="BE828"/>
      <c r="BF828"/>
      <c r="BG828"/>
      <c r="BH828"/>
      <c r="BI828"/>
      <c r="BJ828"/>
      <c r="BK828"/>
      <c r="BL828"/>
      <c r="BM828"/>
      <c r="BN828"/>
      <c r="BO828"/>
      <c r="BP828"/>
      <c r="BQ828"/>
      <c r="BR828"/>
      <c r="BS828"/>
      <c r="BT828"/>
      <c r="BU828"/>
      <c r="BV828"/>
      <c r="BW828"/>
      <c r="BX828"/>
    </row>
    <row r="829" spans="1:76">
      <c r="A829" s="72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  <c r="AF829"/>
      <c r="AG829"/>
      <c r="AH829"/>
      <c r="AI829"/>
      <c r="AJ829"/>
      <c r="AK829"/>
      <c r="AL829"/>
      <c r="AM829"/>
      <c r="AN829"/>
      <c r="AO829"/>
      <c r="AP829"/>
      <c r="AQ829"/>
      <c r="AR829"/>
      <c r="AS829"/>
      <c r="AT829"/>
      <c r="AU829"/>
      <c r="AV829"/>
      <c r="AW829"/>
      <c r="AX829"/>
      <c r="AY829"/>
      <c r="AZ829"/>
      <c r="BA829"/>
      <c r="BB829"/>
      <c r="BC829"/>
      <c r="BD829"/>
      <c r="BE829"/>
      <c r="BF829"/>
      <c r="BG829"/>
      <c r="BH829"/>
      <c r="BI829"/>
      <c r="BJ829"/>
      <c r="BK829"/>
      <c r="BL829"/>
      <c r="BM829"/>
      <c r="BN829"/>
      <c r="BO829"/>
      <c r="BP829"/>
      <c r="BQ829"/>
      <c r="BR829"/>
      <c r="BS829"/>
      <c r="BT829"/>
      <c r="BU829"/>
      <c r="BV829"/>
      <c r="BW829"/>
      <c r="BX829"/>
    </row>
    <row r="830" spans="1:76">
      <c r="A830" s="72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/>
      <c r="AF830"/>
      <c r="AG830"/>
      <c r="AH830"/>
      <c r="AI830"/>
      <c r="AJ830"/>
      <c r="AK830"/>
      <c r="AL830"/>
      <c r="AM830"/>
      <c r="AN830"/>
      <c r="AO830"/>
      <c r="AP830"/>
      <c r="AQ830"/>
      <c r="AR830"/>
      <c r="AS830"/>
      <c r="AT830"/>
      <c r="AU830"/>
      <c r="AV830"/>
      <c r="AW830"/>
      <c r="AX830"/>
      <c r="AY830"/>
      <c r="AZ830"/>
      <c r="BA830"/>
      <c r="BB830"/>
      <c r="BC830"/>
      <c r="BD830"/>
      <c r="BE830"/>
      <c r="BF830"/>
      <c r="BG830"/>
      <c r="BH830"/>
      <c r="BI830"/>
      <c r="BJ830"/>
      <c r="BK830"/>
      <c r="BL830"/>
      <c r="BM830"/>
      <c r="BN830"/>
      <c r="BO830"/>
      <c r="BP830"/>
      <c r="BQ830"/>
      <c r="BR830"/>
      <c r="BS830"/>
      <c r="BT830"/>
      <c r="BU830"/>
      <c r="BV830"/>
      <c r="BW830"/>
      <c r="BX830"/>
    </row>
    <row r="831" spans="1:76">
      <c r="A831" s="72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/>
      <c r="AG831"/>
      <c r="AH831"/>
      <c r="AI831"/>
      <c r="AJ831"/>
      <c r="AK831"/>
      <c r="AL831"/>
      <c r="AM831"/>
      <c r="AN831"/>
      <c r="AO831"/>
      <c r="AP831"/>
      <c r="AQ831"/>
      <c r="AR831"/>
      <c r="AS831"/>
      <c r="AT831"/>
      <c r="AU831"/>
      <c r="AV831"/>
      <c r="AW831"/>
      <c r="AX831"/>
      <c r="AY831"/>
      <c r="AZ831"/>
      <c r="BA831"/>
      <c r="BB831"/>
      <c r="BC831"/>
      <c r="BD831"/>
      <c r="BE831"/>
      <c r="BF831"/>
      <c r="BG831"/>
      <c r="BH831"/>
      <c r="BI831"/>
      <c r="BJ831"/>
      <c r="BK831"/>
      <c r="BL831"/>
      <c r="BM831"/>
      <c r="BN831"/>
      <c r="BO831"/>
      <c r="BP831"/>
      <c r="BQ831"/>
      <c r="BR831"/>
      <c r="BS831"/>
      <c r="BT831"/>
      <c r="BU831"/>
      <c r="BV831"/>
      <c r="BW831"/>
      <c r="BX831"/>
    </row>
    <row r="832" spans="1:76">
      <c r="A832" s="7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/>
      <c r="AF832"/>
      <c r="AG832"/>
      <c r="AH832"/>
      <c r="AI832"/>
      <c r="AJ832"/>
      <c r="AK832"/>
      <c r="AL832"/>
      <c r="AM832"/>
      <c r="AN832"/>
      <c r="AO832"/>
      <c r="AP832"/>
      <c r="AQ832"/>
      <c r="AR832"/>
      <c r="AS832"/>
      <c r="AT832"/>
      <c r="AU832"/>
      <c r="AV832"/>
      <c r="AW832"/>
      <c r="AX832"/>
      <c r="AY832"/>
      <c r="AZ832"/>
      <c r="BA832"/>
      <c r="BB832"/>
      <c r="BC832"/>
      <c r="BD832"/>
      <c r="BE832"/>
      <c r="BF832"/>
      <c r="BG832"/>
      <c r="BH832"/>
      <c r="BI832"/>
      <c r="BJ832"/>
      <c r="BK832"/>
      <c r="BL832"/>
      <c r="BM832"/>
      <c r="BN832"/>
      <c r="BO832"/>
      <c r="BP832"/>
      <c r="BQ832"/>
      <c r="BR832"/>
      <c r="BS832"/>
      <c r="BT832"/>
      <c r="BU832"/>
      <c r="BV832"/>
      <c r="BW832"/>
      <c r="BX832"/>
    </row>
    <row r="833" spans="1:76">
      <c r="A833" s="72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/>
      <c r="AD833"/>
      <c r="AE833"/>
      <c r="AF833"/>
      <c r="AG833"/>
      <c r="AH833"/>
      <c r="AI833"/>
      <c r="AJ833"/>
      <c r="AK833"/>
      <c r="AL833"/>
      <c r="AM833"/>
      <c r="AN833"/>
      <c r="AO833"/>
      <c r="AP833"/>
      <c r="AQ833"/>
      <c r="AR833"/>
      <c r="AS833"/>
      <c r="AT833"/>
      <c r="AU833"/>
      <c r="AV833"/>
      <c r="AW833"/>
      <c r="AX833"/>
      <c r="AY833"/>
      <c r="AZ833"/>
      <c r="BA833"/>
      <c r="BB833"/>
      <c r="BC833"/>
      <c r="BD833"/>
      <c r="BE833"/>
      <c r="BF833"/>
      <c r="BG833"/>
      <c r="BH833"/>
      <c r="BI833"/>
      <c r="BJ833"/>
      <c r="BK833"/>
      <c r="BL833"/>
      <c r="BM833"/>
      <c r="BN833"/>
      <c r="BO833"/>
      <c r="BP833"/>
      <c r="BQ833"/>
      <c r="BR833"/>
      <c r="BS833"/>
      <c r="BT833"/>
      <c r="BU833"/>
      <c r="BV833"/>
      <c r="BW833"/>
      <c r="BX833"/>
    </row>
    <row r="834" spans="1:76">
      <c r="A834" s="72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/>
      <c r="AF834"/>
      <c r="AG834"/>
      <c r="AH834"/>
      <c r="AI834"/>
      <c r="AJ834"/>
      <c r="AK834"/>
      <c r="AL834"/>
      <c r="AM834"/>
      <c r="AN834"/>
      <c r="AO834"/>
      <c r="AP834"/>
      <c r="AQ834"/>
      <c r="AR834"/>
      <c r="AS834"/>
      <c r="AT834"/>
      <c r="AU834"/>
      <c r="AV834"/>
      <c r="AW834"/>
      <c r="AX834"/>
      <c r="AY834"/>
      <c r="AZ834"/>
      <c r="BA834"/>
      <c r="BB834"/>
      <c r="BC834"/>
      <c r="BD834"/>
      <c r="BE834"/>
      <c r="BF834"/>
      <c r="BG834"/>
      <c r="BH834"/>
      <c r="BI834"/>
      <c r="BJ834"/>
      <c r="BK834"/>
      <c r="BL834"/>
      <c r="BM834"/>
      <c r="BN834"/>
      <c r="BO834"/>
      <c r="BP834"/>
      <c r="BQ834"/>
      <c r="BR834"/>
      <c r="BS834"/>
      <c r="BT834"/>
      <c r="BU834"/>
      <c r="BV834"/>
      <c r="BW834"/>
      <c r="BX834"/>
    </row>
    <row r="835" spans="1:76">
      <c r="A835" s="72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/>
      <c r="AE835"/>
      <c r="AF835"/>
      <c r="AG835"/>
      <c r="AH835"/>
      <c r="AI835"/>
      <c r="AJ835"/>
      <c r="AK835"/>
      <c r="AL835"/>
      <c r="AM835"/>
      <c r="AN835"/>
      <c r="AO835"/>
      <c r="AP835"/>
      <c r="AQ835"/>
      <c r="AR835"/>
      <c r="AS835"/>
      <c r="AT835"/>
      <c r="AU835"/>
      <c r="AV835"/>
      <c r="AW835"/>
      <c r="AX835"/>
      <c r="AY835"/>
      <c r="AZ835"/>
      <c r="BA835"/>
      <c r="BB835"/>
      <c r="BC835"/>
      <c r="BD835"/>
      <c r="BE835"/>
      <c r="BF835"/>
      <c r="BG835"/>
      <c r="BH835"/>
      <c r="BI835"/>
      <c r="BJ835"/>
      <c r="BK835"/>
      <c r="BL835"/>
      <c r="BM835"/>
      <c r="BN835"/>
      <c r="BO835"/>
      <c r="BP835"/>
      <c r="BQ835"/>
      <c r="BR835"/>
      <c r="BS835"/>
      <c r="BT835"/>
      <c r="BU835"/>
      <c r="BV835"/>
      <c r="BW835"/>
      <c r="BX835"/>
    </row>
    <row r="836" spans="1:76">
      <c r="A836" s="72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/>
      <c r="AF836"/>
      <c r="AG836"/>
      <c r="AH836"/>
      <c r="AI836"/>
      <c r="AJ836"/>
      <c r="AK836"/>
      <c r="AL836"/>
      <c r="AM836"/>
      <c r="AN836"/>
      <c r="AO836"/>
      <c r="AP836"/>
      <c r="AQ836"/>
      <c r="AR836"/>
      <c r="AS836"/>
      <c r="AT836"/>
      <c r="AU836"/>
      <c r="AV836"/>
      <c r="AW836"/>
      <c r="AX836"/>
      <c r="AY836"/>
      <c r="AZ836"/>
      <c r="BA836"/>
      <c r="BB836"/>
      <c r="BC836"/>
      <c r="BD836"/>
      <c r="BE836"/>
      <c r="BF836"/>
      <c r="BG836"/>
      <c r="BH836"/>
      <c r="BI836"/>
      <c r="BJ836"/>
      <c r="BK836"/>
      <c r="BL836"/>
      <c r="BM836"/>
      <c r="BN836"/>
      <c r="BO836"/>
      <c r="BP836"/>
      <c r="BQ836"/>
      <c r="BR836"/>
      <c r="BS836"/>
      <c r="BT836"/>
      <c r="BU836"/>
      <c r="BV836"/>
      <c r="BW836"/>
      <c r="BX836"/>
    </row>
    <row r="837" spans="1:76">
      <c r="A837" s="72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  <c r="AD837"/>
      <c r="AE837"/>
      <c r="AF837"/>
      <c r="AG837"/>
      <c r="AH837"/>
      <c r="AI837"/>
      <c r="AJ837"/>
      <c r="AK837"/>
      <c r="AL837"/>
      <c r="AM837"/>
      <c r="AN837"/>
      <c r="AO837"/>
      <c r="AP837"/>
      <c r="AQ837"/>
      <c r="AR837"/>
      <c r="AS837"/>
      <c r="AT837"/>
      <c r="AU837"/>
      <c r="AV837"/>
      <c r="AW837"/>
      <c r="AX837"/>
      <c r="AY837"/>
      <c r="AZ837"/>
      <c r="BA837"/>
      <c r="BB837"/>
      <c r="BC837"/>
      <c r="BD837"/>
      <c r="BE837"/>
      <c r="BF837"/>
      <c r="BG837"/>
      <c r="BH837"/>
      <c r="BI837"/>
      <c r="BJ837"/>
      <c r="BK837"/>
      <c r="BL837"/>
      <c r="BM837"/>
      <c r="BN837"/>
      <c r="BO837"/>
      <c r="BP837"/>
      <c r="BQ837"/>
      <c r="BR837"/>
      <c r="BS837"/>
      <c r="BT837"/>
      <c r="BU837"/>
      <c r="BV837"/>
      <c r="BW837"/>
      <c r="BX837"/>
    </row>
    <row r="838" spans="1:76">
      <c r="A838" s="72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/>
      <c r="AF838"/>
      <c r="AG838"/>
      <c r="AH838"/>
      <c r="AI838"/>
      <c r="AJ838"/>
      <c r="AK838"/>
      <c r="AL838"/>
      <c r="AM838"/>
      <c r="AN838"/>
      <c r="AO838"/>
      <c r="AP838"/>
      <c r="AQ838"/>
      <c r="AR838"/>
      <c r="AS838"/>
      <c r="AT838"/>
      <c r="AU838"/>
      <c r="AV838"/>
      <c r="AW838"/>
      <c r="AX838"/>
      <c r="AY838"/>
      <c r="AZ838"/>
      <c r="BA838"/>
      <c r="BB838"/>
      <c r="BC838"/>
      <c r="BD838"/>
      <c r="BE838"/>
      <c r="BF838"/>
      <c r="BG838"/>
      <c r="BH838"/>
      <c r="BI838"/>
      <c r="BJ838"/>
      <c r="BK838"/>
      <c r="BL838"/>
      <c r="BM838"/>
      <c r="BN838"/>
      <c r="BO838"/>
      <c r="BP838"/>
      <c r="BQ838"/>
      <c r="BR838"/>
      <c r="BS838"/>
      <c r="BT838"/>
      <c r="BU838"/>
      <c r="BV838"/>
      <c r="BW838"/>
      <c r="BX838"/>
    </row>
    <row r="839" spans="1:76">
      <c r="A839" s="72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/>
      <c r="AF839"/>
      <c r="AG839"/>
      <c r="AH839"/>
      <c r="AI839"/>
      <c r="AJ839"/>
      <c r="AK839"/>
      <c r="AL839"/>
      <c r="AM839"/>
      <c r="AN839"/>
      <c r="AO839"/>
      <c r="AP839"/>
      <c r="AQ839"/>
      <c r="AR839"/>
      <c r="AS839"/>
      <c r="AT839"/>
      <c r="AU839"/>
      <c r="AV839"/>
      <c r="AW839"/>
      <c r="AX839"/>
      <c r="AY839"/>
      <c r="AZ839"/>
      <c r="BA839"/>
      <c r="BB839"/>
      <c r="BC839"/>
      <c r="BD839"/>
      <c r="BE839"/>
      <c r="BF839"/>
      <c r="BG839"/>
      <c r="BH839"/>
      <c r="BI839"/>
      <c r="BJ839"/>
      <c r="BK839"/>
      <c r="BL839"/>
      <c r="BM839"/>
      <c r="BN839"/>
      <c r="BO839"/>
      <c r="BP839"/>
      <c r="BQ839"/>
      <c r="BR839"/>
      <c r="BS839"/>
      <c r="BT839"/>
      <c r="BU839"/>
      <c r="BV839"/>
      <c r="BW839"/>
      <c r="BX839"/>
    </row>
    <row r="840" spans="1:76">
      <c r="A840" s="72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  <c r="AC840"/>
      <c r="AD840"/>
      <c r="AE840"/>
      <c r="AF840"/>
      <c r="AG840"/>
      <c r="AH840"/>
      <c r="AI840"/>
      <c r="AJ840"/>
      <c r="AK840"/>
      <c r="AL840"/>
      <c r="AM840"/>
      <c r="AN840"/>
      <c r="AO840"/>
      <c r="AP840"/>
      <c r="AQ840"/>
      <c r="AR840"/>
      <c r="AS840"/>
      <c r="AT840"/>
      <c r="AU840"/>
      <c r="AV840"/>
      <c r="AW840"/>
      <c r="AX840"/>
      <c r="AY840"/>
      <c r="AZ840"/>
      <c r="BA840"/>
      <c r="BB840"/>
      <c r="BC840"/>
      <c r="BD840"/>
      <c r="BE840"/>
      <c r="BF840"/>
      <c r="BG840"/>
      <c r="BH840"/>
      <c r="BI840"/>
      <c r="BJ840"/>
      <c r="BK840"/>
      <c r="BL840"/>
      <c r="BM840"/>
      <c r="BN840"/>
      <c r="BO840"/>
      <c r="BP840"/>
      <c r="BQ840"/>
      <c r="BR840"/>
      <c r="BS840"/>
      <c r="BT840"/>
      <c r="BU840"/>
      <c r="BV840"/>
      <c r="BW840"/>
      <c r="BX840"/>
    </row>
    <row r="841" spans="1:76">
      <c r="A841" s="72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/>
      <c r="AF841"/>
      <c r="AG841"/>
      <c r="AH841"/>
      <c r="AI841"/>
      <c r="AJ841"/>
      <c r="AK841"/>
      <c r="AL841"/>
      <c r="AM841"/>
      <c r="AN841"/>
      <c r="AO841"/>
      <c r="AP841"/>
      <c r="AQ841"/>
      <c r="AR841"/>
      <c r="AS841"/>
      <c r="AT841"/>
      <c r="AU841"/>
      <c r="AV841"/>
      <c r="AW841"/>
      <c r="AX841"/>
      <c r="AY841"/>
      <c r="AZ841"/>
      <c r="BA841"/>
      <c r="BB841"/>
      <c r="BC841"/>
      <c r="BD841"/>
      <c r="BE841"/>
      <c r="BF841"/>
      <c r="BG841"/>
      <c r="BH841"/>
      <c r="BI841"/>
      <c r="BJ841"/>
      <c r="BK841"/>
      <c r="BL841"/>
      <c r="BM841"/>
      <c r="BN841"/>
      <c r="BO841"/>
      <c r="BP841"/>
      <c r="BQ841"/>
      <c r="BR841"/>
      <c r="BS841"/>
      <c r="BT841"/>
      <c r="BU841"/>
      <c r="BV841"/>
      <c r="BW841"/>
      <c r="BX841"/>
    </row>
    <row r="842" spans="1:76">
      <c r="A842" s="7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/>
      <c r="AF842"/>
      <c r="AG842"/>
      <c r="AH842"/>
      <c r="AI842"/>
      <c r="AJ842"/>
      <c r="AK842"/>
      <c r="AL842"/>
      <c r="AM842"/>
      <c r="AN842"/>
      <c r="AO842"/>
      <c r="AP842"/>
      <c r="AQ842"/>
      <c r="AR842"/>
      <c r="AS842"/>
      <c r="AT842"/>
      <c r="AU842"/>
      <c r="AV842"/>
      <c r="AW842"/>
      <c r="AX842"/>
      <c r="AY842"/>
      <c r="AZ842"/>
      <c r="BA842"/>
      <c r="BB842"/>
      <c r="BC842"/>
      <c r="BD842"/>
      <c r="BE842"/>
      <c r="BF842"/>
      <c r="BG842"/>
      <c r="BH842"/>
      <c r="BI842"/>
      <c r="BJ842"/>
      <c r="BK842"/>
      <c r="BL842"/>
      <c r="BM842"/>
      <c r="BN842"/>
      <c r="BO842"/>
      <c r="BP842"/>
      <c r="BQ842"/>
      <c r="BR842"/>
      <c r="BS842"/>
      <c r="BT842"/>
      <c r="BU842"/>
      <c r="BV842"/>
      <c r="BW842"/>
      <c r="BX842"/>
    </row>
    <row r="843" spans="1:76">
      <c r="A843" s="72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/>
      <c r="AF843"/>
      <c r="AG843"/>
      <c r="AH843"/>
      <c r="AI843"/>
      <c r="AJ843"/>
      <c r="AK843"/>
      <c r="AL843"/>
      <c r="AM843"/>
      <c r="AN843"/>
      <c r="AO843"/>
      <c r="AP843"/>
      <c r="AQ843"/>
      <c r="AR843"/>
      <c r="AS843"/>
      <c r="AT843"/>
      <c r="AU843"/>
      <c r="AV843"/>
      <c r="AW843"/>
      <c r="AX843"/>
      <c r="AY843"/>
      <c r="AZ843"/>
      <c r="BA843"/>
      <c r="BB843"/>
      <c r="BC843"/>
      <c r="BD843"/>
      <c r="BE843"/>
      <c r="BF843"/>
      <c r="BG843"/>
      <c r="BH843"/>
      <c r="BI843"/>
      <c r="BJ843"/>
      <c r="BK843"/>
      <c r="BL843"/>
      <c r="BM843"/>
      <c r="BN843"/>
      <c r="BO843"/>
      <c r="BP843"/>
      <c r="BQ843"/>
      <c r="BR843"/>
      <c r="BS843"/>
      <c r="BT843"/>
      <c r="BU843"/>
      <c r="BV843"/>
      <c r="BW843"/>
      <c r="BX843"/>
    </row>
    <row r="844" spans="1:76">
      <c r="A844" s="72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  <c r="AC844"/>
      <c r="AD844"/>
      <c r="AE844"/>
      <c r="AF844"/>
      <c r="AG844"/>
      <c r="AH844"/>
      <c r="AI844"/>
      <c r="AJ844"/>
      <c r="AK844"/>
      <c r="AL844"/>
      <c r="AM844"/>
      <c r="AN844"/>
      <c r="AO844"/>
      <c r="AP844"/>
      <c r="AQ844"/>
      <c r="AR844"/>
      <c r="AS844"/>
      <c r="AT844"/>
      <c r="AU844"/>
      <c r="AV844"/>
      <c r="AW844"/>
      <c r="AX844"/>
      <c r="AY844"/>
      <c r="AZ844"/>
      <c r="BA844"/>
      <c r="BB844"/>
      <c r="BC844"/>
      <c r="BD844"/>
      <c r="BE844"/>
      <c r="BF844"/>
      <c r="BG844"/>
      <c r="BH844"/>
      <c r="BI844"/>
      <c r="BJ844"/>
      <c r="BK844"/>
      <c r="BL844"/>
      <c r="BM844"/>
      <c r="BN844"/>
      <c r="BO844"/>
      <c r="BP844"/>
      <c r="BQ844"/>
      <c r="BR844"/>
      <c r="BS844"/>
      <c r="BT844"/>
      <c r="BU844"/>
      <c r="BV844"/>
      <c r="BW844"/>
      <c r="BX844"/>
    </row>
    <row r="845" spans="1:76">
      <c r="A845" s="72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/>
      <c r="AE845"/>
      <c r="AF845"/>
      <c r="AG845"/>
      <c r="AH845"/>
      <c r="AI845"/>
      <c r="AJ845"/>
      <c r="AK845"/>
      <c r="AL845"/>
      <c r="AM845"/>
      <c r="AN845"/>
      <c r="AO845"/>
      <c r="AP845"/>
      <c r="AQ845"/>
      <c r="AR845"/>
      <c r="AS845"/>
      <c r="AT845"/>
      <c r="AU845"/>
      <c r="AV845"/>
      <c r="AW845"/>
      <c r="AX845"/>
      <c r="AY845"/>
      <c r="AZ845"/>
      <c r="BA845"/>
      <c r="BB845"/>
      <c r="BC845"/>
      <c r="BD845"/>
      <c r="BE845"/>
      <c r="BF845"/>
      <c r="BG845"/>
      <c r="BH845"/>
      <c r="BI845"/>
      <c r="BJ845"/>
      <c r="BK845"/>
      <c r="BL845"/>
      <c r="BM845"/>
      <c r="BN845"/>
      <c r="BO845"/>
      <c r="BP845"/>
      <c r="BQ845"/>
      <c r="BR845"/>
      <c r="BS845"/>
      <c r="BT845"/>
      <c r="BU845"/>
      <c r="BV845"/>
      <c r="BW845"/>
      <c r="BX845"/>
    </row>
    <row r="846" spans="1:76">
      <c r="A846" s="72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/>
      <c r="AF846"/>
      <c r="AG846"/>
      <c r="AH846"/>
      <c r="AI846"/>
      <c r="AJ846"/>
      <c r="AK846"/>
      <c r="AL846"/>
      <c r="AM846"/>
      <c r="AN846"/>
      <c r="AO846"/>
      <c r="AP846"/>
      <c r="AQ846"/>
      <c r="AR846"/>
      <c r="AS846"/>
      <c r="AT846"/>
      <c r="AU846"/>
      <c r="AV846"/>
      <c r="AW846"/>
      <c r="AX846"/>
      <c r="AY846"/>
      <c r="AZ846"/>
      <c r="BA846"/>
      <c r="BB846"/>
      <c r="BC846"/>
      <c r="BD846"/>
      <c r="BE846"/>
      <c r="BF846"/>
      <c r="BG846"/>
      <c r="BH846"/>
      <c r="BI846"/>
      <c r="BJ846"/>
      <c r="BK846"/>
      <c r="BL846"/>
      <c r="BM846"/>
      <c r="BN846"/>
      <c r="BO846"/>
      <c r="BP846"/>
      <c r="BQ846"/>
      <c r="BR846"/>
      <c r="BS846"/>
      <c r="BT846"/>
      <c r="BU846"/>
      <c r="BV846"/>
      <c r="BW846"/>
      <c r="BX846"/>
    </row>
    <row r="847" spans="1:76">
      <c r="A847" s="72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/>
      <c r="AF847"/>
      <c r="AG847"/>
      <c r="AH847"/>
      <c r="AI847"/>
      <c r="AJ847"/>
      <c r="AK847"/>
      <c r="AL847"/>
      <c r="AM847"/>
      <c r="AN847"/>
      <c r="AO847"/>
      <c r="AP847"/>
      <c r="AQ847"/>
      <c r="AR847"/>
      <c r="AS847"/>
      <c r="AT847"/>
      <c r="AU847"/>
      <c r="AV847"/>
      <c r="AW847"/>
      <c r="AX847"/>
      <c r="AY847"/>
      <c r="AZ847"/>
      <c r="BA847"/>
      <c r="BB847"/>
      <c r="BC847"/>
      <c r="BD847"/>
      <c r="BE847"/>
      <c r="BF847"/>
      <c r="BG847"/>
      <c r="BH847"/>
      <c r="BI847"/>
      <c r="BJ847"/>
      <c r="BK847"/>
      <c r="BL847"/>
      <c r="BM847"/>
      <c r="BN847"/>
      <c r="BO847"/>
      <c r="BP847"/>
      <c r="BQ847"/>
      <c r="BR847"/>
      <c r="BS847"/>
      <c r="BT847"/>
      <c r="BU847"/>
      <c r="BV847"/>
      <c r="BW847"/>
      <c r="BX847"/>
    </row>
    <row r="848" spans="1:76">
      <c r="A848" s="72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/>
      <c r="AD848"/>
      <c r="AE848"/>
      <c r="AF848"/>
      <c r="AG848"/>
      <c r="AH848"/>
      <c r="AI848"/>
      <c r="AJ848"/>
      <c r="AK848"/>
      <c r="AL848"/>
      <c r="AM848"/>
      <c r="AN848"/>
      <c r="AO848"/>
      <c r="AP848"/>
      <c r="AQ848"/>
      <c r="AR848"/>
      <c r="AS848"/>
      <c r="AT848"/>
      <c r="AU848"/>
      <c r="AV848"/>
      <c r="AW848"/>
      <c r="AX848"/>
      <c r="AY848"/>
      <c r="AZ848"/>
      <c r="BA848"/>
      <c r="BB848"/>
      <c r="BC848"/>
      <c r="BD848"/>
      <c r="BE848"/>
      <c r="BF848"/>
      <c r="BG848"/>
      <c r="BH848"/>
      <c r="BI848"/>
      <c r="BJ848"/>
      <c r="BK848"/>
      <c r="BL848"/>
      <c r="BM848"/>
      <c r="BN848"/>
      <c r="BO848"/>
      <c r="BP848"/>
      <c r="BQ848"/>
      <c r="BR848"/>
      <c r="BS848"/>
      <c r="BT848"/>
      <c r="BU848"/>
      <c r="BV848"/>
      <c r="BW848"/>
      <c r="BX848"/>
    </row>
    <row r="849" spans="1:76">
      <c r="A849" s="72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/>
      <c r="AF849"/>
      <c r="AG849"/>
      <c r="AH849"/>
      <c r="AI849"/>
      <c r="AJ849"/>
      <c r="AK849"/>
      <c r="AL849"/>
      <c r="AM849"/>
      <c r="AN849"/>
      <c r="AO849"/>
      <c r="AP849"/>
      <c r="AQ849"/>
      <c r="AR849"/>
      <c r="AS849"/>
      <c r="AT849"/>
      <c r="AU849"/>
      <c r="AV849"/>
      <c r="AW849"/>
      <c r="AX849"/>
      <c r="AY849"/>
      <c r="AZ849"/>
      <c r="BA849"/>
      <c r="BB849"/>
      <c r="BC849"/>
      <c r="BD849"/>
      <c r="BE849"/>
      <c r="BF849"/>
      <c r="BG849"/>
      <c r="BH849"/>
      <c r="BI849"/>
      <c r="BJ849"/>
      <c r="BK849"/>
      <c r="BL849"/>
      <c r="BM849"/>
      <c r="BN849"/>
      <c r="BO849"/>
      <c r="BP849"/>
      <c r="BQ849"/>
      <c r="BR849"/>
      <c r="BS849"/>
      <c r="BT849"/>
      <c r="BU849"/>
      <c r="BV849"/>
      <c r="BW849"/>
      <c r="BX849"/>
    </row>
    <row r="850" spans="1:76">
      <c r="A850" s="72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/>
      <c r="AF850"/>
      <c r="AG850"/>
      <c r="AH850"/>
      <c r="AI850"/>
      <c r="AJ850"/>
      <c r="AK850"/>
      <c r="AL850"/>
      <c r="AM850"/>
      <c r="AN850"/>
      <c r="AO850"/>
      <c r="AP850"/>
      <c r="AQ850"/>
      <c r="AR850"/>
      <c r="AS850"/>
      <c r="AT850"/>
      <c r="AU850"/>
      <c r="AV850"/>
      <c r="AW850"/>
      <c r="AX850"/>
      <c r="AY850"/>
      <c r="AZ850"/>
      <c r="BA850"/>
      <c r="BB850"/>
      <c r="BC850"/>
      <c r="BD850"/>
      <c r="BE850"/>
      <c r="BF850"/>
      <c r="BG850"/>
      <c r="BH850"/>
      <c r="BI850"/>
      <c r="BJ850"/>
      <c r="BK850"/>
      <c r="BL850"/>
      <c r="BM850"/>
      <c r="BN850"/>
      <c r="BO850"/>
      <c r="BP850"/>
      <c r="BQ850"/>
      <c r="BR850"/>
      <c r="BS850"/>
      <c r="BT850"/>
      <c r="BU850"/>
      <c r="BV850"/>
      <c r="BW850"/>
      <c r="BX850"/>
    </row>
    <row r="851" spans="1:76">
      <c r="A851" s="72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/>
      <c r="AE851"/>
      <c r="AF851"/>
      <c r="AG851"/>
      <c r="AH851"/>
      <c r="AI851"/>
      <c r="AJ851"/>
      <c r="AK851"/>
      <c r="AL851"/>
      <c r="AM851"/>
      <c r="AN851"/>
      <c r="AO851"/>
      <c r="AP851"/>
      <c r="AQ851"/>
      <c r="AR851"/>
      <c r="AS851"/>
      <c r="AT851"/>
      <c r="AU851"/>
      <c r="AV851"/>
      <c r="AW851"/>
      <c r="AX851"/>
      <c r="AY851"/>
      <c r="AZ851"/>
      <c r="BA851"/>
      <c r="BB851"/>
      <c r="BC851"/>
      <c r="BD851"/>
      <c r="BE851"/>
      <c r="BF851"/>
      <c r="BG851"/>
      <c r="BH851"/>
      <c r="BI851"/>
      <c r="BJ851"/>
      <c r="BK851"/>
      <c r="BL851"/>
      <c r="BM851"/>
      <c r="BN851"/>
      <c r="BO851"/>
      <c r="BP851"/>
      <c r="BQ851"/>
      <c r="BR851"/>
      <c r="BS851"/>
      <c r="BT851"/>
      <c r="BU851"/>
      <c r="BV851"/>
      <c r="BW851"/>
      <c r="BX851"/>
    </row>
    <row r="852" spans="1:76">
      <c r="A852" s="7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/>
      <c r="AF852"/>
      <c r="AG852"/>
      <c r="AH852"/>
      <c r="AI852"/>
      <c r="AJ852"/>
      <c r="AK852"/>
      <c r="AL852"/>
      <c r="AM852"/>
      <c r="AN852"/>
      <c r="AO852"/>
      <c r="AP852"/>
      <c r="AQ852"/>
      <c r="AR852"/>
      <c r="AS852"/>
      <c r="AT852"/>
      <c r="AU852"/>
      <c r="AV852"/>
      <c r="AW852"/>
      <c r="AX852"/>
      <c r="AY852"/>
      <c r="AZ852"/>
      <c r="BA852"/>
      <c r="BB852"/>
      <c r="BC852"/>
      <c r="BD852"/>
      <c r="BE852"/>
      <c r="BF852"/>
      <c r="BG852"/>
      <c r="BH852"/>
      <c r="BI852"/>
      <c r="BJ852"/>
      <c r="BK852"/>
      <c r="BL852"/>
      <c r="BM852"/>
      <c r="BN852"/>
      <c r="BO852"/>
      <c r="BP852"/>
      <c r="BQ852"/>
      <c r="BR852"/>
      <c r="BS852"/>
      <c r="BT852"/>
      <c r="BU852"/>
      <c r="BV852"/>
      <c r="BW852"/>
      <c r="BX852"/>
    </row>
    <row r="853" spans="1:76">
      <c r="A853" s="72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/>
      <c r="AF853"/>
      <c r="AG853"/>
      <c r="AH853"/>
      <c r="AI853"/>
      <c r="AJ853"/>
      <c r="AK853"/>
      <c r="AL853"/>
      <c r="AM853"/>
      <c r="AN853"/>
      <c r="AO853"/>
      <c r="AP853"/>
      <c r="AQ853"/>
      <c r="AR853"/>
      <c r="AS853"/>
      <c r="AT853"/>
      <c r="AU853"/>
      <c r="AV853"/>
      <c r="AW853"/>
      <c r="AX853"/>
      <c r="AY853"/>
      <c r="AZ853"/>
      <c r="BA853"/>
      <c r="BB853"/>
      <c r="BC853"/>
      <c r="BD853"/>
      <c r="BE853"/>
      <c r="BF853"/>
      <c r="BG853"/>
      <c r="BH853"/>
      <c r="BI853"/>
      <c r="BJ853"/>
      <c r="BK853"/>
      <c r="BL853"/>
      <c r="BM853"/>
      <c r="BN853"/>
      <c r="BO853"/>
      <c r="BP853"/>
      <c r="BQ853"/>
      <c r="BR853"/>
      <c r="BS853"/>
      <c r="BT853"/>
      <c r="BU853"/>
      <c r="BV853"/>
      <c r="BW853"/>
      <c r="BX853"/>
    </row>
    <row r="854" spans="1:76">
      <c r="A854" s="72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/>
      <c r="AF854"/>
      <c r="AG854"/>
      <c r="AH854"/>
      <c r="AI854"/>
      <c r="AJ854"/>
      <c r="AK854"/>
      <c r="AL854"/>
      <c r="AM854"/>
      <c r="AN854"/>
      <c r="AO854"/>
      <c r="AP854"/>
      <c r="AQ854"/>
      <c r="AR854"/>
      <c r="AS854"/>
      <c r="AT854"/>
      <c r="AU854"/>
      <c r="AV854"/>
      <c r="AW854"/>
      <c r="AX854"/>
      <c r="AY854"/>
      <c r="AZ854"/>
      <c r="BA854"/>
      <c r="BB854"/>
      <c r="BC854"/>
      <c r="BD854"/>
      <c r="BE854"/>
      <c r="BF854"/>
      <c r="BG854"/>
      <c r="BH854"/>
      <c r="BI854"/>
      <c r="BJ854"/>
      <c r="BK854"/>
      <c r="BL854"/>
      <c r="BM854"/>
      <c r="BN854"/>
      <c r="BO854"/>
      <c r="BP854"/>
      <c r="BQ854"/>
      <c r="BR854"/>
      <c r="BS854"/>
      <c r="BT854"/>
      <c r="BU854"/>
      <c r="BV854"/>
      <c r="BW854"/>
      <c r="BX854"/>
    </row>
    <row r="855" spans="1:76">
      <c r="A855" s="72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/>
      <c r="AF855"/>
      <c r="AG855"/>
      <c r="AH855"/>
      <c r="AI855"/>
      <c r="AJ855"/>
      <c r="AK855"/>
      <c r="AL855"/>
      <c r="AM855"/>
      <c r="AN855"/>
      <c r="AO855"/>
      <c r="AP855"/>
      <c r="AQ855"/>
      <c r="AR855"/>
      <c r="AS855"/>
      <c r="AT855"/>
      <c r="AU855"/>
      <c r="AV855"/>
      <c r="AW855"/>
      <c r="AX855"/>
      <c r="AY855"/>
      <c r="AZ855"/>
      <c r="BA855"/>
      <c r="BB855"/>
      <c r="BC855"/>
      <c r="BD855"/>
      <c r="BE855"/>
      <c r="BF855"/>
      <c r="BG855"/>
      <c r="BH855"/>
      <c r="BI855"/>
      <c r="BJ855"/>
      <c r="BK855"/>
      <c r="BL855"/>
      <c r="BM855"/>
      <c r="BN855"/>
      <c r="BO855"/>
      <c r="BP855"/>
      <c r="BQ855"/>
      <c r="BR855"/>
      <c r="BS855"/>
      <c r="BT855"/>
      <c r="BU855"/>
      <c r="BV855"/>
      <c r="BW855"/>
      <c r="BX855"/>
    </row>
    <row r="856" spans="1:76">
      <c r="A856" s="72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/>
      <c r="AF856"/>
      <c r="AG856"/>
      <c r="AH856"/>
      <c r="AI856"/>
      <c r="AJ856"/>
      <c r="AK856"/>
      <c r="AL856"/>
      <c r="AM856"/>
      <c r="AN856"/>
      <c r="AO856"/>
      <c r="AP856"/>
      <c r="AQ856"/>
      <c r="AR856"/>
      <c r="AS856"/>
      <c r="AT856"/>
      <c r="AU856"/>
      <c r="AV856"/>
      <c r="AW856"/>
      <c r="AX856"/>
      <c r="AY856"/>
      <c r="AZ856"/>
      <c r="BA856"/>
      <c r="BB856"/>
      <c r="BC856"/>
      <c r="BD856"/>
      <c r="BE856"/>
      <c r="BF856"/>
      <c r="BG856"/>
      <c r="BH856"/>
      <c r="BI856"/>
      <c r="BJ856"/>
      <c r="BK856"/>
      <c r="BL856"/>
      <c r="BM856"/>
      <c r="BN856"/>
      <c r="BO856"/>
      <c r="BP856"/>
      <c r="BQ856"/>
      <c r="BR856"/>
      <c r="BS856"/>
      <c r="BT856"/>
      <c r="BU856"/>
      <c r="BV856"/>
      <c r="BW856"/>
      <c r="BX856"/>
    </row>
    <row r="857" spans="1:76">
      <c r="A857" s="72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/>
      <c r="AF857"/>
      <c r="AG857"/>
      <c r="AH857"/>
      <c r="AI857"/>
      <c r="AJ857"/>
      <c r="AK857"/>
      <c r="AL857"/>
      <c r="AM857"/>
      <c r="AN857"/>
      <c r="AO857"/>
      <c r="AP857"/>
      <c r="AQ857"/>
      <c r="AR857"/>
      <c r="AS857"/>
      <c r="AT857"/>
      <c r="AU857"/>
      <c r="AV857"/>
      <c r="AW857"/>
      <c r="AX857"/>
      <c r="AY857"/>
      <c r="AZ857"/>
      <c r="BA857"/>
      <c r="BB857"/>
      <c r="BC857"/>
      <c r="BD857"/>
      <c r="BE857"/>
      <c r="BF857"/>
      <c r="BG857"/>
      <c r="BH857"/>
      <c r="BI857"/>
      <c r="BJ857"/>
      <c r="BK857"/>
      <c r="BL857"/>
      <c r="BM857"/>
      <c r="BN857"/>
      <c r="BO857"/>
      <c r="BP857"/>
      <c r="BQ857"/>
      <c r="BR857"/>
      <c r="BS857"/>
      <c r="BT857"/>
      <c r="BU857"/>
      <c r="BV857"/>
      <c r="BW857"/>
      <c r="BX857"/>
    </row>
    <row r="858" spans="1:76">
      <c r="A858" s="72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/>
      <c r="AE858"/>
      <c r="AF858"/>
      <c r="AG858"/>
      <c r="AH858"/>
      <c r="AI858"/>
      <c r="AJ858"/>
      <c r="AK858"/>
      <c r="AL858"/>
      <c r="AM858"/>
      <c r="AN858"/>
      <c r="AO858"/>
      <c r="AP858"/>
      <c r="AQ858"/>
      <c r="AR858"/>
      <c r="AS858"/>
      <c r="AT858"/>
      <c r="AU858"/>
      <c r="AV858"/>
      <c r="AW858"/>
      <c r="AX858"/>
      <c r="AY858"/>
      <c r="AZ858"/>
      <c r="BA858"/>
      <c r="BB858"/>
      <c r="BC858"/>
      <c r="BD858"/>
      <c r="BE858"/>
      <c r="BF858"/>
      <c r="BG858"/>
      <c r="BH858"/>
      <c r="BI858"/>
      <c r="BJ858"/>
      <c r="BK858"/>
      <c r="BL858"/>
      <c r="BM858"/>
      <c r="BN858"/>
      <c r="BO858"/>
      <c r="BP858"/>
      <c r="BQ858"/>
      <c r="BR858"/>
      <c r="BS858"/>
      <c r="BT858"/>
      <c r="BU858"/>
      <c r="BV858"/>
      <c r="BW858"/>
      <c r="BX858"/>
    </row>
    <row r="859" spans="1:76">
      <c r="A859" s="72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/>
      <c r="AF859"/>
      <c r="AG859"/>
      <c r="AH859"/>
      <c r="AI859"/>
      <c r="AJ859"/>
      <c r="AK859"/>
      <c r="AL859"/>
      <c r="AM859"/>
      <c r="AN859"/>
      <c r="AO859"/>
      <c r="AP859"/>
      <c r="AQ859"/>
      <c r="AR859"/>
      <c r="AS859"/>
      <c r="AT859"/>
      <c r="AU859"/>
      <c r="AV859"/>
      <c r="AW859"/>
      <c r="AX859"/>
      <c r="AY859"/>
      <c r="AZ859"/>
      <c r="BA859"/>
      <c r="BB859"/>
      <c r="BC859"/>
      <c r="BD859"/>
      <c r="BE859"/>
      <c r="BF859"/>
      <c r="BG859"/>
      <c r="BH859"/>
      <c r="BI859"/>
      <c r="BJ859"/>
      <c r="BK859"/>
      <c r="BL859"/>
      <c r="BM859"/>
      <c r="BN859"/>
      <c r="BO859"/>
      <c r="BP859"/>
      <c r="BQ859"/>
      <c r="BR859"/>
      <c r="BS859"/>
      <c r="BT859"/>
      <c r="BU859"/>
      <c r="BV859"/>
      <c r="BW859"/>
      <c r="BX859"/>
    </row>
    <row r="860" spans="1:76">
      <c r="A860" s="72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/>
      <c r="AF860"/>
      <c r="AG860"/>
      <c r="AH860"/>
      <c r="AI860"/>
      <c r="AJ860"/>
      <c r="AK860"/>
      <c r="AL860"/>
      <c r="AM860"/>
      <c r="AN860"/>
      <c r="AO860"/>
      <c r="AP860"/>
      <c r="AQ860"/>
      <c r="AR860"/>
      <c r="AS860"/>
      <c r="AT860"/>
      <c r="AU860"/>
      <c r="AV860"/>
      <c r="AW860"/>
      <c r="AX860"/>
      <c r="AY860"/>
      <c r="AZ860"/>
      <c r="BA860"/>
      <c r="BB860"/>
      <c r="BC860"/>
      <c r="BD860"/>
      <c r="BE860"/>
      <c r="BF860"/>
      <c r="BG860"/>
      <c r="BH860"/>
      <c r="BI860"/>
      <c r="BJ860"/>
      <c r="BK860"/>
      <c r="BL860"/>
      <c r="BM860"/>
      <c r="BN860"/>
      <c r="BO860"/>
      <c r="BP860"/>
      <c r="BQ860"/>
      <c r="BR860"/>
      <c r="BS860"/>
      <c r="BT860"/>
      <c r="BU860"/>
      <c r="BV860"/>
      <c r="BW860"/>
      <c r="BX860"/>
    </row>
    <row r="861" spans="1:76">
      <c r="A861" s="72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/>
      <c r="AF861"/>
      <c r="AG861"/>
      <c r="AH861"/>
      <c r="AI861"/>
      <c r="AJ861"/>
      <c r="AK861"/>
      <c r="AL861"/>
      <c r="AM861"/>
      <c r="AN861"/>
      <c r="AO861"/>
      <c r="AP861"/>
      <c r="AQ861"/>
      <c r="AR861"/>
      <c r="AS861"/>
      <c r="AT861"/>
      <c r="AU861"/>
      <c r="AV861"/>
      <c r="AW861"/>
      <c r="AX861"/>
      <c r="AY861"/>
      <c r="AZ861"/>
      <c r="BA861"/>
      <c r="BB861"/>
      <c r="BC861"/>
      <c r="BD861"/>
      <c r="BE861"/>
      <c r="BF861"/>
      <c r="BG861"/>
      <c r="BH861"/>
      <c r="BI861"/>
      <c r="BJ861"/>
      <c r="BK861"/>
      <c r="BL861"/>
      <c r="BM861"/>
      <c r="BN861"/>
      <c r="BO861"/>
      <c r="BP861"/>
      <c r="BQ861"/>
      <c r="BR861"/>
      <c r="BS861"/>
      <c r="BT861"/>
      <c r="BU861"/>
      <c r="BV861"/>
      <c r="BW861"/>
      <c r="BX861"/>
    </row>
    <row r="862" spans="1:76">
      <c r="A862" s="7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/>
      <c r="AF862"/>
      <c r="AG862"/>
      <c r="AH862"/>
      <c r="AI862"/>
      <c r="AJ862"/>
      <c r="AK862"/>
      <c r="AL862"/>
      <c r="AM862"/>
      <c r="AN862"/>
      <c r="AO862"/>
      <c r="AP862"/>
      <c r="AQ862"/>
      <c r="AR862"/>
      <c r="AS862"/>
      <c r="AT862"/>
      <c r="AU862"/>
      <c r="AV862"/>
      <c r="AW862"/>
      <c r="AX862"/>
      <c r="AY862"/>
      <c r="AZ862"/>
      <c r="BA862"/>
      <c r="BB862"/>
      <c r="BC862"/>
      <c r="BD862"/>
      <c r="BE862"/>
      <c r="BF862"/>
      <c r="BG862"/>
      <c r="BH862"/>
      <c r="BI862"/>
      <c r="BJ862"/>
      <c r="BK862"/>
      <c r="BL862"/>
      <c r="BM862"/>
      <c r="BN862"/>
      <c r="BO862"/>
      <c r="BP862"/>
      <c r="BQ862"/>
      <c r="BR862"/>
      <c r="BS862"/>
      <c r="BT862"/>
      <c r="BU862"/>
      <c r="BV862"/>
      <c r="BW862"/>
      <c r="BX862"/>
    </row>
    <row r="863" spans="1:76">
      <c r="A863" s="72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/>
      <c r="AF863"/>
      <c r="AG863"/>
      <c r="AH863"/>
      <c r="AI863"/>
      <c r="AJ863"/>
      <c r="AK863"/>
      <c r="AL863"/>
      <c r="AM863"/>
      <c r="AN863"/>
      <c r="AO863"/>
      <c r="AP863"/>
      <c r="AQ863"/>
      <c r="AR863"/>
      <c r="AS863"/>
      <c r="AT863"/>
      <c r="AU863"/>
      <c r="AV863"/>
      <c r="AW863"/>
      <c r="AX863"/>
      <c r="AY863"/>
      <c r="AZ863"/>
      <c r="BA863"/>
      <c r="BB863"/>
      <c r="BC863"/>
      <c r="BD863"/>
      <c r="BE863"/>
      <c r="BF863"/>
      <c r="BG863"/>
      <c r="BH863"/>
      <c r="BI863"/>
      <c r="BJ863"/>
      <c r="BK863"/>
      <c r="BL863"/>
      <c r="BM863"/>
      <c r="BN863"/>
      <c r="BO863"/>
      <c r="BP863"/>
      <c r="BQ863"/>
      <c r="BR863"/>
      <c r="BS863"/>
      <c r="BT863"/>
      <c r="BU863"/>
      <c r="BV863"/>
      <c r="BW863"/>
      <c r="BX863"/>
    </row>
    <row r="864" spans="1:76">
      <c r="A864" s="72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/>
      <c r="AD864"/>
      <c r="AE864"/>
      <c r="AF864"/>
      <c r="AG864"/>
      <c r="AH864"/>
      <c r="AI864"/>
      <c r="AJ864"/>
      <c r="AK864"/>
      <c r="AL864"/>
      <c r="AM864"/>
      <c r="AN864"/>
      <c r="AO864"/>
      <c r="AP864"/>
      <c r="AQ864"/>
      <c r="AR864"/>
      <c r="AS864"/>
      <c r="AT864"/>
      <c r="AU864"/>
      <c r="AV864"/>
      <c r="AW864"/>
      <c r="AX864"/>
      <c r="AY864"/>
      <c r="AZ864"/>
      <c r="BA864"/>
      <c r="BB864"/>
      <c r="BC864"/>
      <c r="BD864"/>
      <c r="BE864"/>
      <c r="BF864"/>
      <c r="BG864"/>
      <c r="BH864"/>
      <c r="BI864"/>
      <c r="BJ864"/>
      <c r="BK864"/>
      <c r="BL864"/>
      <c r="BM864"/>
      <c r="BN864"/>
      <c r="BO864"/>
      <c r="BP864"/>
      <c r="BQ864"/>
      <c r="BR864"/>
      <c r="BS864"/>
      <c r="BT864"/>
      <c r="BU864"/>
      <c r="BV864"/>
      <c r="BW864"/>
      <c r="BX864"/>
    </row>
    <row r="865" spans="1:76">
      <c r="A865" s="72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/>
      <c r="AF865"/>
      <c r="AG865"/>
      <c r="AH865"/>
      <c r="AI865"/>
      <c r="AJ865"/>
      <c r="AK865"/>
      <c r="AL865"/>
      <c r="AM865"/>
      <c r="AN865"/>
      <c r="AO865"/>
      <c r="AP865"/>
      <c r="AQ865"/>
      <c r="AR865"/>
      <c r="AS865"/>
      <c r="AT865"/>
      <c r="AU865"/>
      <c r="AV865"/>
      <c r="AW865"/>
      <c r="AX865"/>
      <c r="AY865"/>
      <c r="AZ865"/>
      <c r="BA865"/>
      <c r="BB865"/>
      <c r="BC865"/>
      <c r="BD865"/>
      <c r="BE865"/>
      <c r="BF865"/>
      <c r="BG865"/>
      <c r="BH865"/>
      <c r="BI865"/>
      <c r="BJ865"/>
      <c r="BK865"/>
      <c r="BL865"/>
      <c r="BM865"/>
      <c r="BN865"/>
      <c r="BO865"/>
      <c r="BP865"/>
      <c r="BQ865"/>
      <c r="BR865"/>
      <c r="BS865"/>
      <c r="BT865"/>
      <c r="BU865"/>
      <c r="BV865"/>
      <c r="BW865"/>
      <c r="BX865"/>
    </row>
    <row r="866" spans="1:76">
      <c r="A866" s="72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/>
      <c r="AF866"/>
      <c r="AG866"/>
      <c r="AH866"/>
      <c r="AI866"/>
      <c r="AJ866"/>
      <c r="AK866"/>
      <c r="AL866"/>
      <c r="AM866"/>
      <c r="AN866"/>
      <c r="AO866"/>
      <c r="AP866"/>
      <c r="AQ866"/>
      <c r="AR866"/>
      <c r="AS866"/>
      <c r="AT866"/>
      <c r="AU866"/>
      <c r="AV866"/>
      <c r="AW866"/>
      <c r="AX866"/>
      <c r="AY866"/>
      <c r="AZ866"/>
      <c r="BA866"/>
      <c r="BB866"/>
      <c r="BC866"/>
      <c r="BD866"/>
      <c r="BE866"/>
      <c r="BF866"/>
      <c r="BG866"/>
      <c r="BH866"/>
      <c r="BI866"/>
      <c r="BJ866"/>
      <c r="BK866"/>
      <c r="BL866"/>
      <c r="BM866"/>
      <c r="BN866"/>
      <c r="BO866"/>
      <c r="BP866"/>
      <c r="BQ866"/>
      <c r="BR866"/>
      <c r="BS866"/>
      <c r="BT866"/>
      <c r="BU866"/>
      <c r="BV866"/>
      <c r="BW866"/>
      <c r="BX866"/>
    </row>
    <row r="867" spans="1:76">
      <c r="A867" s="72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/>
      <c r="AE867"/>
      <c r="AF867"/>
      <c r="AG867"/>
      <c r="AH867"/>
      <c r="AI867"/>
      <c r="AJ867"/>
      <c r="AK867"/>
      <c r="AL867"/>
      <c r="AM867"/>
      <c r="AN867"/>
      <c r="AO867"/>
      <c r="AP867"/>
      <c r="AQ867"/>
      <c r="AR867"/>
      <c r="AS867"/>
      <c r="AT867"/>
      <c r="AU867"/>
      <c r="AV867"/>
      <c r="AW867"/>
      <c r="AX867"/>
      <c r="AY867"/>
      <c r="AZ867"/>
      <c r="BA867"/>
      <c r="BB867"/>
      <c r="BC867"/>
      <c r="BD867"/>
      <c r="BE867"/>
      <c r="BF867"/>
      <c r="BG867"/>
      <c r="BH867"/>
      <c r="BI867"/>
      <c r="BJ867"/>
      <c r="BK867"/>
      <c r="BL867"/>
      <c r="BM867"/>
      <c r="BN867"/>
      <c r="BO867"/>
      <c r="BP867"/>
      <c r="BQ867"/>
      <c r="BR867"/>
      <c r="BS867"/>
      <c r="BT867"/>
      <c r="BU867"/>
      <c r="BV867"/>
      <c r="BW867"/>
      <c r="BX867"/>
    </row>
    <row r="868" spans="1:76">
      <c r="A868" s="72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/>
      <c r="AF868"/>
      <c r="AG868"/>
      <c r="AH868"/>
      <c r="AI868"/>
      <c r="AJ868"/>
      <c r="AK868"/>
      <c r="AL868"/>
      <c r="AM868"/>
      <c r="AN868"/>
      <c r="AO868"/>
      <c r="AP868"/>
      <c r="AQ868"/>
      <c r="AR868"/>
      <c r="AS868"/>
      <c r="AT868"/>
      <c r="AU868"/>
      <c r="AV868"/>
      <c r="AW868"/>
      <c r="AX868"/>
      <c r="AY868"/>
      <c r="AZ868"/>
      <c r="BA868"/>
      <c r="BB868"/>
      <c r="BC868"/>
      <c r="BD868"/>
      <c r="BE868"/>
      <c r="BF868"/>
      <c r="BG868"/>
      <c r="BH868"/>
      <c r="BI868"/>
      <c r="BJ868"/>
      <c r="BK868"/>
      <c r="BL868"/>
      <c r="BM868"/>
      <c r="BN868"/>
      <c r="BO868"/>
      <c r="BP868"/>
      <c r="BQ868"/>
      <c r="BR868"/>
      <c r="BS868"/>
      <c r="BT868"/>
      <c r="BU868"/>
      <c r="BV868"/>
      <c r="BW868"/>
      <c r="BX868"/>
    </row>
    <row r="869" spans="1:76">
      <c r="A869" s="72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  <c r="AD869"/>
      <c r="AE869"/>
      <c r="AF869"/>
      <c r="AG869"/>
      <c r="AH869"/>
      <c r="AI869"/>
      <c r="AJ869"/>
      <c r="AK869"/>
      <c r="AL869"/>
      <c r="AM869"/>
      <c r="AN869"/>
      <c r="AO869"/>
      <c r="AP869"/>
      <c r="AQ869"/>
      <c r="AR869"/>
      <c r="AS869"/>
      <c r="AT869"/>
      <c r="AU869"/>
      <c r="AV869"/>
      <c r="AW869"/>
      <c r="AX869"/>
      <c r="AY869"/>
      <c r="AZ869"/>
      <c r="BA869"/>
      <c r="BB869"/>
      <c r="BC869"/>
      <c r="BD869"/>
      <c r="BE869"/>
      <c r="BF869"/>
      <c r="BG869"/>
      <c r="BH869"/>
      <c r="BI869"/>
      <c r="BJ869"/>
      <c r="BK869"/>
      <c r="BL869"/>
      <c r="BM869"/>
      <c r="BN869"/>
      <c r="BO869"/>
      <c r="BP869"/>
      <c r="BQ869"/>
      <c r="BR869"/>
      <c r="BS869"/>
      <c r="BT869"/>
      <c r="BU869"/>
      <c r="BV869"/>
      <c r="BW869"/>
      <c r="BX869"/>
    </row>
    <row r="870" spans="1:76">
      <c r="A870" s="72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/>
      <c r="AF870"/>
      <c r="AG870"/>
      <c r="AH870"/>
      <c r="AI870"/>
      <c r="AJ870"/>
      <c r="AK870"/>
      <c r="AL870"/>
      <c r="AM870"/>
      <c r="AN870"/>
      <c r="AO870"/>
      <c r="AP870"/>
      <c r="AQ870"/>
      <c r="AR870"/>
      <c r="AS870"/>
      <c r="AT870"/>
      <c r="AU870"/>
      <c r="AV870"/>
      <c r="AW870"/>
      <c r="AX870"/>
      <c r="AY870"/>
      <c r="AZ870"/>
      <c r="BA870"/>
      <c r="BB870"/>
      <c r="BC870"/>
      <c r="BD870"/>
      <c r="BE870"/>
      <c r="BF870"/>
      <c r="BG870"/>
      <c r="BH870"/>
      <c r="BI870"/>
      <c r="BJ870"/>
      <c r="BK870"/>
      <c r="BL870"/>
      <c r="BM870"/>
      <c r="BN870"/>
      <c r="BO870"/>
      <c r="BP870"/>
      <c r="BQ870"/>
      <c r="BR870"/>
      <c r="BS870"/>
      <c r="BT870"/>
      <c r="BU870"/>
      <c r="BV870"/>
      <c r="BW870"/>
      <c r="BX870"/>
    </row>
    <row r="871" spans="1:76">
      <c r="A871" s="72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/>
      <c r="AF871"/>
      <c r="AG871"/>
      <c r="AH871"/>
      <c r="AI871"/>
      <c r="AJ871"/>
      <c r="AK871"/>
      <c r="AL871"/>
      <c r="AM871"/>
      <c r="AN871"/>
      <c r="AO871"/>
      <c r="AP871"/>
      <c r="AQ871"/>
      <c r="AR871"/>
      <c r="AS871"/>
      <c r="AT871"/>
      <c r="AU871"/>
      <c r="AV871"/>
      <c r="AW871"/>
      <c r="AX871"/>
      <c r="AY871"/>
      <c r="AZ871"/>
      <c r="BA871"/>
      <c r="BB871"/>
      <c r="BC871"/>
      <c r="BD871"/>
      <c r="BE871"/>
      <c r="BF871"/>
      <c r="BG871"/>
      <c r="BH871"/>
      <c r="BI871"/>
      <c r="BJ871"/>
      <c r="BK871"/>
      <c r="BL871"/>
      <c r="BM871"/>
      <c r="BN871"/>
      <c r="BO871"/>
      <c r="BP871"/>
      <c r="BQ871"/>
      <c r="BR871"/>
      <c r="BS871"/>
      <c r="BT871"/>
      <c r="BU871"/>
      <c r="BV871"/>
      <c r="BW871"/>
      <c r="BX871"/>
    </row>
    <row r="872" spans="1:76">
      <c r="A872" s="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/>
      <c r="AE872"/>
      <c r="AF872"/>
      <c r="AG872"/>
      <c r="AH872"/>
      <c r="AI872"/>
      <c r="AJ872"/>
      <c r="AK872"/>
      <c r="AL872"/>
      <c r="AM872"/>
      <c r="AN872"/>
      <c r="AO872"/>
      <c r="AP872"/>
      <c r="AQ872"/>
      <c r="AR872"/>
      <c r="AS872"/>
      <c r="AT872"/>
      <c r="AU872"/>
      <c r="AV872"/>
      <c r="AW872"/>
      <c r="AX872"/>
      <c r="AY872"/>
      <c r="AZ872"/>
      <c r="BA872"/>
      <c r="BB872"/>
      <c r="BC872"/>
      <c r="BD872"/>
      <c r="BE872"/>
      <c r="BF872"/>
      <c r="BG872"/>
      <c r="BH872"/>
      <c r="BI872"/>
      <c r="BJ872"/>
      <c r="BK872"/>
      <c r="BL872"/>
      <c r="BM872"/>
      <c r="BN872"/>
      <c r="BO872"/>
      <c r="BP872"/>
      <c r="BQ872"/>
      <c r="BR872"/>
      <c r="BS872"/>
      <c r="BT872"/>
      <c r="BU872"/>
      <c r="BV872"/>
      <c r="BW872"/>
      <c r="BX872"/>
    </row>
    <row r="873" spans="1:76">
      <c r="A873" s="72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/>
      <c r="AF873"/>
      <c r="AG873"/>
      <c r="AH873"/>
      <c r="AI873"/>
      <c r="AJ873"/>
      <c r="AK873"/>
      <c r="AL873"/>
      <c r="AM873"/>
      <c r="AN873"/>
      <c r="AO873"/>
      <c r="AP873"/>
      <c r="AQ873"/>
      <c r="AR873"/>
      <c r="AS873"/>
      <c r="AT873"/>
      <c r="AU873"/>
      <c r="AV873"/>
      <c r="AW873"/>
      <c r="AX873"/>
      <c r="AY873"/>
      <c r="AZ873"/>
      <c r="BA873"/>
      <c r="BB873"/>
      <c r="BC873"/>
      <c r="BD873"/>
      <c r="BE873"/>
      <c r="BF873"/>
      <c r="BG873"/>
      <c r="BH873"/>
      <c r="BI873"/>
      <c r="BJ873"/>
      <c r="BK873"/>
      <c r="BL873"/>
      <c r="BM873"/>
      <c r="BN873"/>
      <c r="BO873"/>
      <c r="BP873"/>
      <c r="BQ873"/>
      <c r="BR873"/>
      <c r="BS873"/>
      <c r="BT873"/>
      <c r="BU873"/>
      <c r="BV873"/>
      <c r="BW873"/>
      <c r="BX873"/>
    </row>
    <row r="874" spans="1:76">
      <c r="A874" s="72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/>
      <c r="AF874"/>
      <c r="AG874"/>
      <c r="AH874"/>
      <c r="AI874"/>
      <c r="AJ874"/>
      <c r="AK874"/>
      <c r="AL874"/>
      <c r="AM874"/>
      <c r="AN874"/>
      <c r="AO874"/>
      <c r="AP874"/>
      <c r="AQ874"/>
      <c r="AR874"/>
      <c r="AS874"/>
      <c r="AT874"/>
      <c r="AU874"/>
      <c r="AV874"/>
      <c r="AW874"/>
      <c r="AX874"/>
      <c r="AY874"/>
      <c r="AZ874"/>
      <c r="BA874"/>
      <c r="BB874"/>
      <c r="BC874"/>
      <c r="BD874"/>
      <c r="BE874"/>
      <c r="BF874"/>
      <c r="BG874"/>
      <c r="BH874"/>
      <c r="BI874"/>
      <c r="BJ874"/>
      <c r="BK874"/>
      <c r="BL874"/>
      <c r="BM874"/>
      <c r="BN874"/>
      <c r="BO874"/>
      <c r="BP874"/>
      <c r="BQ874"/>
      <c r="BR874"/>
      <c r="BS874"/>
      <c r="BT874"/>
      <c r="BU874"/>
      <c r="BV874"/>
      <c r="BW874"/>
      <c r="BX874"/>
    </row>
    <row r="875" spans="1:76">
      <c r="A875" s="72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/>
      <c r="AF875"/>
      <c r="AG875"/>
      <c r="AH875"/>
      <c r="AI875"/>
      <c r="AJ875"/>
      <c r="AK875"/>
      <c r="AL875"/>
      <c r="AM875"/>
      <c r="AN875"/>
      <c r="AO875"/>
      <c r="AP875"/>
      <c r="AQ875"/>
      <c r="AR875"/>
      <c r="AS875"/>
      <c r="AT875"/>
      <c r="AU875"/>
      <c r="AV875"/>
      <c r="AW875"/>
      <c r="AX875"/>
      <c r="AY875"/>
      <c r="AZ875"/>
      <c r="BA875"/>
      <c r="BB875"/>
      <c r="BC875"/>
      <c r="BD875"/>
      <c r="BE875"/>
      <c r="BF875"/>
      <c r="BG875"/>
      <c r="BH875"/>
      <c r="BI875"/>
      <c r="BJ875"/>
      <c r="BK875"/>
      <c r="BL875"/>
      <c r="BM875"/>
      <c r="BN875"/>
      <c r="BO875"/>
      <c r="BP875"/>
      <c r="BQ875"/>
      <c r="BR875"/>
      <c r="BS875"/>
      <c r="BT875"/>
      <c r="BU875"/>
      <c r="BV875"/>
      <c r="BW875"/>
      <c r="BX875"/>
    </row>
    <row r="876" spans="1:76">
      <c r="A876" s="72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/>
      <c r="AF876"/>
      <c r="AG876"/>
      <c r="AH876"/>
      <c r="AI876"/>
      <c r="AJ876"/>
      <c r="AK876"/>
      <c r="AL876"/>
      <c r="AM876"/>
      <c r="AN876"/>
      <c r="AO876"/>
      <c r="AP876"/>
      <c r="AQ876"/>
      <c r="AR876"/>
      <c r="AS876"/>
      <c r="AT876"/>
      <c r="AU876"/>
      <c r="AV876"/>
      <c r="AW876"/>
      <c r="AX876"/>
      <c r="AY876"/>
      <c r="AZ876"/>
      <c r="BA876"/>
      <c r="BB876"/>
      <c r="BC876"/>
      <c r="BD876"/>
      <c r="BE876"/>
      <c r="BF876"/>
      <c r="BG876"/>
      <c r="BH876"/>
      <c r="BI876"/>
      <c r="BJ876"/>
      <c r="BK876"/>
      <c r="BL876"/>
      <c r="BM876"/>
      <c r="BN876"/>
      <c r="BO876"/>
      <c r="BP876"/>
      <c r="BQ876"/>
      <c r="BR876"/>
      <c r="BS876"/>
      <c r="BT876"/>
      <c r="BU876"/>
      <c r="BV876"/>
      <c r="BW876"/>
      <c r="BX876"/>
    </row>
    <row r="877" spans="1:76">
      <c r="A877" s="72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  <c r="AD877"/>
      <c r="AE877"/>
      <c r="AF877"/>
      <c r="AG877"/>
      <c r="AH877"/>
      <c r="AI877"/>
      <c r="AJ877"/>
      <c r="AK877"/>
      <c r="AL877"/>
      <c r="AM877"/>
      <c r="AN877"/>
      <c r="AO877"/>
      <c r="AP877"/>
      <c r="AQ877"/>
      <c r="AR877"/>
      <c r="AS877"/>
      <c r="AT877"/>
      <c r="AU877"/>
      <c r="AV877"/>
      <c r="AW877"/>
      <c r="AX877"/>
      <c r="AY877"/>
      <c r="AZ877"/>
      <c r="BA877"/>
      <c r="BB877"/>
      <c r="BC877"/>
      <c r="BD877"/>
      <c r="BE877"/>
      <c r="BF877"/>
      <c r="BG877"/>
      <c r="BH877"/>
      <c r="BI877"/>
      <c r="BJ877"/>
      <c r="BK877"/>
      <c r="BL877"/>
      <c r="BM877"/>
      <c r="BN877"/>
      <c r="BO877"/>
      <c r="BP877"/>
      <c r="BQ877"/>
      <c r="BR877"/>
      <c r="BS877"/>
      <c r="BT877"/>
      <c r="BU877"/>
      <c r="BV877"/>
      <c r="BW877"/>
      <c r="BX877"/>
    </row>
    <row r="878" spans="1:76">
      <c r="A878" s="72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  <c r="AB878"/>
      <c r="AC878"/>
      <c r="AD878"/>
      <c r="AE878"/>
      <c r="AF878"/>
      <c r="AG878"/>
      <c r="AH878"/>
      <c r="AI878"/>
      <c r="AJ878"/>
      <c r="AK878"/>
      <c r="AL878"/>
      <c r="AM878"/>
      <c r="AN878"/>
      <c r="AO878"/>
      <c r="AP878"/>
      <c r="AQ878"/>
      <c r="AR878"/>
      <c r="AS878"/>
      <c r="AT878"/>
      <c r="AU878"/>
      <c r="AV878"/>
      <c r="AW878"/>
      <c r="AX878"/>
      <c r="AY878"/>
      <c r="AZ878"/>
      <c r="BA878"/>
      <c r="BB878"/>
      <c r="BC878"/>
      <c r="BD878"/>
      <c r="BE878"/>
      <c r="BF878"/>
      <c r="BG878"/>
      <c r="BH878"/>
      <c r="BI878"/>
      <c r="BJ878"/>
      <c r="BK878"/>
      <c r="BL878"/>
      <c r="BM878"/>
      <c r="BN878"/>
      <c r="BO878"/>
      <c r="BP878"/>
      <c r="BQ878"/>
      <c r="BR878"/>
      <c r="BS878"/>
      <c r="BT878"/>
      <c r="BU878"/>
      <c r="BV878"/>
      <c r="BW878"/>
      <c r="BX878"/>
    </row>
    <row r="879" spans="1:76">
      <c r="A879" s="72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/>
      <c r="AF879"/>
      <c r="AG879"/>
      <c r="AH879"/>
      <c r="AI879"/>
      <c r="AJ879"/>
      <c r="AK879"/>
      <c r="AL879"/>
      <c r="AM879"/>
      <c r="AN879"/>
      <c r="AO879"/>
      <c r="AP879"/>
      <c r="AQ879"/>
      <c r="AR879"/>
      <c r="AS879"/>
      <c r="AT879"/>
      <c r="AU879"/>
      <c r="AV879"/>
      <c r="AW879"/>
      <c r="AX879"/>
      <c r="AY879"/>
      <c r="AZ879"/>
      <c r="BA879"/>
      <c r="BB879"/>
      <c r="BC879"/>
      <c r="BD879"/>
      <c r="BE879"/>
      <c r="BF879"/>
      <c r="BG879"/>
      <c r="BH879"/>
      <c r="BI879"/>
      <c r="BJ879"/>
      <c r="BK879"/>
      <c r="BL879"/>
      <c r="BM879"/>
      <c r="BN879"/>
      <c r="BO879"/>
      <c r="BP879"/>
      <c r="BQ879"/>
      <c r="BR879"/>
      <c r="BS879"/>
      <c r="BT879"/>
      <c r="BU879"/>
      <c r="BV879"/>
      <c r="BW879"/>
      <c r="BX879"/>
    </row>
    <row r="880" spans="1:76">
      <c r="A880" s="72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/>
      <c r="AF880"/>
      <c r="AG880"/>
      <c r="AH880"/>
      <c r="AI880"/>
      <c r="AJ880"/>
      <c r="AK880"/>
      <c r="AL880"/>
      <c r="AM880"/>
      <c r="AN880"/>
      <c r="AO880"/>
      <c r="AP880"/>
      <c r="AQ880"/>
      <c r="AR880"/>
      <c r="AS880"/>
      <c r="AT880"/>
      <c r="AU880"/>
      <c r="AV880"/>
      <c r="AW880"/>
      <c r="AX880"/>
      <c r="AY880"/>
      <c r="AZ880"/>
      <c r="BA880"/>
      <c r="BB880"/>
      <c r="BC880"/>
      <c r="BD880"/>
      <c r="BE880"/>
      <c r="BF880"/>
      <c r="BG880"/>
      <c r="BH880"/>
      <c r="BI880"/>
      <c r="BJ880"/>
      <c r="BK880"/>
      <c r="BL880"/>
      <c r="BM880"/>
      <c r="BN880"/>
      <c r="BO880"/>
      <c r="BP880"/>
      <c r="BQ880"/>
      <c r="BR880"/>
      <c r="BS880"/>
      <c r="BT880"/>
      <c r="BU880"/>
      <c r="BV880"/>
      <c r="BW880"/>
      <c r="BX880"/>
    </row>
    <row r="881" spans="1:76">
      <c r="A881" s="72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/>
      <c r="AF881"/>
      <c r="AG881"/>
      <c r="AH881"/>
      <c r="AI881"/>
      <c r="AJ881"/>
      <c r="AK881"/>
      <c r="AL881"/>
      <c r="AM881"/>
      <c r="AN881"/>
      <c r="AO881"/>
      <c r="AP881"/>
      <c r="AQ881"/>
      <c r="AR881"/>
      <c r="AS881"/>
      <c r="AT881"/>
      <c r="AU881"/>
      <c r="AV881"/>
      <c r="AW881"/>
      <c r="AX881"/>
      <c r="AY881"/>
      <c r="AZ881"/>
      <c r="BA881"/>
      <c r="BB881"/>
      <c r="BC881"/>
      <c r="BD881"/>
      <c r="BE881"/>
      <c r="BF881"/>
      <c r="BG881"/>
      <c r="BH881"/>
      <c r="BI881"/>
      <c r="BJ881"/>
      <c r="BK881"/>
      <c r="BL881"/>
      <c r="BM881"/>
      <c r="BN881"/>
      <c r="BO881"/>
      <c r="BP881"/>
      <c r="BQ881"/>
      <c r="BR881"/>
      <c r="BS881"/>
      <c r="BT881"/>
      <c r="BU881"/>
      <c r="BV881"/>
      <c r="BW881"/>
      <c r="BX881"/>
    </row>
    <row r="882" spans="1:76">
      <c r="A882" s="7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/>
      <c r="AF882"/>
      <c r="AG882"/>
      <c r="AH882"/>
      <c r="AI882"/>
      <c r="AJ882"/>
      <c r="AK882"/>
      <c r="AL882"/>
      <c r="AM882"/>
      <c r="AN882"/>
      <c r="AO882"/>
      <c r="AP882"/>
      <c r="AQ882"/>
      <c r="AR882"/>
      <c r="AS882"/>
      <c r="AT882"/>
      <c r="AU882"/>
      <c r="AV882"/>
      <c r="AW882"/>
      <c r="AX882"/>
      <c r="AY882"/>
      <c r="AZ882"/>
      <c r="BA882"/>
      <c r="BB882"/>
      <c r="BC882"/>
      <c r="BD882"/>
      <c r="BE882"/>
      <c r="BF882"/>
      <c r="BG882"/>
      <c r="BH882"/>
      <c r="BI882"/>
      <c r="BJ882"/>
      <c r="BK882"/>
      <c r="BL882"/>
      <c r="BM882"/>
      <c r="BN882"/>
      <c r="BO882"/>
      <c r="BP882"/>
      <c r="BQ882"/>
      <c r="BR882"/>
      <c r="BS882"/>
      <c r="BT882"/>
      <c r="BU882"/>
      <c r="BV882"/>
      <c r="BW882"/>
      <c r="BX882"/>
    </row>
    <row r="883" spans="1:76">
      <c r="A883" s="72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  <c r="AC883"/>
      <c r="AD883"/>
      <c r="AE883"/>
      <c r="AF883"/>
      <c r="AG883"/>
      <c r="AH883"/>
      <c r="AI883"/>
      <c r="AJ883"/>
      <c r="AK883"/>
      <c r="AL883"/>
      <c r="AM883"/>
      <c r="AN883"/>
      <c r="AO883"/>
      <c r="AP883"/>
      <c r="AQ883"/>
      <c r="AR883"/>
      <c r="AS883"/>
      <c r="AT883"/>
      <c r="AU883"/>
      <c r="AV883"/>
      <c r="AW883"/>
      <c r="AX883"/>
      <c r="AY883"/>
      <c r="AZ883"/>
      <c r="BA883"/>
      <c r="BB883"/>
      <c r="BC883"/>
      <c r="BD883"/>
      <c r="BE883"/>
      <c r="BF883"/>
      <c r="BG883"/>
      <c r="BH883"/>
      <c r="BI883"/>
      <c r="BJ883"/>
      <c r="BK883"/>
      <c r="BL883"/>
      <c r="BM883"/>
      <c r="BN883"/>
      <c r="BO883"/>
      <c r="BP883"/>
      <c r="BQ883"/>
      <c r="BR883"/>
      <c r="BS883"/>
      <c r="BT883"/>
      <c r="BU883"/>
      <c r="BV883"/>
      <c r="BW883"/>
      <c r="BX883"/>
    </row>
    <row r="884" spans="1:76">
      <c r="A884" s="72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/>
      <c r="AF884"/>
      <c r="AG884"/>
      <c r="AH884"/>
      <c r="AI884"/>
      <c r="AJ884"/>
      <c r="AK884"/>
      <c r="AL884"/>
      <c r="AM884"/>
      <c r="AN884"/>
      <c r="AO884"/>
      <c r="AP884"/>
      <c r="AQ884"/>
      <c r="AR884"/>
      <c r="AS884"/>
      <c r="AT884"/>
      <c r="AU884"/>
      <c r="AV884"/>
      <c r="AW884"/>
      <c r="AX884"/>
      <c r="AY884"/>
      <c r="AZ884"/>
      <c r="BA884"/>
      <c r="BB884"/>
      <c r="BC884"/>
      <c r="BD884"/>
      <c r="BE884"/>
      <c r="BF884"/>
      <c r="BG884"/>
      <c r="BH884"/>
      <c r="BI884"/>
      <c r="BJ884"/>
      <c r="BK884"/>
      <c r="BL884"/>
      <c r="BM884"/>
      <c r="BN884"/>
      <c r="BO884"/>
      <c r="BP884"/>
      <c r="BQ884"/>
      <c r="BR884"/>
      <c r="BS884"/>
      <c r="BT884"/>
      <c r="BU884"/>
      <c r="BV884"/>
      <c r="BW884"/>
      <c r="BX884"/>
    </row>
    <row r="885" spans="1:76">
      <c r="A885" s="72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/>
      <c r="AF885"/>
      <c r="AG885"/>
      <c r="AH885"/>
      <c r="AI885"/>
      <c r="AJ885"/>
      <c r="AK885"/>
      <c r="AL885"/>
      <c r="AM885"/>
      <c r="AN885"/>
      <c r="AO885"/>
      <c r="AP885"/>
      <c r="AQ885"/>
      <c r="AR885"/>
      <c r="AS885"/>
      <c r="AT885"/>
      <c r="AU885"/>
      <c r="AV885"/>
      <c r="AW885"/>
      <c r="AX885"/>
      <c r="AY885"/>
      <c r="AZ885"/>
      <c r="BA885"/>
      <c r="BB885"/>
      <c r="BC885"/>
      <c r="BD885"/>
      <c r="BE885"/>
      <c r="BF885"/>
      <c r="BG885"/>
      <c r="BH885"/>
      <c r="BI885"/>
      <c r="BJ885"/>
      <c r="BK885"/>
      <c r="BL885"/>
      <c r="BM885"/>
      <c r="BN885"/>
      <c r="BO885"/>
      <c r="BP885"/>
      <c r="BQ885"/>
      <c r="BR885"/>
      <c r="BS885"/>
      <c r="BT885"/>
      <c r="BU885"/>
      <c r="BV885"/>
      <c r="BW885"/>
      <c r="BX885"/>
    </row>
    <row r="886" spans="1:76">
      <c r="A886" s="72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/>
      <c r="AF886"/>
      <c r="AG886"/>
      <c r="AH886"/>
      <c r="AI886"/>
      <c r="AJ886"/>
      <c r="AK886"/>
      <c r="AL886"/>
      <c r="AM886"/>
      <c r="AN886"/>
      <c r="AO886"/>
      <c r="AP886"/>
      <c r="AQ886"/>
      <c r="AR886"/>
      <c r="AS886"/>
      <c r="AT886"/>
      <c r="AU886"/>
      <c r="AV886"/>
      <c r="AW886"/>
      <c r="AX886"/>
      <c r="AY886"/>
      <c r="AZ886"/>
      <c r="BA886"/>
      <c r="BB886"/>
      <c r="BC886"/>
      <c r="BD886"/>
      <c r="BE886"/>
      <c r="BF886"/>
      <c r="BG886"/>
      <c r="BH886"/>
      <c r="BI886"/>
      <c r="BJ886"/>
      <c r="BK886"/>
      <c r="BL886"/>
      <c r="BM886"/>
      <c r="BN886"/>
      <c r="BO886"/>
      <c r="BP886"/>
      <c r="BQ886"/>
      <c r="BR886"/>
      <c r="BS886"/>
      <c r="BT886"/>
      <c r="BU886"/>
      <c r="BV886"/>
      <c r="BW886"/>
      <c r="BX886"/>
    </row>
    <row r="887" spans="1:76">
      <c r="A887" s="72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/>
      <c r="AF887"/>
      <c r="AG887"/>
      <c r="AH887"/>
      <c r="AI887"/>
      <c r="AJ887"/>
      <c r="AK887"/>
      <c r="AL887"/>
      <c r="AM887"/>
      <c r="AN887"/>
      <c r="AO887"/>
      <c r="AP887"/>
      <c r="AQ887"/>
      <c r="AR887"/>
      <c r="AS887"/>
      <c r="AT887"/>
      <c r="AU887"/>
      <c r="AV887"/>
      <c r="AW887"/>
      <c r="AX887"/>
      <c r="AY887"/>
      <c r="AZ887"/>
      <c r="BA887"/>
      <c r="BB887"/>
      <c r="BC887"/>
      <c r="BD887"/>
      <c r="BE887"/>
      <c r="BF887"/>
      <c r="BG887"/>
      <c r="BH887"/>
      <c r="BI887"/>
      <c r="BJ887"/>
      <c r="BK887"/>
      <c r="BL887"/>
      <c r="BM887"/>
      <c r="BN887"/>
      <c r="BO887"/>
      <c r="BP887"/>
      <c r="BQ887"/>
      <c r="BR887"/>
      <c r="BS887"/>
      <c r="BT887"/>
      <c r="BU887"/>
      <c r="BV887"/>
      <c r="BW887"/>
      <c r="BX887"/>
    </row>
    <row r="888" spans="1:76">
      <c r="A888" s="72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  <c r="AC888"/>
      <c r="AD888"/>
      <c r="AE888"/>
      <c r="AF888"/>
      <c r="AG888"/>
      <c r="AH888"/>
      <c r="AI888"/>
      <c r="AJ888"/>
      <c r="AK888"/>
      <c r="AL888"/>
      <c r="AM888"/>
      <c r="AN888"/>
      <c r="AO888"/>
      <c r="AP888"/>
      <c r="AQ888"/>
      <c r="AR888"/>
      <c r="AS888"/>
      <c r="AT888"/>
      <c r="AU888"/>
      <c r="AV888"/>
      <c r="AW888"/>
      <c r="AX888"/>
      <c r="AY888"/>
      <c r="AZ888"/>
      <c r="BA888"/>
      <c r="BB888"/>
      <c r="BC888"/>
      <c r="BD888"/>
      <c r="BE888"/>
      <c r="BF888"/>
      <c r="BG888"/>
      <c r="BH888"/>
      <c r="BI888"/>
      <c r="BJ888"/>
      <c r="BK888"/>
      <c r="BL888"/>
      <c r="BM888"/>
      <c r="BN888"/>
      <c r="BO888"/>
      <c r="BP888"/>
      <c r="BQ888"/>
      <c r="BR888"/>
      <c r="BS888"/>
      <c r="BT888"/>
      <c r="BU888"/>
      <c r="BV888"/>
      <c r="BW888"/>
      <c r="BX888"/>
    </row>
    <row r="889" spans="1:76">
      <c r="A889" s="72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  <c r="AD889"/>
      <c r="AE889"/>
      <c r="AF889"/>
      <c r="AG889"/>
      <c r="AH889"/>
      <c r="AI889"/>
      <c r="AJ889"/>
      <c r="AK889"/>
      <c r="AL889"/>
      <c r="AM889"/>
      <c r="AN889"/>
      <c r="AO889"/>
      <c r="AP889"/>
      <c r="AQ889"/>
      <c r="AR889"/>
      <c r="AS889"/>
      <c r="AT889"/>
      <c r="AU889"/>
      <c r="AV889"/>
      <c r="AW889"/>
      <c r="AX889"/>
      <c r="AY889"/>
      <c r="AZ889"/>
      <c r="BA889"/>
      <c r="BB889"/>
      <c r="BC889"/>
      <c r="BD889"/>
      <c r="BE889"/>
      <c r="BF889"/>
      <c r="BG889"/>
      <c r="BH889"/>
      <c r="BI889"/>
      <c r="BJ889"/>
      <c r="BK889"/>
      <c r="BL889"/>
      <c r="BM889"/>
      <c r="BN889"/>
      <c r="BO889"/>
      <c r="BP889"/>
      <c r="BQ889"/>
      <c r="BR889"/>
      <c r="BS889"/>
      <c r="BT889"/>
      <c r="BU889"/>
      <c r="BV889"/>
      <c r="BW889"/>
      <c r="BX889"/>
    </row>
    <row r="890" spans="1:76">
      <c r="A890" s="72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/>
      <c r="AF890"/>
      <c r="AG890"/>
      <c r="AH890"/>
      <c r="AI890"/>
      <c r="AJ890"/>
      <c r="AK890"/>
      <c r="AL890"/>
      <c r="AM890"/>
      <c r="AN890"/>
      <c r="AO890"/>
      <c r="AP890"/>
      <c r="AQ890"/>
      <c r="AR890"/>
      <c r="AS890"/>
      <c r="AT890"/>
      <c r="AU890"/>
      <c r="AV890"/>
      <c r="AW890"/>
      <c r="AX890"/>
      <c r="AY890"/>
      <c r="AZ890"/>
      <c r="BA890"/>
      <c r="BB890"/>
      <c r="BC890"/>
      <c r="BD890"/>
      <c r="BE890"/>
      <c r="BF890"/>
      <c r="BG890"/>
      <c r="BH890"/>
      <c r="BI890"/>
      <c r="BJ890"/>
      <c r="BK890"/>
      <c r="BL890"/>
      <c r="BM890"/>
      <c r="BN890"/>
      <c r="BO890"/>
      <c r="BP890"/>
      <c r="BQ890"/>
      <c r="BR890"/>
      <c r="BS890"/>
      <c r="BT890"/>
      <c r="BU890"/>
      <c r="BV890"/>
      <c r="BW890"/>
      <c r="BX890"/>
    </row>
    <row r="891" spans="1:76">
      <c r="A891" s="72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/>
      <c r="AF891"/>
      <c r="AG891"/>
      <c r="AH891"/>
      <c r="AI891"/>
      <c r="AJ891"/>
      <c r="AK891"/>
      <c r="AL891"/>
      <c r="AM891"/>
      <c r="AN891"/>
      <c r="AO891"/>
      <c r="AP891"/>
      <c r="AQ891"/>
      <c r="AR891"/>
      <c r="AS891"/>
      <c r="AT891"/>
      <c r="AU891"/>
      <c r="AV891"/>
      <c r="AW891"/>
      <c r="AX891"/>
      <c r="AY891"/>
      <c r="AZ891"/>
      <c r="BA891"/>
      <c r="BB891"/>
      <c r="BC891"/>
      <c r="BD891"/>
      <c r="BE891"/>
      <c r="BF891"/>
      <c r="BG891"/>
      <c r="BH891"/>
      <c r="BI891"/>
      <c r="BJ891"/>
      <c r="BK891"/>
      <c r="BL891"/>
      <c r="BM891"/>
      <c r="BN891"/>
      <c r="BO891"/>
      <c r="BP891"/>
      <c r="BQ891"/>
      <c r="BR891"/>
      <c r="BS891"/>
      <c r="BT891"/>
      <c r="BU891"/>
      <c r="BV891"/>
      <c r="BW891"/>
      <c r="BX891"/>
    </row>
    <row r="892" spans="1:76">
      <c r="A892" s="7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/>
      <c r="AF892"/>
      <c r="AG892"/>
      <c r="AH892"/>
      <c r="AI892"/>
      <c r="AJ892"/>
      <c r="AK892"/>
      <c r="AL892"/>
      <c r="AM892"/>
      <c r="AN892"/>
      <c r="AO892"/>
      <c r="AP892"/>
      <c r="AQ892"/>
      <c r="AR892"/>
      <c r="AS892"/>
      <c r="AT892"/>
      <c r="AU892"/>
      <c r="AV892"/>
      <c r="AW892"/>
      <c r="AX892"/>
      <c r="AY892"/>
      <c r="AZ892"/>
      <c r="BA892"/>
      <c r="BB892"/>
      <c r="BC892"/>
      <c r="BD892"/>
      <c r="BE892"/>
      <c r="BF892"/>
      <c r="BG892"/>
      <c r="BH892"/>
      <c r="BI892"/>
      <c r="BJ892"/>
      <c r="BK892"/>
      <c r="BL892"/>
      <c r="BM892"/>
      <c r="BN892"/>
      <c r="BO892"/>
      <c r="BP892"/>
      <c r="BQ892"/>
      <c r="BR892"/>
      <c r="BS892"/>
      <c r="BT892"/>
      <c r="BU892"/>
      <c r="BV892"/>
      <c r="BW892"/>
      <c r="BX892"/>
    </row>
    <row r="893" spans="1:76">
      <c r="A893" s="72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/>
      <c r="AF893"/>
      <c r="AG893"/>
      <c r="AH893"/>
      <c r="AI893"/>
      <c r="AJ893"/>
      <c r="AK893"/>
      <c r="AL893"/>
      <c r="AM893"/>
      <c r="AN893"/>
      <c r="AO893"/>
      <c r="AP893"/>
      <c r="AQ893"/>
      <c r="AR893"/>
      <c r="AS893"/>
      <c r="AT893"/>
      <c r="AU893"/>
      <c r="AV893"/>
      <c r="AW893"/>
      <c r="AX893"/>
      <c r="AY893"/>
      <c r="AZ893"/>
      <c r="BA893"/>
      <c r="BB893"/>
      <c r="BC893"/>
      <c r="BD893"/>
      <c r="BE893"/>
      <c r="BF893"/>
      <c r="BG893"/>
      <c r="BH893"/>
      <c r="BI893"/>
      <c r="BJ893"/>
      <c r="BK893"/>
      <c r="BL893"/>
      <c r="BM893"/>
      <c r="BN893"/>
      <c r="BO893"/>
      <c r="BP893"/>
      <c r="BQ893"/>
      <c r="BR893"/>
      <c r="BS893"/>
      <c r="BT893"/>
      <c r="BU893"/>
      <c r="BV893"/>
      <c r="BW893"/>
      <c r="BX893"/>
    </row>
    <row r="894" spans="1:76">
      <c r="A894" s="72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/>
      <c r="AF894"/>
      <c r="AG894"/>
      <c r="AH894"/>
      <c r="AI894"/>
      <c r="AJ894"/>
      <c r="AK894"/>
      <c r="AL894"/>
      <c r="AM894"/>
      <c r="AN894"/>
      <c r="AO894"/>
      <c r="AP894"/>
      <c r="AQ894"/>
      <c r="AR894"/>
      <c r="AS894"/>
      <c r="AT894"/>
      <c r="AU894"/>
      <c r="AV894"/>
      <c r="AW894"/>
      <c r="AX894"/>
      <c r="AY894"/>
      <c r="AZ894"/>
      <c r="BA894"/>
      <c r="BB894"/>
      <c r="BC894"/>
      <c r="BD894"/>
      <c r="BE894"/>
      <c r="BF894"/>
      <c r="BG894"/>
      <c r="BH894"/>
      <c r="BI894"/>
      <c r="BJ894"/>
      <c r="BK894"/>
      <c r="BL894"/>
      <c r="BM894"/>
      <c r="BN894"/>
      <c r="BO894"/>
      <c r="BP894"/>
      <c r="BQ894"/>
      <c r="BR894"/>
      <c r="BS894"/>
      <c r="BT894"/>
      <c r="BU894"/>
      <c r="BV894"/>
      <c r="BW894"/>
      <c r="BX894"/>
    </row>
    <row r="895" spans="1:76">
      <c r="A895" s="72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/>
      <c r="AF895"/>
      <c r="AG895"/>
      <c r="AH895"/>
      <c r="AI895"/>
      <c r="AJ895"/>
      <c r="AK895"/>
      <c r="AL895"/>
      <c r="AM895"/>
      <c r="AN895"/>
      <c r="AO895"/>
      <c r="AP895"/>
      <c r="AQ895"/>
      <c r="AR895"/>
      <c r="AS895"/>
      <c r="AT895"/>
      <c r="AU895"/>
      <c r="AV895"/>
      <c r="AW895"/>
      <c r="AX895"/>
      <c r="AY895"/>
      <c r="AZ895"/>
      <c r="BA895"/>
      <c r="BB895"/>
      <c r="BC895"/>
      <c r="BD895"/>
      <c r="BE895"/>
      <c r="BF895"/>
      <c r="BG895"/>
      <c r="BH895"/>
      <c r="BI895"/>
      <c r="BJ895"/>
      <c r="BK895"/>
      <c r="BL895"/>
      <c r="BM895"/>
      <c r="BN895"/>
      <c r="BO895"/>
      <c r="BP895"/>
      <c r="BQ895"/>
      <c r="BR895"/>
      <c r="BS895"/>
      <c r="BT895"/>
      <c r="BU895"/>
      <c r="BV895"/>
      <c r="BW895"/>
      <c r="BX895"/>
    </row>
    <row r="896" spans="1:76">
      <c r="A896" s="72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/>
      <c r="AF896"/>
      <c r="AG896"/>
      <c r="AH896"/>
      <c r="AI896"/>
      <c r="AJ896"/>
      <c r="AK896"/>
      <c r="AL896"/>
      <c r="AM896"/>
      <c r="AN896"/>
      <c r="AO896"/>
      <c r="AP896"/>
      <c r="AQ896"/>
      <c r="AR896"/>
      <c r="AS896"/>
      <c r="AT896"/>
      <c r="AU896"/>
      <c r="AV896"/>
      <c r="AW896"/>
      <c r="AX896"/>
      <c r="AY896"/>
      <c r="AZ896"/>
      <c r="BA896"/>
      <c r="BB896"/>
      <c r="BC896"/>
      <c r="BD896"/>
      <c r="BE896"/>
      <c r="BF896"/>
      <c r="BG896"/>
      <c r="BH896"/>
      <c r="BI896"/>
      <c r="BJ896"/>
      <c r="BK896"/>
      <c r="BL896"/>
      <c r="BM896"/>
      <c r="BN896"/>
      <c r="BO896"/>
      <c r="BP896"/>
      <c r="BQ896"/>
      <c r="BR896"/>
      <c r="BS896"/>
      <c r="BT896"/>
      <c r="BU896"/>
      <c r="BV896"/>
      <c r="BW896"/>
      <c r="BX896"/>
    </row>
    <row r="897" spans="1:76">
      <c r="A897" s="72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/>
      <c r="AF897"/>
      <c r="AG897"/>
      <c r="AH897"/>
      <c r="AI897"/>
      <c r="AJ897"/>
      <c r="AK897"/>
      <c r="AL897"/>
      <c r="AM897"/>
      <c r="AN897"/>
      <c r="AO897"/>
      <c r="AP897"/>
      <c r="AQ897"/>
      <c r="AR897"/>
      <c r="AS897"/>
      <c r="AT897"/>
      <c r="AU897"/>
      <c r="AV897"/>
      <c r="AW897"/>
      <c r="AX897"/>
      <c r="AY897"/>
      <c r="AZ897"/>
      <c r="BA897"/>
      <c r="BB897"/>
      <c r="BC897"/>
      <c r="BD897"/>
      <c r="BE897"/>
      <c r="BF897"/>
      <c r="BG897"/>
      <c r="BH897"/>
      <c r="BI897"/>
      <c r="BJ897"/>
      <c r="BK897"/>
      <c r="BL897"/>
      <c r="BM897"/>
      <c r="BN897"/>
      <c r="BO897"/>
      <c r="BP897"/>
      <c r="BQ897"/>
      <c r="BR897"/>
      <c r="BS897"/>
      <c r="BT897"/>
      <c r="BU897"/>
      <c r="BV897"/>
      <c r="BW897"/>
      <c r="BX897"/>
    </row>
    <row r="898" spans="1:76">
      <c r="A898" s="72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/>
      <c r="AF898"/>
      <c r="AG898"/>
      <c r="AH898"/>
      <c r="AI898"/>
      <c r="AJ898"/>
      <c r="AK898"/>
      <c r="AL898"/>
      <c r="AM898"/>
      <c r="AN898"/>
      <c r="AO898"/>
      <c r="AP898"/>
      <c r="AQ898"/>
      <c r="AR898"/>
      <c r="AS898"/>
      <c r="AT898"/>
      <c r="AU898"/>
      <c r="AV898"/>
      <c r="AW898"/>
      <c r="AX898"/>
      <c r="AY898"/>
      <c r="AZ898"/>
      <c r="BA898"/>
      <c r="BB898"/>
      <c r="BC898"/>
      <c r="BD898"/>
      <c r="BE898"/>
      <c r="BF898"/>
      <c r="BG898"/>
      <c r="BH898"/>
      <c r="BI898"/>
      <c r="BJ898"/>
      <c r="BK898"/>
      <c r="BL898"/>
      <c r="BM898"/>
      <c r="BN898"/>
      <c r="BO898"/>
      <c r="BP898"/>
      <c r="BQ898"/>
      <c r="BR898"/>
      <c r="BS898"/>
      <c r="BT898"/>
      <c r="BU898"/>
      <c r="BV898"/>
      <c r="BW898"/>
      <c r="BX898"/>
    </row>
    <row r="899" spans="1:76">
      <c r="A899" s="72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/>
      <c r="AF899"/>
      <c r="AG899"/>
      <c r="AH899"/>
      <c r="AI899"/>
      <c r="AJ899"/>
      <c r="AK899"/>
      <c r="AL899"/>
      <c r="AM899"/>
      <c r="AN899"/>
      <c r="AO899"/>
      <c r="AP899"/>
      <c r="AQ899"/>
      <c r="AR899"/>
      <c r="AS899"/>
      <c r="AT899"/>
      <c r="AU899"/>
      <c r="AV899"/>
      <c r="AW899"/>
      <c r="AX899"/>
      <c r="AY899"/>
      <c r="AZ899"/>
      <c r="BA899"/>
      <c r="BB899"/>
      <c r="BC899"/>
      <c r="BD899"/>
      <c r="BE899"/>
      <c r="BF899"/>
      <c r="BG899"/>
      <c r="BH899"/>
      <c r="BI899"/>
      <c r="BJ899"/>
      <c r="BK899"/>
      <c r="BL899"/>
      <c r="BM899"/>
      <c r="BN899"/>
      <c r="BO899"/>
      <c r="BP899"/>
      <c r="BQ899"/>
      <c r="BR899"/>
      <c r="BS899"/>
      <c r="BT899"/>
      <c r="BU899"/>
      <c r="BV899"/>
      <c r="BW899"/>
      <c r="BX899"/>
    </row>
    <row r="900" spans="1:76">
      <c r="A900" s="72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/>
      <c r="AF900"/>
      <c r="AG900"/>
      <c r="AH900"/>
      <c r="AI900"/>
      <c r="AJ900"/>
      <c r="AK900"/>
      <c r="AL900"/>
      <c r="AM900"/>
      <c r="AN900"/>
      <c r="AO900"/>
      <c r="AP900"/>
      <c r="AQ900"/>
      <c r="AR900"/>
      <c r="AS900"/>
      <c r="AT900"/>
      <c r="AU900"/>
      <c r="AV900"/>
      <c r="AW900"/>
      <c r="AX900"/>
      <c r="AY900"/>
      <c r="AZ900"/>
      <c r="BA900"/>
      <c r="BB900"/>
      <c r="BC900"/>
      <c r="BD900"/>
      <c r="BE900"/>
      <c r="BF900"/>
      <c r="BG900"/>
      <c r="BH900"/>
      <c r="BI900"/>
      <c r="BJ900"/>
      <c r="BK900"/>
      <c r="BL900"/>
      <c r="BM900"/>
      <c r="BN900"/>
      <c r="BO900"/>
      <c r="BP900"/>
      <c r="BQ900"/>
      <c r="BR900"/>
      <c r="BS900"/>
      <c r="BT900"/>
      <c r="BU900"/>
      <c r="BV900"/>
      <c r="BW900"/>
      <c r="BX900"/>
    </row>
    <row r="901" spans="1:76">
      <c r="A901" s="72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/>
      <c r="AF901"/>
      <c r="AG901"/>
      <c r="AH901"/>
      <c r="AI901"/>
      <c r="AJ901"/>
      <c r="AK901"/>
      <c r="AL901"/>
      <c r="AM901"/>
      <c r="AN901"/>
      <c r="AO901"/>
      <c r="AP901"/>
      <c r="AQ901"/>
      <c r="AR901"/>
      <c r="AS901"/>
      <c r="AT901"/>
      <c r="AU901"/>
      <c r="AV901"/>
      <c r="AW901"/>
      <c r="AX901"/>
      <c r="AY901"/>
      <c r="AZ901"/>
      <c r="BA901"/>
      <c r="BB901"/>
      <c r="BC901"/>
      <c r="BD901"/>
      <c r="BE901"/>
      <c r="BF901"/>
      <c r="BG901"/>
      <c r="BH901"/>
      <c r="BI901"/>
      <c r="BJ901"/>
      <c r="BK901"/>
      <c r="BL901"/>
      <c r="BM901"/>
      <c r="BN901"/>
      <c r="BO901"/>
      <c r="BP901"/>
      <c r="BQ901"/>
      <c r="BR901"/>
      <c r="BS901"/>
      <c r="BT901"/>
      <c r="BU901"/>
      <c r="BV901"/>
      <c r="BW901"/>
      <c r="BX901"/>
    </row>
    <row r="902" spans="1:76">
      <c r="A902" s="7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/>
      <c r="AF902"/>
      <c r="AG902"/>
      <c r="AH902"/>
      <c r="AI902"/>
      <c r="AJ902"/>
      <c r="AK902"/>
      <c r="AL902"/>
      <c r="AM902"/>
      <c r="AN902"/>
      <c r="AO902"/>
      <c r="AP902"/>
      <c r="AQ902"/>
      <c r="AR902"/>
      <c r="AS902"/>
      <c r="AT902"/>
      <c r="AU902"/>
      <c r="AV902"/>
      <c r="AW902"/>
      <c r="AX902"/>
      <c r="AY902"/>
      <c r="AZ902"/>
      <c r="BA902"/>
      <c r="BB902"/>
      <c r="BC902"/>
      <c r="BD902"/>
      <c r="BE902"/>
      <c r="BF902"/>
      <c r="BG902"/>
      <c r="BH902"/>
      <c r="BI902"/>
      <c r="BJ902"/>
      <c r="BK902"/>
      <c r="BL902"/>
      <c r="BM902"/>
      <c r="BN902"/>
      <c r="BO902"/>
      <c r="BP902"/>
      <c r="BQ902"/>
      <c r="BR902"/>
      <c r="BS902"/>
      <c r="BT902"/>
      <c r="BU902"/>
      <c r="BV902"/>
      <c r="BW902"/>
      <c r="BX902"/>
    </row>
    <row r="903" spans="1:76">
      <c r="A903" s="72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/>
      <c r="AF903"/>
      <c r="AG903"/>
      <c r="AH903"/>
      <c r="AI903"/>
      <c r="AJ903"/>
      <c r="AK903"/>
      <c r="AL903"/>
      <c r="AM903"/>
      <c r="AN903"/>
      <c r="AO903"/>
      <c r="AP903"/>
      <c r="AQ903"/>
      <c r="AR903"/>
      <c r="AS903"/>
      <c r="AT903"/>
      <c r="AU903"/>
      <c r="AV903"/>
      <c r="AW903"/>
      <c r="AX903"/>
      <c r="AY903"/>
      <c r="AZ903"/>
      <c r="BA903"/>
      <c r="BB903"/>
      <c r="BC903"/>
      <c r="BD903"/>
      <c r="BE903"/>
      <c r="BF903"/>
      <c r="BG903"/>
      <c r="BH903"/>
      <c r="BI903"/>
      <c r="BJ903"/>
      <c r="BK903"/>
      <c r="BL903"/>
      <c r="BM903"/>
      <c r="BN903"/>
      <c r="BO903"/>
      <c r="BP903"/>
      <c r="BQ903"/>
      <c r="BR903"/>
      <c r="BS903"/>
      <c r="BT903"/>
      <c r="BU903"/>
      <c r="BV903"/>
      <c r="BW903"/>
      <c r="BX903"/>
    </row>
    <row r="904" spans="1:76">
      <c r="A904" s="72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/>
      <c r="AF904"/>
      <c r="AG904"/>
      <c r="AH904"/>
      <c r="AI904"/>
      <c r="AJ904"/>
      <c r="AK904"/>
      <c r="AL904"/>
      <c r="AM904"/>
      <c r="AN904"/>
      <c r="AO904"/>
      <c r="AP904"/>
      <c r="AQ904"/>
      <c r="AR904"/>
      <c r="AS904"/>
      <c r="AT904"/>
      <c r="AU904"/>
      <c r="AV904"/>
      <c r="AW904"/>
      <c r="AX904"/>
      <c r="AY904"/>
      <c r="AZ904"/>
      <c r="BA904"/>
      <c r="BB904"/>
      <c r="BC904"/>
      <c r="BD904"/>
      <c r="BE904"/>
      <c r="BF904"/>
      <c r="BG904"/>
      <c r="BH904"/>
      <c r="BI904"/>
      <c r="BJ904"/>
      <c r="BK904"/>
      <c r="BL904"/>
      <c r="BM904"/>
      <c r="BN904"/>
      <c r="BO904"/>
      <c r="BP904"/>
      <c r="BQ904"/>
      <c r="BR904"/>
      <c r="BS904"/>
      <c r="BT904"/>
      <c r="BU904"/>
      <c r="BV904"/>
      <c r="BW904"/>
      <c r="BX904"/>
    </row>
    <row r="905" spans="1:76">
      <c r="A905" s="72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  <c r="AE905"/>
      <c r="AF905"/>
      <c r="AG905"/>
      <c r="AH905"/>
      <c r="AI905"/>
      <c r="AJ905"/>
      <c r="AK905"/>
      <c r="AL905"/>
      <c r="AM905"/>
      <c r="AN905"/>
      <c r="AO905"/>
      <c r="AP905"/>
      <c r="AQ905"/>
      <c r="AR905"/>
      <c r="AS905"/>
      <c r="AT905"/>
      <c r="AU905"/>
      <c r="AV905"/>
      <c r="AW905"/>
      <c r="AX905"/>
      <c r="AY905"/>
      <c r="AZ905"/>
      <c r="BA905"/>
      <c r="BB905"/>
      <c r="BC905"/>
      <c r="BD905"/>
      <c r="BE905"/>
      <c r="BF905"/>
      <c r="BG905"/>
      <c r="BH905"/>
      <c r="BI905"/>
      <c r="BJ905"/>
      <c r="BK905"/>
      <c r="BL905"/>
      <c r="BM905"/>
      <c r="BN905"/>
      <c r="BO905"/>
      <c r="BP905"/>
      <c r="BQ905"/>
      <c r="BR905"/>
      <c r="BS905"/>
      <c r="BT905"/>
      <c r="BU905"/>
      <c r="BV905"/>
      <c r="BW905"/>
      <c r="BX905"/>
    </row>
    <row r="906" spans="1:76">
      <c r="A906" s="72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/>
      <c r="AF906"/>
      <c r="AG906"/>
      <c r="AH906"/>
      <c r="AI906"/>
      <c r="AJ906"/>
      <c r="AK906"/>
      <c r="AL906"/>
      <c r="AM906"/>
      <c r="AN906"/>
      <c r="AO906"/>
      <c r="AP906"/>
      <c r="AQ906"/>
      <c r="AR906"/>
      <c r="AS906"/>
      <c r="AT906"/>
      <c r="AU906"/>
      <c r="AV906"/>
      <c r="AW906"/>
      <c r="AX906"/>
      <c r="AY906"/>
      <c r="AZ906"/>
      <c r="BA906"/>
      <c r="BB906"/>
      <c r="BC906"/>
      <c r="BD906"/>
      <c r="BE906"/>
      <c r="BF906"/>
      <c r="BG906"/>
      <c r="BH906"/>
      <c r="BI906"/>
      <c r="BJ906"/>
      <c r="BK906"/>
      <c r="BL906"/>
      <c r="BM906"/>
      <c r="BN906"/>
      <c r="BO906"/>
      <c r="BP906"/>
      <c r="BQ906"/>
      <c r="BR906"/>
      <c r="BS906"/>
      <c r="BT906"/>
      <c r="BU906"/>
      <c r="BV906"/>
      <c r="BW906"/>
      <c r="BX906"/>
    </row>
    <row r="907" spans="1:76">
      <c r="A907" s="72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/>
      <c r="AF907"/>
      <c r="AG907"/>
      <c r="AH907"/>
      <c r="AI907"/>
      <c r="AJ907"/>
      <c r="AK907"/>
      <c r="AL907"/>
      <c r="AM907"/>
      <c r="AN907"/>
      <c r="AO907"/>
      <c r="AP907"/>
      <c r="AQ907"/>
      <c r="AR907"/>
      <c r="AS907"/>
      <c r="AT907"/>
      <c r="AU907"/>
      <c r="AV907"/>
      <c r="AW907"/>
      <c r="AX907"/>
      <c r="AY907"/>
      <c r="AZ907"/>
      <c r="BA907"/>
      <c r="BB907"/>
      <c r="BC907"/>
      <c r="BD907"/>
      <c r="BE907"/>
      <c r="BF907"/>
      <c r="BG907"/>
      <c r="BH907"/>
      <c r="BI907"/>
      <c r="BJ907"/>
      <c r="BK907"/>
      <c r="BL907"/>
      <c r="BM907"/>
      <c r="BN907"/>
      <c r="BO907"/>
      <c r="BP907"/>
      <c r="BQ907"/>
      <c r="BR907"/>
      <c r="BS907"/>
      <c r="BT907"/>
      <c r="BU907"/>
      <c r="BV907"/>
      <c r="BW907"/>
      <c r="BX907"/>
    </row>
    <row r="908" spans="1:76">
      <c r="A908" s="72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/>
      <c r="AE908"/>
      <c r="AF908"/>
      <c r="AG908"/>
      <c r="AH908"/>
      <c r="AI908"/>
      <c r="AJ908"/>
      <c r="AK908"/>
      <c r="AL908"/>
      <c r="AM908"/>
      <c r="AN908"/>
      <c r="AO908"/>
      <c r="AP908"/>
      <c r="AQ908"/>
      <c r="AR908"/>
      <c r="AS908"/>
      <c r="AT908"/>
      <c r="AU908"/>
      <c r="AV908"/>
      <c r="AW908"/>
      <c r="AX908"/>
      <c r="AY908"/>
      <c r="AZ908"/>
      <c r="BA908"/>
      <c r="BB908"/>
      <c r="BC908"/>
      <c r="BD908"/>
      <c r="BE908"/>
      <c r="BF908"/>
      <c r="BG908"/>
      <c r="BH908"/>
      <c r="BI908"/>
      <c r="BJ908"/>
      <c r="BK908"/>
      <c r="BL908"/>
      <c r="BM908"/>
      <c r="BN908"/>
      <c r="BO908"/>
      <c r="BP908"/>
      <c r="BQ908"/>
      <c r="BR908"/>
      <c r="BS908"/>
      <c r="BT908"/>
      <c r="BU908"/>
      <c r="BV908"/>
      <c r="BW908"/>
      <c r="BX908"/>
    </row>
    <row r="909" spans="1:76">
      <c r="A909" s="72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/>
      <c r="AF909"/>
      <c r="AG909"/>
      <c r="AH909"/>
      <c r="AI909"/>
      <c r="AJ909"/>
      <c r="AK909"/>
      <c r="AL909"/>
      <c r="AM909"/>
      <c r="AN909"/>
      <c r="AO909"/>
      <c r="AP909"/>
      <c r="AQ909"/>
      <c r="AR909"/>
      <c r="AS909"/>
      <c r="AT909"/>
      <c r="AU909"/>
      <c r="AV909"/>
      <c r="AW909"/>
      <c r="AX909"/>
      <c r="AY909"/>
      <c r="AZ909"/>
      <c r="BA909"/>
      <c r="BB909"/>
      <c r="BC909"/>
      <c r="BD909"/>
      <c r="BE909"/>
      <c r="BF909"/>
      <c r="BG909"/>
      <c r="BH909"/>
      <c r="BI909"/>
      <c r="BJ909"/>
      <c r="BK909"/>
      <c r="BL909"/>
      <c r="BM909"/>
      <c r="BN909"/>
      <c r="BO909"/>
      <c r="BP909"/>
      <c r="BQ909"/>
      <c r="BR909"/>
      <c r="BS909"/>
      <c r="BT909"/>
      <c r="BU909"/>
      <c r="BV909"/>
      <c r="BW909"/>
      <c r="BX909"/>
    </row>
    <row r="910" spans="1:76">
      <c r="A910" s="72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/>
      <c r="AF910"/>
      <c r="AG910"/>
      <c r="AH910"/>
      <c r="AI910"/>
      <c r="AJ910"/>
      <c r="AK910"/>
      <c r="AL910"/>
      <c r="AM910"/>
      <c r="AN910"/>
      <c r="AO910"/>
      <c r="AP910"/>
      <c r="AQ910"/>
      <c r="AR910"/>
      <c r="AS910"/>
      <c r="AT910"/>
      <c r="AU910"/>
      <c r="AV910"/>
      <c r="AW910"/>
      <c r="AX910"/>
      <c r="AY910"/>
      <c r="AZ910"/>
      <c r="BA910"/>
      <c r="BB910"/>
      <c r="BC910"/>
      <c r="BD910"/>
      <c r="BE910"/>
      <c r="BF910"/>
      <c r="BG910"/>
      <c r="BH910"/>
      <c r="BI910"/>
      <c r="BJ910"/>
      <c r="BK910"/>
      <c r="BL910"/>
      <c r="BM910"/>
      <c r="BN910"/>
      <c r="BO910"/>
      <c r="BP910"/>
      <c r="BQ910"/>
      <c r="BR910"/>
      <c r="BS910"/>
      <c r="BT910"/>
      <c r="BU910"/>
      <c r="BV910"/>
      <c r="BW910"/>
      <c r="BX910"/>
    </row>
    <row r="911" spans="1:76">
      <c r="A911" s="72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/>
      <c r="AF911"/>
      <c r="AG911"/>
      <c r="AH911"/>
      <c r="AI911"/>
      <c r="AJ911"/>
      <c r="AK911"/>
      <c r="AL911"/>
      <c r="AM911"/>
      <c r="AN911"/>
      <c r="AO911"/>
      <c r="AP911"/>
      <c r="AQ911"/>
      <c r="AR911"/>
      <c r="AS911"/>
      <c r="AT911"/>
      <c r="AU911"/>
      <c r="AV911"/>
      <c r="AW911"/>
      <c r="AX911"/>
      <c r="AY911"/>
      <c r="AZ911"/>
      <c r="BA911"/>
      <c r="BB911"/>
      <c r="BC911"/>
      <c r="BD911"/>
      <c r="BE911"/>
      <c r="BF911"/>
      <c r="BG911"/>
      <c r="BH911"/>
      <c r="BI911"/>
      <c r="BJ911"/>
      <c r="BK911"/>
      <c r="BL911"/>
      <c r="BM911"/>
      <c r="BN911"/>
      <c r="BO911"/>
      <c r="BP911"/>
      <c r="BQ911"/>
      <c r="BR911"/>
      <c r="BS911"/>
      <c r="BT911"/>
      <c r="BU911"/>
      <c r="BV911"/>
      <c r="BW911"/>
      <c r="BX911"/>
    </row>
    <row r="912" spans="1:76">
      <c r="A912" s="7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/>
      <c r="AF912"/>
      <c r="AG912"/>
      <c r="AH912"/>
      <c r="AI912"/>
      <c r="AJ912"/>
      <c r="AK912"/>
      <c r="AL912"/>
      <c r="AM912"/>
      <c r="AN912"/>
      <c r="AO912"/>
      <c r="AP912"/>
      <c r="AQ912"/>
      <c r="AR912"/>
      <c r="AS912"/>
      <c r="AT912"/>
      <c r="AU912"/>
      <c r="AV912"/>
      <c r="AW912"/>
      <c r="AX912"/>
      <c r="AY912"/>
      <c r="AZ912"/>
      <c r="BA912"/>
      <c r="BB912"/>
      <c r="BC912"/>
      <c r="BD912"/>
      <c r="BE912"/>
      <c r="BF912"/>
      <c r="BG912"/>
      <c r="BH912"/>
      <c r="BI912"/>
      <c r="BJ912"/>
      <c r="BK912"/>
      <c r="BL912"/>
      <c r="BM912"/>
      <c r="BN912"/>
      <c r="BO912"/>
      <c r="BP912"/>
      <c r="BQ912"/>
      <c r="BR912"/>
      <c r="BS912"/>
      <c r="BT912"/>
      <c r="BU912"/>
      <c r="BV912"/>
      <c r="BW912"/>
      <c r="BX912"/>
    </row>
    <row r="913" spans="1:76">
      <c r="A913" s="72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/>
      <c r="AG913"/>
      <c r="AH913"/>
      <c r="AI913"/>
      <c r="AJ913"/>
      <c r="AK913"/>
      <c r="AL913"/>
      <c r="AM913"/>
      <c r="AN913"/>
      <c r="AO913"/>
      <c r="AP913"/>
      <c r="AQ913"/>
      <c r="AR913"/>
      <c r="AS913"/>
      <c r="AT913"/>
      <c r="AU913"/>
      <c r="AV913"/>
      <c r="AW913"/>
      <c r="AX913"/>
      <c r="AY913"/>
      <c r="AZ913"/>
      <c r="BA913"/>
      <c r="BB913"/>
      <c r="BC913"/>
      <c r="BD913"/>
      <c r="BE913"/>
      <c r="BF913"/>
      <c r="BG913"/>
      <c r="BH913"/>
      <c r="BI913"/>
      <c r="BJ913"/>
      <c r="BK913"/>
      <c r="BL913"/>
      <c r="BM913"/>
      <c r="BN913"/>
      <c r="BO913"/>
      <c r="BP913"/>
      <c r="BQ913"/>
      <c r="BR913"/>
      <c r="BS913"/>
      <c r="BT913"/>
      <c r="BU913"/>
      <c r="BV913"/>
      <c r="BW913"/>
      <c r="BX913"/>
    </row>
    <row r="914" spans="1:76">
      <c r="A914" s="72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/>
      <c r="AF914"/>
      <c r="AG914"/>
      <c r="AH914"/>
      <c r="AI914"/>
      <c r="AJ914"/>
      <c r="AK914"/>
      <c r="AL914"/>
      <c r="AM914"/>
      <c r="AN914"/>
      <c r="AO914"/>
      <c r="AP914"/>
      <c r="AQ914"/>
      <c r="AR914"/>
      <c r="AS914"/>
      <c r="AT914"/>
      <c r="AU914"/>
      <c r="AV914"/>
      <c r="AW914"/>
      <c r="AX914"/>
      <c r="AY914"/>
      <c r="AZ914"/>
      <c r="BA914"/>
      <c r="BB914"/>
      <c r="BC914"/>
      <c r="BD914"/>
      <c r="BE914"/>
      <c r="BF914"/>
      <c r="BG914"/>
      <c r="BH914"/>
      <c r="BI914"/>
      <c r="BJ914"/>
      <c r="BK914"/>
      <c r="BL914"/>
      <c r="BM914"/>
      <c r="BN914"/>
      <c r="BO914"/>
      <c r="BP914"/>
      <c r="BQ914"/>
      <c r="BR914"/>
      <c r="BS914"/>
      <c r="BT914"/>
      <c r="BU914"/>
      <c r="BV914"/>
      <c r="BW914"/>
      <c r="BX914"/>
    </row>
    <row r="915" spans="1:76">
      <c r="A915" s="72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/>
      <c r="AF915"/>
      <c r="AG915"/>
      <c r="AH915"/>
      <c r="AI915"/>
      <c r="AJ915"/>
      <c r="AK915"/>
      <c r="AL915"/>
      <c r="AM915"/>
      <c r="AN915"/>
      <c r="AO915"/>
      <c r="AP915"/>
      <c r="AQ915"/>
      <c r="AR915"/>
      <c r="AS915"/>
      <c r="AT915"/>
      <c r="AU915"/>
      <c r="AV915"/>
      <c r="AW915"/>
      <c r="AX915"/>
      <c r="AY915"/>
      <c r="AZ915"/>
      <c r="BA915"/>
      <c r="BB915"/>
      <c r="BC915"/>
      <c r="BD915"/>
      <c r="BE915"/>
      <c r="BF915"/>
      <c r="BG915"/>
      <c r="BH915"/>
      <c r="BI915"/>
      <c r="BJ915"/>
      <c r="BK915"/>
      <c r="BL915"/>
      <c r="BM915"/>
      <c r="BN915"/>
      <c r="BO915"/>
      <c r="BP915"/>
      <c r="BQ915"/>
      <c r="BR915"/>
      <c r="BS915"/>
      <c r="BT915"/>
      <c r="BU915"/>
      <c r="BV915"/>
      <c r="BW915"/>
      <c r="BX915"/>
    </row>
    <row r="916" spans="1:76">
      <c r="A916" s="72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/>
      <c r="AF916"/>
      <c r="AG916"/>
      <c r="AH916"/>
      <c r="AI916"/>
      <c r="AJ916"/>
      <c r="AK916"/>
      <c r="AL916"/>
      <c r="AM916"/>
      <c r="AN916"/>
      <c r="AO916"/>
      <c r="AP916"/>
      <c r="AQ916"/>
      <c r="AR916"/>
      <c r="AS916"/>
      <c r="AT916"/>
      <c r="AU916"/>
      <c r="AV916"/>
      <c r="AW916"/>
      <c r="AX916"/>
      <c r="AY916"/>
      <c r="AZ916"/>
      <c r="BA916"/>
      <c r="BB916"/>
      <c r="BC916"/>
      <c r="BD916"/>
      <c r="BE916"/>
      <c r="BF916"/>
      <c r="BG916"/>
      <c r="BH916"/>
      <c r="BI916"/>
      <c r="BJ916"/>
      <c r="BK916"/>
      <c r="BL916"/>
      <c r="BM916"/>
      <c r="BN916"/>
      <c r="BO916"/>
      <c r="BP916"/>
      <c r="BQ916"/>
      <c r="BR916"/>
      <c r="BS916"/>
      <c r="BT916"/>
      <c r="BU916"/>
      <c r="BV916"/>
      <c r="BW916"/>
      <c r="BX916"/>
    </row>
    <row r="917" spans="1:76">
      <c r="A917" s="72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/>
      <c r="AF917"/>
      <c r="AG917"/>
      <c r="AH917"/>
      <c r="AI917"/>
      <c r="AJ917"/>
      <c r="AK917"/>
      <c r="AL917"/>
      <c r="AM917"/>
      <c r="AN917"/>
      <c r="AO917"/>
      <c r="AP917"/>
      <c r="AQ917"/>
      <c r="AR917"/>
      <c r="AS917"/>
      <c r="AT917"/>
      <c r="AU917"/>
      <c r="AV917"/>
      <c r="AW917"/>
      <c r="AX917"/>
      <c r="AY917"/>
      <c r="AZ917"/>
      <c r="BA917"/>
      <c r="BB917"/>
      <c r="BC917"/>
      <c r="BD917"/>
      <c r="BE917"/>
      <c r="BF917"/>
      <c r="BG917"/>
      <c r="BH917"/>
      <c r="BI917"/>
      <c r="BJ917"/>
      <c r="BK917"/>
      <c r="BL917"/>
      <c r="BM917"/>
      <c r="BN917"/>
      <c r="BO917"/>
      <c r="BP917"/>
      <c r="BQ917"/>
      <c r="BR917"/>
      <c r="BS917"/>
      <c r="BT917"/>
      <c r="BU917"/>
      <c r="BV917"/>
      <c r="BW917"/>
      <c r="BX917"/>
    </row>
    <row r="918" spans="1:76">
      <c r="A918" s="72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  <c r="AD918"/>
      <c r="AE918"/>
      <c r="AF918"/>
      <c r="AG918"/>
      <c r="AH918"/>
      <c r="AI918"/>
      <c r="AJ918"/>
      <c r="AK918"/>
      <c r="AL918"/>
      <c r="AM918"/>
      <c r="AN918"/>
      <c r="AO918"/>
      <c r="AP918"/>
      <c r="AQ918"/>
      <c r="AR918"/>
      <c r="AS918"/>
      <c r="AT918"/>
      <c r="AU918"/>
      <c r="AV918"/>
      <c r="AW918"/>
      <c r="AX918"/>
      <c r="AY918"/>
      <c r="AZ918"/>
      <c r="BA918"/>
      <c r="BB918"/>
      <c r="BC918"/>
      <c r="BD918"/>
      <c r="BE918"/>
      <c r="BF918"/>
      <c r="BG918"/>
      <c r="BH918"/>
      <c r="BI918"/>
      <c r="BJ918"/>
      <c r="BK918"/>
      <c r="BL918"/>
      <c r="BM918"/>
      <c r="BN918"/>
      <c r="BO918"/>
      <c r="BP918"/>
      <c r="BQ918"/>
      <c r="BR918"/>
      <c r="BS918"/>
      <c r="BT918"/>
      <c r="BU918"/>
      <c r="BV918"/>
      <c r="BW918"/>
      <c r="BX918"/>
    </row>
    <row r="919" spans="1:76">
      <c r="A919" s="72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/>
      <c r="AF919"/>
      <c r="AG919"/>
      <c r="AH919"/>
      <c r="AI919"/>
      <c r="AJ919"/>
      <c r="AK919"/>
      <c r="AL919"/>
      <c r="AM919"/>
      <c r="AN919"/>
      <c r="AO919"/>
      <c r="AP919"/>
      <c r="AQ919"/>
      <c r="AR919"/>
      <c r="AS919"/>
      <c r="AT919"/>
      <c r="AU919"/>
      <c r="AV919"/>
      <c r="AW919"/>
      <c r="AX919"/>
      <c r="AY919"/>
      <c r="AZ919"/>
      <c r="BA919"/>
      <c r="BB919"/>
      <c r="BC919"/>
      <c r="BD919"/>
      <c r="BE919"/>
      <c r="BF919"/>
      <c r="BG919"/>
      <c r="BH919"/>
      <c r="BI919"/>
      <c r="BJ919"/>
      <c r="BK919"/>
      <c r="BL919"/>
      <c r="BM919"/>
      <c r="BN919"/>
      <c r="BO919"/>
      <c r="BP919"/>
      <c r="BQ919"/>
      <c r="BR919"/>
      <c r="BS919"/>
      <c r="BT919"/>
      <c r="BU919"/>
      <c r="BV919"/>
      <c r="BW919"/>
      <c r="BX919"/>
    </row>
    <row r="920" spans="1:76">
      <c r="A920" s="72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/>
      <c r="AF920"/>
      <c r="AG920"/>
      <c r="AH920"/>
      <c r="AI920"/>
      <c r="AJ920"/>
      <c r="AK920"/>
      <c r="AL920"/>
      <c r="AM920"/>
      <c r="AN920"/>
      <c r="AO920"/>
      <c r="AP920"/>
      <c r="AQ920"/>
      <c r="AR920"/>
      <c r="AS920"/>
      <c r="AT920"/>
      <c r="AU920"/>
      <c r="AV920"/>
      <c r="AW920"/>
      <c r="AX920"/>
      <c r="AY920"/>
      <c r="AZ920"/>
      <c r="BA920"/>
      <c r="BB920"/>
      <c r="BC920"/>
      <c r="BD920"/>
      <c r="BE920"/>
      <c r="BF920"/>
      <c r="BG920"/>
      <c r="BH920"/>
      <c r="BI920"/>
      <c r="BJ920"/>
      <c r="BK920"/>
      <c r="BL920"/>
      <c r="BM920"/>
      <c r="BN920"/>
      <c r="BO920"/>
      <c r="BP920"/>
      <c r="BQ920"/>
      <c r="BR920"/>
      <c r="BS920"/>
      <c r="BT920"/>
      <c r="BU920"/>
      <c r="BV920"/>
      <c r="BW920"/>
      <c r="BX920"/>
    </row>
    <row r="921" spans="1:76">
      <c r="A921" s="72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/>
      <c r="AF921"/>
      <c r="AG921"/>
      <c r="AH921"/>
      <c r="AI921"/>
      <c r="AJ921"/>
      <c r="AK921"/>
      <c r="AL921"/>
      <c r="AM921"/>
      <c r="AN921"/>
      <c r="AO921"/>
      <c r="AP921"/>
      <c r="AQ921"/>
      <c r="AR921"/>
      <c r="AS921"/>
      <c r="AT921"/>
      <c r="AU921"/>
      <c r="AV921"/>
      <c r="AW921"/>
      <c r="AX921"/>
      <c r="AY921"/>
      <c r="AZ921"/>
      <c r="BA921"/>
      <c r="BB921"/>
      <c r="BC921"/>
      <c r="BD921"/>
      <c r="BE921"/>
      <c r="BF921"/>
      <c r="BG921"/>
      <c r="BH921"/>
      <c r="BI921"/>
      <c r="BJ921"/>
      <c r="BK921"/>
      <c r="BL921"/>
      <c r="BM921"/>
      <c r="BN921"/>
      <c r="BO921"/>
      <c r="BP921"/>
      <c r="BQ921"/>
      <c r="BR921"/>
      <c r="BS921"/>
      <c r="BT921"/>
      <c r="BU921"/>
      <c r="BV921"/>
      <c r="BW921"/>
      <c r="BX921"/>
    </row>
    <row r="922" spans="1:76">
      <c r="A922" s="7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/>
      <c r="AF922"/>
      <c r="AG922"/>
      <c r="AH922"/>
      <c r="AI922"/>
      <c r="AJ922"/>
      <c r="AK922"/>
      <c r="AL922"/>
      <c r="AM922"/>
      <c r="AN922"/>
      <c r="AO922"/>
      <c r="AP922"/>
      <c r="AQ922"/>
      <c r="AR922"/>
      <c r="AS922"/>
      <c r="AT922"/>
      <c r="AU922"/>
      <c r="AV922"/>
      <c r="AW922"/>
      <c r="AX922"/>
      <c r="AY922"/>
      <c r="AZ922"/>
      <c r="BA922"/>
      <c r="BB922"/>
      <c r="BC922"/>
      <c r="BD922"/>
      <c r="BE922"/>
      <c r="BF922"/>
      <c r="BG922"/>
      <c r="BH922"/>
      <c r="BI922"/>
      <c r="BJ922"/>
      <c r="BK922"/>
      <c r="BL922"/>
      <c r="BM922"/>
      <c r="BN922"/>
      <c r="BO922"/>
      <c r="BP922"/>
      <c r="BQ922"/>
      <c r="BR922"/>
      <c r="BS922"/>
      <c r="BT922"/>
      <c r="BU922"/>
      <c r="BV922"/>
      <c r="BW922"/>
      <c r="BX922"/>
    </row>
    <row r="923" spans="1:76">
      <c r="A923" s="72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/>
      <c r="AF923"/>
      <c r="AG923"/>
      <c r="AH923"/>
      <c r="AI923"/>
      <c r="AJ923"/>
      <c r="AK923"/>
      <c r="AL923"/>
      <c r="AM923"/>
      <c r="AN923"/>
      <c r="AO923"/>
      <c r="AP923"/>
      <c r="AQ923"/>
      <c r="AR923"/>
      <c r="AS923"/>
      <c r="AT923"/>
      <c r="AU923"/>
      <c r="AV923"/>
      <c r="AW923"/>
      <c r="AX923"/>
      <c r="AY923"/>
      <c r="AZ923"/>
      <c r="BA923"/>
      <c r="BB923"/>
      <c r="BC923"/>
      <c r="BD923"/>
      <c r="BE923"/>
      <c r="BF923"/>
      <c r="BG923"/>
      <c r="BH923"/>
      <c r="BI923"/>
      <c r="BJ923"/>
      <c r="BK923"/>
      <c r="BL923"/>
      <c r="BM923"/>
      <c r="BN923"/>
      <c r="BO923"/>
      <c r="BP923"/>
      <c r="BQ923"/>
      <c r="BR923"/>
      <c r="BS923"/>
      <c r="BT923"/>
      <c r="BU923"/>
      <c r="BV923"/>
      <c r="BW923"/>
      <c r="BX923"/>
    </row>
    <row r="924" spans="1:76">
      <c r="A924" s="72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/>
      <c r="AF924"/>
      <c r="AG924"/>
      <c r="AH924"/>
      <c r="AI924"/>
      <c r="AJ924"/>
      <c r="AK924"/>
      <c r="AL924"/>
      <c r="AM924"/>
      <c r="AN924"/>
      <c r="AO924"/>
      <c r="AP924"/>
      <c r="AQ924"/>
      <c r="AR924"/>
      <c r="AS924"/>
      <c r="AT924"/>
      <c r="AU924"/>
      <c r="AV924"/>
      <c r="AW924"/>
      <c r="AX924"/>
      <c r="AY924"/>
      <c r="AZ924"/>
      <c r="BA924"/>
      <c r="BB924"/>
      <c r="BC924"/>
      <c r="BD924"/>
      <c r="BE924"/>
      <c r="BF924"/>
      <c r="BG924"/>
      <c r="BH924"/>
      <c r="BI924"/>
      <c r="BJ924"/>
      <c r="BK924"/>
      <c r="BL924"/>
      <c r="BM924"/>
      <c r="BN924"/>
      <c r="BO924"/>
      <c r="BP924"/>
      <c r="BQ924"/>
      <c r="BR924"/>
      <c r="BS924"/>
      <c r="BT924"/>
      <c r="BU924"/>
      <c r="BV924"/>
      <c r="BW924"/>
      <c r="BX924"/>
    </row>
    <row r="925" spans="1:76">
      <c r="A925" s="72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/>
      <c r="AG925"/>
      <c r="AH925"/>
      <c r="AI925"/>
      <c r="AJ925"/>
      <c r="AK925"/>
      <c r="AL925"/>
      <c r="AM925"/>
      <c r="AN925"/>
      <c r="AO925"/>
      <c r="AP925"/>
      <c r="AQ925"/>
      <c r="AR925"/>
      <c r="AS925"/>
      <c r="AT925"/>
      <c r="AU925"/>
      <c r="AV925"/>
      <c r="AW925"/>
      <c r="AX925"/>
      <c r="AY925"/>
      <c r="AZ925"/>
      <c r="BA925"/>
      <c r="BB925"/>
      <c r="BC925"/>
      <c r="BD925"/>
      <c r="BE925"/>
      <c r="BF925"/>
      <c r="BG925"/>
      <c r="BH925"/>
      <c r="BI925"/>
      <c r="BJ925"/>
      <c r="BK925"/>
      <c r="BL925"/>
      <c r="BM925"/>
      <c r="BN925"/>
      <c r="BO925"/>
      <c r="BP925"/>
      <c r="BQ925"/>
      <c r="BR925"/>
      <c r="BS925"/>
      <c r="BT925"/>
      <c r="BU925"/>
      <c r="BV925"/>
      <c r="BW925"/>
      <c r="BX925"/>
    </row>
    <row r="926" spans="1:76">
      <c r="A926" s="72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/>
      <c r="AF926"/>
      <c r="AG926"/>
      <c r="AH926"/>
      <c r="AI926"/>
      <c r="AJ926"/>
      <c r="AK926"/>
      <c r="AL926"/>
      <c r="AM926"/>
      <c r="AN926"/>
      <c r="AO926"/>
      <c r="AP926"/>
      <c r="AQ926"/>
      <c r="AR926"/>
      <c r="AS926"/>
      <c r="AT926"/>
      <c r="AU926"/>
      <c r="AV926"/>
      <c r="AW926"/>
      <c r="AX926"/>
      <c r="AY926"/>
      <c r="AZ926"/>
      <c r="BA926"/>
      <c r="BB926"/>
      <c r="BC926"/>
      <c r="BD926"/>
      <c r="BE926"/>
      <c r="BF926"/>
      <c r="BG926"/>
      <c r="BH926"/>
      <c r="BI926"/>
      <c r="BJ926"/>
      <c r="BK926"/>
      <c r="BL926"/>
      <c r="BM926"/>
      <c r="BN926"/>
      <c r="BO926"/>
      <c r="BP926"/>
      <c r="BQ926"/>
      <c r="BR926"/>
      <c r="BS926"/>
      <c r="BT926"/>
      <c r="BU926"/>
      <c r="BV926"/>
      <c r="BW926"/>
      <c r="BX926"/>
    </row>
    <row r="927" spans="1:76">
      <c r="A927" s="72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/>
      <c r="AF927"/>
      <c r="AG927"/>
      <c r="AH927"/>
      <c r="AI927"/>
      <c r="AJ927"/>
      <c r="AK927"/>
      <c r="AL927"/>
      <c r="AM927"/>
      <c r="AN927"/>
      <c r="AO927"/>
      <c r="AP927"/>
      <c r="AQ927"/>
      <c r="AR927"/>
      <c r="AS927"/>
      <c r="AT927"/>
      <c r="AU927"/>
      <c r="AV927"/>
      <c r="AW927"/>
      <c r="AX927"/>
      <c r="AY927"/>
      <c r="AZ927"/>
      <c r="BA927"/>
      <c r="BB927"/>
      <c r="BC927"/>
      <c r="BD927"/>
      <c r="BE927"/>
      <c r="BF927"/>
      <c r="BG927"/>
      <c r="BH927"/>
      <c r="BI927"/>
      <c r="BJ927"/>
      <c r="BK927"/>
      <c r="BL927"/>
      <c r="BM927"/>
      <c r="BN927"/>
      <c r="BO927"/>
      <c r="BP927"/>
      <c r="BQ927"/>
      <c r="BR927"/>
      <c r="BS927"/>
      <c r="BT927"/>
      <c r="BU927"/>
      <c r="BV927"/>
      <c r="BW927"/>
      <c r="BX927"/>
    </row>
    <row r="928" spans="1:76">
      <c r="A928" s="72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/>
      <c r="AF928"/>
      <c r="AG928"/>
      <c r="AH928"/>
      <c r="AI928"/>
      <c r="AJ928"/>
      <c r="AK928"/>
      <c r="AL928"/>
      <c r="AM928"/>
      <c r="AN928"/>
      <c r="AO928"/>
      <c r="AP928"/>
      <c r="AQ928"/>
      <c r="AR928"/>
      <c r="AS928"/>
      <c r="AT928"/>
      <c r="AU928"/>
      <c r="AV928"/>
      <c r="AW928"/>
      <c r="AX928"/>
      <c r="AY928"/>
      <c r="AZ928"/>
      <c r="BA928"/>
      <c r="BB928"/>
      <c r="BC928"/>
      <c r="BD928"/>
      <c r="BE928"/>
      <c r="BF928"/>
      <c r="BG928"/>
      <c r="BH928"/>
      <c r="BI928"/>
      <c r="BJ928"/>
      <c r="BK928"/>
      <c r="BL928"/>
      <c r="BM928"/>
      <c r="BN928"/>
      <c r="BO928"/>
      <c r="BP928"/>
      <c r="BQ928"/>
      <c r="BR928"/>
      <c r="BS928"/>
      <c r="BT928"/>
      <c r="BU928"/>
      <c r="BV928"/>
      <c r="BW928"/>
      <c r="BX928"/>
    </row>
    <row r="929" spans="1:76">
      <c r="A929" s="72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/>
      <c r="AF929"/>
      <c r="AG929"/>
      <c r="AH929"/>
      <c r="AI929"/>
      <c r="AJ929"/>
      <c r="AK929"/>
      <c r="AL929"/>
      <c r="AM929"/>
      <c r="AN929"/>
      <c r="AO929"/>
      <c r="AP929"/>
      <c r="AQ929"/>
      <c r="AR929"/>
      <c r="AS929"/>
      <c r="AT929"/>
      <c r="AU929"/>
      <c r="AV929"/>
      <c r="AW929"/>
      <c r="AX929"/>
      <c r="AY929"/>
      <c r="AZ929"/>
      <c r="BA929"/>
      <c r="BB929"/>
      <c r="BC929"/>
      <c r="BD929"/>
      <c r="BE929"/>
      <c r="BF929"/>
      <c r="BG929"/>
      <c r="BH929"/>
      <c r="BI929"/>
      <c r="BJ929"/>
      <c r="BK929"/>
      <c r="BL929"/>
      <c r="BM929"/>
      <c r="BN929"/>
      <c r="BO929"/>
      <c r="BP929"/>
      <c r="BQ929"/>
      <c r="BR929"/>
      <c r="BS929"/>
      <c r="BT929"/>
      <c r="BU929"/>
      <c r="BV929"/>
      <c r="BW929"/>
      <c r="BX929"/>
    </row>
    <row r="930" spans="1:76">
      <c r="A930" s="72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/>
      <c r="AF930"/>
      <c r="AG930"/>
      <c r="AH930"/>
      <c r="AI930"/>
      <c r="AJ930"/>
      <c r="AK930"/>
      <c r="AL930"/>
      <c r="AM930"/>
      <c r="AN930"/>
      <c r="AO930"/>
      <c r="AP930"/>
      <c r="AQ930"/>
      <c r="AR930"/>
      <c r="AS930"/>
      <c r="AT930"/>
      <c r="AU930"/>
      <c r="AV930"/>
      <c r="AW930"/>
      <c r="AX930"/>
      <c r="AY930"/>
      <c r="AZ930"/>
      <c r="BA930"/>
      <c r="BB930"/>
      <c r="BC930"/>
      <c r="BD930"/>
      <c r="BE930"/>
      <c r="BF930"/>
      <c r="BG930"/>
      <c r="BH930"/>
      <c r="BI930"/>
      <c r="BJ930"/>
      <c r="BK930"/>
      <c r="BL930"/>
      <c r="BM930"/>
      <c r="BN930"/>
      <c r="BO930"/>
      <c r="BP930"/>
      <c r="BQ930"/>
      <c r="BR930"/>
      <c r="BS930"/>
      <c r="BT930"/>
      <c r="BU930"/>
      <c r="BV930"/>
      <c r="BW930"/>
      <c r="BX930"/>
    </row>
    <row r="931" spans="1:76">
      <c r="A931" s="72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/>
      <c r="AF931"/>
      <c r="AG931"/>
      <c r="AH931"/>
      <c r="AI931"/>
      <c r="AJ931"/>
      <c r="AK931"/>
      <c r="AL931"/>
      <c r="AM931"/>
      <c r="AN931"/>
      <c r="AO931"/>
      <c r="AP931"/>
      <c r="AQ931"/>
      <c r="AR931"/>
      <c r="AS931"/>
      <c r="AT931"/>
      <c r="AU931"/>
      <c r="AV931"/>
      <c r="AW931"/>
      <c r="AX931"/>
      <c r="AY931"/>
      <c r="AZ931"/>
      <c r="BA931"/>
      <c r="BB931"/>
      <c r="BC931"/>
      <c r="BD931"/>
      <c r="BE931"/>
      <c r="BF931"/>
      <c r="BG931"/>
      <c r="BH931"/>
      <c r="BI931"/>
      <c r="BJ931"/>
      <c r="BK931"/>
      <c r="BL931"/>
      <c r="BM931"/>
      <c r="BN931"/>
      <c r="BO931"/>
      <c r="BP931"/>
      <c r="BQ931"/>
      <c r="BR931"/>
      <c r="BS931"/>
      <c r="BT931"/>
      <c r="BU931"/>
      <c r="BV931"/>
      <c r="BW931"/>
      <c r="BX931"/>
    </row>
    <row r="932" spans="1:76">
      <c r="A932" s="7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/>
      <c r="AF932"/>
      <c r="AG932"/>
      <c r="AH932"/>
      <c r="AI932"/>
      <c r="AJ932"/>
      <c r="AK932"/>
      <c r="AL932"/>
      <c r="AM932"/>
      <c r="AN932"/>
      <c r="AO932"/>
      <c r="AP932"/>
      <c r="AQ932"/>
      <c r="AR932"/>
      <c r="AS932"/>
      <c r="AT932"/>
      <c r="AU932"/>
      <c r="AV932"/>
      <c r="AW932"/>
      <c r="AX932"/>
      <c r="AY932"/>
      <c r="AZ932"/>
      <c r="BA932"/>
      <c r="BB932"/>
      <c r="BC932"/>
      <c r="BD932"/>
      <c r="BE932"/>
      <c r="BF932"/>
      <c r="BG932"/>
      <c r="BH932"/>
      <c r="BI932"/>
      <c r="BJ932"/>
      <c r="BK932"/>
      <c r="BL932"/>
      <c r="BM932"/>
      <c r="BN932"/>
      <c r="BO932"/>
      <c r="BP932"/>
      <c r="BQ932"/>
      <c r="BR932"/>
      <c r="BS932"/>
      <c r="BT932"/>
      <c r="BU932"/>
      <c r="BV932"/>
      <c r="BW932"/>
      <c r="BX932"/>
    </row>
    <row r="933" spans="1:76">
      <c r="A933" s="72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/>
      <c r="AF933"/>
      <c r="AG933"/>
      <c r="AH933"/>
      <c r="AI933"/>
      <c r="AJ933"/>
      <c r="AK933"/>
      <c r="AL933"/>
      <c r="AM933"/>
      <c r="AN933"/>
      <c r="AO933"/>
      <c r="AP933"/>
      <c r="AQ933"/>
      <c r="AR933"/>
      <c r="AS933"/>
      <c r="AT933"/>
      <c r="AU933"/>
      <c r="AV933"/>
      <c r="AW933"/>
      <c r="AX933"/>
      <c r="AY933"/>
      <c r="AZ933"/>
      <c r="BA933"/>
      <c r="BB933"/>
      <c r="BC933"/>
      <c r="BD933"/>
      <c r="BE933"/>
      <c r="BF933"/>
      <c r="BG933"/>
      <c r="BH933"/>
      <c r="BI933"/>
      <c r="BJ933"/>
      <c r="BK933"/>
      <c r="BL933"/>
      <c r="BM933"/>
      <c r="BN933"/>
      <c r="BO933"/>
      <c r="BP933"/>
      <c r="BQ933"/>
      <c r="BR933"/>
      <c r="BS933"/>
      <c r="BT933"/>
      <c r="BU933"/>
      <c r="BV933"/>
      <c r="BW933"/>
      <c r="BX933"/>
    </row>
    <row r="934" spans="1:76">
      <c r="A934" s="72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/>
      <c r="AF934"/>
      <c r="AG934"/>
      <c r="AH934"/>
      <c r="AI934"/>
      <c r="AJ934"/>
      <c r="AK934"/>
      <c r="AL934"/>
      <c r="AM934"/>
      <c r="AN934"/>
      <c r="AO934"/>
      <c r="AP934"/>
      <c r="AQ934"/>
      <c r="AR934"/>
      <c r="AS934"/>
      <c r="AT934"/>
      <c r="AU934"/>
      <c r="AV934"/>
      <c r="AW934"/>
      <c r="AX934"/>
      <c r="AY934"/>
      <c r="AZ934"/>
      <c r="BA934"/>
      <c r="BB934"/>
      <c r="BC934"/>
      <c r="BD934"/>
      <c r="BE934"/>
      <c r="BF934"/>
      <c r="BG934"/>
      <c r="BH934"/>
      <c r="BI934"/>
      <c r="BJ934"/>
      <c r="BK934"/>
      <c r="BL934"/>
      <c r="BM934"/>
      <c r="BN934"/>
      <c r="BO934"/>
      <c r="BP934"/>
      <c r="BQ934"/>
      <c r="BR934"/>
      <c r="BS934"/>
      <c r="BT934"/>
      <c r="BU934"/>
      <c r="BV934"/>
      <c r="BW934"/>
      <c r="BX934"/>
    </row>
    <row r="935" spans="1:76">
      <c r="A935" s="72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/>
      <c r="AF935"/>
      <c r="AG935"/>
      <c r="AH935"/>
      <c r="AI935"/>
      <c r="AJ935"/>
      <c r="AK935"/>
      <c r="AL935"/>
      <c r="AM935"/>
      <c r="AN935"/>
      <c r="AO935"/>
      <c r="AP935"/>
      <c r="AQ935"/>
      <c r="AR935"/>
      <c r="AS935"/>
      <c r="AT935"/>
      <c r="AU935"/>
      <c r="AV935"/>
      <c r="AW935"/>
      <c r="AX935"/>
      <c r="AY935"/>
      <c r="AZ935"/>
      <c r="BA935"/>
      <c r="BB935"/>
      <c r="BC935"/>
      <c r="BD935"/>
      <c r="BE935"/>
      <c r="BF935"/>
      <c r="BG935"/>
      <c r="BH935"/>
      <c r="BI935"/>
      <c r="BJ935"/>
      <c r="BK935"/>
      <c r="BL935"/>
      <c r="BM935"/>
      <c r="BN935"/>
      <c r="BO935"/>
      <c r="BP935"/>
      <c r="BQ935"/>
      <c r="BR935"/>
      <c r="BS935"/>
      <c r="BT935"/>
      <c r="BU935"/>
      <c r="BV935"/>
      <c r="BW935"/>
      <c r="BX935"/>
    </row>
    <row r="936" spans="1:76">
      <c r="A936" s="72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/>
      <c r="AF936"/>
      <c r="AG936"/>
      <c r="AH936"/>
      <c r="AI936"/>
      <c r="AJ936"/>
      <c r="AK936"/>
      <c r="AL936"/>
      <c r="AM936"/>
      <c r="AN936"/>
      <c r="AO936"/>
      <c r="AP936"/>
      <c r="AQ936"/>
      <c r="AR936"/>
      <c r="AS936"/>
      <c r="AT936"/>
      <c r="AU936"/>
      <c r="AV936"/>
      <c r="AW936"/>
      <c r="AX936"/>
      <c r="AY936"/>
      <c r="AZ936"/>
      <c r="BA936"/>
      <c r="BB936"/>
      <c r="BC936"/>
      <c r="BD936"/>
      <c r="BE936"/>
      <c r="BF936"/>
      <c r="BG936"/>
      <c r="BH936"/>
      <c r="BI936"/>
      <c r="BJ936"/>
      <c r="BK936"/>
      <c r="BL936"/>
      <c r="BM936"/>
      <c r="BN936"/>
      <c r="BO936"/>
      <c r="BP936"/>
      <c r="BQ936"/>
      <c r="BR936"/>
      <c r="BS936"/>
      <c r="BT936"/>
      <c r="BU936"/>
      <c r="BV936"/>
      <c r="BW936"/>
      <c r="BX936"/>
    </row>
    <row r="937" spans="1:76">
      <c r="A937" s="72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/>
      <c r="AF937"/>
      <c r="AG937"/>
      <c r="AH937"/>
      <c r="AI937"/>
      <c r="AJ937"/>
      <c r="AK937"/>
      <c r="AL937"/>
      <c r="AM937"/>
      <c r="AN937"/>
      <c r="AO937"/>
      <c r="AP937"/>
      <c r="AQ937"/>
      <c r="AR937"/>
      <c r="AS937"/>
      <c r="AT937"/>
      <c r="AU937"/>
      <c r="AV937"/>
      <c r="AW937"/>
      <c r="AX937"/>
      <c r="AY937"/>
      <c r="AZ937"/>
      <c r="BA937"/>
      <c r="BB937"/>
      <c r="BC937"/>
      <c r="BD937"/>
      <c r="BE937"/>
      <c r="BF937"/>
      <c r="BG937"/>
      <c r="BH937"/>
      <c r="BI937"/>
      <c r="BJ937"/>
      <c r="BK937"/>
      <c r="BL937"/>
      <c r="BM937"/>
      <c r="BN937"/>
      <c r="BO937"/>
      <c r="BP937"/>
      <c r="BQ937"/>
      <c r="BR937"/>
      <c r="BS937"/>
      <c r="BT937"/>
      <c r="BU937"/>
      <c r="BV937"/>
      <c r="BW937"/>
      <c r="BX937"/>
    </row>
    <row r="938" spans="1:76">
      <c r="A938" s="72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/>
      <c r="AF938"/>
      <c r="AG938"/>
      <c r="AH938"/>
      <c r="AI938"/>
      <c r="AJ938"/>
      <c r="AK938"/>
      <c r="AL938"/>
      <c r="AM938"/>
      <c r="AN938"/>
      <c r="AO938"/>
      <c r="AP938"/>
      <c r="AQ938"/>
      <c r="AR938"/>
      <c r="AS938"/>
      <c r="AT938"/>
      <c r="AU938"/>
      <c r="AV938"/>
      <c r="AW938"/>
      <c r="AX938"/>
      <c r="AY938"/>
      <c r="AZ938"/>
      <c r="BA938"/>
      <c r="BB938"/>
      <c r="BC938"/>
      <c r="BD938"/>
      <c r="BE938"/>
      <c r="BF938"/>
      <c r="BG938"/>
      <c r="BH938"/>
      <c r="BI938"/>
      <c r="BJ938"/>
      <c r="BK938"/>
      <c r="BL938"/>
      <c r="BM938"/>
      <c r="BN938"/>
      <c r="BO938"/>
      <c r="BP938"/>
      <c r="BQ938"/>
      <c r="BR938"/>
      <c r="BS938"/>
      <c r="BT938"/>
      <c r="BU938"/>
      <c r="BV938"/>
      <c r="BW938"/>
      <c r="BX938"/>
    </row>
    <row r="939" spans="1:76">
      <c r="A939" s="72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/>
      <c r="AF939"/>
      <c r="AG939"/>
      <c r="AH939"/>
      <c r="AI939"/>
      <c r="AJ939"/>
      <c r="AK939"/>
      <c r="AL939"/>
      <c r="AM939"/>
      <c r="AN939"/>
      <c r="AO939"/>
      <c r="AP939"/>
      <c r="AQ939"/>
      <c r="AR939"/>
      <c r="AS939"/>
      <c r="AT939"/>
      <c r="AU939"/>
      <c r="AV939"/>
      <c r="AW939"/>
      <c r="AX939"/>
      <c r="AY939"/>
      <c r="AZ939"/>
      <c r="BA939"/>
      <c r="BB939"/>
      <c r="BC939"/>
      <c r="BD939"/>
      <c r="BE939"/>
      <c r="BF939"/>
      <c r="BG939"/>
      <c r="BH939"/>
      <c r="BI939"/>
      <c r="BJ939"/>
      <c r="BK939"/>
      <c r="BL939"/>
      <c r="BM939"/>
      <c r="BN939"/>
      <c r="BO939"/>
      <c r="BP939"/>
      <c r="BQ939"/>
      <c r="BR939"/>
      <c r="BS939"/>
      <c r="BT939"/>
      <c r="BU939"/>
      <c r="BV939"/>
      <c r="BW939"/>
      <c r="BX939"/>
    </row>
    <row r="940" spans="1:76">
      <c r="A940" s="72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/>
      <c r="AF940"/>
      <c r="AG940"/>
      <c r="AH940"/>
      <c r="AI940"/>
      <c r="AJ940"/>
      <c r="AK940"/>
      <c r="AL940"/>
      <c r="AM940"/>
      <c r="AN940"/>
      <c r="AO940"/>
      <c r="AP940"/>
      <c r="AQ940"/>
      <c r="AR940"/>
      <c r="AS940"/>
      <c r="AT940"/>
      <c r="AU940"/>
      <c r="AV940"/>
      <c r="AW940"/>
      <c r="AX940"/>
      <c r="AY940"/>
      <c r="AZ940"/>
      <c r="BA940"/>
      <c r="BB940"/>
      <c r="BC940"/>
      <c r="BD940"/>
      <c r="BE940"/>
      <c r="BF940"/>
      <c r="BG940"/>
      <c r="BH940"/>
      <c r="BI940"/>
      <c r="BJ940"/>
      <c r="BK940"/>
      <c r="BL940"/>
      <c r="BM940"/>
      <c r="BN940"/>
      <c r="BO940"/>
      <c r="BP940"/>
      <c r="BQ940"/>
      <c r="BR940"/>
      <c r="BS940"/>
      <c r="BT940"/>
      <c r="BU940"/>
      <c r="BV940"/>
      <c r="BW940"/>
      <c r="BX940"/>
    </row>
    <row r="941" spans="1:76">
      <c r="A941" s="72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/>
      <c r="AF941"/>
      <c r="AG941"/>
      <c r="AH941"/>
      <c r="AI941"/>
      <c r="AJ941"/>
      <c r="AK941"/>
      <c r="AL941"/>
      <c r="AM941"/>
      <c r="AN941"/>
      <c r="AO941"/>
      <c r="AP941"/>
      <c r="AQ941"/>
      <c r="AR941"/>
      <c r="AS941"/>
      <c r="AT941"/>
      <c r="AU941"/>
      <c r="AV941"/>
      <c r="AW941"/>
      <c r="AX941"/>
      <c r="AY941"/>
      <c r="AZ941"/>
      <c r="BA941"/>
      <c r="BB941"/>
      <c r="BC941"/>
      <c r="BD941"/>
      <c r="BE941"/>
      <c r="BF941"/>
      <c r="BG941"/>
      <c r="BH941"/>
      <c r="BI941"/>
      <c r="BJ941"/>
      <c r="BK941"/>
      <c r="BL941"/>
      <c r="BM941"/>
      <c r="BN941"/>
      <c r="BO941"/>
      <c r="BP941"/>
      <c r="BQ941"/>
      <c r="BR941"/>
      <c r="BS941"/>
      <c r="BT941"/>
      <c r="BU941"/>
      <c r="BV941"/>
      <c r="BW941"/>
      <c r="BX941"/>
    </row>
    <row r="942" spans="1:76">
      <c r="A942" s="7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/>
      <c r="AF942"/>
      <c r="AG942"/>
      <c r="AH942"/>
      <c r="AI942"/>
      <c r="AJ942"/>
      <c r="AK942"/>
      <c r="AL942"/>
      <c r="AM942"/>
      <c r="AN942"/>
      <c r="AO942"/>
      <c r="AP942"/>
      <c r="AQ942"/>
      <c r="AR942"/>
      <c r="AS942"/>
      <c r="AT942"/>
      <c r="AU942"/>
      <c r="AV942"/>
      <c r="AW942"/>
      <c r="AX942"/>
      <c r="AY942"/>
      <c r="AZ942"/>
      <c r="BA942"/>
      <c r="BB942"/>
      <c r="BC942"/>
      <c r="BD942"/>
      <c r="BE942"/>
      <c r="BF942"/>
      <c r="BG942"/>
      <c r="BH942"/>
      <c r="BI942"/>
      <c r="BJ942"/>
      <c r="BK942"/>
      <c r="BL942"/>
      <c r="BM942"/>
      <c r="BN942"/>
      <c r="BO942"/>
      <c r="BP942"/>
      <c r="BQ942"/>
      <c r="BR942"/>
      <c r="BS942"/>
      <c r="BT942"/>
      <c r="BU942"/>
      <c r="BV942"/>
      <c r="BW942"/>
      <c r="BX942"/>
    </row>
    <row r="943" spans="1:76">
      <c r="A943" s="72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/>
      <c r="AF943"/>
      <c r="AG943"/>
      <c r="AH943"/>
      <c r="AI943"/>
      <c r="AJ943"/>
      <c r="AK943"/>
      <c r="AL943"/>
      <c r="AM943"/>
      <c r="AN943"/>
      <c r="AO943"/>
      <c r="AP943"/>
      <c r="AQ943"/>
      <c r="AR943"/>
      <c r="AS943"/>
      <c r="AT943"/>
      <c r="AU943"/>
      <c r="AV943"/>
      <c r="AW943"/>
      <c r="AX943"/>
      <c r="AY943"/>
      <c r="AZ943"/>
      <c r="BA943"/>
      <c r="BB943"/>
      <c r="BC943"/>
      <c r="BD943"/>
      <c r="BE943"/>
      <c r="BF943"/>
      <c r="BG943"/>
      <c r="BH943"/>
      <c r="BI943"/>
      <c r="BJ943"/>
      <c r="BK943"/>
      <c r="BL943"/>
      <c r="BM943"/>
      <c r="BN943"/>
      <c r="BO943"/>
      <c r="BP943"/>
      <c r="BQ943"/>
      <c r="BR943"/>
      <c r="BS943"/>
      <c r="BT943"/>
      <c r="BU943"/>
      <c r="BV943"/>
      <c r="BW943"/>
      <c r="BX943"/>
    </row>
    <row r="944" spans="1:76">
      <c r="A944" s="72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/>
      <c r="AF944"/>
      <c r="AG944"/>
      <c r="AH944"/>
      <c r="AI944"/>
      <c r="AJ944"/>
      <c r="AK944"/>
      <c r="AL944"/>
      <c r="AM944"/>
      <c r="AN944"/>
      <c r="AO944"/>
      <c r="AP944"/>
      <c r="AQ944"/>
      <c r="AR944"/>
      <c r="AS944"/>
      <c r="AT944"/>
      <c r="AU944"/>
      <c r="AV944"/>
      <c r="AW944"/>
      <c r="AX944"/>
      <c r="AY944"/>
      <c r="AZ944"/>
      <c r="BA944"/>
      <c r="BB944"/>
      <c r="BC944"/>
      <c r="BD944"/>
      <c r="BE944"/>
      <c r="BF944"/>
      <c r="BG944"/>
      <c r="BH944"/>
      <c r="BI944"/>
      <c r="BJ944"/>
      <c r="BK944"/>
      <c r="BL944"/>
      <c r="BM944"/>
      <c r="BN944"/>
      <c r="BO944"/>
      <c r="BP944"/>
      <c r="BQ944"/>
      <c r="BR944"/>
      <c r="BS944"/>
      <c r="BT944"/>
      <c r="BU944"/>
      <c r="BV944"/>
      <c r="BW944"/>
      <c r="BX944"/>
    </row>
    <row r="945" spans="1:76">
      <c r="A945" s="72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/>
      <c r="AF945"/>
      <c r="AG945"/>
      <c r="AH945"/>
      <c r="AI945"/>
      <c r="AJ945"/>
      <c r="AK945"/>
      <c r="AL945"/>
      <c r="AM945"/>
      <c r="AN945"/>
      <c r="AO945"/>
      <c r="AP945"/>
      <c r="AQ945"/>
      <c r="AR945"/>
      <c r="AS945"/>
      <c r="AT945"/>
      <c r="AU945"/>
      <c r="AV945"/>
      <c r="AW945"/>
      <c r="AX945"/>
      <c r="AY945"/>
      <c r="AZ945"/>
      <c r="BA945"/>
      <c r="BB945"/>
      <c r="BC945"/>
      <c r="BD945"/>
      <c r="BE945"/>
      <c r="BF945"/>
      <c r="BG945"/>
      <c r="BH945"/>
      <c r="BI945"/>
      <c r="BJ945"/>
      <c r="BK945"/>
      <c r="BL945"/>
      <c r="BM945"/>
      <c r="BN945"/>
      <c r="BO945"/>
      <c r="BP945"/>
      <c r="BQ945"/>
      <c r="BR945"/>
      <c r="BS945"/>
      <c r="BT945"/>
      <c r="BU945"/>
      <c r="BV945"/>
      <c r="BW945"/>
      <c r="BX945"/>
    </row>
    <row r="946" spans="1:76">
      <c r="A946" s="72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/>
      <c r="AF946"/>
      <c r="AG946"/>
      <c r="AH946"/>
      <c r="AI946"/>
      <c r="AJ946"/>
      <c r="AK946"/>
      <c r="AL946"/>
      <c r="AM946"/>
      <c r="AN946"/>
      <c r="AO946"/>
      <c r="AP946"/>
      <c r="AQ946"/>
      <c r="AR946"/>
      <c r="AS946"/>
      <c r="AT946"/>
      <c r="AU946"/>
      <c r="AV946"/>
      <c r="AW946"/>
      <c r="AX946"/>
      <c r="AY946"/>
      <c r="AZ946"/>
      <c r="BA946"/>
      <c r="BB946"/>
      <c r="BC946"/>
      <c r="BD946"/>
      <c r="BE946"/>
      <c r="BF946"/>
      <c r="BG946"/>
      <c r="BH946"/>
      <c r="BI946"/>
      <c r="BJ946"/>
      <c r="BK946"/>
      <c r="BL946"/>
      <c r="BM946"/>
      <c r="BN946"/>
      <c r="BO946"/>
      <c r="BP946"/>
      <c r="BQ946"/>
      <c r="BR946"/>
      <c r="BS946"/>
      <c r="BT946"/>
      <c r="BU946"/>
      <c r="BV946"/>
      <c r="BW946"/>
      <c r="BX946"/>
    </row>
    <row r="947" spans="1:76">
      <c r="A947" s="72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  <c r="AD947"/>
      <c r="AE947"/>
      <c r="AF947"/>
      <c r="AG947"/>
      <c r="AH947"/>
      <c r="AI947"/>
      <c r="AJ947"/>
      <c r="AK947"/>
      <c r="AL947"/>
      <c r="AM947"/>
      <c r="AN947"/>
      <c r="AO947"/>
      <c r="AP947"/>
      <c r="AQ947"/>
      <c r="AR947"/>
      <c r="AS947"/>
      <c r="AT947"/>
      <c r="AU947"/>
      <c r="AV947"/>
      <c r="AW947"/>
      <c r="AX947"/>
      <c r="AY947"/>
      <c r="AZ947"/>
      <c r="BA947"/>
      <c r="BB947"/>
      <c r="BC947"/>
      <c r="BD947"/>
      <c r="BE947"/>
      <c r="BF947"/>
      <c r="BG947"/>
      <c r="BH947"/>
      <c r="BI947"/>
      <c r="BJ947"/>
      <c r="BK947"/>
      <c r="BL947"/>
      <c r="BM947"/>
      <c r="BN947"/>
      <c r="BO947"/>
      <c r="BP947"/>
      <c r="BQ947"/>
      <c r="BR947"/>
      <c r="BS947"/>
      <c r="BT947"/>
      <c r="BU947"/>
      <c r="BV947"/>
      <c r="BW947"/>
      <c r="BX947"/>
    </row>
    <row r="948" spans="1:76">
      <c r="A948" s="72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/>
      <c r="AF948"/>
      <c r="AG948"/>
      <c r="AH948"/>
      <c r="AI948"/>
      <c r="AJ948"/>
      <c r="AK948"/>
      <c r="AL948"/>
      <c r="AM948"/>
      <c r="AN948"/>
      <c r="AO948"/>
      <c r="AP948"/>
      <c r="AQ948"/>
      <c r="AR948"/>
      <c r="AS948"/>
      <c r="AT948"/>
      <c r="AU948"/>
      <c r="AV948"/>
      <c r="AW948"/>
      <c r="AX948"/>
      <c r="AY948"/>
      <c r="AZ948"/>
      <c r="BA948"/>
      <c r="BB948"/>
      <c r="BC948"/>
      <c r="BD948"/>
      <c r="BE948"/>
      <c r="BF948"/>
      <c r="BG948"/>
      <c r="BH948"/>
      <c r="BI948"/>
      <c r="BJ948"/>
      <c r="BK948"/>
      <c r="BL948"/>
      <c r="BM948"/>
      <c r="BN948"/>
      <c r="BO948"/>
      <c r="BP948"/>
      <c r="BQ948"/>
      <c r="BR948"/>
      <c r="BS948"/>
      <c r="BT948"/>
      <c r="BU948"/>
      <c r="BV948"/>
      <c r="BW948"/>
      <c r="BX948"/>
    </row>
    <row r="949" spans="1:76">
      <c r="A949" s="72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/>
      <c r="AF949"/>
      <c r="AG949"/>
      <c r="AH949"/>
      <c r="AI949"/>
      <c r="AJ949"/>
      <c r="AK949"/>
      <c r="AL949"/>
      <c r="AM949"/>
      <c r="AN949"/>
      <c r="AO949"/>
      <c r="AP949"/>
      <c r="AQ949"/>
      <c r="AR949"/>
      <c r="AS949"/>
      <c r="AT949"/>
      <c r="AU949"/>
      <c r="AV949"/>
      <c r="AW949"/>
      <c r="AX949"/>
      <c r="AY949"/>
      <c r="AZ949"/>
      <c r="BA949"/>
      <c r="BB949"/>
      <c r="BC949"/>
      <c r="BD949"/>
      <c r="BE949"/>
      <c r="BF949"/>
      <c r="BG949"/>
      <c r="BH949"/>
      <c r="BI949"/>
      <c r="BJ949"/>
      <c r="BK949"/>
      <c r="BL949"/>
      <c r="BM949"/>
      <c r="BN949"/>
      <c r="BO949"/>
      <c r="BP949"/>
      <c r="BQ949"/>
      <c r="BR949"/>
      <c r="BS949"/>
      <c r="BT949"/>
      <c r="BU949"/>
      <c r="BV949"/>
      <c r="BW949"/>
      <c r="BX949"/>
    </row>
    <row r="950" spans="1:76">
      <c r="A950" s="72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  <c r="AD950"/>
      <c r="AE950"/>
      <c r="AF950"/>
      <c r="AG950"/>
      <c r="AH950"/>
      <c r="AI950"/>
      <c r="AJ950"/>
      <c r="AK950"/>
      <c r="AL950"/>
      <c r="AM950"/>
      <c r="AN950"/>
      <c r="AO950"/>
      <c r="AP950"/>
      <c r="AQ950"/>
      <c r="AR950"/>
      <c r="AS950"/>
      <c r="AT950"/>
      <c r="AU950"/>
      <c r="AV950"/>
      <c r="AW950"/>
      <c r="AX950"/>
      <c r="AY950"/>
      <c r="AZ950"/>
      <c r="BA950"/>
      <c r="BB950"/>
      <c r="BC950"/>
      <c r="BD950"/>
      <c r="BE950"/>
      <c r="BF950"/>
      <c r="BG950"/>
      <c r="BH950"/>
      <c r="BI950"/>
      <c r="BJ950"/>
      <c r="BK950"/>
      <c r="BL950"/>
      <c r="BM950"/>
      <c r="BN950"/>
      <c r="BO950"/>
      <c r="BP950"/>
      <c r="BQ950"/>
      <c r="BR950"/>
      <c r="BS950"/>
      <c r="BT950"/>
      <c r="BU950"/>
      <c r="BV950"/>
      <c r="BW950"/>
      <c r="BX950"/>
    </row>
    <row r="951" spans="1:76">
      <c r="A951" s="72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/>
      <c r="AF951"/>
      <c r="AG951"/>
      <c r="AH951"/>
      <c r="AI951"/>
      <c r="AJ951"/>
      <c r="AK951"/>
      <c r="AL951"/>
      <c r="AM951"/>
      <c r="AN951"/>
      <c r="AO951"/>
      <c r="AP951"/>
      <c r="AQ951"/>
      <c r="AR951"/>
      <c r="AS951"/>
      <c r="AT951"/>
      <c r="AU951"/>
      <c r="AV951"/>
      <c r="AW951"/>
      <c r="AX951"/>
      <c r="AY951"/>
      <c r="AZ951"/>
      <c r="BA951"/>
      <c r="BB951"/>
      <c r="BC951"/>
      <c r="BD951"/>
      <c r="BE951"/>
      <c r="BF951"/>
      <c r="BG951"/>
      <c r="BH951"/>
      <c r="BI951"/>
      <c r="BJ951"/>
      <c r="BK951"/>
      <c r="BL951"/>
      <c r="BM951"/>
      <c r="BN951"/>
      <c r="BO951"/>
      <c r="BP951"/>
      <c r="BQ951"/>
      <c r="BR951"/>
      <c r="BS951"/>
      <c r="BT951"/>
      <c r="BU951"/>
      <c r="BV951"/>
      <c r="BW951"/>
      <c r="BX951"/>
    </row>
    <row r="952" spans="1:76">
      <c r="A952" s="7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  <c r="AC952"/>
      <c r="AD952"/>
      <c r="AE952"/>
      <c r="AF952"/>
      <c r="AG952"/>
      <c r="AH952"/>
      <c r="AI952"/>
      <c r="AJ952"/>
      <c r="AK952"/>
      <c r="AL952"/>
      <c r="AM952"/>
      <c r="AN952"/>
      <c r="AO952"/>
      <c r="AP952"/>
      <c r="AQ952"/>
      <c r="AR952"/>
      <c r="AS952"/>
      <c r="AT952"/>
      <c r="AU952"/>
      <c r="AV952"/>
      <c r="AW952"/>
      <c r="AX952"/>
      <c r="AY952"/>
      <c r="AZ952"/>
      <c r="BA952"/>
      <c r="BB952"/>
      <c r="BC952"/>
      <c r="BD952"/>
      <c r="BE952"/>
      <c r="BF952"/>
      <c r="BG952"/>
      <c r="BH952"/>
      <c r="BI952"/>
      <c r="BJ952"/>
      <c r="BK952"/>
      <c r="BL952"/>
      <c r="BM952"/>
      <c r="BN952"/>
      <c r="BO952"/>
      <c r="BP952"/>
      <c r="BQ952"/>
      <c r="BR952"/>
      <c r="BS952"/>
      <c r="BT952"/>
      <c r="BU952"/>
      <c r="BV952"/>
      <c r="BW952"/>
      <c r="BX952"/>
    </row>
    <row r="953" spans="1:76">
      <c r="A953" s="72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/>
      <c r="AF953"/>
      <c r="AG953"/>
      <c r="AH953"/>
      <c r="AI953"/>
      <c r="AJ953"/>
      <c r="AK953"/>
      <c r="AL953"/>
      <c r="AM953"/>
      <c r="AN953"/>
      <c r="AO953"/>
      <c r="AP953"/>
      <c r="AQ953"/>
      <c r="AR953"/>
      <c r="AS953"/>
      <c r="AT953"/>
      <c r="AU953"/>
      <c r="AV953"/>
      <c r="AW953"/>
      <c r="AX953"/>
      <c r="AY953"/>
      <c r="AZ953"/>
      <c r="BA953"/>
      <c r="BB953"/>
      <c r="BC953"/>
      <c r="BD953"/>
      <c r="BE953"/>
      <c r="BF953"/>
      <c r="BG953"/>
      <c r="BH953"/>
      <c r="BI953"/>
      <c r="BJ953"/>
      <c r="BK953"/>
      <c r="BL953"/>
      <c r="BM953"/>
      <c r="BN953"/>
      <c r="BO953"/>
      <c r="BP953"/>
      <c r="BQ953"/>
      <c r="BR953"/>
      <c r="BS953"/>
      <c r="BT953"/>
      <c r="BU953"/>
      <c r="BV953"/>
      <c r="BW953"/>
      <c r="BX953"/>
    </row>
    <row r="954" spans="1:76">
      <c r="A954" s="72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/>
      <c r="AF954"/>
      <c r="AG954"/>
      <c r="AH954"/>
      <c r="AI954"/>
      <c r="AJ954"/>
      <c r="AK954"/>
      <c r="AL954"/>
      <c r="AM954"/>
      <c r="AN954"/>
      <c r="AO954"/>
      <c r="AP954"/>
      <c r="AQ954"/>
      <c r="AR954"/>
      <c r="AS954"/>
      <c r="AT954"/>
      <c r="AU954"/>
      <c r="AV954"/>
      <c r="AW954"/>
      <c r="AX954"/>
      <c r="AY954"/>
      <c r="AZ954"/>
      <c r="BA954"/>
      <c r="BB954"/>
      <c r="BC954"/>
      <c r="BD954"/>
      <c r="BE954"/>
      <c r="BF954"/>
      <c r="BG954"/>
      <c r="BH954"/>
      <c r="BI954"/>
      <c r="BJ954"/>
      <c r="BK954"/>
      <c r="BL954"/>
      <c r="BM954"/>
      <c r="BN954"/>
      <c r="BO954"/>
      <c r="BP954"/>
      <c r="BQ954"/>
      <c r="BR954"/>
      <c r="BS954"/>
      <c r="BT954"/>
      <c r="BU954"/>
      <c r="BV954"/>
      <c r="BW954"/>
      <c r="BX954"/>
    </row>
    <row r="955" spans="1:76">
      <c r="A955" s="72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/>
      <c r="AF955"/>
      <c r="AG955"/>
      <c r="AH955"/>
      <c r="AI955"/>
      <c r="AJ955"/>
      <c r="AK955"/>
      <c r="AL955"/>
      <c r="AM955"/>
      <c r="AN955"/>
      <c r="AO955"/>
      <c r="AP955"/>
      <c r="AQ955"/>
      <c r="AR955"/>
      <c r="AS955"/>
      <c r="AT955"/>
      <c r="AU955"/>
      <c r="AV955"/>
      <c r="AW955"/>
      <c r="AX955"/>
      <c r="AY955"/>
      <c r="AZ955"/>
      <c r="BA955"/>
      <c r="BB955"/>
      <c r="BC955"/>
      <c r="BD955"/>
      <c r="BE955"/>
      <c r="BF955"/>
      <c r="BG955"/>
      <c r="BH955"/>
      <c r="BI955"/>
      <c r="BJ955"/>
      <c r="BK955"/>
      <c r="BL955"/>
      <c r="BM955"/>
      <c r="BN955"/>
      <c r="BO955"/>
      <c r="BP955"/>
      <c r="BQ955"/>
      <c r="BR955"/>
      <c r="BS955"/>
      <c r="BT955"/>
      <c r="BU955"/>
      <c r="BV955"/>
      <c r="BW955"/>
      <c r="BX955"/>
    </row>
    <row r="956" spans="1:76">
      <c r="A956" s="72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/>
      <c r="AF956"/>
      <c r="AG956"/>
      <c r="AH956"/>
      <c r="AI956"/>
      <c r="AJ956"/>
      <c r="AK956"/>
      <c r="AL956"/>
      <c r="AM956"/>
      <c r="AN956"/>
      <c r="AO956"/>
      <c r="AP956"/>
      <c r="AQ956"/>
      <c r="AR956"/>
      <c r="AS956"/>
      <c r="AT956"/>
      <c r="AU956"/>
      <c r="AV956"/>
      <c r="AW956"/>
      <c r="AX956"/>
      <c r="AY956"/>
      <c r="AZ956"/>
      <c r="BA956"/>
      <c r="BB956"/>
      <c r="BC956"/>
      <c r="BD956"/>
      <c r="BE956"/>
      <c r="BF956"/>
      <c r="BG956"/>
      <c r="BH956"/>
      <c r="BI956"/>
      <c r="BJ956"/>
      <c r="BK956"/>
      <c r="BL956"/>
      <c r="BM956"/>
      <c r="BN956"/>
      <c r="BO956"/>
      <c r="BP956"/>
      <c r="BQ956"/>
      <c r="BR956"/>
      <c r="BS956"/>
      <c r="BT956"/>
      <c r="BU956"/>
      <c r="BV956"/>
      <c r="BW956"/>
      <c r="BX956"/>
    </row>
    <row r="957" spans="1:76">
      <c r="A957" s="72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/>
      <c r="AF957"/>
      <c r="AG957"/>
      <c r="AH957"/>
      <c r="AI957"/>
      <c r="AJ957"/>
      <c r="AK957"/>
      <c r="AL957"/>
      <c r="AM957"/>
      <c r="AN957"/>
      <c r="AO957"/>
      <c r="AP957"/>
      <c r="AQ957"/>
      <c r="AR957"/>
      <c r="AS957"/>
      <c r="AT957"/>
      <c r="AU957"/>
      <c r="AV957"/>
      <c r="AW957"/>
      <c r="AX957"/>
      <c r="AY957"/>
      <c r="AZ957"/>
      <c r="BA957"/>
      <c r="BB957"/>
      <c r="BC957"/>
      <c r="BD957"/>
      <c r="BE957"/>
      <c r="BF957"/>
      <c r="BG957"/>
      <c r="BH957"/>
      <c r="BI957"/>
      <c r="BJ957"/>
      <c r="BK957"/>
      <c r="BL957"/>
      <c r="BM957"/>
      <c r="BN957"/>
      <c r="BO957"/>
      <c r="BP957"/>
      <c r="BQ957"/>
      <c r="BR957"/>
      <c r="BS957"/>
      <c r="BT957"/>
      <c r="BU957"/>
      <c r="BV957"/>
      <c r="BW957"/>
      <c r="BX957"/>
    </row>
    <row r="958" spans="1:76">
      <c r="A958" s="72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/>
      <c r="AF958"/>
      <c r="AG958"/>
      <c r="AH958"/>
      <c r="AI958"/>
      <c r="AJ958"/>
      <c r="AK958"/>
      <c r="AL958"/>
      <c r="AM958"/>
      <c r="AN958"/>
      <c r="AO958"/>
      <c r="AP958"/>
      <c r="AQ958"/>
      <c r="AR958"/>
      <c r="AS958"/>
      <c r="AT958"/>
      <c r="AU958"/>
      <c r="AV958"/>
      <c r="AW958"/>
      <c r="AX958"/>
      <c r="AY958"/>
      <c r="AZ958"/>
      <c r="BA958"/>
      <c r="BB958"/>
      <c r="BC958"/>
      <c r="BD958"/>
      <c r="BE958"/>
      <c r="BF958"/>
      <c r="BG958"/>
      <c r="BH958"/>
      <c r="BI958"/>
      <c r="BJ958"/>
      <c r="BK958"/>
      <c r="BL958"/>
      <c r="BM958"/>
      <c r="BN958"/>
      <c r="BO958"/>
      <c r="BP958"/>
      <c r="BQ958"/>
      <c r="BR958"/>
      <c r="BS958"/>
      <c r="BT958"/>
      <c r="BU958"/>
      <c r="BV958"/>
      <c r="BW958"/>
      <c r="BX958"/>
    </row>
    <row r="959" spans="1:76">
      <c r="A959" s="72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/>
      <c r="AF959"/>
      <c r="AG959"/>
      <c r="AH959"/>
      <c r="AI959"/>
      <c r="AJ959"/>
      <c r="AK959"/>
      <c r="AL959"/>
      <c r="AM959"/>
      <c r="AN959"/>
      <c r="AO959"/>
      <c r="AP959"/>
      <c r="AQ959"/>
      <c r="AR959"/>
      <c r="AS959"/>
      <c r="AT959"/>
      <c r="AU959"/>
      <c r="AV959"/>
      <c r="AW959"/>
      <c r="AX959"/>
      <c r="AY959"/>
      <c r="AZ959"/>
      <c r="BA959"/>
      <c r="BB959"/>
      <c r="BC959"/>
      <c r="BD959"/>
      <c r="BE959"/>
      <c r="BF959"/>
      <c r="BG959"/>
      <c r="BH959"/>
      <c r="BI959"/>
      <c r="BJ959"/>
      <c r="BK959"/>
      <c r="BL959"/>
      <c r="BM959"/>
      <c r="BN959"/>
      <c r="BO959"/>
      <c r="BP959"/>
      <c r="BQ959"/>
      <c r="BR959"/>
      <c r="BS959"/>
      <c r="BT959"/>
      <c r="BU959"/>
      <c r="BV959"/>
      <c r="BW959"/>
      <c r="BX959"/>
    </row>
    <row r="960" spans="1:76">
      <c r="A960" s="72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/>
      <c r="AD960"/>
      <c r="AE960"/>
      <c r="AF960"/>
      <c r="AG960"/>
      <c r="AH960"/>
      <c r="AI960"/>
      <c r="AJ960"/>
      <c r="AK960"/>
      <c r="AL960"/>
      <c r="AM960"/>
      <c r="AN960"/>
      <c r="AO960"/>
      <c r="AP960"/>
      <c r="AQ960"/>
      <c r="AR960"/>
      <c r="AS960"/>
      <c r="AT960"/>
      <c r="AU960"/>
      <c r="AV960"/>
      <c r="AW960"/>
      <c r="AX960"/>
      <c r="AY960"/>
      <c r="AZ960"/>
      <c r="BA960"/>
      <c r="BB960"/>
      <c r="BC960"/>
      <c r="BD960"/>
      <c r="BE960"/>
      <c r="BF960"/>
      <c r="BG960"/>
      <c r="BH960"/>
      <c r="BI960"/>
      <c r="BJ960"/>
      <c r="BK960"/>
      <c r="BL960"/>
      <c r="BM960"/>
      <c r="BN960"/>
      <c r="BO960"/>
      <c r="BP960"/>
      <c r="BQ960"/>
      <c r="BR960"/>
      <c r="BS960"/>
      <c r="BT960"/>
      <c r="BU960"/>
      <c r="BV960"/>
      <c r="BW960"/>
      <c r="BX960"/>
    </row>
    <row r="961" spans="1:76">
      <c r="A961" s="72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/>
      <c r="AF961"/>
      <c r="AG961"/>
      <c r="AH961"/>
      <c r="AI961"/>
      <c r="AJ961"/>
      <c r="AK961"/>
      <c r="AL961"/>
      <c r="AM961"/>
      <c r="AN961"/>
      <c r="AO961"/>
      <c r="AP961"/>
      <c r="AQ961"/>
      <c r="AR961"/>
      <c r="AS961"/>
      <c r="AT961"/>
      <c r="AU961"/>
      <c r="AV961"/>
      <c r="AW961"/>
      <c r="AX961"/>
      <c r="AY961"/>
      <c r="AZ961"/>
      <c r="BA961"/>
      <c r="BB961"/>
      <c r="BC961"/>
      <c r="BD961"/>
      <c r="BE961"/>
      <c r="BF961"/>
      <c r="BG961"/>
      <c r="BH961"/>
      <c r="BI961"/>
      <c r="BJ961"/>
      <c r="BK961"/>
      <c r="BL961"/>
      <c r="BM961"/>
      <c r="BN961"/>
      <c r="BO961"/>
      <c r="BP961"/>
      <c r="BQ961"/>
      <c r="BR961"/>
      <c r="BS961"/>
      <c r="BT961"/>
      <c r="BU961"/>
      <c r="BV961"/>
      <c r="BW961"/>
      <c r="BX961"/>
    </row>
    <row r="962" spans="1:76">
      <c r="A962" s="7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  <c r="AE962"/>
      <c r="AF962"/>
      <c r="AG962"/>
      <c r="AH962"/>
      <c r="AI962"/>
      <c r="AJ962"/>
      <c r="AK962"/>
      <c r="AL962"/>
      <c r="AM962"/>
      <c r="AN962"/>
      <c r="AO962"/>
      <c r="AP962"/>
      <c r="AQ962"/>
      <c r="AR962"/>
      <c r="AS962"/>
      <c r="AT962"/>
      <c r="AU962"/>
      <c r="AV962"/>
      <c r="AW962"/>
      <c r="AX962"/>
      <c r="AY962"/>
      <c r="AZ962"/>
      <c r="BA962"/>
      <c r="BB962"/>
      <c r="BC962"/>
      <c r="BD962"/>
      <c r="BE962"/>
      <c r="BF962"/>
      <c r="BG962"/>
      <c r="BH962"/>
      <c r="BI962"/>
      <c r="BJ962"/>
      <c r="BK962"/>
      <c r="BL962"/>
      <c r="BM962"/>
      <c r="BN962"/>
      <c r="BO962"/>
      <c r="BP962"/>
      <c r="BQ962"/>
      <c r="BR962"/>
      <c r="BS962"/>
      <c r="BT962"/>
      <c r="BU962"/>
      <c r="BV962"/>
      <c r="BW962"/>
      <c r="BX962"/>
    </row>
    <row r="963" spans="1:76">
      <c r="A963" s="72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  <c r="AD963"/>
      <c r="AE963"/>
      <c r="AF963"/>
      <c r="AG963"/>
      <c r="AH963"/>
      <c r="AI963"/>
      <c r="AJ963"/>
      <c r="AK963"/>
      <c r="AL963"/>
      <c r="AM963"/>
      <c r="AN963"/>
      <c r="AO963"/>
      <c r="AP963"/>
      <c r="AQ963"/>
      <c r="AR963"/>
      <c r="AS963"/>
      <c r="AT963"/>
      <c r="AU963"/>
      <c r="AV963"/>
      <c r="AW963"/>
      <c r="AX963"/>
      <c r="AY963"/>
      <c r="AZ963"/>
      <c r="BA963"/>
      <c r="BB963"/>
      <c r="BC963"/>
      <c r="BD963"/>
      <c r="BE963"/>
      <c r="BF963"/>
      <c r="BG963"/>
      <c r="BH963"/>
      <c r="BI963"/>
      <c r="BJ963"/>
      <c r="BK963"/>
      <c r="BL963"/>
      <c r="BM963"/>
      <c r="BN963"/>
      <c r="BO963"/>
      <c r="BP963"/>
      <c r="BQ963"/>
      <c r="BR963"/>
      <c r="BS963"/>
      <c r="BT963"/>
      <c r="BU963"/>
      <c r="BV963"/>
      <c r="BW963"/>
      <c r="BX963"/>
    </row>
    <row r="964" spans="1:76">
      <c r="A964" s="72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/>
      <c r="AF964"/>
      <c r="AG964"/>
      <c r="AH964"/>
      <c r="AI964"/>
      <c r="AJ964"/>
      <c r="AK964"/>
      <c r="AL964"/>
      <c r="AM964"/>
      <c r="AN964"/>
      <c r="AO964"/>
      <c r="AP964"/>
      <c r="AQ964"/>
      <c r="AR964"/>
      <c r="AS964"/>
      <c r="AT964"/>
      <c r="AU964"/>
      <c r="AV964"/>
      <c r="AW964"/>
      <c r="AX964"/>
      <c r="AY964"/>
      <c r="AZ964"/>
      <c r="BA964"/>
      <c r="BB964"/>
      <c r="BC964"/>
      <c r="BD964"/>
      <c r="BE964"/>
      <c r="BF964"/>
      <c r="BG964"/>
      <c r="BH964"/>
      <c r="BI964"/>
      <c r="BJ964"/>
      <c r="BK964"/>
      <c r="BL964"/>
      <c r="BM964"/>
      <c r="BN964"/>
      <c r="BO964"/>
      <c r="BP964"/>
      <c r="BQ964"/>
      <c r="BR964"/>
      <c r="BS964"/>
      <c r="BT964"/>
      <c r="BU964"/>
      <c r="BV964"/>
      <c r="BW964"/>
      <c r="BX964"/>
    </row>
    <row r="965" spans="1:76">
      <c r="A965" s="72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  <c r="AE965"/>
      <c r="AF965"/>
      <c r="AG965"/>
      <c r="AH965"/>
      <c r="AI965"/>
      <c r="AJ965"/>
      <c r="AK965"/>
      <c r="AL965"/>
      <c r="AM965"/>
      <c r="AN965"/>
      <c r="AO965"/>
      <c r="AP965"/>
      <c r="AQ965"/>
      <c r="AR965"/>
      <c r="AS965"/>
      <c r="AT965"/>
      <c r="AU965"/>
      <c r="AV965"/>
      <c r="AW965"/>
      <c r="AX965"/>
      <c r="AY965"/>
      <c r="AZ965"/>
      <c r="BA965"/>
      <c r="BB965"/>
      <c r="BC965"/>
      <c r="BD965"/>
      <c r="BE965"/>
      <c r="BF965"/>
      <c r="BG965"/>
      <c r="BH965"/>
      <c r="BI965"/>
      <c r="BJ965"/>
      <c r="BK965"/>
      <c r="BL965"/>
      <c r="BM965"/>
      <c r="BN965"/>
      <c r="BO965"/>
      <c r="BP965"/>
      <c r="BQ965"/>
      <c r="BR965"/>
      <c r="BS965"/>
      <c r="BT965"/>
      <c r="BU965"/>
      <c r="BV965"/>
      <c r="BW965"/>
      <c r="BX965"/>
    </row>
    <row r="966" spans="1:76">
      <c r="A966" s="72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  <c r="AC966"/>
      <c r="AD966"/>
      <c r="AE966"/>
      <c r="AF966"/>
      <c r="AG966"/>
      <c r="AH966"/>
      <c r="AI966"/>
      <c r="AJ966"/>
      <c r="AK966"/>
      <c r="AL966"/>
      <c r="AM966"/>
      <c r="AN966"/>
      <c r="AO966"/>
      <c r="AP966"/>
      <c r="AQ966"/>
      <c r="AR966"/>
      <c r="AS966"/>
      <c r="AT966"/>
      <c r="AU966"/>
      <c r="AV966"/>
      <c r="AW966"/>
      <c r="AX966"/>
      <c r="AY966"/>
      <c r="AZ966"/>
      <c r="BA966"/>
      <c r="BB966"/>
      <c r="BC966"/>
      <c r="BD966"/>
      <c r="BE966"/>
      <c r="BF966"/>
      <c r="BG966"/>
      <c r="BH966"/>
      <c r="BI966"/>
      <c r="BJ966"/>
      <c r="BK966"/>
      <c r="BL966"/>
      <c r="BM966"/>
      <c r="BN966"/>
      <c r="BO966"/>
      <c r="BP966"/>
      <c r="BQ966"/>
      <c r="BR966"/>
      <c r="BS966"/>
      <c r="BT966"/>
      <c r="BU966"/>
      <c r="BV966"/>
      <c r="BW966"/>
      <c r="BX966"/>
    </row>
    <row r="967" spans="1:76">
      <c r="A967" s="72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  <c r="AC967"/>
      <c r="AD967"/>
      <c r="AE967"/>
      <c r="AF967"/>
      <c r="AG967"/>
      <c r="AH967"/>
      <c r="AI967"/>
      <c r="AJ967"/>
      <c r="AK967"/>
      <c r="AL967"/>
      <c r="AM967"/>
      <c r="AN967"/>
      <c r="AO967"/>
      <c r="AP967"/>
      <c r="AQ967"/>
      <c r="AR967"/>
      <c r="AS967"/>
      <c r="AT967"/>
      <c r="AU967"/>
      <c r="AV967"/>
      <c r="AW967"/>
      <c r="AX967"/>
      <c r="AY967"/>
      <c r="AZ967"/>
      <c r="BA967"/>
      <c r="BB967"/>
      <c r="BC967"/>
      <c r="BD967"/>
      <c r="BE967"/>
      <c r="BF967"/>
      <c r="BG967"/>
      <c r="BH967"/>
      <c r="BI967"/>
      <c r="BJ967"/>
      <c r="BK967"/>
      <c r="BL967"/>
      <c r="BM967"/>
      <c r="BN967"/>
      <c r="BO967"/>
      <c r="BP967"/>
      <c r="BQ967"/>
      <c r="BR967"/>
      <c r="BS967"/>
      <c r="BT967"/>
      <c r="BU967"/>
      <c r="BV967"/>
      <c r="BW967"/>
      <c r="BX967"/>
    </row>
    <row r="968" spans="1:76">
      <c r="A968" s="72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/>
      <c r="AF968"/>
      <c r="AG968"/>
      <c r="AH968"/>
      <c r="AI968"/>
      <c r="AJ968"/>
      <c r="AK968"/>
      <c r="AL968"/>
      <c r="AM968"/>
      <c r="AN968"/>
      <c r="AO968"/>
      <c r="AP968"/>
      <c r="AQ968"/>
      <c r="AR968"/>
      <c r="AS968"/>
      <c r="AT968"/>
      <c r="AU968"/>
      <c r="AV968"/>
      <c r="AW968"/>
      <c r="AX968"/>
      <c r="AY968"/>
      <c r="AZ968"/>
      <c r="BA968"/>
      <c r="BB968"/>
      <c r="BC968"/>
      <c r="BD968"/>
      <c r="BE968"/>
      <c r="BF968"/>
      <c r="BG968"/>
      <c r="BH968"/>
      <c r="BI968"/>
      <c r="BJ968"/>
      <c r="BK968"/>
      <c r="BL968"/>
      <c r="BM968"/>
      <c r="BN968"/>
      <c r="BO968"/>
      <c r="BP968"/>
      <c r="BQ968"/>
      <c r="BR968"/>
      <c r="BS968"/>
      <c r="BT968"/>
      <c r="BU968"/>
      <c r="BV968"/>
      <c r="BW968"/>
      <c r="BX968"/>
    </row>
    <row r="969" spans="1:76">
      <c r="A969" s="72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  <c r="AB969"/>
      <c r="AC969"/>
      <c r="AD969"/>
      <c r="AE969"/>
      <c r="AF969"/>
      <c r="AG969"/>
      <c r="AH969"/>
      <c r="AI969"/>
      <c r="AJ969"/>
      <c r="AK969"/>
      <c r="AL969"/>
      <c r="AM969"/>
      <c r="AN969"/>
      <c r="AO969"/>
      <c r="AP969"/>
      <c r="AQ969"/>
      <c r="AR969"/>
      <c r="AS969"/>
      <c r="AT969"/>
      <c r="AU969"/>
      <c r="AV969"/>
      <c r="AW969"/>
      <c r="AX969"/>
      <c r="AY969"/>
      <c r="AZ969"/>
      <c r="BA969"/>
      <c r="BB969"/>
      <c r="BC969"/>
      <c r="BD969"/>
      <c r="BE969"/>
      <c r="BF969"/>
      <c r="BG969"/>
      <c r="BH969"/>
      <c r="BI969"/>
      <c r="BJ969"/>
      <c r="BK969"/>
      <c r="BL969"/>
      <c r="BM969"/>
      <c r="BN969"/>
      <c r="BO969"/>
      <c r="BP969"/>
      <c r="BQ969"/>
      <c r="BR969"/>
      <c r="BS969"/>
      <c r="BT969"/>
      <c r="BU969"/>
      <c r="BV969"/>
      <c r="BW969"/>
      <c r="BX969"/>
    </row>
    <row r="970" spans="1:76">
      <c r="A970" s="72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/>
      <c r="AF970"/>
      <c r="AG970"/>
      <c r="AH970"/>
      <c r="AI970"/>
      <c r="AJ970"/>
      <c r="AK970"/>
      <c r="AL970"/>
      <c r="AM970"/>
      <c r="AN970"/>
      <c r="AO970"/>
      <c r="AP970"/>
      <c r="AQ970"/>
      <c r="AR970"/>
      <c r="AS970"/>
      <c r="AT970"/>
      <c r="AU970"/>
      <c r="AV970"/>
      <c r="AW970"/>
      <c r="AX970"/>
      <c r="AY970"/>
      <c r="AZ970"/>
      <c r="BA970"/>
      <c r="BB970"/>
      <c r="BC970"/>
      <c r="BD970"/>
      <c r="BE970"/>
      <c r="BF970"/>
      <c r="BG970"/>
      <c r="BH970"/>
      <c r="BI970"/>
      <c r="BJ970"/>
      <c r="BK970"/>
      <c r="BL970"/>
      <c r="BM970"/>
      <c r="BN970"/>
      <c r="BO970"/>
      <c r="BP970"/>
      <c r="BQ970"/>
      <c r="BR970"/>
      <c r="BS970"/>
      <c r="BT970"/>
      <c r="BU970"/>
      <c r="BV970"/>
      <c r="BW970"/>
      <c r="BX970"/>
    </row>
    <row r="971" spans="1:76">
      <c r="A971" s="72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/>
      <c r="AF971"/>
      <c r="AG971"/>
      <c r="AH971"/>
      <c r="AI971"/>
      <c r="AJ971"/>
      <c r="AK971"/>
      <c r="AL971"/>
      <c r="AM971"/>
      <c r="AN971"/>
      <c r="AO971"/>
      <c r="AP971"/>
      <c r="AQ971"/>
      <c r="AR971"/>
      <c r="AS971"/>
      <c r="AT971"/>
      <c r="AU971"/>
      <c r="AV971"/>
      <c r="AW971"/>
      <c r="AX971"/>
      <c r="AY971"/>
      <c r="AZ971"/>
      <c r="BA971"/>
      <c r="BB971"/>
      <c r="BC971"/>
      <c r="BD971"/>
      <c r="BE971"/>
      <c r="BF971"/>
      <c r="BG971"/>
      <c r="BH971"/>
      <c r="BI971"/>
      <c r="BJ971"/>
      <c r="BK971"/>
      <c r="BL971"/>
      <c r="BM971"/>
      <c r="BN971"/>
      <c r="BO971"/>
      <c r="BP971"/>
      <c r="BQ971"/>
      <c r="BR971"/>
      <c r="BS971"/>
      <c r="BT971"/>
      <c r="BU971"/>
      <c r="BV971"/>
      <c r="BW971"/>
      <c r="BX971"/>
    </row>
    <row r="972" spans="1:76">
      <c r="A972" s="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/>
      <c r="AF972"/>
      <c r="AG972"/>
      <c r="AH972"/>
      <c r="AI972"/>
      <c r="AJ972"/>
      <c r="AK972"/>
      <c r="AL972"/>
      <c r="AM972"/>
      <c r="AN972"/>
      <c r="AO972"/>
      <c r="AP972"/>
      <c r="AQ972"/>
      <c r="AR972"/>
      <c r="AS972"/>
      <c r="AT972"/>
      <c r="AU972"/>
      <c r="AV972"/>
      <c r="AW972"/>
      <c r="AX972"/>
      <c r="AY972"/>
      <c r="AZ972"/>
      <c r="BA972"/>
      <c r="BB972"/>
      <c r="BC972"/>
      <c r="BD972"/>
      <c r="BE972"/>
      <c r="BF972"/>
      <c r="BG972"/>
      <c r="BH972"/>
      <c r="BI972"/>
      <c r="BJ972"/>
      <c r="BK972"/>
      <c r="BL972"/>
      <c r="BM972"/>
      <c r="BN972"/>
      <c r="BO972"/>
      <c r="BP972"/>
      <c r="BQ972"/>
      <c r="BR972"/>
      <c r="BS972"/>
      <c r="BT972"/>
      <c r="BU972"/>
      <c r="BV972"/>
      <c r="BW972"/>
      <c r="BX972"/>
    </row>
    <row r="973" spans="1:76">
      <c r="A973" s="72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/>
      <c r="AF973"/>
      <c r="AG973"/>
      <c r="AH973"/>
      <c r="AI973"/>
      <c r="AJ973"/>
      <c r="AK973"/>
      <c r="AL973"/>
      <c r="AM973"/>
      <c r="AN973"/>
      <c r="AO973"/>
      <c r="AP973"/>
      <c r="AQ973"/>
      <c r="AR973"/>
      <c r="AS973"/>
      <c r="AT973"/>
      <c r="AU973"/>
      <c r="AV973"/>
      <c r="AW973"/>
      <c r="AX973"/>
      <c r="AY973"/>
      <c r="AZ973"/>
      <c r="BA973"/>
      <c r="BB973"/>
      <c r="BC973"/>
      <c r="BD973"/>
      <c r="BE973"/>
      <c r="BF973"/>
      <c r="BG973"/>
      <c r="BH973"/>
      <c r="BI973"/>
      <c r="BJ973"/>
      <c r="BK973"/>
      <c r="BL973"/>
      <c r="BM973"/>
      <c r="BN973"/>
      <c r="BO973"/>
      <c r="BP973"/>
      <c r="BQ973"/>
      <c r="BR973"/>
      <c r="BS973"/>
      <c r="BT973"/>
      <c r="BU973"/>
      <c r="BV973"/>
      <c r="BW973"/>
      <c r="BX973"/>
    </row>
    <row r="974" spans="1:76">
      <c r="A974" s="72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  <c r="AC974"/>
      <c r="AD974"/>
      <c r="AE974"/>
      <c r="AF974"/>
      <c r="AG974"/>
      <c r="AH974"/>
      <c r="AI974"/>
      <c r="AJ974"/>
      <c r="AK974"/>
      <c r="AL974"/>
      <c r="AM974"/>
      <c r="AN974"/>
      <c r="AO974"/>
      <c r="AP974"/>
      <c r="AQ974"/>
      <c r="AR974"/>
      <c r="AS974"/>
      <c r="AT974"/>
      <c r="AU974"/>
      <c r="AV974"/>
      <c r="AW974"/>
      <c r="AX974"/>
      <c r="AY974"/>
      <c r="AZ974"/>
      <c r="BA974"/>
      <c r="BB974"/>
      <c r="BC974"/>
      <c r="BD974"/>
      <c r="BE974"/>
      <c r="BF974"/>
      <c r="BG974"/>
      <c r="BH974"/>
      <c r="BI974"/>
      <c r="BJ974"/>
      <c r="BK974"/>
      <c r="BL974"/>
      <c r="BM974"/>
      <c r="BN974"/>
      <c r="BO974"/>
      <c r="BP974"/>
      <c r="BQ974"/>
      <c r="BR974"/>
      <c r="BS974"/>
      <c r="BT974"/>
      <c r="BU974"/>
      <c r="BV974"/>
      <c r="BW974"/>
      <c r="BX974"/>
    </row>
    <row r="975" spans="1:76">
      <c r="A975" s="72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/>
      <c r="AF975"/>
      <c r="AG975"/>
      <c r="AH975"/>
      <c r="AI975"/>
      <c r="AJ975"/>
      <c r="AK975"/>
      <c r="AL975"/>
      <c r="AM975"/>
      <c r="AN975"/>
      <c r="AO975"/>
      <c r="AP975"/>
      <c r="AQ975"/>
      <c r="AR975"/>
      <c r="AS975"/>
      <c r="AT975"/>
      <c r="AU975"/>
      <c r="AV975"/>
      <c r="AW975"/>
      <c r="AX975"/>
      <c r="AY975"/>
      <c r="AZ975"/>
      <c r="BA975"/>
      <c r="BB975"/>
      <c r="BC975"/>
      <c r="BD975"/>
      <c r="BE975"/>
      <c r="BF975"/>
      <c r="BG975"/>
      <c r="BH975"/>
      <c r="BI975"/>
      <c r="BJ975"/>
      <c r="BK975"/>
      <c r="BL975"/>
      <c r="BM975"/>
      <c r="BN975"/>
      <c r="BO975"/>
      <c r="BP975"/>
      <c r="BQ975"/>
      <c r="BR975"/>
      <c r="BS975"/>
      <c r="BT975"/>
      <c r="BU975"/>
      <c r="BV975"/>
      <c r="BW975"/>
      <c r="BX975"/>
    </row>
    <row r="976" spans="1:76">
      <c r="A976" s="72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  <c r="AC976"/>
      <c r="AD976"/>
      <c r="AE976"/>
      <c r="AF976"/>
      <c r="AG976"/>
      <c r="AH976"/>
      <c r="AI976"/>
      <c r="AJ976"/>
      <c r="AK976"/>
      <c r="AL976"/>
      <c r="AM976"/>
      <c r="AN976"/>
      <c r="AO976"/>
      <c r="AP976"/>
      <c r="AQ976"/>
      <c r="AR976"/>
      <c r="AS976"/>
      <c r="AT976"/>
      <c r="AU976"/>
      <c r="AV976"/>
      <c r="AW976"/>
      <c r="AX976"/>
      <c r="AY976"/>
      <c r="AZ976"/>
      <c r="BA976"/>
      <c r="BB976"/>
      <c r="BC976"/>
      <c r="BD976"/>
      <c r="BE976"/>
      <c r="BF976"/>
      <c r="BG976"/>
      <c r="BH976"/>
      <c r="BI976"/>
      <c r="BJ976"/>
      <c r="BK976"/>
      <c r="BL976"/>
      <c r="BM976"/>
      <c r="BN976"/>
      <c r="BO976"/>
      <c r="BP976"/>
      <c r="BQ976"/>
      <c r="BR976"/>
      <c r="BS976"/>
      <c r="BT976"/>
      <c r="BU976"/>
      <c r="BV976"/>
      <c r="BW976"/>
      <c r="BX976"/>
    </row>
    <row r="977" spans="1:76">
      <c r="A977" s="72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/>
      <c r="AD977"/>
      <c r="AE977"/>
      <c r="AF977"/>
      <c r="AG977"/>
      <c r="AH977"/>
      <c r="AI977"/>
      <c r="AJ977"/>
      <c r="AK977"/>
      <c r="AL977"/>
      <c r="AM977"/>
      <c r="AN977"/>
      <c r="AO977"/>
      <c r="AP977"/>
      <c r="AQ977"/>
      <c r="AR977"/>
      <c r="AS977"/>
      <c r="AT977"/>
      <c r="AU977"/>
      <c r="AV977"/>
      <c r="AW977"/>
      <c r="AX977"/>
      <c r="AY977"/>
      <c r="AZ977"/>
      <c r="BA977"/>
      <c r="BB977"/>
      <c r="BC977"/>
      <c r="BD977"/>
      <c r="BE977"/>
      <c r="BF977"/>
      <c r="BG977"/>
      <c r="BH977"/>
      <c r="BI977"/>
      <c r="BJ977"/>
      <c r="BK977"/>
      <c r="BL977"/>
      <c r="BM977"/>
      <c r="BN977"/>
      <c r="BO977"/>
      <c r="BP977"/>
      <c r="BQ977"/>
      <c r="BR977"/>
      <c r="BS977"/>
      <c r="BT977"/>
      <c r="BU977"/>
      <c r="BV977"/>
      <c r="BW977"/>
      <c r="BX977"/>
    </row>
    <row r="978" spans="1:76">
      <c r="A978" s="72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  <c r="AB978"/>
      <c r="AC978"/>
      <c r="AD978"/>
      <c r="AE978"/>
      <c r="AF978"/>
      <c r="AG978"/>
      <c r="AH978"/>
      <c r="AI978"/>
      <c r="AJ978"/>
      <c r="AK978"/>
      <c r="AL978"/>
      <c r="AM978"/>
      <c r="AN978"/>
      <c r="AO978"/>
      <c r="AP978"/>
      <c r="AQ978"/>
      <c r="AR978"/>
      <c r="AS978"/>
      <c r="AT978"/>
      <c r="AU978"/>
      <c r="AV978"/>
      <c r="AW978"/>
      <c r="AX978"/>
      <c r="AY978"/>
      <c r="AZ978"/>
      <c r="BA978"/>
      <c r="BB978"/>
      <c r="BC978"/>
      <c r="BD978"/>
      <c r="BE978"/>
      <c r="BF978"/>
      <c r="BG978"/>
      <c r="BH978"/>
      <c r="BI978"/>
      <c r="BJ978"/>
      <c r="BK978"/>
      <c r="BL978"/>
      <c r="BM978"/>
      <c r="BN978"/>
      <c r="BO978"/>
      <c r="BP978"/>
      <c r="BQ978"/>
      <c r="BR978"/>
      <c r="BS978"/>
      <c r="BT978"/>
      <c r="BU978"/>
      <c r="BV978"/>
      <c r="BW978"/>
      <c r="BX978"/>
    </row>
    <row r="979" spans="1:76">
      <c r="A979" s="72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/>
      <c r="AF979"/>
      <c r="AG979"/>
      <c r="AH979"/>
      <c r="AI979"/>
      <c r="AJ979"/>
      <c r="AK979"/>
      <c r="AL979"/>
      <c r="AM979"/>
      <c r="AN979"/>
      <c r="AO979"/>
      <c r="AP979"/>
      <c r="AQ979"/>
      <c r="AR979"/>
      <c r="AS979"/>
      <c r="AT979"/>
      <c r="AU979"/>
      <c r="AV979"/>
      <c r="AW979"/>
      <c r="AX979"/>
      <c r="AY979"/>
      <c r="AZ979"/>
      <c r="BA979"/>
      <c r="BB979"/>
      <c r="BC979"/>
      <c r="BD979"/>
      <c r="BE979"/>
      <c r="BF979"/>
      <c r="BG979"/>
      <c r="BH979"/>
      <c r="BI979"/>
      <c r="BJ979"/>
      <c r="BK979"/>
      <c r="BL979"/>
      <c r="BM979"/>
      <c r="BN979"/>
      <c r="BO979"/>
      <c r="BP979"/>
      <c r="BQ979"/>
      <c r="BR979"/>
      <c r="BS979"/>
      <c r="BT979"/>
      <c r="BU979"/>
      <c r="BV979"/>
      <c r="BW979"/>
      <c r="BX979"/>
    </row>
    <row r="980" spans="1:76">
      <c r="A980" s="72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  <c r="AC980"/>
      <c r="AD980"/>
      <c r="AE980"/>
      <c r="AF980"/>
      <c r="AG980"/>
      <c r="AH980"/>
      <c r="AI980"/>
      <c r="AJ980"/>
      <c r="AK980"/>
      <c r="AL980"/>
      <c r="AM980"/>
      <c r="AN980"/>
      <c r="AO980"/>
      <c r="AP980"/>
      <c r="AQ980"/>
      <c r="AR980"/>
      <c r="AS980"/>
      <c r="AT980"/>
      <c r="AU980"/>
      <c r="AV980"/>
      <c r="AW980"/>
      <c r="AX980"/>
      <c r="AY980"/>
      <c r="AZ980"/>
      <c r="BA980"/>
      <c r="BB980"/>
      <c r="BC980"/>
      <c r="BD980"/>
      <c r="BE980"/>
      <c r="BF980"/>
      <c r="BG980"/>
      <c r="BH980"/>
      <c r="BI980"/>
      <c r="BJ980"/>
      <c r="BK980"/>
      <c r="BL980"/>
      <c r="BM980"/>
      <c r="BN980"/>
      <c r="BO980"/>
      <c r="BP980"/>
      <c r="BQ980"/>
      <c r="BR980"/>
      <c r="BS980"/>
      <c r="BT980"/>
      <c r="BU980"/>
      <c r="BV980"/>
      <c r="BW980"/>
      <c r="BX980"/>
    </row>
    <row r="981" spans="1:76">
      <c r="A981" s="72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  <c r="AC981"/>
      <c r="AD981"/>
      <c r="AE981"/>
      <c r="AF981"/>
      <c r="AG981"/>
      <c r="AH981"/>
      <c r="AI981"/>
      <c r="AJ981"/>
      <c r="AK981"/>
      <c r="AL981"/>
      <c r="AM981"/>
      <c r="AN981"/>
      <c r="AO981"/>
      <c r="AP981"/>
      <c r="AQ981"/>
      <c r="AR981"/>
      <c r="AS981"/>
      <c r="AT981"/>
      <c r="AU981"/>
      <c r="AV981"/>
      <c r="AW981"/>
      <c r="AX981"/>
      <c r="AY981"/>
      <c r="AZ981"/>
      <c r="BA981"/>
      <c r="BB981"/>
      <c r="BC981"/>
      <c r="BD981"/>
      <c r="BE981"/>
      <c r="BF981"/>
      <c r="BG981"/>
      <c r="BH981"/>
      <c r="BI981"/>
      <c r="BJ981"/>
      <c r="BK981"/>
      <c r="BL981"/>
      <c r="BM981"/>
      <c r="BN981"/>
      <c r="BO981"/>
      <c r="BP981"/>
      <c r="BQ981"/>
      <c r="BR981"/>
      <c r="BS981"/>
      <c r="BT981"/>
      <c r="BU981"/>
      <c r="BV981"/>
      <c r="BW981"/>
      <c r="BX981"/>
    </row>
    <row r="982" spans="1:76">
      <c r="A982" s="7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/>
      <c r="AF982"/>
      <c r="AG982"/>
      <c r="AH982"/>
      <c r="AI982"/>
      <c r="AJ982"/>
      <c r="AK982"/>
      <c r="AL982"/>
      <c r="AM982"/>
      <c r="AN982"/>
      <c r="AO982"/>
      <c r="AP982"/>
      <c r="AQ982"/>
      <c r="AR982"/>
      <c r="AS982"/>
      <c r="AT982"/>
      <c r="AU982"/>
      <c r="AV982"/>
      <c r="AW982"/>
      <c r="AX982"/>
      <c r="AY982"/>
      <c r="AZ982"/>
      <c r="BA982"/>
      <c r="BB982"/>
      <c r="BC982"/>
      <c r="BD982"/>
      <c r="BE982"/>
      <c r="BF982"/>
      <c r="BG982"/>
      <c r="BH982"/>
      <c r="BI982"/>
      <c r="BJ982"/>
      <c r="BK982"/>
      <c r="BL982"/>
      <c r="BM982"/>
      <c r="BN982"/>
      <c r="BO982"/>
      <c r="BP982"/>
      <c r="BQ982"/>
      <c r="BR982"/>
      <c r="BS982"/>
      <c r="BT982"/>
      <c r="BU982"/>
      <c r="BV982"/>
      <c r="BW982"/>
      <c r="BX982"/>
    </row>
    <row r="983" spans="1:76">
      <c r="A983" s="72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  <c r="AD983"/>
      <c r="AE983"/>
      <c r="AF983"/>
      <c r="AG983"/>
      <c r="AH983"/>
      <c r="AI983"/>
      <c r="AJ983"/>
      <c r="AK983"/>
      <c r="AL983"/>
      <c r="AM983"/>
      <c r="AN983"/>
      <c r="AO983"/>
      <c r="AP983"/>
      <c r="AQ983"/>
      <c r="AR983"/>
      <c r="AS983"/>
      <c r="AT983"/>
      <c r="AU983"/>
      <c r="AV983"/>
      <c r="AW983"/>
      <c r="AX983"/>
      <c r="AY983"/>
      <c r="AZ983"/>
      <c r="BA983"/>
      <c r="BB983"/>
      <c r="BC983"/>
      <c r="BD983"/>
      <c r="BE983"/>
      <c r="BF983"/>
      <c r="BG983"/>
      <c r="BH983"/>
      <c r="BI983"/>
      <c r="BJ983"/>
      <c r="BK983"/>
      <c r="BL983"/>
      <c r="BM983"/>
      <c r="BN983"/>
      <c r="BO983"/>
      <c r="BP983"/>
      <c r="BQ983"/>
      <c r="BR983"/>
      <c r="BS983"/>
      <c r="BT983"/>
      <c r="BU983"/>
      <c r="BV983"/>
      <c r="BW983"/>
      <c r="BX983"/>
    </row>
    <row r="984" spans="1:76">
      <c r="A984" s="72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/>
      <c r="AF984"/>
      <c r="AG984"/>
      <c r="AH984"/>
      <c r="AI984"/>
      <c r="AJ984"/>
      <c r="AK984"/>
      <c r="AL984"/>
      <c r="AM984"/>
      <c r="AN984"/>
      <c r="AO984"/>
      <c r="AP984"/>
      <c r="AQ984"/>
      <c r="AR984"/>
      <c r="AS984"/>
      <c r="AT984"/>
      <c r="AU984"/>
      <c r="AV984"/>
      <c r="AW984"/>
      <c r="AX984"/>
      <c r="AY984"/>
      <c r="AZ984"/>
      <c r="BA984"/>
      <c r="BB984"/>
      <c r="BC984"/>
      <c r="BD984"/>
      <c r="BE984"/>
      <c r="BF984"/>
      <c r="BG984"/>
      <c r="BH984"/>
      <c r="BI984"/>
      <c r="BJ984"/>
      <c r="BK984"/>
      <c r="BL984"/>
      <c r="BM984"/>
      <c r="BN984"/>
      <c r="BO984"/>
      <c r="BP984"/>
      <c r="BQ984"/>
      <c r="BR984"/>
      <c r="BS984"/>
      <c r="BT984"/>
      <c r="BU984"/>
      <c r="BV984"/>
      <c r="BW984"/>
      <c r="BX984"/>
    </row>
    <row r="985" spans="1:76">
      <c r="A985" s="72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/>
      <c r="AF985"/>
      <c r="AG985"/>
      <c r="AH985"/>
      <c r="AI985"/>
      <c r="AJ985"/>
      <c r="AK985"/>
      <c r="AL985"/>
      <c r="AM985"/>
      <c r="AN985"/>
      <c r="AO985"/>
      <c r="AP985"/>
      <c r="AQ985"/>
      <c r="AR985"/>
      <c r="AS985"/>
      <c r="AT985"/>
      <c r="AU985"/>
      <c r="AV985"/>
      <c r="AW985"/>
      <c r="AX985"/>
      <c r="AY985"/>
      <c r="AZ985"/>
      <c r="BA985"/>
      <c r="BB985"/>
      <c r="BC985"/>
      <c r="BD985"/>
      <c r="BE985"/>
      <c r="BF985"/>
      <c r="BG985"/>
      <c r="BH985"/>
      <c r="BI985"/>
      <c r="BJ985"/>
      <c r="BK985"/>
      <c r="BL985"/>
      <c r="BM985"/>
      <c r="BN985"/>
      <c r="BO985"/>
      <c r="BP985"/>
      <c r="BQ985"/>
      <c r="BR985"/>
      <c r="BS985"/>
      <c r="BT985"/>
      <c r="BU985"/>
      <c r="BV985"/>
      <c r="BW985"/>
      <c r="BX985"/>
    </row>
    <row r="986" spans="1:76">
      <c r="A986" s="72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/>
      <c r="AF986"/>
      <c r="AG986"/>
      <c r="AH986"/>
      <c r="AI986"/>
      <c r="AJ986"/>
      <c r="AK986"/>
      <c r="AL986"/>
      <c r="AM986"/>
      <c r="AN986"/>
      <c r="AO986"/>
      <c r="AP986"/>
      <c r="AQ986"/>
      <c r="AR986"/>
      <c r="AS986"/>
      <c r="AT986"/>
      <c r="AU986"/>
      <c r="AV986"/>
      <c r="AW986"/>
      <c r="AX986"/>
      <c r="AY986"/>
      <c r="AZ986"/>
      <c r="BA986"/>
      <c r="BB986"/>
      <c r="BC986"/>
      <c r="BD986"/>
      <c r="BE986"/>
      <c r="BF986"/>
      <c r="BG986"/>
      <c r="BH986"/>
      <c r="BI986"/>
      <c r="BJ986"/>
      <c r="BK986"/>
      <c r="BL986"/>
      <c r="BM986"/>
      <c r="BN986"/>
      <c r="BO986"/>
      <c r="BP986"/>
      <c r="BQ986"/>
      <c r="BR986"/>
      <c r="BS986"/>
      <c r="BT986"/>
      <c r="BU986"/>
      <c r="BV986"/>
      <c r="BW986"/>
      <c r="BX986"/>
    </row>
    <row r="987" spans="1:76">
      <c r="A987" s="72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  <c r="AC987"/>
      <c r="AD987"/>
      <c r="AE987"/>
      <c r="AF987"/>
      <c r="AG987"/>
      <c r="AH987"/>
      <c r="AI987"/>
      <c r="AJ987"/>
      <c r="AK987"/>
      <c r="AL987"/>
      <c r="AM987"/>
      <c r="AN987"/>
      <c r="AO987"/>
      <c r="AP987"/>
      <c r="AQ987"/>
      <c r="AR987"/>
      <c r="AS987"/>
      <c r="AT987"/>
      <c r="AU987"/>
      <c r="AV987"/>
      <c r="AW987"/>
      <c r="AX987"/>
      <c r="AY987"/>
      <c r="AZ987"/>
      <c r="BA987"/>
      <c r="BB987"/>
      <c r="BC987"/>
      <c r="BD987"/>
      <c r="BE987"/>
      <c r="BF987"/>
      <c r="BG987"/>
      <c r="BH987"/>
      <c r="BI987"/>
      <c r="BJ987"/>
      <c r="BK987"/>
      <c r="BL987"/>
      <c r="BM987"/>
      <c r="BN987"/>
      <c r="BO987"/>
      <c r="BP987"/>
      <c r="BQ987"/>
      <c r="BR987"/>
      <c r="BS987"/>
      <c r="BT987"/>
      <c r="BU987"/>
      <c r="BV987"/>
      <c r="BW987"/>
      <c r="BX987"/>
    </row>
    <row r="988" spans="1:76">
      <c r="A988" s="72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  <c r="AE988"/>
      <c r="AF988"/>
      <c r="AG988"/>
      <c r="AH988"/>
      <c r="AI988"/>
      <c r="AJ988"/>
      <c r="AK988"/>
      <c r="AL988"/>
      <c r="AM988"/>
      <c r="AN988"/>
      <c r="AO988"/>
      <c r="AP988"/>
      <c r="AQ988"/>
      <c r="AR988"/>
      <c r="AS988"/>
      <c r="AT988"/>
      <c r="AU988"/>
      <c r="AV988"/>
      <c r="AW988"/>
      <c r="AX988"/>
      <c r="AY988"/>
      <c r="AZ988"/>
      <c r="BA988"/>
      <c r="BB988"/>
      <c r="BC988"/>
      <c r="BD988"/>
      <c r="BE988"/>
      <c r="BF988"/>
      <c r="BG988"/>
      <c r="BH988"/>
      <c r="BI988"/>
      <c r="BJ988"/>
      <c r="BK988"/>
      <c r="BL988"/>
      <c r="BM988"/>
      <c r="BN988"/>
      <c r="BO988"/>
      <c r="BP988"/>
      <c r="BQ988"/>
      <c r="BR988"/>
      <c r="BS988"/>
      <c r="BT988"/>
      <c r="BU988"/>
      <c r="BV988"/>
      <c r="BW988"/>
      <c r="BX988"/>
    </row>
    <row r="989" spans="1:76">
      <c r="A989" s="72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  <c r="AB989"/>
      <c r="AC989"/>
      <c r="AD989"/>
      <c r="AE989"/>
      <c r="AF989"/>
      <c r="AG989"/>
      <c r="AH989"/>
      <c r="AI989"/>
      <c r="AJ989"/>
      <c r="AK989"/>
      <c r="AL989"/>
      <c r="AM989"/>
      <c r="AN989"/>
      <c r="AO989"/>
      <c r="AP989"/>
      <c r="AQ989"/>
      <c r="AR989"/>
      <c r="AS989"/>
      <c r="AT989"/>
      <c r="AU989"/>
      <c r="AV989"/>
      <c r="AW989"/>
      <c r="AX989"/>
      <c r="AY989"/>
      <c r="AZ989"/>
      <c r="BA989"/>
      <c r="BB989"/>
      <c r="BC989"/>
      <c r="BD989"/>
      <c r="BE989"/>
      <c r="BF989"/>
      <c r="BG989"/>
      <c r="BH989"/>
      <c r="BI989"/>
      <c r="BJ989"/>
      <c r="BK989"/>
      <c r="BL989"/>
      <c r="BM989"/>
      <c r="BN989"/>
      <c r="BO989"/>
      <c r="BP989"/>
      <c r="BQ989"/>
      <c r="BR989"/>
      <c r="BS989"/>
      <c r="BT989"/>
      <c r="BU989"/>
      <c r="BV989"/>
      <c r="BW989"/>
      <c r="BX989"/>
    </row>
    <row r="990" spans="1:76">
      <c r="A990" s="72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/>
      <c r="AF990"/>
      <c r="AG990"/>
      <c r="AH990"/>
      <c r="AI990"/>
      <c r="AJ990"/>
      <c r="AK990"/>
      <c r="AL990"/>
      <c r="AM990"/>
      <c r="AN990"/>
      <c r="AO990"/>
      <c r="AP990"/>
      <c r="AQ990"/>
      <c r="AR990"/>
      <c r="AS990"/>
      <c r="AT990"/>
      <c r="AU990"/>
      <c r="AV990"/>
      <c r="AW990"/>
      <c r="AX990"/>
      <c r="AY990"/>
      <c r="AZ990"/>
      <c r="BA990"/>
      <c r="BB990"/>
      <c r="BC990"/>
      <c r="BD990"/>
      <c r="BE990"/>
      <c r="BF990"/>
      <c r="BG990"/>
      <c r="BH990"/>
      <c r="BI990"/>
      <c r="BJ990"/>
      <c r="BK990"/>
      <c r="BL990"/>
      <c r="BM990"/>
      <c r="BN990"/>
      <c r="BO990"/>
      <c r="BP990"/>
      <c r="BQ990"/>
      <c r="BR990"/>
      <c r="BS990"/>
      <c r="BT990"/>
      <c r="BU990"/>
      <c r="BV990"/>
      <c r="BW990"/>
      <c r="BX990"/>
    </row>
    <row r="991" spans="1:76">
      <c r="A991" s="72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  <c r="AD991"/>
      <c r="AE991"/>
      <c r="AF991"/>
      <c r="AG991"/>
      <c r="AH991"/>
      <c r="AI991"/>
      <c r="AJ991"/>
      <c r="AK991"/>
      <c r="AL991"/>
      <c r="AM991"/>
      <c r="AN991"/>
      <c r="AO991"/>
      <c r="AP991"/>
      <c r="AQ991"/>
      <c r="AR991"/>
      <c r="AS991"/>
      <c r="AT991"/>
      <c r="AU991"/>
      <c r="AV991"/>
      <c r="AW991"/>
      <c r="AX991"/>
      <c r="AY991"/>
      <c r="AZ991"/>
      <c r="BA991"/>
      <c r="BB991"/>
      <c r="BC991"/>
      <c r="BD991"/>
      <c r="BE991"/>
      <c r="BF991"/>
      <c r="BG991"/>
      <c r="BH991"/>
      <c r="BI991"/>
      <c r="BJ991"/>
      <c r="BK991"/>
      <c r="BL991"/>
      <c r="BM991"/>
      <c r="BN991"/>
      <c r="BO991"/>
      <c r="BP991"/>
      <c r="BQ991"/>
      <c r="BR991"/>
      <c r="BS991"/>
      <c r="BT991"/>
      <c r="BU991"/>
      <c r="BV991"/>
      <c r="BW991"/>
      <c r="BX991"/>
    </row>
    <row r="992" spans="1:76">
      <c r="A992" s="7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/>
      <c r="AF992"/>
      <c r="AG992"/>
      <c r="AH992"/>
      <c r="AI992"/>
      <c r="AJ992"/>
      <c r="AK992"/>
      <c r="AL992"/>
      <c r="AM992"/>
      <c r="AN992"/>
      <c r="AO992"/>
      <c r="AP992"/>
      <c r="AQ992"/>
      <c r="AR992"/>
      <c r="AS992"/>
      <c r="AT992"/>
      <c r="AU992"/>
      <c r="AV992"/>
      <c r="AW992"/>
      <c r="AX992"/>
      <c r="AY992"/>
      <c r="AZ992"/>
      <c r="BA992"/>
      <c r="BB992"/>
      <c r="BC992"/>
      <c r="BD992"/>
      <c r="BE992"/>
      <c r="BF992"/>
      <c r="BG992"/>
      <c r="BH992"/>
      <c r="BI992"/>
      <c r="BJ992"/>
      <c r="BK992"/>
      <c r="BL992"/>
      <c r="BM992"/>
      <c r="BN992"/>
      <c r="BO992"/>
      <c r="BP992"/>
      <c r="BQ992"/>
      <c r="BR992"/>
      <c r="BS992"/>
      <c r="BT992"/>
      <c r="BU992"/>
      <c r="BV992"/>
      <c r="BW992"/>
      <c r="BX992"/>
    </row>
    <row r="993" spans="1:76">
      <c r="A993" s="72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/>
      <c r="AD993"/>
      <c r="AE993"/>
      <c r="AF993"/>
      <c r="AG993"/>
      <c r="AH993"/>
      <c r="AI993"/>
      <c r="AJ993"/>
      <c r="AK993"/>
      <c r="AL993"/>
      <c r="AM993"/>
      <c r="AN993"/>
      <c r="AO993"/>
      <c r="AP993"/>
      <c r="AQ993"/>
      <c r="AR993"/>
      <c r="AS993"/>
      <c r="AT993"/>
      <c r="AU993"/>
      <c r="AV993"/>
      <c r="AW993"/>
      <c r="AX993"/>
      <c r="AY993"/>
      <c r="AZ993"/>
      <c r="BA993"/>
      <c r="BB993"/>
      <c r="BC993"/>
      <c r="BD993"/>
      <c r="BE993"/>
      <c r="BF993"/>
      <c r="BG993"/>
      <c r="BH993"/>
      <c r="BI993"/>
      <c r="BJ993"/>
      <c r="BK993"/>
      <c r="BL993"/>
      <c r="BM993"/>
      <c r="BN993"/>
      <c r="BO993"/>
      <c r="BP993"/>
      <c r="BQ993"/>
      <c r="BR993"/>
      <c r="BS993"/>
      <c r="BT993"/>
      <c r="BU993"/>
      <c r="BV993"/>
      <c r="BW993"/>
      <c r="BX993"/>
    </row>
    <row r="994" spans="1:76">
      <c r="A994" s="72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  <c r="AC994"/>
      <c r="AD994"/>
      <c r="AE994"/>
      <c r="AF994"/>
      <c r="AG994"/>
      <c r="AH994"/>
      <c r="AI994"/>
      <c r="AJ994"/>
      <c r="AK994"/>
      <c r="AL994"/>
      <c r="AM994"/>
      <c r="AN994"/>
      <c r="AO994"/>
      <c r="AP994"/>
      <c r="AQ994"/>
      <c r="AR994"/>
      <c r="AS994"/>
      <c r="AT994"/>
      <c r="AU994"/>
      <c r="AV994"/>
      <c r="AW994"/>
      <c r="AX994"/>
      <c r="AY994"/>
      <c r="AZ994"/>
      <c r="BA994"/>
      <c r="BB994"/>
      <c r="BC994"/>
      <c r="BD994"/>
      <c r="BE994"/>
      <c r="BF994"/>
      <c r="BG994"/>
      <c r="BH994"/>
      <c r="BI994"/>
      <c r="BJ994"/>
      <c r="BK994"/>
      <c r="BL994"/>
      <c r="BM994"/>
      <c r="BN994"/>
      <c r="BO994"/>
      <c r="BP994"/>
      <c r="BQ994"/>
      <c r="BR994"/>
      <c r="BS994"/>
      <c r="BT994"/>
      <c r="BU994"/>
      <c r="BV994"/>
      <c r="BW994"/>
      <c r="BX994"/>
    </row>
    <row r="995" spans="1:76">
      <c r="A995" s="72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  <c r="AE995"/>
      <c r="AF995"/>
      <c r="AG995"/>
      <c r="AH995"/>
      <c r="AI995"/>
      <c r="AJ995"/>
      <c r="AK995"/>
      <c r="AL995"/>
      <c r="AM995"/>
      <c r="AN995"/>
      <c r="AO995"/>
      <c r="AP995"/>
      <c r="AQ995"/>
      <c r="AR995"/>
      <c r="AS995"/>
      <c r="AT995"/>
      <c r="AU995"/>
      <c r="AV995"/>
      <c r="AW995"/>
      <c r="AX995"/>
      <c r="AY995"/>
      <c r="AZ995"/>
      <c r="BA995"/>
      <c r="BB995"/>
      <c r="BC995"/>
      <c r="BD995"/>
      <c r="BE995"/>
      <c r="BF995"/>
      <c r="BG995"/>
      <c r="BH995"/>
      <c r="BI995"/>
      <c r="BJ995"/>
      <c r="BK995"/>
      <c r="BL995"/>
      <c r="BM995"/>
      <c r="BN995"/>
      <c r="BO995"/>
      <c r="BP995"/>
      <c r="BQ995"/>
      <c r="BR995"/>
      <c r="BS995"/>
      <c r="BT995"/>
      <c r="BU995"/>
      <c r="BV995"/>
      <c r="BW995"/>
      <c r="BX995"/>
    </row>
    <row r="996" spans="1:76">
      <c r="A996" s="72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/>
      <c r="AF996"/>
      <c r="AG996"/>
      <c r="AH996"/>
      <c r="AI996"/>
      <c r="AJ996"/>
      <c r="AK996"/>
      <c r="AL996"/>
      <c r="AM996"/>
      <c r="AN996"/>
      <c r="AO996"/>
      <c r="AP996"/>
      <c r="AQ996"/>
      <c r="AR996"/>
      <c r="AS996"/>
      <c r="AT996"/>
      <c r="AU996"/>
      <c r="AV996"/>
      <c r="AW996"/>
      <c r="AX996"/>
      <c r="AY996"/>
      <c r="AZ996"/>
      <c r="BA996"/>
      <c r="BB996"/>
      <c r="BC996"/>
      <c r="BD996"/>
      <c r="BE996"/>
      <c r="BF996"/>
      <c r="BG996"/>
      <c r="BH996"/>
      <c r="BI996"/>
      <c r="BJ996"/>
      <c r="BK996"/>
      <c r="BL996"/>
      <c r="BM996"/>
      <c r="BN996"/>
      <c r="BO996"/>
      <c r="BP996"/>
      <c r="BQ996"/>
      <c r="BR996"/>
      <c r="BS996"/>
      <c r="BT996"/>
      <c r="BU996"/>
      <c r="BV996"/>
      <c r="BW996"/>
      <c r="BX996"/>
    </row>
    <row r="997" spans="1:76">
      <c r="A997" s="72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/>
      <c r="AF997"/>
      <c r="AG997"/>
      <c r="AH997"/>
      <c r="AI997"/>
      <c r="AJ997"/>
      <c r="AK997"/>
      <c r="AL997"/>
      <c r="AM997"/>
      <c r="AN997"/>
      <c r="AO997"/>
      <c r="AP997"/>
      <c r="AQ997"/>
      <c r="AR997"/>
      <c r="AS997"/>
      <c r="AT997"/>
      <c r="AU997"/>
      <c r="AV997"/>
      <c r="AW997"/>
      <c r="AX997"/>
      <c r="AY997"/>
      <c r="AZ997"/>
      <c r="BA997"/>
      <c r="BB997"/>
      <c r="BC997"/>
      <c r="BD997"/>
      <c r="BE997"/>
      <c r="BF997"/>
      <c r="BG997"/>
      <c r="BH997"/>
      <c r="BI997"/>
      <c r="BJ997"/>
      <c r="BK997"/>
      <c r="BL997"/>
      <c r="BM997"/>
      <c r="BN997"/>
      <c r="BO997"/>
      <c r="BP997"/>
      <c r="BQ997"/>
      <c r="BR997"/>
      <c r="BS997"/>
      <c r="BT997"/>
      <c r="BU997"/>
      <c r="BV997"/>
      <c r="BW997"/>
      <c r="BX997"/>
    </row>
    <row r="998" spans="1:76">
      <c r="A998" s="72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  <c r="AD998"/>
      <c r="AE998"/>
      <c r="AF998"/>
      <c r="AG998"/>
      <c r="AH998"/>
      <c r="AI998"/>
      <c r="AJ998"/>
      <c r="AK998"/>
      <c r="AL998"/>
      <c r="AM998"/>
      <c r="AN998"/>
      <c r="AO998"/>
      <c r="AP998"/>
      <c r="AQ998"/>
      <c r="AR998"/>
      <c r="AS998"/>
      <c r="AT998"/>
      <c r="AU998"/>
      <c r="AV998"/>
      <c r="AW998"/>
      <c r="AX998"/>
      <c r="AY998"/>
      <c r="AZ998"/>
      <c r="BA998"/>
      <c r="BB998"/>
      <c r="BC998"/>
      <c r="BD998"/>
      <c r="BE998"/>
      <c r="BF998"/>
      <c r="BG998"/>
      <c r="BH998"/>
      <c r="BI998"/>
      <c r="BJ998"/>
      <c r="BK998"/>
      <c r="BL998"/>
      <c r="BM998"/>
      <c r="BN998"/>
      <c r="BO998"/>
      <c r="BP998"/>
      <c r="BQ998"/>
      <c r="BR998"/>
      <c r="BS998"/>
      <c r="BT998"/>
      <c r="BU998"/>
      <c r="BV998"/>
      <c r="BW998"/>
      <c r="BX998"/>
    </row>
    <row r="999" spans="1:76">
      <c r="A999" s="72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/>
      <c r="AF999"/>
      <c r="AG999"/>
      <c r="AH999"/>
      <c r="AI999"/>
      <c r="AJ999"/>
      <c r="AK999"/>
      <c r="AL999"/>
      <c r="AM999"/>
      <c r="AN999"/>
      <c r="AO999"/>
      <c r="AP999"/>
      <c r="AQ999"/>
      <c r="AR999"/>
      <c r="AS999"/>
      <c r="AT999"/>
      <c r="AU999"/>
      <c r="AV999"/>
      <c r="AW999"/>
      <c r="AX999"/>
      <c r="AY999"/>
      <c r="AZ999"/>
      <c r="BA999"/>
      <c r="BB999"/>
      <c r="BC999"/>
      <c r="BD999"/>
      <c r="BE999"/>
      <c r="BF999"/>
      <c r="BG999"/>
      <c r="BH999"/>
      <c r="BI999"/>
      <c r="BJ999"/>
      <c r="BK999"/>
      <c r="BL999"/>
      <c r="BM999"/>
      <c r="BN999"/>
      <c r="BO999"/>
      <c r="BP999"/>
      <c r="BQ999"/>
      <c r="BR999"/>
      <c r="BS999"/>
      <c r="BT999"/>
      <c r="BU999"/>
      <c r="BV999"/>
      <c r="BW999"/>
      <c r="BX999"/>
    </row>
    <row r="1000" spans="1:76">
      <c r="A1000" s="72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/>
      <c r="AF1000"/>
      <c r="AG1000"/>
      <c r="AH1000"/>
      <c r="AI1000"/>
      <c r="AJ1000"/>
      <c r="AK1000"/>
      <c r="AL1000"/>
      <c r="AM1000"/>
      <c r="AN1000"/>
      <c r="AO1000"/>
      <c r="AP1000"/>
      <c r="AQ1000"/>
      <c r="AR1000"/>
      <c r="AS1000"/>
      <c r="AT1000"/>
      <c r="AU1000"/>
      <c r="AV1000"/>
      <c r="AW1000"/>
      <c r="AX1000"/>
      <c r="AY1000"/>
      <c r="AZ1000"/>
      <c r="BA1000"/>
      <c r="BB1000"/>
      <c r="BC1000"/>
      <c r="BD1000"/>
      <c r="BE1000"/>
      <c r="BF1000"/>
      <c r="BG1000"/>
      <c r="BH1000"/>
      <c r="BI1000"/>
      <c r="BJ1000"/>
      <c r="BK1000"/>
      <c r="BL1000"/>
      <c r="BM1000"/>
      <c r="BN1000"/>
      <c r="BO1000"/>
      <c r="BP1000"/>
      <c r="BQ1000"/>
      <c r="BR1000"/>
      <c r="BS1000"/>
      <c r="BT1000"/>
      <c r="BU1000"/>
      <c r="BV1000"/>
      <c r="BW1000"/>
      <c r="BX1000"/>
    </row>
    <row r="1001" spans="1:76">
      <c r="A1001" s="72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/>
      <c r="AF1001"/>
      <c r="AG1001"/>
      <c r="AH1001"/>
      <c r="AI1001"/>
      <c r="AJ1001"/>
      <c r="AK1001"/>
      <c r="AL1001"/>
      <c r="AM1001"/>
      <c r="AN1001"/>
      <c r="AO1001"/>
      <c r="AP1001"/>
      <c r="AQ1001"/>
      <c r="AR1001"/>
      <c r="AS1001"/>
      <c r="AT1001"/>
      <c r="AU1001"/>
      <c r="AV1001"/>
      <c r="AW1001"/>
      <c r="AX1001"/>
      <c r="AY1001"/>
      <c r="AZ1001"/>
      <c r="BA1001"/>
      <c r="BB1001"/>
      <c r="BC1001"/>
      <c r="BD1001"/>
      <c r="BE1001"/>
      <c r="BF1001"/>
      <c r="BG1001"/>
      <c r="BH1001"/>
      <c r="BI1001"/>
      <c r="BJ1001"/>
      <c r="BK1001"/>
      <c r="BL1001"/>
      <c r="BM1001"/>
      <c r="BN1001"/>
      <c r="BO1001"/>
      <c r="BP1001"/>
      <c r="BQ1001"/>
      <c r="BR1001"/>
      <c r="BS1001"/>
      <c r="BT1001"/>
      <c r="BU1001"/>
      <c r="BV1001"/>
      <c r="BW1001"/>
      <c r="BX1001"/>
    </row>
    <row r="1002" spans="1:76">
      <c r="A1002" s="7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  <c r="AE1002"/>
      <c r="AF1002"/>
      <c r="AG1002"/>
      <c r="AH1002"/>
      <c r="AI1002"/>
      <c r="AJ1002"/>
      <c r="AK1002"/>
      <c r="AL1002"/>
      <c r="AM1002"/>
      <c r="AN1002"/>
      <c r="AO1002"/>
      <c r="AP1002"/>
      <c r="AQ1002"/>
      <c r="AR1002"/>
      <c r="AS1002"/>
      <c r="AT1002"/>
      <c r="AU1002"/>
      <c r="AV1002"/>
      <c r="AW1002"/>
      <c r="AX1002"/>
      <c r="AY1002"/>
      <c r="AZ1002"/>
      <c r="BA1002"/>
      <c r="BB1002"/>
      <c r="BC1002"/>
      <c r="BD1002"/>
      <c r="BE1002"/>
      <c r="BF1002"/>
      <c r="BG1002"/>
      <c r="BH1002"/>
      <c r="BI1002"/>
      <c r="BJ1002"/>
      <c r="BK1002"/>
      <c r="BL1002"/>
      <c r="BM1002"/>
      <c r="BN1002"/>
      <c r="BO1002"/>
      <c r="BP1002"/>
      <c r="BQ1002"/>
      <c r="BR1002"/>
      <c r="BS1002"/>
      <c r="BT1002"/>
      <c r="BU1002"/>
      <c r="BV1002"/>
      <c r="BW1002"/>
      <c r="BX1002"/>
    </row>
    <row r="1003" spans="1:76">
      <c r="A1003" s="72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/>
      <c r="AF1003"/>
      <c r="AG1003"/>
      <c r="AH1003"/>
      <c r="AI1003"/>
      <c r="AJ1003"/>
      <c r="AK1003"/>
      <c r="AL1003"/>
      <c r="AM1003"/>
      <c r="AN1003"/>
      <c r="AO1003"/>
      <c r="AP1003"/>
      <c r="AQ1003"/>
      <c r="AR1003"/>
      <c r="AS1003"/>
      <c r="AT1003"/>
      <c r="AU1003"/>
      <c r="AV1003"/>
      <c r="AW1003"/>
      <c r="AX1003"/>
      <c r="AY1003"/>
      <c r="AZ1003"/>
      <c r="BA1003"/>
      <c r="BB1003"/>
      <c r="BC1003"/>
      <c r="BD1003"/>
      <c r="BE1003"/>
      <c r="BF1003"/>
      <c r="BG1003"/>
      <c r="BH1003"/>
      <c r="BI1003"/>
      <c r="BJ1003"/>
      <c r="BK1003"/>
      <c r="BL1003"/>
      <c r="BM1003"/>
      <c r="BN1003"/>
      <c r="BO1003"/>
      <c r="BP1003"/>
      <c r="BQ1003"/>
      <c r="BR1003"/>
      <c r="BS1003"/>
      <c r="BT1003"/>
      <c r="BU1003"/>
      <c r="BV1003"/>
      <c r="BW1003"/>
      <c r="BX1003"/>
    </row>
    <row r="1004" spans="1:76">
      <c r="A1004" s="72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  <c r="AF1004"/>
      <c r="AG1004"/>
      <c r="AH1004"/>
      <c r="AI1004"/>
      <c r="AJ1004"/>
      <c r="AK1004"/>
      <c r="AL1004"/>
      <c r="AM1004"/>
      <c r="AN1004"/>
      <c r="AO1004"/>
      <c r="AP1004"/>
      <c r="AQ1004"/>
      <c r="AR1004"/>
      <c r="AS1004"/>
      <c r="AT1004"/>
      <c r="AU1004"/>
      <c r="AV1004"/>
      <c r="AW1004"/>
      <c r="AX1004"/>
      <c r="AY1004"/>
      <c r="AZ1004"/>
      <c r="BA1004"/>
      <c r="BB1004"/>
      <c r="BC1004"/>
      <c r="BD1004"/>
      <c r="BE1004"/>
      <c r="BF1004"/>
      <c r="BG1004"/>
      <c r="BH1004"/>
      <c r="BI1004"/>
      <c r="BJ1004"/>
      <c r="BK1004"/>
      <c r="BL1004"/>
      <c r="BM1004"/>
      <c r="BN1004"/>
      <c r="BO1004"/>
      <c r="BP1004"/>
      <c r="BQ1004"/>
      <c r="BR1004"/>
      <c r="BS1004"/>
      <c r="BT1004"/>
      <c r="BU1004"/>
      <c r="BV1004"/>
      <c r="BW1004"/>
      <c r="BX1004"/>
    </row>
    <row r="1005" spans="1:76">
      <c r="A1005" s="72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/>
      <c r="AF1005"/>
      <c r="AG1005"/>
      <c r="AH1005"/>
      <c r="AI1005"/>
      <c r="AJ1005"/>
      <c r="AK1005"/>
      <c r="AL1005"/>
      <c r="AM1005"/>
      <c r="AN1005"/>
      <c r="AO1005"/>
      <c r="AP1005"/>
      <c r="AQ1005"/>
      <c r="AR1005"/>
      <c r="AS1005"/>
      <c r="AT1005"/>
      <c r="AU1005"/>
      <c r="AV1005"/>
      <c r="AW1005"/>
      <c r="AX1005"/>
      <c r="AY1005"/>
      <c r="AZ1005"/>
      <c r="BA1005"/>
      <c r="BB1005"/>
      <c r="BC1005"/>
      <c r="BD1005"/>
      <c r="BE1005"/>
      <c r="BF1005"/>
      <c r="BG1005"/>
      <c r="BH1005"/>
      <c r="BI1005"/>
      <c r="BJ1005"/>
      <c r="BK1005"/>
      <c r="BL1005"/>
      <c r="BM1005"/>
      <c r="BN1005"/>
      <c r="BO1005"/>
      <c r="BP1005"/>
      <c r="BQ1005"/>
      <c r="BR1005"/>
      <c r="BS1005"/>
      <c r="BT1005"/>
      <c r="BU1005"/>
      <c r="BV1005"/>
      <c r="BW1005"/>
      <c r="BX1005"/>
    </row>
    <row r="1006" spans="1:76">
      <c r="A1006" s="72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/>
      <c r="AF1006"/>
      <c r="AG1006"/>
      <c r="AH1006"/>
      <c r="AI1006"/>
      <c r="AJ1006"/>
      <c r="AK1006"/>
      <c r="AL1006"/>
      <c r="AM1006"/>
      <c r="AN1006"/>
      <c r="AO1006"/>
      <c r="AP1006"/>
      <c r="AQ1006"/>
      <c r="AR1006"/>
      <c r="AS1006"/>
      <c r="AT1006"/>
      <c r="AU1006"/>
      <c r="AV1006"/>
      <c r="AW1006"/>
      <c r="AX1006"/>
      <c r="AY1006"/>
      <c r="AZ1006"/>
      <c r="BA1006"/>
      <c r="BB1006"/>
      <c r="BC1006"/>
      <c r="BD1006"/>
      <c r="BE1006"/>
      <c r="BF1006"/>
      <c r="BG1006"/>
      <c r="BH1006"/>
      <c r="BI1006"/>
      <c r="BJ1006"/>
      <c r="BK1006"/>
      <c r="BL1006"/>
      <c r="BM1006"/>
      <c r="BN1006"/>
      <c r="BO1006"/>
      <c r="BP1006"/>
      <c r="BQ1006"/>
      <c r="BR1006"/>
      <c r="BS1006"/>
      <c r="BT1006"/>
      <c r="BU1006"/>
      <c r="BV1006"/>
      <c r="BW1006"/>
      <c r="BX1006"/>
    </row>
    <row r="1007" spans="1:76">
      <c r="A1007" s="72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  <c r="AE1007"/>
      <c r="AF1007"/>
      <c r="AG1007"/>
      <c r="AH1007"/>
      <c r="AI1007"/>
      <c r="AJ1007"/>
      <c r="AK1007"/>
      <c r="AL1007"/>
      <c r="AM1007"/>
      <c r="AN1007"/>
      <c r="AO1007"/>
      <c r="AP1007"/>
      <c r="AQ1007"/>
      <c r="AR1007"/>
      <c r="AS1007"/>
      <c r="AT1007"/>
      <c r="AU1007"/>
      <c r="AV1007"/>
      <c r="AW1007"/>
      <c r="AX1007"/>
      <c r="AY1007"/>
      <c r="AZ1007"/>
      <c r="BA1007"/>
      <c r="BB1007"/>
      <c r="BC1007"/>
      <c r="BD1007"/>
      <c r="BE1007"/>
      <c r="BF1007"/>
      <c r="BG1007"/>
      <c r="BH1007"/>
      <c r="BI1007"/>
      <c r="BJ1007"/>
      <c r="BK1007"/>
      <c r="BL1007"/>
      <c r="BM1007"/>
      <c r="BN1007"/>
      <c r="BO1007"/>
      <c r="BP1007"/>
      <c r="BQ1007"/>
      <c r="BR1007"/>
      <c r="BS1007"/>
      <c r="BT1007"/>
      <c r="BU1007"/>
      <c r="BV1007"/>
      <c r="BW1007"/>
      <c r="BX1007"/>
    </row>
    <row r="1008" spans="1:76">
      <c r="A1008" s="72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  <c r="AE1008"/>
      <c r="AF1008"/>
      <c r="AG1008"/>
      <c r="AH1008"/>
      <c r="AI1008"/>
      <c r="AJ1008"/>
      <c r="AK1008"/>
      <c r="AL1008"/>
      <c r="AM1008"/>
      <c r="AN1008"/>
      <c r="AO1008"/>
      <c r="AP1008"/>
      <c r="AQ1008"/>
      <c r="AR1008"/>
      <c r="AS1008"/>
      <c r="AT1008"/>
      <c r="AU1008"/>
      <c r="AV1008"/>
      <c r="AW1008"/>
      <c r="AX1008"/>
      <c r="AY1008"/>
      <c r="AZ1008"/>
      <c r="BA1008"/>
      <c r="BB1008"/>
      <c r="BC1008"/>
      <c r="BD1008"/>
      <c r="BE1008"/>
      <c r="BF1008"/>
      <c r="BG1008"/>
      <c r="BH1008"/>
      <c r="BI1008"/>
      <c r="BJ1008"/>
      <c r="BK1008"/>
      <c r="BL1008"/>
      <c r="BM1008"/>
      <c r="BN1008"/>
      <c r="BO1008"/>
      <c r="BP1008"/>
      <c r="BQ1008"/>
      <c r="BR1008"/>
      <c r="BS1008"/>
      <c r="BT1008"/>
      <c r="BU1008"/>
      <c r="BV1008"/>
      <c r="BW1008"/>
      <c r="BX1008"/>
    </row>
    <row r="1009" spans="1:76">
      <c r="A1009" s="72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  <c r="AE1009"/>
      <c r="AF1009"/>
      <c r="AG1009"/>
      <c r="AH1009"/>
      <c r="AI1009"/>
      <c r="AJ1009"/>
      <c r="AK1009"/>
      <c r="AL1009"/>
      <c r="AM1009"/>
      <c r="AN1009"/>
      <c r="AO1009"/>
      <c r="AP1009"/>
      <c r="AQ1009"/>
      <c r="AR1009"/>
      <c r="AS1009"/>
      <c r="AT1009"/>
      <c r="AU1009"/>
      <c r="AV1009"/>
      <c r="AW1009"/>
      <c r="AX1009"/>
      <c r="AY1009"/>
      <c r="AZ1009"/>
      <c r="BA1009"/>
      <c r="BB1009"/>
      <c r="BC1009"/>
      <c r="BD1009"/>
      <c r="BE1009"/>
      <c r="BF1009"/>
      <c r="BG1009"/>
      <c r="BH1009"/>
      <c r="BI1009"/>
      <c r="BJ1009"/>
      <c r="BK1009"/>
      <c r="BL1009"/>
      <c r="BM1009"/>
      <c r="BN1009"/>
      <c r="BO1009"/>
      <c r="BP1009"/>
      <c r="BQ1009"/>
      <c r="BR1009"/>
      <c r="BS1009"/>
      <c r="BT1009"/>
      <c r="BU1009"/>
      <c r="BV1009"/>
      <c r="BW1009"/>
      <c r="BX1009"/>
    </row>
    <row r="1010" spans="1:76">
      <c r="A1010" s="72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  <c r="AD1010"/>
      <c r="AE1010"/>
      <c r="AF1010"/>
      <c r="AG1010"/>
      <c r="AH1010"/>
      <c r="AI1010"/>
      <c r="AJ1010"/>
      <c r="AK1010"/>
      <c r="AL1010"/>
      <c r="AM1010"/>
      <c r="AN1010"/>
      <c r="AO1010"/>
      <c r="AP1010"/>
      <c r="AQ1010"/>
      <c r="AR1010"/>
      <c r="AS1010"/>
      <c r="AT1010"/>
      <c r="AU1010"/>
      <c r="AV1010"/>
      <c r="AW1010"/>
      <c r="AX1010"/>
      <c r="AY1010"/>
      <c r="AZ1010"/>
      <c r="BA1010"/>
      <c r="BB1010"/>
      <c r="BC1010"/>
      <c r="BD1010"/>
      <c r="BE1010"/>
      <c r="BF1010"/>
      <c r="BG1010"/>
      <c r="BH1010"/>
      <c r="BI1010"/>
      <c r="BJ1010"/>
      <c r="BK1010"/>
      <c r="BL1010"/>
      <c r="BM1010"/>
      <c r="BN1010"/>
      <c r="BO1010"/>
      <c r="BP1010"/>
      <c r="BQ1010"/>
      <c r="BR1010"/>
      <c r="BS1010"/>
      <c r="BT1010"/>
      <c r="BU1010"/>
      <c r="BV1010"/>
      <c r="BW1010"/>
      <c r="BX1010"/>
    </row>
    <row r="1011" spans="1:76">
      <c r="A1011" s="72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  <c r="AD1011"/>
      <c r="AE1011"/>
      <c r="AF1011"/>
      <c r="AG1011"/>
      <c r="AH1011"/>
      <c r="AI1011"/>
      <c r="AJ1011"/>
      <c r="AK1011"/>
      <c r="AL1011"/>
      <c r="AM1011"/>
      <c r="AN1011"/>
      <c r="AO1011"/>
      <c r="AP1011"/>
      <c r="AQ1011"/>
      <c r="AR1011"/>
      <c r="AS1011"/>
      <c r="AT1011"/>
      <c r="AU1011"/>
      <c r="AV1011"/>
      <c r="AW1011"/>
      <c r="AX1011"/>
      <c r="AY1011"/>
      <c r="AZ1011"/>
      <c r="BA1011"/>
      <c r="BB1011"/>
      <c r="BC1011"/>
      <c r="BD1011"/>
      <c r="BE1011"/>
      <c r="BF1011"/>
      <c r="BG1011"/>
      <c r="BH1011"/>
      <c r="BI1011"/>
      <c r="BJ1011"/>
      <c r="BK1011"/>
      <c r="BL1011"/>
      <c r="BM1011"/>
      <c r="BN1011"/>
      <c r="BO1011"/>
      <c r="BP1011"/>
      <c r="BQ1011"/>
      <c r="BR1011"/>
      <c r="BS1011"/>
      <c r="BT1011"/>
      <c r="BU1011"/>
      <c r="BV1011"/>
      <c r="BW1011"/>
      <c r="BX1011"/>
    </row>
    <row r="1012" spans="1:76">
      <c r="A1012" s="7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/>
      <c r="AF1012"/>
      <c r="AG1012"/>
      <c r="AH1012"/>
      <c r="AI1012"/>
      <c r="AJ1012"/>
      <c r="AK1012"/>
      <c r="AL1012"/>
      <c r="AM1012"/>
      <c r="AN1012"/>
      <c r="AO1012"/>
      <c r="AP1012"/>
      <c r="AQ1012"/>
      <c r="AR1012"/>
      <c r="AS1012"/>
      <c r="AT1012"/>
      <c r="AU1012"/>
      <c r="AV1012"/>
      <c r="AW1012"/>
      <c r="AX1012"/>
      <c r="AY1012"/>
      <c r="AZ1012"/>
      <c r="BA1012"/>
      <c r="BB1012"/>
      <c r="BC1012"/>
      <c r="BD1012"/>
      <c r="BE1012"/>
      <c r="BF1012"/>
      <c r="BG1012"/>
      <c r="BH1012"/>
      <c r="BI1012"/>
      <c r="BJ1012"/>
      <c r="BK1012"/>
      <c r="BL1012"/>
      <c r="BM1012"/>
      <c r="BN1012"/>
      <c r="BO1012"/>
      <c r="BP1012"/>
      <c r="BQ1012"/>
      <c r="BR1012"/>
      <c r="BS1012"/>
      <c r="BT1012"/>
      <c r="BU1012"/>
      <c r="BV1012"/>
      <c r="BW1012"/>
      <c r="BX1012"/>
    </row>
    <row r="1013" spans="1:76">
      <c r="A1013" s="72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/>
      <c r="AA1013"/>
      <c r="AB1013"/>
      <c r="AC1013"/>
      <c r="AD1013"/>
      <c r="AE1013"/>
      <c r="AF1013"/>
      <c r="AG1013"/>
      <c r="AH1013"/>
      <c r="AI1013"/>
      <c r="AJ1013"/>
      <c r="AK1013"/>
      <c r="AL1013"/>
      <c r="AM1013"/>
      <c r="AN1013"/>
      <c r="AO1013"/>
      <c r="AP1013"/>
      <c r="AQ1013"/>
      <c r="AR1013"/>
      <c r="AS1013"/>
      <c r="AT1013"/>
      <c r="AU1013"/>
      <c r="AV1013"/>
      <c r="AW1013"/>
      <c r="AX1013"/>
      <c r="AY1013"/>
      <c r="AZ1013"/>
      <c r="BA1013"/>
      <c r="BB1013"/>
      <c r="BC1013"/>
      <c r="BD1013"/>
      <c r="BE1013"/>
      <c r="BF1013"/>
      <c r="BG1013"/>
      <c r="BH1013"/>
      <c r="BI1013"/>
      <c r="BJ1013"/>
      <c r="BK1013"/>
      <c r="BL1013"/>
      <c r="BM1013"/>
      <c r="BN1013"/>
      <c r="BO1013"/>
      <c r="BP1013"/>
      <c r="BQ1013"/>
      <c r="BR1013"/>
      <c r="BS1013"/>
      <c r="BT1013"/>
      <c r="BU1013"/>
      <c r="BV1013"/>
      <c r="BW1013"/>
      <c r="BX1013"/>
    </row>
    <row r="1014" spans="1:76">
      <c r="A1014" s="72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  <c r="AD1014"/>
      <c r="AE1014"/>
      <c r="AF1014"/>
      <c r="AG1014"/>
      <c r="AH1014"/>
      <c r="AI1014"/>
      <c r="AJ1014"/>
      <c r="AK1014"/>
      <c r="AL1014"/>
      <c r="AM1014"/>
      <c r="AN1014"/>
      <c r="AO1014"/>
      <c r="AP1014"/>
      <c r="AQ1014"/>
      <c r="AR1014"/>
      <c r="AS1014"/>
      <c r="AT1014"/>
      <c r="AU1014"/>
      <c r="AV1014"/>
      <c r="AW1014"/>
      <c r="AX1014"/>
      <c r="AY1014"/>
      <c r="AZ1014"/>
      <c r="BA1014"/>
      <c r="BB1014"/>
      <c r="BC1014"/>
      <c r="BD1014"/>
      <c r="BE1014"/>
      <c r="BF1014"/>
      <c r="BG1014"/>
      <c r="BH1014"/>
      <c r="BI1014"/>
      <c r="BJ1014"/>
      <c r="BK1014"/>
      <c r="BL1014"/>
      <c r="BM1014"/>
      <c r="BN1014"/>
      <c r="BO1014"/>
      <c r="BP1014"/>
      <c r="BQ1014"/>
      <c r="BR1014"/>
      <c r="BS1014"/>
      <c r="BT1014"/>
      <c r="BU1014"/>
      <c r="BV1014"/>
      <c r="BW1014"/>
      <c r="BX1014"/>
    </row>
    <row r="1015" spans="1:76">
      <c r="A1015" s="72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/>
      <c r="AF1015"/>
      <c r="AG1015"/>
      <c r="AH1015"/>
      <c r="AI1015"/>
      <c r="AJ1015"/>
      <c r="AK1015"/>
      <c r="AL1015"/>
      <c r="AM1015"/>
      <c r="AN1015"/>
      <c r="AO1015"/>
      <c r="AP1015"/>
      <c r="AQ1015"/>
      <c r="AR1015"/>
      <c r="AS1015"/>
      <c r="AT1015"/>
      <c r="AU1015"/>
      <c r="AV1015"/>
      <c r="AW1015"/>
      <c r="AX1015"/>
      <c r="AY1015"/>
      <c r="AZ1015"/>
      <c r="BA1015"/>
      <c r="BB1015"/>
      <c r="BC1015"/>
      <c r="BD1015"/>
      <c r="BE1015"/>
      <c r="BF1015"/>
      <c r="BG1015"/>
      <c r="BH1015"/>
      <c r="BI1015"/>
      <c r="BJ1015"/>
      <c r="BK1015"/>
      <c r="BL1015"/>
      <c r="BM1015"/>
      <c r="BN1015"/>
      <c r="BO1015"/>
      <c r="BP1015"/>
      <c r="BQ1015"/>
      <c r="BR1015"/>
      <c r="BS1015"/>
      <c r="BT1015"/>
      <c r="BU1015"/>
      <c r="BV1015"/>
      <c r="BW1015"/>
      <c r="BX1015"/>
    </row>
    <row r="1016" spans="1:76">
      <c r="A1016" s="72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/>
      <c r="AE1016"/>
      <c r="AF1016"/>
      <c r="AG1016"/>
      <c r="AH1016"/>
      <c r="AI1016"/>
      <c r="AJ1016"/>
      <c r="AK1016"/>
      <c r="AL1016"/>
      <c r="AM1016"/>
      <c r="AN1016"/>
      <c r="AO1016"/>
      <c r="AP1016"/>
      <c r="AQ1016"/>
      <c r="AR1016"/>
      <c r="AS1016"/>
      <c r="AT1016"/>
      <c r="AU1016"/>
      <c r="AV1016"/>
      <c r="AW1016"/>
      <c r="AX1016"/>
      <c r="AY1016"/>
      <c r="AZ1016"/>
      <c r="BA1016"/>
      <c r="BB1016"/>
      <c r="BC1016"/>
      <c r="BD1016"/>
      <c r="BE1016"/>
      <c r="BF1016"/>
      <c r="BG1016"/>
      <c r="BH1016"/>
      <c r="BI1016"/>
      <c r="BJ1016"/>
      <c r="BK1016"/>
      <c r="BL1016"/>
      <c r="BM1016"/>
      <c r="BN1016"/>
      <c r="BO1016"/>
      <c r="BP1016"/>
      <c r="BQ1016"/>
      <c r="BR1016"/>
      <c r="BS1016"/>
      <c r="BT1016"/>
      <c r="BU1016"/>
      <c r="BV1016"/>
      <c r="BW1016"/>
      <c r="BX1016"/>
    </row>
    <row r="1017" spans="1:76">
      <c r="A1017" s="72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  <c r="AD1017"/>
      <c r="AE1017"/>
      <c r="AF1017"/>
      <c r="AG1017"/>
      <c r="AH1017"/>
      <c r="AI1017"/>
      <c r="AJ1017"/>
      <c r="AK1017"/>
      <c r="AL1017"/>
      <c r="AM1017"/>
      <c r="AN1017"/>
      <c r="AO1017"/>
      <c r="AP1017"/>
      <c r="AQ1017"/>
      <c r="AR1017"/>
      <c r="AS1017"/>
      <c r="AT1017"/>
      <c r="AU1017"/>
      <c r="AV1017"/>
      <c r="AW1017"/>
      <c r="AX1017"/>
      <c r="AY1017"/>
      <c r="AZ1017"/>
      <c r="BA1017"/>
      <c r="BB1017"/>
      <c r="BC1017"/>
      <c r="BD1017"/>
      <c r="BE1017"/>
      <c r="BF1017"/>
      <c r="BG1017"/>
      <c r="BH1017"/>
      <c r="BI1017"/>
      <c r="BJ1017"/>
      <c r="BK1017"/>
      <c r="BL1017"/>
      <c r="BM1017"/>
      <c r="BN1017"/>
      <c r="BO1017"/>
      <c r="BP1017"/>
      <c r="BQ1017"/>
      <c r="BR1017"/>
      <c r="BS1017"/>
      <c r="BT1017"/>
      <c r="BU1017"/>
      <c r="BV1017"/>
      <c r="BW1017"/>
      <c r="BX1017"/>
    </row>
    <row r="1018" spans="1:76">
      <c r="A1018" s="72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  <c r="AD1018"/>
      <c r="AE1018"/>
      <c r="AF1018"/>
      <c r="AG1018"/>
      <c r="AH1018"/>
      <c r="AI1018"/>
      <c r="AJ1018"/>
      <c r="AK1018"/>
      <c r="AL1018"/>
      <c r="AM1018"/>
      <c r="AN1018"/>
      <c r="AO1018"/>
      <c r="AP1018"/>
      <c r="AQ1018"/>
      <c r="AR1018"/>
      <c r="AS1018"/>
      <c r="AT1018"/>
      <c r="AU1018"/>
      <c r="AV1018"/>
      <c r="AW1018"/>
      <c r="AX1018"/>
      <c r="AY1018"/>
      <c r="AZ1018"/>
      <c r="BA1018"/>
      <c r="BB1018"/>
      <c r="BC1018"/>
      <c r="BD1018"/>
      <c r="BE1018"/>
      <c r="BF1018"/>
      <c r="BG1018"/>
      <c r="BH1018"/>
      <c r="BI1018"/>
      <c r="BJ1018"/>
      <c r="BK1018"/>
      <c r="BL1018"/>
      <c r="BM1018"/>
      <c r="BN1018"/>
      <c r="BO1018"/>
      <c r="BP1018"/>
      <c r="BQ1018"/>
      <c r="BR1018"/>
      <c r="BS1018"/>
      <c r="BT1018"/>
      <c r="BU1018"/>
      <c r="BV1018"/>
      <c r="BW1018"/>
      <c r="BX1018"/>
    </row>
    <row r="1019" spans="1:76">
      <c r="A1019" s="72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  <c r="AD1019"/>
      <c r="AE1019"/>
      <c r="AF1019"/>
      <c r="AG1019"/>
      <c r="AH1019"/>
      <c r="AI1019"/>
      <c r="AJ1019"/>
      <c r="AK1019"/>
      <c r="AL1019"/>
      <c r="AM1019"/>
      <c r="AN1019"/>
      <c r="AO1019"/>
      <c r="AP1019"/>
      <c r="AQ1019"/>
      <c r="AR1019"/>
      <c r="AS1019"/>
      <c r="AT1019"/>
      <c r="AU1019"/>
      <c r="AV1019"/>
      <c r="AW1019"/>
      <c r="AX1019"/>
      <c r="AY1019"/>
      <c r="AZ1019"/>
      <c r="BA1019"/>
      <c r="BB1019"/>
      <c r="BC1019"/>
      <c r="BD1019"/>
      <c r="BE1019"/>
      <c r="BF1019"/>
      <c r="BG1019"/>
      <c r="BH1019"/>
      <c r="BI1019"/>
      <c r="BJ1019"/>
      <c r="BK1019"/>
      <c r="BL1019"/>
      <c r="BM1019"/>
      <c r="BN1019"/>
      <c r="BO1019"/>
      <c r="BP1019"/>
      <c r="BQ1019"/>
      <c r="BR1019"/>
      <c r="BS1019"/>
      <c r="BT1019"/>
      <c r="BU1019"/>
      <c r="BV1019"/>
      <c r="BW1019"/>
      <c r="BX1019"/>
    </row>
    <row r="1020" spans="1:76">
      <c r="A1020" s="72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  <c r="AD1020"/>
      <c r="AE1020"/>
      <c r="AF1020"/>
      <c r="AG1020"/>
      <c r="AH1020"/>
      <c r="AI1020"/>
      <c r="AJ1020"/>
      <c r="AK1020"/>
      <c r="AL1020"/>
      <c r="AM1020"/>
      <c r="AN1020"/>
      <c r="AO1020"/>
      <c r="AP1020"/>
      <c r="AQ1020"/>
      <c r="AR1020"/>
      <c r="AS1020"/>
      <c r="AT1020"/>
      <c r="AU1020"/>
      <c r="AV1020"/>
      <c r="AW1020"/>
      <c r="AX1020"/>
      <c r="AY1020"/>
      <c r="AZ1020"/>
      <c r="BA1020"/>
      <c r="BB1020"/>
      <c r="BC1020"/>
      <c r="BD1020"/>
      <c r="BE1020"/>
      <c r="BF1020"/>
      <c r="BG1020"/>
      <c r="BH1020"/>
      <c r="BI1020"/>
      <c r="BJ1020"/>
      <c r="BK1020"/>
      <c r="BL1020"/>
      <c r="BM1020"/>
      <c r="BN1020"/>
      <c r="BO1020"/>
      <c r="BP1020"/>
      <c r="BQ1020"/>
      <c r="BR1020"/>
      <c r="BS1020"/>
      <c r="BT1020"/>
      <c r="BU1020"/>
      <c r="BV1020"/>
      <c r="BW1020"/>
      <c r="BX1020"/>
    </row>
    <row r="1021" spans="1:76">
      <c r="A1021" s="72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  <c r="AD1021"/>
      <c r="AE1021"/>
      <c r="AF1021"/>
      <c r="AG1021"/>
      <c r="AH1021"/>
      <c r="AI1021"/>
      <c r="AJ1021"/>
      <c r="AK1021"/>
      <c r="AL1021"/>
      <c r="AM1021"/>
      <c r="AN1021"/>
      <c r="AO1021"/>
      <c r="AP1021"/>
      <c r="AQ1021"/>
      <c r="AR1021"/>
      <c r="AS1021"/>
      <c r="AT1021"/>
      <c r="AU1021"/>
      <c r="AV1021"/>
      <c r="AW1021"/>
      <c r="AX1021"/>
      <c r="AY1021"/>
      <c r="AZ1021"/>
      <c r="BA1021"/>
      <c r="BB1021"/>
      <c r="BC1021"/>
      <c r="BD1021"/>
      <c r="BE1021"/>
      <c r="BF1021"/>
      <c r="BG1021"/>
      <c r="BH1021"/>
      <c r="BI1021"/>
      <c r="BJ1021"/>
      <c r="BK1021"/>
      <c r="BL1021"/>
      <c r="BM1021"/>
      <c r="BN1021"/>
      <c r="BO1021"/>
      <c r="BP1021"/>
      <c r="BQ1021"/>
      <c r="BR1021"/>
      <c r="BS1021"/>
      <c r="BT1021"/>
      <c r="BU1021"/>
      <c r="BV1021"/>
      <c r="BW1021"/>
      <c r="BX1021"/>
    </row>
    <row r="1022" spans="1:76">
      <c r="A1022" s="7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  <c r="AD1022"/>
      <c r="AE1022"/>
      <c r="AF1022"/>
      <c r="AG1022"/>
      <c r="AH1022"/>
      <c r="AI1022"/>
      <c r="AJ1022"/>
      <c r="AK1022"/>
      <c r="AL1022"/>
      <c r="AM1022"/>
      <c r="AN1022"/>
      <c r="AO1022"/>
      <c r="AP1022"/>
      <c r="AQ1022"/>
      <c r="AR1022"/>
      <c r="AS1022"/>
      <c r="AT1022"/>
      <c r="AU1022"/>
      <c r="AV1022"/>
      <c r="AW1022"/>
      <c r="AX1022"/>
      <c r="AY1022"/>
      <c r="AZ1022"/>
      <c r="BA1022"/>
      <c r="BB1022"/>
      <c r="BC1022"/>
      <c r="BD1022"/>
      <c r="BE1022"/>
      <c r="BF1022"/>
      <c r="BG1022"/>
      <c r="BH1022"/>
      <c r="BI1022"/>
      <c r="BJ1022"/>
      <c r="BK1022"/>
      <c r="BL1022"/>
      <c r="BM1022"/>
      <c r="BN1022"/>
      <c r="BO1022"/>
      <c r="BP1022"/>
      <c r="BQ1022"/>
      <c r="BR1022"/>
      <c r="BS1022"/>
      <c r="BT1022"/>
      <c r="BU1022"/>
      <c r="BV1022"/>
      <c r="BW1022"/>
      <c r="BX1022"/>
    </row>
    <row r="1023" spans="1:76">
      <c r="A1023" s="72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/>
      <c r="AA1023"/>
      <c r="AB1023"/>
      <c r="AC1023"/>
      <c r="AD1023"/>
      <c r="AE1023"/>
      <c r="AF1023"/>
      <c r="AG1023"/>
      <c r="AH1023"/>
      <c r="AI1023"/>
      <c r="AJ1023"/>
      <c r="AK1023"/>
      <c r="AL1023"/>
      <c r="AM1023"/>
      <c r="AN1023"/>
      <c r="AO1023"/>
      <c r="AP1023"/>
      <c r="AQ1023"/>
      <c r="AR1023"/>
      <c r="AS1023"/>
      <c r="AT1023"/>
      <c r="AU1023"/>
      <c r="AV1023"/>
      <c r="AW1023"/>
      <c r="AX1023"/>
      <c r="AY1023"/>
      <c r="AZ1023"/>
      <c r="BA1023"/>
      <c r="BB1023"/>
      <c r="BC1023"/>
      <c r="BD1023"/>
      <c r="BE1023"/>
      <c r="BF1023"/>
      <c r="BG1023"/>
      <c r="BH1023"/>
      <c r="BI1023"/>
      <c r="BJ1023"/>
      <c r="BK1023"/>
      <c r="BL1023"/>
      <c r="BM1023"/>
      <c r="BN1023"/>
      <c r="BO1023"/>
      <c r="BP1023"/>
      <c r="BQ1023"/>
      <c r="BR1023"/>
      <c r="BS1023"/>
      <c r="BT1023"/>
      <c r="BU1023"/>
      <c r="BV1023"/>
      <c r="BW1023"/>
      <c r="BX1023"/>
    </row>
    <row r="1024" spans="1:76">
      <c r="A1024" s="72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  <c r="AD1024"/>
      <c r="AE1024"/>
      <c r="AF1024"/>
      <c r="AG1024"/>
      <c r="AH1024"/>
      <c r="AI1024"/>
      <c r="AJ1024"/>
      <c r="AK1024"/>
      <c r="AL1024"/>
      <c r="AM1024"/>
      <c r="AN1024"/>
      <c r="AO1024"/>
      <c r="AP1024"/>
      <c r="AQ1024"/>
      <c r="AR1024"/>
      <c r="AS1024"/>
      <c r="AT1024"/>
      <c r="AU1024"/>
      <c r="AV1024"/>
      <c r="AW1024"/>
      <c r="AX1024"/>
      <c r="AY1024"/>
      <c r="AZ1024"/>
      <c r="BA1024"/>
      <c r="BB1024"/>
      <c r="BC1024"/>
      <c r="BD1024"/>
      <c r="BE1024"/>
      <c r="BF1024"/>
      <c r="BG1024"/>
      <c r="BH1024"/>
      <c r="BI1024"/>
      <c r="BJ1024"/>
      <c r="BK1024"/>
      <c r="BL1024"/>
      <c r="BM1024"/>
      <c r="BN1024"/>
      <c r="BO1024"/>
      <c r="BP1024"/>
      <c r="BQ1024"/>
      <c r="BR1024"/>
      <c r="BS1024"/>
      <c r="BT1024"/>
      <c r="BU1024"/>
      <c r="BV1024"/>
      <c r="BW1024"/>
      <c r="BX1024"/>
    </row>
    <row r="1025" spans="1:76">
      <c r="A1025" s="72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  <c r="AA1025"/>
      <c r="AB1025"/>
      <c r="AC1025"/>
      <c r="AD1025"/>
      <c r="AE1025"/>
      <c r="AF1025"/>
      <c r="AG1025"/>
      <c r="AH1025"/>
      <c r="AI1025"/>
      <c r="AJ1025"/>
      <c r="AK1025"/>
      <c r="AL1025"/>
      <c r="AM1025"/>
      <c r="AN1025"/>
      <c r="AO1025"/>
      <c r="AP1025"/>
      <c r="AQ1025"/>
      <c r="AR1025"/>
      <c r="AS1025"/>
      <c r="AT1025"/>
      <c r="AU1025"/>
      <c r="AV1025"/>
      <c r="AW1025"/>
      <c r="AX1025"/>
      <c r="AY1025"/>
      <c r="AZ1025"/>
      <c r="BA1025"/>
      <c r="BB1025"/>
      <c r="BC1025"/>
      <c r="BD1025"/>
      <c r="BE1025"/>
      <c r="BF1025"/>
      <c r="BG1025"/>
      <c r="BH1025"/>
      <c r="BI1025"/>
      <c r="BJ1025"/>
      <c r="BK1025"/>
      <c r="BL1025"/>
      <c r="BM1025"/>
      <c r="BN1025"/>
      <c r="BO1025"/>
      <c r="BP1025"/>
      <c r="BQ1025"/>
      <c r="BR1025"/>
      <c r="BS1025"/>
      <c r="BT1025"/>
      <c r="BU1025"/>
      <c r="BV1025"/>
      <c r="BW1025"/>
      <c r="BX1025"/>
    </row>
    <row r="1026" spans="1:76">
      <c r="A1026" s="72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  <c r="AD1026"/>
      <c r="AE1026"/>
      <c r="AF1026"/>
      <c r="AG1026"/>
      <c r="AH1026"/>
      <c r="AI1026"/>
      <c r="AJ1026"/>
      <c r="AK1026"/>
      <c r="AL1026"/>
      <c r="AM1026"/>
      <c r="AN1026"/>
      <c r="AO1026"/>
      <c r="AP1026"/>
      <c r="AQ1026"/>
      <c r="AR1026"/>
      <c r="AS1026"/>
      <c r="AT1026"/>
      <c r="AU1026"/>
      <c r="AV1026"/>
      <c r="AW1026"/>
      <c r="AX1026"/>
      <c r="AY1026"/>
      <c r="AZ1026"/>
      <c r="BA1026"/>
      <c r="BB1026"/>
      <c r="BC1026"/>
      <c r="BD1026"/>
      <c r="BE1026"/>
      <c r="BF1026"/>
      <c r="BG1026"/>
      <c r="BH1026"/>
      <c r="BI1026"/>
      <c r="BJ1026"/>
      <c r="BK1026"/>
      <c r="BL1026"/>
      <c r="BM1026"/>
      <c r="BN1026"/>
      <c r="BO1026"/>
      <c r="BP1026"/>
      <c r="BQ1026"/>
      <c r="BR1026"/>
      <c r="BS1026"/>
      <c r="BT1026"/>
      <c r="BU1026"/>
      <c r="BV1026"/>
      <c r="BW1026"/>
      <c r="BX1026"/>
    </row>
    <row r="1027" spans="1:76">
      <c r="A1027" s="72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  <c r="AD1027"/>
      <c r="AE1027"/>
      <c r="AF1027"/>
      <c r="AG1027"/>
      <c r="AH1027"/>
      <c r="AI1027"/>
      <c r="AJ1027"/>
      <c r="AK1027"/>
      <c r="AL1027"/>
      <c r="AM1027"/>
      <c r="AN1027"/>
      <c r="AO1027"/>
      <c r="AP1027"/>
      <c r="AQ1027"/>
      <c r="AR1027"/>
      <c r="AS1027"/>
      <c r="AT1027"/>
      <c r="AU1027"/>
      <c r="AV1027"/>
      <c r="AW1027"/>
      <c r="AX1027"/>
      <c r="AY1027"/>
      <c r="AZ1027"/>
      <c r="BA1027"/>
      <c r="BB1027"/>
      <c r="BC1027"/>
      <c r="BD1027"/>
      <c r="BE1027"/>
      <c r="BF1027"/>
      <c r="BG1027"/>
      <c r="BH1027"/>
      <c r="BI1027"/>
      <c r="BJ1027"/>
      <c r="BK1027"/>
      <c r="BL1027"/>
      <c r="BM1027"/>
      <c r="BN1027"/>
      <c r="BO1027"/>
      <c r="BP1027"/>
      <c r="BQ1027"/>
      <c r="BR1027"/>
      <c r="BS1027"/>
      <c r="BT1027"/>
      <c r="BU1027"/>
      <c r="BV1027"/>
      <c r="BW1027"/>
      <c r="BX1027"/>
    </row>
    <row r="1028" spans="1:76">
      <c r="A1028" s="72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/>
      <c r="AF1028"/>
      <c r="AG1028"/>
      <c r="AH1028"/>
      <c r="AI1028"/>
      <c r="AJ1028"/>
      <c r="AK1028"/>
      <c r="AL1028"/>
      <c r="AM1028"/>
      <c r="AN1028"/>
      <c r="AO1028"/>
      <c r="AP1028"/>
      <c r="AQ1028"/>
      <c r="AR1028"/>
      <c r="AS1028"/>
      <c r="AT1028"/>
      <c r="AU1028"/>
      <c r="AV1028"/>
      <c r="AW1028"/>
      <c r="AX1028"/>
      <c r="AY1028"/>
      <c r="AZ1028"/>
      <c r="BA1028"/>
      <c r="BB1028"/>
      <c r="BC1028"/>
      <c r="BD1028"/>
      <c r="BE1028"/>
      <c r="BF1028"/>
      <c r="BG1028"/>
      <c r="BH1028"/>
      <c r="BI1028"/>
      <c r="BJ1028"/>
      <c r="BK1028"/>
      <c r="BL1028"/>
      <c r="BM1028"/>
      <c r="BN1028"/>
      <c r="BO1028"/>
      <c r="BP1028"/>
      <c r="BQ1028"/>
      <c r="BR1028"/>
      <c r="BS1028"/>
      <c r="BT1028"/>
      <c r="BU1028"/>
      <c r="BV1028"/>
      <c r="BW1028"/>
      <c r="BX1028"/>
    </row>
    <row r="1029" spans="1:76">
      <c r="A1029" s="72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  <c r="AD1029"/>
      <c r="AE1029"/>
      <c r="AF1029"/>
      <c r="AG1029"/>
      <c r="AH1029"/>
      <c r="AI1029"/>
      <c r="AJ1029"/>
      <c r="AK1029"/>
      <c r="AL1029"/>
      <c r="AM1029"/>
      <c r="AN1029"/>
      <c r="AO1029"/>
      <c r="AP1029"/>
      <c r="AQ1029"/>
      <c r="AR1029"/>
      <c r="AS1029"/>
      <c r="AT1029"/>
      <c r="AU1029"/>
      <c r="AV1029"/>
      <c r="AW1029"/>
      <c r="AX1029"/>
      <c r="AY1029"/>
      <c r="AZ1029"/>
      <c r="BA1029"/>
      <c r="BB1029"/>
      <c r="BC1029"/>
      <c r="BD1029"/>
      <c r="BE1029"/>
      <c r="BF1029"/>
      <c r="BG1029"/>
      <c r="BH1029"/>
      <c r="BI1029"/>
      <c r="BJ1029"/>
      <c r="BK1029"/>
      <c r="BL1029"/>
      <c r="BM1029"/>
      <c r="BN1029"/>
      <c r="BO1029"/>
      <c r="BP1029"/>
      <c r="BQ1029"/>
      <c r="BR1029"/>
      <c r="BS1029"/>
      <c r="BT1029"/>
      <c r="BU1029"/>
      <c r="BV1029"/>
      <c r="BW1029"/>
      <c r="BX1029"/>
    </row>
    <row r="1030" spans="1:76">
      <c r="A1030" s="72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/>
      <c r="AF1030"/>
      <c r="AG1030"/>
      <c r="AH1030"/>
      <c r="AI1030"/>
      <c r="AJ1030"/>
      <c r="AK1030"/>
      <c r="AL1030"/>
      <c r="AM1030"/>
      <c r="AN1030"/>
      <c r="AO1030"/>
      <c r="AP1030"/>
      <c r="AQ1030"/>
      <c r="AR1030"/>
      <c r="AS1030"/>
      <c r="AT1030"/>
      <c r="AU1030"/>
      <c r="AV1030"/>
      <c r="AW1030"/>
      <c r="AX1030"/>
      <c r="AY1030"/>
      <c r="AZ1030"/>
      <c r="BA1030"/>
      <c r="BB1030"/>
      <c r="BC1030"/>
      <c r="BD1030"/>
      <c r="BE1030"/>
      <c r="BF1030"/>
      <c r="BG1030"/>
      <c r="BH1030"/>
      <c r="BI1030"/>
      <c r="BJ1030"/>
      <c r="BK1030"/>
      <c r="BL1030"/>
      <c r="BM1030"/>
      <c r="BN1030"/>
      <c r="BO1030"/>
      <c r="BP1030"/>
      <c r="BQ1030"/>
      <c r="BR1030"/>
      <c r="BS1030"/>
      <c r="BT1030"/>
      <c r="BU1030"/>
      <c r="BV1030"/>
      <c r="BW1030"/>
      <c r="BX1030"/>
    </row>
    <row r="1031" spans="1:76">
      <c r="A1031" s="72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  <c r="AD1031"/>
      <c r="AE1031"/>
      <c r="AF1031"/>
      <c r="AG1031"/>
      <c r="AH1031"/>
      <c r="AI1031"/>
      <c r="AJ1031"/>
      <c r="AK1031"/>
      <c r="AL1031"/>
      <c r="AM1031"/>
      <c r="AN1031"/>
      <c r="AO1031"/>
      <c r="AP1031"/>
      <c r="AQ1031"/>
      <c r="AR1031"/>
      <c r="AS1031"/>
      <c r="AT1031"/>
      <c r="AU1031"/>
      <c r="AV1031"/>
      <c r="AW1031"/>
      <c r="AX1031"/>
      <c r="AY1031"/>
      <c r="AZ1031"/>
      <c r="BA1031"/>
      <c r="BB1031"/>
      <c r="BC1031"/>
      <c r="BD1031"/>
      <c r="BE1031"/>
      <c r="BF1031"/>
      <c r="BG1031"/>
      <c r="BH1031"/>
      <c r="BI1031"/>
      <c r="BJ1031"/>
      <c r="BK1031"/>
      <c r="BL1031"/>
      <c r="BM1031"/>
      <c r="BN1031"/>
      <c r="BO1031"/>
      <c r="BP1031"/>
      <c r="BQ1031"/>
      <c r="BR1031"/>
      <c r="BS1031"/>
      <c r="BT1031"/>
      <c r="BU1031"/>
      <c r="BV1031"/>
      <c r="BW1031"/>
      <c r="BX1031"/>
    </row>
    <row r="1032" spans="1:76">
      <c r="A1032" s="7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  <c r="AA1032"/>
      <c r="AB1032"/>
      <c r="AC1032"/>
      <c r="AD1032"/>
      <c r="AE1032"/>
      <c r="AF1032"/>
      <c r="AG1032"/>
      <c r="AH1032"/>
      <c r="AI1032"/>
      <c r="AJ1032"/>
      <c r="AK1032"/>
      <c r="AL1032"/>
      <c r="AM1032"/>
      <c r="AN1032"/>
      <c r="AO1032"/>
      <c r="AP1032"/>
      <c r="AQ1032"/>
      <c r="AR1032"/>
      <c r="AS1032"/>
      <c r="AT1032"/>
      <c r="AU1032"/>
      <c r="AV1032"/>
      <c r="AW1032"/>
      <c r="AX1032"/>
      <c r="AY1032"/>
      <c r="AZ1032"/>
      <c r="BA1032"/>
      <c r="BB1032"/>
      <c r="BC1032"/>
      <c r="BD1032"/>
      <c r="BE1032"/>
      <c r="BF1032"/>
      <c r="BG1032"/>
      <c r="BH1032"/>
      <c r="BI1032"/>
      <c r="BJ1032"/>
      <c r="BK1032"/>
      <c r="BL1032"/>
      <c r="BM1032"/>
      <c r="BN1032"/>
      <c r="BO1032"/>
      <c r="BP1032"/>
      <c r="BQ1032"/>
      <c r="BR1032"/>
      <c r="BS1032"/>
      <c r="BT1032"/>
      <c r="BU1032"/>
      <c r="BV1032"/>
      <c r="BW1032"/>
      <c r="BX1032"/>
    </row>
    <row r="1033" spans="1:76">
      <c r="A1033" s="72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/>
      <c r="AF1033"/>
      <c r="AG1033"/>
      <c r="AH1033"/>
      <c r="AI1033"/>
      <c r="AJ1033"/>
      <c r="AK1033"/>
      <c r="AL1033"/>
      <c r="AM1033"/>
      <c r="AN1033"/>
      <c r="AO1033"/>
      <c r="AP1033"/>
      <c r="AQ1033"/>
      <c r="AR1033"/>
      <c r="AS1033"/>
      <c r="AT1033"/>
      <c r="AU1033"/>
      <c r="AV1033"/>
      <c r="AW1033"/>
      <c r="AX1033"/>
      <c r="AY1033"/>
      <c r="AZ1033"/>
      <c r="BA1033"/>
      <c r="BB1033"/>
      <c r="BC1033"/>
      <c r="BD1033"/>
      <c r="BE1033"/>
      <c r="BF1033"/>
      <c r="BG1033"/>
      <c r="BH1033"/>
      <c r="BI1033"/>
      <c r="BJ1033"/>
      <c r="BK1033"/>
      <c r="BL1033"/>
      <c r="BM1033"/>
      <c r="BN1033"/>
      <c r="BO1033"/>
      <c r="BP1033"/>
      <c r="BQ1033"/>
      <c r="BR1033"/>
      <c r="BS1033"/>
      <c r="BT1033"/>
      <c r="BU1033"/>
      <c r="BV1033"/>
      <c r="BW1033"/>
      <c r="BX1033"/>
    </row>
    <row r="1034" spans="1:76">
      <c r="A1034" s="72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  <c r="AD1034"/>
      <c r="AE1034"/>
      <c r="AF1034"/>
      <c r="AG1034"/>
      <c r="AH1034"/>
      <c r="AI1034"/>
      <c r="AJ1034"/>
      <c r="AK1034"/>
      <c r="AL1034"/>
      <c r="AM1034"/>
      <c r="AN1034"/>
      <c r="AO1034"/>
      <c r="AP1034"/>
      <c r="AQ1034"/>
      <c r="AR1034"/>
      <c r="AS1034"/>
      <c r="AT1034"/>
      <c r="AU1034"/>
      <c r="AV1034"/>
      <c r="AW1034"/>
      <c r="AX1034"/>
      <c r="AY1034"/>
      <c r="AZ1034"/>
      <c r="BA1034"/>
      <c r="BB1034"/>
      <c r="BC1034"/>
      <c r="BD1034"/>
      <c r="BE1034"/>
      <c r="BF1034"/>
      <c r="BG1034"/>
      <c r="BH1034"/>
      <c r="BI1034"/>
      <c r="BJ1034"/>
      <c r="BK1034"/>
      <c r="BL1034"/>
      <c r="BM1034"/>
      <c r="BN1034"/>
      <c r="BO1034"/>
      <c r="BP1034"/>
      <c r="BQ1034"/>
      <c r="BR1034"/>
      <c r="BS1034"/>
      <c r="BT1034"/>
      <c r="BU1034"/>
      <c r="BV1034"/>
      <c r="BW1034"/>
      <c r="BX1034"/>
    </row>
    <row r="1035" spans="1:76">
      <c r="A1035" s="72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  <c r="AA1035"/>
      <c r="AB1035"/>
      <c r="AC1035"/>
      <c r="AD1035"/>
      <c r="AE1035"/>
      <c r="AF1035"/>
      <c r="AG1035"/>
      <c r="AH1035"/>
      <c r="AI1035"/>
      <c r="AJ1035"/>
      <c r="AK1035"/>
      <c r="AL1035"/>
      <c r="AM1035"/>
      <c r="AN1035"/>
      <c r="AO1035"/>
      <c r="AP1035"/>
      <c r="AQ1035"/>
      <c r="AR1035"/>
      <c r="AS1035"/>
      <c r="AT1035"/>
      <c r="AU1035"/>
      <c r="AV1035"/>
      <c r="AW1035"/>
      <c r="AX1035"/>
      <c r="AY1035"/>
      <c r="AZ1035"/>
      <c r="BA1035"/>
      <c r="BB1035"/>
      <c r="BC1035"/>
      <c r="BD1035"/>
      <c r="BE1035"/>
      <c r="BF1035"/>
      <c r="BG1035"/>
      <c r="BH1035"/>
      <c r="BI1035"/>
      <c r="BJ1035"/>
      <c r="BK1035"/>
      <c r="BL1035"/>
      <c r="BM1035"/>
      <c r="BN1035"/>
      <c r="BO1035"/>
      <c r="BP1035"/>
      <c r="BQ1035"/>
      <c r="BR1035"/>
      <c r="BS1035"/>
      <c r="BT1035"/>
      <c r="BU1035"/>
      <c r="BV1035"/>
      <c r="BW1035"/>
      <c r="BX1035"/>
    </row>
    <row r="1036" spans="1:76">
      <c r="A1036" s="72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/>
      <c r="AF1036"/>
      <c r="AG1036"/>
      <c r="AH1036"/>
      <c r="AI1036"/>
      <c r="AJ1036"/>
      <c r="AK1036"/>
      <c r="AL1036"/>
      <c r="AM1036"/>
      <c r="AN1036"/>
      <c r="AO1036"/>
      <c r="AP1036"/>
      <c r="AQ1036"/>
      <c r="AR1036"/>
      <c r="AS1036"/>
      <c r="AT1036"/>
      <c r="AU1036"/>
      <c r="AV1036"/>
      <c r="AW1036"/>
      <c r="AX1036"/>
      <c r="AY1036"/>
      <c r="AZ1036"/>
      <c r="BA1036"/>
      <c r="BB1036"/>
      <c r="BC1036"/>
      <c r="BD1036"/>
      <c r="BE1036"/>
      <c r="BF1036"/>
      <c r="BG1036"/>
      <c r="BH1036"/>
      <c r="BI1036"/>
      <c r="BJ1036"/>
      <c r="BK1036"/>
      <c r="BL1036"/>
      <c r="BM1036"/>
      <c r="BN1036"/>
      <c r="BO1036"/>
      <c r="BP1036"/>
      <c r="BQ1036"/>
      <c r="BR1036"/>
      <c r="BS1036"/>
      <c r="BT1036"/>
      <c r="BU1036"/>
      <c r="BV1036"/>
      <c r="BW1036"/>
      <c r="BX1036"/>
    </row>
    <row r="1037" spans="1:76">
      <c r="A1037" s="72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  <c r="AD1037"/>
      <c r="AE1037"/>
      <c r="AF1037"/>
      <c r="AG1037"/>
      <c r="AH1037"/>
      <c r="AI1037"/>
      <c r="AJ1037"/>
      <c r="AK1037"/>
      <c r="AL1037"/>
      <c r="AM1037"/>
      <c r="AN1037"/>
      <c r="AO1037"/>
      <c r="AP1037"/>
      <c r="AQ1037"/>
      <c r="AR1037"/>
      <c r="AS1037"/>
      <c r="AT1037"/>
      <c r="AU1037"/>
      <c r="AV1037"/>
      <c r="AW1037"/>
      <c r="AX1037"/>
      <c r="AY1037"/>
      <c r="AZ1037"/>
      <c r="BA1037"/>
      <c r="BB1037"/>
      <c r="BC1037"/>
      <c r="BD1037"/>
      <c r="BE1037"/>
      <c r="BF1037"/>
      <c r="BG1037"/>
      <c r="BH1037"/>
      <c r="BI1037"/>
      <c r="BJ1037"/>
      <c r="BK1037"/>
      <c r="BL1037"/>
      <c r="BM1037"/>
      <c r="BN1037"/>
      <c r="BO1037"/>
      <c r="BP1037"/>
      <c r="BQ1037"/>
      <c r="BR1037"/>
      <c r="BS1037"/>
      <c r="BT1037"/>
      <c r="BU1037"/>
      <c r="BV1037"/>
      <c r="BW1037"/>
      <c r="BX1037"/>
    </row>
    <row r="1038" spans="1:76">
      <c r="A1038" s="72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  <c r="AE1038"/>
      <c r="AF1038"/>
      <c r="AG1038"/>
      <c r="AH1038"/>
      <c r="AI1038"/>
      <c r="AJ1038"/>
      <c r="AK1038"/>
      <c r="AL1038"/>
      <c r="AM1038"/>
      <c r="AN1038"/>
      <c r="AO1038"/>
      <c r="AP1038"/>
      <c r="AQ1038"/>
      <c r="AR1038"/>
      <c r="AS1038"/>
      <c r="AT1038"/>
      <c r="AU1038"/>
      <c r="AV1038"/>
      <c r="AW1038"/>
      <c r="AX1038"/>
      <c r="AY1038"/>
      <c r="AZ1038"/>
      <c r="BA1038"/>
      <c r="BB1038"/>
      <c r="BC1038"/>
      <c r="BD1038"/>
      <c r="BE1038"/>
      <c r="BF1038"/>
      <c r="BG1038"/>
      <c r="BH1038"/>
      <c r="BI1038"/>
      <c r="BJ1038"/>
      <c r="BK1038"/>
      <c r="BL1038"/>
      <c r="BM1038"/>
      <c r="BN1038"/>
      <c r="BO1038"/>
      <c r="BP1038"/>
      <c r="BQ1038"/>
      <c r="BR1038"/>
      <c r="BS1038"/>
      <c r="BT1038"/>
      <c r="BU1038"/>
      <c r="BV1038"/>
      <c r="BW1038"/>
      <c r="BX1038"/>
    </row>
    <row r="1039" spans="1:76">
      <c r="A1039" s="72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  <c r="AA1039"/>
      <c r="AB1039"/>
      <c r="AC1039"/>
      <c r="AD1039"/>
      <c r="AE1039"/>
      <c r="AF1039"/>
      <c r="AG1039"/>
      <c r="AH1039"/>
      <c r="AI1039"/>
      <c r="AJ1039"/>
      <c r="AK1039"/>
      <c r="AL1039"/>
      <c r="AM1039"/>
      <c r="AN1039"/>
      <c r="AO1039"/>
      <c r="AP1039"/>
      <c r="AQ1039"/>
      <c r="AR1039"/>
      <c r="AS1039"/>
      <c r="AT1039"/>
      <c r="AU1039"/>
      <c r="AV1039"/>
      <c r="AW1039"/>
      <c r="AX1039"/>
      <c r="AY1039"/>
      <c r="AZ1039"/>
      <c r="BA1039"/>
      <c r="BB1039"/>
      <c r="BC1039"/>
      <c r="BD1039"/>
      <c r="BE1039"/>
      <c r="BF1039"/>
      <c r="BG1039"/>
      <c r="BH1039"/>
      <c r="BI1039"/>
      <c r="BJ1039"/>
      <c r="BK1039"/>
      <c r="BL1039"/>
      <c r="BM1039"/>
      <c r="BN1039"/>
      <c r="BO1039"/>
      <c r="BP1039"/>
      <c r="BQ1039"/>
      <c r="BR1039"/>
      <c r="BS1039"/>
      <c r="BT1039"/>
      <c r="BU1039"/>
      <c r="BV1039"/>
      <c r="BW1039"/>
      <c r="BX1039"/>
    </row>
    <row r="1040" spans="1:76">
      <c r="A1040" s="72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/>
      <c r="AF1040"/>
      <c r="AG1040"/>
      <c r="AH1040"/>
      <c r="AI1040"/>
      <c r="AJ1040"/>
      <c r="AK1040"/>
      <c r="AL1040"/>
      <c r="AM1040"/>
      <c r="AN1040"/>
      <c r="AO1040"/>
      <c r="AP1040"/>
      <c r="AQ1040"/>
      <c r="AR1040"/>
      <c r="AS1040"/>
      <c r="AT1040"/>
      <c r="AU1040"/>
      <c r="AV1040"/>
      <c r="AW1040"/>
      <c r="AX1040"/>
      <c r="AY1040"/>
      <c r="AZ1040"/>
      <c r="BA1040"/>
      <c r="BB1040"/>
      <c r="BC1040"/>
      <c r="BD1040"/>
      <c r="BE1040"/>
      <c r="BF1040"/>
      <c r="BG1040"/>
      <c r="BH1040"/>
      <c r="BI1040"/>
      <c r="BJ1040"/>
      <c r="BK1040"/>
      <c r="BL1040"/>
      <c r="BM1040"/>
      <c r="BN1040"/>
      <c r="BO1040"/>
      <c r="BP1040"/>
      <c r="BQ1040"/>
      <c r="BR1040"/>
      <c r="BS1040"/>
      <c r="BT1040"/>
      <c r="BU1040"/>
      <c r="BV1040"/>
      <c r="BW1040"/>
      <c r="BX1040"/>
    </row>
    <row r="1041" spans="1:76">
      <c r="A1041" s="72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  <c r="AD1041"/>
      <c r="AE1041"/>
      <c r="AF1041"/>
      <c r="AG1041"/>
      <c r="AH1041"/>
      <c r="AI1041"/>
      <c r="AJ1041"/>
      <c r="AK1041"/>
      <c r="AL1041"/>
      <c r="AM1041"/>
      <c r="AN1041"/>
      <c r="AO1041"/>
      <c r="AP1041"/>
      <c r="AQ1041"/>
      <c r="AR1041"/>
      <c r="AS1041"/>
      <c r="AT1041"/>
      <c r="AU1041"/>
      <c r="AV1041"/>
      <c r="AW1041"/>
      <c r="AX1041"/>
      <c r="AY1041"/>
      <c r="AZ1041"/>
      <c r="BA1041"/>
      <c r="BB1041"/>
      <c r="BC1041"/>
      <c r="BD1041"/>
      <c r="BE1041"/>
      <c r="BF1041"/>
      <c r="BG1041"/>
      <c r="BH1041"/>
      <c r="BI1041"/>
      <c r="BJ1041"/>
      <c r="BK1041"/>
      <c r="BL1041"/>
      <c r="BM1041"/>
      <c r="BN1041"/>
      <c r="BO1041"/>
      <c r="BP1041"/>
      <c r="BQ1041"/>
      <c r="BR1041"/>
      <c r="BS1041"/>
      <c r="BT1041"/>
      <c r="BU1041"/>
      <c r="BV1041"/>
      <c r="BW1041"/>
      <c r="BX1041"/>
    </row>
    <row r="1042" spans="1:76">
      <c r="A1042" s="7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/>
      <c r="AF1042"/>
      <c r="AG1042"/>
      <c r="AH1042"/>
      <c r="AI1042"/>
      <c r="AJ1042"/>
      <c r="AK1042"/>
      <c r="AL1042"/>
      <c r="AM1042"/>
      <c r="AN1042"/>
      <c r="AO1042"/>
      <c r="AP1042"/>
      <c r="AQ1042"/>
      <c r="AR1042"/>
      <c r="AS1042"/>
      <c r="AT1042"/>
      <c r="AU1042"/>
      <c r="AV1042"/>
      <c r="AW1042"/>
      <c r="AX1042"/>
      <c r="AY1042"/>
      <c r="AZ1042"/>
      <c r="BA1042"/>
      <c r="BB1042"/>
      <c r="BC1042"/>
      <c r="BD1042"/>
      <c r="BE1042"/>
      <c r="BF1042"/>
      <c r="BG1042"/>
      <c r="BH1042"/>
      <c r="BI1042"/>
      <c r="BJ1042"/>
      <c r="BK1042"/>
      <c r="BL1042"/>
      <c r="BM1042"/>
      <c r="BN1042"/>
      <c r="BO1042"/>
      <c r="BP1042"/>
      <c r="BQ1042"/>
      <c r="BR1042"/>
      <c r="BS1042"/>
      <c r="BT1042"/>
      <c r="BU1042"/>
      <c r="BV1042"/>
      <c r="BW1042"/>
      <c r="BX1042"/>
    </row>
    <row r="1043" spans="1:76">
      <c r="A1043" s="72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  <c r="AD1043"/>
      <c r="AE1043"/>
      <c r="AF1043"/>
      <c r="AG1043"/>
      <c r="AH1043"/>
      <c r="AI1043"/>
      <c r="AJ1043"/>
      <c r="AK1043"/>
      <c r="AL1043"/>
      <c r="AM1043"/>
      <c r="AN1043"/>
      <c r="AO1043"/>
      <c r="AP1043"/>
      <c r="AQ1043"/>
      <c r="AR1043"/>
      <c r="AS1043"/>
      <c r="AT1043"/>
      <c r="AU1043"/>
      <c r="AV1043"/>
      <c r="AW1043"/>
      <c r="AX1043"/>
      <c r="AY1043"/>
      <c r="AZ1043"/>
      <c r="BA1043"/>
      <c r="BB1043"/>
      <c r="BC1043"/>
      <c r="BD1043"/>
      <c r="BE1043"/>
      <c r="BF1043"/>
      <c r="BG1043"/>
      <c r="BH1043"/>
      <c r="BI1043"/>
      <c r="BJ1043"/>
      <c r="BK1043"/>
      <c r="BL1043"/>
      <c r="BM1043"/>
      <c r="BN1043"/>
      <c r="BO1043"/>
      <c r="BP1043"/>
      <c r="BQ1043"/>
      <c r="BR1043"/>
      <c r="BS1043"/>
      <c r="BT1043"/>
      <c r="BU1043"/>
      <c r="BV1043"/>
      <c r="BW1043"/>
      <c r="BX1043"/>
    </row>
    <row r="1044" spans="1:76">
      <c r="A1044" s="72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  <c r="AD1044"/>
      <c r="AE1044"/>
      <c r="AF1044"/>
      <c r="AG1044"/>
      <c r="AH1044"/>
      <c r="AI1044"/>
      <c r="AJ1044"/>
      <c r="AK1044"/>
      <c r="AL1044"/>
      <c r="AM1044"/>
      <c r="AN1044"/>
      <c r="AO1044"/>
      <c r="AP1044"/>
      <c r="AQ1044"/>
      <c r="AR1044"/>
      <c r="AS1044"/>
      <c r="AT1044"/>
      <c r="AU1044"/>
      <c r="AV1044"/>
      <c r="AW1044"/>
      <c r="AX1044"/>
      <c r="AY1044"/>
      <c r="AZ1044"/>
      <c r="BA1044"/>
      <c r="BB1044"/>
      <c r="BC1044"/>
      <c r="BD1044"/>
      <c r="BE1044"/>
      <c r="BF1044"/>
      <c r="BG1044"/>
      <c r="BH1044"/>
      <c r="BI1044"/>
      <c r="BJ1044"/>
      <c r="BK1044"/>
      <c r="BL1044"/>
      <c r="BM1044"/>
      <c r="BN1044"/>
      <c r="BO1044"/>
      <c r="BP1044"/>
      <c r="BQ1044"/>
      <c r="BR1044"/>
      <c r="BS1044"/>
      <c r="BT1044"/>
      <c r="BU1044"/>
      <c r="BV1044"/>
      <c r="BW1044"/>
      <c r="BX1044"/>
    </row>
    <row r="1045" spans="1:76">
      <c r="A1045" s="72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  <c r="AD1045"/>
      <c r="AE1045"/>
      <c r="AF1045"/>
      <c r="AG1045"/>
      <c r="AH1045"/>
      <c r="AI1045"/>
      <c r="AJ1045"/>
      <c r="AK1045"/>
      <c r="AL1045"/>
      <c r="AM1045"/>
      <c r="AN1045"/>
      <c r="AO1045"/>
      <c r="AP1045"/>
      <c r="AQ1045"/>
      <c r="AR1045"/>
      <c r="AS1045"/>
      <c r="AT1045"/>
      <c r="AU1045"/>
      <c r="AV1045"/>
      <c r="AW1045"/>
      <c r="AX1045"/>
      <c r="AY1045"/>
      <c r="AZ1045"/>
      <c r="BA1045"/>
      <c r="BB1045"/>
      <c r="BC1045"/>
      <c r="BD1045"/>
      <c r="BE1045"/>
      <c r="BF1045"/>
      <c r="BG1045"/>
      <c r="BH1045"/>
      <c r="BI1045"/>
      <c r="BJ1045"/>
      <c r="BK1045"/>
      <c r="BL1045"/>
      <c r="BM1045"/>
      <c r="BN1045"/>
      <c r="BO1045"/>
      <c r="BP1045"/>
      <c r="BQ1045"/>
      <c r="BR1045"/>
      <c r="BS1045"/>
      <c r="BT1045"/>
      <c r="BU1045"/>
      <c r="BV1045"/>
      <c r="BW1045"/>
      <c r="BX1045"/>
    </row>
    <row r="1046" spans="1:76">
      <c r="A1046" s="72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  <c r="AD1046"/>
      <c r="AE1046"/>
      <c r="AF1046"/>
      <c r="AG1046"/>
      <c r="AH1046"/>
      <c r="AI1046"/>
      <c r="AJ1046"/>
      <c r="AK1046"/>
      <c r="AL1046"/>
      <c r="AM1046"/>
      <c r="AN1046"/>
      <c r="AO1046"/>
      <c r="AP1046"/>
      <c r="AQ1046"/>
      <c r="AR1046"/>
      <c r="AS1046"/>
      <c r="AT1046"/>
      <c r="AU1046"/>
      <c r="AV1046"/>
      <c r="AW1046"/>
      <c r="AX1046"/>
      <c r="AY1046"/>
      <c r="AZ1046"/>
      <c r="BA1046"/>
      <c r="BB1046"/>
      <c r="BC1046"/>
      <c r="BD1046"/>
      <c r="BE1046"/>
      <c r="BF1046"/>
      <c r="BG1046"/>
      <c r="BH1046"/>
      <c r="BI1046"/>
      <c r="BJ1046"/>
      <c r="BK1046"/>
      <c r="BL1046"/>
      <c r="BM1046"/>
      <c r="BN1046"/>
      <c r="BO1046"/>
      <c r="BP1046"/>
      <c r="BQ1046"/>
      <c r="BR1046"/>
      <c r="BS1046"/>
      <c r="BT1046"/>
      <c r="BU1046"/>
      <c r="BV1046"/>
      <c r="BW1046"/>
      <c r="BX1046"/>
    </row>
    <row r="1047" spans="1:76">
      <c r="A1047" s="72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/>
      <c r="AF1047"/>
      <c r="AG1047"/>
      <c r="AH1047"/>
      <c r="AI1047"/>
      <c r="AJ1047"/>
      <c r="AK1047"/>
      <c r="AL1047"/>
      <c r="AM1047"/>
      <c r="AN1047"/>
      <c r="AO1047"/>
      <c r="AP1047"/>
      <c r="AQ1047"/>
      <c r="AR1047"/>
      <c r="AS1047"/>
      <c r="AT1047"/>
      <c r="AU1047"/>
      <c r="AV1047"/>
      <c r="AW1047"/>
      <c r="AX1047"/>
      <c r="AY1047"/>
      <c r="AZ1047"/>
      <c r="BA1047"/>
      <c r="BB1047"/>
      <c r="BC1047"/>
      <c r="BD1047"/>
      <c r="BE1047"/>
      <c r="BF1047"/>
      <c r="BG1047"/>
      <c r="BH1047"/>
      <c r="BI1047"/>
      <c r="BJ1047"/>
      <c r="BK1047"/>
      <c r="BL1047"/>
      <c r="BM1047"/>
      <c r="BN1047"/>
      <c r="BO1047"/>
      <c r="BP1047"/>
      <c r="BQ1047"/>
      <c r="BR1047"/>
      <c r="BS1047"/>
      <c r="BT1047"/>
      <c r="BU1047"/>
      <c r="BV1047"/>
      <c r="BW1047"/>
      <c r="BX1047"/>
    </row>
    <row r="1048" spans="1:76">
      <c r="A1048" s="72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  <c r="AA1048"/>
      <c r="AB1048"/>
      <c r="AC1048"/>
      <c r="AD1048"/>
      <c r="AE1048"/>
      <c r="AF1048"/>
      <c r="AG1048"/>
      <c r="AH1048"/>
      <c r="AI1048"/>
      <c r="AJ1048"/>
      <c r="AK1048"/>
      <c r="AL1048"/>
      <c r="AM1048"/>
      <c r="AN1048"/>
      <c r="AO1048"/>
      <c r="AP1048"/>
      <c r="AQ1048"/>
      <c r="AR1048"/>
      <c r="AS1048"/>
      <c r="AT1048"/>
      <c r="AU1048"/>
      <c r="AV1048"/>
      <c r="AW1048"/>
      <c r="AX1048"/>
      <c r="AY1048"/>
      <c r="AZ1048"/>
      <c r="BA1048"/>
      <c r="BB1048"/>
      <c r="BC1048"/>
      <c r="BD1048"/>
      <c r="BE1048"/>
      <c r="BF1048"/>
      <c r="BG1048"/>
      <c r="BH1048"/>
      <c r="BI1048"/>
      <c r="BJ1048"/>
      <c r="BK1048"/>
      <c r="BL1048"/>
      <c r="BM1048"/>
      <c r="BN1048"/>
      <c r="BO1048"/>
      <c r="BP1048"/>
      <c r="BQ1048"/>
      <c r="BR1048"/>
      <c r="BS1048"/>
      <c r="BT1048"/>
      <c r="BU1048"/>
      <c r="BV1048"/>
      <c r="BW1048"/>
      <c r="BX1048"/>
    </row>
    <row r="1049" spans="1:76">
      <c r="A1049" s="72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/>
      <c r="AF1049"/>
      <c r="AG1049"/>
      <c r="AH1049"/>
      <c r="AI1049"/>
      <c r="AJ1049"/>
      <c r="AK1049"/>
      <c r="AL1049"/>
      <c r="AM1049"/>
      <c r="AN1049"/>
      <c r="AO1049"/>
      <c r="AP1049"/>
      <c r="AQ1049"/>
      <c r="AR1049"/>
      <c r="AS1049"/>
      <c r="AT1049"/>
      <c r="AU1049"/>
      <c r="AV1049"/>
      <c r="AW1049"/>
      <c r="AX1049"/>
      <c r="AY1049"/>
      <c r="AZ1049"/>
      <c r="BA1049"/>
      <c r="BB1049"/>
      <c r="BC1049"/>
      <c r="BD1049"/>
      <c r="BE1049"/>
      <c r="BF1049"/>
      <c r="BG1049"/>
      <c r="BH1049"/>
      <c r="BI1049"/>
      <c r="BJ1049"/>
      <c r="BK1049"/>
      <c r="BL1049"/>
      <c r="BM1049"/>
      <c r="BN1049"/>
      <c r="BO1049"/>
      <c r="BP1049"/>
      <c r="BQ1049"/>
      <c r="BR1049"/>
      <c r="BS1049"/>
      <c r="BT1049"/>
      <c r="BU1049"/>
      <c r="BV1049"/>
      <c r="BW1049"/>
      <c r="BX1049"/>
    </row>
    <row r="1050" spans="1:76">
      <c r="A1050" s="72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  <c r="AD1050"/>
      <c r="AE1050"/>
      <c r="AF1050"/>
      <c r="AG1050"/>
      <c r="AH1050"/>
      <c r="AI1050"/>
      <c r="AJ1050"/>
      <c r="AK1050"/>
      <c r="AL1050"/>
      <c r="AM1050"/>
      <c r="AN1050"/>
      <c r="AO1050"/>
      <c r="AP1050"/>
      <c r="AQ1050"/>
      <c r="AR1050"/>
      <c r="AS1050"/>
      <c r="AT1050"/>
      <c r="AU1050"/>
      <c r="AV1050"/>
      <c r="AW1050"/>
      <c r="AX1050"/>
      <c r="AY1050"/>
      <c r="AZ1050"/>
      <c r="BA1050"/>
      <c r="BB1050"/>
      <c r="BC1050"/>
      <c r="BD1050"/>
      <c r="BE1050"/>
      <c r="BF1050"/>
      <c r="BG1050"/>
      <c r="BH1050"/>
      <c r="BI1050"/>
      <c r="BJ1050"/>
      <c r="BK1050"/>
      <c r="BL1050"/>
      <c r="BM1050"/>
      <c r="BN1050"/>
      <c r="BO1050"/>
      <c r="BP1050"/>
      <c r="BQ1050"/>
      <c r="BR1050"/>
      <c r="BS1050"/>
      <c r="BT1050"/>
      <c r="BU1050"/>
      <c r="BV1050"/>
      <c r="BW1050"/>
      <c r="BX1050"/>
    </row>
    <row r="1051" spans="1:76">
      <c r="A1051" s="72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/>
      <c r="AF1051"/>
      <c r="AG1051"/>
      <c r="AH1051"/>
      <c r="AI1051"/>
      <c r="AJ1051"/>
      <c r="AK1051"/>
      <c r="AL1051"/>
      <c r="AM1051"/>
      <c r="AN1051"/>
      <c r="AO1051"/>
      <c r="AP1051"/>
      <c r="AQ1051"/>
      <c r="AR1051"/>
      <c r="AS1051"/>
      <c r="AT1051"/>
      <c r="AU1051"/>
      <c r="AV1051"/>
      <c r="AW1051"/>
      <c r="AX1051"/>
      <c r="AY1051"/>
      <c r="AZ1051"/>
      <c r="BA1051"/>
      <c r="BB1051"/>
      <c r="BC1051"/>
      <c r="BD1051"/>
      <c r="BE1051"/>
      <c r="BF1051"/>
      <c r="BG1051"/>
      <c r="BH1051"/>
      <c r="BI1051"/>
      <c r="BJ1051"/>
      <c r="BK1051"/>
      <c r="BL1051"/>
      <c r="BM1051"/>
      <c r="BN1051"/>
      <c r="BO1051"/>
      <c r="BP1051"/>
      <c r="BQ1051"/>
      <c r="BR1051"/>
      <c r="BS1051"/>
      <c r="BT1051"/>
      <c r="BU1051"/>
      <c r="BV1051"/>
      <c r="BW1051"/>
      <c r="BX1051"/>
    </row>
    <row r="1052" spans="1:76">
      <c r="A1052" s="72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  <c r="AD1052"/>
      <c r="AE1052"/>
      <c r="AF1052"/>
      <c r="AG1052"/>
      <c r="AH1052"/>
      <c r="AI1052"/>
      <c r="AJ1052"/>
      <c r="AK1052"/>
      <c r="AL1052"/>
      <c r="AM1052"/>
      <c r="AN1052"/>
      <c r="AO1052"/>
      <c r="AP1052"/>
      <c r="AQ1052"/>
      <c r="AR1052"/>
      <c r="AS1052"/>
      <c r="AT1052"/>
      <c r="AU1052"/>
      <c r="AV1052"/>
      <c r="AW1052"/>
      <c r="AX1052"/>
      <c r="AY1052"/>
      <c r="AZ1052"/>
      <c r="BA1052"/>
      <c r="BB1052"/>
      <c r="BC1052"/>
      <c r="BD1052"/>
      <c r="BE1052"/>
      <c r="BF1052"/>
      <c r="BG1052"/>
      <c r="BH1052"/>
      <c r="BI1052"/>
      <c r="BJ1052"/>
      <c r="BK1052"/>
      <c r="BL1052"/>
      <c r="BM1052"/>
      <c r="BN1052"/>
      <c r="BO1052"/>
      <c r="BP1052"/>
      <c r="BQ1052"/>
      <c r="BR1052"/>
      <c r="BS1052"/>
      <c r="BT1052"/>
      <c r="BU1052"/>
      <c r="BV1052"/>
      <c r="BW1052"/>
      <c r="BX1052"/>
    </row>
    <row r="1053" spans="1:76">
      <c r="A1053" s="72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  <c r="AD1053"/>
      <c r="AE1053"/>
      <c r="AF1053"/>
      <c r="AG1053"/>
      <c r="AH1053"/>
      <c r="AI1053"/>
      <c r="AJ1053"/>
      <c r="AK1053"/>
      <c r="AL1053"/>
      <c r="AM1053"/>
      <c r="AN1053"/>
      <c r="AO1053"/>
      <c r="AP1053"/>
      <c r="AQ1053"/>
      <c r="AR1053"/>
      <c r="AS1053"/>
      <c r="AT1053"/>
      <c r="AU1053"/>
      <c r="AV1053"/>
      <c r="AW1053"/>
      <c r="AX1053"/>
      <c r="AY1053"/>
      <c r="AZ1053"/>
      <c r="BA1053"/>
      <c r="BB1053"/>
      <c r="BC1053"/>
      <c r="BD1053"/>
      <c r="BE1053"/>
      <c r="BF1053"/>
      <c r="BG1053"/>
      <c r="BH1053"/>
      <c r="BI1053"/>
      <c r="BJ1053"/>
      <c r="BK1053"/>
      <c r="BL1053"/>
      <c r="BM1053"/>
      <c r="BN1053"/>
      <c r="BO1053"/>
      <c r="BP1053"/>
      <c r="BQ1053"/>
      <c r="BR1053"/>
      <c r="BS1053"/>
      <c r="BT1053"/>
      <c r="BU1053"/>
      <c r="BV1053"/>
      <c r="BW1053"/>
      <c r="BX1053"/>
    </row>
    <row r="1054" spans="1:76">
      <c r="A1054" s="72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  <c r="AD1054"/>
      <c r="AE1054"/>
      <c r="AF1054"/>
      <c r="AG1054"/>
      <c r="AH1054"/>
      <c r="AI1054"/>
      <c r="AJ1054"/>
      <c r="AK1054"/>
      <c r="AL1054"/>
      <c r="AM1054"/>
      <c r="AN1054"/>
      <c r="AO1054"/>
      <c r="AP1054"/>
      <c r="AQ1054"/>
      <c r="AR1054"/>
      <c r="AS1054"/>
      <c r="AT1054"/>
      <c r="AU1054"/>
      <c r="AV1054"/>
      <c r="AW1054"/>
      <c r="AX1054"/>
      <c r="AY1054"/>
      <c r="AZ1054"/>
      <c r="BA1054"/>
      <c r="BB1054"/>
      <c r="BC1054"/>
      <c r="BD1054"/>
      <c r="BE1054"/>
      <c r="BF1054"/>
      <c r="BG1054"/>
      <c r="BH1054"/>
      <c r="BI1054"/>
      <c r="BJ1054"/>
      <c r="BK1054"/>
      <c r="BL1054"/>
      <c r="BM1054"/>
      <c r="BN1054"/>
      <c r="BO1054"/>
      <c r="BP1054"/>
      <c r="BQ1054"/>
      <c r="BR1054"/>
      <c r="BS1054"/>
      <c r="BT1054"/>
      <c r="BU1054"/>
      <c r="BV1054"/>
      <c r="BW1054"/>
      <c r="BX1054"/>
    </row>
    <row r="1055" spans="1:76">
      <c r="A1055" s="72"/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  <c r="AD1055"/>
      <c r="AE1055"/>
      <c r="AF1055"/>
      <c r="AG1055"/>
      <c r="AH1055"/>
      <c r="AI1055"/>
      <c r="AJ1055"/>
      <c r="AK1055"/>
      <c r="AL1055"/>
      <c r="AM1055"/>
      <c r="AN1055"/>
      <c r="AO1055"/>
      <c r="AP1055"/>
      <c r="AQ1055"/>
      <c r="AR1055"/>
      <c r="AS1055"/>
      <c r="AT1055"/>
      <c r="AU1055"/>
      <c r="AV1055"/>
      <c r="AW1055"/>
      <c r="AX1055"/>
      <c r="AY1055"/>
      <c r="AZ1055"/>
      <c r="BA1055"/>
      <c r="BB1055"/>
      <c r="BC1055"/>
      <c r="BD1055"/>
      <c r="BE1055"/>
      <c r="BF1055"/>
      <c r="BG1055"/>
      <c r="BH1055"/>
      <c r="BI1055"/>
      <c r="BJ1055"/>
      <c r="BK1055"/>
      <c r="BL1055"/>
      <c r="BM1055"/>
      <c r="BN1055"/>
      <c r="BO1055"/>
      <c r="BP1055"/>
      <c r="BQ1055"/>
      <c r="BR1055"/>
      <c r="BS1055"/>
      <c r="BT1055"/>
      <c r="BU1055"/>
      <c r="BV1055"/>
      <c r="BW1055"/>
      <c r="BX1055"/>
    </row>
  </sheetData>
  <mergeCells count="7">
    <mergeCell ref="BW1:BX1"/>
    <mergeCell ref="H1:T1"/>
    <mergeCell ref="U1:AN1"/>
    <mergeCell ref="A1:G1"/>
    <mergeCell ref="BU1:BV1"/>
    <mergeCell ref="BC1:BT1"/>
    <mergeCell ref="AO1:BB1"/>
  </mergeCells>
  <pageMargins left="0.7" right="0.7" top="0.75" bottom="0.75" header="0.3" footer="0.3"/>
  <pageSetup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37"/>
  <sheetViews>
    <sheetView showGridLines="0" tabSelected="1" zoomScale="85" zoomScaleNormal="70" workbookViewId="0">
      <selection activeCell="AJ3" sqref="AJ3:AK3"/>
    </sheetView>
  </sheetViews>
  <sheetFormatPr baseColWidth="10" defaultRowHeight="15"/>
  <cols>
    <col min="2" max="7" width="5.7109375" customWidth="1"/>
    <col min="8" max="8" width="5.7109375" style="2" customWidth="1"/>
    <col min="9" max="9" width="3.7109375" customWidth="1"/>
    <col min="11" max="16" width="5.7109375" customWidth="1"/>
    <col min="17" max="17" width="5.7109375" style="2" customWidth="1"/>
    <col min="18" max="18" width="3.7109375" customWidth="1"/>
    <col min="20" max="25" width="5.7109375" customWidth="1"/>
    <col min="26" max="26" width="5.7109375" style="2" customWidth="1"/>
    <col min="27" max="27" width="3.7109375" customWidth="1"/>
    <col min="29" max="34" width="5.7109375" customWidth="1"/>
    <col min="35" max="35" width="5.7109375" style="2" customWidth="1"/>
    <col min="36" max="36" width="20.140625" bestFit="1" customWidth="1"/>
    <col min="37" max="37" width="10.7109375" bestFit="1" customWidth="1"/>
    <col min="38" max="43" width="5.7109375" customWidth="1"/>
    <col min="44" max="44" width="3.7109375" customWidth="1"/>
    <col min="46" max="51" width="5.7109375" customWidth="1"/>
    <col min="54" max="59" width="5.7109375" customWidth="1"/>
  </cols>
  <sheetData>
    <row r="1" spans="1:37" s="2" customFormat="1" ht="32.25" customHeight="1">
      <c r="J1" s="83" t="s">
        <v>85</v>
      </c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J1" s="78" t="s">
        <v>86</v>
      </c>
      <c r="AK1" s="79"/>
    </row>
    <row r="2" spans="1:37" ht="18" customHeight="1" thickBot="1">
      <c r="A2" s="80" t="s">
        <v>87</v>
      </c>
      <c r="B2" s="81"/>
      <c r="C2" s="81"/>
      <c r="D2" s="81"/>
      <c r="E2" s="81"/>
      <c r="F2" s="81"/>
      <c r="G2" s="81"/>
      <c r="H2" s="81"/>
      <c r="J2" s="82" t="s">
        <v>88</v>
      </c>
      <c r="K2" s="81"/>
      <c r="L2" s="81"/>
      <c r="M2" s="81"/>
      <c r="N2" s="81"/>
      <c r="O2" s="86" t="s">
        <v>89</v>
      </c>
      <c r="P2" s="85"/>
      <c r="Q2" s="79"/>
      <c r="R2" s="85"/>
      <c r="S2" s="85"/>
      <c r="T2" s="85"/>
      <c r="U2" s="87" t="s">
        <v>90</v>
      </c>
      <c r="V2" s="81"/>
      <c r="W2" s="81"/>
      <c r="X2" s="81"/>
      <c r="Y2" s="81"/>
      <c r="Z2" s="81"/>
      <c r="AB2" s="80" t="s">
        <v>91</v>
      </c>
      <c r="AC2" s="81"/>
      <c r="AD2" s="81"/>
      <c r="AE2" s="81"/>
      <c r="AF2" s="81"/>
      <c r="AG2" s="81"/>
      <c r="AH2" s="81"/>
      <c r="AI2" s="81"/>
      <c r="AJ2" s="1" t="s">
        <v>10</v>
      </c>
      <c r="AK2" t="s">
        <v>92</v>
      </c>
    </row>
    <row r="3" spans="1:37" ht="15.75" customHeight="1" thickTop="1">
      <c r="A3" s="6" t="str">
        <f>CONCATENATE("TOTAL: ",SUM(B3:G3))</f>
        <v>TOTAL: 0</v>
      </c>
      <c r="B3" s="5">
        <f>SUM(EPV_PARALISIS_FLACIDA_AGUDA[D1])</f>
        <v>0</v>
      </c>
      <c r="C3" s="5">
        <f>SUM(EPV_PARALISIS_FLACIDA_AGUDA[D2])</f>
        <v>0</v>
      </c>
      <c r="D3" s="5">
        <f>SUM(EPV_PARALISIS_FLACIDA_AGUDA[D3])</f>
        <v>0</v>
      </c>
      <c r="E3" s="5">
        <f>SUM(EPV_PARALISIS_FLACIDA_AGUDA[D4])</f>
        <v>0</v>
      </c>
      <c r="F3" s="5">
        <f>SUM(EPV_PARALISIS_FLACIDA_AGUDA[D5])</f>
        <v>0</v>
      </c>
      <c r="G3" s="5">
        <f>SUM(EPV_PARALISIS_FLACIDA_AGUDA[D6])</f>
        <v>0</v>
      </c>
      <c r="H3" s="7"/>
      <c r="J3" s="6" t="str">
        <f>CONCATENATE("TOTAL: ",SUM(K3:P3))</f>
        <v>TOTAL: 0</v>
      </c>
      <c r="K3" s="5">
        <f>SUM(EPV_RUBEOLA[D1])</f>
        <v>0</v>
      </c>
      <c r="L3" s="5">
        <f>SUM(EPV_RUBEOLA[D2])</f>
        <v>0</v>
      </c>
      <c r="M3" s="5">
        <f>SUM(EPV_RUBEOLA[D3])</f>
        <v>0</v>
      </c>
      <c r="N3" s="5">
        <f>SUM(EPV_RUBEOLA[D4])</f>
        <v>0</v>
      </c>
      <c r="O3" s="5">
        <f>SUM(EPV_RUBEOLA[D5])</f>
        <v>0</v>
      </c>
      <c r="P3" s="5">
        <f>SUM(EPV_RUBEOLA[D6])</f>
        <v>0</v>
      </c>
      <c r="Q3" s="7"/>
      <c r="S3" s="6" t="str">
        <f>CONCATENATE("TOTAL: ",SUM(T3:Y3))</f>
        <v>TOTAL: 0</v>
      </c>
      <c r="T3" s="5">
        <f>SUM(EPV_SARAMPION[D1])</f>
        <v>0</v>
      </c>
      <c r="U3" s="5">
        <f>SUM(EPV_SARAMPION[D2])</f>
        <v>0</v>
      </c>
      <c r="V3" s="5">
        <f>SUM(EPV_SARAMPION[D3])</f>
        <v>0</v>
      </c>
      <c r="W3" s="5">
        <f>SUM(EPV_SARAMPION[D4])</f>
        <v>0</v>
      </c>
      <c r="X3" s="5">
        <f>SUM(EPV_SARAMPION[D5])</f>
        <v>0</v>
      </c>
      <c r="Y3" s="5">
        <f>SUM(EPV_SARAMPION[D6])</f>
        <v>0</v>
      </c>
      <c r="Z3" s="7"/>
      <c r="AB3" s="6" t="str">
        <f>CONCATENATE("TOTAL: ",SUM(AC3:AH3))</f>
        <v>TOTAL: 0</v>
      </c>
      <c r="AC3" s="5">
        <f>SUM(EPV_DIFTERIA[D1])</f>
        <v>0</v>
      </c>
      <c r="AD3" s="5">
        <f>SUM(EPV_DIFTERIA[D2])</f>
        <v>0</v>
      </c>
      <c r="AE3" s="5">
        <f>SUM(EPV_DIFTERIA[D3])</f>
        <v>0</v>
      </c>
      <c r="AF3" s="5">
        <f>SUM(EPV_DIFTERIA[D4])</f>
        <v>0</v>
      </c>
      <c r="AG3" s="5">
        <f>SUM(EPV_DIFTERIA[D5])</f>
        <v>0</v>
      </c>
      <c r="AH3" s="5">
        <f>SUM(EPV_DIFTERIA[D6])</f>
        <v>0</v>
      </c>
      <c r="AI3" s="7"/>
      <c r="AJ3" s="79"/>
      <c r="AK3" s="79"/>
    </row>
    <row r="4" spans="1:37">
      <c r="A4" t="s">
        <v>93</v>
      </c>
      <c r="B4" s="3" t="s">
        <v>94</v>
      </c>
      <c r="C4" s="3" t="s">
        <v>95</v>
      </c>
      <c r="D4" s="3" t="s">
        <v>96</v>
      </c>
      <c r="E4" s="3" t="s">
        <v>97</v>
      </c>
      <c r="F4" s="3" t="s">
        <v>98</v>
      </c>
      <c r="G4" s="3" t="s">
        <v>99</v>
      </c>
      <c r="H4" s="10" t="s">
        <v>100</v>
      </c>
      <c r="J4" t="s">
        <v>93</v>
      </c>
      <c r="K4" s="3" t="s">
        <v>94</v>
      </c>
      <c r="L4" s="3" t="s">
        <v>95</v>
      </c>
      <c r="M4" s="3" t="s">
        <v>96</v>
      </c>
      <c r="N4" s="3" t="s">
        <v>97</v>
      </c>
      <c r="O4" s="3" t="s">
        <v>98</v>
      </c>
      <c r="P4" s="3" t="s">
        <v>99</v>
      </c>
      <c r="Q4" s="8" t="s">
        <v>100</v>
      </c>
      <c r="S4" t="s">
        <v>93</v>
      </c>
      <c r="T4" s="3" t="s">
        <v>94</v>
      </c>
      <c r="U4" s="3" t="s">
        <v>95</v>
      </c>
      <c r="V4" s="3" t="s">
        <v>96</v>
      </c>
      <c r="W4" s="3" t="s">
        <v>97</v>
      </c>
      <c r="X4" s="3" t="s">
        <v>98</v>
      </c>
      <c r="Y4" s="3" t="s">
        <v>99</v>
      </c>
      <c r="Z4" s="8" t="s">
        <v>100</v>
      </c>
      <c r="AB4" t="s">
        <v>93</v>
      </c>
      <c r="AC4" s="3" t="s">
        <v>94</v>
      </c>
      <c r="AD4" s="3" t="s">
        <v>95</v>
      </c>
      <c r="AE4" s="3" t="s">
        <v>96</v>
      </c>
      <c r="AF4" s="3" t="s">
        <v>97</v>
      </c>
      <c r="AG4" s="3" t="s">
        <v>98</v>
      </c>
      <c r="AH4" s="3" t="s">
        <v>99</v>
      </c>
      <c r="AI4" s="8" t="s">
        <v>100</v>
      </c>
    </row>
    <row r="5" spans="1:37">
      <c r="A5" s="4" t="s">
        <v>101</v>
      </c>
      <c r="B5" s="3">
        <f>IF($AK$2="(Todas)",COUNTIF(BASE[CODCIE10],EPV_PARALISIS_FLACIDA_AGUDA[[#This Row],[CIE-10]]),COUNTIFS(BASE[Cod.Establecimiento],$AK$2,BASE[CODCIE10],EPV_PARALISIS_FLACIDA_AGUDA[[#This Row],[CIE-10]]))</f>
        <v>0</v>
      </c>
      <c r="C5" s="3">
        <f>IF($AK$2="(Todas)",COUNTIF(BASE[CODCIE102],EPV_PARALISIS_FLACIDA_AGUDA[[#This Row],[CIE-10]]),COUNTIFS(BASE[Cod.Establecimiento],$AK$2,BASE[CODCIE102],EPV_PARALISIS_FLACIDA_AGUDA[[#This Row],[CIE-10]]))</f>
        <v>0</v>
      </c>
      <c r="D5" s="3">
        <f>IF($AK$2="(Todas)",COUNTIF(BASE[CODCIE104],EPV_PARALISIS_FLACIDA_AGUDA[[#This Row],[CIE-10]]),COUNTIFS(BASE[Cod.Establecimiento],$AK$2,BASE[CODCIE104],EPV_PARALISIS_FLACIDA_AGUDA[[#This Row],[CIE-10]]))</f>
        <v>0</v>
      </c>
      <c r="E5" s="3">
        <f>IF($AK$2="(Todas)",COUNTIF(BASE[CODCIE106],EPV_PARALISIS_FLACIDA_AGUDA[[#This Row],[CIE-10]]),COUNTIFS(BASE[Cod.Establecimiento],$AK$2,BASE[CODCIE106],EPV_PARALISIS_FLACIDA_AGUDA[[#This Row],[CIE-10]]))</f>
        <v>0</v>
      </c>
      <c r="F5" s="3">
        <f>IF($AK$2="(Todas)",COUNTIF(BASE[CODCIE108],EPV_PARALISIS_FLACIDA_AGUDA[[#This Row],[CIE-10]]),COUNTIFS(BASE[Cod.Establecimiento],$AK$2,BASE[CODCIE108],EPV_PARALISIS_FLACIDA_AGUDA[[#This Row],[CIE-10]]))</f>
        <v>0</v>
      </c>
      <c r="G5" s="3">
        <f>IF($AK$2="(Todas)",COUNTIF(BASE[CODCIE1010],EPV_PARALISIS_FLACIDA_AGUDA[[#This Row],[CIE-10]]),COUNTIFS(BASE[Cod.Establecimiento],$AK$2,BASE[CODCIE1010],EPV_PARALISIS_FLACIDA_AGUDA[[#This Row],[CIE-10]]))</f>
        <v>0</v>
      </c>
      <c r="H5" s="9">
        <f>SUM(EPV_PARALISIS_FLACIDA_AGUDA[[#This Row],[D1]:[D6]])</f>
        <v>0</v>
      </c>
      <c r="J5" s="4" t="s">
        <v>102</v>
      </c>
      <c r="K5" s="3">
        <f>IF($AK$2="(Todas)",COUNTIF(BASE[CODCIE10],EPV_RUBEOLA[[#This Row],[CIE-10]]),COUNTIFS(BASE[Cod.Establecimiento],$AK$2,BASE[CODCIE10],EPV_RUBEOLA[[#This Row],[CIE-10]]))</f>
        <v>0</v>
      </c>
      <c r="L5" s="3">
        <f>IF($AK$2="(Todas)",COUNTIF(BASE[CODCIE102],EPV_RUBEOLA[[#This Row],[CIE-10]]),COUNTIFS(BASE[Cod.Establecimiento],$AK$2,BASE[CODCIE102],EPV_RUBEOLA[[#This Row],[CIE-10]]))</f>
        <v>0</v>
      </c>
      <c r="M5" s="3">
        <f>IF($AK$2="(Todas)",COUNTIF(BASE[CODCIE104],EPV_RUBEOLA[[#This Row],[CIE-10]]),COUNTIFS(BASE[Cod.Establecimiento],$AK$2,BASE[CODCIE104],EPV_RUBEOLA[[#This Row],[CIE-10]]))</f>
        <v>0</v>
      </c>
      <c r="N5" s="3">
        <f>IF($AK$2="(Todas)",COUNTIF(BASE[CODCIE106],EPV_RUBEOLA[[#This Row],[CIE-10]]),COUNTIFS(BASE[Cod.Establecimiento],$AK$2,BASE[CODCIE106],EPV_RUBEOLA[[#This Row],[CIE-10]]))</f>
        <v>0</v>
      </c>
      <c r="O5" s="3">
        <f>IF($AK$2="(Todas)",COUNTIF(BASE[CODCIE108],EPV_RUBEOLA[[#This Row],[CIE-10]]),COUNTIFS(BASE[Cod.Establecimiento],$AK$2,BASE[CODCIE108],EPV_RUBEOLA[[#This Row],[CIE-10]]))</f>
        <v>0</v>
      </c>
      <c r="P5" s="3">
        <f>IF($AK$2="(Todas)",COUNTIF(BASE[CODCIE1010],EPV_RUBEOLA[[#This Row],[CIE-10]]),COUNTIFS(BASE[Cod.Establecimiento],$AK$2,BASE[CODCIE1010],EPV_RUBEOLA[[#This Row],[CIE-10]]))</f>
        <v>0</v>
      </c>
      <c r="Q5" s="9">
        <f>SUM(EPV_RUBEOLA[[#This Row],[D1]:[D6]])</f>
        <v>0</v>
      </c>
      <c r="S5" s="4" t="s">
        <v>102</v>
      </c>
      <c r="T5" s="3">
        <f>IF($AK$2="(Todas)",COUNTIF(BASE[CODCIE10],EPV_SARAMPION[[#This Row],[CIE-10]]),COUNTIFS(BASE[Cod.Establecimiento],$AK$2,BASE[CODCIE10],EPV_SARAMPION[[#This Row],[CIE-10]]))</f>
        <v>0</v>
      </c>
      <c r="U5" s="3">
        <f>IF($AK$2="(Todas)",COUNTIF(BASE[CODCIE102],EPV_SARAMPION[[#This Row],[CIE-10]]),COUNTIFS(BASE[Cod.Establecimiento],$AK$2,BASE[CODCIE102],EPV_SARAMPION[[#This Row],[CIE-10]]))</f>
        <v>0</v>
      </c>
      <c r="V5" s="3">
        <f>IF($AK$2="(Todas)",COUNTIF(BASE[CODCIE104],EPV_SARAMPION[[#This Row],[CIE-10]]),COUNTIFS(BASE[Cod.Establecimiento],$AK$2,BASE[CODCIE104],EPV_SARAMPION[[#This Row],[CIE-10]]))</f>
        <v>0</v>
      </c>
      <c r="W5" s="3">
        <f>IF($AK$2="(Todas)",COUNTIF(BASE[CODCIE106],EPV_SARAMPION[[#This Row],[CIE-10]]),COUNTIFS(BASE[Cod.Establecimiento],$AK$2,BASE[CODCIE106],EPV_SARAMPION[[#This Row],[CIE-10]]))</f>
        <v>0</v>
      </c>
      <c r="X5" s="3">
        <f>IF($AK$2="(Todas)",COUNTIF(BASE[CODCIE108],EPV_SARAMPION[[#This Row],[CIE-10]]),COUNTIFS(BASE[Cod.Establecimiento],$AK$2,BASE[CODCIE108],EPV_SARAMPION[[#This Row],[CIE-10]]))</f>
        <v>0</v>
      </c>
      <c r="Y5" s="3">
        <f>IF($AK$2="(Todas)",COUNTIF(BASE[CODCIE1010],EPV_SARAMPION[[#This Row],[CIE-10]]),COUNTIFS(BASE[Cod.Establecimiento],$AK$2,BASE[CODCIE1010],EPV_SARAMPION[[#This Row],[CIE-10]]))</f>
        <v>0</v>
      </c>
      <c r="Z5" s="9">
        <f>SUM(EPV_SARAMPION[[#This Row],[D1]:[D6]])</f>
        <v>0</v>
      </c>
      <c r="AB5" s="4" t="s">
        <v>305</v>
      </c>
      <c r="AC5" s="3">
        <f>IF($AK$2="(Todas)",COUNTIF(BASE[CODCIE10],EPV_DIFTERIA[[#This Row],[CIE-10]]),COUNTIFS(BASE[Cod.Establecimiento],$AK$2,BASE[CODCIE10],EPV_DIFTERIA[[#This Row],[CIE-10]]))</f>
        <v>0</v>
      </c>
      <c r="AD5" s="3">
        <f>IF($AK$2="(Todas)",COUNTIF(BASE[CODCIE102],EPV_DIFTERIA[[#This Row],[CIE-10]]),COUNTIFS(BASE[Cod.Establecimiento],$AK$2,BASE[CODCIE102],EPV_DIFTERIA[[#This Row],[CIE-10]]))</f>
        <v>0</v>
      </c>
      <c r="AE5" s="3">
        <f>IF($AK$2="(Todas)",COUNTIF(BASE[CODCIE104],EPV_DIFTERIA[[#This Row],[CIE-10]]),COUNTIFS(BASE[Cod.Establecimiento],$AK$2,BASE[CODCIE104],EPV_DIFTERIA[[#This Row],[CIE-10]]))</f>
        <v>0</v>
      </c>
      <c r="AF5" s="3">
        <f>IF($AK$2="(Todas)",COUNTIF(BASE[CODCIE106],EPV_DIFTERIA[[#This Row],[CIE-10]]),COUNTIFS(BASE[Cod.Establecimiento],$AK$2,BASE[CODCIE106],EPV_DIFTERIA[[#This Row],[CIE-10]]))</f>
        <v>0</v>
      </c>
      <c r="AG5" s="3">
        <f>IF($AK$2="(Todas)",COUNTIF(BASE[CODCIE108],EPV_DIFTERIA[[#This Row],[CIE-10]]),COUNTIFS(BASE[Cod.Establecimiento],$AK$2,BASE[CODCIE108],EPV_DIFTERIA[[#This Row],[CIE-10]]))</f>
        <v>0</v>
      </c>
      <c r="AH5" s="3">
        <f>IF($AK$2="(Todas)",COUNTIF(BASE[CODCIE1010],EPV_DIFTERIA[[#This Row],[CIE-10]]),COUNTIFS(BASE[Cod.Establecimiento],$AK$2,BASE[CODCIE1010],EPV_DIFTERIA[[#This Row],[CIE-10]]))</f>
        <v>0</v>
      </c>
      <c r="AI5" s="9">
        <f>SUM(EPV_DIFTERIA[[#This Row],[D1]:[D6]])</f>
        <v>0</v>
      </c>
    </row>
    <row r="6" spans="1:37">
      <c r="A6" s="4" t="s">
        <v>103</v>
      </c>
      <c r="B6" s="3">
        <f>IF($AK$2="(Todas)",COUNTIF(BASE[CODCIE10],EPV_PARALISIS_FLACIDA_AGUDA[[#This Row],[CIE-10]]),COUNTIFS(BASE[Cod.Establecimiento],$AK$2,BASE[CODCIE10],EPV_PARALISIS_FLACIDA_AGUDA[[#This Row],[CIE-10]]))</f>
        <v>0</v>
      </c>
      <c r="C6" s="3">
        <f>IF($AK$2="(Todas)",COUNTIF(BASE[CODCIE102],EPV_PARALISIS_FLACIDA_AGUDA[[#This Row],[CIE-10]]),COUNTIFS(BASE[Cod.Establecimiento],$AK$2,BASE[CODCIE102],EPV_PARALISIS_FLACIDA_AGUDA[[#This Row],[CIE-10]]))</f>
        <v>0</v>
      </c>
      <c r="D6" s="3">
        <f>IF($AK$2="(Todas)",COUNTIF(BASE[CODCIE104],EPV_PARALISIS_FLACIDA_AGUDA[[#This Row],[CIE-10]]),COUNTIFS(BASE[Cod.Establecimiento],$AK$2,BASE[CODCIE104],EPV_PARALISIS_FLACIDA_AGUDA[[#This Row],[CIE-10]]))</f>
        <v>0</v>
      </c>
      <c r="E6" s="3">
        <f>IF($AK$2="(Todas)",COUNTIF(BASE[CODCIE106],EPV_PARALISIS_FLACIDA_AGUDA[[#This Row],[CIE-10]]),COUNTIFS(BASE[Cod.Establecimiento],$AK$2,BASE[CODCIE106],EPV_PARALISIS_FLACIDA_AGUDA[[#This Row],[CIE-10]]))</f>
        <v>0</v>
      </c>
      <c r="F6" s="3">
        <f>IF($AK$2="(Todas)",COUNTIF(BASE[CODCIE108],EPV_PARALISIS_FLACIDA_AGUDA[[#This Row],[CIE-10]]),COUNTIFS(BASE[Cod.Establecimiento],$AK$2,BASE[CODCIE108],EPV_PARALISIS_FLACIDA_AGUDA[[#This Row],[CIE-10]]))</f>
        <v>0</v>
      </c>
      <c r="G6" s="3">
        <f>IF($AK$2="(Todas)",COUNTIF(BASE[CODCIE1010],EPV_PARALISIS_FLACIDA_AGUDA[[#This Row],[CIE-10]]),COUNTIFS(BASE[Cod.Establecimiento],$AK$2,BASE[CODCIE1010],EPV_PARALISIS_FLACIDA_AGUDA[[#This Row],[CIE-10]]))</f>
        <v>0</v>
      </c>
      <c r="H6" s="9">
        <f>SUM(EPV_PARALISIS_FLACIDA_AGUDA[[#This Row],[D1]:[D6]])</f>
        <v>0</v>
      </c>
      <c r="J6" s="4" t="s">
        <v>104</v>
      </c>
      <c r="K6" s="3">
        <f>IF($AK$2="(Todas)",COUNTIF(BASE[CODCIE10],EPV_RUBEOLA[[#This Row],[CIE-10]]),COUNTIFS(BASE[Cod.Establecimiento],$AK$2,BASE[CODCIE10],EPV_RUBEOLA[[#This Row],[CIE-10]]))</f>
        <v>0</v>
      </c>
      <c r="L6" s="3">
        <f>IF($AK$2="(Todas)",COUNTIF(BASE[CODCIE102],EPV_RUBEOLA[[#This Row],[CIE-10]]),COUNTIFS(BASE[Cod.Establecimiento],$AK$2,BASE[CODCIE102],EPV_RUBEOLA[[#This Row],[CIE-10]]))</f>
        <v>0</v>
      </c>
      <c r="M6" s="3">
        <f>IF($AK$2="(Todas)",COUNTIF(BASE[CODCIE104],EPV_RUBEOLA[[#This Row],[CIE-10]]),COUNTIFS(BASE[Cod.Establecimiento],$AK$2,BASE[CODCIE104],EPV_RUBEOLA[[#This Row],[CIE-10]]))</f>
        <v>0</v>
      </c>
      <c r="N6" s="3">
        <f>IF($AK$2="(Todas)",COUNTIF(BASE[CODCIE106],EPV_RUBEOLA[[#This Row],[CIE-10]]),COUNTIFS(BASE[Cod.Establecimiento],$AK$2,BASE[CODCIE106],EPV_RUBEOLA[[#This Row],[CIE-10]]))</f>
        <v>0</v>
      </c>
      <c r="O6" s="3">
        <f>IF($AK$2="(Todas)",COUNTIF(BASE[CODCIE108],EPV_RUBEOLA[[#This Row],[CIE-10]]),COUNTIFS(BASE[Cod.Establecimiento],$AK$2,BASE[CODCIE108],EPV_RUBEOLA[[#This Row],[CIE-10]]))</f>
        <v>0</v>
      </c>
      <c r="P6" s="3">
        <f>IF($AK$2="(Todas)",COUNTIF(BASE[CODCIE1010],EPV_RUBEOLA[[#This Row],[CIE-10]]),COUNTIFS(BASE[Cod.Establecimiento],$AK$2,BASE[CODCIE1010],EPV_RUBEOLA[[#This Row],[CIE-10]]))</f>
        <v>0</v>
      </c>
      <c r="Q6" s="9">
        <f>SUM(EPV_RUBEOLA[[#This Row],[D1]:[D6]])</f>
        <v>0</v>
      </c>
      <c r="S6" s="4" t="s">
        <v>104</v>
      </c>
      <c r="T6" s="3">
        <f>IF($AK$2="(Todas)",COUNTIF(BASE[CODCIE10],EPV_SARAMPION[[#This Row],[CIE-10]]),COUNTIFS(BASE[Cod.Establecimiento],$AK$2,BASE[CODCIE10],EPV_SARAMPION[[#This Row],[CIE-10]]))</f>
        <v>0</v>
      </c>
      <c r="U6" s="3">
        <f>IF($AK$2="(Todas)",COUNTIF(BASE[CODCIE102],EPV_SARAMPION[[#This Row],[CIE-10]]),COUNTIFS(BASE[Cod.Establecimiento],$AK$2,BASE[CODCIE102],EPV_SARAMPION[[#This Row],[CIE-10]]))</f>
        <v>0</v>
      </c>
      <c r="V6" s="3">
        <f>IF($AK$2="(Todas)",COUNTIF(BASE[CODCIE104],EPV_SARAMPION[[#This Row],[CIE-10]]),COUNTIFS(BASE[Cod.Establecimiento],$AK$2,BASE[CODCIE104],EPV_SARAMPION[[#This Row],[CIE-10]]))</f>
        <v>0</v>
      </c>
      <c r="W6" s="3">
        <f>IF($AK$2="(Todas)",COUNTIF(BASE[CODCIE106],EPV_SARAMPION[[#This Row],[CIE-10]]),COUNTIFS(BASE[Cod.Establecimiento],$AK$2,BASE[CODCIE106],EPV_SARAMPION[[#This Row],[CIE-10]]))</f>
        <v>0</v>
      </c>
      <c r="X6" s="3">
        <f>IF($AK$2="(Todas)",COUNTIF(BASE[CODCIE108],EPV_SARAMPION[[#This Row],[CIE-10]]),COUNTIFS(BASE[Cod.Establecimiento],$AK$2,BASE[CODCIE108],EPV_SARAMPION[[#This Row],[CIE-10]]))</f>
        <v>0</v>
      </c>
      <c r="Y6" s="3">
        <f>IF($AK$2="(Todas)",COUNTIF(BASE[CODCIE1010],EPV_SARAMPION[[#This Row],[CIE-10]]),COUNTIFS(BASE[Cod.Establecimiento],$AK$2,BASE[CODCIE1010],EPV_SARAMPION[[#This Row],[CIE-10]]))</f>
        <v>0</v>
      </c>
      <c r="Z6" s="9">
        <f>SUM(EPV_SARAMPION[[#This Row],[D1]:[D6]])</f>
        <v>0</v>
      </c>
      <c r="AB6" s="4" t="s">
        <v>306</v>
      </c>
      <c r="AC6" s="3">
        <f>IF($AK$2="(Todas)",COUNTIF(BASE[CODCIE10],EPV_DIFTERIA[[#This Row],[CIE-10]]),COUNTIFS(BASE[Cod.Establecimiento],$AK$2,BASE[CODCIE10],EPV_DIFTERIA[[#This Row],[CIE-10]]))</f>
        <v>0</v>
      </c>
      <c r="AD6" s="3">
        <f>IF($AK$2="(Todas)",COUNTIF(BASE[CODCIE102],EPV_DIFTERIA[[#This Row],[CIE-10]]),COUNTIFS(BASE[Cod.Establecimiento],$AK$2,BASE[CODCIE102],EPV_DIFTERIA[[#This Row],[CIE-10]]))</f>
        <v>0</v>
      </c>
      <c r="AE6" s="3">
        <f>IF($AK$2="(Todas)",COUNTIF(BASE[CODCIE104],EPV_DIFTERIA[[#This Row],[CIE-10]]),COUNTIFS(BASE[Cod.Establecimiento],$AK$2,BASE[CODCIE104],EPV_DIFTERIA[[#This Row],[CIE-10]]))</f>
        <v>0</v>
      </c>
      <c r="AF6" s="3">
        <f>IF($AK$2="(Todas)",COUNTIF(BASE[CODCIE106],EPV_DIFTERIA[[#This Row],[CIE-10]]),COUNTIFS(BASE[Cod.Establecimiento],$AK$2,BASE[CODCIE106],EPV_DIFTERIA[[#This Row],[CIE-10]]))</f>
        <v>0</v>
      </c>
      <c r="AG6" s="3">
        <f>IF($AK$2="(Todas)",COUNTIF(BASE[CODCIE108],EPV_DIFTERIA[[#This Row],[CIE-10]]),COUNTIFS(BASE[Cod.Establecimiento],$AK$2,BASE[CODCIE108],EPV_DIFTERIA[[#This Row],[CIE-10]]))</f>
        <v>0</v>
      </c>
      <c r="AH6" s="3">
        <f>IF($AK$2="(Todas)",COUNTIF(BASE[CODCIE1010],EPV_DIFTERIA[[#This Row],[CIE-10]]),COUNTIFS(BASE[Cod.Establecimiento],$AK$2,BASE[CODCIE1010],EPV_DIFTERIA[[#This Row],[CIE-10]]))</f>
        <v>0</v>
      </c>
      <c r="AI6" s="9">
        <f>SUM(EPV_DIFTERIA[[#This Row],[D1]:[D6]])</f>
        <v>0</v>
      </c>
    </row>
    <row r="7" spans="1:37">
      <c r="A7" s="4" t="s">
        <v>105</v>
      </c>
      <c r="B7" s="3">
        <f>IF($AK$2="(Todas)",COUNTIF(BASE[CODCIE10],EPV_PARALISIS_FLACIDA_AGUDA[[#This Row],[CIE-10]]),COUNTIFS(BASE[Cod.Establecimiento],$AK$2,BASE[CODCIE10],EPV_PARALISIS_FLACIDA_AGUDA[[#This Row],[CIE-10]]))</f>
        <v>0</v>
      </c>
      <c r="C7" s="3">
        <f>IF($AK$2="(Todas)",COUNTIF(BASE[CODCIE102],EPV_PARALISIS_FLACIDA_AGUDA[[#This Row],[CIE-10]]),COUNTIFS(BASE[Cod.Establecimiento],$AK$2,BASE[CODCIE102],EPV_PARALISIS_FLACIDA_AGUDA[[#This Row],[CIE-10]]))</f>
        <v>0</v>
      </c>
      <c r="D7" s="3">
        <f>IF($AK$2="(Todas)",COUNTIF(BASE[CODCIE104],EPV_PARALISIS_FLACIDA_AGUDA[[#This Row],[CIE-10]]),COUNTIFS(BASE[Cod.Establecimiento],$AK$2,BASE[CODCIE104],EPV_PARALISIS_FLACIDA_AGUDA[[#This Row],[CIE-10]]))</f>
        <v>0</v>
      </c>
      <c r="E7" s="3">
        <f>IF($AK$2="(Todas)",COUNTIF(BASE[CODCIE106],EPV_PARALISIS_FLACIDA_AGUDA[[#This Row],[CIE-10]]),COUNTIFS(BASE[Cod.Establecimiento],$AK$2,BASE[CODCIE106],EPV_PARALISIS_FLACIDA_AGUDA[[#This Row],[CIE-10]]))</f>
        <v>0</v>
      </c>
      <c r="F7" s="3">
        <f>IF($AK$2="(Todas)",COUNTIF(BASE[CODCIE108],EPV_PARALISIS_FLACIDA_AGUDA[[#This Row],[CIE-10]]),COUNTIFS(BASE[Cod.Establecimiento],$AK$2,BASE[CODCIE108],EPV_PARALISIS_FLACIDA_AGUDA[[#This Row],[CIE-10]]))</f>
        <v>0</v>
      </c>
      <c r="G7" s="3">
        <f>IF($AK$2="(Todas)",COUNTIF(BASE[CODCIE1010],EPV_PARALISIS_FLACIDA_AGUDA[[#This Row],[CIE-10]]),COUNTIFS(BASE[Cod.Establecimiento],$AK$2,BASE[CODCIE1010],EPV_PARALISIS_FLACIDA_AGUDA[[#This Row],[CIE-10]]))</f>
        <v>0</v>
      </c>
      <c r="H7" s="9">
        <f>SUM(EPV_PARALISIS_FLACIDA_AGUDA[[#This Row],[D1]:[D6]])</f>
        <v>0</v>
      </c>
      <c r="J7" s="4" t="s">
        <v>106</v>
      </c>
      <c r="K7" s="3">
        <f>IF($AK$2="(Todas)",COUNTIF(BASE[CODCIE10],EPV_RUBEOLA[[#This Row],[CIE-10]]),COUNTIFS(BASE[Cod.Establecimiento],$AK$2,BASE[CODCIE10],EPV_RUBEOLA[[#This Row],[CIE-10]]))</f>
        <v>0</v>
      </c>
      <c r="L7" s="3">
        <f>IF($AK$2="(Todas)",COUNTIF(BASE[CODCIE102],EPV_RUBEOLA[[#This Row],[CIE-10]]),COUNTIFS(BASE[Cod.Establecimiento],$AK$2,BASE[CODCIE102],EPV_RUBEOLA[[#This Row],[CIE-10]]))</f>
        <v>0</v>
      </c>
      <c r="M7" s="3">
        <f>IF($AK$2="(Todas)",COUNTIF(BASE[CODCIE104],EPV_RUBEOLA[[#This Row],[CIE-10]]),COUNTIFS(BASE[Cod.Establecimiento],$AK$2,BASE[CODCIE104],EPV_RUBEOLA[[#This Row],[CIE-10]]))</f>
        <v>0</v>
      </c>
      <c r="N7" s="3">
        <f>IF($AK$2="(Todas)",COUNTIF(BASE[CODCIE106],EPV_RUBEOLA[[#This Row],[CIE-10]]),COUNTIFS(BASE[Cod.Establecimiento],$AK$2,BASE[CODCIE106],EPV_RUBEOLA[[#This Row],[CIE-10]]))</f>
        <v>0</v>
      </c>
      <c r="O7" s="3">
        <f>IF($AK$2="(Todas)",COUNTIF(BASE[CODCIE108],EPV_RUBEOLA[[#This Row],[CIE-10]]),COUNTIFS(BASE[Cod.Establecimiento],$AK$2,BASE[CODCIE108],EPV_RUBEOLA[[#This Row],[CIE-10]]))</f>
        <v>0</v>
      </c>
      <c r="P7" s="3">
        <f>IF($AK$2="(Todas)",COUNTIF(BASE[CODCIE1010],EPV_RUBEOLA[[#This Row],[CIE-10]]),COUNTIFS(BASE[Cod.Establecimiento],$AK$2,BASE[CODCIE1010],EPV_RUBEOLA[[#This Row],[CIE-10]]))</f>
        <v>0</v>
      </c>
      <c r="Q7" s="9">
        <f>SUM(EPV_RUBEOLA[[#This Row],[D1]:[D6]])</f>
        <v>0</v>
      </c>
      <c r="S7" s="4" t="s">
        <v>106</v>
      </c>
      <c r="T7" s="3">
        <f>IF($AK$2="(Todas)",COUNTIF(BASE[CODCIE10],EPV_SARAMPION[[#This Row],[CIE-10]]),COUNTIFS(BASE[Cod.Establecimiento],$AK$2,BASE[CODCIE10],EPV_SARAMPION[[#This Row],[CIE-10]]))</f>
        <v>0</v>
      </c>
      <c r="U7" s="3">
        <f>IF($AK$2="(Todas)",COUNTIF(BASE[CODCIE102],EPV_SARAMPION[[#This Row],[CIE-10]]),COUNTIFS(BASE[Cod.Establecimiento],$AK$2,BASE[CODCIE102],EPV_SARAMPION[[#This Row],[CIE-10]]))</f>
        <v>0</v>
      </c>
      <c r="V7" s="3">
        <f>IF($AK$2="(Todas)",COUNTIF(BASE[CODCIE104],EPV_SARAMPION[[#This Row],[CIE-10]]),COUNTIFS(BASE[Cod.Establecimiento],$AK$2,BASE[CODCIE104],EPV_SARAMPION[[#This Row],[CIE-10]]))</f>
        <v>0</v>
      </c>
      <c r="W7" s="3">
        <f>IF($AK$2="(Todas)",COUNTIF(BASE[CODCIE106],EPV_SARAMPION[[#This Row],[CIE-10]]),COUNTIFS(BASE[Cod.Establecimiento],$AK$2,BASE[CODCIE106],EPV_SARAMPION[[#This Row],[CIE-10]]))</f>
        <v>0</v>
      </c>
      <c r="X7" s="3">
        <f>IF($AK$2="(Todas)",COUNTIF(BASE[CODCIE108],EPV_SARAMPION[[#This Row],[CIE-10]]),COUNTIFS(BASE[Cod.Establecimiento],$AK$2,BASE[CODCIE108],EPV_SARAMPION[[#This Row],[CIE-10]]))</f>
        <v>0</v>
      </c>
      <c r="Y7" s="3">
        <f>IF($AK$2="(Todas)",COUNTIF(BASE[CODCIE1010],EPV_SARAMPION[[#This Row],[CIE-10]]),COUNTIFS(BASE[Cod.Establecimiento],$AK$2,BASE[CODCIE1010],EPV_SARAMPION[[#This Row],[CIE-10]]))</f>
        <v>0</v>
      </c>
      <c r="Z7" s="9">
        <f>SUM(EPV_SARAMPION[[#This Row],[D1]:[D6]])</f>
        <v>0</v>
      </c>
      <c r="AB7" s="4" t="s">
        <v>307</v>
      </c>
      <c r="AC7" s="3">
        <f>IF($AK$2="(Todas)",COUNTIF(BASE[CODCIE10],EPV_DIFTERIA[[#This Row],[CIE-10]]),COUNTIFS(BASE[Cod.Establecimiento],$AK$2,BASE[CODCIE10],EPV_DIFTERIA[[#This Row],[CIE-10]]))</f>
        <v>0</v>
      </c>
      <c r="AD7" s="3">
        <f>IF($AK$2="(Todas)",COUNTIF(BASE[CODCIE102],EPV_DIFTERIA[[#This Row],[CIE-10]]),COUNTIFS(BASE[Cod.Establecimiento],$AK$2,BASE[CODCIE102],EPV_DIFTERIA[[#This Row],[CIE-10]]))</f>
        <v>0</v>
      </c>
      <c r="AE7" s="3">
        <f>IF($AK$2="(Todas)",COUNTIF(BASE[CODCIE104],EPV_DIFTERIA[[#This Row],[CIE-10]]),COUNTIFS(BASE[Cod.Establecimiento],$AK$2,BASE[CODCIE104],EPV_DIFTERIA[[#This Row],[CIE-10]]))</f>
        <v>0</v>
      </c>
      <c r="AF7" s="3">
        <f>IF($AK$2="(Todas)",COUNTIF(BASE[CODCIE106],EPV_DIFTERIA[[#This Row],[CIE-10]]),COUNTIFS(BASE[Cod.Establecimiento],$AK$2,BASE[CODCIE106],EPV_DIFTERIA[[#This Row],[CIE-10]]))</f>
        <v>0</v>
      </c>
      <c r="AG7" s="3">
        <f>IF($AK$2="(Todas)",COUNTIF(BASE[CODCIE108],EPV_DIFTERIA[[#This Row],[CIE-10]]),COUNTIFS(BASE[Cod.Establecimiento],$AK$2,BASE[CODCIE108],EPV_DIFTERIA[[#This Row],[CIE-10]]))</f>
        <v>0</v>
      </c>
      <c r="AH7" s="3">
        <f>IF($AK$2="(Todas)",COUNTIF(BASE[CODCIE1010],EPV_DIFTERIA[[#This Row],[CIE-10]]),COUNTIFS(BASE[Cod.Establecimiento],$AK$2,BASE[CODCIE1010],EPV_DIFTERIA[[#This Row],[CIE-10]]))</f>
        <v>0</v>
      </c>
      <c r="AI7" s="9">
        <f>SUM(EPV_DIFTERIA[[#This Row],[D1]:[D6]])</f>
        <v>0</v>
      </c>
    </row>
    <row r="8" spans="1:37">
      <c r="A8" s="4" t="s">
        <v>107</v>
      </c>
      <c r="B8" s="3">
        <f>IF($AK$2="(Todas)",COUNTIF(BASE[CODCIE10],EPV_PARALISIS_FLACIDA_AGUDA[[#This Row],[CIE-10]]),COUNTIFS(BASE[Cod.Establecimiento],$AK$2,BASE[CODCIE10],EPV_PARALISIS_FLACIDA_AGUDA[[#This Row],[CIE-10]]))</f>
        <v>0</v>
      </c>
      <c r="C8" s="3">
        <f>IF($AK$2="(Todas)",COUNTIF(BASE[CODCIE102],EPV_PARALISIS_FLACIDA_AGUDA[[#This Row],[CIE-10]]),COUNTIFS(BASE[Cod.Establecimiento],$AK$2,BASE[CODCIE102],EPV_PARALISIS_FLACIDA_AGUDA[[#This Row],[CIE-10]]))</f>
        <v>0</v>
      </c>
      <c r="D8" s="3">
        <f>IF($AK$2="(Todas)",COUNTIF(BASE[CODCIE104],EPV_PARALISIS_FLACIDA_AGUDA[[#This Row],[CIE-10]]),COUNTIFS(BASE[Cod.Establecimiento],$AK$2,BASE[CODCIE104],EPV_PARALISIS_FLACIDA_AGUDA[[#This Row],[CIE-10]]))</f>
        <v>0</v>
      </c>
      <c r="E8" s="3">
        <f>IF($AK$2="(Todas)",COUNTIF(BASE[CODCIE106],EPV_PARALISIS_FLACIDA_AGUDA[[#This Row],[CIE-10]]),COUNTIFS(BASE[Cod.Establecimiento],$AK$2,BASE[CODCIE106],EPV_PARALISIS_FLACIDA_AGUDA[[#This Row],[CIE-10]]))</f>
        <v>0</v>
      </c>
      <c r="F8" s="3">
        <f>IF($AK$2="(Todas)",COUNTIF(BASE[CODCIE108],EPV_PARALISIS_FLACIDA_AGUDA[[#This Row],[CIE-10]]),COUNTIFS(BASE[Cod.Establecimiento],$AK$2,BASE[CODCIE108],EPV_PARALISIS_FLACIDA_AGUDA[[#This Row],[CIE-10]]))</f>
        <v>0</v>
      </c>
      <c r="G8" s="3">
        <f>IF($AK$2="(Todas)",COUNTIF(BASE[CODCIE1010],EPV_PARALISIS_FLACIDA_AGUDA[[#This Row],[CIE-10]]),COUNTIFS(BASE[Cod.Establecimiento],$AK$2,BASE[CODCIE1010],EPV_PARALISIS_FLACIDA_AGUDA[[#This Row],[CIE-10]]))</f>
        <v>0</v>
      </c>
      <c r="H8" s="9">
        <f>SUM(EPV_PARALISIS_FLACIDA_AGUDA[[#This Row],[D1]:[D6]])</f>
        <v>0</v>
      </c>
      <c r="J8" s="4" t="s">
        <v>84</v>
      </c>
      <c r="K8" s="3">
        <f>IF($AK$2="(Todas)",COUNTIF(BASE[CODCIE10],EPV_RUBEOLA[[#This Row],[CIE-10]]),COUNTIFS(BASE[Cod.Establecimiento],$AK$2,BASE[CODCIE10],EPV_RUBEOLA[[#This Row],[CIE-10]]))</f>
        <v>0</v>
      </c>
      <c r="L8" s="3">
        <f>IF($AK$2="(Todas)",COUNTIF(BASE[CODCIE102],EPV_RUBEOLA[[#This Row],[CIE-10]]),COUNTIFS(BASE[Cod.Establecimiento],$AK$2,BASE[CODCIE102],EPV_RUBEOLA[[#This Row],[CIE-10]]))</f>
        <v>0</v>
      </c>
      <c r="M8" s="3">
        <f>IF($AK$2="(Todas)",COUNTIF(BASE[CODCIE104],EPV_RUBEOLA[[#This Row],[CIE-10]]),COUNTIFS(BASE[Cod.Establecimiento],$AK$2,BASE[CODCIE104],EPV_RUBEOLA[[#This Row],[CIE-10]]))</f>
        <v>0</v>
      </c>
      <c r="N8" s="3">
        <f>IF($AK$2="(Todas)",COUNTIF(BASE[CODCIE106],EPV_RUBEOLA[[#This Row],[CIE-10]]),COUNTIFS(BASE[Cod.Establecimiento],$AK$2,BASE[CODCIE106],EPV_RUBEOLA[[#This Row],[CIE-10]]))</f>
        <v>0</v>
      </c>
      <c r="O8" s="3">
        <f>IF($AK$2="(Todas)",COUNTIF(BASE[CODCIE108],EPV_RUBEOLA[[#This Row],[CIE-10]]),COUNTIFS(BASE[Cod.Establecimiento],$AK$2,BASE[CODCIE108],EPV_RUBEOLA[[#This Row],[CIE-10]]))</f>
        <v>0</v>
      </c>
      <c r="P8" s="3">
        <f>IF($AK$2="(Todas)",COUNTIF(BASE[CODCIE1010],EPV_RUBEOLA[[#This Row],[CIE-10]]),COUNTIFS(BASE[Cod.Establecimiento],$AK$2,BASE[CODCIE1010],EPV_RUBEOLA[[#This Row],[CIE-10]]))</f>
        <v>0</v>
      </c>
      <c r="Q8" s="9">
        <f>SUM(EPV_RUBEOLA[[#This Row],[D1]:[D6]])</f>
        <v>0</v>
      </c>
      <c r="S8" s="4" t="s">
        <v>84</v>
      </c>
      <c r="T8" s="3">
        <f>IF($AK$2="(Todas)",COUNTIF(BASE[CODCIE10],EPV_SARAMPION[[#This Row],[CIE-10]]),COUNTIFS(BASE[Cod.Establecimiento],$AK$2,BASE[CODCIE10],EPV_SARAMPION[[#This Row],[CIE-10]]))</f>
        <v>0</v>
      </c>
      <c r="U8" s="3">
        <f>IF($AK$2="(Todas)",COUNTIF(BASE[CODCIE102],EPV_SARAMPION[[#This Row],[CIE-10]]),COUNTIFS(BASE[Cod.Establecimiento],$AK$2,BASE[CODCIE102],EPV_SARAMPION[[#This Row],[CIE-10]]))</f>
        <v>0</v>
      </c>
      <c r="V8" s="3">
        <f>IF($AK$2="(Todas)",COUNTIF(BASE[CODCIE104],EPV_SARAMPION[[#This Row],[CIE-10]]),COUNTIFS(BASE[Cod.Establecimiento],$AK$2,BASE[CODCIE104],EPV_SARAMPION[[#This Row],[CIE-10]]))</f>
        <v>0</v>
      </c>
      <c r="W8" s="3">
        <f>IF($AK$2="(Todas)",COUNTIF(BASE[CODCIE106],EPV_SARAMPION[[#This Row],[CIE-10]]),COUNTIFS(BASE[Cod.Establecimiento],$AK$2,BASE[CODCIE106],EPV_SARAMPION[[#This Row],[CIE-10]]))</f>
        <v>0</v>
      </c>
      <c r="X8" s="3">
        <f>IF($AK$2="(Todas)",COUNTIF(BASE[CODCIE108],EPV_SARAMPION[[#This Row],[CIE-10]]),COUNTIFS(BASE[Cod.Establecimiento],$AK$2,BASE[CODCIE108],EPV_SARAMPION[[#This Row],[CIE-10]]))</f>
        <v>0</v>
      </c>
      <c r="Y8" s="3">
        <f>IF($AK$2="(Todas)",COUNTIF(BASE[CODCIE1010],EPV_SARAMPION[[#This Row],[CIE-10]]),COUNTIFS(BASE[Cod.Establecimiento],$AK$2,BASE[CODCIE1010],EPV_SARAMPION[[#This Row],[CIE-10]]))</f>
        <v>0</v>
      </c>
      <c r="Z8" s="9">
        <f>SUM(EPV_SARAMPION[[#This Row],[D1]:[D6]])</f>
        <v>0</v>
      </c>
      <c r="AB8" s="4" t="s">
        <v>108</v>
      </c>
      <c r="AC8" s="3">
        <f>IF($AK$2="(Todas)",COUNTIF(BASE[CODCIE10],EPV_DIFTERIA[[#This Row],[CIE-10]]),COUNTIFS(BASE[Cod.Establecimiento],$AK$2,BASE[CODCIE10],EPV_DIFTERIA[[#This Row],[CIE-10]]))</f>
        <v>0</v>
      </c>
      <c r="AD8" s="3">
        <f>IF($AK$2="(Todas)",COUNTIF(BASE[CODCIE102],EPV_DIFTERIA[[#This Row],[CIE-10]]),COUNTIFS(BASE[Cod.Establecimiento],$AK$2,BASE[CODCIE102],EPV_DIFTERIA[[#This Row],[CIE-10]]))</f>
        <v>0</v>
      </c>
      <c r="AE8" s="3">
        <f>IF($AK$2="(Todas)",COUNTIF(BASE[CODCIE104],EPV_DIFTERIA[[#This Row],[CIE-10]]),COUNTIFS(BASE[Cod.Establecimiento],$AK$2,BASE[CODCIE104],EPV_DIFTERIA[[#This Row],[CIE-10]]))</f>
        <v>0</v>
      </c>
      <c r="AF8" s="3">
        <f>IF($AK$2="(Todas)",COUNTIF(BASE[CODCIE106],EPV_DIFTERIA[[#This Row],[CIE-10]]),COUNTIFS(BASE[Cod.Establecimiento],$AK$2,BASE[CODCIE106],EPV_DIFTERIA[[#This Row],[CIE-10]]))</f>
        <v>0</v>
      </c>
      <c r="AG8" s="3">
        <f>IF($AK$2="(Todas)",COUNTIF(BASE[CODCIE108],EPV_DIFTERIA[[#This Row],[CIE-10]]),COUNTIFS(BASE[Cod.Establecimiento],$AK$2,BASE[CODCIE108],EPV_DIFTERIA[[#This Row],[CIE-10]]))</f>
        <v>0</v>
      </c>
      <c r="AH8" s="3">
        <f>IF($AK$2="(Todas)",COUNTIF(BASE[CODCIE1010],EPV_DIFTERIA[[#This Row],[CIE-10]]),COUNTIFS(BASE[Cod.Establecimiento],$AK$2,BASE[CODCIE1010],EPV_DIFTERIA[[#This Row],[CIE-10]]))</f>
        <v>0</v>
      </c>
      <c r="AI8" s="9">
        <f>SUM(EPV_DIFTERIA[[#This Row],[D1]:[D6]])</f>
        <v>0</v>
      </c>
    </row>
    <row r="9" spans="1:37">
      <c r="A9" s="4" t="s">
        <v>109</v>
      </c>
      <c r="B9" s="3">
        <f>IF($AK$2="(Todas)",COUNTIF(BASE[CODCIE10],EPV_PARALISIS_FLACIDA_AGUDA[[#This Row],[CIE-10]]),COUNTIFS(BASE[Cod.Establecimiento],$AK$2,BASE[CODCIE10],EPV_PARALISIS_FLACIDA_AGUDA[[#This Row],[CIE-10]]))</f>
        <v>0</v>
      </c>
      <c r="C9" s="3">
        <f>IF($AK$2="(Todas)",COUNTIF(BASE[CODCIE102],EPV_PARALISIS_FLACIDA_AGUDA[[#This Row],[CIE-10]]),COUNTIFS(BASE[Cod.Establecimiento],$AK$2,BASE[CODCIE102],EPV_PARALISIS_FLACIDA_AGUDA[[#This Row],[CIE-10]]))</f>
        <v>0</v>
      </c>
      <c r="D9" s="3">
        <f>IF($AK$2="(Todas)",COUNTIF(BASE[CODCIE104],EPV_PARALISIS_FLACIDA_AGUDA[[#This Row],[CIE-10]]),COUNTIFS(BASE[Cod.Establecimiento],$AK$2,BASE[CODCIE104],EPV_PARALISIS_FLACIDA_AGUDA[[#This Row],[CIE-10]]))</f>
        <v>0</v>
      </c>
      <c r="E9" s="3">
        <f>IF($AK$2="(Todas)",COUNTIF(BASE[CODCIE106],EPV_PARALISIS_FLACIDA_AGUDA[[#This Row],[CIE-10]]),COUNTIFS(BASE[Cod.Establecimiento],$AK$2,BASE[CODCIE106],EPV_PARALISIS_FLACIDA_AGUDA[[#This Row],[CIE-10]]))</f>
        <v>0</v>
      </c>
      <c r="F9" s="3">
        <f>IF($AK$2="(Todas)",COUNTIF(BASE[CODCIE108],EPV_PARALISIS_FLACIDA_AGUDA[[#This Row],[CIE-10]]),COUNTIFS(BASE[Cod.Establecimiento],$AK$2,BASE[CODCIE108],EPV_PARALISIS_FLACIDA_AGUDA[[#This Row],[CIE-10]]))</f>
        <v>0</v>
      </c>
      <c r="G9" s="3">
        <f>IF($AK$2="(Todas)",COUNTIF(BASE[CODCIE1010],EPV_PARALISIS_FLACIDA_AGUDA[[#This Row],[CIE-10]]),COUNTIFS(BASE[Cod.Establecimiento],$AK$2,BASE[CODCIE1010],EPV_PARALISIS_FLACIDA_AGUDA[[#This Row],[CIE-10]]))</f>
        <v>0</v>
      </c>
      <c r="H9" s="9">
        <f>SUM(EPV_PARALISIS_FLACIDA_AGUDA[[#This Row],[D1]:[D6]])</f>
        <v>0</v>
      </c>
      <c r="J9" s="4" t="s">
        <v>110</v>
      </c>
      <c r="K9" s="3">
        <f>IF($AK$2="(Todas)",COUNTIF(BASE[CODCIE10],EPV_RUBEOLA[[#This Row],[CIE-10]]),COUNTIFS(BASE[Cod.Establecimiento],$AK$2,BASE[CODCIE10],EPV_RUBEOLA[[#This Row],[CIE-10]]))</f>
        <v>0</v>
      </c>
      <c r="L9" s="3">
        <f>IF($AK$2="(Todas)",COUNTIF(BASE[CODCIE102],EPV_RUBEOLA[[#This Row],[CIE-10]]),COUNTIFS(BASE[Cod.Establecimiento],$AK$2,BASE[CODCIE102],EPV_RUBEOLA[[#This Row],[CIE-10]]))</f>
        <v>0</v>
      </c>
      <c r="M9" s="3">
        <f>IF($AK$2="(Todas)",COUNTIF(BASE[CODCIE104],EPV_RUBEOLA[[#This Row],[CIE-10]]),COUNTIFS(BASE[Cod.Establecimiento],$AK$2,BASE[CODCIE104],EPV_RUBEOLA[[#This Row],[CIE-10]]))</f>
        <v>0</v>
      </c>
      <c r="N9" s="3">
        <f>IF($AK$2="(Todas)",COUNTIF(BASE[CODCIE106],EPV_RUBEOLA[[#This Row],[CIE-10]]),COUNTIFS(BASE[Cod.Establecimiento],$AK$2,BASE[CODCIE106],EPV_RUBEOLA[[#This Row],[CIE-10]]))</f>
        <v>0</v>
      </c>
      <c r="O9" s="3">
        <f>IF($AK$2="(Todas)",COUNTIF(BASE[CODCIE108],EPV_RUBEOLA[[#This Row],[CIE-10]]),COUNTIFS(BASE[Cod.Establecimiento],$AK$2,BASE[CODCIE108],EPV_RUBEOLA[[#This Row],[CIE-10]]))</f>
        <v>0</v>
      </c>
      <c r="P9" s="3">
        <f>IF($AK$2="(Todas)",COUNTIF(BASE[CODCIE1010],EPV_RUBEOLA[[#This Row],[CIE-10]]),COUNTIFS(BASE[Cod.Establecimiento],$AK$2,BASE[CODCIE1010],EPV_RUBEOLA[[#This Row],[CIE-10]]))</f>
        <v>0</v>
      </c>
      <c r="Q9" s="9">
        <f>SUM(EPV_RUBEOLA[[#This Row],[D1]:[D6]])</f>
        <v>0</v>
      </c>
      <c r="S9" s="4" t="s">
        <v>110</v>
      </c>
      <c r="T9" s="3">
        <f>IF($AK$2="(Todas)",COUNTIF(BASE[CODCIE10],EPV_SARAMPION[[#This Row],[CIE-10]]),COUNTIFS(BASE[Cod.Establecimiento],$AK$2,BASE[CODCIE10],EPV_SARAMPION[[#This Row],[CIE-10]]))</f>
        <v>0</v>
      </c>
      <c r="U9" s="3">
        <f>IF($AK$2="(Todas)",COUNTIF(BASE[CODCIE102],EPV_SARAMPION[[#This Row],[CIE-10]]),COUNTIFS(BASE[Cod.Establecimiento],$AK$2,BASE[CODCIE102],EPV_SARAMPION[[#This Row],[CIE-10]]))</f>
        <v>0</v>
      </c>
      <c r="V9" s="3">
        <f>IF($AK$2="(Todas)",COUNTIF(BASE[CODCIE104],EPV_SARAMPION[[#This Row],[CIE-10]]),COUNTIFS(BASE[Cod.Establecimiento],$AK$2,BASE[CODCIE104],EPV_SARAMPION[[#This Row],[CIE-10]]))</f>
        <v>0</v>
      </c>
      <c r="W9" s="3">
        <f>IF($AK$2="(Todas)",COUNTIF(BASE[CODCIE106],EPV_SARAMPION[[#This Row],[CIE-10]]),COUNTIFS(BASE[Cod.Establecimiento],$AK$2,BASE[CODCIE106],EPV_SARAMPION[[#This Row],[CIE-10]]))</f>
        <v>0</v>
      </c>
      <c r="X9" s="3">
        <f>IF($AK$2="(Todas)",COUNTIF(BASE[CODCIE108],EPV_SARAMPION[[#This Row],[CIE-10]]),COUNTIFS(BASE[Cod.Establecimiento],$AK$2,BASE[CODCIE108],EPV_SARAMPION[[#This Row],[CIE-10]]))</f>
        <v>0</v>
      </c>
      <c r="Y9" s="3">
        <f>IF($AK$2="(Todas)",COUNTIF(BASE[CODCIE1010],EPV_SARAMPION[[#This Row],[CIE-10]]),COUNTIFS(BASE[Cod.Establecimiento],$AK$2,BASE[CODCIE1010],EPV_SARAMPION[[#This Row],[CIE-10]]))</f>
        <v>0</v>
      </c>
      <c r="Z9" s="9">
        <f>SUM(EPV_SARAMPION[[#This Row],[D1]:[D6]])</f>
        <v>0</v>
      </c>
      <c r="AB9" s="4" t="s">
        <v>111</v>
      </c>
      <c r="AC9" s="3">
        <f>IF($AK$2="(Todas)",COUNTIF(BASE[CODCIE10],EPV_DIFTERIA[[#This Row],[CIE-10]]),COUNTIFS(BASE[Cod.Establecimiento],$AK$2,BASE[CODCIE10],EPV_DIFTERIA[[#This Row],[CIE-10]]))</f>
        <v>0</v>
      </c>
      <c r="AD9" s="3">
        <f>IF($AK$2="(Todas)",COUNTIF(BASE[CODCIE102],EPV_DIFTERIA[[#This Row],[CIE-10]]),COUNTIFS(BASE[Cod.Establecimiento],$AK$2,BASE[CODCIE102],EPV_DIFTERIA[[#This Row],[CIE-10]]))</f>
        <v>0</v>
      </c>
      <c r="AE9" s="3">
        <f>IF($AK$2="(Todas)",COUNTIF(BASE[CODCIE104],EPV_DIFTERIA[[#This Row],[CIE-10]]),COUNTIFS(BASE[Cod.Establecimiento],$AK$2,BASE[CODCIE104],EPV_DIFTERIA[[#This Row],[CIE-10]]))</f>
        <v>0</v>
      </c>
      <c r="AF9" s="3">
        <f>IF($AK$2="(Todas)",COUNTIF(BASE[CODCIE106],EPV_DIFTERIA[[#This Row],[CIE-10]]),COUNTIFS(BASE[Cod.Establecimiento],$AK$2,BASE[CODCIE106],EPV_DIFTERIA[[#This Row],[CIE-10]]))</f>
        <v>0</v>
      </c>
      <c r="AG9" s="3">
        <f>IF($AK$2="(Todas)",COUNTIF(BASE[CODCIE108],EPV_DIFTERIA[[#This Row],[CIE-10]]),COUNTIFS(BASE[Cod.Establecimiento],$AK$2,BASE[CODCIE108],EPV_DIFTERIA[[#This Row],[CIE-10]]))</f>
        <v>0</v>
      </c>
      <c r="AH9" s="3">
        <f>IF($AK$2="(Todas)",COUNTIF(BASE[CODCIE1010],EPV_DIFTERIA[[#This Row],[CIE-10]]),COUNTIFS(BASE[Cod.Establecimiento],$AK$2,BASE[CODCIE1010],EPV_DIFTERIA[[#This Row],[CIE-10]]))</f>
        <v>0</v>
      </c>
      <c r="AI9" s="9">
        <f>SUM(EPV_DIFTERIA[[#This Row],[D1]:[D6]])</f>
        <v>0</v>
      </c>
    </row>
    <row r="10" spans="1:37">
      <c r="A10" s="4" t="s">
        <v>112</v>
      </c>
      <c r="B10" s="3">
        <f>IF($AK$2="(Todas)",COUNTIF(BASE[CODCIE10],EPV_PARALISIS_FLACIDA_AGUDA[[#This Row],[CIE-10]]),COUNTIFS(BASE[Cod.Establecimiento],$AK$2,BASE[CODCIE10],EPV_PARALISIS_FLACIDA_AGUDA[[#This Row],[CIE-10]]))</f>
        <v>0</v>
      </c>
      <c r="C10" s="3">
        <f>IF($AK$2="(Todas)",COUNTIF(BASE[CODCIE102],EPV_PARALISIS_FLACIDA_AGUDA[[#This Row],[CIE-10]]),COUNTIFS(BASE[Cod.Establecimiento],$AK$2,BASE[CODCIE102],EPV_PARALISIS_FLACIDA_AGUDA[[#This Row],[CIE-10]]))</f>
        <v>0</v>
      </c>
      <c r="D10" s="3">
        <f>IF($AK$2="(Todas)",COUNTIF(BASE[CODCIE104],EPV_PARALISIS_FLACIDA_AGUDA[[#This Row],[CIE-10]]),COUNTIFS(BASE[Cod.Establecimiento],$AK$2,BASE[CODCIE104],EPV_PARALISIS_FLACIDA_AGUDA[[#This Row],[CIE-10]]))</f>
        <v>0</v>
      </c>
      <c r="E10" s="3">
        <f>IF($AK$2="(Todas)",COUNTIF(BASE[CODCIE106],EPV_PARALISIS_FLACIDA_AGUDA[[#This Row],[CIE-10]]),COUNTIFS(BASE[Cod.Establecimiento],$AK$2,BASE[CODCIE106],EPV_PARALISIS_FLACIDA_AGUDA[[#This Row],[CIE-10]]))</f>
        <v>0</v>
      </c>
      <c r="F10" s="3">
        <f>IF($AK$2="(Todas)",COUNTIF(BASE[CODCIE108],EPV_PARALISIS_FLACIDA_AGUDA[[#This Row],[CIE-10]]),COUNTIFS(BASE[Cod.Establecimiento],$AK$2,BASE[CODCIE108],EPV_PARALISIS_FLACIDA_AGUDA[[#This Row],[CIE-10]]))</f>
        <v>0</v>
      </c>
      <c r="G10" s="3">
        <f>IF($AK$2="(Todas)",COUNTIF(BASE[CODCIE1010],EPV_PARALISIS_FLACIDA_AGUDA[[#This Row],[CIE-10]]),COUNTIFS(BASE[Cod.Establecimiento],$AK$2,BASE[CODCIE1010],EPV_PARALISIS_FLACIDA_AGUDA[[#This Row],[CIE-10]]))</f>
        <v>0</v>
      </c>
      <c r="H10" s="9">
        <f>SUM(EPV_PARALISIS_FLACIDA_AGUDA[[#This Row],[D1]:[D6]])</f>
        <v>0</v>
      </c>
      <c r="J10" s="4" t="s">
        <v>113</v>
      </c>
      <c r="K10" s="3">
        <f>IF($AK$2="(Todas)",COUNTIF(BASE[CODCIE10],EPV_RUBEOLA[[#This Row],[CIE-10]]),COUNTIFS(BASE[Cod.Establecimiento],$AK$2,BASE[CODCIE10],EPV_RUBEOLA[[#This Row],[CIE-10]]))</f>
        <v>0</v>
      </c>
      <c r="L10" s="3">
        <f>IF($AK$2="(Todas)",COUNTIF(BASE[CODCIE102],EPV_RUBEOLA[[#This Row],[CIE-10]]),COUNTIFS(BASE[Cod.Establecimiento],$AK$2,BASE[CODCIE102],EPV_RUBEOLA[[#This Row],[CIE-10]]))</f>
        <v>0</v>
      </c>
      <c r="M10" s="3">
        <f>IF($AK$2="(Todas)",COUNTIF(BASE[CODCIE104],EPV_RUBEOLA[[#This Row],[CIE-10]]),COUNTIFS(BASE[Cod.Establecimiento],$AK$2,BASE[CODCIE104],EPV_RUBEOLA[[#This Row],[CIE-10]]))</f>
        <v>0</v>
      </c>
      <c r="N10" s="3">
        <f>IF($AK$2="(Todas)",COUNTIF(BASE[CODCIE106],EPV_RUBEOLA[[#This Row],[CIE-10]]),COUNTIFS(BASE[Cod.Establecimiento],$AK$2,BASE[CODCIE106],EPV_RUBEOLA[[#This Row],[CIE-10]]))</f>
        <v>0</v>
      </c>
      <c r="O10" s="3">
        <f>IF($AK$2="(Todas)",COUNTIF(BASE[CODCIE108],EPV_RUBEOLA[[#This Row],[CIE-10]]),COUNTIFS(BASE[Cod.Establecimiento],$AK$2,BASE[CODCIE108],EPV_RUBEOLA[[#This Row],[CIE-10]]))</f>
        <v>0</v>
      </c>
      <c r="P10" s="3">
        <f>IF($AK$2="(Todas)",COUNTIF(BASE[CODCIE1010],EPV_RUBEOLA[[#This Row],[CIE-10]]),COUNTIFS(BASE[Cod.Establecimiento],$AK$2,BASE[CODCIE1010],EPV_RUBEOLA[[#This Row],[CIE-10]]))</f>
        <v>0</v>
      </c>
      <c r="Q10" s="9">
        <f>SUM(EPV_RUBEOLA[[#This Row],[D1]:[D6]])</f>
        <v>0</v>
      </c>
      <c r="S10" s="4" t="s">
        <v>113</v>
      </c>
      <c r="T10" s="3">
        <f>IF($AK$2="(Todas)",COUNTIF(BASE[CODCIE10],EPV_SARAMPION[[#This Row],[CIE-10]]),COUNTIFS(BASE[Cod.Establecimiento],$AK$2,BASE[CODCIE10],EPV_SARAMPION[[#This Row],[CIE-10]]))</f>
        <v>0</v>
      </c>
      <c r="U10" s="3">
        <f>IF($AK$2="(Todas)",COUNTIF(BASE[CODCIE102],EPV_SARAMPION[[#This Row],[CIE-10]]),COUNTIFS(BASE[Cod.Establecimiento],$AK$2,BASE[CODCIE102],EPV_SARAMPION[[#This Row],[CIE-10]]))</f>
        <v>0</v>
      </c>
      <c r="V10" s="3">
        <f>IF($AK$2="(Todas)",COUNTIF(BASE[CODCIE104],EPV_SARAMPION[[#This Row],[CIE-10]]),COUNTIFS(BASE[Cod.Establecimiento],$AK$2,BASE[CODCIE104],EPV_SARAMPION[[#This Row],[CIE-10]]))</f>
        <v>0</v>
      </c>
      <c r="W10" s="3">
        <f>IF($AK$2="(Todas)",COUNTIF(BASE[CODCIE106],EPV_SARAMPION[[#This Row],[CIE-10]]),COUNTIFS(BASE[Cod.Establecimiento],$AK$2,BASE[CODCIE106],EPV_SARAMPION[[#This Row],[CIE-10]]))</f>
        <v>0</v>
      </c>
      <c r="X10" s="3">
        <f>IF($AK$2="(Todas)",COUNTIF(BASE[CODCIE108],EPV_SARAMPION[[#This Row],[CIE-10]]),COUNTIFS(BASE[Cod.Establecimiento],$AK$2,BASE[CODCIE108],EPV_SARAMPION[[#This Row],[CIE-10]]))</f>
        <v>0</v>
      </c>
      <c r="Y10" s="3">
        <f>IF($AK$2="(Todas)",COUNTIF(BASE[CODCIE1010],EPV_SARAMPION[[#This Row],[CIE-10]]),COUNTIFS(BASE[Cod.Establecimiento],$AK$2,BASE[CODCIE1010],EPV_SARAMPION[[#This Row],[CIE-10]]))</f>
        <v>0</v>
      </c>
      <c r="Z10" s="9">
        <f>SUM(EPV_SARAMPION[[#This Row],[D1]:[D6]])</f>
        <v>0</v>
      </c>
      <c r="AB10" s="4" t="s">
        <v>114</v>
      </c>
      <c r="AC10" s="3">
        <f>IF($AK$2="(Todas)",COUNTIF(BASE[CODCIE10],EPV_DIFTERIA[[#This Row],[CIE-10]]),COUNTIFS(BASE[Cod.Establecimiento],$AK$2,BASE[CODCIE10],EPV_DIFTERIA[[#This Row],[CIE-10]]))</f>
        <v>0</v>
      </c>
      <c r="AD10" s="3">
        <f>IF($AK$2="(Todas)",COUNTIF(BASE[CODCIE102],EPV_DIFTERIA[[#This Row],[CIE-10]]),COUNTIFS(BASE[Cod.Establecimiento],$AK$2,BASE[CODCIE102],EPV_DIFTERIA[[#This Row],[CIE-10]]))</f>
        <v>0</v>
      </c>
      <c r="AE10" s="3">
        <f>IF($AK$2="(Todas)",COUNTIF(BASE[CODCIE104],EPV_DIFTERIA[[#This Row],[CIE-10]]),COUNTIFS(BASE[Cod.Establecimiento],$AK$2,BASE[CODCIE104],EPV_DIFTERIA[[#This Row],[CIE-10]]))</f>
        <v>0</v>
      </c>
      <c r="AF10" s="3">
        <f>IF($AK$2="(Todas)",COUNTIF(BASE[CODCIE106],EPV_DIFTERIA[[#This Row],[CIE-10]]),COUNTIFS(BASE[Cod.Establecimiento],$AK$2,BASE[CODCIE106],EPV_DIFTERIA[[#This Row],[CIE-10]]))</f>
        <v>0</v>
      </c>
      <c r="AG10" s="3">
        <f>IF($AK$2="(Todas)",COUNTIF(BASE[CODCIE108],EPV_DIFTERIA[[#This Row],[CIE-10]]),COUNTIFS(BASE[Cod.Establecimiento],$AK$2,BASE[CODCIE108],EPV_DIFTERIA[[#This Row],[CIE-10]]))</f>
        <v>0</v>
      </c>
      <c r="AH10" s="3">
        <f>IF($AK$2="(Todas)",COUNTIF(BASE[CODCIE1010],EPV_DIFTERIA[[#This Row],[CIE-10]]),COUNTIFS(BASE[Cod.Establecimiento],$AK$2,BASE[CODCIE1010],EPV_DIFTERIA[[#This Row],[CIE-10]]))</f>
        <v>0</v>
      </c>
      <c r="AI10" s="9">
        <f>SUM(EPV_DIFTERIA[[#This Row],[D1]:[D6]])</f>
        <v>0</v>
      </c>
    </row>
    <row r="11" spans="1:37">
      <c r="A11" s="4" t="s">
        <v>115</v>
      </c>
      <c r="B11" s="3">
        <f>IF($AK$2="(Todas)",COUNTIF(BASE[CODCIE10],EPV_PARALISIS_FLACIDA_AGUDA[[#This Row],[CIE-10]]),COUNTIFS(BASE[Cod.Establecimiento],$AK$2,BASE[CODCIE10],EPV_PARALISIS_FLACIDA_AGUDA[[#This Row],[CIE-10]]))</f>
        <v>0</v>
      </c>
      <c r="C11" s="3">
        <f>IF($AK$2="(Todas)",COUNTIF(BASE[CODCIE102],EPV_PARALISIS_FLACIDA_AGUDA[[#This Row],[CIE-10]]),COUNTIFS(BASE[Cod.Establecimiento],$AK$2,BASE[CODCIE102],EPV_PARALISIS_FLACIDA_AGUDA[[#This Row],[CIE-10]]))</f>
        <v>0</v>
      </c>
      <c r="D11" s="3">
        <f>IF($AK$2="(Todas)",COUNTIF(BASE[CODCIE104],EPV_PARALISIS_FLACIDA_AGUDA[[#This Row],[CIE-10]]),COUNTIFS(BASE[Cod.Establecimiento],$AK$2,BASE[CODCIE104],EPV_PARALISIS_FLACIDA_AGUDA[[#This Row],[CIE-10]]))</f>
        <v>0</v>
      </c>
      <c r="E11" s="3">
        <f>IF($AK$2="(Todas)",COUNTIF(BASE[CODCIE106],EPV_PARALISIS_FLACIDA_AGUDA[[#This Row],[CIE-10]]),COUNTIFS(BASE[Cod.Establecimiento],$AK$2,BASE[CODCIE106],EPV_PARALISIS_FLACIDA_AGUDA[[#This Row],[CIE-10]]))</f>
        <v>0</v>
      </c>
      <c r="F11" s="3">
        <f>IF($AK$2="(Todas)",COUNTIF(BASE[CODCIE108],EPV_PARALISIS_FLACIDA_AGUDA[[#This Row],[CIE-10]]),COUNTIFS(BASE[Cod.Establecimiento],$AK$2,BASE[CODCIE108],EPV_PARALISIS_FLACIDA_AGUDA[[#This Row],[CIE-10]]))</f>
        <v>0</v>
      </c>
      <c r="G11" s="3">
        <f>IF($AK$2="(Todas)",COUNTIF(BASE[CODCIE1010],EPV_PARALISIS_FLACIDA_AGUDA[[#This Row],[CIE-10]]),COUNTIFS(BASE[Cod.Establecimiento],$AK$2,BASE[CODCIE1010],EPV_PARALISIS_FLACIDA_AGUDA[[#This Row],[CIE-10]]))</f>
        <v>0</v>
      </c>
      <c r="H11" s="9">
        <f>SUM(EPV_PARALISIS_FLACIDA_AGUDA[[#This Row],[D1]:[D6]])</f>
        <v>0</v>
      </c>
      <c r="J11" s="4" t="s">
        <v>116</v>
      </c>
      <c r="K11" s="3">
        <f>IF($AK$2="(Todas)",COUNTIF(BASE[CODCIE10],EPV_RUBEOLA[[#This Row],[CIE-10]]),COUNTIFS(BASE[Cod.Establecimiento],$AK$2,BASE[CODCIE10],EPV_RUBEOLA[[#This Row],[CIE-10]]))</f>
        <v>0</v>
      </c>
      <c r="L11" s="3">
        <f>IF($AK$2="(Todas)",COUNTIF(BASE[CODCIE102],EPV_RUBEOLA[[#This Row],[CIE-10]]),COUNTIFS(BASE[Cod.Establecimiento],$AK$2,BASE[CODCIE102],EPV_RUBEOLA[[#This Row],[CIE-10]]))</f>
        <v>0</v>
      </c>
      <c r="M11" s="3">
        <f>IF($AK$2="(Todas)",COUNTIF(BASE[CODCIE104],EPV_RUBEOLA[[#This Row],[CIE-10]]),COUNTIFS(BASE[Cod.Establecimiento],$AK$2,BASE[CODCIE104],EPV_RUBEOLA[[#This Row],[CIE-10]]))</f>
        <v>0</v>
      </c>
      <c r="N11" s="3">
        <f>IF($AK$2="(Todas)",COUNTIF(BASE[CODCIE106],EPV_RUBEOLA[[#This Row],[CIE-10]]),COUNTIFS(BASE[Cod.Establecimiento],$AK$2,BASE[CODCIE106],EPV_RUBEOLA[[#This Row],[CIE-10]]))</f>
        <v>0</v>
      </c>
      <c r="O11" s="3">
        <f>IF($AK$2="(Todas)",COUNTIF(BASE[CODCIE108],EPV_RUBEOLA[[#This Row],[CIE-10]]),COUNTIFS(BASE[Cod.Establecimiento],$AK$2,BASE[CODCIE108],EPV_RUBEOLA[[#This Row],[CIE-10]]))</f>
        <v>0</v>
      </c>
      <c r="P11" s="3">
        <f>IF($AK$2="(Todas)",COUNTIF(BASE[CODCIE1010],EPV_RUBEOLA[[#This Row],[CIE-10]]),COUNTIFS(BASE[Cod.Establecimiento],$AK$2,BASE[CODCIE1010],EPV_RUBEOLA[[#This Row],[CIE-10]]))</f>
        <v>0</v>
      </c>
      <c r="Q11" s="9">
        <f>SUM(EPV_RUBEOLA[[#This Row],[D1]:[D6]])</f>
        <v>0</v>
      </c>
      <c r="S11" s="4" t="s">
        <v>116</v>
      </c>
      <c r="T11" s="3">
        <f>IF($AK$2="(Todas)",COUNTIF(BASE[CODCIE10],EPV_SARAMPION[[#This Row],[CIE-10]]),COUNTIFS(BASE[Cod.Establecimiento],$AK$2,BASE[CODCIE10],EPV_SARAMPION[[#This Row],[CIE-10]]))</f>
        <v>0</v>
      </c>
      <c r="U11" s="3">
        <f>IF($AK$2="(Todas)",COUNTIF(BASE[CODCIE102],EPV_SARAMPION[[#This Row],[CIE-10]]),COUNTIFS(BASE[Cod.Establecimiento],$AK$2,BASE[CODCIE102],EPV_SARAMPION[[#This Row],[CIE-10]]))</f>
        <v>0</v>
      </c>
      <c r="V11" s="3">
        <f>IF($AK$2="(Todas)",COUNTIF(BASE[CODCIE104],EPV_SARAMPION[[#This Row],[CIE-10]]),COUNTIFS(BASE[Cod.Establecimiento],$AK$2,BASE[CODCIE104],EPV_SARAMPION[[#This Row],[CIE-10]]))</f>
        <v>0</v>
      </c>
      <c r="W11" s="3">
        <f>IF($AK$2="(Todas)",COUNTIF(BASE[CODCIE106],EPV_SARAMPION[[#This Row],[CIE-10]]),COUNTIFS(BASE[Cod.Establecimiento],$AK$2,BASE[CODCIE106],EPV_SARAMPION[[#This Row],[CIE-10]]))</f>
        <v>0</v>
      </c>
      <c r="X11" s="3">
        <f>IF($AK$2="(Todas)",COUNTIF(BASE[CODCIE108],EPV_SARAMPION[[#This Row],[CIE-10]]),COUNTIFS(BASE[Cod.Establecimiento],$AK$2,BASE[CODCIE108],EPV_SARAMPION[[#This Row],[CIE-10]]))</f>
        <v>0</v>
      </c>
      <c r="Y11" s="3">
        <f>IF($AK$2="(Todas)",COUNTIF(BASE[CODCIE1010],EPV_SARAMPION[[#This Row],[CIE-10]]),COUNTIFS(BASE[Cod.Establecimiento],$AK$2,BASE[CODCIE1010],EPV_SARAMPION[[#This Row],[CIE-10]]))</f>
        <v>0</v>
      </c>
      <c r="Z11" s="9">
        <f>SUM(EPV_SARAMPION[[#This Row],[D1]:[D6]])</f>
        <v>0</v>
      </c>
      <c r="AB11" s="4" t="s">
        <v>117</v>
      </c>
      <c r="AC11" s="3">
        <f>IF($AK$2="(Todas)",COUNTIF(BASE[CODCIE10],EPV_DIFTERIA[[#This Row],[CIE-10]]),COUNTIFS(BASE[Cod.Establecimiento],$AK$2,BASE[CODCIE10],EPV_DIFTERIA[[#This Row],[CIE-10]]))</f>
        <v>0</v>
      </c>
      <c r="AD11" s="3">
        <f>IF($AK$2="(Todas)",COUNTIF(BASE[CODCIE102],EPV_DIFTERIA[[#This Row],[CIE-10]]),COUNTIFS(BASE[Cod.Establecimiento],$AK$2,BASE[CODCIE102],EPV_DIFTERIA[[#This Row],[CIE-10]]))</f>
        <v>0</v>
      </c>
      <c r="AE11" s="3">
        <f>IF($AK$2="(Todas)",COUNTIF(BASE[CODCIE104],EPV_DIFTERIA[[#This Row],[CIE-10]]),COUNTIFS(BASE[Cod.Establecimiento],$AK$2,BASE[CODCIE104],EPV_DIFTERIA[[#This Row],[CIE-10]]))</f>
        <v>0</v>
      </c>
      <c r="AF11" s="3">
        <f>IF($AK$2="(Todas)",COUNTIF(BASE[CODCIE106],EPV_DIFTERIA[[#This Row],[CIE-10]]),COUNTIFS(BASE[Cod.Establecimiento],$AK$2,BASE[CODCIE106],EPV_DIFTERIA[[#This Row],[CIE-10]]))</f>
        <v>0</v>
      </c>
      <c r="AG11" s="3">
        <f>IF($AK$2="(Todas)",COUNTIF(BASE[CODCIE108],EPV_DIFTERIA[[#This Row],[CIE-10]]),COUNTIFS(BASE[Cod.Establecimiento],$AK$2,BASE[CODCIE108],EPV_DIFTERIA[[#This Row],[CIE-10]]))</f>
        <v>0</v>
      </c>
      <c r="AH11" s="3">
        <f>IF($AK$2="(Todas)",COUNTIF(BASE[CODCIE1010],EPV_DIFTERIA[[#This Row],[CIE-10]]),COUNTIFS(BASE[Cod.Establecimiento],$AK$2,BASE[CODCIE1010],EPV_DIFTERIA[[#This Row],[CIE-10]]))</f>
        <v>0</v>
      </c>
      <c r="AI11" s="9">
        <f>SUM(EPV_DIFTERIA[[#This Row],[D1]:[D6]])</f>
        <v>0</v>
      </c>
    </row>
    <row r="12" spans="1:37">
      <c r="J12" s="4" t="s">
        <v>118</v>
      </c>
      <c r="K12" s="3">
        <f>IF($AK$2="(Todas)",COUNTIF(BASE[CODCIE10],EPV_RUBEOLA[[#This Row],[CIE-10]]),COUNTIFS(BASE[Cod.Establecimiento],$AK$2,BASE[CODCIE10],EPV_RUBEOLA[[#This Row],[CIE-10]]))</f>
        <v>0</v>
      </c>
      <c r="L12" s="3">
        <f>IF($AK$2="(Todas)",COUNTIF(BASE[CODCIE102],EPV_RUBEOLA[[#This Row],[CIE-10]]),COUNTIFS(BASE[Cod.Establecimiento],$AK$2,BASE[CODCIE102],EPV_RUBEOLA[[#This Row],[CIE-10]]))</f>
        <v>0</v>
      </c>
      <c r="M12" s="3">
        <f>IF($AK$2="(Todas)",COUNTIF(BASE[CODCIE104],EPV_RUBEOLA[[#This Row],[CIE-10]]),COUNTIFS(BASE[Cod.Establecimiento],$AK$2,BASE[CODCIE104],EPV_RUBEOLA[[#This Row],[CIE-10]]))</f>
        <v>0</v>
      </c>
      <c r="N12" s="3">
        <f>IF($AK$2="(Todas)",COUNTIF(BASE[CODCIE106],EPV_RUBEOLA[[#This Row],[CIE-10]]),COUNTIFS(BASE[Cod.Establecimiento],$AK$2,BASE[CODCIE106],EPV_RUBEOLA[[#This Row],[CIE-10]]))</f>
        <v>0</v>
      </c>
      <c r="O12" s="3">
        <f>IF($AK$2="(Todas)",COUNTIF(BASE[CODCIE108],EPV_RUBEOLA[[#This Row],[CIE-10]]),COUNTIFS(BASE[Cod.Establecimiento],$AK$2,BASE[CODCIE108],EPV_RUBEOLA[[#This Row],[CIE-10]]))</f>
        <v>0</v>
      </c>
      <c r="P12" s="3">
        <f>IF($AK$2="(Todas)",COUNTIF(BASE[CODCIE1010],EPV_RUBEOLA[[#This Row],[CIE-10]]),COUNTIFS(BASE[Cod.Establecimiento],$AK$2,BASE[CODCIE1010],EPV_RUBEOLA[[#This Row],[CIE-10]]))</f>
        <v>0</v>
      </c>
      <c r="Q12" s="9">
        <f>SUM(EPV_RUBEOLA[[#This Row],[D1]:[D6]])</f>
        <v>0</v>
      </c>
      <c r="S12" s="4" t="s">
        <v>118</v>
      </c>
      <c r="T12" s="3">
        <f>IF($AK$2="(Todas)",COUNTIF(BASE[CODCIE10],EPV_SARAMPION[[#This Row],[CIE-10]]),COUNTIFS(BASE[Cod.Establecimiento],$AK$2,BASE[CODCIE10],EPV_SARAMPION[[#This Row],[CIE-10]]))</f>
        <v>0</v>
      </c>
      <c r="U12" s="3">
        <f>IF($AK$2="(Todas)",COUNTIF(BASE[CODCIE102],EPV_SARAMPION[[#This Row],[CIE-10]]),COUNTIFS(BASE[Cod.Establecimiento],$AK$2,BASE[CODCIE102],EPV_SARAMPION[[#This Row],[CIE-10]]))</f>
        <v>0</v>
      </c>
      <c r="V12" s="3">
        <f>IF($AK$2="(Todas)",COUNTIF(BASE[CODCIE104],EPV_SARAMPION[[#This Row],[CIE-10]]),COUNTIFS(BASE[Cod.Establecimiento],$AK$2,BASE[CODCIE104],EPV_SARAMPION[[#This Row],[CIE-10]]))</f>
        <v>0</v>
      </c>
      <c r="W12" s="3">
        <f>IF($AK$2="(Todas)",COUNTIF(BASE[CODCIE106],EPV_SARAMPION[[#This Row],[CIE-10]]),COUNTIFS(BASE[Cod.Establecimiento],$AK$2,BASE[CODCIE106],EPV_SARAMPION[[#This Row],[CIE-10]]))</f>
        <v>0</v>
      </c>
      <c r="X12" s="3">
        <f>IF($AK$2="(Todas)",COUNTIF(BASE[CODCIE108],EPV_SARAMPION[[#This Row],[CIE-10]]),COUNTIFS(BASE[Cod.Establecimiento],$AK$2,BASE[CODCIE108],EPV_SARAMPION[[#This Row],[CIE-10]]))</f>
        <v>0</v>
      </c>
      <c r="Y12" s="3">
        <f>IF($AK$2="(Todas)",COUNTIF(BASE[CODCIE1010],EPV_SARAMPION[[#This Row],[CIE-10]]),COUNTIFS(BASE[Cod.Establecimiento],$AK$2,BASE[CODCIE1010],EPV_SARAMPION[[#This Row],[CIE-10]]))</f>
        <v>0</v>
      </c>
      <c r="Z12" s="9">
        <f>SUM(EPV_SARAMPION[[#This Row],[D1]:[D6]])</f>
        <v>0</v>
      </c>
      <c r="AB12" s="4" t="s">
        <v>119</v>
      </c>
      <c r="AC12" s="3">
        <f>IF($AK$2="(Todas)",COUNTIF(BASE[CODCIE10],EPV_DIFTERIA[[#This Row],[CIE-10]]),COUNTIFS(BASE[Cod.Establecimiento],$AK$2,BASE[CODCIE10],EPV_DIFTERIA[[#This Row],[CIE-10]]))</f>
        <v>0</v>
      </c>
      <c r="AD12" s="3">
        <f>IF($AK$2="(Todas)",COUNTIF(BASE[CODCIE102],EPV_DIFTERIA[[#This Row],[CIE-10]]),COUNTIFS(BASE[Cod.Establecimiento],$AK$2,BASE[CODCIE102],EPV_DIFTERIA[[#This Row],[CIE-10]]))</f>
        <v>0</v>
      </c>
      <c r="AE12" s="3">
        <f>IF($AK$2="(Todas)",COUNTIF(BASE[CODCIE104],EPV_DIFTERIA[[#This Row],[CIE-10]]),COUNTIFS(BASE[Cod.Establecimiento],$AK$2,BASE[CODCIE104],EPV_DIFTERIA[[#This Row],[CIE-10]]))</f>
        <v>0</v>
      </c>
      <c r="AF12" s="3">
        <f>IF($AK$2="(Todas)",COUNTIF(BASE[CODCIE106],EPV_DIFTERIA[[#This Row],[CIE-10]]),COUNTIFS(BASE[Cod.Establecimiento],$AK$2,BASE[CODCIE106],EPV_DIFTERIA[[#This Row],[CIE-10]]))</f>
        <v>0</v>
      </c>
      <c r="AG12" s="3">
        <f>IF($AK$2="(Todas)",COUNTIF(BASE[CODCIE108],EPV_DIFTERIA[[#This Row],[CIE-10]]),COUNTIFS(BASE[Cod.Establecimiento],$AK$2,BASE[CODCIE108],EPV_DIFTERIA[[#This Row],[CIE-10]]))</f>
        <v>0</v>
      </c>
      <c r="AH12" s="3">
        <f>IF($AK$2="(Todas)",COUNTIF(BASE[CODCIE1010],EPV_DIFTERIA[[#This Row],[CIE-10]]),COUNTIFS(BASE[Cod.Establecimiento],$AK$2,BASE[CODCIE1010],EPV_DIFTERIA[[#This Row],[CIE-10]]))</f>
        <v>0</v>
      </c>
      <c r="AI12" s="9">
        <f>SUM(EPV_DIFTERIA[[#This Row],[D1]:[D6]])</f>
        <v>0</v>
      </c>
    </row>
    <row r="13" spans="1:37">
      <c r="J13" s="4" t="s">
        <v>120</v>
      </c>
      <c r="K13" s="3">
        <f>IF($AK$2="(Todas)",COUNTIF(BASE[CODCIE10],EPV_RUBEOLA[[#This Row],[CIE-10]]),COUNTIFS(BASE[Cod.Establecimiento],$AK$2,BASE[CODCIE10],EPV_RUBEOLA[[#This Row],[CIE-10]]))</f>
        <v>0</v>
      </c>
      <c r="L13" s="3">
        <f>IF($AK$2="(Todas)",COUNTIF(BASE[CODCIE102],EPV_RUBEOLA[[#This Row],[CIE-10]]),COUNTIFS(BASE[Cod.Establecimiento],$AK$2,BASE[CODCIE102],EPV_RUBEOLA[[#This Row],[CIE-10]]))</f>
        <v>0</v>
      </c>
      <c r="M13" s="3">
        <f>IF($AK$2="(Todas)",COUNTIF(BASE[CODCIE104],EPV_RUBEOLA[[#This Row],[CIE-10]]),COUNTIFS(BASE[Cod.Establecimiento],$AK$2,BASE[CODCIE104],EPV_RUBEOLA[[#This Row],[CIE-10]]))</f>
        <v>0</v>
      </c>
      <c r="N13" s="3">
        <f>IF($AK$2="(Todas)",COUNTIF(BASE[CODCIE106],EPV_RUBEOLA[[#This Row],[CIE-10]]),COUNTIFS(BASE[Cod.Establecimiento],$AK$2,BASE[CODCIE106],EPV_RUBEOLA[[#This Row],[CIE-10]]))</f>
        <v>0</v>
      </c>
      <c r="O13" s="3">
        <f>IF($AK$2="(Todas)",COUNTIF(BASE[CODCIE108],EPV_RUBEOLA[[#This Row],[CIE-10]]),COUNTIFS(BASE[Cod.Establecimiento],$AK$2,BASE[CODCIE108],EPV_RUBEOLA[[#This Row],[CIE-10]]))</f>
        <v>0</v>
      </c>
      <c r="P13" s="3">
        <f>IF($AK$2="(Todas)",COUNTIF(BASE[CODCIE1010],EPV_RUBEOLA[[#This Row],[CIE-10]]),COUNTIFS(BASE[Cod.Establecimiento],$AK$2,BASE[CODCIE1010],EPV_RUBEOLA[[#This Row],[CIE-10]]))</f>
        <v>0</v>
      </c>
      <c r="Q13" s="9">
        <f>SUM(EPV_RUBEOLA[[#This Row],[D1]:[D6]])</f>
        <v>0</v>
      </c>
      <c r="S13" s="4" t="s">
        <v>121</v>
      </c>
      <c r="T13" s="3">
        <f>IF($AK$2="(Todas)",COUNTIF(BASE[CODCIE10],EPV_SARAMPION[[#This Row],[CIE-10]]),COUNTIFS(BASE[Cod.Establecimiento],$AK$2,BASE[CODCIE10],EPV_SARAMPION[[#This Row],[CIE-10]]))</f>
        <v>0</v>
      </c>
      <c r="U13" s="3">
        <f>IF($AK$2="(Todas)",COUNTIF(BASE[CODCIE102],EPV_SARAMPION[[#This Row],[CIE-10]]),COUNTIFS(BASE[Cod.Establecimiento],$AK$2,BASE[CODCIE102],EPV_SARAMPION[[#This Row],[CIE-10]]))</f>
        <v>0</v>
      </c>
      <c r="V13" s="3">
        <f>IF($AK$2="(Todas)",COUNTIF(BASE[CODCIE104],EPV_SARAMPION[[#This Row],[CIE-10]]),COUNTIFS(BASE[Cod.Establecimiento],$AK$2,BASE[CODCIE104],EPV_SARAMPION[[#This Row],[CIE-10]]))</f>
        <v>0</v>
      </c>
      <c r="W13" s="3">
        <f>IF($AK$2="(Todas)",COUNTIF(BASE[CODCIE106],EPV_SARAMPION[[#This Row],[CIE-10]]),COUNTIFS(BASE[Cod.Establecimiento],$AK$2,BASE[CODCIE106],EPV_SARAMPION[[#This Row],[CIE-10]]))</f>
        <v>0</v>
      </c>
      <c r="X13" s="3">
        <f>IF($AK$2="(Todas)",COUNTIF(BASE[CODCIE108],EPV_SARAMPION[[#This Row],[CIE-10]]),COUNTIFS(BASE[Cod.Establecimiento],$AK$2,BASE[CODCIE108],EPV_SARAMPION[[#This Row],[CIE-10]]))</f>
        <v>0</v>
      </c>
      <c r="Y13" s="3">
        <f>IF($AK$2="(Todas)",COUNTIF(BASE[CODCIE1010],EPV_SARAMPION[[#This Row],[CIE-10]]),COUNTIFS(BASE[Cod.Establecimiento],$AK$2,BASE[CODCIE1010],EPV_SARAMPION[[#This Row],[CIE-10]]))</f>
        <v>0</v>
      </c>
      <c r="Z13" s="9">
        <f>SUM(EPV_SARAMPION[[#This Row],[D1]:[D6]])</f>
        <v>0</v>
      </c>
      <c r="AB13" s="4" t="s">
        <v>122</v>
      </c>
      <c r="AC13" s="3">
        <f>IF($AK$2="(Todas)",COUNTIF(BASE[CODCIE10],EPV_DIFTERIA[[#This Row],[CIE-10]]),COUNTIFS(BASE[Cod.Establecimiento],$AK$2,BASE[CODCIE10],EPV_DIFTERIA[[#This Row],[CIE-10]]))</f>
        <v>0</v>
      </c>
      <c r="AD13" s="3">
        <f>IF($AK$2="(Todas)",COUNTIF(BASE[CODCIE102],EPV_DIFTERIA[[#This Row],[CIE-10]]),COUNTIFS(BASE[Cod.Establecimiento],$AK$2,BASE[CODCIE102],EPV_DIFTERIA[[#This Row],[CIE-10]]))</f>
        <v>0</v>
      </c>
      <c r="AE13" s="3">
        <f>IF($AK$2="(Todas)",COUNTIF(BASE[CODCIE104],EPV_DIFTERIA[[#This Row],[CIE-10]]),COUNTIFS(BASE[Cod.Establecimiento],$AK$2,BASE[CODCIE104],EPV_DIFTERIA[[#This Row],[CIE-10]]))</f>
        <v>0</v>
      </c>
      <c r="AF13" s="3">
        <f>IF($AK$2="(Todas)",COUNTIF(BASE[CODCIE106],EPV_DIFTERIA[[#This Row],[CIE-10]]),COUNTIFS(BASE[Cod.Establecimiento],$AK$2,BASE[CODCIE106],EPV_DIFTERIA[[#This Row],[CIE-10]]))</f>
        <v>0</v>
      </c>
      <c r="AG13" s="3">
        <f>IF($AK$2="(Todas)",COUNTIF(BASE[CODCIE108],EPV_DIFTERIA[[#This Row],[CIE-10]]),COUNTIFS(BASE[Cod.Establecimiento],$AK$2,BASE[CODCIE108],EPV_DIFTERIA[[#This Row],[CIE-10]]))</f>
        <v>0</v>
      </c>
      <c r="AH13" s="3">
        <f>IF($AK$2="(Todas)",COUNTIF(BASE[CODCIE1010],EPV_DIFTERIA[[#This Row],[CIE-10]]),COUNTIFS(BASE[Cod.Establecimiento],$AK$2,BASE[CODCIE1010],EPV_DIFTERIA[[#This Row],[CIE-10]]))</f>
        <v>0</v>
      </c>
      <c r="AI13" s="9">
        <f>SUM(EPV_DIFTERIA[[#This Row],[D1]:[D6]])</f>
        <v>0</v>
      </c>
    </row>
    <row r="14" spans="1:37">
      <c r="J14" s="4" t="s">
        <v>123</v>
      </c>
      <c r="K14" s="3">
        <f>IF($AK$2="(Todas)",COUNTIF(BASE[CODCIE10],EPV_RUBEOLA[[#This Row],[CIE-10]]),COUNTIFS(BASE[Cod.Establecimiento],$AK$2,BASE[CODCIE10],EPV_RUBEOLA[[#This Row],[CIE-10]]))</f>
        <v>0</v>
      </c>
      <c r="L14" s="3">
        <f>IF($AK$2="(Todas)",COUNTIF(BASE[CODCIE102],EPV_RUBEOLA[[#This Row],[CIE-10]]),COUNTIFS(BASE[Cod.Establecimiento],$AK$2,BASE[CODCIE102],EPV_RUBEOLA[[#This Row],[CIE-10]]))</f>
        <v>0</v>
      </c>
      <c r="M14" s="3">
        <f>IF($AK$2="(Todas)",COUNTIF(BASE[CODCIE104],EPV_RUBEOLA[[#This Row],[CIE-10]]),COUNTIFS(BASE[Cod.Establecimiento],$AK$2,BASE[CODCIE104],EPV_RUBEOLA[[#This Row],[CIE-10]]))</f>
        <v>0</v>
      </c>
      <c r="N14" s="3">
        <f>IF($AK$2="(Todas)",COUNTIF(BASE[CODCIE106],EPV_RUBEOLA[[#This Row],[CIE-10]]),COUNTIFS(BASE[Cod.Establecimiento],$AK$2,BASE[CODCIE106],EPV_RUBEOLA[[#This Row],[CIE-10]]))</f>
        <v>0</v>
      </c>
      <c r="O14" s="3">
        <f>IF($AK$2="(Todas)",COUNTIF(BASE[CODCIE108],EPV_RUBEOLA[[#This Row],[CIE-10]]),COUNTIFS(BASE[Cod.Establecimiento],$AK$2,BASE[CODCIE108],EPV_RUBEOLA[[#This Row],[CIE-10]]))</f>
        <v>0</v>
      </c>
      <c r="P14" s="3">
        <f>IF($AK$2="(Todas)",COUNTIF(BASE[CODCIE1010],EPV_RUBEOLA[[#This Row],[CIE-10]]),COUNTIFS(BASE[Cod.Establecimiento],$AK$2,BASE[CODCIE1010],EPV_RUBEOLA[[#This Row],[CIE-10]]))</f>
        <v>0</v>
      </c>
      <c r="Q14" s="9">
        <f>SUM(EPV_RUBEOLA[[#This Row],[D1]:[D6]])</f>
        <v>0</v>
      </c>
    </row>
    <row r="15" spans="1:37">
      <c r="J15" s="4" t="s">
        <v>124</v>
      </c>
      <c r="K15" s="3">
        <f>IF($AK$2="(Todas)",COUNTIF(BASE[CODCIE10],EPV_RUBEOLA[[#This Row],[CIE-10]]),COUNTIFS(BASE[Cod.Establecimiento],$AK$2,BASE[CODCIE10],EPV_RUBEOLA[[#This Row],[CIE-10]]))</f>
        <v>0</v>
      </c>
      <c r="L15" s="3">
        <f>IF($AK$2="(Todas)",COUNTIF(BASE[CODCIE102],EPV_RUBEOLA[[#This Row],[CIE-10]]),COUNTIFS(BASE[Cod.Establecimiento],$AK$2,BASE[CODCIE102],EPV_RUBEOLA[[#This Row],[CIE-10]]))</f>
        <v>0</v>
      </c>
      <c r="M15" s="3">
        <f>IF($AK$2="(Todas)",COUNTIF(BASE[CODCIE104],EPV_RUBEOLA[[#This Row],[CIE-10]]),COUNTIFS(BASE[Cod.Establecimiento],$AK$2,BASE[CODCIE104],EPV_RUBEOLA[[#This Row],[CIE-10]]))</f>
        <v>0</v>
      </c>
      <c r="N15" s="3">
        <f>IF($AK$2="(Todas)",COUNTIF(BASE[CODCIE106],EPV_RUBEOLA[[#This Row],[CIE-10]]),COUNTIFS(BASE[Cod.Establecimiento],$AK$2,BASE[CODCIE106],EPV_RUBEOLA[[#This Row],[CIE-10]]))</f>
        <v>0</v>
      </c>
      <c r="O15" s="3">
        <f>IF($AK$2="(Todas)",COUNTIF(BASE[CODCIE108],EPV_RUBEOLA[[#This Row],[CIE-10]]),COUNTIFS(BASE[Cod.Establecimiento],$AK$2,BASE[CODCIE108],EPV_RUBEOLA[[#This Row],[CIE-10]]))</f>
        <v>0</v>
      </c>
      <c r="P15" s="3">
        <f>IF($AK$2="(Todas)",COUNTIF(BASE[CODCIE1010],EPV_RUBEOLA[[#This Row],[CIE-10]]),COUNTIFS(BASE[Cod.Establecimiento],$AK$2,BASE[CODCIE1010],EPV_RUBEOLA[[#This Row],[CIE-10]]))</f>
        <v>0</v>
      </c>
      <c r="Q15" s="9">
        <f>SUM(EPV_RUBEOLA[[#This Row],[D1]:[D6]])</f>
        <v>0</v>
      </c>
    </row>
    <row r="17" spans="1:35" ht="18" customHeight="1" thickBot="1">
      <c r="A17" s="80" t="s">
        <v>125</v>
      </c>
      <c r="B17" s="81"/>
      <c r="C17" s="81"/>
      <c r="D17" s="81"/>
      <c r="E17" s="81"/>
      <c r="F17" s="81"/>
      <c r="G17" s="81"/>
      <c r="H17" s="81"/>
      <c r="J17" s="80" t="s">
        <v>126</v>
      </c>
      <c r="K17" s="81"/>
      <c r="L17" s="81"/>
      <c r="M17" s="81"/>
      <c r="N17" s="81"/>
      <c r="O17" s="81"/>
      <c r="P17" s="81"/>
      <c r="Q17" s="81"/>
      <c r="S17" s="80" t="s">
        <v>127</v>
      </c>
      <c r="T17" s="81"/>
      <c r="U17" s="81"/>
      <c r="V17" s="81"/>
      <c r="W17" s="81"/>
      <c r="X17" s="81"/>
      <c r="Y17" s="81"/>
      <c r="Z17" s="81"/>
      <c r="AB17" s="80" t="s">
        <v>128</v>
      </c>
      <c r="AC17" s="81"/>
      <c r="AD17" s="81"/>
      <c r="AE17" s="81"/>
      <c r="AF17" s="81"/>
      <c r="AG17" s="81"/>
      <c r="AH17" s="81"/>
      <c r="AI17" s="81"/>
    </row>
    <row r="18" spans="1:35" ht="15.75" customHeight="1" thickTop="1">
      <c r="A18" s="6" t="str">
        <f>CONCATENATE("TOTAL: ",SUM(B18:G18))</f>
        <v>TOTAL: 0</v>
      </c>
      <c r="B18" s="5">
        <f>SUM(EPV_COQUELUCHE[D1])</f>
        <v>0</v>
      </c>
      <c r="C18" s="5">
        <f>SUM(EPV_COQUELUCHE[D2])</f>
        <v>0</v>
      </c>
      <c r="D18" s="5">
        <f>SUM(EPV_COQUELUCHE[D3])</f>
        <v>0</v>
      </c>
      <c r="E18" s="5">
        <f>SUM(EPV_COQUELUCHE[D4])</f>
        <v>0</v>
      </c>
      <c r="F18" s="5">
        <f>SUM(EPV_COQUELUCHE[D5])</f>
        <v>0</v>
      </c>
      <c r="G18" s="5">
        <f>SUM(EPV_COQUELUCHE[D6])</f>
        <v>0</v>
      </c>
      <c r="H18" s="7"/>
      <c r="J18" s="6" t="str">
        <f>CONCATENATE("TOTAL: ",SUM(K18:P18))</f>
        <v>TOTAL: 0</v>
      </c>
      <c r="K18" s="5">
        <f>SUM(EPV_PAROTIDITIS[D1])</f>
        <v>0</v>
      </c>
      <c r="L18" s="5">
        <f>SUM(EPV_PAROTIDITIS[D2])</f>
        <v>0</v>
      </c>
      <c r="M18" s="5">
        <f>SUM(EPV_PAROTIDITIS[D3])</f>
        <v>0</v>
      </c>
      <c r="N18" s="5">
        <f>SUM(EPV_PAROTIDITIS[D4])</f>
        <v>0</v>
      </c>
      <c r="O18" s="5">
        <f>SUM(EPV_PAROTIDITIS[D5])</f>
        <v>0</v>
      </c>
      <c r="P18" s="5">
        <f>SUM(EPV_PAROTIDITIS[D6])</f>
        <v>0</v>
      </c>
      <c r="Q18" s="7"/>
      <c r="S18" s="6" t="str">
        <f>CONCATENATE("TOTAL: ",SUM(T18:Y18))</f>
        <v>TOTAL: 0</v>
      </c>
      <c r="T18" s="5">
        <f>SUM(EPV_TETANOS_NEONATAL[D1])</f>
        <v>0</v>
      </c>
      <c r="U18" s="5">
        <f>SUM(EPV_TETANOS_NEONATAL[D2])</f>
        <v>0</v>
      </c>
      <c r="V18" s="5">
        <f>SUM(EPV_TETANOS_NEONATAL[D3])</f>
        <v>0</v>
      </c>
      <c r="W18" s="5">
        <f>SUM(EPV_TETANOS_NEONATAL[D4])</f>
        <v>0</v>
      </c>
      <c r="X18" s="5">
        <f>SUM(EPV_TETANOS_NEONATAL[D5])</f>
        <v>0</v>
      </c>
      <c r="Y18" s="5">
        <f>SUM(EPV_TETANOS_NEONATAL[D6])</f>
        <v>0</v>
      </c>
      <c r="Z18" s="7"/>
      <c r="AB18" s="6" t="str">
        <f>CONCATENATE("TOTAL: ",SUM(AC18:AH18))</f>
        <v>TOTAL: 0</v>
      </c>
      <c r="AC18" s="5">
        <f>SUM(EPV_TETANOS_OTRAS_EDADES[D1])</f>
        <v>0</v>
      </c>
      <c r="AD18" s="5">
        <f>SUM(EPV_TETANOS_OTRAS_EDADES[D2])</f>
        <v>0</v>
      </c>
      <c r="AE18" s="5">
        <f>SUM(EPV_TETANOS_OTRAS_EDADES[D3])</f>
        <v>0</v>
      </c>
      <c r="AF18" s="5">
        <f>SUM(EPV_TETANOS_OTRAS_EDADES[D4])</f>
        <v>0</v>
      </c>
      <c r="AG18" s="5">
        <f>SUM(EPV_TETANOS_OTRAS_EDADES[D5])</f>
        <v>0</v>
      </c>
      <c r="AH18" s="5">
        <f>SUM(EPV_TETANOS_OTRAS_EDADES[D6])</f>
        <v>0</v>
      </c>
      <c r="AI18" s="7"/>
    </row>
    <row r="19" spans="1:35">
      <c r="A19" t="s">
        <v>93</v>
      </c>
      <c r="B19" s="3" t="s">
        <v>94</v>
      </c>
      <c r="C19" s="3" t="s">
        <v>95</v>
      </c>
      <c r="D19" s="3" t="s">
        <v>96</v>
      </c>
      <c r="E19" s="3" t="s">
        <v>97</v>
      </c>
      <c r="F19" s="3" t="s">
        <v>98</v>
      </c>
      <c r="G19" s="3" t="s">
        <v>99</v>
      </c>
      <c r="H19" s="8" t="s">
        <v>100</v>
      </c>
      <c r="J19" t="s">
        <v>93</v>
      </c>
      <c r="K19" s="3" t="s">
        <v>94</v>
      </c>
      <c r="L19" s="3" t="s">
        <v>95</v>
      </c>
      <c r="M19" s="3" t="s">
        <v>96</v>
      </c>
      <c r="N19" s="3" t="s">
        <v>97</v>
      </c>
      <c r="O19" s="3" t="s">
        <v>98</v>
      </c>
      <c r="P19" s="3" t="s">
        <v>99</v>
      </c>
      <c r="Q19" s="8" t="s">
        <v>100</v>
      </c>
      <c r="S19" t="s">
        <v>93</v>
      </c>
      <c r="T19" s="3" t="s">
        <v>94</v>
      </c>
      <c r="U19" s="3" t="s">
        <v>95</v>
      </c>
      <c r="V19" s="3" t="s">
        <v>96</v>
      </c>
      <c r="W19" s="3" t="s">
        <v>97</v>
      </c>
      <c r="X19" s="3" t="s">
        <v>98</v>
      </c>
      <c r="Y19" s="3" t="s">
        <v>99</v>
      </c>
      <c r="Z19" s="8" t="s">
        <v>100</v>
      </c>
      <c r="AB19" t="s">
        <v>93</v>
      </c>
      <c r="AC19" s="3" t="s">
        <v>94</v>
      </c>
      <c r="AD19" s="3" t="s">
        <v>95</v>
      </c>
      <c r="AE19" s="3" t="s">
        <v>96</v>
      </c>
      <c r="AF19" s="3" t="s">
        <v>97</v>
      </c>
      <c r="AG19" s="3" t="s">
        <v>98</v>
      </c>
      <c r="AH19" s="3" t="s">
        <v>99</v>
      </c>
      <c r="AI19" s="8" t="s">
        <v>100</v>
      </c>
    </row>
    <row r="20" spans="1:35">
      <c r="A20" s="4" t="s">
        <v>129</v>
      </c>
      <c r="B20" s="3">
        <f>IF($AK$2="(Todas)",COUNTIF(BASE[CODCIE10],EPV_COQUELUCHE[[#This Row],[CIE-10]]),COUNTIFS(BASE[Cod.Establecimiento],$AK$2,BASE[CODCIE10],EPV_COQUELUCHE[[#This Row],[CIE-10]]))</f>
        <v>0</v>
      </c>
      <c r="C20" s="3">
        <f>IF($AK$2="(Todas)",COUNTIF(BASE[CODCIE102],EPV_COQUELUCHE[[#This Row],[CIE-10]]),COUNTIFS(BASE[Cod.Establecimiento],$AK$2,BASE[CODCIE102],EPV_COQUELUCHE[[#This Row],[CIE-10]]))</f>
        <v>0</v>
      </c>
      <c r="D20" s="3">
        <f>IF($AK$2="(Todas)",COUNTIF(BASE[CODCIE104],EPV_COQUELUCHE[[#This Row],[CIE-10]]),COUNTIFS(BASE[Cod.Establecimiento],$AK$2,BASE[CODCIE104],EPV_COQUELUCHE[[#This Row],[CIE-10]]))</f>
        <v>0</v>
      </c>
      <c r="E20" s="3">
        <f>IF($AK$2="(Todas)",COUNTIF(BASE[CODCIE106],EPV_COQUELUCHE[[#This Row],[CIE-10]]),COUNTIFS(BASE[Cod.Establecimiento],$AK$2,BASE[CODCIE106],EPV_COQUELUCHE[[#This Row],[CIE-10]]))</f>
        <v>0</v>
      </c>
      <c r="F20" s="3">
        <f>IF($AK$2="(Todas)",COUNTIF(BASE[CODCIE108],EPV_COQUELUCHE[[#This Row],[CIE-10]]),COUNTIFS(BASE[Cod.Establecimiento],$AK$2,BASE[CODCIE108],EPV_COQUELUCHE[[#This Row],[CIE-10]]))</f>
        <v>0</v>
      </c>
      <c r="G20" s="3">
        <f>IF($AK$2="(Todas)",COUNTIF(BASE[CODCIE1010],EPV_COQUELUCHE[[#This Row],[CIE-10]]),COUNTIFS(BASE[Cod.Establecimiento],$AK$2,BASE[CODCIE1010],EPV_COQUELUCHE[[#This Row],[CIE-10]]))</f>
        <v>0</v>
      </c>
      <c r="H20" s="9">
        <f>SUM(EPV_COQUELUCHE[[#This Row],[D1]:[D6]])</f>
        <v>0</v>
      </c>
      <c r="J20" s="32" t="s">
        <v>130</v>
      </c>
      <c r="K20" s="3">
        <f>IF($AK$2="(Todas)",COUNTIF(BASE[CODCIE10],EPV_PAROTIDITIS[[#This Row],[CIE-10]]),COUNTIFS(BASE[Cod.Establecimiento],$AK$2,BASE[CODCIE10],EPV_PAROTIDITIS[[#This Row],[CIE-10]]))</f>
        <v>0</v>
      </c>
      <c r="L20" s="3">
        <f>IF($AK$2="(Todas)",COUNTIF(BASE[CODCIE102],EPV_PAROTIDITIS[[#This Row],[CIE-10]]),COUNTIFS(BASE[Cod.Establecimiento],$AK$2,BASE[CODCIE102],EPV_PAROTIDITIS[[#This Row],[CIE-10]]))</f>
        <v>0</v>
      </c>
      <c r="M20" s="3">
        <f>IF($AK$2="(Todas)",COUNTIF(BASE[CODCIE104],EPV_PAROTIDITIS[[#This Row],[CIE-10]]),COUNTIFS(BASE[Cod.Establecimiento],$AK$2,BASE[CODCIE104],EPV_PAROTIDITIS[[#This Row],[CIE-10]]))</f>
        <v>0</v>
      </c>
      <c r="N20" s="3">
        <f>IF($AK$2="(Todas)",COUNTIF(BASE[CODCIE106],EPV_PAROTIDITIS[[#This Row],[CIE-10]]),COUNTIFS(BASE[Cod.Establecimiento],$AK$2,BASE[CODCIE106],EPV_PAROTIDITIS[[#This Row],[CIE-10]]))</f>
        <v>0</v>
      </c>
      <c r="O20" s="3">
        <f>IF($AK$2="(Todas)",COUNTIF(BASE[CODCIE108],EPV_PAROTIDITIS[[#This Row],[CIE-10]]),COUNTIFS(BASE[Cod.Establecimiento],$AK$2,BASE[CODCIE108],EPV_PAROTIDITIS[[#This Row],[CIE-10]]))</f>
        <v>0</v>
      </c>
      <c r="P20" s="3">
        <f>IF($AK$2="(Todas)",COUNTIF(BASE[CODCIE1010],EPV_PAROTIDITIS[[#This Row],[CIE-10]]),COUNTIFS(BASE[Cod.Establecimiento],$AK$2,BASE[CODCIE1010],EPV_PAROTIDITIS[[#This Row],[CIE-10]]))</f>
        <v>0</v>
      </c>
      <c r="Q20" s="9">
        <f>SUM(EPV_PAROTIDITIS[[#This Row],[D1]:[D6]])</f>
        <v>0</v>
      </c>
      <c r="S20" s="4" t="s">
        <v>131</v>
      </c>
      <c r="T20" s="3">
        <f>IF($AK$2="(Todas)",COUNTIF(BASE[CODCIE10],EPV_TETANOS_NEONATAL[[#This Row],[CIE-10]]),COUNTIFS(BASE[Cod.Establecimiento],$AK$2,BASE[CODCIE10],EPV_TETANOS_NEONATAL[[#This Row],[CIE-10]]))</f>
        <v>0</v>
      </c>
      <c r="U20" s="3">
        <f>IF($AK$2="(Todas)",COUNTIF(BASE[CODCIE102],EPV_TETANOS_NEONATAL[[#This Row],[CIE-10]]),COUNTIFS(BASE[Cod.Establecimiento],$AK$2,BASE[CODCIE102],EPV_TETANOS_NEONATAL[[#This Row],[CIE-10]]))</f>
        <v>0</v>
      </c>
      <c r="V20" s="3">
        <f>IF($AK$2="(Todas)",COUNTIF(BASE[CODCIE104],EPV_TETANOS_NEONATAL[[#This Row],[CIE-10]]),COUNTIFS(BASE[Cod.Establecimiento],$AK$2,BASE[CODCIE104],EPV_TETANOS_NEONATAL[[#This Row],[CIE-10]]))</f>
        <v>0</v>
      </c>
      <c r="W20" s="3">
        <f>IF($AK$2="(Todas)",COUNTIF(BASE[CODCIE106],EPV_TETANOS_NEONATAL[[#This Row],[CIE-10]]),COUNTIFS(BASE[Cod.Establecimiento],$AK$2,BASE[CODCIE106],EPV_TETANOS_NEONATAL[[#This Row],[CIE-10]]))</f>
        <v>0</v>
      </c>
      <c r="X20" s="3">
        <f>IF($AK$2="(Todas)",COUNTIF(BASE[CODCIE108],EPV_TETANOS_NEONATAL[[#This Row],[CIE-10]]),COUNTIFS(BASE[Cod.Establecimiento],$AK$2,BASE[CODCIE108],EPV_TETANOS_NEONATAL[[#This Row],[CIE-10]]))</f>
        <v>0</v>
      </c>
      <c r="Y20" s="3">
        <f>IF($AK$2="(Todas)",COUNTIF(BASE[CODCIE1010],EPV_TETANOS_NEONATAL[[#This Row],[CIE-10]]),COUNTIFS(BASE[Cod.Establecimiento],$AK$2,BASE[CODCIE1010],EPV_TETANOS_NEONATAL[[#This Row],[CIE-10]]))</f>
        <v>0</v>
      </c>
      <c r="Z20" s="9">
        <f>SUM(EPV_TETANOS_NEONATAL[[#This Row],[D1]:[D6]])</f>
        <v>0</v>
      </c>
      <c r="AB20" s="4" t="s">
        <v>132</v>
      </c>
      <c r="AC20" s="3">
        <f>IF($AK$2="(Todas)",COUNTIF(BASE[CODCIE10],EPV_TETANOS_OTRAS_EDADES[[#This Row],[CIE-10]]),COUNTIFS(BASE[Cod.Establecimiento],$AK$2,BASE[CODCIE10],EPV_TETANOS_OTRAS_EDADES[[#This Row],[CIE-10]]))</f>
        <v>0</v>
      </c>
      <c r="AD20" s="3">
        <f>IF($AK$2="(Todas)",COUNTIF(BASE[CODCIE102],EPV_TETANOS_OTRAS_EDADES[[#This Row],[CIE-10]]),COUNTIFS(BASE[Cod.Establecimiento],$AK$2,BASE[CODCIE102],EPV_TETANOS_OTRAS_EDADES[[#This Row],[CIE-10]]))</f>
        <v>0</v>
      </c>
      <c r="AE20" s="3">
        <f>IF($AK$2="(Todas)",COUNTIF(BASE[CODCIE104],EPV_TETANOS_OTRAS_EDADES[[#This Row],[CIE-10]]),COUNTIFS(BASE[Cod.Establecimiento],$AK$2,BASE[CODCIE104],EPV_TETANOS_OTRAS_EDADES[[#This Row],[CIE-10]]))</f>
        <v>0</v>
      </c>
      <c r="AF20" s="3">
        <f>IF($AK$2="(Todas)",COUNTIF(BASE[CODCIE106],EPV_TETANOS_OTRAS_EDADES[[#This Row],[CIE-10]]),COUNTIFS(BASE[Cod.Establecimiento],$AK$2,BASE[CODCIE106],EPV_TETANOS_OTRAS_EDADES[[#This Row],[CIE-10]]))</f>
        <v>0</v>
      </c>
      <c r="AG20" s="3">
        <f>IF($AK$2="(Todas)",COUNTIF(BASE[CODCIE108],EPV_TETANOS_OTRAS_EDADES[[#This Row],[CIE-10]]),COUNTIFS(BASE[Cod.Establecimiento],$AK$2,BASE[CODCIE108],EPV_TETANOS_OTRAS_EDADES[[#This Row],[CIE-10]]))</f>
        <v>0</v>
      </c>
      <c r="AH20" s="3">
        <f>IF($AK$2="(Todas)",COUNTIF(BASE[CODCIE1010],EPV_TETANOS_OTRAS_EDADES[[#This Row],[CIE-10]]),COUNTIFS(BASE[Cod.Establecimiento],$AK$2,BASE[CODCIE1010],EPV_TETANOS_OTRAS_EDADES[[#This Row],[CIE-10]]))</f>
        <v>0</v>
      </c>
      <c r="AI20" s="9">
        <f>SUM(EPV_TETANOS_OTRAS_EDADES[[#This Row],[D1]:[D6]])</f>
        <v>0</v>
      </c>
    </row>
    <row r="21" spans="1:35">
      <c r="A21" s="4" t="s">
        <v>133</v>
      </c>
      <c r="B21" s="3">
        <f>IF($AK$2="(Todas)",COUNTIF(BASE[CODCIE10],EPV_COQUELUCHE[[#This Row],[CIE-10]]),COUNTIFS(BASE[Cod.Establecimiento],$AK$2,BASE[CODCIE10],EPV_COQUELUCHE[[#This Row],[CIE-10]]))</f>
        <v>0</v>
      </c>
      <c r="C21" s="3">
        <f>IF($AK$2="(Todas)",COUNTIF(BASE[CODCIE102],EPV_COQUELUCHE[[#This Row],[CIE-10]]),COUNTIFS(BASE[Cod.Establecimiento],$AK$2,BASE[CODCIE102],EPV_COQUELUCHE[[#This Row],[CIE-10]]))</f>
        <v>0</v>
      </c>
      <c r="D21" s="3">
        <f>IF($AK$2="(Todas)",COUNTIF(BASE[CODCIE104],EPV_COQUELUCHE[[#This Row],[CIE-10]]),COUNTIFS(BASE[Cod.Establecimiento],$AK$2,BASE[CODCIE104],EPV_COQUELUCHE[[#This Row],[CIE-10]]))</f>
        <v>0</v>
      </c>
      <c r="E21" s="3">
        <f>IF($AK$2="(Todas)",COUNTIF(BASE[CODCIE106],EPV_COQUELUCHE[[#This Row],[CIE-10]]),COUNTIFS(BASE[Cod.Establecimiento],$AK$2,BASE[CODCIE106],EPV_COQUELUCHE[[#This Row],[CIE-10]]))</f>
        <v>0</v>
      </c>
      <c r="F21" s="3">
        <f>IF($AK$2="(Todas)",COUNTIF(BASE[CODCIE108],EPV_COQUELUCHE[[#This Row],[CIE-10]]),COUNTIFS(BASE[Cod.Establecimiento],$AK$2,BASE[CODCIE108],EPV_COQUELUCHE[[#This Row],[CIE-10]]))</f>
        <v>0</v>
      </c>
      <c r="G21" s="3">
        <f>IF($AK$2="(Todas)",COUNTIF(BASE[CODCIE1010],EPV_COQUELUCHE[[#This Row],[CIE-10]]),COUNTIFS(BASE[Cod.Establecimiento],$AK$2,BASE[CODCIE1010],EPV_COQUELUCHE[[#This Row],[CIE-10]]))</f>
        <v>0</v>
      </c>
      <c r="H21" s="9">
        <f>SUM(EPV_COQUELUCHE[[#This Row],[D1]:[D6]])</f>
        <v>0</v>
      </c>
      <c r="J21" s="32" t="s">
        <v>134</v>
      </c>
      <c r="K21" s="3">
        <f>IF($AK$2="(Todas)",COUNTIF(BASE[CODCIE10],EPV_PAROTIDITIS[[#This Row],[CIE-10]]),COUNTIFS(BASE[Cod.Establecimiento],$AK$2,BASE[CODCIE10],EPV_PAROTIDITIS[[#This Row],[CIE-10]]))</f>
        <v>0</v>
      </c>
      <c r="L21" s="3">
        <f>IF($AK$2="(Todas)",COUNTIF(BASE[CODCIE102],EPV_PAROTIDITIS[[#This Row],[CIE-10]]),COUNTIFS(BASE[Cod.Establecimiento],$AK$2,BASE[CODCIE102],EPV_PAROTIDITIS[[#This Row],[CIE-10]]))</f>
        <v>0</v>
      </c>
      <c r="M21" s="3">
        <f>IF($AK$2="(Todas)",COUNTIF(BASE[CODCIE104],EPV_PAROTIDITIS[[#This Row],[CIE-10]]),COUNTIFS(BASE[Cod.Establecimiento],$AK$2,BASE[CODCIE104],EPV_PAROTIDITIS[[#This Row],[CIE-10]]))</f>
        <v>0</v>
      </c>
      <c r="N21" s="3">
        <f>IF($AK$2="(Todas)",COUNTIF(BASE[CODCIE106],EPV_PAROTIDITIS[[#This Row],[CIE-10]]),COUNTIFS(BASE[Cod.Establecimiento],$AK$2,BASE[CODCIE106],EPV_PAROTIDITIS[[#This Row],[CIE-10]]))</f>
        <v>0</v>
      </c>
      <c r="O21" s="3">
        <f>IF($AK$2="(Todas)",COUNTIF(BASE[CODCIE108],EPV_PAROTIDITIS[[#This Row],[CIE-10]]),COUNTIFS(BASE[Cod.Establecimiento],$AK$2,BASE[CODCIE108],EPV_PAROTIDITIS[[#This Row],[CIE-10]]))</f>
        <v>0</v>
      </c>
      <c r="P21" s="3">
        <f>IF($AK$2="(Todas)",COUNTIF(BASE[CODCIE1010],EPV_PAROTIDITIS[[#This Row],[CIE-10]]),COUNTIFS(BASE[Cod.Establecimiento],$AK$2,BASE[CODCIE1010],EPV_PAROTIDITIS[[#This Row],[CIE-10]]))</f>
        <v>0</v>
      </c>
      <c r="Q21" s="9">
        <f>SUM(EPV_PAROTIDITIS[[#This Row],[D1]:[D6]])</f>
        <v>0</v>
      </c>
      <c r="S21" s="4" t="s">
        <v>135</v>
      </c>
      <c r="T21" s="3">
        <f>IF($AK$2="(Todas)",COUNTIF(BASE[CODCIE10],EPV_TETANOS_NEONATAL[[#This Row],[CIE-10]]),COUNTIFS(BASE[Cod.Establecimiento],$AK$2,BASE[CODCIE10],EPV_TETANOS_NEONATAL[[#This Row],[CIE-10]]))</f>
        <v>0</v>
      </c>
      <c r="U21" s="3">
        <f>IF($AK$2="(Todas)",COUNTIF(BASE[CODCIE102],EPV_TETANOS_NEONATAL[[#This Row],[CIE-10]]),COUNTIFS(BASE[Cod.Establecimiento],$AK$2,BASE[CODCIE102],EPV_TETANOS_NEONATAL[[#This Row],[CIE-10]]))</f>
        <v>0</v>
      </c>
      <c r="V21" s="3">
        <f>IF($AK$2="(Todas)",COUNTIF(BASE[CODCIE104],EPV_TETANOS_NEONATAL[[#This Row],[CIE-10]]),COUNTIFS(BASE[Cod.Establecimiento],$AK$2,BASE[CODCIE104],EPV_TETANOS_NEONATAL[[#This Row],[CIE-10]]))</f>
        <v>0</v>
      </c>
      <c r="W21" s="3">
        <f>IF($AK$2="(Todas)",COUNTIF(BASE[CODCIE106],EPV_TETANOS_NEONATAL[[#This Row],[CIE-10]]),COUNTIFS(BASE[Cod.Establecimiento],$AK$2,BASE[CODCIE106],EPV_TETANOS_NEONATAL[[#This Row],[CIE-10]]))</f>
        <v>0</v>
      </c>
      <c r="X21" s="3">
        <f>IF($AK$2="(Todas)",COUNTIF(BASE[CODCIE108],EPV_TETANOS_NEONATAL[[#This Row],[CIE-10]]),COUNTIFS(BASE[Cod.Establecimiento],$AK$2,BASE[CODCIE108],EPV_TETANOS_NEONATAL[[#This Row],[CIE-10]]))</f>
        <v>0</v>
      </c>
      <c r="Y21" s="3">
        <f>IF($AK$2="(Todas)",COUNTIF(BASE[CODCIE1010],EPV_TETANOS_NEONATAL[[#This Row],[CIE-10]]),COUNTIFS(BASE[Cod.Establecimiento],$AK$2,BASE[CODCIE1010],EPV_TETANOS_NEONATAL[[#This Row],[CIE-10]]))</f>
        <v>0</v>
      </c>
      <c r="Z21" s="9">
        <f>SUM(EPV_TETANOS_NEONATAL[[#This Row],[D1]:[D6]])</f>
        <v>0</v>
      </c>
    </row>
    <row r="22" spans="1:35">
      <c r="A22" s="4" t="s">
        <v>136</v>
      </c>
      <c r="B22" s="3">
        <f>IF($AK$2="(Todas)",COUNTIF(BASE[CODCIE10],EPV_COQUELUCHE[[#This Row],[CIE-10]]),COUNTIFS(BASE[Cod.Establecimiento],$AK$2,BASE[CODCIE10],EPV_COQUELUCHE[[#This Row],[CIE-10]]))</f>
        <v>0</v>
      </c>
      <c r="C22" s="3">
        <f>IF($AK$2="(Todas)",COUNTIF(BASE[CODCIE102],EPV_COQUELUCHE[[#This Row],[CIE-10]]),COUNTIFS(BASE[Cod.Establecimiento],$AK$2,BASE[CODCIE102],EPV_COQUELUCHE[[#This Row],[CIE-10]]))</f>
        <v>0</v>
      </c>
      <c r="D22" s="3">
        <f>IF($AK$2="(Todas)",COUNTIF(BASE[CODCIE104],EPV_COQUELUCHE[[#This Row],[CIE-10]]),COUNTIFS(BASE[Cod.Establecimiento],$AK$2,BASE[CODCIE104],EPV_COQUELUCHE[[#This Row],[CIE-10]]))</f>
        <v>0</v>
      </c>
      <c r="E22" s="3">
        <f>IF($AK$2="(Todas)",COUNTIF(BASE[CODCIE106],EPV_COQUELUCHE[[#This Row],[CIE-10]]),COUNTIFS(BASE[Cod.Establecimiento],$AK$2,BASE[CODCIE106],EPV_COQUELUCHE[[#This Row],[CIE-10]]))</f>
        <v>0</v>
      </c>
      <c r="F22" s="3">
        <f>IF($AK$2="(Todas)",COUNTIF(BASE[CODCIE108],EPV_COQUELUCHE[[#This Row],[CIE-10]]),COUNTIFS(BASE[Cod.Establecimiento],$AK$2,BASE[CODCIE108],EPV_COQUELUCHE[[#This Row],[CIE-10]]))</f>
        <v>0</v>
      </c>
      <c r="G22" s="3">
        <f>IF($AK$2="(Todas)",COUNTIF(BASE[CODCIE1010],EPV_COQUELUCHE[[#This Row],[CIE-10]]),COUNTIFS(BASE[Cod.Establecimiento],$AK$2,BASE[CODCIE1010],EPV_COQUELUCHE[[#This Row],[CIE-10]]))</f>
        <v>0</v>
      </c>
      <c r="H22" s="9">
        <f>SUM(EPV_COQUELUCHE[[#This Row],[D1]:[D6]])</f>
        <v>0</v>
      </c>
      <c r="J22" s="32" t="s">
        <v>137</v>
      </c>
      <c r="K22" s="3">
        <f>IF($AK$2="(Todas)",COUNTIF(BASE[CODCIE10],EPV_PAROTIDITIS[[#This Row],[CIE-10]]),COUNTIFS(BASE[Cod.Establecimiento],$AK$2,BASE[CODCIE10],EPV_PAROTIDITIS[[#This Row],[CIE-10]]))</f>
        <v>0</v>
      </c>
      <c r="L22" s="3">
        <f>IF($AK$2="(Todas)",COUNTIF(BASE[CODCIE102],EPV_PAROTIDITIS[[#This Row],[CIE-10]]),COUNTIFS(BASE[Cod.Establecimiento],$AK$2,BASE[CODCIE102],EPV_PAROTIDITIS[[#This Row],[CIE-10]]))</f>
        <v>0</v>
      </c>
      <c r="M22" s="3">
        <f>IF($AK$2="(Todas)",COUNTIF(BASE[CODCIE104],EPV_PAROTIDITIS[[#This Row],[CIE-10]]),COUNTIFS(BASE[Cod.Establecimiento],$AK$2,BASE[CODCIE104],EPV_PAROTIDITIS[[#This Row],[CIE-10]]))</f>
        <v>0</v>
      </c>
      <c r="N22" s="3">
        <f>IF($AK$2="(Todas)",COUNTIF(BASE[CODCIE106],EPV_PAROTIDITIS[[#This Row],[CIE-10]]),COUNTIFS(BASE[Cod.Establecimiento],$AK$2,BASE[CODCIE106],EPV_PAROTIDITIS[[#This Row],[CIE-10]]))</f>
        <v>0</v>
      </c>
      <c r="O22" s="3">
        <f>IF($AK$2="(Todas)",COUNTIF(BASE[CODCIE108],EPV_PAROTIDITIS[[#This Row],[CIE-10]]),COUNTIFS(BASE[Cod.Establecimiento],$AK$2,BASE[CODCIE108],EPV_PAROTIDITIS[[#This Row],[CIE-10]]))</f>
        <v>0</v>
      </c>
      <c r="P22" s="3">
        <f>IF($AK$2="(Todas)",COUNTIF(BASE[CODCIE1010],EPV_PAROTIDITIS[[#This Row],[CIE-10]]),COUNTIFS(BASE[Cod.Establecimiento],$AK$2,BASE[CODCIE1010],EPV_PAROTIDITIS[[#This Row],[CIE-10]]))</f>
        <v>0</v>
      </c>
      <c r="Q22" s="9">
        <f>SUM(EPV_PAROTIDITIS[[#This Row],[D1]:[D6]])</f>
        <v>0</v>
      </c>
    </row>
    <row r="23" spans="1:35">
      <c r="A23" s="4" t="s">
        <v>138</v>
      </c>
      <c r="B23" s="3">
        <f>IF($AK$2="(Todas)",COUNTIF(BASE[CODCIE10],EPV_COQUELUCHE[[#This Row],[CIE-10]]),COUNTIFS(BASE[Cod.Establecimiento],$AK$2,BASE[CODCIE10],EPV_COQUELUCHE[[#This Row],[CIE-10]]))</f>
        <v>0</v>
      </c>
      <c r="C23" s="3">
        <f>IF($AK$2="(Todas)",COUNTIF(BASE[CODCIE102],EPV_COQUELUCHE[[#This Row],[CIE-10]]),COUNTIFS(BASE[Cod.Establecimiento],$AK$2,BASE[CODCIE102],EPV_COQUELUCHE[[#This Row],[CIE-10]]))</f>
        <v>0</v>
      </c>
      <c r="D23" s="3">
        <f>IF($AK$2="(Todas)",COUNTIF(BASE[CODCIE104],EPV_COQUELUCHE[[#This Row],[CIE-10]]),COUNTIFS(BASE[Cod.Establecimiento],$AK$2,BASE[CODCIE104],EPV_COQUELUCHE[[#This Row],[CIE-10]]))</f>
        <v>0</v>
      </c>
      <c r="E23" s="3">
        <f>IF($AK$2="(Todas)",COUNTIF(BASE[CODCIE106],EPV_COQUELUCHE[[#This Row],[CIE-10]]),COUNTIFS(BASE[Cod.Establecimiento],$AK$2,BASE[CODCIE106],EPV_COQUELUCHE[[#This Row],[CIE-10]]))</f>
        <v>0</v>
      </c>
      <c r="F23" s="3">
        <f>IF($AK$2="(Todas)",COUNTIF(BASE[CODCIE108],EPV_COQUELUCHE[[#This Row],[CIE-10]]),COUNTIFS(BASE[Cod.Establecimiento],$AK$2,BASE[CODCIE108],EPV_COQUELUCHE[[#This Row],[CIE-10]]))</f>
        <v>0</v>
      </c>
      <c r="G23" s="3">
        <f>IF($AK$2="(Todas)",COUNTIF(BASE[CODCIE1010],EPV_COQUELUCHE[[#This Row],[CIE-10]]),COUNTIFS(BASE[Cod.Establecimiento],$AK$2,BASE[CODCIE1010],EPV_COQUELUCHE[[#This Row],[CIE-10]]))</f>
        <v>0</v>
      </c>
      <c r="H23" s="9">
        <f>SUM(EPV_COQUELUCHE[[#This Row],[D1]:[D6]])</f>
        <v>0</v>
      </c>
      <c r="J23" s="32" t="s">
        <v>139</v>
      </c>
      <c r="K23" s="3">
        <f>IF($AK$2="(Todas)",COUNTIF(BASE[CODCIE10],EPV_PAROTIDITIS[[#This Row],[CIE-10]]),COUNTIFS(BASE[Cod.Establecimiento],$AK$2,BASE[CODCIE10],EPV_PAROTIDITIS[[#This Row],[CIE-10]]))</f>
        <v>0</v>
      </c>
      <c r="L23" s="3">
        <f>IF($AK$2="(Todas)",COUNTIF(BASE[CODCIE102],EPV_PAROTIDITIS[[#This Row],[CIE-10]]),COUNTIFS(BASE[Cod.Establecimiento],$AK$2,BASE[CODCIE102],EPV_PAROTIDITIS[[#This Row],[CIE-10]]))</f>
        <v>0</v>
      </c>
      <c r="M23" s="3">
        <f>IF($AK$2="(Todas)",COUNTIF(BASE[CODCIE104],EPV_PAROTIDITIS[[#This Row],[CIE-10]]),COUNTIFS(BASE[Cod.Establecimiento],$AK$2,BASE[CODCIE104],EPV_PAROTIDITIS[[#This Row],[CIE-10]]))</f>
        <v>0</v>
      </c>
      <c r="N23" s="3">
        <f>IF($AK$2="(Todas)",COUNTIF(BASE[CODCIE106],EPV_PAROTIDITIS[[#This Row],[CIE-10]]),COUNTIFS(BASE[Cod.Establecimiento],$AK$2,BASE[CODCIE106],EPV_PAROTIDITIS[[#This Row],[CIE-10]]))</f>
        <v>0</v>
      </c>
      <c r="O23" s="3">
        <f>IF($AK$2="(Todas)",COUNTIF(BASE[CODCIE108],EPV_PAROTIDITIS[[#This Row],[CIE-10]]),COUNTIFS(BASE[Cod.Establecimiento],$AK$2,BASE[CODCIE108],EPV_PAROTIDITIS[[#This Row],[CIE-10]]))</f>
        <v>0</v>
      </c>
      <c r="P23" s="3">
        <f>IF($AK$2="(Todas)",COUNTIF(BASE[CODCIE1010],EPV_PAROTIDITIS[[#This Row],[CIE-10]]),COUNTIFS(BASE[Cod.Establecimiento],$AK$2,BASE[CODCIE1010],EPV_PAROTIDITIS[[#This Row],[CIE-10]]))</f>
        <v>0</v>
      </c>
      <c r="Q23" s="9">
        <f>SUM(EPV_PAROTIDITIS[[#This Row],[D1]:[D6]])</f>
        <v>0</v>
      </c>
    </row>
    <row r="24" spans="1:35">
      <c r="J24" s="32" t="s">
        <v>140</v>
      </c>
      <c r="K24" s="3">
        <f>IF($AK$2="(Todas)",COUNTIF(BASE[CODCIE10],EPV_PAROTIDITIS[[#This Row],[CIE-10]]),COUNTIFS(BASE[Cod.Establecimiento],$AK$2,BASE[CODCIE10],EPV_PAROTIDITIS[[#This Row],[CIE-10]]))</f>
        <v>0</v>
      </c>
      <c r="L24" s="3">
        <f>IF($AK$2="(Todas)",COUNTIF(BASE[CODCIE102],EPV_PAROTIDITIS[[#This Row],[CIE-10]]),COUNTIFS(BASE[Cod.Establecimiento],$AK$2,BASE[CODCIE102],EPV_PAROTIDITIS[[#This Row],[CIE-10]]))</f>
        <v>0</v>
      </c>
      <c r="M24" s="3">
        <f>IF($AK$2="(Todas)",COUNTIF(BASE[CODCIE104],EPV_PAROTIDITIS[[#This Row],[CIE-10]]),COUNTIFS(BASE[Cod.Establecimiento],$AK$2,BASE[CODCIE104],EPV_PAROTIDITIS[[#This Row],[CIE-10]]))</f>
        <v>0</v>
      </c>
      <c r="N24" s="3">
        <f>IF($AK$2="(Todas)",COUNTIF(BASE[CODCIE106],EPV_PAROTIDITIS[[#This Row],[CIE-10]]),COUNTIFS(BASE[Cod.Establecimiento],$AK$2,BASE[CODCIE106],EPV_PAROTIDITIS[[#This Row],[CIE-10]]))</f>
        <v>0</v>
      </c>
      <c r="O24" s="3">
        <f>IF($AK$2="(Todas)",COUNTIF(BASE[CODCIE108],EPV_PAROTIDITIS[[#This Row],[CIE-10]]),COUNTIFS(BASE[Cod.Establecimiento],$AK$2,BASE[CODCIE108],EPV_PAROTIDITIS[[#This Row],[CIE-10]]))</f>
        <v>0</v>
      </c>
      <c r="P24" s="3">
        <f>IF($AK$2="(Todas)",COUNTIF(BASE[CODCIE1010],EPV_PAROTIDITIS[[#This Row],[CIE-10]]),COUNTIFS(BASE[Cod.Establecimiento],$AK$2,BASE[CODCIE1010],EPV_PAROTIDITIS[[#This Row],[CIE-10]]))</f>
        <v>0</v>
      </c>
      <c r="Q24" s="9">
        <f>SUM(EPV_PAROTIDITIS[[#This Row],[D1]:[D6]])</f>
        <v>0</v>
      </c>
    </row>
    <row r="25" spans="1:35">
      <c r="J25" s="32" t="s">
        <v>141</v>
      </c>
      <c r="K25" s="3">
        <f>IF($AK$2="(Todas)",COUNTIF(BASE[CODCIE10],EPV_PAROTIDITIS[[#This Row],[CIE-10]]),COUNTIFS(BASE[Cod.Establecimiento],$AK$2,BASE[CODCIE10],EPV_PAROTIDITIS[[#This Row],[CIE-10]]))</f>
        <v>0</v>
      </c>
      <c r="L25" s="3">
        <f>IF($AK$2="(Todas)",COUNTIF(BASE[CODCIE102],EPV_PAROTIDITIS[[#This Row],[CIE-10]]),COUNTIFS(BASE[Cod.Establecimiento],$AK$2,BASE[CODCIE102],EPV_PAROTIDITIS[[#This Row],[CIE-10]]))</f>
        <v>0</v>
      </c>
      <c r="M25" s="3">
        <f>IF($AK$2="(Todas)",COUNTIF(BASE[CODCIE104],EPV_PAROTIDITIS[[#This Row],[CIE-10]]),COUNTIFS(BASE[Cod.Establecimiento],$AK$2,BASE[CODCIE104],EPV_PAROTIDITIS[[#This Row],[CIE-10]]))</f>
        <v>0</v>
      </c>
      <c r="N25" s="3">
        <f>IF($AK$2="(Todas)",COUNTIF(BASE[CODCIE106],EPV_PAROTIDITIS[[#This Row],[CIE-10]]),COUNTIFS(BASE[Cod.Establecimiento],$AK$2,BASE[CODCIE106],EPV_PAROTIDITIS[[#This Row],[CIE-10]]))</f>
        <v>0</v>
      </c>
      <c r="O25" s="3">
        <f>IF($AK$2="(Todas)",COUNTIF(BASE[CODCIE108],EPV_PAROTIDITIS[[#This Row],[CIE-10]]),COUNTIFS(BASE[Cod.Establecimiento],$AK$2,BASE[CODCIE108],EPV_PAROTIDITIS[[#This Row],[CIE-10]]))</f>
        <v>0</v>
      </c>
      <c r="P25" s="3">
        <f>IF($AK$2="(Todas)",COUNTIF(BASE[CODCIE1010],EPV_PAROTIDITIS[[#This Row],[CIE-10]]),COUNTIFS(BASE[Cod.Establecimiento],$AK$2,BASE[CODCIE1010],EPV_PAROTIDITIS[[#This Row],[CIE-10]]))</f>
        <v>0</v>
      </c>
      <c r="Q25" s="9">
        <f>SUM(EPV_PAROTIDITIS[[#This Row],[D1]:[D6]])</f>
        <v>0</v>
      </c>
      <c r="S25" s="84" t="s">
        <v>142</v>
      </c>
      <c r="T25" s="85"/>
      <c r="U25" s="85"/>
      <c r="V25" s="85"/>
      <c r="W25" s="85"/>
      <c r="X25" s="85"/>
      <c r="Y25" s="85"/>
      <c r="Z25" s="79"/>
      <c r="AA25" s="85"/>
      <c r="AB25" s="85"/>
      <c r="AC25" s="85"/>
      <c r="AD25" s="85"/>
      <c r="AE25" s="85"/>
      <c r="AF25" s="85"/>
      <c r="AG25" s="85"/>
      <c r="AH25" s="85"/>
      <c r="AI25" s="79"/>
    </row>
    <row r="26" spans="1:35" s="2" customFormat="1">
      <c r="J26" s="4" t="s">
        <v>143</v>
      </c>
      <c r="K26" s="8">
        <f>IF($AK$2="(Todas)",COUNTIF(BASE[CODCIE10],EPV_PAROTIDITIS[[#This Row],[CIE-10]]),COUNTIFS(BASE[Cod.Establecimiento],$AK$2,BASE[CODCIE10],EPV_PAROTIDITIS[[#This Row],[CIE-10]]))</f>
        <v>0</v>
      </c>
      <c r="L26" s="8">
        <f>IF($AK$2="(Todas)",COUNTIF(BASE[CODCIE102],EPV_PAROTIDITIS[[#This Row],[CIE-10]]),COUNTIFS(BASE[Cod.Establecimiento],$AK$2,BASE[CODCIE102],EPV_PAROTIDITIS[[#This Row],[CIE-10]]))</f>
        <v>0</v>
      </c>
      <c r="M26" s="8">
        <f>IF($AK$2="(Todas)",COUNTIF(BASE[CODCIE104],EPV_PAROTIDITIS[[#This Row],[CIE-10]]),COUNTIFS(BASE[Cod.Establecimiento],$AK$2,BASE[CODCIE104],EPV_PAROTIDITIS[[#This Row],[CIE-10]]))</f>
        <v>0</v>
      </c>
      <c r="N26" s="8">
        <f>IF($AK$2="(Todas)",COUNTIF(BASE[CODCIE106],EPV_PAROTIDITIS[[#This Row],[CIE-10]]),COUNTIFS(BASE[Cod.Establecimiento],$AK$2,BASE[CODCIE106],EPV_PAROTIDITIS[[#This Row],[CIE-10]]))</f>
        <v>0</v>
      </c>
      <c r="O26" s="8">
        <f>IF($AK$2="(Todas)",COUNTIF(BASE[CODCIE108],EPV_PAROTIDITIS[[#This Row],[CIE-10]]),COUNTIFS(BASE[Cod.Establecimiento],$AK$2,BASE[CODCIE108],EPV_PAROTIDITIS[[#This Row],[CIE-10]]))</f>
        <v>0</v>
      </c>
      <c r="P26" s="8">
        <f>IF($AK$2="(Todas)",COUNTIF(BASE[CODCIE1010],EPV_PAROTIDITIS[[#This Row],[CIE-10]]),COUNTIFS(BASE[Cod.Establecimiento],$AK$2,BASE[CODCIE1010],EPV_PAROTIDITIS[[#This Row],[CIE-10]]))</f>
        <v>0</v>
      </c>
      <c r="Q26" s="9">
        <f>SUM(EPV_PAROTIDITIS[[#This Row],[D1]:[D6]])</f>
        <v>0</v>
      </c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</row>
    <row r="27" spans="1:35">
      <c r="S27" s="85"/>
      <c r="T27" s="85"/>
      <c r="U27" s="85"/>
      <c r="V27" s="85"/>
      <c r="W27" s="85"/>
      <c r="X27" s="85"/>
      <c r="Y27" s="85"/>
      <c r="Z27" s="79"/>
      <c r="AA27" s="85"/>
      <c r="AB27" s="85"/>
      <c r="AC27" s="85"/>
      <c r="AD27" s="85"/>
      <c r="AE27" s="85"/>
      <c r="AF27" s="85"/>
      <c r="AG27" s="85"/>
      <c r="AH27" s="85"/>
      <c r="AI27" s="79"/>
    </row>
    <row r="28" spans="1:35" ht="18" customHeight="1" thickBot="1">
      <c r="A28" s="80" t="s">
        <v>144</v>
      </c>
      <c r="B28" s="81"/>
      <c r="C28" s="81"/>
      <c r="D28" s="81"/>
      <c r="E28" s="81"/>
      <c r="F28" s="81"/>
      <c r="G28" s="81"/>
      <c r="H28" s="81"/>
      <c r="J28" s="80" t="s">
        <v>145</v>
      </c>
      <c r="K28" s="81"/>
      <c r="L28" s="81"/>
      <c r="M28" s="81"/>
      <c r="N28" s="81"/>
      <c r="O28" s="81"/>
      <c r="P28" s="81"/>
      <c r="Q28" s="81"/>
      <c r="S28" s="85"/>
      <c r="T28" s="85"/>
      <c r="U28" s="85"/>
      <c r="V28" s="85"/>
      <c r="W28" s="85"/>
      <c r="X28" s="85"/>
      <c r="Y28" s="85"/>
      <c r="Z28" s="79"/>
      <c r="AA28" s="85"/>
      <c r="AB28" s="85"/>
      <c r="AC28" s="85"/>
      <c r="AD28" s="85"/>
      <c r="AE28" s="85"/>
      <c r="AF28" s="85"/>
      <c r="AG28" s="85"/>
      <c r="AH28" s="85"/>
      <c r="AI28" s="79"/>
    </row>
    <row r="29" spans="1:35" ht="15.75" customHeight="1" thickTop="1">
      <c r="A29" s="6" t="str">
        <f>CONCATENATE("TOTAL: ",SUM(B29:G29))</f>
        <v>TOTAL: 0</v>
      </c>
      <c r="B29" s="5">
        <f>SUM(EPV_VARICELA[D1])</f>
        <v>0</v>
      </c>
      <c r="C29" s="5">
        <f>SUM(EPV_VARICELA[D2])</f>
        <v>0</v>
      </c>
      <c r="D29" s="5">
        <f>SUM(EPV_VARICELA[D3])</f>
        <v>0</v>
      </c>
      <c r="E29" s="5">
        <f>SUM(EPV_VARICELA[D4])</f>
        <v>0</v>
      </c>
      <c r="F29" s="5">
        <f>SUM(EPV_VARICELA[D5])</f>
        <v>0</v>
      </c>
      <c r="G29" s="5">
        <f>SUM(EPV_VARICELA[D6])</f>
        <v>0</v>
      </c>
      <c r="H29" s="7"/>
      <c r="J29" s="6" t="str">
        <f>CONCATENATE("TOTAL: ",SUM(K29:P29))</f>
        <v>TOTAL: 0</v>
      </c>
      <c r="K29" s="5">
        <f>SUM(EPV_ESAVI[D1])</f>
        <v>0</v>
      </c>
      <c r="L29" s="5">
        <f>SUM(EPV_ESAVI[D2])</f>
        <v>0</v>
      </c>
      <c r="M29" s="5">
        <f>SUM(EPV_ESAVI[D3])</f>
        <v>0</v>
      </c>
      <c r="N29" s="5">
        <f>SUM(EPV_ESAVI[D4])</f>
        <v>0</v>
      </c>
      <c r="O29" s="5">
        <f>SUM(EPV_ESAVI[D5])</f>
        <v>0</v>
      </c>
      <c r="P29" s="5">
        <f>SUM(EPV_ESAVI[D6])</f>
        <v>0</v>
      </c>
      <c r="Q29" s="7"/>
      <c r="S29" s="85"/>
      <c r="T29" s="85"/>
      <c r="U29" s="85"/>
      <c r="V29" s="85"/>
      <c r="W29" s="85"/>
      <c r="X29" s="85"/>
      <c r="Y29" s="85"/>
      <c r="Z29" s="79"/>
      <c r="AA29" s="85"/>
      <c r="AB29" s="85"/>
      <c r="AC29" s="85"/>
      <c r="AD29" s="85"/>
      <c r="AE29" s="85"/>
      <c r="AF29" s="85"/>
      <c r="AG29" s="85"/>
      <c r="AH29" s="85"/>
      <c r="AI29" s="79"/>
    </row>
    <row r="30" spans="1:35">
      <c r="A30" t="s">
        <v>93</v>
      </c>
      <c r="B30" s="3" t="s">
        <v>94</v>
      </c>
      <c r="C30" s="3" t="s">
        <v>95</v>
      </c>
      <c r="D30" s="3" t="s">
        <v>96</v>
      </c>
      <c r="E30" s="3" t="s">
        <v>97</v>
      </c>
      <c r="F30" s="3" t="s">
        <v>98</v>
      </c>
      <c r="G30" s="3" t="s">
        <v>99</v>
      </c>
      <c r="H30" s="8" t="s">
        <v>100</v>
      </c>
      <c r="J30" t="s">
        <v>93</v>
      </c>
      <c r="K30" s="3" t="s">
        <v>94</v>
      </c>
      <c r="L30" s="3" t="s">
        <v>95</v>
      </c>
      <c r="M30" s="3" t="s">
        <v>96</v>
      </c>
      <c r="N30" s="3" t="s">
        <v>97</v>
      </c>
      <c r="O30" s="3" t="s">
        <v>98</v>
      </c>
      <c r="P30" s="3" t="s">
        <v>99</v>
      </c>
      <c r="Q30" s="8" t="s">
        <v>100</v>
      </c>
      <c r="S30" s="85"/>
      <c r="T30" s="85"/>
      <c r="U30" s="85"/>
      <c r="V30" s="85"/>
      <c r="W30" s="85"/>
      <c r="X30" s="85"/>
      <c r="Y30" s="85"/>
      <c r="Z30" s="79"/>
      <c r="AA30" s="85"/>
      <c r="AB30" s="85"/>
      <c r="AC30" s="85"/>
      <c r="AD30" s="85"/>
      <c r="AE30" s="85"/>
      <c r="AF30" s="85"/>
      <c r="AG30" s="85"/>
      <c r="AH30" s="85"/>
      <c r="AI30" s="79"/>
    </row>
    <row r="31" spans="1:35">
      <c r="A31" s="4" t="s">
        <v>146</v>
      </c>
      <c r="B31" s="3">
        <f>IF($AK$2="(Todas)",COUNTIF(BASE[CODCIE10],EPV_VARICELA[[#This Row],[CIE-10]]),COUNTIFS(BASE[Cod.Establecimiento],$AK$2,BASE[CODCIE10],EPV_VARICELA[[#This Row],[CIE-10]]))</f>
        <v>0</v>
      </c>
      <c r="C31" s="3">
        <f>IF($AK$2="(Todas)",COUNTIF(BASE[CODCIE102],EPV_VARICELA[[#This Row],[CIE-10]]),COUNTIFS(BASE[Cod.Establecimiento],$AK$2,BASE[CODCIE102],EPV_VARICELA[[#This Row],[CIE-10]]))</f>
        <v>0</v>
      </c>
      <c r="D31" s="3">
        <f>IF($AK$2="(Todas)",COUNTIF(BASE[CODCIE104],EPV_VARICELA[[#This Row],[CIE-10]]),COUNTIFS(BASE[Cod.Establecimiento],$AK$2,BASE[CODCIE104],EPV_VARICELA[[#This Row],[CIE-10]]))</f>
        <v>0</v>
      </c>
      <c r="E31" s="3">
        <f>IF($AK$2="(Todas)",COUNTIF(BASE[CODCIE106],EPV_VARICELA[[#This Row],[CIE-10]]),COUNTIFS(BASE[Cod.Establecimiento],$AK$2,BASE[CODCIE106],EPV_VARICELA[[#This Row],[CIE-10]]))</f>
        <v>0</v>
      </c>
      <c r="F31" s="3">
        <f>IF($AK$2="(Todas)",COUNTIF(BASE[CODCIE108],EPV_VARICELA[[#This Row],[CIE-10]]),COUNTIFS(BASE[Cod.Establecimiento],$AK$2,BASE[CODCIE108],EPV_VARICELA[[#This Row],[CIE-10]]))</f>
        <v>0</v>
      </c>
      <c r="G31" s="3">
        <f>IF($AK$2="(Todas)",COUNTIF(BASE[CODCIE1010],EPV_VARICELA[[#This Row],[CIE-10]]),COUNTIFS(BASE[Cod.Establecimiento],$AK$2,BASE[CODCIE1010],EPV_VARICELA[[#This Row],[CIE-10]]))</f>
        <v>0</v>
      </c>
      <c r="H31" s="9">
        <f>SUM(EPV_VARICELA[[#This Row],[D1]:[D6]])</f>
        <v>0</v>
      </c>
      <c r="J31" s="4" t="s">
        <v>328</v>
      </c>
      <c r="K31" s="3">
        <f>IF($AK$2="(Todas)",COUNTIF(BASE[CODCIE10],EPV_ESAVI[[#This Row],[CIE-10]]),COUNTIFS(BASE[Cod.Establecimiento],$AK$2,BASE[CODCIE10],EPV_ESAVI[[#This Row],[CIE-10]]))</f>
        <v>0</v>
      </c>
      <c r="L31" s="3">
        <f>IF($AK$2="(Todas)",COUNTIF(BASE[CODCIE102],EPV_ESAVI[[#This Row],[CIE-10]]),COUNTIFS(BASE[Cod.Establecimiento],$AK$2,BASE[CODCIE102],EPV_ESAVI[[#This Row],[CIE-10]]))</f>
        <v>0</v>
      </c>
      <c r="M31" s="3">
        <f>IF($AK$2="(Todas)",COUNTIF(BASE[CODCIE104],EPV_ESAVI[[#This Row],[CIE-10]]),COUNTIFS(BASE[Cod.Establecimiento],$AK$2,BASE[CODCIE104],EPV_ESAVI[[#This Row],[CIE-10]]))</f>
        <v>0</v>
      </c>
      <c r="N31" s="3">
        <f>IF($AK$2="(Todas)",COUNTIF(BASE[CODCIE106],EPV_ESAVI[[#This Row],[CIE-10]]),COUNTIFS(BASE[Cod.Establecimiento],$AK$2,BASE[CODCIE106],EPV_ESAVI[[#This Row],[CIE-10]]))</f>
        <v>0</v>
      </c>
      <c r="O31" s="3">
        <f>IF($AK$2="(Todas)",COUNTIF(BASE[CODCIE108],EPV_ESAVI[[#This Row],[CIE-10]]),COUNTIFS(BASE[Cod.Establecimiento],$AK$2,BASE[CODCIE108],EPV_ESAVI[[#This Row],[CIE-10]]))</f>
        <v>0</v>
      </c>
      <c r="P31" s="3">
        <f>IF($AK$2="(Todas)",COUNTIF(BASE[CODCIE1010],EPV_ESAVI[[#This Row],[CIE-10]]),COUNTIFS(BASE[Cod.Establecimiento],$AK$2,BASE[CODCIE1010],EPV_ESAVI[[#This Row],[CIE-10]]))</f>
        <v>0</v>
      </c>
      <c r="Q31" s="9">
        <f>SUM(EPV_ESAVI[[#This Row],[D1]:[D6]])</f>
        <v>0</v>
      </c>
    </row>
    <row r="32" spans="1:35">
      <c r="A32" s="4" t="s">
        <v>613</v>
      </c>
      <c r="B32" s="3">
        <f>IF($AK$2="(Todas)",COUNTIF(BASE[CODCIE10],EPV_VARICELA[[#This Row],[CIE-10]]),COUNTIFS(BASE[Cod.Establecimiento],$AK$2,BASE[CODCIE10],EPV_VARICELA[[#This Row],[CIE-10]]))</f>
        <v>0</v>
      </c>
      <c r="C32" s="3">
        <f>IF($AK$2="(Todas)",COUNTIF(BASE[CODCIE102],EPV_VARICELA[[#This Row],[CIE-10]]),COUNTIFS(BASE[Cod.Establecimiento],$AK$2,BASE[CODCIE102],EPV_VARICELA[[#This Row],[CIE-10]]))</f>
        <v>0</v>
      </c>
      <c r="D32" s="3">
        <f>IF($AK$2="(Todas)",COUNTIF(BASE[CODCIE104],EPV_VARICELA[[#This Row],[CIE-10]]),COUNTIFS(BASE[Cod.Establecimiento],$AK$2,BASE[CODCIE104],EPV_VARICELA[[#This Row],[CIE-10]]))</f>
        <v>0</v>
      </c>
      <c r="E32" s="3">
        <f>IF($AK$2="(Todas)",COUNTIF(BASE[CODCIE106],EPV_VARICELA[[#This Row],[CIE-10]]),COUNTIFS(BASE[Cod.Establecimiento],$AK$2,BASE[CODCIE106],EPV_VARICELA[[#This Row],[CIE-10]]))</f>
        <v>0</v>
      </c>
      <c r="F32" s="3">
        <f>IF($AK$2="(Todas)",COUNTIF(BASE[CODCIE108],EPV_VARICELA[[#This Row],[CIE-10]]),COUNTIFS(BASE[Cod.Establecimiento],$AK$2,BASE[CODCIE108],EPV_VARICELA[[#This Row],[CIE-10]]))</f>
        <v>0</v>
      </c>
      <c r="G32" s="3">
        <f>IF($AK$2="(Todas)",COUNTIF(BASE[CODCIE1010],EPV_VARICELA[[#This Row],[CIE-10]]),COUNTIFS(BASE[Cod.Establecimiento],$AK$2,BASE[CODCIE1010],EPV_VARICELA[[#This Row],[CIE-10]]))</f>
        <v>0</v>
      </c>
      <c r="H32" s="9">
        <f>SUM(EPV_VARICELA[[#This Row],[D1]:[D6]])</f>
        <v>0</v>
      </c>
      <c r="J32" s="4" t="s">
        <v>148</v>
      </c>
      <c r="K32" s="3">
        <f>IF($AK$2="(Todas)",COUNTIF(BASE[CODCIE10],EPV_ESAVI[[#This Row],[CIE-10]]),COUNTIFS(BASE[Cod.Establecimiento],$AK$2,BASE[CODCIE10],EPV_ESAVI[[#This Row],[CIE-10]]))</f>
        <v>0</v>
      </c>
      <c r="L32" s="3">
        <f>IF($AK$2="(Todas)",COUNTIF(BASE[CODCIE102],EPV_ESAVI[[#This Row],[CIE-10]]),COUNTIFS(BASE[Cod.Establecimiento],$AK$2,BASE[CODCIE102],EPV_ESAVI[[#This Row],[CIE-10]]))</f>
        <v>0</v>
      </c>
      <c r="M32" s="3">
        <f>IF($AK$2="(Todas)",COUNTIF(BASE[CODCIE104],EPV_ESAVI[[#This Row],[CIE-10]]),COUNTIFS(BASE[Cod.Establecimiento],$AK$2,BASE[CODCIE104],EPV_ESAVI[[#This Row],[CIE-10]]))</f>
        <v>0</v>
      </c>
      <c r="N32" s="3">
        <f>IF($AK$2="(Todas)",COUNTIF(BASE[CODCIE106],EPV_ESAVI[[#This Row],[CIE-10]]),COUNTIFS(BASE[Cod.Establecimiento],$AK$2,BASE[CODCIE106],EPV_ESAVI[[#This Row],[CIE-10]]))</f>
        <v>0</v>
      </c>
      <c r="O32" s="3">
        <f>IF($AK$2="(Todas)",COUNTIF(BASE[CODCIE108],EPV_ESAVI[[#This Row],[CIE-10]]),COUNTIFS(BASE[Cod.Establecimiento],$AK$2,BASE[CODCIE108],EPV_ESAVI[[#This Row],[CIE-10]]))</f>
        <v>0</v>
      </c>
      <c r="P32" s="3">
        <f>IF($AK$2="(Todas)",COUNTIF(BASE[CODCIE1010],EPV_ESAVI[[#This Row],[CIE-10]]),COUNTIFS(BASE[Cod.Establecimiento],$AK$2,BASE[CODCIE1010],EPV_ESAVI[[#This Row],[CIE-10]]))</f>
        <v>0</v>
      </c>
      <c r="Q32" s="9">
        <f>SUM(EPV_ESAVI[[#This Row],[D1]:[D6]])</f>
        <v>0</v>
      </c>
    </row>
    <row r="33" spans="1:17">
      <c r="A33" s="32" t="s">
        <v>147</v>
      </c>
      <c r="B33" s="3">
        <f>IF($AK$2="(Todas)",COUNTIF(BASE[CODCIE10],EPV_VARICELA[[#This Row],[CIE-10]]),COUNTIFS(BASE[Cod.Establecimiento],$AK$2,BASE[CODCIE10],EPV_VARICELA[[#This Row],[CIE-10]]))</f>
        <v>0</v>
      </c>
      <c r="C33" s="3">
        <f>IF($AK$2="(Todas)",COUNTIF(BASE[CODCIE102],EPV_VARICELA[[#This Row],[CIE-10]]),COUNTIFS(BASE[Cod.Establecimiento],$AK$2,BASE[CODCIE102],EPV_VARICELA[[#This Row],[CIE-10]]))</f>
        <v>0</v>
      </c>
      <c r="D33" s="3">
        <f>IF($AK$2="(Todas)",COUNTIF(BASE[CODCIE104],EPV_VARICELA[[#This Row],[CIE-10]]),COUNTIFS(BASE[Cod.Establecimiento],$AK$2,BASE[CODCIE104],EPV_VARICELA[[#This Row],[CIE-10]]))</f>
        <v>0</v>
      </c>
      <c r="E33" s="3">
        <f>IF($AK$2="(Todas)",COUNTIF(BASE[CODCIE106],EPV_VARICELA[[#This Row],[CIE-10]]),COUNTIFS(BASE[Cod.Establecimiento],$AK$2,BASE[CODCIE106],EPV_VARICELA[[#This Row],[CIE-10]]))</f>
        <v>0</v>
      </c>
      <c r="F33" s="3">
        <f>IF($AK$2="(Todas)",COUNTIF(BASE[CODCIE108],EPV_VARICELA[[#This Row],[CIE-10]]),COUNTIFS(BASE[Cod.Establecimiento],$AK$2,BASE[CODCIE108],EPV_VARICELA[[#This Row],[CIE-10]]))</f>
        <v>0</v>
      </c>
      <c r="G33" s="3">
        <f>IF($AK$2="(Todas)",COUNTIF(BASE[CODCIE1010],EPV_VARICELA[[#This Row],[CIE-10]]),COUNTIFS(BASE[Cod.Establecimiento],$AK$2,BASE[CODCIE1010],EPV_VARICELA[[#This Row],[CIE-10]]))</f>
        <v>0</v>
      </c>
      <c r="H33" s="9">
        <f>SUM(EPV_VARICELA[[#This Row],[D1]:[D6]])</f>
        <v>0</v>
      </c>
      <c r="J33" s="4" t="s">
        <v>149</v>
      </c>
      <c r="K33" s="3">
        <f>IF($AK$2="(Todas)",COUNTIF(BASE[CODCIE10],EPV_ESAVI[[#This Row],[CIE-10]]),COUNTIFS(BASE[Cod.Establecimiento],$AK$2,BASE[CODCIE10],EPV_ESAVI[[#This Row],[CIE-10]]))</f>
        <v>0</v>
      </c>
      <c r="L33" s="3">
        <f>IF($AK$2="(Todas)",COUNTIF(BASE[CODCIE102],EPV_ESAVI[[#This Row],[CIE-10]]),COUNTIFS(BASE[Cod.Establecimiento],$AK$2,BASE[CODCIE102],EPV_ESAVI[[#This Row],[CIE-10]]))</f>
        <v>0</v>
      </c>
      <c r="M33" s="3">
        <f>IF($AK$2="(Todas)",COUNTIF(BASE[CODCIE104],EPV_ESAVI[[#This Row],[CIE-10]]),COUNTIFS(BASE[Cod.Establecimiento],$AK$2,BASE[CODCIE104],EPV_ESAVI[[#This Row],[CIE-10]]))</f>
        <v>0</v>
      </c>
      <c r="N33" s="3">
        <f>IF($AK$2="(Todas)",COUNTIF(BASE[CODCIE106],EPV_ESAVI[[#This Row],[CIE-10]]),COUNTIFS(BASE[Cod.Establecimiento],$AK$2,BASE[CODCIE106],EPV_ESAVI[[#This Row],[CIE-10]]))</f>
        <v>0</v>
      </c>
      <c r="O33" s="3">
        <f>IF($AK$2="(Todas)",COUNTIF(BASE[CODCIE108],EPV_ESAVI[[#This Row],[CIE-10]]),COUNTIFS(BASE[Cod.Establecimiento],$AK$2,BASE[CODCIE108],EPV_ESAVI[[#This Row],[CIE-10]]))</f>
        <v>0</v>
      </c>
      <c r="P33" s="3">
        <f>IF($AK$2="(Todas)",COUNTIF(BASE[CODCIE1010],EPV_ESAVI[[#This Row],[CIE-10]]),COUNTIFS(BASE[Cod.Establecimiento],$AK$2,BASE[CODCIE1010],EPV_ESAVI[[#This Row],[CIE-10]]))</f>
        <v>0</v>
      </c>
      <c r="Q33" s="9">
        <f>SUM(EPV_ESAVI[[#This Row],[D1]:[D6]])</f>
        <v>0</v>
      </c>
    </row>
    <row r="34" spans="1:17">
      <c r="J34" s="4" t="s">
        <v>150</v>
      </c>
      <c r="K34" s="3">
        <f>IF($AK$2="(Todas)",COUNTIF(BASE[CODCIE10],EPV_ESAVI[[#This Row],[CIE-10]]),COUNTIFS(BASE[Cod.Establecimiento],$AK$2,BASE[CODCIE10],EPV_ESAVI[[#This Row],[CIE-10]]))</f>
        <v>0</v>
      </c>
      <c r="L34" s="3">
        <f>IF($AK$2="(Todas)",COUNTIF(BASE[CODCIE102],EPV_ESAVI[[#This Row],[CIE-10]]),COUNTIFS(BASE[Cod.Establecimiento],$AK$2,BASE[CODCIE102],EPV_ESAVI[[#This Row],[CIE-10]]))</f>
        <v>0</v>
      </c>
      <c r="M34" s="3">
        <f>IF($AK$2="(Todas)",COUNTIF(BASE[CODCIE104],EPV_ESAVI[[#This Row],[CIE-10]]),COUNTIFS(BASE[Cod.Establecimiento],$AK$2,BASE[CODCIE104],EPV_ESAVI[[#This Row],[CIE-10]]))</f>
        <v>0</v>
      </c>
      <c r="N34" s="3">
        <f>IF($AK$2="(Todas)",COUNTIF(BASE[CODCIE106],EPV_ESAVI[[#This Row],[CIE-10]]),COUNTIFS(BASE[Cod.Establecimiento],$AK$2,BASE[CODCIE106],EPV_ESAVI[[#This Row],[CIE-10]]))</f>
        <v>0</v>
      </c>
      <c r="O34" s="3">
        <f>IF($AK$2="(Todas)",COUNTIF(BASE[CODCIE108],EPV_ESAVI[[#This Row],[CIE-10]]),COUNTIFS(BASE[Cod.Establecimiento],$AK$2,BASE[CODCIE108],EPV_ESAVI[[#This Row],[CIE-10]]))</f>
        <v>0</v>
      </c>
      <c r="P34" s="3">
        <f>IF($AK$2="(Todas)",COUNTIF(BASE[CODCIE1010],EPV_ESAVI[[#This Row],[CIE-10]]),COUNTIFS(BASE[Cod.Establecimiento],$AK$2,BASE[CODCIE1010],EPV_ESAVI[[#This Row],[CIE-10]]))</f>
        <v>0</v>
      </c>
      <c r="Q34" s="9">
        <f>SUM(EPV_ESAVI[[#This Row],[D1]:[D6]])</f>
        <v>0</v>
      </c>
    </row>
    <row r="35" spans="1:17">
      <c r="J35" s="4" t="s">
        <v>151</v>
      </c>
      <c r="K35" s="3">
        <f>IF($AK$2="(Todas)",COUNTIF(BASE[CODCIE10],EPV_ESAVI[[#This Row],[CIE-10]]),COUNTIFS(BASE[Cod.Establecimiento],$AK$2,BASE[CODCIE10],EPV_ESAVI[[#This Row],[CIE-10]]))</f>
        <v>0</v>
      </c>
      <c r="L35" s="3">
        <f>IF($AK$2="(Todas)",COUNTIF(BASE[CODCIE102],EPV_ESAVI[[#This Row],[CIE-10]]),COUNTIFS(BASE[Cod.Establecimiento],$AK$2,BASE[CODCIE102],EPV_ESAVI[[#This Row],[CIE-10]]))</f>
        <v>0</v>
      </c>
      <c r="M35" s="3">
        <f>IF($AK$2="(Todas)",COUNTIF(BASE[CODCIE104],EPV_ESAVI[[#This Row],[CIE-10]]),COUNTIFS(BASE[Cod.Establecimiento],$AK$2,BASE[CODCIE104],EPV_ESAVI[[#This Row],[CIE-10]]))</f>
        <v>0</v>
      </c>
      <c r="N35" s="3">
        <f>IF($AK$2="(Todas)",COUNTIF(BASE[CODCIE106],EPV_ESAVI[[#This Row],[CIE-10]]),COUNTIFS(BASE[Cod.Establecimiento],$AK$2,BASE[CODCIE106],EPV_ESAVI[[#This Row],[CIE-10]]))</f>
        <v>0</v>
      </c>
      <c r="O35" s="3">
        <f>IF($AK$2="(Todas)",COUNTIF(BASE[CODCIE108],EPV_ESAVI[[#This Row],[CIE-10]]),COUNTIFS(BASE[Cod.Establecimiento],$AK$2,BASE[CODCIE108],EPV_ESAVI[[#This Row],[CIE-10]]))</f>
        <v>0</v>
      </c>
      <c r="P35" s="3">
        <f>IF($AK$2="(Todas)",COUNTIF(BASE[CODCIE1010],EPV_ESAVI[[#This Row],[CIE-10]]),COUNTIFS(BASE[Cod.Establecimiento],$AK$2,BASE[CODCIE1010],EPV_ESAVI[[#This Row],[CIE-10]]))</f>
        <v>0</v>
      </c>
      <c r="Q35" s="9">
        <f>SUM(EPV_ESAVI[[#This Row],[D1]:[D6]])</f>
        <v>0</v>
      </c>
    </row>
    <row r="36" spans="1:17">
      <c r="J36" s="4" t="s">
        <v>152</v>
      </c>
      <c r="K36" s="3">
        <f>IF($AK$2="(Todas)",COUNTIF(BASE[CODCIE10],EPV_ESAVI[[#This Row],[CIE-10]]),COUNTIFS(BASE[Cod.Establecimiento],$AK$2,BASE[CODCIE10],EPV_ESAVI[[#This Row],[CIE-10]]))</f>
        <v>0</v>
      </c>
      <c r="L36" s="3">
        <f>IF($AK$2="(Todas)",COUNTIF(BASE[CODCIE102],EPV_ESAVI[[#This Row],[CIE-10]]),COUNTIFS(BASE[Cod.Establecimiento],$AK$2,BASE[CODCIE102],EPV_ESAVI[[#This Row],[CIE-10]]))</f>
        <v>0</v>
      </c>
      <c r="M36" s="3">
        <f>IF($AK$2="(Todas)",COUNTIF(BASE[CODCIE104],EPV_ESAVI[[#This Row],[CIE-10]]),COUNTIFS(BASE[Cod.Establecimiento],$AK$2,BASE[CODCIE104],EPV_ESAVI[[#This Row],[CIE-10]]))</f>
        <v>0</v>
      </c>
      <c r="N36" s="3">
        <f>IF($AK$2="(Todas)",COUNTIF(BASE[CODCIE106],EPV_ESAVI[[#This Row],[CIE-10]]),COUNTIFS(BASE[Cod.Establecimiento],$AK$2,BASE[CODCIE106],EPV_ESAVI[[#This Row],[CIE-10]]))</f>
        <v>0</v>
      </c>
      <c r="O36" s="3">
        <f>IF($AK$2="(Todas)",COUNTIF(BASE[CODCIE108],EPV_ESAVI[[#This Row],[CIE-10]]),COUNTIFS(BASE[Cod.Establecimiento],$AK$2,BASE[CODCIE108],EPV_ESAVI[[#This Row],[CIE-10]]))</f>
        <v>0</v>
      </c>
      <c r="P36" s="3">
        <f>IF($AK$2="(Todas)",COUNTIF(BASE[CODCIE1010],EPV_ESAVI[[#This Row],[CIE-10]]),COUNTIFS(BASE[Cod.Establecimiento],$AK$2,BASE[CODCIE1010],EPV_ESAVI[[#This Row],[CIE-10]]))</f>
        <v>0</v>
      </c>
      <c r="Q36" s="9">
        <f>SUM(EPV_ESAVI[[#This Row],[D1]:[D6]])</f>
        <v>0</v>
      </c>
    </row>
    <row r="37" spans="1:17">
      <c r="J37" s="4" t="s">
        <v>153</v>
      </c>
      <c r="K37" s="3">
        <f>IF($AK$2="(Todas)",COUNTIF(BASE[CODCIE10],EPV_ESAVI[[#This Row],[CIE-10]]),COUNTIFS(BASE[Cod.Establecimiento],$AK$2,BASE[CODCIE10],EPV_ESAVI[[#This Row],[CIE-10]]))</f>
        <v>0</v>
      </c>
      <c r="L37" s="3">
        <f>IF($AK$2="(Todas)",COUNTIF(BASE[CODCIE102],EPV_ESAVI[[#This Row],[CIE-10]]),COUNTIFS(BASE[Cod.Establecimiento],$AK$2,BASE[CODCIE102],EPV_ESAVI[[#This Row],[CIE-10]]))</f>
        <v>0</v>
      </c>
      <c r="M37" s="3">
        <f>IF($AK$2="(Todas)",COUNTIF(BASE[CODCIE104],EPV_ESAVI[[#This Row],[CIE-10]]),COUNTIFS(BASE[Cod.Establecimiento],$AK$2,BASE[CODCIE104],EPV_ESAVI[[#This Row],[CIE-10]]))</f>
        <v>0</v>
      </c>
      <c r="N37" s="3">
        <f>IF($AK$2="(Todas)",COUNTIF(BASE[CODCIE106],EPV_ESAVI[[#This Row],[CIE-10]]),COUNTIFS(BASE[Cod.Establecimiento],$AK$2,BASE[CODCIE106],EPV_ESAVI[[#This Row],[CIE-10]]))</f>
        <v>0</v>
      </c>
      <c r="O37" s="3">
        <f>IF($AK$2="(Todas)",COUNTIF(BASE[CODCIE108],EPV_ESAVI[[#This Row],[CIE-10]]),COUNTIFS(BASE[Cod.Establecimiento],$AK$2,BASE[CODCIE108],EPV_ESAVI[[#This Row],[CIE-10]]))</f>
        <v>0</v>
      </c>
      <c r="P37" s="3">
        <f>IF($AK$2="(Todas)",COUNTIF(BASE[CODCIE1010],EPV_ESAVI[[#This Row],[CIE-10]]),COUNTIFS(BASE[Cod.Establecimiento],$AK$2,BASE[CODCIE1010],EPV_ESAVI[[#This Row],[CIE-10]]))</f>
        <v>0</v>
      </c>
      <c r="Q37" s="9">
        <f>SUM(EPV_ESAVI[[#This Row],[D1]:[D6]])</f>
        <v>0</v>
      </c>
    </row>
  </sheetData>
  <mergeCells count="15">
    <mergeCell ref="AJ1:AK1"/>
    <mergeCell ref="AB17:AI17"/>
    <mergeCell ref="J2:N2"/>
    <mergeCell ref="J1:Z1"/>
    <mergeCell ref="A28:H28"/>
    <mergeCell ref="AB2:AI2"/>
    <mergeCell ref="J17:Q17"/>
    <mergeCell ref="A17:H17"/>
    <mergeCell ref="J28:Q28"/>
    <mergeCell ref="S25:AI30"/>
    <mergeCell ref="O2:T2"/>
    <mergeCell ref="U2:Z2"/>
    <mergeCell ref="S17:Z17"/>
    <mergeCell ref="A2:H2"/>
    <mergeCell ref="AJ3:AK3"/>
  </mergeCells>
  <conditionalFormatting sqref="B5:H11">
    <cfRule type="cellIs" dxfId="83" priority="4" operator="greaterThan">
      <formula>0</formula>
    </cfRule>
  </conditionalFormatting>
  <conditionalFormatting sqref="K5:Q15">
    <cfRule type="cellIs" dxfId="82" priority="3" operator="greaterThan">
      <formula>0</formula>
    </cfRule>
  </conditionalFormatting>
  <conditionalFormatting sqref="T5:Z13">
    <cfRule type="cellIs" dxfId="81" priority="2" operator="greaterThan">
      <formula>0</formula>
    </cfRule>
  </conditionalFormatting>
  <conditionalFormatting sqref="AC5:AI13 AC20:AI20 T20:Z21 B20:H23 K20:Q26 B31:H33 K31:Q37">
    <cfRule type="cellIs" dxfId="80" priority="1" operator="greaterThan">
      <formula>0</formula>
    </cfRule>
  </conditionalFormatting>
  <pageMargins left="0.7" right="0.7" top="0.75" bottom="0.75" header="0.3" footer="0.3"/>
  <pageSetup orientation="portrait" r:id="rId2"/>
  <legacyDrawing r:id="rId3"/>
  <tableParts count="10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244"/>
  <sheetViews>
    <sheetView showGridLines="0" zoomScale="85" zoomScaleNormal="85" workbookViewId="0">
      <selection activeCell="N4" sqref="N4:O4"/>
    </sheetView>
  </sheetViews>
  <sheetFormatPr baseColWidth="10" defaultRowHeight="15"/>
  <cols>
    <col min="12" max="12" width="21" bestFit="1" customWidth="1"/>
    <col min="13" max="13" width="11.7109375" bestFit="1" customWidth="1"/>
    <col min="14" max="14" width="20.140625" bestFit="1" customWidth="1"/>
    <col min="15" max="15" width="10.7109375" bestFit="1" customWidth="1"/>
    <col min="17" max="23" width="5.7109375" customWidth="1"/>
    <col min="26" max="32" width="5.7109375" customWidth="1"/>
    <col min="35" max="35" width="21" bestFit="1" customWidth="1"/>
    <col min="36" max="36" width="11.7109375" bestFit="1" customWidth="1"/>
  </cols>
  <sheetData>
    <row r="1" spans="1:32" ht="22.5" customHeight="1">
      <c r="A1" s="2"/>
      <c r="B1" s="83" t="s">
        <v>154</v>
      </c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Z1" s="2"/>
      <c r="AA1" s="2"/>
      <c r="AB1" s="2"/>
      <c r="AC1" s="2"/>
      <c r="AD1" s="2"/>
      <c r="AE1" s="2"/>
      <c r="AF1" s="2"/>
    </row>
    <row r="2" spans="1:32" ht="15.75" customHeight="1">
      <c r="A2" s="2"/>
      <c r="B2" s="138" t="s">
        <v>155</v>
      </c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137" t="s">
        <v>86</v>
      </c>
      <c r="O2" s="85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ht="15.75" customHeight="1">
      <c r="A3" s="2"/>
      <c r="B3" s="93" t="s">
        <v>156</v>
      </c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1" t="s">
        <v>10</v>
      </c>
      <c r="O3" t="s">
        <v>92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ht="16.5" customHeight="1">
      <c r="A4" s="2"/>
      <c r="B4" s="12" t="s">
        <v>157</v>
      </c>
      <c r="C4" s="13"/>
      <c r="D4" s="13" t="s">
        <v>83</v>
      </c>
      <c r="E4" s="13"/>
      <c r="F4" s="14" t="s">
        <v>158</v>
      </c>
      <c r="G4" s="14"/>
      <c r="H4" s="15"/>
      <c r="I4" s="16">
        <v>2025</v>
      </c>
      <c r="J4" s="17"/>
      <c r="K4" s="18"/>
      <c r="N4" s="79"/>
      <c r="O4" s="79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F4" s="2"/>
    </row>
    <row r="5" spans="1:32" ht="16.5" customHeight="1" thickBot="1">
      <c r="A5" s="2"/>
      <c r="B5" s="12" t="str">
        <f>CONCATENATE("Establecimiento: ",$O$3)</f>
        <v>Establecimiento: (Todas)</v>
      </c>
      <c r="C5" s="13"/>
      <c r="D5" s="13"/>
      <c r="E5" s="13"/>
      <c r="F5" s="17"/>
      <c r="G5" s="17"/>
      <c r="H5" s="19" t="str">
        <f>CONCATENATE("N° total de consultas NUEVOS: ",IF($O$3="(Todas)",COUNT(BASE[Fecha]),COUNTIFS(BASE[Cod.Establecimiento],$O$3)))</f>
        <v>N° total de consultas NUEVOS: 0</v>
      </c>
      <c r="I5" s="20"/>
      <c r="J5" s="17"/>
      <c r="K5" s="21"/>
      <c r="L5" s="2"/>
      <c r="M5" s="2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27.75" customHeight="1" thickBot="1">
      <c r="A6" s="2"/>
      <c r="B6" s="98" t="s">
        <v>159</v>
      </c>
      <c r="C6" s="99"/>
      <c r="D6" s="99"/>
      <c r="E6" s="99"/>
      <c r="F6" s="99"/>
      <c r="G6" s="100"/>
      <c r="H6" s="98" t="s">
        <v>160</v>
      </c>
      <c r="I6" s="99"/>
      <c r="J6" s="99"/>
      <c r="K6" s="99"/>
      <c r="L6" s="99"/>
      <c r="M6" s="100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1:32" ht="23.25" customHeight="1">
      <c r="A7" s="2"/>
      <c r="B7" s="88" t="s">
        <v>161</v>
      </c>
      <c r="C7" s="89"/>
      <c r="D7" s="23" t="s">
        <v>162</v>
      </c>
      <c r="E7" s="24" t="s">
        <v>163</v>
      </c>
      <c r="F7" s="24" t="s">
        <v>164</v>
      </c>
      <c r="G7" s="25" t="s">
        <v>165</v>
      </c>
      <c r="H7" s="88" t="s">
        <v>166</v>
      </c>
      <c r="I7" s="89"/>
      <c r="J7" s="116" t="s">
        <v>162</v>
      </c>
      <c r="K7" s="92"/>
      <c r="L7" s="26" t="s">
        <v>163</v>
      </c>
      <c r="M7" s="27" t="s">
        <v>167</v>
      </c>
      <c r="N7" s="2"/>
      <c r="O7" s="2"/>
    </row>
    <row r="8" spans="1:32" ht="15.75" customHeight="1">
      <c r="A8" s="2"/>
      <c r="B8" s="90"/>
      <c r="C8" s="89"/>
      <c r="D8" s="28" t="s">
        <v>168</v>
      </c>
      <c r="E8" s="29" t="s">
        <v>169</v>
      </c>
      <c r="F8" s="30">
        <f>SUM(ENOS_G1_COLERA[TOT])</f>
        <v>0</v>
      </c>
      <c r="G8" s="30">
        <v>0</v>
      </c>
      <c r="H8" s="90"/>
      <c r="I8" s="89"/>
      <c r="J8" s="96" t="s">
        <v>170</v>
      </c>
      <c r="K8" s="97"/>
      <c r="L8" s="29" t="s">
        <v>171</v>
      </c>
      <c r="M8" s="31">
        <f>SUM(ENOS_G2_PAROTIDITIS_INFECCIOSA_PAPERAS[TOT])</f>
        <v>0</v>
      </c>
      <c r="N8" s="2"/>
      <c r="O8" s="2"/>
    </row>
    <row r="9" spans="1:32">
      <c r="A9" s="2"/>
      <c r="B9" s="90"/>
      <c r="C9" s="89"/>
      <c r="D9" s="28" t="s">
        <v>172</v>
      </c>
      <c r="E9" s="29" t="s">
        <v>173</v>
      </c>
      <c r="F9" s="30">
        <f>SUM(ENOS_G1_FIEBRE_AMARILLA[TOT])</f>
        <v>0</v>
      </c>
      <c r="G9" s="30">
        <v>0</v>
      </c>
      <c r="H9" s="90"/>
      <c r="I9" s="89"/>
      <c r="J9" s="96" t="s">
        <v>174</v>
      </c>
      <c r="K9" s="97"/>
      <c r="L9" s="29" t="s">
        <v>175</v>
      </c>
      <c r="M9" s="31">
        <f>SUM(ENOS_G2_VARICELA[TOT])</f>
        <v>0</v>
      </c>
      <c r="N9" s="2"/>
      <c r="O9" s="2"/>
    </row>
    <row r="10" spans="1:32">
      <c r="A10" s="2"/>
      <c r="B10" s="90"/>
      <c r="C10" s="89"/>
      <c r="D10" s="33" t="s">
        <v>176</v>
      </c>
      <c r="E10" s="29" t="s">
        <v>177</v>
      </c>
      <c r="F10" s="34">
        <f>SUM(ENOS_G1_PESTE[TOT])</f>
        <v>0</v>
      </c>
      <c r="G10" s="34">
        <v>0</v>
      </c>
      <c r="H10" s="90"/>
      <c r="I10" s="89"/>
      <c r="J10" s="96" t="s">
        <v>178</v>
      </c>
      <c r="K10" s="97"/>
      <c r="L10" s="29" t="s">
        <v>179</v>
      </c>
      <c r="M10" s="31">
        <f>SUM(ENOS_G2_HEPATITIS_A[TOT])</f>
        <v>0</v>
      </c>
      <c r="N10" s="2"/>
      <c r="O10" s="2"/>
    </row>
    <row r="11" spans="1:32" ht="18" customHeight="1">
      <c r="A11" s="2"/>
      <c r="B11" s="90"/>
      <c r="C11" s="89"/>
      <c r="D11" s="96" t="s">
        <v>180</v>
      </c>
      <c r="E11" s="101" t="s">
        <v>181</v>
      </c>
      <c r="F11" s="112">
        <f>SUM(ENOS_G1_POLIOMIELITIS_AGUDA[TOT])</f>
        <v>0</v>
      </c>
      <c r="G11" s="112">
        <v>0</v>
      </c>
      <c r="H11" s="90"/>
      <c r="I11" s="89"/>
      <c r="J11" s="126" t="s">
        <v>182</v>
      </c>
      <c r="K11" s="124"/>
      <c r="L11" s="101" t="s">
        <v>183</v>
      </c>
      <c r="M11" s="94">
        <f>SUM(ENOS_G2_HEPATITIS_VIRAL_SIN_OTRA_ESPECIFIACION[TOT])</f>
        <v>0</v>
      </c>
      <c r="N11" s="2"/>
      <c r="O11" s="2"/>
    </row>
    <row r="12" spans="1:32" ht="15.75" customHeight="1">
      <c r="A12" s="2"/>
      <c r="B12" s="91"/>
      <c r="C12" s="92"/>
      <c r="D12" s="102"/>
      <c r="E12" s="102"/>
      <c r="F12" s="102"/>
      <c r="G12" s="102"/>
      <c r="H12" s="90"/>
      <c r="I12" s="89"/>
      <c r="J12" s="125"/>
      <c r="K12" s="92"/>
      <c r="L12" s="102"/>
      <c r="M12" s="95"/>
      <c r="N12" s="2"/>
      <c r="O12" s="2"/>
    </row>
    <row r="13" spans="1:32" ht="22.5" customHeight="1" thickBot="1">
      <c r="A13" s="2"/>
      <c r="B13" s="131" t="s">
        <v>184</v>
      </c>
      <c r="C13" s="124"/>
      <c r="D13" s="35" t="s">
        <v>185</v>
      </c>
      <c r="E13" s="36" t="s">
        <v>186</v>
      </c>
      <c r="F13" s="37">
        <f>SUM(ENOS_G1_RUBEOLA[TOT])</f>
        <v>0</v>
      </c>
      <c r="G13" s="37">
        <v>0</v>
      </c>
      <c r="H13" s="90"/>
      <c r="I13" s="89"/>
      <c r="J13" s="96" t="s">
        <v>187</v>
      </c>
      <c r="K13" s="97"/>
      <c r="L13" s="38" t="s">
        <v>188</v>
      </c>
      <c r="M13" s="39">
        <f>SUM(ENOS_G2_ETA[TOT])</f>
        <v>0</v>
      </c>
      <c r="N13" s="2"/>
      <c r="O13" s="2"/>
    </row>
    <row r="14" spans="1:32">
      <c r="A14" s="2"/>
      <c r="B14" s="90"/>
      <c r="C14" s="89"/>
      <c r="D14" s="96" t="s">
        <v>189</v>
      </c>
      <c r="E14" s="101" t="s">
        <v>124</v>
      </c>
      <c r="F14" s="112">
        <f>SUM(ENOS_G1_SINDROME_DE_RUBEOLA_CONGENITA[TOT])</f>
        <v>0</v>
      </c>
      <c r="G14" s="112">
        <v>0</v>
      </c>
      <c r="H14" s="90"/>
      <c r="I14" s="89"/>
      <c r="J14" s="96" t="s">
        <v>190</v>
      </c>
      <c r="K14" s="124"/>
      <c r="L14" s="104" t="s">
        <v>191</v>
      </c>
      <c r="M14" s="94">
        <f>SUM(ENOS_G2_CONJUNTIVITIS_VIRAL[TOT])</f>
        <v>0</v>
      </c>
      <c r="N14" s="2"/>
      <c r="O14" s="2"/>
    </row>
    <row r="15" spans="1:32" ht="18" customHeight="1">
      <c r="A15" s="2"/>
      <c r="B15" s="90"/>
      <c r="C15" s="89"/>
      <c r="D15" s="102"/>
      <c r="E15" s="102"/>
      <c r="F15" s="102"/>
      <c r="G15" s="102"/>
      <c r="H15" s="90"/>
      <c r="I15" s="89"/>
      <c r="J15" s="125"/>
      <c r="K15" s="92"/>
      <c r="L15" s="102"/>
      <c r="M15" s="95"/>
      <c r="N15" s="2"/>
      <c r="O15" s="2"/>
    </row>
    <row r="16" spans="1:32" ht="15.75" customHeight="1">
      <c r="A16" s="2"/>
      <c r="B16" s="90"/>
      <c r="C16" s="89"/>
      <c r="D16" s="123" t="s">
        <v>192</v>
      </c>
      <c r="E16" s="101" t="s">
        <v>193</v>
      </c>
      <c r="F16" s="112">
        <f>SUM(ENOS_G1_SARAMPION[TOT])</f>
        <v>0</v>
      </c>
      <c r="G16" s="112">
        <v>0</v>
      </c>
      <c r="H16" s="90"/>
      <c r="I16" s="89"/>
      <c r="J16" s="126" t="s">
        <v>194</v>
      </c>
      <c r="K16" s="124"/>
      <c r="L16" s="104" t="s">
        <v>195</v>
      </c>
      <c r="M16" s="94">
        <f>SUM(ENOS_G2_ENF_VIRICAS_LESIONES_PIEL_Y_MEMB_MUCOSAS[TOT])</f>
        <v>0</v>
      </c>
      <c r="N16" s="2"/>
      <c r="O16" s="2"/>
    </row>
    <row r="17" spans="1:32">
      <c r="A17" s="2"/>
      <c r="B17" s="90"/>
      <c r="C17" s="89"/>
      <c r="D17" s="102"/>
      <c r="E17" s="102"/>
      <c r="F17" s="102"/>
      <c r="G17" s="102"/>
      <c r="H17" s="90"/>
      <c r="I17" s="89"/>
      <c r="J17" s="127"/>
      <c r="K17" s="89"/>
      <c r="L17" s="105"/>
      <c r="M17" s="136"/>
      <c r="N17" s="2"/>
      <c r="O17" s="2"/>
    </row>
    <row r="18" spans="1:32">
      <c r="A18" s="2"/>
      <c r="B18" s="90"/>
      <c r="C18" s="89"/>
      <c r="D18" s="96" t="s">
        <v>196</v>
      </c>
      <c r="E18" s="101" t="s">
        <v>197</v>
      </c>
      <c r="F18" s="112">
        <f>SUM(ENOS_G1_TETANOS_NEONATAL[TOT])</f>
        <v>0</v>
      </c>
      <c r="G18" s="112">
        <v>0</v>
      </c>
      <c r="H18" s="91"/>
      <c r="I18" s="92"/>
      <c r="J18" s="125"/>
      <c r="K18" s="92"/>
      <c r="L18" s="102"/>
      <c r="M18" s="95"/>
      <c r="N18" s="2"/>
      <c r="O18" s="2"/>
    </row>
    <row r="19" spans="1:32" ht="18" customHeight="1" thickBot="1">
      <c r="A19" s="2"/>
      <c r="B19" s="90"/>
      <c r="C19" s="89"/>
      <c r="D19" s="105"/>
      <c r="E19" s="105"/>
      <c r="F19" s="105"/>
      <c r="G19" s="105"/>
      <c r="H19" s="131" t="s">
        <v>198</v>
      </c>
      <c r="I19" s="124"/>
      <c r="J19" s="123" t="s">
        <v>199</v>
      </c>
      <c r="K19" s="124"/>
      <c r="L19" s="101" t="s">
        <v>200</v>
      </c>
      <c r="M19" s="94">
        <f>SUM(ENOS_G2_SIFILIS_CONGENITA[TOT])</f>
        <v>0</v>
      </c>
      <c r="N19" s="2"/>
      <c r="O19" s="2"/>
    </row>
    <row r="20" spans="1:32">
      <c r="A20" s="2"/>
      <c r="B20" s="90"/>
      <c r="C20" s="89"/>
      <c r="D20" s="102"/>
      <c r="E20" s="102"/>
      <c r="F20" s="102"/>
      <c r="G20" s="102"/>
      <c r="H20" s="90"/>
      <c r="I20" s="89"/>
      <c r="J20" s="125"/>
      <c r="K20" s="92"/>
      <c r="L20" s="102"/>
      <c r="M20" s="95"/>
      <c r="N20" s="2"/>
      <c r="O20" s="2"/>
    </row>
    <row r="21" spans="1:32">
      <c r="A21" s="2"/>
      <c r="B21" s="90"/>
      <c r="C21" s="89"/>
      <c r="D21" s="123" t="s">
        <v>201</v>
      </c>
      <c r="E21" s="104" t="s">
        <v>202</v>
      </c>
      <c r="F21" s="111">
        <f>SUM(ENOS_G1_PALUDISMO[TOT])</f>
        <v>0</v>
      </c>
      <c r="G21" s="111">
        <v>0</v>
      </c>
      <c r="H21" s="90"/>
      <c r="I21" s="89"/>
      <c r="J21" s="96" t="s">
        <v>203</v>
      </c>
      <c r="K21" s="97"/>
      <c r="L21" s="29" t="s">
        <v>204</v>
      </c>
      <c r="M21" s="31">
        <f>SUM(ENOS_G2_SIFILIS_EMBARAZADA[TOT])</f>
        <v>0</v>
      </c>
      <c r="N21" s="2"/>
      <c r="O21" s="2"/>
    </row>
    <row r="22" spans="1:32" ht="15.75" customHeight="1" thickBot="1">
      <c r="A22" s="2"/>
      <c r="B22" s="132"/>
      <c r="C22" s="133"/>
      <c r="D22" s="102"/>
      <c r="E22" s="102"/>
      <c r="F22" s="102"/>
      <c r="G22" s="102"/>
      <c r="H22" s="132"/>
      <c r="I22" s="133"/>
      <c r="J22" s="113" t="s">
        <v>205</v>
      </c>
      <c r="K22" s="114"/>
      <c r="L22" s="41" t="s">
        <v>206</v>
      </c>
      <c r="M22" s="42">
        <f>SUM(ENOS_G2_SIFILIS_TODOS_LOS_CASOS[TOT])</f>
        <v>0</v>
      </c>
      <c r="N22" s="2"/>
      <c r="O22" s="2"/>
    </row>
    <row r="23" spans="1:32" ht="18" customHeight="1" thickBot="1">
      <c r="A23" s="2"/>
      <c r="B23" s="117" t="s">
        <v>207</v>
      </c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100"/>
      <c r="N23" s="2"/>
      <c r="O23" s="2"/>
    </row>
    <row r="24" spans="1:32">
      <c r="A24" s="2"/>
      <c r="B24" s="118" t="s">
        <v>208</v>
      </c>
      <c r="C24" s="89"/>
      <c r="D24" s="106" t="s">
        <v>163</v>
      </c>
      <c r="E24" s="85"/>
      <c r="F24" s="107"/>
      <c r="G24" s="121" t="s">
        <v>209</v>
      </c>
      <c r="H24" s="122"/>
      <c r="I24" s="122"/>
      <c r="J24" s="122"/>
      <c r="K24" s="122"/>
      <c r="L24" s="92"/>
      <c r="M24" s="134" t="s">
        <v>210</v>
      </c>
      <c r="N24" s="2"/>
      <c r="O24" s="2"/>
    </row>
    <row r="25" spans="1:32" ht="22.5" customHeight="1">
      <c r="A25" s="2"/>
      <c r="B25" s="119"/>
      <c r="C25" s="120"/>
      <c r="D25" s="108"/>
      <c r="E25" s="109"/>
      <c r="F25" s="110"/>
      <c r="G25" s="43" t="s">
        <v>211</v>
      </c>
      <c r="H25" s="44" t="s">
        <v>212</v>
      </c>
      <c r="I25" s="45" t="s">
        <v>213</v>
      </c>
      <c r="J25" s="29" t="s">
        <v>214</v>
      </c>
      <c r="K25" s="40" t="s">
        <v>215</v>
      </c>
      <c r="L25" s="29" t="s">
        <v>216</v>
      </c>
      <c r="M25" s="95"/>
      <c r="N25" s="2"/>
      <c r="O25" s="2"/>
    </row>
    <row r="26" spans="1:32">
      <c r="A26" s="2"/>
      <c r="B26" s="103" t="s">
        <v>217</v>
      </c>
      <c r="C26" s="76"/>
      <c r="D26" s="130" t="s">
        <v>218</v>
      </c>
      <c r="E26" s="77"/>
      <c r="F26" s="76"/>
      <c r="G26" s="46">
        <f>SUM(ENOS_G3_ETI_MENOR_QUE_1_AÑO[TOT])</f>
        <v>0</v>
      </c>
      <c r="H26" s="46">
        <f>SUM(ENOS_G3_ETI_1_4_AÑOS[TOT])</f>
        <v>0</v>
      </c>
      <c r="I26" s="46">
        <f>SUM(ENOS_G3_ETI_5_19_AÑOS[TOT])</f>
        <v>0</v>
      </c>
      <c r="J26" s="46">
        <f>SUM(ENOS_G3_ETI_20_59_AÑOS[TOT])</f>
        <v>0</v>
      </c>
      <c r="K26" s="46">
        <f>SUM(ENOS_G3_ETI_60_MAS_AÑOS[TOT])</f>
        <v>0</v>
      </c>
      <c r="L26" s="46">
        <f>SUM(ENOS_G3_ETI_SD_AÑOS[TOT])</f>
        <v>0</v>
      </c>
      <c r="M26" s="46">
        <f>SUM(G26:L26)</f>
        <v>0</v>
      </c>
      <c r="N26" s="2"/>
      <c r="O26" s="2"/>
    </row>
    <row r="27" spans="1:32">
      <c r="A27" s="2"/>
      <c r="B27" s="103" t="s">
        <v>219</v>
      </c>
      <c r="C27" s="76"/>
      <c r="D27" s="115" t="s">
        <v>220</v>
      </c>
      <c r="E27" s="77"/>
      <c r="F27" s="76"/>
      <c r="G27" s="46">
        <f>SUM(ENOS_G3_IRANN_MENOR_QUE_1_AÑO[TOT])</f>
        <v>0</v>
      </c>
      <c r="H27" s="46">
        <f>SUM(ENOS_G3_IRANN_1_4_AÑOS[TOT])</f>
        <v>0</v>
      </c>
      <c r="I27" s="46">
        <f>SUM(ENOS_G3_IRANN_5_19_AÑOS[TOT])</f>
        <v>0</v>
      </c>
      <c r="J27" s="46">
        <f>SUM(ENOS_G3_IRANN_20_59_AÑOS[TOT])</f>
        <v>0</v>
      </c>
      <c r="K27" s="46">
        <f>SUM(ENOS_G3_IRANN_60_MAS_AÑOS[TOT])</f>
        <v>0</v>
      </c>
      <c r="L27" s="46">
        <f>SUM(ENOS_G3_IRANN_SD_AÑOS[TOT])</f>
        <v>0</v>
      </c>
      <c r="M27" s="46">
        <f>SUM(G27:L27)</f>
        <v>0</v>
      </c>
      <c r="N27" s="2"/>
      <c r="O27" s="2"/>
    </row>
    <row r="28" spans="1:32">
      <c r="A28" s="2"/>
      <c r="B28" s="103" t="s">
        <v>221</v>
      </c>
      <c r="C28" s="76"/>
      <c r="D28" s="115" t="s">
        <v>222</v>
      </c>
      <c r="E28" s="77"/>
      <c r="F28" s="76"/>
      <c r="G28" s="46">
        <f>SUM(ENOS_G3_NEU_MENOR_QUE_1_AÑO[TOT])</f>
        <v>0</v>
      </c>
      <c r="H28" s="46">
        <f>SUM(ENOS_G3_NEU_1_4_AÑOS[TOT])</f>
        <v>0</v>
      </c>
      <c r="I28" s="46">
        <f>SUM(ENOS_G3_NEU_5_19_AÑOS[TOT])</f>
        <v>0</v>
      </c>
      <c r="J28" s="46">
        <f>SUM(ENOS_G3_NEU_20_59_AÑOS[TOT])</f>
        <v>0</v>
      </c>
      <c r="K28" s="46">
        <f>SUM(ENOS_G3_NEU_60_MAS_AÑOS[TOT])</f>
        <v>0</v>
      </c>
      <c r="L28" s="46">
        <f>SUM(ENOS_G3_NEU_SD_AÑOS[TOT])</f>
        <v>0</v>
      </c>
      <c r="M28" s="46">
        <f>SUM(G28:L28)</f>
        <v>0</v>
      </c>
      <c r="N28" s="2"/>
      <c r="O28" s="2"/>
    </row>
    <row r="29" spans="1:32">
      <c r="A29" s="2"/>
      <c r="B29" s="103" t="s">
        <v>223</v>
      </c>
      <c r="C29" s="76"/>
      <c r="D29" s="130" t="s">
        <v>224</v>
      </c>
      <c r="E29" s="77"/>
      <c r="F29" s="76"/>
      <c r="G29" s="46">
        <f>SUM(ENOS_G3_IRAGNG_MENOR_QUE_1_AÑO[TOT])</f>
        <v>0</v>
      </c>
      <c r="H29" s="46">
        <f>SUM(ENOS_G3_IRAGNG_1_4_AÑOS[TOT])</f>
        <v>0</v>
      </c>
      <c r="I29" s="46">
        <f>SUM(ENOS_G3_IRAGNG_5_19_AÑOS[TOT])</f>
        <v>0</v>
      </c>
      <c r="J29" s="46">
        <f>SUM(ENOS_G3_IRAGNG_20_59_AÑOS[TOT])</f>
        <v>0</v>
      </c>
      <c r="K29" s="46">
        <f>SUM(ENOS_G3_IRAGNG_60_MAS_AÑOS[TOT])</f>
        <v>0</v>
      </c>
      <c r="L29" s="46">
        <f>SUM(ENOS_G3_IRAGNG_SD_AÑOS[TOT])</f>
        <v>0</v>
      </c>
      <c r="M29" s="46">
        <f>SUM(G29:L29)</f>
        <v>0</v>
      </c>
      <c r="N29" s="2"/>
      <c r="O29" s="2"/>
      <c r="P29" s="84" t="s">
        <v>142</v>
      </c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</row>
    <row r="30" spans="1:32" ht="15.75" customHeight="1" thickBot="1">
      <c r="A30" s="2"/>
      <c r="B30" s="128" t="s">
        <v>225</v>
      </c>
      <c r="C30" s="129"/>
      <c r="D30" s="139" t="s">
        <v>226</v>
      </c>
      <c r="E30" s="140"/>
      <c r="F30" s="129"/>
      <c r="G30" s="47">
        <f>SUM(ENOS_G3_DA_MENOR_QUE_1_AÑO[TOT])</f>
        <v>0</v>
      </c>
      <c r="H30" s="47">
        <f>SUM(ENOS_G3_DA_1_4_AÑOS[TOT])</f>
        <v>0</v>
      </c>
      <c r="I30" s="47">
        <f>SUM(ENOS_G3_DA_5_19_AÑOS[TOT])</f>
        <v>0</v>
      </c>
      <c r="J30" s="47">
        <f>SUM(ENOS_G3_DA_20_59_AÑOS[TOT])</f>
        <v>0</v>
      </c>
      <c r="K30" s="47">
        <f>SUM(ENOS_G3_DA_60_MAS_AÑOS[TOT])</f>
        <v>0</v>
      </c>
      <c r="L30" s="47">
        <f>SUM(ENOS_G3_DA_SD_AÑOS[TOT])</f>
        <v>0</v>
      </c>
      <c r="M30" s="46">
        <f>SUM(G30:L30)</f>
        <v>0</v>
      </c>
      <c r="N30" s="2"/>
      <c r="O30" s="2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</row>
    <row r="31" spans="1:32" ht="18" customHeight="1">
      <c r="A31" s="2"/>
      <c r="B31" s="48" t="s">
        <v>227</v>
      </c>
      <c r="C31" s="49"/>
      <c r="D31" s="49"/>
      <c r="E31" s="49"/>
      <c r="F31" s="48" t="s">
        <v>228</v>
      </c>
      <c r="G31" s="50"/>
      <c r="H31" s="51"/>
      <c r="I31" s="51"/>
      <c r="J31" s="51"/>
      <c r="K31" s="51"/>
      <c r="L31" s="51"/>
      <c r="M31" s="50"/>
      <c r="N31" s="2"/>
      <c r="O31" s="2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</row>
    <row r="32" spans="1:32" ht="15.75" customHeight="1">
      <c r="A32" s="2"/>
      <c r="B32" s="48" t="s">
        <v>229</v>
      </c>
      <c r="C32" s="52"/>
      <c r="D32" s="52"/>
      <c r="E32" s="52"/>
      <c r="F32" s="52"/>
      <c r="G32" s="52"/>
      <c r="H32" s="50"/>
      <c r="I32" s="50"/>
      <c r="J32" s="53"/>
      <c r="K32" s="50"/>
      <c r="L32" s="50"/>
      <c r="M32" s="50"/>
      <c r="N32" s="2"/>
      <c r="O32" s="2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</row>
    <row r="33" spans="1:32" ht="15.75" customHeight="1">
      <c r="A33" s="2"/>
      <c r="B33" s="50" t="s">
        <v>230</v>
      </c>
      <c r="C33" s="49"/>
      <c r="D33" s="49"/>
      <c r="E33" s="49"/>
      <c r="F33" s="54"/>
      <c r="G33" s="17"/>
      <c r="H33" s="50"/>
      <c r="I33" s="50"/>
      <c r="J33" s="135" t="s">
        <v>231</v>
      </c>
      <c r="K33" s="85"/>
      <c r="L33" s="85"/>
      <c r="M33" s="55"/>
      <c r="N33" s="2"/>
      <c r="O33" s="2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</row>
    <row r="34" spans="1:32">
      <c r="A34" s="2"/>
      <c r="B34" s="17" t="s">
        <v>232</v>
      </c>
      <c r="C34" s="56"/>
      <c r="D34" s="56"/>
      <c r="E34" s="57"/>
      <c r="F34" s="48" t="s">
        <v>233</v>
      </c>
      <c r="G34" s="50"/>
      <c r="H34" s="50"/>
      <c r="I34" s="50"/>
      <c r="J34" s="50"/>
      <c r="K34" s="58"/>
      <c r="L34" s="17"/>
      <c r="M34" s="59"/>
      <c r="N34" s="2"/>
      <c r="O34" s="2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5"/>
      <c r="AF34" s="85"/>
    </row>
    <row r="35" spans="1:32" ht="18" customHeight="1" thickBot="1">
      <c r="A35" s="2"/>
      <c r="B35" s="50"/>
      <c r="C35" s="60"/>
      <c r="D35" s="50"/>
      <c r="E35" s="50"/>
      <c r="F35" s="2"/>
      <c r="G35" s="52"/>
      <c r="H35" s="61"/>
      <c r="I35" s="61"/>
      <c r="J35" s="50"/>
      <c r="K35" s="62"/>
      <c r="L35" s="63"/>
      <c r="M35" s="64"/>
      <c r="N35" s="2"/>
      <c r="O35" s="2"/>
      <c r="P35" s="80" t="s">
        <v>234</v>
      </c>
      <c r="Q35" s="81"/>
      <c r="R35" s="81"/>
      <c r="S35" s="81"/>
      <c r="T35" s="81"/>
      <c r="U35" s="81"/>
      <c r="V35" s="81"/>
      <c r="W35" s="81"/>
      <c r="X35" s="2"/>
      <c r="Y35" s="80" t="s">
        <v>235</v>
      </c>
      <c r="Z35" s="81"/>
      <c r="AA35" s="81"/>
      <c r="AB35" s="81"/>
      <c r="AC35" s="81"/>
      <c r="AD35" s="81"/>
      <c r="AE35" s="81"/>
      <c r="AF35" s="81"/>
    </row>
    <row r="36" spans="1:32" ht="15.75" customHeight="1" thickTop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 t="s">
        <v>93</v>
      </c>
      <c r="Q36" s="8" t="s">
        <v>94</v>
      </c>
      <c r="R36" s="8" t="s">
        <v>95</v>
      </c>
      <c r="S36" s="8" t="s">
        <v>96</v>
      </c>
      <c r="T36" s="8" t="s">
        <v>97</v>
      </c>
      <c r="U36" s="8" t="s">
        <v>98</v>
      </c>
      <c r="V36" s="8" t="s">
        <v>99</v>
      </c>
      <c r="W36" s="10" t="s">
        <v>100</v>
      </c>
      <c r="X36" s="2"/>
      <c r="Y36" s="2" t="s">
        <v>93</v>
      </c>
      <c r="Z36" s="8" t="s">
        <v>94</v>
      </c>
      <c r="AA36" s="8" t="s">
        <v>95</v>
      </c>
      <c r="AB36" s="8" t="s">
        <v>96</v>
      </c>
      <c r="AC36" s="8" t="s">
        <v>97</v>
      </c>
      <c r="AD36" s="8" t="s">
        <v>98</v>
      </c>
      <c r="AE36" s="8" t="s">
        <v>99</v>
      </c>
      <c r="AF36" s="10" t="s">
        <v>100</v>
      </c>
    </row>
    <row r="37" spans="1:3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32" t="s">
        <v>236</v>
      </c>
      <c r="Q37" s="8">
        <f>IF($O$3="(Todas)",COUNTIF(BASE[CODCIE10],ENOS_G1_COLERA[[#This Row],[CIE-10]]),COUNTIFS(BASE[Cod.Establecimiento],$O$3,BASE[CODCIE10],ENOS_G1_COLERA[[#This Row],[CIE-10]]))</f>
        <v>0</v>
      </c>
      <c r="R37" s="8">
        <f>IF($O$3="(Todas)",COUNTIF(BASE[CODCIE102],ENOS_G1_COLERA[[#This Row],[CIE-10]]),COUNTIFS(BASE[Cod.Establecimiento],$O$3,BASE[CODCIE102],ENOS_G1_COLERA[[#This Row],[CIE-10]]))</f>
        <v>0</v>
      </c>
      <c r="S37" s="8">
        <f>IF($O$3="(Todas)",COUNTIF(BASE[CODCIE104],ENOS_G1_COLERA[[#This Row],[CIE-10]]),COUNTIFS(BASE[Cod.Establecimiento],$O$3,BASE[CODCIE104],ENOS_G1_COLERA[[#This Row],[CIE-10]]))</f>
        <v>0</v>
      </c>
      <c r="T37" s="8">
        <f>IF($O$3="(Todas)",COUNTIF(BASE[CODCIE106],ENOS_G1_COLERA[[#This Row],[CIE-10]]),COUNTIFS(BASE[Cod.Establecimiento],$O$3,BASE[CODCIE106],ENOS_G1_COLERA[[#This Row],[CIE-10]]))</f>
        <v>0</v>
      </c>
      <c r="U37" s="8">
        <f>IF($O$3="(Todas)",COUNTIF(BASE[CODCIE108],ENOS_G1_COLERA[[#This Row],[CIE-10]]),COUNTIFS(BASE[Cod.Establecimiento],$O$3,BASE[CODCIE108],ENOS_G1_COLERA[[#This Row],[CIE-10]]))</f>
        <v>0</v>
      </c>
      <c r="V37" s="8">
        <f>IF($O$3="(Todas)",COUNTIF(BASE[CODCIE1010],ENOS_G1_COLERA[[#This Row],[CIE-10]]),COUNTIFS(BASE[Cod.Establecimiento],$O$3,BASE[CODCIE1010],ENOS_G1_COLERA[[#This Row],[CIE-10]]))</f>
        <v>0</v>
      </c>
      <c r="W37" s="9">
        <f>SUM(ENOS_G1_COLERA[[#This Row],[D1]:[D6]])</f>
        <v>0</v>
      </c>
      <c r="X37" s="2"/>
      <c r="Y37" s="32" t="s">
        <v>237</v>
      </c>
      <c r="Z37" s="8">
        <f>IF($O$3="(Todas)",COUNTIF(BASE[CODCIE10],ENOS_G1_FIEBRE_AMARILLA[[#This Row],[CIE-10]]),COUNTIFS(BASE[Cod.Establecimiento],$O$3,BASE[CODCIE10],ENOS_G1_FIEBRE_AMARILLA[[#This Row],[CIE-10]]))</f>
        <v>0</v>
      </c>
      <c r="AA37" s="8">
        <f>IF($O$3="(Todas)",COUNTIF(BASE[CODCIE102],ENOS_G1_FIEBRE_AMARILLA[[#This Row],[CIE-10]]),COUNTIFS(BASE[Cod.Establecimiento],$O$3,BASE[CODCIE102],ENOS_G1_FIEBRE_AMARILLA[[#This Row],[CIE-10]]))</f>
        <v>0</v>
      </c>
      <c r="AB37" s="8">
        <f>IF($O$3="(Todas)",COUNTIF(BASE[CODCIE104],ENOS_G1_FIEBRE_AMARILLA[[#This Row],[CIE-10]]),COUNTIFS(BASE[Cod.Establecimiento],$O$3,BASE[CODCIE104],ENOS_G1_FIEBRE_AMARILLA[[#This Row],[CIE-10]]))</f>
        <v>0</v>
      </c>
      <c r="AC37" s="8">
        <f>IF($O$3="(Todas)",COUNTIF(BASE[CODCIE106],ENOS_G1_FIEBRE_AMARILLA[[#This Row],[CIE-10]]),COUNTIFS(BASE[Cod.Establecimiento],$O$3,BASE[CODCIE106],ENOS_G1_FIEBRE_AMARILLA[[#This Row],[CIE-10]]))</f>
        <v>0</v>
      </c>
      <c r="AD37" s="8">
        <f>IF($O$3="(Todas)",COUNTIF(BASE[CODCIE108],ENOS_G1_FIEBRE_AMARILLA[[#This Row],[CIE-10]]),COUNTIFS(BASE[Cod.Establecimiento],$O$3,BASE[CODCIE108],ENOS_G1_FIEBRE_AMARILLA[[#This Row],[CIE-10]]))</f>
        <v>0</v>
      </c>
      <c r="AE37" s="8">
        <f>IF($O$3="(Todas)",COUNTIF(BASE[CODCIE1010],ENOS_G1_FIEBRE_AMARILLA[[#This Row],[CIE-10]]),COUNTIFS(BASE[Cod.Establecimiento],$O$3,BASE[CODCIE1010],ENOS_G1_FIEBRE_AMARILLA[[#This Row],[CIE-10]]))</f>
        <v>0</v>
      </c>
      <c r="AF37" s="9">
        <f>SUM(ENOS_G1_FIEBRE_AMARILLA[[#This Row],[D1]:[D6]])</f>
        <v>0</v>
      </c>
    </row>
    <row r="38" spans="1:32" s="2" customFormat="1"/>
    <row r="39" spans="1:32" s="2" customFormat="1" ht="18" customHeight="1" thickBot="1">
      <c r="P39" s="80" t="s">
        <v>238</v>
      </c>
      <c r="Q39" s="81"/>
      <c r="R39" s="81"/>
      <c r="S39" s="81"/>
      <c r="T39" s="81"/>
      <c r="U39" s="81"/>
      <c r="V39" s="81"/>
      <c r="W39" s="81"/>
      <c r="Y39" s="80" t="s">
        <v>239</v>
      </c>
      <c r="Z39" s="81"/>
      <c r="AA39" s="81"/>
      <c r="AB39" s="81"/>
      <c r="AC39" s="81"/>
      <c r="AD39" s="81"/>
      <c r="AE39" s="81"/>
      <c r="AF39" s="81"/>
    </row>
    <row r="40" spans="1:32" s="2" customFormat="1" ht="15.75" customHeight="1" thickTop="1">
      <c r="P40" s="2" t="s">
        <v>93</v>
      </c>
      <c r="Q40" s="8" t="s">
        <v>94</v>
      </c>
      <c r="R40" s="8" t="s">
        <v>95</v>
      </c>
      <c r="S40" s="8" t="s">
        <v>96</v>
      </c>
      <c r="T40" s="8" t="s">
        <v>97</v>
      </c>
      <c r="U40" s="8" t="s">
        <v>98</v>
      </c>
      <c r="V40" s="8" t="s">
        <v>99</v>
      </c>
      <c r="W40" s="10" t="s">
        <v>100</v>
      </c>
      <c r="Y40" s="2" t="s">
        <v>93</v>
      </c>
      <c r="Z40" s="8" t="s">
        <v>94</v>
      </c>
      <c r="AA40" s="8" t="s">
        <v>95</v>
      </c>
      <c r="AB40" s="8" t="s">
        <v>96</v>
      </c>
      <c r="AC40" s="8" t="s">
        <v>97</v>
      </c>
      <c r="AD40" s="8" t="s">
        <v>98</v>
      </c>
      <c r="AE40" s="8" t="s">
        <v>99</v>
      </c>
      <c r="AF40" s="10" t="s">
        <v>100</v>
      </c>
    </row>
    <row r="41" spans="1:3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32" t="s">
        <v>240</v>
      </c>
      <c r="Q41" s="8">
        <f>IF($O$3="(Todas)",COUNTIF(BASE[CODCIE10],ENOS_G1_PESTE[[#This Row],[CIE-10]]),COUNTIFS(BASE[Cod.Establecimiento],$O$3,BASE[CODCIE10],ENOS_G1_PESTE[[#This Row],[CIE-10]]))</f>
        <v>0</v>
      </c>
      <c r="R41" s="8">
        <f>IF($O$3="(Todas)",COUNTIF(BASE[CODCIE102],ENOS_G1_PESTE[[#This Row],[CIE-10]]),COUNTIFS(BASE[Cod.Establecimiento],$O$3,BASE[CODCIE102],ENOS_G1_PESTE[[#This Row],[CIE-10]]))</f>
        <v>0</v>
      </c>
      <c r="S41" s="8">
        <f>IF($O$3="(Todas)",COUNTIF(BASE[CODCIE104],ENOS_G1_PESTE[[#This Row],[CIE-10]]),COUNTIFS(BASE[Cod.Establecimiento],$O$3,BASE[CODCIE104],ENOS_G1_PESTE[[#This Row],[CIE-10]]))</f>
        <v>0</v>
      </c>
      <c r="T41" s="8">
        <f>IF($O$3="(Todas)",COUNTIF(BASE[CODCIE106],ENOS_G1_PESTE[[#This Row],[CIE-10]]),COUNTIFS(BASE[Cod.Establecimiento],$O$3,BASE[CODCIE106],ENOS_G1_PESTE[[#This Row],[CIE-10]]))</f>
        <v>0</v>
      </c>
      <c r="U41" s="8">
        <f>IF($O$3="(Todas)",COUNTIF(BASE[CODCIE108],ENOS_G1_PESTE[[#This Row],[CIE-10]]),COUNTIFS(BASE[Cod.Establecimiento],$O$3,BASE[CODCIE108],ENOS_G1_PESTE[[#This Row],[CIE-10]]))</f>
        <v>0</v>
      </c>
      <c r="V41" s="8">
        <f>IF($O$3="(Todas)",COUNTIF(BASE[CODCIE1010],ENOS_G1_PESTE[[#This Row],[CIE-10]]),COUNTIFS(BASE[Cod.Establecimiento],$O$3,BASE[CODCIE1010],ENOS_G1_PESTE[[#This Row],[CIE-10]]))</f>
        <v>0</v>
      </c>
      <c r="W41" s="9">
        <f>SUM(ENOS_G1_PESTE[[#This Row],[D1]:[D6]])</f>
        <v>0</v>
      </c>
      <c r="X41" s="2"/>
      <c r="Y41" s="32" t="s">
        <v>115</v>
      </c>
      <c r="Z41" s="8">
        <f>IF($O$3="(Todas)",COUNTIF(BASE[CODCIE10],ENOS_G1_POLIOMIELITIS_AGUDA[[#This Row],[CIE-10]]),COUNTIFS(BASE[Cod.Establecimiento],$O$3,BASE[CODCIE10],ENOS_G1_POLIOMIELITIS_AGUDA[[#This Row],[CIE-10]]))</f>
        <v>0</v>
      </c>
      <c r="AA41" s="8">
        <f>IF($O$3="(Todas)",COUNTIF(BASE[CODCIE102],ENOS_G1_POLIOMIELITIS_AGUDA[[#This Row],[CIE-10]]),COUNTIFS(BASE[Cod.Establecimiento],$O$3,BASE[CODCIE102],ENOS_G1_POLIOMIELITIS_AGUDA[[#This Row],[CIE-10]]))</f>
        <v>0</v>
      </c>
      <c r="AB41" s="8">
        <f>IF($O$3="(Todas)",COUNTIF(BASE[CODCIE104],ENOS_G1_POLIOMIELITIS_AGUDA[[#This Row],[CIE-10]]),COUNTIFS(BASE[Cod.Establecimiento],$O$3,BASE[CODCIE104],ENOS_G1_POLIOMIELITIS_AGUDA[[#This Row],[CIE-10]]))</f>
        <v>0</v>
      </c>
      <c r="AC41" s="8">
        <f>IF($O$3="(Todas)",COUNTIF(BASE[CODCIE106],ENOS_G1_POLIOMIELITIS_AGUDA[[#This Row],[CIE-10]]),COUNTIFS(BASE[Cod.Establecimiento],$O$3,BASE[CODCIE106],ENOS_G1_POLIOMIELITIS_AGUDA[[#This Row],[CIE-10]]))</f>
        <v>0</v>
      </c>
      <c r="AD41" s="8">
        <f>IF($O$3="(Todas)",COUNTIF(BASE[CODCIE108],ENOS_G1_POLIOMIELITIS_AGUDA[[#This Row],[CIE-10]]),COUNTIFS(BASE[Cod.Establecimiento],$O$3,BASE[CODCIE108],ENOS_G1_POLIOMIELITIS_AGUDA[[#This Row],[CIE-10]]))</f>
        <v>0</v>
      </c>
      <c r="AE41" s="8">
        <f>IF($O$3="(Todas)",COUNTIF(BASE[CODCIE1010],ENOS_G1_POLIOMIELITIS_AGUDA[[#This Row],[CIE-10]]),COUNTIFS(BASE[Cod.Establecimiento],$O$3,BASE[CODCIE1010],ENOS_G1_POLIOMIELITIS_AGUDA[[#This Row],[CIE-10]]))</f>
        <v>0</v>
      </c>
      <c r="AF41" s="9">
        <f>SUM(ENOS_G1_POLIOMIELITIS_AGUDA[[#This Row],[D1]:[D6]])</f>
        <v>0</v>
      </c>
    </row>
    <row r="42" spans="1:32" ht="18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65"/>
      <c r="Z42" s="8"/>
      <c r="AA42" s="8"/>
      <c r="AB42" s="8"/>
      <c r="AC42" s="8"/>
      <c r="AD42" s="8"/>
      <c r="AE42" s="8"/>
      <c r="AF42" s="66"/>
    </row>
    <row r="43" spans="1:32" ht="15.75" customHeight="1" thickBo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80" t="s">
        <v>241</v>
      </c>
      <c r="Q43" s="81"/>
      <c r="R43" s="81"/>
      <c r="S43" s="81"/>
      <c r="T43" s="81"/>
      <c r="U43" s="81"/>
      <c r="V43" s="81"/>
      <c r="W43" s="81"/>
      <c r="X43" s="2"/>
      <c r="Y43" s="80" t="s">
        <v>242</v>
      </c>
      <c r="Z43" s="81"/>
      <c r="AA43" s="81"/>
      <c r="AB43" s="81"/>
      <c r="AC43" s="81"/>
      <c r="AD43" s="81"/>
      <c r="AE43" s="81"/>
      <c r="AF43" s="81"/>
    </row>
    <row r="44" spans="1:32" ht="15.75" customHeight="1" thickTop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 t="s">
        <v>93</v>
      </c>
      <c r="Q44" s="8" t="s">
        <v>94</v>
      </c>
      <c r="R44" s="8" t="s">
        <v>95</v>
      </c>
      <c r="S44" s="8" t="s">
        <v>96</v>
      </c>
      <c r="T44" s="8" t="s">
        <v>97</v>
      </c>
      <c r="U44" s="8" t="s">
        <v>98</v>
      </c>
      <c r="V44" s="8" t="s">
        <v>99</v>
      </c>
      <c r="W44" s="10" t="s">
        <v>100</v>
      </c>
      <c r="X44" s="2"/>
      <c r="Y44" s="2" t="s">
        <v>93</v>
      </c>
      <c r="Z44" s="8" t="s">
        <v>94</v>
      </c>
      <c r="AA44" s="8" t="s">
        <v>95</v>
      </c>
      <c r="AB44" s="8" t="s">
        <v>96</v>
      </c>
      <c r="AC44" s="8" t="s">
        <v>97</v>
      </c>
      <c r="AD44" s="8" t="s">
        <v>98</v>
      </c>
      <c r="AE44" s="8" t="s">
        <v>99</v>
      </c>
      <c r="AF44" s="10" t="s">
        <v>100</v>
      </c>
    </row>
    <row r="45" spans="1:32" s="2" customFormat="1">
      <c r="P45" s="32" t="s">
        <v>120</v>
      </c>
      <c r="Q45" s="8">
        <f>IF($O$3="(Todas)",COUNTIF(BASE[CODCIE10],ENOS_G1_RUBEOLA[[#This Row],[CIE-10]]),COUNTIFS(BASE[Cod.Establecimiento],$O$3,BASE[CODCIE10],ENOS_G1_RUBEOLA[[#This Row],[CIE-10]]))</f>
        <v>0</v>
      </c>
      <c r="R45" s="8">
        <f>IF($O$3="(Todas)",COUNTIF(BASE[CODCIE102],ENOS_G1_RUBEOLA[[#This Row],[CIE-10]]),COUNTIFS(BASE[Cod.Establecimiento],$O$3,BASE[CODCIE102],ENOS_G1_RUBEOLA[[#This Row],[CIE-10]]))</f>
        <v>0</v>
      </c>
      <c r="S45" s="8">
        <f>IF($O$3="(Todas)",COUNTIF(BASE[CODCIE104],ENOS_G1_RUBEOLA[[#This Row],[CIE-10]]),COUNTIFS(BASE[Cod.Establecimiento],$O$3,BASE[CODCIE104],ENOS_G1_RUBEOLA[[#This Row],[CIE-10]]))</f>
        <v>0</v>
      </c>
      <c r="T45" s="8">
        <f>IF($O$3="(Todas)",COUNTIF(BASE[CODCIE106],ENOS_G1_RUBEOLA[[#This Row],[CIE-10]]),COUNTIFS(BASE[Cod.Establecimiento],$O$3,BASE[CODCIE106],ENOS_G1_RUBEOLA[[#This Row],[CIE-10]]))</f>
        <v>0</v>
      </c>
      <c r="U45" s="8">
        <f>IF($O$3="(Todas)",COUNTIF(BASE[CODCIE108],ENOS_G1_RUBEOLA[[#This Row],[CIE-10]]),COUNTIFS(BASE[Cod.Establecimiento],$O$3,BASE[CODCIE108],ENOS_G1_RUBEOLA[[#This Row],[CIE-10]]))</f>
        <v>0</v>
      </c>
      <c r="V45" s="8">
        <f>IF($O$3="(Todas)",COUNTIF(BASE[CODCIE1010],ENOS_G1_RUBEOLA[[#This Row],[CIE-10]]),COUNTIFS(BASE[Cod.Establecimiento],$O$3,BASE[CODCIE1010],ENOS_G1_RUBEOLA[[#This Row],[CIE-10]]))</f>
        <v>0</v>
      </c>
      <c r="W45" s="9">
        <f>SUM(ENOS_G1_RUBEOLA[[#This Row],[D1]:[D6]])</f>
        <v>0</v>
      </c>
      <c r="Y45" s="32" t="s">
        <v>121</v>
      </c>
      <c r="Z45" s="8">
        <f>IF($O$3="(Todas)",COUNTIF(BASE[CODCIE10],ENOS_G1_SARAMPION[[#This Row],[CIE-10]]),COUNTIFS(BASE[Cod.Establecimiento],$O$3,BASE[CODCIE10],ENOS_G1_SARAMPION[[#This Row],[CIE-10]]))</f>
        <v>0</v>
      </c>
      <c r="AA45" s="8">
        <f>IF($O$3="(Todas)",COUNTIF(BASE[CODCIE102],ENOS_G1_SARAMPION[[#This Row],[CIE-10]]),COUNTIFS(BASE[Cod.Establecimiento],$O$3,BASE[CODCIE102],ENOS_G1_SARAMPION[[#This Row],[CIE-10]]))</f>
        <v>0</v>
      </c>
      <c r="AB45" s="8">
        <f>IF($O$3="(Todas)",COUNTIF(BASE[CODCIE104],ENOS_G1_SARAMPION[[#This Row],[CIE-10]]),COUNTIFS(BASE[Cod.Establecimiento],$O$3,BASE[CODCIE104],ENOS_G1_SARAMPION[[#This Row],[CIE-10]]))</f>
        <v>0</v>
      </c>
      <c r="AC45" s="8">
        <f>IF($O$3="(Todas)",COUNTIF(BASE[CODCIE106],ENOS_G1_SARAMPION[[#This Row],[CIE-10]]),COUNTIFS(BASE[Cod.Establecimiento],$O$3,BASE[CODCIE106],ENOS_G1_SARAMPION[[#This Row],[CIE-10]]))</f>
        <v>0</v>
      </c>
      <c r="AD45" s="8">
        <f>IF($O$3="(Todas)",COUNTIF(BASE[CODCIE108],ENOS_G1_SARAMPION[[#This Row],[CIE-10]]),COUNTIFS(BASE[Cod.Establecimiento],$O$3,BASE[CODCIE108],ENOS_G1_SARAMPION[[#This Row],[CIE-10]]))</f>
        <v>0</v>
      </c>
      <c r="AE45" s="8">
        <f>IF($O$3="(Todas)",COUNTIF(BASE[CODCIE1010],ENOS_G1_SARAMPION[[#This Row],[CIE-10]]),COUNTIFS(BASE[Cod.Establecimiento],$O$3,BASE[CODCIE1010],ENOS_G1_SARAMPION[[#This Row],[CIE-10]]))</f>
        <v>0</v>
      </c>
      <c r="AF45" s="9">
        <f>SUM(ENOS_G1_SARAMPION[[#This Row],[D1]:[D6]])</f>
        <v>0</v>
      </c>
    </row>
    <row r="46" spans="1:32" s="2" customFormat="1">
      <c r="P46" s="65"/>
      <c r="Q46" s="8"/>
      <c r="R46" s="8"/>
      <c r="S46" s="8"/>
      <c r="T46" s="8"/>
      <c r="U46" s="8"/>
      <c r="V46" s="8"/>
      <c r="W46" s="66"/>
    </row>
    <row r="47" spans="1:32" s="2" customFormat="1" ht="18" customHeight="1" thickBot="1">
      <c r="P47" s="80" t="s">
        <v>243</v>
      </c>
      <c r="Q47" s="81"/>
      <c r="R47" s="81"/>
      <c r="S47" s="81"/>
      <c r="T47" s="81"/>
      <c r="U47" s="81"/>
      <c r="V47" s="81"/>
      <c r="W47" s="81"/>
      <c r="Y47" s="80" t="s">
        <v>244</v>
      </c>
      <c r="Z47" s="81"/>
      <c r="AA47" s="81"/>
      <c r="AB47" s="81"/>
      <c r="AC47" s="81"/>
      <c r="AD47" s="81"/>
      <c r="AE47" s="81"/>
      <c r="AF47" s="81"/>
    </row>
    <row r="48" spans="1:32" s="2" customFormat="1" ht="15.75" customHeight="1" thickTop="1">
      <c r="P48" s="2" t="s">
        <v>93</v>
      </c>
      <c r="Q48" s="8" t="s">
        <v>94</v>
      </c>
      <c r="R48" s="8" t="s">
        <v>95</v>
      </c>
      <c r="S48" s="8" t="s">
        <v>96</v>
      </c>
      <c r="T48" s="8" t="s">
        <v>97</v>
      </c>
      <c r="U48" s="8" t="s">
        <v>98</v>
      </c>
      <c r="V48" s="8" t="s">
        <v>99</v>
      </c>
      <c r="W48" s="10" t="s">
        <v>100</v>
      </c>
      <c r="Y48" s="2" t="s">
        <v>93</v>
      </c>
      <c r="Z48" s="8" t="s">
        <v>94</v>
      </c>
      <c r="AA48" s="8" t="s">
        <v>95</v>
      </c>
      <c r="AB48" s="8" t="s">
        <v>96</v>
      </c>
      <c r="AC48" s="8" t="s">
        <v>97</v>
      </c>
      <c r="AD48" s="8" t="s">
        <v>98</v>
      </c>
      <c r="AE48" s="8" t="s">
        <v>99</v>
      </c>
      <c r="AF48" s="10" t="s">
        <v>100</v>
      </c>
    </row>
    <row r="49" spans="1:32" s="2" customFormat="1">
      <c r="P49" s="32" t="s">
        <v>124</v>
      </c>
      <c r="Q49" s="8">
        <f>IF($O$3="(Todas)",COUNTIF(BASE[CODCIE10],ENOS_G1_SINDROME_DE_RUBEOLA_CONGENITA[[#This Row],[CIE-10]]),COUNTIFS(BASE[Cod.Establecimiento],$O$3,BASE[CODCIE10],ENOS_G1_SINDROME_DE_RUBEOLA_CONGENITA[[#This Row],[CIE-10]]))</f>
        <v>0</v>
      </c>
      <c r="R49" s="8">
        <f>IF($O$3="(Todas)",COUNTIF(BASE[CODCIE102],ENOS_G1_SINDROME_DE_RUBEOLA_CONGENITA[[#This Row],[CIE-10]]),COUNTIFS(BASE[Cod.Establecimiento],$O$3,BASE[CODCIE102],ENOS_G1_SINDROME_DE_RUBEOLA_CONGENITA[[#This Row],[CIE-10]]))</f>
        <v>0</v>
      </c>
      <c r="S49" s="8">
        <f>IF($O$3="(Todas)",COUNTIF(BASE[CODCIE104],ENOS_G1_SINDROME_DE_RUBEOLA_CONGENITA[[#This Row],[CIE-10]]),COUNTIFS(BASE[Cod.Establecimiento],$O$3,BASE[CODCIE104],ENOS_G1_SINDROME_DE_RUBEOLA_CONGENITA[[#This Row],[CIE-10]]))</f>
        <v>0</v>
      </c>
      <c r="T49" s="8">
        <f>IF($O$3="(Todas)",COUNTIF(BASE[CODCIE106],ENOS_G1_SINDROME_DE_RUBEOLA_CONGENITA[[#This Row],[CIE-10]]),COUNTIFS(BASE[Cod.Establecimiento],$O$3,BASE[CODCIE106],ENOS_G1_SINDROME_DE_RUBEOLA_CONGENITA[[#This Row],[CIE-10]]))</f>
        <v>0</v>
      </c>
      <c r="U49" s="8">
        <f>IF($O$3="(Todas)",COUNTIF(BASE[CODCIE108],ENOS_G1_SINDROME_DE_RUBEOLA_CONGENITA[[#This Row],[CIE-10]]),COUNTIFS(BASE[Cod.Establecimiento],$O$3,BASE[CODCIE108],ENOS_G1_SINDROME_DE_RUBEOLA_CONGENITA[[#This Row],[CIE-10]]))</f>
        <v>0</v>
      </c>
      <c r="V49" s="8">
        <f>IF($O$3="(Todas)",COUNTIF(BASE[CODCIE1010],ENOS_G1_SINDROME_DE_RUBEOLA_CONGENITA[[#This Row],[CIE-10]]),COUNTIFS(BASE[Cod.Establecimiento],$O$3,BASE[CODCIE1010],ENOS_G1_SINDROME_DE_RUBEOLA_CONGENITA[[#This Row],[CIE-10]]))</f>
        <v>0</v>
      </c>
      <c r="W49" s="9">
        <f>SUM(ENOS_G1_SINDROME_DE_RUBEOLA_CONGENITA[[#This Row],[D1]:[D6]])</f>
        <v>0</v>
      </c>
      <c r="Y49" s="32" t="s">
        <v>131</v>
      </c>
      <c r="Z49" s="8">
        <f>IF($O$3="(Todas)",COUNTIF(BASE[CODCIE10],ENOS_G1_TETANOS_NEONATAL[[#This Row],[CIE-10]]),COUNTIFS(BASE[Cod.Establecimiento],$O$3,BASE[CODCIE10],ENOS_G1_TETANOS_NEONATAL[[#This Row],[CIE-10]]))</f>
        <v>0</v>
      </c>
      <c r="AA49" s="8">
        <f>IF($O$3="(Todas)",COUNTIF(BASE[CODCIE102],ENOS_G1_TETANOS_NEONATAL[[#This Row],[CIE-10]]),COUNTIFS(BASE[Cod.Establecimiento],$O$3,BASE[CODCIE102],ENOS_G1_TETANOS_NEONATAL[[#This Row],[CIE-10]]))</f>
        <v>0</v>
      </c>
      <c r="AB49" s="8">
        <f>IF($O$3="(Todas)",COUNTIF(BASE[CODCIE104],ENOS_G1_TETANOS_NEONATAL[[#This Row],[CIE-10]]),COUNTIFS(BASE[Cod.Establecimiento],$O$3,BASE[CODCIE104],ENOS_G1_TETANOS_NEONATAL[[#This Row],[CIE-10]]))</f>
        <v>0</v>
      </c>
      <c r="AC49" s="8">
        <f>IF($O$3="(Todas)",COUNTIF(BASE[CODCIE106],ENOS_G1_TETANOS_NEONATAL[[#This Row],[CIE-10]]),COUNTIFS(BASE[Cod.Establecimiento],$O$3,BASE[CODCIE106],ENOS_G1_TETANOS_NEONATAL[[#This Row],[CIE-10]]))</f>
        <v>0</v>
      </c>
      <c r="AD49" s="8">
        <f>IF($O$3="(Todas)",COUNTIF(BASE[CODCIE108],ENOS_G1_TETANOS_NEONATAL[[#This Row],[CIE-10]]),COUNTIFS(BASE[Cod.Establecimiento],$O$3,BASE[CODCIE108],ENOS_G1_TETANOS_NEONATAL[[#This Row],[CIE-10]]))</f>
        <v>0</v>
      </c>
      <c r="AE49" s="8">
        <f>IF($O$3="(Todas)",COUNTIF(BASE[CODCIE1010],ENOS_G1_TETANOS_NEONATAL[[#This Row],[CIE-10]]),COUNTIFS(BASE[Cod.Establecimiento],$O$3,BASE[CODCIE1010],ENOS_G1_TETANOS_NEONATAL[[#This Row],[CIE-10]]))</f>
        <v>0</v>
      </c>
      <c r="AF49" s="9">
        <f>SUM(ENOS_G1_TETANOS_NEONATAL[[#This Row],[D1]:[D6]])</f>
        <v>0</v>
      </c>
    </row>
    <row r="50" spans="1:32" s="2" customFormat="1"/>
    <row r="51" spans="1:32" ht="18" customHeight="1" thickBo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80" t="s">
        <v>245</v>
      </c>
      <c r="Q51" s="81"/>
      <c r="R51" s="81"/>
      <c r="S51" s="81"/>
      <c r="T51" s="81"/>
      <c r="U51" s="81"/>
      <c r="V51" s="81"/>
      <c r="W51" s="81"/>
      <c r="X51" s="2"/>
      <c r="Y51" s="80" t="s">
        <v>246</v>
      </c>
      <c r="Z51" s="81"/>
      <c r="AA51" s="81"/>
      <c r="AB51" s="81"/>
      <c r="AC51" s="81"/>
      <c r="AD51" s="81"/>
      <c r="AE51" s="81"/>
      <c r="AF51" s="81"/>
    </row>
    <row r="52" spans="1:32" ht="18" customHeight="1" thickTop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 t="s">
        <v>93</v>
      </c>
      <c r="Q52" s="8" t="s">
        <v>94</v>
      </c>
      <c r="R52" s="8" t="s">
        <v>95</v>
      </c>
      <c r="S52" s="8" t="s">
        <v>96</v>
      </c>
      <c r="T52" s="8" t="s">
        <v>97</v>
      </c>
      <c r="U52" s="8" t="s">
        <v>98</v>
      </c>
      <c r="V52" s="8" t="s">
        <v>99</v>
      </c>
      <c r="W52" s="10" t="s">
        <v>100</v>
      </c>
      <c r="X52" s="2"/>
      <c r="Y52" s="2" t="s">
        <v>93</v>
      </c>
      <c r="Z52" s="8" t="s">
        <v>94</v>
      </c>
      <c r="AA52" s="8" t="s">
        <v>95</v>
      </c>
      <c r="AB52" s="8" t="s">
        <v>96</v>
      </c>
      <c r="AC52" s="8" t="s">
        <v>97</v>
      </c>
      <c r="AD52" s="8" t="s">
        <v>98</v>
      </c>
      <c r="AE52" s="8" t="s">
        <v>99</v>
      </c>
      <c r="AF52" s="10" t="s">
        <v>100</v>
      </c>
    </row>
    <row r="53" spans="1:32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32" t="s">
        <v>247</v>
      </c>
      <c r="Q53" s="8">
        <f>IF($O$3="(Todas)",COUNTIF(BASE[CODCIE10],ENOS_G1_PALUDISMO[[#This Row],[CIE-10]]),COUNTIFS(BASE[Cod.Establecimiento],$O$3,BASE[CODCIE10],ENOS_G1_PALUDISMO[[#This Row],[CIE-10]]))</f>
        <v>0</v>
      </c>
      <c r="R53" s="8">
        <f>IF($O$3="(Todas)",COUNTIF(BASE[CODCIE102],ENOS_G1_PALUDISMO[[#This Row],[CIE-10]]),COUNTIFS(BASE[Cod.Establecimiento],$O$3,BASE[CODCIE102],ENOS_G1_PALUDISMO[[#This Row],[CIE-10]]))</f>
        <v>0</v>
      </c>
      <c r="S53" s="8">
        <f>IF($O$3="(Todas)",COUNTIF(BASE[CODCIE104],ENOS_G1_PALUDISMO[[#This Row],[CIE-10]]),COUNTIFS(BASE[Cod.Establecimiento],$O$3,BASE[CODCIE104],ENOS_G1_PALUDISMO[[#This Row],[CIE-10]]))</f>
        <v>0</v>
      </c>
      <c r="T53" s="8">
        <f>IF($O$3="(Todas)",COUNTIF(BASE[CODCIE106],ENOS_G1_PALUDISMO[[#This Row],[CIE-10]]),COUNTIFS(BASE[Cod.Establecimiento],$O$3,BASE[CODCIE106],ENOS_G1_PALUDISMO[[#This Row],[CIE-10]]))</f>
        <v>0</v>
      </c>
      <c r="U53" s="8">
        <f>IF($O$3="(Todas)",COUNTIF(BASE[CODCIE108],ENOS_G1_PALUDISMO[[#This Row],[CIE-10]]),COUNTIFS(BASE[Cod.Establecimiento],$O$3,BASE[CODCIE108],ENOS_G1_PALUDISMO[[#This Row],[CIE-10]]))</f>
        <v>0</v>
      </c>
      <c r="V53" s="8">
        <f>IF($O$3="(Todas)",COUNTIF(BASE[CODCIE1010],ENOS_G1_PALUDISMO[[#This Row],[CIE-10]]),COUNTIFS(BASE[Cod.Establecimiento],$O$3,BASE[CODCIE1010],ENOS_G1_PALUDISMO[[#This Row],[CIE-10]]))</f>
        <v>0</v>
      </c>
      <c r="W53" s="9">
        <f>SUM(ENOS_G1_PALUDISMO[[#This Row],[D1]:[D6]])</f>
        <v>0</v>
      </c>
      <c r="X53" s="2"/>
      <c r="Y53" s="32" t="s">
        <v>248</v>
      </c>
      <c r="Z53" s="8">
        <f>IF($O$3="(Todas)",COUNTIF(BASE[CODCIE10],ENOS_G2_CONJUNTIVITIS_VIRAL[[#This Row],[CIE-10]]),COUNTIFS(BASE[Cod.Establecimiento],$O$3,BASE[CODCIE10],ENOS_G2_CONJUNTIVITIS_VIRAL[[#This Row],[CIE-10]]))</f>
        <v>0</v>
      </c>
      <c r="AA53" s="8">
        <f>IF($O$3="(Todas)",COUNTIF(BASE[CODCIE102],ENOS_G2_CONJUNTIVITIS_VIRAL[[#This Row],[CIE-10]]),COUNTIFS(BASE[Cod.Establecimiento],$O$3,BASE[CODCIE102],ENOS_G2_CONJUNTIVITIS_VIRAL[[#This Row],[CIE-10]]))</f>
        <v>0</v>
      </c>
      <c r="AB53" s="8">
        <f>IF($O$3="(Todas)",COUNTIF(BASE[CODCIE104],ENOS_G2_CONJUNTIVITIS_VIRAL[[#This Row],[CIE-10]]),COUNTIFS(BASE[Cod.Establecimiento],$O$3,BASE[CODCIE104],ENOS_G2_CONJUNTIVITIS_VIRAL[[#This Row],[CIE-10]]))</f>
        <v>0</v>
      </c>
      <c r="AC53" s="8">
        <f>IF($O$3="(Todas)",COUNTIF(BASE[CODCIE106],ENOS_G2_CONJUNTIVITIS_VIRAL[[#This Row],[CIE-10]]),COUNTIFS(BASE[Cod.Establecimiento],$O$3,BASE[CODCIE106],ENOS_G2_CONJUNTIVITIS_VIRAL[[#This Row],[CIE-10]]))</f>
        <v>0</v>
      </c>
      <c r="AD53" s="8">
        <f>IF($O$3="(Todas)",COUNTIF(BASE[CODCIE108],ENOS_G2_CONJUNTIVITIS_VIRAL[[#This Row],[CIE-10]]),COUNTIFS(BASE[Cod.Establecimiento],$O$3,BASE[CODCIE108],ENOS_G2_CONJUNTIVITIS_VIRAL[[#This Row],[CIE-10]]))</f>
        <v>0</v>
      </c>
      <c r="AE53" s="8">
        <f>IF($O$3="(Todas)",COUNTIF(BASE[CODCIE1010],ENOS_G2_CONJUNTIVITIS_VIRAL[[#This Row],[CIE-10]]),COUNTIFS(BASE[Cod.Establecimiento],$O$3,BASE[CODCIE1010],ENOS_G2_CONJUNTIVITIS_VIRAL[[#This Row],[CIE-10]]))</f>
        <v>0</v>
      </c>
      <c r="AF53" s="9">
        <f>SUM(ENOS_G2_CONJUNTIVITIS_VIRAL[[#This Row],[D1]:[D6]])</f>
        <v>0</v>
      </c>
    </row>
    <row r="54" spans="1:3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32" t="s">
        <v>249</v>
      </c>
      <c r="Q54" s="8">
        <f>IF($O$3="(Todas)",COUNTIF(BASE[CODCIE10],ENOS_G1_PALUDISMO[[#This Row],[CIE-10]]),COUNTIFS(BASE[Cod.Establecimiento],$O$3,BASE[CODCIE10],ENOS_G1_PALUDISMO[[#This Row],[CIE-10]]))</f>
        <v>0</v>
      </c>
      <c r="R54" s="8">
        <f>IF($O$3="(Todas)",COUNTIF(BASE[CODCIE102],ENOS_G1_PALUDISMO[[#This Row],[CIE-10]]),COUNTIFS(BASE[Cod.Establecimiento],$O$3,BASE[CODCIE102],ENOS_G1_PALUDISMO[[#This Row],[CIE-10]]))</f>
        <v>0</v>
      </c>
      <c r="S54" s="8">
        <f>IF($O$3="(Todas)",COUNTIF(BASE[CODCIE104],ENOS_G1_PALUDISMO[[#This Row],[CIE-10]]),COUNTIFS(BASE[Cod.Establecimiento],$O$3,BASE[CODCIE104],ENOS_G1_PALUDISMO[[#This Row],[CIE-10]]))</f>
        <v>0</v>
      </c>
      <c r="T54" s="8">
        <f>IF($O$3="(Todas)",COUNTIF(BASE[CODCIE106],ENOS_G1_PALUDISMO[[#This Row],[CIE-10]]),COUNTIFS(BASE[Cod.Establecimiento],$O$3,BASE[CODCIE106],ENOS_G1_PALUDISMO[[#This Row],[CIE-10]]))</f>
        <v>0</v>
      </c>
      <c r="U54" s="8">
        <f>IF($O$3="(Todas)",COUNTIF(BASE[CODCIE108],ENOS_G1_PALUDISMO[[#This Row],[CIE-10]]),COUNTIFS(BASE[Cod.Establecimiento],$O$3,BASE[CODCIE108],ENOS_G1_PALUDISMO[[#This Row],[CIE-10]]))</f>
        <v>0</v>
      </c>
      <c r="V54" s="8">
        <f>IF($O$3="(Todas)",COUNTIF(BASE[CODCIE1010],ENOS_G1_PALUDISMO[[#This Row],[CIE-10]]),COUNTIFS(BASE[Cod.Establecimiento],$O$3,BASE[CODCIE1010],ENOS_G1_PALUDISMO[[#This Row],[CIE-10]]))</f>
        <v>0</v>
      </c>
      <c r="W54" s="9">
        <f>SUM(ENOS_G1_PALUDISMO[[#This Row],[D1]:[D6]])</f>
        <v>0</v>
      </c>
      <c r="X54" s="2"/>
      <c r="Y54" s="2"/>
      <c r="Z54" s="2"/>
      <c r="AA54" s="2"/>
      <c r="AB54" s="2"/>
      <c r="AC54" s="2"/>
      <c r="AD54" s="2"/>
      <c r="AE54" s="2"/>
      <c r="AF54" s="2"/>
    </row>
    <row r="55" spans="1:32" s="2" customFormat="1">
      <c r="P55" s="32" t="s">
        <v>250</v>
      </c>
      <c r="Q55" s="8">
        <f>IF($O$3="(Todas)",COUNTIF(BASE[CODCIE10],ENOS_G1_PALUDISMO[[#This Row],[CIE-10]]),COUNTIFS(BASE[Cod.Establecimiento],$O$3,BASE[CODCIE10],ENOS_G1_PALUDISMO[[#This Row],[CIE-10]]))</f>
        <v>0</v>
      </c>
      <c r="R55" s="8">
        <f>IF($O$3="(Todas)",COUNTIF(BASE[CODCIE102],ENOS_G1_PALUDISMO[[#This Row],[CIE-10]]),COUNTIFS(BASE[Cod.Establecimiento],$O$3,BASE[CODCIE102],ENOS_G1_PALUDISMO[[#This Row],[CIE-10]]))</f>
        <v>0</v>
      </c>
      <c r="S55" s="8">
        <f>IF($O$3="(Todas)",COUNTIF(BASE[CODCIE104],ENOS_G1_PALUDISMO[[#This Row],[CIE-10]]),COUNTIFS(BASE[Cod.Establecimiento],$O$3,BASE[CODCIE104],ENOS_G1_PALUDISMO[[#This Row],[CIE-10]]))</f>
        <v>0</v>
      </c>
      <c r="T55" s="8">
        <f>IF($O$3="(Todas)",COUNTIF(BASE[CODCIE106],ENOS_G1_PALUDISMO[[#This Row],[CIE-10]]),COUNTIFS(BASE[Cod.Establecimiento],$O$3,BASE[CODCIE106],ENOS_G1_PALUDISMO[[#This Row],[CIE-10]]))</f>
        <v>0</v>
      </c>
      <c r="U55" s="8">
        <f>IF($O$3="(Todas)",COUNTIF(BASE[CODCIE108],ENOS_G1_PALUDISMO[[#This Row],[CIE-10]]),COUNTIFS(BASE[Cod.Establecimiento],$O$3,BASE[CODCIE108],ENOS_G1_PALUDISMO[[#This Row],[CIE-10]]))</f>
        <v>0</v>
      </c>
      <c r="V55" s="8">
        <f>IF($O$3="(Todas)",COUNTIF(BASE[CODCIE1010],ENOS_G1_PALUDISMO[[#This Row],[CIE-10]]),COUNTIFS(BASE[Cod.Establecimiento],$O$3,BASE[CODCIE1010],ENOS_G1_PALUDISMO[[#This Row],[CIE-10]]))</f>
        <v>0</v>
      </c>
      <c r="W55" s="9">
        <f>SUM(ENOS_G1_PALUDISMO[[#This Row],[D1]:[D6]])</f>
        <v>0</v>
      </c>
    </row>
    <row r="56" spans="1:32" s="2" customFormat="1">
      <c r="P56" s="32" t="s">
        <v>251</v>
      </c>
      <c r="Q56" s="8">
        <f>IF($O$3="(Todas)",COUNTIF(BASE[CODCIE10],ENOS_G1_PALUDISMO[[#This Row],[CIE-10]]),COUNTIFS(BASE[Cod.Establecimiento],$O$3,BASE[CODCIE10],ENOS_G1_PALUDISMO[[#This Row],[CIE-10]]))</f>
        <v>0</v>
      </c>
      <c r="R56" s="8">
        <f>IF($O$3="(Todas)",COUNTIF(BASE[CODCIE102],ENOS_G1_PALUDISMO[[#This Row],[CIE-10]]),COUNTIFS(BASE[Cod.Establecimiento],$O$3,BASE[CODCIE102],ENOS_G1_PALUDISMO[[#This Row],[CIE-10]]))</f>
        <v>0</v>
      </c>
      <c r="S56" s="8">
        <f>IF($O$3="(Todas)",COUNTIF(BASE[CODCIE104],ENOS_G1_PALUDISMO[[#This Row],[CIE-10]]),COUNTIFS(BASE[Cod.Establecimiento],$O$3,BASE[CODCIE104],ENOS_G1_PALUDISMO[[#This Row],[CIE-10]]))</f>
        <v>0</v>
      </c>
      <c r="T56" s="8">
        <f>IF($O$3="(Todas)",COUNTIF(BASE[CODCIE106],ENOS_G1_PALUDISMO[[#This Row],[CIE-10]]),COUNTIFS(BASE[Cod.Establecimiento],$O$3,BASE[CODCIE106],ENOS_G1_PALUDISMO[[#This Row],[CIE-10]]))</f>
        <v>0</v>
      </c>
      <c r="U56" s="8">
        <f>IF($O$3="(Todas)",COUNTIF(BASE[CODCIE108],ENOS_G1_PALUDISMO[[#This Row],[CIE-10]]),COUNTIFS(BASE[Cod.Establecimiento],$O$3,BASE[CODCIE108],ENOS_G1_PALUDISMO[[#This Row],[CIE-10]]))</f>
        <v>0</v>
      </c>
      <c r="V56" s="8">
        <f>IF($O$3="(Todas)",COUNTIF(BASE[CODCIE1010],ENOS_G1_PALUDISMO[[#This Row],[CIE-10]]),COUNTIFS(BASE[Cod.Establecimiento],$O$3,BASE[CODCIE1010],ENOS_G1_PALUDISMO[[#This Row],[CIE-10]]))</f>
        <v>0</v>
      </c>
      <c r="W56" s="9">
        <f>SUM(ENOS_G1_PALUDISMO[[#This Row],[D1]:[D6]])</f>
        <v>0</v>
      </c>
    </row>
    <row r="57" spans="1:32" s="2" customFormat="1">
      <c r="P57" s="32" t="s">
        <v>252</v>
      </c>
      <c r="Q57" s="8">
        <f>IF($O$3="(Todas)",COUNTIF(BASE[CODCIE10],ENOS_G1_PALUDISMO[[#This Row],[CIE-10]]),COUNTIFS(BASE[Cod.Establecimiento],$O$3,BASE[CODCIE10],ENOS_G1_PALUDISMO[[#This Row],[CIE-10]]))</f>
        <v>0</v>
      </c>
      <c r="R57" s="8">
        <f>IF($O$3="(Todas)",COUNTIF(BASE[CODCIE102],ENOS_G1_PALUDISMO[[#This Row],[CIE-10]]),COUNTIFS(BASE[Cod.Establecimiento],$O$3,BASE[CODCIE102],ENOS_G1_PALUDISMO[[#This Row],[CIE-10]]))</f>
        <v>0</v>
      </c>
      <c r="S57" s="8">
        <f>IF($O$3="(Todas)",COUNTIF(BASE[CODCIE104],ENOS_G1_PALUDISMO[[#This Row],[CIE-10]]),COUNTIFS(BASE[Cod.Establecimiento],$O$3,BASE[CODCIE104],ENOS_G1_PALUDISMO[[#This Row],[CIE-10]]))</f>
        <v>0</v>
      </c>
      <c r="T57" s="8">
        <f>IF($O$3="(Todas)",COUNTIF(BASE[CODCIE106],ENOS_G1_PALUDISMO[[#This Row],[CIE-10]]),COUNTIFS(BASE[Cod.Establecimiento],$O$3,BASE[CODCIE106],ENOS_G1_PALUDISMO[[#This Row],[CIE-10]]))</f>
        <v>0</v>
      </c>
      <c r="U57" s="8">
        <f>IF($O$3="(Todas)",COUNTIF(BASE[CODCIE108],ENOS_G1_PALUDISMO[[#This Row],[CIE-10]]),COUNTIFS(BASE[Cod.Establecimiento],$O$3,BASE[CODCIE108],ENOS_G1_PALUDISMO[[#This Row],[CIE-10]]))</f>
        <v>0</v>
      </c>
      <c r="V57" s="8">
        <f>IF($O$3="(Todas)",COUNTIF(BASE[CODCIE1010],ENOS_G1_PALUDISMO[[#This Row],[CIE-10]]),COUNTIFS(BASE[Cod.Establecimiento],$O$3,BASE[CODCIE1010],ENOS_G1_PALUDISMO[[#This Row],[CIE-10]]))</f>
        <v>0</v>
      </c>
      <c r="W57" s="9">
        <f>SUM(ENOS_G1_PALUDISMO[[#This Row],[D1]:[D6]])</f>
        <v>0</v>
      </c>
    </row>
    <row r="58" spans="1:3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spans="1:32" ht="18" customHeight="1" thickBo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80" t="s">
        <v>253</v>
      </c>
      <c r="Q59" s="81"/>
      <c r="R59" s="81"/>
      <c r="S59" s="81"/>
      <c r="T59" s="81"/>
      <c r="U59" s="81"/>
      <c r="V59" s="81"/>
      <c r="W59" s="81"/>
      <c r="X59" s="2"/>
      <c r="Y59" s="80" t="s">
        <v>254</v>
      </c>
      <c r="Z59" s="81"/>
      <c r="AA59" s="81"/>
      <c r="AB59" s="81"/>
      <c r="AC59" s="81"/>
      <c r="AD59" s="81"/>
      <c r="AE59" s="81"/>
      <c r="AF59" s="81"/>
    </row>
    <row r="60" spans="1:32" ht="15.75" customHeight="1" thickTop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 t="s">
        <v>93</v>
      </c>
      <c r="Q60" s="8" t="s">
        <v>94</v>
      </c>
      <c r="R60" s="8" t="s">
        <v>95</v>
      </c>
      <c r="S60" s="8" t="s">
        <v>96</v>
      </c>
      <c r="T60" s="8" t="s">
        <v>97</v>
      </c>
      <c r="U60" s="8" t="s">
        <v>98</v>
      </c>
      <c r="V60" s="8" t="s">
        <v>99</v>
      </c>
      <c r="W60" s="10" t="s">
        <v>100</v>
      </c>
      <c r="X60" s="2"/>
      <c r="Y60" s="2" t="s">
        <v>93</v>
      </c>
      <c r="Z60" s="8" t="s">
        <v>94</v>
      </c>
      <c r="AA60" s="8" t="s">
        <v>95</v>
      </c>
      <c r="AB60" s="8" t="s">
        <v>96</v>
      </c>
      <c r="AC60" s="8" t="s">
        <v>97</v>
      </c>
      <c r="AD60" s="8" t="s">
        <v>98</v>
      </c>
      <c r="AE60" s="8" t="s">
        <v>99</v>
      </c>
      <c r="AF60" s="10" t="s">
        <v>100</v>
      </c>
    </row>
    <row r="61" spans="1:32" ht="18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32" t="s">
        <v>130</v>
      </c>
      <c r="Q61" s="8">
        <f>IF($O$3="(Todas)",COUNTIF(BASE[CODCIE10],ENOS_G2_PAROTIDITIS_INFECCIOSA_PAPERAS[[#This Row],[CIE-10]]),COUNTIFS(BASE[Cod.Establecimiento],$O$3,BASE[CODCIE10],ENOS_G2_PAROTIDITIS_INFECCIOSA_PAPERAS[[#This Row],[CIE-10]]))</f>
        <v>0</v>
      </c>
      <c r="R61" s="8">
        <f>IF($O$3="(Todas)",COUNTIF(BASE[CODCIE102],ENOS_G2_PAROTIDITIS_INFECCIOSA_PAPERAS[[#This Row],[CIE-10]]),COUNTIFS(BASE[Cod.Establecimiento],$O$3,BASE[CODCIE102],ENOS_G2_PAROTIDITIS_INFECCIOSA_PAPERAS[[#This Row],[CIE-10]]))</f>
        <v>0</v>
      </c>
      <c r="S61" s="8">
        <f>IF($O$3="(Todas)",COUNTIF(BASE[CODCIE104],ENOS_G2_PAROTIDITIS_INFECCIOSA_PAPERAS[[#This Row],[CIE-10]]),COUNTIFS(BASE[Cod.Establecimiento],$O$3,BASE[CODCIE104],ENOS_G2_PAROTIDITIS_INFECCIOSA_PAPERAS[[#This Row],[CIE-10]]))</f>
        <v>0</v>
      </c>
      <c r="T61" s="8">
        <f>IF($O$3="(Todas)",COUNTIF(BASE[CODCIE106],ENOS_G2_PAROTIDITIS_INFECCIOSA_PAPERAS[[#This Row],[CIE-10]]),COUNTIFS(BASE[Cod.Establecimiento],$O$3,BASE[CODCIE106],ENOS_G2_PAROTIDITIS_INFECCIOSA_PAPERAS[[#This Row],[CIE-10]]))</f>
        <v>0</v>
      </c>
      <c r="U61" s="8">
        <f>IF($O$3="(Todas)",COUNTIF(BASE[CODCIE108],ENOS_G2_PAROTIDITIS_INFECCIOSA_PAPERAS[[#This Row],[CIE-10]]),COUNTIFS(BASE[Cod.Establecimiento],$O$3,BASE[CODCIE108],ENOS_G2_PAROTIDITIS_INFECCIOSA_PAPERAS[[#This Row],[CIE-10]]))</f>
        <v>0</v>
      </c>
      <c r="V61" s="8">
        <f>IF($O$3="(Todas)",COUNTIF(BASE[CODCIE1010],ENOS_G2_PAROTIDITIS_INFECCIOSA_PAPERAS[[#This Row],[CIE-10]]),COUNTIFS(BASE[Cod.Establecimiento],$O$3,BASE[CODCIE1010],ENOS_G2_PAROTIDITIS_INFECCIOSA_PAPERAS[[#This Row],[CIE-10]]))</f>
        <v>0</v>
      </c>
      <c r="W61" s="9">
        <f>SUM(ENOS_G2_PAROTIDITIS_INFECCIOSA_PAPERAS[[#This Row],[D1]:[D6]])</f>
        <v>0</v>
      </c>
      <c r="X61" s="2"/>
      <c r="Y61" s="32" t="s">
        <v>147</v>
      </c>
      <c r="Z61" s="8">
        <f>IF($O$3="(Todas)",COUNTIF(BASE[CODCIE10],ENOS_G2_VARICELA[[#This Row],[CIE-10]]),COUNTIFS(BASE[Cod.Establecimiento],$O$3,BASE[CODCIE10],ENOS_G2_VARICELA[[#This Row],[CIE-10]]))</f>
        <v>0</v>
      </c>
      <c r="AA61" s="8">
        <f>IF($O$3="(Todas)",COUNTIF(BASE[CODCIE102],ENOS_G2_VARICELA[[#This Row],[CIE-10]]),COUNTIFS(BASE[Cod.Establecimiento],$O$3,BASE[CODCIE102],ENOS_G2_VARICELA[[#This Row],[CIE-10]]))</f>
        <v>0</v>
      </c>
      <c r="AB61" s="8">
        <f>IF($O$3="(Todas)",COUNTIF(BASE[CODCIE104],ENOS_G2_VARICELA[[#This Row],[CIE-10]]),COUNTIFS(BASE[Cod.Establecimiento],$O$3,BASE[CODCIE104],ENOS_G2_VARICELA[[#This Row],[CIE-10]]))</f>
        <v>0</v>
      </c>
      <c r="AC61" s="8">
        <f>IF($O$3="(Todas)",COUNTIF(BASE[CODCIE106],ENOS_G2_VARICELA[[#This Row],[CIE-10]]),COUNTIFS(BASE[Cod.Establecimiento],$O$3,BASE[CODCIE106],ENOS_G2_VARICELA[[#This Row],[CIE-10]]))</f>
        <v>0</v>
      </c>
      <c r="AD61" s="8">
        <f>IF($O$3="(Todas)",COUNTIF(BASE[CODCIE108],ENOS_G2_VARICELA[[#This Row],[CIE-10]]),COUNTIFS(BASE[Cod.Establecimiento],$O$3,BASE[CODCIE108],ENOS_G2_VARICELA[[#This Row],[CIE-10]]))</f>
        <v>0</v>
      </c>
      <c r="AE61" s="8">
        <f>IF($O$3="(Todas)",COUNTIF(BASE[CODCIE1010],ENOS_G2_VARICELA[[#This Row],[CIE-10]]),COUNTIFS(BASE[Cod.Establecimiento],$O$3,BASE[CODCIE1010],ENOS_G2_VARICELA[[#This Row],[CIE-10]]))</f>
        <v>0</v>
      </c>
      <c r="AF61" s="9">
        <f>SUM(ENOS_G2_VARICELA[[#This Row],[D1]:[D6]])</f>
        <v>0</v>
      </c>
    </row>
    <row r="62" spans="1:3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32" ht="18" customHeight="1" thickBo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80" t="s">
        <v>255</v>
      </c>
      <c r="Q63" s="81"/>
      <c r="R63" s="81"/>
      <c r="S63" s="81"/>
      <c r="T63" s="81"/>
      <c r="U63" s="81"/>
      <c r="V63" s="81"/>
      <c r="W63" s="81"/>
      <c r="X63" s="2"/>
      <c r="Y63" s="80" t="s">
        <v>256</v>
      </c>
      <c r="Z63" s="81"/>
      <c r="AA63" s="81"/>
      <c r="AB63" s="81"/>
      <c r="AC63" s="81"/>
      <c r="AD63" s="81"/>
      <c r="AE63" s="81"/>
      <c r="AF63" s="81"/>
    </row>
    <row r="64" spans="1:32" ht="15.75" customHeight="1" thickTop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 t="s">
        <v>93</v>
      </c>
      <c r="Q64" s="8" t="s">
        <v>94</v>
      </c>
      <c r="R64" s="8" t="s">
        <v>95</v>
      </c>
      <c r="S64" s="8" t="s">
        <v>96</v>
      </c>
      <c r="T64" s="8" t="s">
        <v>97</v>
      </c>
      <c r="U64" s="8" t="s">
        <v>98</v>
      </c>
      <c r="V64" s="8" t="s">
        <v>99</v>
      </c>
      <c r="W64" s="10" t="s">
        <v>100</v>
      </c>
      <c r="X64" s="2"/>
      <c r="Y64" s="2" t="s">
        <v>93</v>
      </c>
      <c r="Z64" s="8" t="s">
        <v>94</v>
      </c>
      <c r="AA64" s="8" t="s">
        <v>95</v>
      </c>
      <c r="AB64" s="8" t="s">
        <v>96</v>
      </c>
      <c r="AC64" s="8" t="s">
        <v>97</v>
      </c>
      <c r="AD64" s="8" t="s">
        <v>98</v>
      </c>
      <c r="AE64" s="8" t="s">
        <v>99</v>
      </c>
      <c r="AF64" s="10" t="s">
        <v>100</v>
      </c>
    </row>
    <row r="65" spans="1:3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32" t="s">
        <v>257</v>
      </c>
      <c r="Q65" s="8">
        <f>IF($O$3="(Todas)",COUNTIF(BASE[CODCIE10],ENOS_G2_HEPATITIS_A[[#This Row],[CIE-10]]),COUNTIFS(BASE[Cod.Establecimiento],$O$3,BASE[CODCIE10],ENOS_G2_HEPATITIS_A[[#This Row],[CIE-10]]))</f>
        <v>0</v>
      </c>
      <c r="R65" s="8">
        <f>IF($O$3="(Todas)",COUNTIF(BASE[CODCIE102],ENOS_G2_HEPATITIS_A[[#This Row],[CIE-10]]),COUNTIFS(BASE[Cod.Establecimiento],$O$3,BASE[CODCIE102],ENOS_G2_HEPATITIS_A[[#This Row],[CIE-10]]))</f>
        <v>0</v>
      </c>
      <c r="S65" s="8">
        <f>IF($O$3="(Todas)",COUNTIF(BASE[CODCIE104],ENOS_G2_HEPATITIS_A[[#This Row],[CIE-10]]),COUNTIFS(BASE[Cod.Establecimiento],$O$3,BASE[CODCIE104],ENOS_G2_HEPATITIS_A[[#This Row],[CIE-10]]))</f>
        <v>0</v>
      </c>
      <c r="T65" s="8">
        <f>IF($O$3="(Todas)",COUNTIF(BASE[CODCIE106],ENOS_G2_HEPATITIS_A[[#This Row],[CIE-10]]),COUNTIFS(BASE[Cod.Establecimiento],$O$3,BASE[CODCIE106],ENOS_G2_HEPATITIS_A[[#This Row],[CIE-10]]))</f>
        <v>0</v>
      </c>
      <c r="U65" s="8">
        <f>IF($O$3="(Todas)",COUNTIF(BASE[CODCIE108],ENOS_G2_HEPATITIS_A[[#This Row],[CIE-10]]),COUNTIFS(BASE[Cod.Establecimiento],$O$3,BASE[CODCIE108],ENOS_G2_HEPATITIS_A[[#This Row],[CIE-10]]))</f>
        <v>0</v>
      </c>
      <c r="V65" s="8">
        <f>IF($O$3="(Todas)",COUNTIF(BASE[CODCIE1010],ENOS_G2_HEPATITIS_A[[#This Row],[CIE-10]]),COUNTIFS(BASE[Cod.Establecimiento],$O$3,BASE[CODCIE1010],ENOS_G2_HEPATITIS_A[[#This Row],[CIE-10]]))</f>
        <v>0</v>
      </c>
      <c r="W65" s="9">
        <f>SUM(ENOS_G2_HEPATITIS_A[[#This Row],[D1]:[D6]])</f>
        <v>0</v>
      </c>
      <c r="X65" s="2"/>
      <c r="Y65" s="32" t="s">
        <v>258</v>
      </c>
      <c r="Z65" s="8">
        <f>IF($O$3="(Todas)",COUNTIF(BASE[CODCIE10],ENOS_G2_HEPATITIS_VIRAL_SIN_OTRA_ESPECIFIACION[[#This Row],[CIE-10]]),COUNTIFS(BASE[Cod.Establecimiento],$O$3,BASE[CODCIE10],ENOS_G2_HEPATITIS_VIRAL_SIN_OTRA_ESPECIFIACION[[#This Row],[CIE-10]]))</f>
        <v>0</v>
      </c>
      <c r="AA65" s="8">
        <f>IF($O$3="(Todas)",COUNTIF(BASE[CODCIE102],ENOS_G2_HEPATITIS_VIRAL_SIN_OTRA_ESPECIFIACION[[#This Row],[CIE-10]]),COUNTIFS(BASE[Cod.Establecimiento],$O$3,BASE[CODCIE102],ENOS_G2_HEPATITIS_VIRAL_SIN_OTRA_ESPECIFIACION[[#This Row],[CIE-10]]))</f>
        <v>0</v>
      </c>
      <c r="AB65" s="8">
        <f>IF($O$3="(Todas)",COUNTIF(BASE[CODCIE104],ENOS_G2_HEPATITIS_VIRAL_SIN_OTRA_ESPECIFIACION[[#This Row],[CIE-10]]),COUNTIFS(BASE[Cod.Establecimiento],$O$3,BASE[CODCIE104],ENOS_G2_HEPATITIS_VIRAL_SIN_OTRA_ESPECIFIACION[[#This Row],[CIE-10]]))</f>
        <v>0</v>
      </c>
      <c r="AC65" s="8">
        <f>IF($O$3="(Todas)",COUNTIF(BASE[CODCIE106],ENOS_G2_HEPATITIS_VIRAL_SIN_OTRA_ESPECIFIACION[[#This Row],[CIE-10]]),COUNTIFS(BASE[Cod.Establecimiento],$O$3,BASE[CODCIE106],ENOS_G2_HEPATITIS_VIRAL_SIN_OTRA_ESPECIFIACION[[#This Row],[CIE-10]]))</f>
        <v>0</v>
      </c>
      <c r="AD65" s="8">
        <f>IF($O$3="(Todas)",COUNTIF(BASE[CODCIE108],ENOS_G2_HEPATITIS_VIRAL_SIN_OTRA_ESPECIFIACION[[#This Row],[CIE-10]]),COUNTIFS(BASE[Cod.Establecimiento],$O$3,BASE[CODCIE108],ENOS_G2_HEPATITIS_VIRAL_SIN_OTRA_ESPECIFIACION[[#This Row],[CIE-10]]))</f>
        <v>0</v>
      </c>
      <c r="AE65" s="8">
        <f>IF($O$3="(Todas)",COUNTIF(BASE[CODCIE1010],ENOS_G2_HEPATITIS_VIRAL_SIN_OTRA_ESPECIFIACION[[#This Row],[CIE-10]]),COUNTIFS(BASE[Cod.Establecimiento],$O$3,BASE[CODCIE1010],ENOS_G2_HEPATITIS_VIRAL_SIN_OTRA_ESPECIFIACION[[#This Row],[CIE-10]]))</f>
        <v>0</v>
      </c>
      <c r="AF65" s="9">
        <f>SUM(ENOS_G2_HEPATITIS_VIRAL_SIN_OTRA_ESPECIFIACION[[#This Row],[D1]:[D6]])</f>
        <v>0</v>
      </c>
    </row>
    <row r="66" spans="1:3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32" ht="18" customHeight="1" thickBo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80" t="s">
        <v>259</v>
      </c>
      <c r="Q67" s="81"/>
      <c r="R67" s="81"/>
      <c r="S67" s="81"/>
      <c r="T67" s="81"/>
      <c r="U67" s="81"/>
      <c r="V67" s="81"/>
      <c r="W67" s="81"/>
      <c r="X67" s="2"/>
      <c r="Y67" s="80" t="s">
        <v>260</v>
      </c>
      <c r="Z67" s="81"/>
      <c r="AA67" s="81"/>
      <c r="AB67" s="81"/>
      <c r="AC67" s="81"/>
      <c r="AD67" s="81"/>
      <c r="AE67" s="81"/>
      <c r="AF67" s="81"/>
    </row>
    <row r="68" spans="1:32" ht="15.75" customHeight="1" thickTop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 t="s">
        <v>93</v>
      </c>
      <c r="Q68" s="8" t="s">
        <v>94</v>
      </c>
      <c r="R68" s="8" t="s">
        <v>95</v>
      </c>
      <c r="S68" s="8" t="s">
        <v>96</v>
      </c>
      <c r="T68" s="8" t="s">
        <v>97</v>
      </c>
      <c r="U68" s="8" t="s">
        <v>98</v>
      </c>
      <c r="V68" s="8" t="s">
        <v>99</v>
      </c>
      <c r="W68" s="10" t="s">
        <v>100</v>
      </c>
      <c r="X68" s="2"/>
      <c r="Y68" s="2" t="s">
        <v>93</v>
      </c>
      <c r="Z68" s="8" t="s">
        <v>94</v>
      </c>
      <c r="AA68" s="8" t="s">
        <v>95</v>
      </c>
      <c r="AB68" s="8" t="s">
        <v>96</v>
      </c>
      <c r="AC68" s="8" t="s">
        <v>97</v>
      </c>
      <c r="AD68" s="8" t="s">
        <v>98</v>
      </c>
      <c r="AE68" s="8" t="s">
        <v>99</v>
      </c>
      <c r="AF68" s="10" t="s">
        <v>100</v>
      </c>
    </row>
    <row r="69" spans="1:32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32" t="s">
        <v>261</v>
      </c>
      <c r="Q69" s="8">
        <f>IF($O$3="(Todas)",COUNTIF(BASE[CODCIE10],ENOS_G2_ETA[[#This Row],[CIE-10]]),COUNTIFS(BASE[Cod.Establecimiento],$O$3,BASE[CODCIE10],ENOS_G2_ETA[[#This Row],[CIE-10]]))</f>
        <v>0</v>
      </c>
      <c r="R69" s="8">
        <f>IF($O$3="(Todas)",COUNTIF(BASE[CODCIE102],ENOS_G2_ETA[[#This Row],[CIE-10]]),COUNTIFS(BASE[Cod.Establecimiento],$O$3,BASE[CODCIE102],ENOS_G2_ETA[[#This Row],[CIE-10]]))</f>
        <v>0</v>
      </c>
      <c r="S69" s="8">
        <f>IF($O$3="(Todas)",COUNTIF(BASE[CODCIE104],ENOS_G2_ETA[[#This Row],[CIE-10]]),COUNTIFS(BASE[Cod.Establecimiento],$O$3,BASE[CODCIE104],ENOS_G2_ETA[[#This Row],[CIE-10]]))</f>
        <v>0</v>
      </c>
      <c r="T69" s="8">
        <f>IF($O$3="(Todas)",COUNTIF(BASE[CODCIE106],ENOS_G2_ETA[[#This Row],[CIE-10]]),COUNTIFS(BASE[Cod.Establecimiento],$O$3,BASE[CODCIE106],ENOS_G2_ETA[[#This Row],[CIE-10]]))</f>
        <v>0</v>
      </c>
      <c r="U69" s="8">
        <f>IF($O$3="(Todas)",COUNTIF(BASE[CODCIE108],ENOS_G2_ETA[[#This Row],[CIE-10]]),COUNTIFS(BASE[Cod.Establecimiento],$O$3,BASE[CODCIE108],ENOS_G2_ETA[[#This Row],[CIE-10]]))</f>
        <v>0</v>
      </c>
      <c r="V69" s="8">
        <f>IF($O$3="(Todas)",COUNTIF(BASE[CODCIE1010],ENOS_G2_ETA[[#This Row],[CIE-10]]),COUNTIFS(BASE[Cod.Establecimiento],$O$3,BASE[CODCIE1010],ENOS_G2_ETA[[#This Row],[CIE-10]]))</f>
        <v>0</v>
      </c>
      <c r="W69" s="9">
        <f>SUM(ENOS_G2_ETA[[#This Row],[D1]:[D6]])</f>
        <v>0</v>
      </c>
      <c r="X69" s="2"/>
      <c r="Y69" s="32" t="s">
        <v>262</v>
      </c>
      <c r="Z69" s="8">
        <f>IF($O$3="(Todas)",COUNTIF(BASE[CODCIE10],ENOS_G2_SIFILIS_CONGENITA[[#This Row],[CIE-10]]),COUNTIFS(BASE[Cod.Establecimiento],$O$3,BASE[CODCIE10],ENOS_G2_SIFILIS_CONGENITA[[#This Row],[CIE-10]]))</f>
        <v>0</v>
      </c>
      <c r="AA69" s="8">
        <f>IF($O$3="(Todas)",COUNTIF(BASE[CODCIE102],ENOS_G2_SIFILIS_CONGENITA[[#This Row],[CIE-10]]),COUNTIFS(BASE[Cod.Establecimiento],$O$3,BASE[CODCIE102],ENOS_G2_SIFILIS_CONGENITA[[#This Row],[CIE-10]]))</f>
        <v>0</v>
      </c>
      <c r="AB69" s="8">
        <f>IF($O$3="(Todas)",COUNTIF(BASE[CODCIE104],ENOS_G2_SIFILIS_CONGENITA[[#This Row],[CIE-10]]),COUNTIFS(BASE[Cod.Establecimiento],$O$3,BASE[CODCIE104],ENOS_G2_SIFILIS_CONGENITA[[#This Row],[CIE-10]]))</f>
        <v>0</v>
      </c>
      <c r="AC69" s="8">
        <f>IF($O$3="(Todas)",COUNTIF(BASE[CODCIE106],ENOS_G2_SIFILIS_CONGENITA[[#This Row],[CIE-10]]),COUNTIFS(BASE[Cod.Establecimiento],$O$3,BASE[CODCIE106],ENOS_G2_SIFILIS_CONGENITA[[#This Row],[CIE-10]]))</f>
        <v>0</v>
      </c>
      <c r="AD69" s="8">
        <f>IF($O$3="(Todas)",COUNTIF(BASE[CODCIE108],ENOS_G2_SIFILIS_CONGENITA[[#This Row],[CIE-10]]),COUNTIFS(BASE[Cod.Establecimiento],$O$3,BASE[CODCIE108],ENOS_G2_SIFILIS_CONGENITA[[#This Row],[CIE-10]]))</f>
        <v>0</v>
      </c>
      <c r="AE69" s="8">
        <f>IF($O$3="(Todas)",COUNTIF(BASE[CODCIE1010],ENOS_G2_SIFILIS_CONGENITA[[#This Row],[CIE-10]]),COUNTIFS(BASE[Cod.Establecimiento],$O$3,BASE[CODCIE1010],ENOS_G2_SIFILIS_CONGENITA[[#This Row],[CIE-10]]))</f>
        <v>0</v>
      </c>
      <c r="AF69" s="9">
        <f>SUM(ENOS_G2_SIFILIS_CONGENITA[[#This Row],[D1]:[D6]])</f>
        <v>0</v>
      </c>
    </row>
    <row r="70" spans="1:32" s="2" customFormat="1" ht="15.75" customHeight="1"/>
    <row r="71" spans="1:32" s="2" customFormat="1" ht="15.75" customHeight="1" thickBot="1">
      <c r="P71" s="80" t="s">
        <v>263</v>
      </c>
      <c r="Q71" s="81"/>
      <c r="R71" s="81"/>
      <c r="S71" s="81"/>
      <c r="T71" s="81"/>
      <c r="U71" s="81"/>
      <c r="V71" s="81"/>
      <c r="W71" s="81"/>
      <c r="Y71" s="80" t="s">
        <v>264</v>
      </c>
      <c r="Z71" s="81"/>
      <c r="AA71" s="81"/>
      <c r="AB71" s="81"/>
      <c r="AC71" s="81"/>
      <c r="AD71" s="81"/>
      <c r="AE71" s="81"/>
      <c r="AF71" s="81"/>
    </row>
    <row r="72" spans="1:32" s="2" customFormat="1" ht="15.75" customHeight="1" thickTop="1">
      <c r="P72" s="2" t="s">
        <v>93</v>
      </c>
      <c r="Q72" s="8" t="s">
        <v>94</v>
      </c>
      <c r="R72" s="8" t="s">
        <v>95</v>
      </c>
      <c r="S72" s="8" t="s">
        <v>96</v>
      </c>
      <c r="T72" s="8" t="s">
        <v>97</v>
      </c>
      <c r="U72" s="8" t="s">
        <v>98</v>
      </c>
      <c r="V72" s="8" t="s">
        <v>99</v>
      </c>
      <c r="W72" s="10" t="s">
        <v>100</v>
      </c>
      <c r="Y72" s="2" t="s">
        <v>93</v>
      </c>
      <c r="Z72" s="8" t="s">
        <v>94</v>
      </c>
      <c r="AA72" s="8" t="s">
        <v>95</v>
      </c>
      <c r="AB72" s="8" t="s">
        <v>96</v>
      </c>
      <c r="AC72" s="8" t="s">
        <v>97</v>
      </c>
      <c r="AD72" s="8" t="s">
        <v>98</v>
      </c>
      <c r="AE72" s="8" t="s">
        <v>99</v>
      </c>
      <c r="AF72" s="10" t="s">
        <v>100</v>
      </c>
    </row>
    <row r="73" spans="1:32" s="2" customFormat="1" ht="15.75" customHeight="1">
      <c r="P73" s="32" t="s">
        <v>204</v>
      </c>
      <c r="Q73" s="8">
        <f>IF($O$3="(Todas)",COUNTIF(BASE[CODCIE10],ENOS_G2_SIFILIS_EMBARAZADA[[#This Row],[CIE-10]]),COUNTIFS(BASE[Cod.Establecimiento],$O$3,BASE[CODCIE10],ENOS_G2_SIFILIS_EMBARAZADA[[#This Row],[CIE-10]]))</f>
        <v>0</v>
      </c>
      <c r="R73" s="8">
        <f>IF($O$3="(Todas)",COUNTIF(BASE[CODCIE102],ENOS_G2_SIFILIS_EMBARAZADA[[#This Row],[CIE-10]]),COUNTIFS(BASE[Cod.Establecimiento],$O$3,BASE[CODCIE102],ENOS_G2_SIFILIS_EMBARAZADA[[#This Row],[CIE-10]]))</f>
        <v>0</v>
      </c>
      <c r="S73" s="8">
        <f>IF($O$3="(Todas)",COUNTIF(BASE[CODCIE104],ENOS_G2_SIFILIS_EMBARAZADA[[#This Row],[CIE-10]]),COUNTIFS(BASE[Cod.Establecimiento],$O$3,BASE[CODCIE104],ENOS_G2_SIFILIS_EMBARAZADA[[#This Row],[CIE-10]]))</f>
        <v>0</v>
      </c>
      <c r="T73" s="8">
        <f>IF($O$3="(Todas)",COUNTIF(BASE[CODCIE106],ENOS_G2_SIFILIS_EMBARAZADA[[#This Row],[CIE-10]]),COUNTIFS(BASE[Cod.Establecimiento],$O$3,BASE[CODCIE106],ENOS_G2_SIFILIS_EMBARAZADA[[#This Row],[CIE-10]]))</f>
        <v>0</v>
      </c>
      <c r="U73" s="8">
        <f>IF($O$3="(Todas)",COUNTIF(BASE[CODCIE108],ENOS_G2_SIFILIS_EMBARAZADA[[#This Row],[CIE-10]]),COUNTIFS(BASE[Cod.Establecimiento],$O$3,BASE[CODCIE108],ENOS_G2_SIFILIS_EMBARAZADA[[#This Row],[CIE-10]]))</f>
        <v>0</v>
      </c>
      <c r="V73" s="8">
        <f>IF($O$3="(Todas)",COUNTIF(BASE[CODCIE1010],ENOS_G2_SIFILIS_EMBARAZADA[[#This Row],[CIE-10]]),COUNTIFS(BASE[Cod.Establecimiento],$O$3,BASE[CODCIE1010],ENOS_G2_SIFILIS_EMBARAZADA[[#This Row],[CIE-10]]))</f>
        <v>0</v>
      </c>
      <c r="W73" s="9">
        <f>SUM(ENOS_G2_SIFILIS_EMBARAZADA[[#This Row],[D1]:[D6]])</f>
        <v>0</v>
      </c>
      <c r="Y73" s="32" t="s">
        <v>265</v>
      </c>
      <c r="Z73" s="8">
        <f>IF($O$3="(Todas)",COUNTIF(BASE[CODCIE10],ENOS_G2_SIFILIS_TODOS_LOS_CASOS[[#This Row],[CIE-10]]),COUNTIFS(BASE[Cod.Establecimiento],$O$3,BASE[CODCIE10],ENOS_G2_SIFILIS_TODOS_LOS_CASOS[[#This Row],[CIE-10]]))</f>
        <v>0</v>
      </c>
      <c r="AA73" s="8">
        <f>IF($O$3="(Todas)",COUNTIF(BASE[CODCIE102],ENOS_G2_SIFILIS_TODOS_LOS_CASOS[[#This Row],[CIE-10]]),COUNTIFS(BASE[Cod.Establecimiento],$O$3,BASE[CODCIE102],ENOS_G2_SIFILIS_TODOS_LOS_CASOS[[#This Row],[CIE-10]]))</f>
        <v>0</v>
      </c>
      <c r="AB73" s="8">
        <f>IF($O$3="(Todas)",COUNTIF(BASE[CODCIE104],ENOS_G2_SIFILIS_TODOS_LOS_CASOS[[#This Row],[CIE-10]]),COUNTIFS(BASE[Cod.Establecimiento],$O$3,BASE[CODCIE104],ENOS_G2_SIFILIS_TODOS_LOS_CASOS[[#This Row],[CIE-10]]))</f>
        <v>0</v>
      </c>
      <c r="AC73" s="8">
        <f>IF($O$3="(Todas)",COUNTIF(BASE[CODCIE106],ENOS_G2_SIFILIS_TODOS_LOS_CASOS[[#This Row],[CIE-10]]),COUNTIFS(BASE[Cod.Establecimiento],$O$3,BASE[CODCIE106],ENOS_G2_SIFILIS_TODOS_LOS_CASOS[[#This Row],[CIE-10]]))</f>
        <v>0</v>
      </c>
      <c r="AD73" s="8">
        <f>IF($O$3="(Todas)",COUNTIF(BASE[CODCIE108],ENOS_G2_SIFILIS_TODOS_LOS_CASOS[[#This Row],[CIE-10]]),COUNTIFS(BASE[Cod.Establecimiento],$O$3,BASE[CODCIE108],ENOS_G2_SIFILIS_TODOS_LOS_CASOS[[#This Row],[CIE-10]]))</f>
        <v>0</v>
      </c>
      <c r="AE73" s="8">
        <f>IF($O$3="(Todas)",COUNTIF(BASE[CODCIE1010],ENOS_G2_SIFILIS_TODOS_LOS_CASOS[[#This Row],[CIE-10]]),COUNTIFS(BASE[Cod.Establecimiento],$O$3,BASE[CODCIE1010],ENOS_G2_SIFILIS_TODOS_LOS_CASOS[[#This Row],[CIE-10]]))</f>
        <v>0</v>
      </c>
      <c r="AF73" s="9">
        <f>SUM(ENOS_G2_SIFILIS_TODOS_LOS_CASOS[[#This Row],[D1]:[D6]])</f>
        <v>0</v>
      </c>
    </row>
    <row r="74" spans="1:32" s="2" customFormat="1" ht="15.75" customHeight="1">
      <c r="Y74" s="32" t="s">
        <v>266</v>
      </c>
      <c r="Z74" s="8">
        <f>IF($O$3="(Todas)",COUNTIF(BASE[CODCIE10],ENOS_G2_SIFILIS_TODOS_LOS_CASOS[[#This Row],[CIE-10]]),COUNTIFS(BASE[Cod.Establecimiento],$O$3,BASE[CODCIE10],ENOS_G2_SIFILIS_TODOS_LOS_CASOS[[#This Row],[CIE-10]]))</f>
        <v>0</v>
      </c>
      <c r="AA74" s="8">
        <f>IF($O$3="(Todas)",COUNTIF(BASE[CODCIE102],ENOS_G2_SIFILIS_TODOS_LOS_CASOS[[#This Row],[CIE-10]]),COUNTIFS(BASE[Cod.Establecimiento],$O$3,BASE[CODCIE102],ENOS_G2_SIFILIS_TODOS_LOS_CASOS[[#This Row],[CIE-10]]))</f>
        <v>0</v>
      </c>
      <c r="AB74" s="8">
        <f>IF($O$3="(Todas)",COUNTIF(BASE[CODCIE104],ENOS_G2_SIFILIS_TODOS_LOS_CASOS[[#This Row],[CIE-10]]),COUNTIFS(BASE[Cod.Establecimiento],$O$3,BASE[CODCIE104],ENOS_G2_SIFILIS_TODOS_LOS_CASOS[[#This Row],[CIE-10]]))</f>
        <v>0</v>
      </c>
      <c r="AC74" s="8">
        <f>IF($O$3="(Todas)",COUNTIF(BASE[CODCIE106],ENOS_G2_SIFILIS_TODOS_LOS_CASOS[[#This Row],[CIE-10]]),COUNTIFS(BASE[Cod.Establecimiento],$O$3,BASE[CODCIE106],ENOS_G2_SIFILIS_TODOS_LOS_CASOS[[#This Row],[CIE-10]]))</f>
        <v>0</v>
      </c>
      <c r="AD74" s="8">
        <f>IF($O$3="(Todas)",COUNTIF(BASE[CODCIE108],ENOS_G2_SIFILIS_TODOS_LOS_CASOS[[#This Row],[CIE-10]]),COUNTIFS(BASE[Cod.Establecimiento],$O$3,BASE[CODCIE108],ENOS_G2_SIFILIS_TODOS_LOS_CASOS[[#This Row],[CIE-10]]))</f>
        <v>0</v>
      </c>
      <c r="AE74" s="8">
        <f>IF($O$3="(Todas)",COUNTIF(BASE[CODCIE1010],ENOS_G2_SIFILIS_TODOS_LOS_CASOS[[#This Row],[CIE-10]]),COUNTIFS(BASE[Cod.Establecimiento],$O$3,BASE[CODCIE1010],ENOS_G2_SIFILIS_TODOS_LOS_CASOS[[#This Row],[CIE-10]]))</f>
        <v>0</v>
      </c>
      <c r="AF74" s="9">
        <f>SUM(ENOS_G2_SIFILIS_TODOS_LOS_CASOS[[#This Row],[D1]:[D6]])</f>
        <v>0</v>
      </c>
    </row>
    <row r="75" spans="1:32" s="2" customFormat="1" ht="15.75" customHeight="1">
      <c r="Y75" s="32" t="s">
        <v>267</v>
      </c>
      <c r="Z75" s="8">
        <f>IF($O$3="(Todas)",COUNTIF(BASE[CODCIE10],ENOS_G2_SIFILIS_TODOS_LOS_CASOS[[#This Row],[CIE-10]]),COUNTIFS(BASE[Cod.Establecimiento],$O$3,BASE[CODCIE10],ENOS_G2_SIFILIS_TODOS_LOS_CASOS[[#This Row],[CIE-10]]))</f>
        <v>0</v>
      </c>
      <c r="AA75" s="8">
        <f>IF($O$3="(Todas)",COUNTIF(BASE[CODCIE102],ENOS_G2_SIFILIS_TODOS_LOS_CASOS[[#This Row],[CIE-10]]),COUNTIFS(BASE[Cod.Establecimiento],$O$3,BASE[CODCIE102],ENOS_G2_SIFILIS_TODOS_LOS_CASOS[[#This Row],[CIE-10]]))</f>
        <v>0</v>
      </c>
      <c r="AB75" s="8">
        <f>IF($O$3="(Todas)",COUNTIF(BASE[CODCIE104],ENOS_G2_SIFILIS_TODOS_LOS_CASOS[[#This Row],[CIE-10]]),COUNTIFS(BASE[Cod.Establecimiento],$O$3,BASE[CODCIE104],ENOS_G2_SIFILIS_TODOS_LOS_CASOS[[#This Row],[CIE-10]]))</f>
        <v>0</v>
      </c>
      <c r="AC75" s="8">
        <f>IF($O$3="(Todas)",COUNTIF(BASE[CODCIE106],ENOS_G2_SIFILIS_TODOS_LOS_CASOS[[#This Row],[CIE-10]]),COUNTIFS(BASE[Cod.Establecimiento],$O$3,BASE[CODCIE106],ENOS_G2_SIFILIS_TODOS_LOS_CASOS[[#This Row],[CIE-10]]))</f>
        <v>0</v>
      </c>
      <c r="AD75" s="8">
        <f>IF($O$3="(Todas)",COUNTIF(BASE[CODCIE108],ENOS_G2_SIFILIS_TODOS_LOS_CASOS[[#This Row],[CIE-10]]),COUNTIFS(BASE[Cod.Establecimiento],$O$3,BASE[CODCIE108],ENOS_G2_SIFILIS_TODOS_LOS_CASOS[[#This Row],[CIE-10]]))</f>
        <v>0</v>
      </c>
      <c r="AE75" s="8">
        <f>IF($O$3="(Todas)",COUNTIF(BASE[CODCIE1010],ENOS_G2_SIFILIS_TODOS_LOS_CASOS[[#This Row],[CIE-10]]),COUNTIFS(BASE[Cod.Establecimiento],$O$3,BASE[CODCIE1010],ENOS_G2_SIFILIS_TODOS_LOS_CASOS[[#This Row],[CIE-10]]))</f>
        <v>0</v>
      </c>
      <c r="AF75" s="9">
        <f>SUM(ENOS_G2_SIFILIS_TODOS_LOS_CASOS[[#This Row],[D1]:[D6]])</f>
        <v>0</v>
      </c>
    </row>
    <row r="76" spans="1:32" s="2" customFormat="1" ht="15.75" customHeight="1"/>
    <row r="77" spans="1:32" s="2" customFormat="1" ht="15.75" customHeight="1" thickBot="1">
      <c r="P77" s="80" t="s">
        <v>268</v>
      </c>
      <c r="Q77" s="81"/>
      <c r="R77" s="81"/>
      <c r="S77" s="81"/>
      <c r="T77" s="81"/>
      <c r="U77" s="81"/>
      <c r="V77" s="81"/>
      <c r="W77" s="81"/>
    </row>
    <row r="78" spans="1:32" s="2" customFormat="1" ht="15.75" customHeight="1" thickTop="1">
      <c r="P78" s="2" t="s">
        <v>93</v>
      </c>
      <c r="Q78" s="8" t="s">
        <v>94</v>
      </c>
      <c r="R78" s="8" t="s">
        <v>95</v>
      </c>
      <c r="S78" s="8" t="s">
        <v>96</v>
      </c>
      <c r="T78" s="8" t="s">
        <v>97</v>
      </c>
      <c r="U78" s="8" t="s">
        <v>98</v>
      </c>
      <c r="V78" s="8" t="s">
        <v>99</v>
      </c>
      <c r="W78" s="10" t="s">
        <v>100</v>
      </c>
    </row>
    <row r="79" spans="1:32" s="2" customFormat="1" ht="15.75" customHeight="1">
      <c r="P79" s="32" t="s">
        <v>104</v>
      </c>
      <c r="Q79" s="8">
        <f>IF($O$3="(Todas)",COUNTIF(BASE[CODCIE10],ENOS_G2_ENF_VIRICAS_LESIONES_PIEL_Y_MEMB_MUCOSAS[[#This Row],[CIE-10]]),COUNTIFS(BASE[Cod.Establecimiento],$O$3,BASE[CODCIE10],ENOS_G2_ENF_VIRICAS_LESIONES_PIEL_Y_MEMB_MUCOSAS[[#This Row],[CIE-10]]))</f>
        <v>0</v>
      </c>
      <c r="R79" s="8">
        <f>IF($O$3="(Todas)",COUNTIF(BASE[CODCIE102],ENOS_G2_ENF_VIRICAS_LESIONES_PIEL_Y_MEMB_MUCOSAS[[#This Row],[CIE-10]]),COUNTIFS(BASE[Cod.Establecimiento],$O$3,BASE[CODCIE102],ENOS_G2_ENF_VIRICAS_LESIONES_PIEL_Y_MEMB_MUCOSAS[[#This Row],[CIE-10]]))</f>
        <v>0</v>
      </c>
      <c r="S79" s="8">
        <f>IF($O$3="(Todas)",COUNTIF(BASE[CODCIE104],ENOS_G2_ENF_VIRICAS_LESIONES_PIEL_Y_MEMB_MUCOSAS[[#This Row],[CIE-10]]),COUNTIFS(BASE[Cod.Establecimiento],$O$3,BASE[CODCIE104],ENOS_G2_ENF_VIRICAS_LESIONES_PIEL_Y_MEMB_MUCOSAS[[#This Row],[CIE-10]]))</f>
        <v>0</v>
      </c>
      <c r="T79" s="8">
        <f>IF($O$3="(Todas)",COUNTIF(BASE[CODCIE106],ENOS_G2_ENF_VIRICAS_LESIONES_PIEL_Y_MEMB_MUCOSAS[[#This Row],[CIE-10]]),COUNTIFS(BASE[Cod.Establecimiento],$O$3,BASE[CODCIE106],ENOS_G2_ENF_VIRICAS_LESIONES_PIEL_Y_MEMB_MUCOSAS[[#This Row],[CIE-10]]))</f>
        <v>0</v>
      </c>
      <c r="U79" s="8">
        <f>IF($O$3="(Todas)",COUNTIF(BASE[CODCIE108],ENOS_G2_ENF_VIRICAS_LESIONES_PIEL_Y_MEMB_MUCOSAS[[#This Row],[CIE-10]]),COUNTIFS(BASE[Cod.Establecimiento],$O$3,BASE[CODCIE108],ENOS_G2_ENF_VIRICAS_LESIONES_PIEL_Y_MEMB_MUCOSAS[[#This Row],[CIE-10]]))</f>
        <v>0</v>
      </c>
      <c r="V79" s="8">
        <f>IF($O$3="(Todas)",COUNTIF(BASE[CODCIE1010],ENOS_G2_ENF_VIRICAS_LESIONES_PIEL_Y_MEMB_MUCOSAS[[#This Row],[CIE-10]]),COUNTIFS(BASE[Cod.Establecimiento],$O$3,BASE[CODCIE1010],ENOS_G2_ENF_VIRICAS_LESIONES_PIEL_Y_MEMB_MUCOSAS[[#This Row],[CIE-10]]))</f>
        <v>0</v>
      </c>
      <c r="W79" s="9">
        <f>SUM(ENOS_G2_ENF_VIRICAS_LESIONES_PIEL_Y_MEMB_MUCOSAS[[#This Row],[D1]:[D6]])</f>
        <v>0</v>
      </c>
    </row>
    <row r="80" spans="1:32" s="2" customFormat="1" ht="15.75" customHeight="1">
      <c r="P80" s="32" t="s">
        <v>106</v>
      </c>
      <c r="Q80" s="8">
        <f>IF($O$3="(Todas)",COUNTIF(BASE[CODCIE10],ENOS_G2_ENF_VIRICAS_LESIONES_PIEL_Y_MEMB_MUCOSAS[[#This Row],[CIE-10]]),COUNTIFS(BASE[Cod.Establecimiento],$O$3,BASE[CODCIE10],ENOS_G2_ENF_VIRICAS_LESIONES_PIEL_Y_MEMB_MUCOSAS[[#This Row],[CIE-10]]))</f>
        <v>0</v>
      </c>
      <c r="R80" s="8">
        <f>IF($O$3="(Todas)",COUNTIF(BASE[CODCIE102],ENOS_G2_ENF_VIRICAS_LESIONES_PIEL_Y_MEMB_MUCOSAS[[#This Row],[CIE-10]]),COUNTIFS(BASE[Cod.Establecimiento],$O$3,BASE[CODCIE102],ENOS_G2_ENF_VIRICAS_LESIONES_PIEL_Y_MEMB_MUCOSAS[[#This Row],[CIE-10]]))</f>
        <v>0</v>
      </c>
      <c r="S80" s="8">
        <f>IF($O$3="(Todas)",COUNTIF(BASE[CODCIE104],ENOS_G2_ENF_VIRICAS_LESIONES_PIEL_Y_MEMB_MUCOSAS[[#This Row],[CIE-10]]),COUNTIFS(BASE[Cod.Establecimiento],$O$3,BASE[CODCIE104],ENOS_G2_ENF_VIRICAS_LESIONES_PIEL_Y_MEMB_MUCOSAS[[#This Row],[CIE-10]]))</f>
        <v>0</v>
      </c>
      <c r="T80" s="8">
        <f>IF($O$3="(Todas)",COUNTIF(BASE[CODCIE106],ENOS_G2_ENF_VIRICAS_LESIONES_PIEL_Y_MEMB_MUCOSAS[[#This Row],[CIE-10]]),COUNTIFS(BASE[Cod.Establecimiento],$O$3,BASE[CODCIE106],ENOS_G2_ENF_VIRICAS_LESIONES_PIEL_Y_MEMB_MUCOSAS[[#This Row],[CIE-10]]))</f>
        <v>0</v>
      </c>
      <c r="U80" s="8">
        <f>IF($O$3="(Todas)",COUNTIF(BASE[CODCIE108],ENOS_G2_ENF_VIRICAS_LESIONES_PIEL_Y_MEMB_MUCOSAS[[#This Row],[CIE-10]]),COUNTIFS(BASE[Cod.Establecimiento],$O$3,BASE[CODCIE108],ENOS_G2_ENF_VIRICAS_LESIONES_PIEL_Y_MEMB_MUCOSAS[[#This Row],[CIE-10]]))</f>
        <v>0</v>
      </c>
      <c r="V80" s="8">
        <f>IF($O$3="(Todas)",COUNTIF(BASE[CODCIE1010],ENOS_G2_ENF_VIRICAS_LESIONES_PIEL_Y_MEMB_MUCOSAS[[#This Row],[CIE-10]]),COUNTIFS(BASE[Cod.Establecimiento],$O$3,BASE[CODCIE1010],ENOS_G2_ENF_VIRICAS_LESIONES_PIEL_Y_MEMB_MUCOSAS[[#This Row],[CIE-10]]))</f>
        <v>0</v>
      </c>
      <c r="W80" s="9">
        <f>SUM(ENOS_G2_ENF_VIRICAS_LESIONES_PIEL_Y_MEMB_MUCOSAS[[#This Row],[D1]:[D6]])</f>
        <v>0</v>
      </c>
    </row>
    <row r="81" spans="1:32" s="2" customFormat="1" ht="15.75" customHeight="1">
      <c r="P81" s="32" t="s">
        <v>780</v>
      </c>
      <c r="Q81" s="8">
        <f>IF($O$3="(Todas)",COUNTIF(BASE[CODCIE10],ENOS_G2_ENF_VIRICAS_LESIONES_PIEL_Y_MEMB_MUCOSAS[[#This Row],[CIE-10]]),COUNTIFS(BASE[Cod.Establecimiento],$O$3,BASE[CODCIE10],ENOS_G2_ENF_VIRICAS_LESIONES_PIEL_Y_MEMB_MUCOSAS[[#This Row],[CIE-10]]))</f>
        <v>0</v>
      </c>
      <c r="R81" s="8">
        <f>IF($O$3="(Todas)",COUNTIF(BASE[CODCIE102],ENOS_G2_ENF_VIRICAS_LESIONES_PIEL_Y_MEMB_MUCOSAS[[#This Row],[CIE-10]]),COUNTIFS(BASE[Cod.Establecimiento],$O$3,BASE[CODCIE102],ENOS_G2_ENF_VIRICAS_LESIONES_PIEL_Y_MEMB_MUCOSAS[[#This Row],[CIE-10]]))</f>
        <v>0</v>
      </c>
      <c r="S81" s="8">
        <f>IF($O$3="(Todas)",COUNTIF(BASE[CODCIE104],ENOS_G2_ENF_VIRICAS_LESIONES_PIEL_Y_MEMB_MUCOSAS[[#This Row],[CIE-10]]),COUNTIFS(BASE[Cod.Establecimiento],$O$3,BASE[CODCIE104],ENOS_G2_ENF_VIRICAS_LESIONES_PIEL_Y_MEMB_MUCOSAS[[#This Row],[CIE-10]]))</f>
        <v>0</v>
      </c>
      <c r="T81" s="8">
        <f>IF($O$3="(Todas)",COUNTIF(BASE[CODCIE106],ENOS_G2_ENF_VIRICAS_LESIONES_PIEL_Y_MEMB_MUCOSAS[[#This Row],[CIE-10]]),COUNTIFS(BASE[Cod.Establecimiento],$O$3,BASE[CODCIE106],ENOS_G2_ENF_VIRICAS_LESIONES_PIEL_Y_MEMB_MUCOSAS[[#This Row],[CIE-10]]))</f>
        <v>0</v>
      </c>
      <c r="U81" s="8">
        <f>IF($O$3="(Todas)",COUNTIF(BASE[CODCIE108],ENOS_G2_ENF_VIRICAS_LESIONES_PIEL_Y_MEMB_MUCOSAS[[#This Row],[CIE-10]]),COUNTIFS(BASE[Cod.Establecimiento],$O$3,BASE[CODCIE108],ENOS_G2_ENF_VIRICAS_LESIONES_PIEL_Y_MEMB_MUCOSAS[[#This Row],[CIE-10]]))</f>
        <v>0</v>
      </c>
      <c r="V81" s="8">
        <f>IF($O$3="(Todas)",COUNTIF(BASE[CODCIE1010],ENOS_G2_ENF_VIRICAS_LESIONES_PIEL_Y_MEMB_MUCOSAS[[#This Row],[CIE-10]]),COUNTIFS(BASE[Cod.Establecimiento],$O$3,BASE[CODCIE1010],ENOS_G2_ENF_VIRICAS_LESIONES_PIEL_Y_MEMB_MUCOSAS[[#This Row],[CIE-10]]))</f>
        <v>0</v>
      </c>
      <c r="W81" s="9">
        <f>SUM(ENOS_G2_ENF_VIRICAS_LESIONES_PIEL_Y_MEMB_MUCOSAS[[#This Row],[D1]:[D6]])</f>
        <v>0</v>
      </c>
    </row>
    <row r="82" spans="1:32" ht="18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spans="1:32" ht="15.75" customHeight="1" thickBo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80" t="s">
        <v>269</v>
      </c>
      <c r="Q83" s="81"/>
      <c r="R83" s="81"/>
      <c r="S83" s="81"/>
      <c r="T83" s="81"/>
      <c r="U83" s="81"/>
      <c r="V83" s="81"/>
      <c r="W83" s="81"/>
      <c r="X83" s="2"/>
      <c r="Y83" s="80" t="s">
        <v>270</v>
      </c>
      <c r="Z83" s="81"/>
      <c r="AA83" s="81"/>
      <c r="AB83" s="81"/>
      <c r="AC83" s="81"/>
      <c r="AD83" s="81"/>
      <c r="AE83" s="81"/>
      <c r="AF83" s="81"/>
    </row>
    <row r="84" spans="1:32" ht="15.75" customHeight="1" thickTop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 t="s">
        <v>93</v>
      </c>
      <c r="Q84" s="8" t="s">
        <v>94</v>
      </c>
      <c r="R84" s="8" t="s">
        <v>95</v>
      </c>
      <c r="S84" s="8" t="s">
        <v>96</v>
      </c>
      <c r="T84" s="8" t="s">
        <v>97</v>
      </c>
      <c r="U84" s="8" t="s">
        <v>98</v>
      </c>
      <c r="V84" s="8" t="s">
        <v>99</v>
      </c>
      <c r="W84" s="10" t="s">
        <v>100</v>
      </c>
      <c r="X84" s="2"/>
      <c r="Y84" s="2" t="s">
        <v>93</v>
      </c>
      <c r="Z84" s="8" t="s">
        <v>94</v>
      </c>
      <c r="AA84" s="8" t="s">
        <v>95</v>
      </c>
      <c r="AB84" s="8" t="s">
        <v>96</v>
      </c>
      <c r="AC84" s="8" t="s">
        <v>97</v>
      </c>
      <c r="AD84" s="8" t="s">
        <v>98</v>
      </c>
      <c r="AE84" s="8" t="s">
        <v>99</v>
      </c>
      <c r="AF84" s="10" t="s">
        <v>100</v>
      </c>
    </row>
    <row r="85" spans="1:32" ht="18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32" t="s">
        <v>271</v>
      </c>
      <c r="Q85" s="8">
        <f>IF($O$3="(Todas)",COUNTIFS(BASE[CODCIE10],ENOS_G3_ETI_MENOR_QUE_1_AÑO[[#This Row],[CIE-10]],BASE[Edad],"&lt;1"),COUNTIFS(BASE[Cod.Establecimiento],$O$3,BASE[CODCIE10],ENOS_G3_ETI_MENOR_QUE_1_AÑO[[#This Row],[CIE-10]],BASE[Edad],"&lt;1"))</f>
        <v>0</v>
      </c>
      <c r="R85" s="8">
        <f>IF($O$3="(Todas)",COUNTIFS(BASE[CODCIE102],ENOS_G3_ETI_MENOR_QUE_1_AÑO[[#This Row],[CIE-10]],BASE[Edad],"&lt;1"),COUNTIFS(BASE[Cod.Establecimiento],$O$3,BASE[CODCIE102],ENOS_G3_ETI_MENOR_QUE_1_AÑO[[#This Row],[CIE-10]],BASE[Edad],"&lt;1"))</f>
        <v>0</v>
      </c>
      <c r="S85" s="8">
        <f>IF($O$3="(Todas)",COUNTIFS(BASE[CODCIE104],ENOS_G3_ETI_MENOR_QUE_1_AÑO[[#This Row],[CIE-10]],BASE[Edad],"&lt;1"),COUNTIFS(BASE[Cod.Establecimiento],$O$3,BASE[CODCIE104],ENOS_G3_ETI_MENOR_QUE_1_AÑO[[#This Row],[CIE-10]],BASE[Edad],"&lt;1"))</f>
        <v>0</v>
      </c>
      <c r="T85" s="8">
        <f>IF($O$3="(Todas)",COUNTIFS(BASE[CODCIE106],ENOS_G3_ETI_MENOR_QUE_1_AÑO[[#This Row],[CIE-10]],BASE[Edad],"&lt;1"),COUNTIFS(BASE[Cod.Establecimiento],$O$3,BASE[CODCIE106],ENOS_G3_ETI_MENOR_QUE_1_AÑO[[#This Row],[CIE-10]],BASE[Edad],"&lt;1"))</f>
        <v>0</v>
      </c>
      <c r="U85" s="8">
        <f>IF($O$3="(Todas)",COUNTIFS(BASE[CODCIE108],ENOS_G3_ETI_MENOR_QUE_1_AÑO[[#This Row],[CIE-10]],BASE[Edad],"&lt;1"),COUNTIFS(BASE[Cod.Establecimiento],$O$3,BASE[CODCIE108],ENOS_G3_ETI_MENOR_QUE_1_AÑO[[#This Row],[CIE-10]],BASE[Edad],"&lt;1"))</f>
        <v>0</v>
      </c>
      <c r="V85" s="8">
        <f>IF($O$3="(Todas)",COUNTIFS(BASE[CODCIE1010],ENOS_G3_ETI_MENOR_QUE_1_AÑO[[#This Row],[CIE-10]],BASE[Edad],"&lt;1"),COUNTIFS(BASE[Cod.Establecimiento],$O$3,BASE[CODCIE1010],ENOS_G3_ETI_MENOR_QUE_1_AÑO[[#This Row],[CIE-10]],BASE[Edad],"&lt;1"))</f>
        <v>0</v>
      </c>
      <c r="W85" s="9">
        <f>SUM(ENOS_G3_ETI_MENOR_QUE_1_AÑO[[#This Row],[D1]:[D6]])</f>
        <v>0</v>
      </c>
      <c r="X85" s="2"/>
      <c r="Y85" s="32" t="s">
        <v>271</v>
      </c>
      <c r="Z85" s="8">
        <f>IF($O$3="(Todas)",COUNTIFS(BASE[CODCIE10],ENOS_G3_ETI_1_4_AÑOS[[#This Row],[CIE-10]],BASE[Edad],"&gt;=1",BASE[Edad],"&lt;=4"),COUNTIFS(BASE[Cod.Establecimiento],$O$3,BASE[CODCIE10],ENOS_G3_ETI_1_4_AÑOS[[#This Row],[CIE-10]],BASE[Edad],"&gt;=1",BASE[Edad],"&lt;=4"))</f>
        <v>0</v>
      </c>
      <c r="AA85" s="8">
        <f>IF($O$3="(Todas)",COUNTIFS(BASE[CODCIE102],ENOS_G3_ETI_1_4_AÑOS[[#This Row],[CIE-10]],BASE[Edad],"&gt;=1",BASE[Edad],"&lt;=4"),COUNTIFS(BASE[Cod.Establecimiento],$O$3,BASE[CODCIE102],ENOS_G3_ETI_1_4_AÑOS[[#This Row],[CIE-10]],BASE[Edad],"&gt;=1",BASE[Edad],"&lt;=4"))</f>
        <v>0</v>
      </c>
      <c r="AB85" s="8">
        <f>IF($O$3="(Todas)",COUNTIFS(BASE[CODCIE104],ENOS_G3_ETI_1_4_AÑOS[[#This Row],[CIE-10]],BASE[Edad],"&gt;=1",BASE[Edad],"&lt;=4"),COUNTIFS(BASE[Cod.Establecimiento],$O$3,BASE[CODCIE104],ENOS_G3_ETI_1_4_AÑOS[[#This Row],[CIE-10]],BASE[Edad],"&gt;=1",BASE[Edad],"&lt;=4"))</f>
        <v>0</v>
      </c>
      <c r="AC85" s="8">
        <f>IF($O$3="(Todas)",COUNTIFS(BASE[CODCIE106],ENOS_G3_ETI_1_4_AÑOS[[#This Row],[CIE-10]],BASE[Edad],"&gt;=1",BASE[Edad],"&lt;=4"),COUNTIFS(BASE[Cod.Establecimiento],$O$3,BASE[CODCIE106],ENOS_G3_ETI_1_4_AÑOS[[#This Row],[CIE-10]],BASE[Edad],"&gt;=1",BASE[Edad],"&lt;=4"))</f>
        <v>0</v>
      </c>
      <c r="AD85" s="8">
        <f>IF($O$3="(Todas)",COUNTIFS(BASE[CODCIE108],ENOS_G3_ETI_1_4_AÑOS[[#This Row],[CIE-10]],BASE[Edad],"&gt;=1",BASE[Edad],"&lt;=4"),COUNTIFS(BASE[Cod.Establecimiento],$O$3,BASE[CODCIE108],ENOS_G3_ETI_1_4_AÑOS[[#This Row],[CIE-10]],BASE[Edad],"&gt;=1",BASE[Edad],"&lt;=4"))</f>
        <v>0</v>
      </c>
      <c r="AE85" s="8">
        <f>IF($O$3="(Todas)",COUNTIFS(BASE[CODCIE1010],ENOS_G3_ETI_1_4_AÑOS[[#This Row],[CIE-10]],BASE[Edad],"&gt;=1",BASE[Edad],"&lt;=4"),COUNTIFS(BASE[Cod.Establecimiento],$O$3,BASE[CODCIE1010],ENOS_G3_ETI_1_4_AÑOS[[#This Row],[CIE-10]],BASE[Edad],"&gt;=1",BASE[Edad],"&lt;=4"))</f>
        <v>0</v>
      </c>
      <c r="AF85" s="9">
        <f>SUM(ENOS_G3_ETI_1_4_AÑOS[[#This Row],[D1]:[D6]])</f>
        <v>0</v>
      </c>
    </row>
    <row r="86" spans="1:32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32" t="s">
        <v>272</v>
      </c>
      <c r="Q86" s="8">
        <f>IF($O$3="(Todas)",COUNTIFS(BASE[CODCIE10],ENOS_G3_ETI_MENOR_QUE_1_AÑO[[#This Row],[CIE-10]],BASE[Edad],"&lt;1"),COUNTIFS(BASE[Cod.Establecimiento],$O$3,BASE[CODCIE10],ENOS_G3_ETI_MENOR_QUE_1_AÑO[[#This Row],[CIE-10]],BASE[Edad],"&lt;1"))</f>
        <v>0</v>
      </c>
      <c r="R86" s="8">
        <f>IF($O$3="(Todas)",COUNTIFS(BASE[CODCIE102],ENOS_G3_ETI_MENOR_QUE_1_AÑO[[#This Row],[CIE-10]],BASE[Edad],"&lt;1"),COUNTIFS(BASE[Cod.Establecimiento],$O$3,BASE[CODCIE102],ENOS_G3_ETI_MENOR_QUE_1_AÑO[[#This Row],[CIE-10]],BASE[Edad],"&lt;1"))</f>
        <v>0</v>
      </c>
      <c r="S86" s="8">
        <f>IF($O$3="(Todas)",COUNTIFS(BASE[CODCIE104],ENOS_G3_ETI_MENOR_QUE_1_AÑO[[#This Row],[CIE-10]],BASE[Edad],"&lt;1"),COUNTIFS(BASE[Cod.Establecimiento],$O$3,BASE[CODCIE104],ENOS_G3_ETI_MENOR_QUE_1_AÑO[[#This Row],[CIE-10]],BASE[Edad],"&lt;1"))</f>
        <v>0</v>
      </c>
      <c r="T86" s="8">
        <f>IF($O$3="(Todas)",COUNTIFS(BASE[CODCIE106],ENOS_G3_ETI_MENOR_QUE_1_AÑO[[#This Row],[CIE-10]],BASE[Edad],"&lt;1"),COUNTIFS(BASE[Cod.Establecimiento],$O$3,BASE[CODCIE106],ENOS_G3_ETI_MENOR_QUE_1_AÑO[[#This Row],[CIE-10]],BASE[Edad],"&lt;1"))</f>
        <v>0</v>
      </c>
      <c r="U86" s="8">
        <f>IF($O$3="(Todas)",COUNTIFS(BASE[CODCIE108],ENOS_G3_ETI_MENOR_QUE_1_AÑO[[#This Row],[CIE-10]],BASE[Edad],"&lt;1"),COUNTIFS(BASE[Cod.Establecimiento],$O$3,BASE[CODCIE108],ENOS_G3_ETI_MENOR_QUE_1_AÑO[[#This Row],[CIE-10]],BASE[Edad],"&lt;1"))</f>
        <v>0</v>
      </c>
      <c r="V86" s="8">
        <f>IF($O$3="(Todas)",COUNTIFS(BASE[CODCIE1010],ENOS_G3_ETI_MENOR_QUE_1_AÑO[[#This Row],[CIE-10]],BASE[Edad],"&lt;1"),COUNTIFS(BASE[Cod.Establecimiento],$O$3,BASE[CODCIE1010],ENOS_G3_ETI_MENOR_QUE_1_AÑO[[#This Row],[CIE-10]],BASE[Edad],"&lt;1"))</f>
        <v>0</v>
      </c>
      <c r="W86" s="9">
        <f>SUM(ENOS_G3_ETI_MENOR_QUE_1_AÑO[[#This Row],[D1]:[D6]])</f>
        <v>0</v>
      </c>
      <c r="X86" s="2"/>
      <c r="Y86" s="32" t="s">
        <v>272</v>
      </c>
      <c r="Z86" s="8">
        <f>IF($O$3="(Todas)",COUNTIFS(BASE[CODCIE10],ENOS_G3_ETI_1_4_AÑOS[[#This Row],[CIE-10]],BASE[Edad],"&gt;=1",BASE[Edad],"&lt;=4"),COUNTIFS(BASE[Cod.Establecimiento],$O$3,BASE[CODCIE10],ENOS_G3_ETI_1_4_AÑOS[[#This Row],[CIE-10]],BASE[Edad],"&gt;=1",BASE[Edad],"&lt;=4"))</f>
        <v>0</v>
      </c>
      <c r="AA86" s="8">
        <f>IF($O$3="(Todas)",COUNTIFS(BASE[CODCIE102],ENOS_G3_ETI_1_4_AÑOS[[#This Row],[CIE-10]],BASE[Edad],"&gt;=1",BASE[Edad],"&lt;=4"),COUNTIFS(BASE[Cod.Establecimiento],$O$3,BASE[CODCIE102],ENOS_G3_ETI_1_4_AÑOS[[#This Row],[CIE-10]],BASE[Edad],"&gt;=1",BASE[Edad],"&lt;=4"))</f>
        <v>0</v>
      </c>
      <c r="AB86" s="8">
        <f>IF($O$3="(Todas)",COUNTIFS(BASE[CODCIE104],ENOS_G3_ETI_1_4_AÑOS[[#This Row],[CIE-10]],BASE[Edad],"&gt;=1",BASE[Edad],"&lt;=4"),COUNTIFS(BASE[Cod.Establecimiento],$O$3,BASE[CODCIE104],ENOS_G3_ETI_1_4_AÑOS[[#This Row],[CIE-10]],BASE[Edad],"&gt;=1",BASE[Edad],"&lt;=4"))</f>
        <v>0</v>
      </c>
      <c r="AC86" s="8">
        <f>IF($O$3="(Todas)",COUNTIFS(BASE[CODCIE106],ENOS_G3_ETI_1_4_AÑOS[[#This Row],[CIE-10]],BASE[Edad],"&gt;=1",BASE[Edad],"&lt;=4"),COUNTIFS(BASE[Cod.Establecimiento],$O$3,BASE[CODCIE106],ENOS_G3_ETI_1_4_AÑOS[[#This Row],[CIE-10]],BASE[Edad],"&gt;=1",BASE[Edad],"&lt;=4"))</f>
        <v>0</v>
      </c>
      <c r="AD86" s="8">
        <f>IF($O$3="(Todas)",COUNTIFS(BASE[CODCIE108],ENOS_G3_ETI_1_4_AÑOS[[#This Row],[CIE-10]],BASE[Edad],"&gt;=1",BASE[Edad],"&lt;=4"),COUNTIFS(BASE[Cod.Establecimiento],$O$3,BASE[CODCIE108],ENOS_G3_ETI_1_4_AÑOS[[#This Row],[CIE-10]],BASE[Edad],"&gt;=1",BASE[Edad],"&lt;=4"))</f>
        <v>0</v>
      </c>
      <c r="AE86" s="8">
        <f>IF($O$3="(Todas)",COUNTIFS(BASE[CODCIE1010],ENOS_G3_ETI_1_4_AÑOS[[#This Row],[CIE-10]],BASE[Edad],"&gt;=1",BASE[Edad],"&lt;=4"),COUNTIFS(BASE[Cod.Establecimiento],$O$3,BASE[CODCIE1010],ENOS_G3_ETI_1_4_AÑOS[[#This Row],[CIE-10]],BASE[Edad],"&gt;=1",BASE[Edad],"&lt;=4"))</f>
        <v>0</v>
      </c>
      <c r="AF86" s="9">
        <f>SUM(ENOS_G3_ETI_1_4_AÑOS[[#This Row],[D1]:[D6]])</f>
        <v>0</v>
      </c>
    </row>
    <row r="87" spans="1:32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32" t="s">
        <v>273</v>
      </c>
      <c r="Q87" s="8">
        <f>IF($O$3="(Todas)",COUNTIFS(BASE[CODCIE10],ENOS_G3_ETI_MENOR_QUE_1_AÑO[[#This Row],[CIE-10]],BASE[Edad],"&lt;1"),COUNTIFS(BASE[Cod.Establecimiento],$O$3,BASE[CODCIE10],ENOS_G3_ETI_MENOR_QUE_1_AÑO[[#This Row],[CIE-10]],BASE[Edad],"&lt;1"))</f>
        <v>0</v>
      </c>
      <c r="R87" s="8">
        <f>IF($O$3="(Todas)",COUNTIFS(BASE[CODCIE102],ENOS_G3_ETI_MENOR_QUE_1_AÑO[[#This Row],[CIE-10]],BASE[Edad],"&lt;1"),COUNTIFS(BASE[Cod.Establecimiento],$O$3,BASE[CODCIE102],ENOS_G3_ETI_MENOR_QUE_1_AÑO[[#This Row],[CIE-10]],BASE[Edad],"&lt;1"))</f>
        <v>0</v>
      </c>
      <c r="S87" s="8">
        <f>IF($O$3="(Todas)",COUNTIFS(BASE[CODCIE104],ENOS_G3_ETI_MENOR_QUE_1_AÑO[[#This Row],[CIE-10]],BASE[Edad],"&lt;1"),COUNTIFS(BASE[Cod.Establecimiento],$O$3,BASE[CODCIE104],ENOS_G3_ETI_MENOR_QUE_1_AÑO[[#This Row],[CIE-10]],BASE[Edad],"&lt;1"))</f>
        <v>0</v>
      </c>
      <c r="T87" s="8">
        <f>IF($O$3="(Todas)",COUNTIFS(BASE[CODCIE106],ENOS_G3_ETI_MENOR_QUE_1_AÑO[[#This Row],[CIE-10]],BASE[Edad],"&lt;1"),COUNTIFS(BASE[Cod.Establecimiento],$O$3,BASE[CODCIE106],ENOS_G3_ETI_MENOR_QUE_1_AÑO[[#This Row],[CIE-10]],BASE[Edad],"&lt;1"))</f>
        <v>0</v>
      </c>
      <c r="U87" s="8">
        <f>IF($O$3="(Todas)",COUNTIFS(BASE[CODCIE108],ENOS_G3_ETI_MENOR_QUE_1_AÑO[[#This Row],[CIE-10]],BASE[Edad],"&lt;1"),COUNTIFS(BASE[Cod.Establecimiento],$O$3,BASE[CODCIE108],ENOS_G3_ETI_MENOR_QUE_1_AÑO[[#This Row],[CIE-10]],BASE[Edad],"&lt;1"))</f>
        <v>0</v>
      </c>
      <c r="V87" s="8">
        <f>IF($O$3="(Todas)",COUNTIFS(BASE[CODCIE1010],ENOS_G3_ETI_MENOR_QUE_1_AÑO[[#This Row],[CIE-10]],BASE[Edad],"&lt;1"),COUNTIFS(BASE[Cod.Establecimiento],$O$3,BASE[CODCIE1010],ENOS_G3_ETI_MENOR_QUE_1_AÑO[[#This Row],[CIE-10]],BASE[Edad],"&lt;1"))</f>
        <v>0</v>
      </c>
      <c r="W87" s="9">
        <f>SUM(ENOS_G3_ETI_MENOR_QUE_1_AÑO[[#This Row],[D1]:[D6]])</f>
        <v>0</v>
      </c>
      <c r="X87" s="2"/>
      <c r="Y87" s="32" t="s">
        <v>273</v>
      </c>
      <c r="Z87" s="8">
        <f>IF($O$3="(Todas)",COUNTIFS(BASE[CODCIE10],ENOS_G3_ETI_1_4_AÑOS[[#This Row],[CIE-10]],BASE[Edad],"&gt;=1",BASE[Edad],"&lt;=4"),COUNTIFS(BASE[Cod.Establecimiento],$O$3,BASE[CODCIE10],ENOS_G3_ETI_1_4_AÑOS[[#This Row],[CIE-10]],BASE[Edad],"&gt;=1",BASE[Edad],"&lt;=4"))</f>
        <v>0</v>
      </c>
      <c r="AA87" s="8">
        <f>IF($O$3="(Todas)",COUNTIFS(BASE[CODCIE102],ENOS_G3_ETI_1_4_AÑOS[[#This Row],[CIE-10]],BASE[Edad],"&gt;=1",BASE[Edad],"&lt;=4"),COUNTIFS(BASE[Cod.Establecimiento],$O$3,BASE[CODCIE102],ENOS_G3_ETI_1_4_AÑOS[[#This Row],[CIE-10]],BASE[Edad],"&gt;=1",BASE[Edad],"&lt;=4"))</f>
        <v>0</v>
      </c>
      <c r="AB87" s="8">
        <f>IF($O$3="(Todas)",COUNTIFS(BASE[CODCIE104],ENOS_G3_ETI_1_4_AÑOS[[#This Row],[CIE-10]],BASE[Edad],"&gt;=1",BASE[Edad],"&lt;=4"),COUNTIFS(BASE[Cod.Establecimiento],$O$3,BASE[CODCIE104],ENOS_G3_ETI_1_4_AÑOS[[#This Row],[CIE-10]],BASE[Edad],"&gt;=1",BASE[Edad],"&lt;=4"))</f>
        <v>0</v>
      </c>
      <c r="AC87" s="8">
        <f>IF($O$3="(Todas)",COUNTIFS(BASE[CODCIE106],ENOS_G3_ETI_1_4_AÑOS[[#This Row],[CIE-10]],BASE[Edad],"&gt;=1",BASE[Edad],"&lt;=4"),COUNTIFS(BASE[Cod.Establecimiento],$O$3,BASE[CODCIE106],ENOS_G3_ETI_1_4_AÑOS[[#This Row],[CIE-10]],BASE[Edad],"&gt;=1",BASE[Edad],"&lt;=4"))</f>
        <v>0</v>
      </c>
      <c r="AD87" s="8">
        <f>IF($O$3="(Todas)",COUNTIFS(BASE[CODCIE108],ENOS_G3_ETI_1_4_AÑOS[[#This Row],[CIE-10]],BASE[Edad],"&gt;=1",BASE[Edad],"&lt;=4"),COUNTIFS(BASE[Cod.Establecimiento],$O$3,BASE[CODCIE108],ENOS_G3_ETI_1_4_AÑOS[[#This Row],[CIE-10]],BASE[Edad],"&gt;=1",BASE[Edad],"&lt;=4"))</f>
        <v>0</v>
      </c>
      <c r="AE87" s="8">
        <f>IF($O$3="(Todas)",COUNTIFS(BASE[CODCIE1010],ENOS_G3_ETI_1_4_AÑOS[[#This Row],[CIE-10]],BASE[Edad],"&gt;=1",BASE[Edad],"&lt;=4"),COUNTIFS(BASE[Cod.Establecimiento],$O$3,BASE[CODCIE1010],ENOS_G3_ETI_1_4_AÑOS[[#This Row],[CIE-10]],BASE[Edad],"&gt;=1",BASE[Edad],"&lt;=4"))</f>
        <v>0</v>
      </c>
      <c r="AF87" s="9">
        <f>SUM(ENOS_G3_ETI_1_4_AÑOS[[#This Row],[D1]:[D6]])</f>
        <v>0</v>
      </c>
    </row>
    <row r="88" spans="1:3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32" ht="18" customHeight="1" thickBo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80" t="s">
        <v>274</v>
      </c>
      <c r="Q89" s="81"/>
      <c r="R89" s="81"/>
      <c r="S89" s="81"/>
      <c r="T89" s="81"/>
      <c r="U89" s="81"/>
      <c r="V89" s="81"/>
      <c r="W89" s="81"/>
      <c r="X89" s="2"/>
      <c r="Y89" s="80" t="s">
        <v>275</v>
      </c>
      <c r="Z89" s="81"/>
      <c r="AA89" s="81"/>
      <c r="AB89" s="81"/>
      <c r="AC89" s="81"/>
      <c r="AD89" s="81"/>
      <c r="AE89" s="81"/>
      <c r="AF89" s="81"/>
    </row>
    <row r="90" spans="1:32" ht="18" customHeight="1" thickTop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 t="s">
        <v>93</v>
      </c>
      <c r="Q90" s="8" t="s">
        <v>94</v>
      </c>
      <c r="R90" s="8" t="s">
        <v>95</v>
      </c>
      <c r="S90" s="8" t="s">
        <v>96</v>
      </c>
      <c r="T90" s="8" t="s">
        <v>97</v>
      </c>
      <c r="U90" s="8" t="s">
        <v>98</v>
      </c>
      <c r="V90" s="8" t="s">
        <v>99</v>
      </c>
      <c r="W90" s="10" t="s">
        <v>100</v>
      </c>
      <c r="X90" s="2"/>
      <c r="Y90" s="2" t="s">
        <v>93</v>
      </c>
      <c r="Z90" s="8" t="s">
        <v>94</v>
      </c>
      <c r="AA90" s="8" t="s">
        <v>95</v>
      </c>
      <c r="AB90" s="8" t="s">
        <v>96</v>
      </c>
      <c r="AC90" s="8" t="s">
        <v>97</v>
      </c>
      <c r="AD90" s="8" t="s">
        <v>98</v>
      </c>
      <c r="AE90" s="8" t="s">
        <v>99</v>
      </c>
      <c r="AF90" s="10" t="s">
        <v>100</v>
      </c>
    </row>
    <row r="91" spans="1:32" ht="18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32" t="s">
        <v>271</v>
      </c>
      <c r="Q91" s="8">
        <f>IF($O$3="(Todas)",COUNTIFS(BASE[CODCIE10],ENOS_G3_ETI_5_19_AÑOS[[#This Row],[CIE-10]],BASE[Edad],"&gt;=5",BASE[Edad],"&lt;=19"),COUNTIFS(BASE[Cod.Establecimiento],$O$3,BASE[CODCIE10],ENOS_G3_ETI_5_19_AÑOS[[#This Row],[CIE-10]],BASE[Edad],"&gt;=5",BASE[Edad],"&lt;=19"))</f>
        <v>0</v>
      </c>
      <c r="R91" s="8">
        <f>IF($O$3="(Todas)",COUNTIFS(BASE[CODCIE102],ENOS_G3_ETI_5_19_AÑOS[[#This Row],[CIE-10]],BASE[Edad],"&gt;=5",BASE[Edad],"&lt;=19"),COUNTIFS(BASE[Cod.Establecimiento],$O$3,BASE[CODCIE102],ENOS_G3_ETI_5_19_AÑOS[[#This Row],[CIE-10]],BASE[Edad],"&gt;=5",BASE[Edad],"&lt;=19"))</f>
        <v>0</v>
      </c>
      <c r="S91" s="8">
        <f>IF($O$3="(Todas)",COUNTIFS(BASE[CODCIE104],ENOS_G3_ETI_5_19_AÑOS[[#This Row],[CIE-10]],BASE[Edad],"&gt;=5",BASE[Edad],"&lt;=19"),COUNTIFS(BASE[Cod.Establecimiento],$O$3,BASE[CODCIE104],ENOS_G3_ETI_5_19_AÑOS[[#This Row],[CIE-10]],BASE[Edad],"&gt;=5",BASE[Edad],"&lt;=19"))</f>
        <v>0</v>
      </c>
      <c r="T91" s="8">
        <f>IF($O$3="(Todas)",COUNTIFS(BASE[CODCIE106],ENOS_G3_ETI_5_19_AÑOS[[#This Row],[CIE-10]],BASE[Edad],"&gt;=5",BASE[Edad],"&lt;=19"),COUNTIFS(BASE[Cod.Establecimiento],$O$3,BASE[CODCIE106],ENOS_G3_ETI_5_19_AÑOS[[#This Row],[CIE-10]],BASE[Edad],"&gt;=5",BASE[Edad],"&lt;=19"))</f>
        <v>0</v>
      </c>
      <c r="U91" s="8">
        <f>IF($O$3="(Todas)",COUNTIFS(BASE[CODCIE108],ENOS_G3_ETI_5_19_AÑOS[[#This Row],[CIE-10]],BASE[Edad],"&gt;=5",BASE[Edad],"&lt;=19"),COUNTIFS(BASE[Cod.Establecimiento],$O$3,BASE[CODCIE108],ENOS_G3_ETI_5_19_AÑOS[[#This Row],[CIE-10]],BASE[Edad],"&gt;=5",BASE[Edad],"&lt;=19"))</f>
        <v>0</v>
      </c>
      <c r="V91" s="8">
        <f>IF($O$3="(Todas)",COUNTIFS(BASE[CODCIE1010],ENOS_G3_ETI_5_19_AÑOS[[#This Row],[CIE-10]],BASE[Edad],"&gt;=5",BASE[Edad],"&lt;=19"),COUNTIFS(BASE[Cod.Establecimiento],$O$3,BASE[CODCIE1010],ENOS_G3_ETI_5_19_AÑOS[[#This Row],[CIE-10]],BASE[Edad],"&gt;=5",BASE[Edad],"&lt;=19"))</f>
        <v>0</v>
      </c>
      <c r="W91" s="9">
        <f>SUM(ENOS_G3_ETI_5_19_AÑOS[[#This Row],[D1]:[D6]])</f>
        <v>0</v>
      </c>
      <c r="X91" s="2"/>
      <c r="Y91" s="32" t="s">
        <v>271</v>
      </c>
      <c r="Z91" s="8">
        <f>IF($O$3="(Todas)",COUNTIFS(BASE[CODCIE10],ENOS_G3_ETI_20_59_AÑOS[[#This Row],[CIE-10]],BASE[Edad],"&gt;=20",BASE[Edad],"&lt;=59"),COUNTIFS(BASE[Cod.Establecimiento],$O$3,BASE[CODCIE10],ENOS_G3_ETI_20_59_AÑOS[[#This Row],[CIE-10]],BASE[Edad],"&gt;=20",BASE[Edad],"&lt;=59"))</f>
        <v>0</v>
      </c>
      <c r="AA91" s="8">
        <f>IF($O$3="(Todas)",COUNTIFS(BASE[CODCIE102],ENOS_G3_ETI_20_59_AÑOS[[#This Row],[CIE-10]],BASE[Edad],"&gt;=20",BASE[Edad],"&lt;=59"),COUNTIFS(BASE[Cod.Establecimiento],$O$3,BASE[CODCIE102],ENOS_G3_ETI_20_59_AÑOS[[#This Row],[CIE-10]],BASE[Edad],"&gt;=20",BASE[Edad],"&lt;=59"))</f>
        <v>0</v>
      </c>
      <c r="AB91" s="8">
        <f>IF($O$3="(Todas)",COUNTIFS(BASE[CODCIE104],ENOS_G3_ETI_20_59_AÑOS[[#This Row],[CIE-10]],BASE[Edad],"&gt;=20",BASE[Edad],"&lt;=59"),COUNTIFS(BASE[Cod.Establecimiento],$O$3,BASE[CODCIE104],ENOS_G3_ETI_20_59_AÑOS[[#This Row],[CIE-10]],BASE[Edad],"&gt;=20",BASE[Edad],"&lt;=59"))</f>
        <v>0</v>
      </c>
      <c r="AC91" s="8">
        <f>IF($O$3="(Todas)",COUNTIFS(BASE[CODCIE106],ENOS_G3_ETI_20_59_AÑOS[[#This Row],[CIE-10]],BASE[Edad],"&gt;=20",BASE[Edad],"&lt;=59"),COUNTIFS(BASE[Cod.Establecimiento],$O$3,BASE[CODCIE106],ENOS_G3_ETI_20_59_AÑOS[[#This Row],[CIE-10]],BASE[Edad],"&gt;=20",BASE[Edad],"&lt;=59"))</f>
        <v>0</v>
      </c>
      <c r="AD91" s="8">
        <f>IF($O$3="(Todas)",COUNTIFS(BASE[CODCIE108],ENOS_G3_ETI_20_59_AÑOS[[#This Row],[CIE-10]],BASE[Edad],"&gt;=20",BASE[Edad],"&lt;=59"),COUNTIFS(BASE[Cod.Establecimiento],$O$3,BASE[CODCIE108],ENOS_G3_ETI_20_59_AÑOS[[#This Row],[CIE-10]],BASE[Edad],"&gt;=20",BASE[Edad],"&lt;=59"))</f>
        <v>0</v>
      </c>
      <c r="AE91" s="8">
        <f>IF($O$3="(Todas)",COUNTIFS(BASE[CODCIE1010],ENOS_G3_ETI_20_59_AÑOS[[#This Row],[CIE-10]],BASE[Edad],"&gt;=20",BASE[Edad],"&lt;=59"),COUNTIFS(BASE[Cod.Establecimiento],$O$3,BASE[CODCIE1010],ENOS_G3_ETI_20_59_AÑOS[[#This Row],[CIE-10]],BASE[Edad],"&gt;=20",BASE[Edad],"&lt;=59"))</f>
        <v>0</v>
      </c>
      <c r="AF91" s="9">
        <f>SUM(ENOS_G3_ETI_20_59_AÑOS[[#This Row],[D1]:[D6]])</f>
        <v>0</v>
      </c>
    </row>
    <row r="92" spans="1:3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32" t="s">
        <v>272</v>
      </c>
      <c r="Q92" s="8">
        <f>IF($O$3="(Todas)",COUNTIFS(BASE[CODCIE10],ENOS_G3_ETI_5_19_AÑOS[[#This Row],[CIE-10]],BASE[Edad],"&gt;=5",BASE[Edad],"&lt;=19"),COUNTIFS(BASE[Cod.Establecimiento],$O$3,BASE[CODCIE10],ENOS_G3_ETI_5_19_AÑOS[[#This Row],[CIE-10]],BASE[Edad],"&gt;=5",BASE[Edad],"&lt;=19"))</f>
        <v>0</v>
      </c>
      <c r="R92" s="8">
        <f>IF($O$3="(Todas)",COUNTIFS(BASE[CODCIE102],ENOS_G3_ETI_5_19_AÑOS[[#This Row],[CIE-10]],BASE[Edad],"&gt;=5",BASE[Edad],"&lt;=19"),COUNTIFS(BASE[Cod.Establecimiento],$O$3,BASE[CODCIE102],ENOS_G3_ETI_5_19_AÑOS[[#This Row],[CIE-10]],BASE[Edad],"&gt;=5",BASE[Edad],"&lt;=19"))</f>
        <v>0</v>
      </c>
      <c r="S92" s="8">
        <f>IF($O$3="(Todas)",COUNTIFS(BASE[CODCIE104],ENOS_G3_ETI_5_19_AÑOS[[#This Row],[CIE-10]],BASE[Edad],"&gt;=5",BASE[Edad],"&lt;=19"),COUNTIFS(BASE[Cod.Establecimiento],$O$3,BASE[CODCIE104],ENOS_G3_ETI_5_19_AÑOS[[#This Row],[CIE-10]],BASE[Edad],"&gt;=5",BASE[Edad],"&lt;=19"))</f>
        <v>0</v>
      </c>
      <c r="T92" s="8">
        <f>IF($O$3="(Todas)",COUNTIFS(BASE[CODCIE106],ENOS_G3_ETI_5_19_AÑOS[[#This Row],[CIE-10]],BASE[Edad],"&gt;=5",BASE[Edad],"&lt;=19"),COUNTIFS(BASE[Cod.Establecimiento],$O$3,BASE[CODCIE106],ENOS_G3_ETI_5_19_AÑOS[[#This Row],[CIE-10]],BASE[Edad],"&gt;=5",BASE[Edad],"&lt;=19"))</f>
        <v>0</v>
      </c>
      <c r="U92" s="8">
        <f>IF($O$3="(Todas)",COUNTIFS(BASE[CODCIE108],ENOS_G3_ETI_5_19_AÑOS[[#This Row],[CIE-10]],BASE[Edad],"&gt;=5",BASE[Edad],"&lt;=19"),COUNTIFS(BASE[Cod.Establecimiento],$O$3,BASE[CODCIE108],ENOS_G3_ETI_5_19_AÑOS[[#This Row],[CIE-10]],BASE[Edad],"&gt;=5",BASE[Edad],"&lt;=19"))</f>
        <v>0</v>
      </c>
      <c r="V92" s="8">
        <f>IF($O$3="(Todas)",COUNTIFS(BASE[CODCIE1010],ENOS_G3_ETI_5_19_AÑOS[[#This Row],[CIE-10]],BASE[Edad],"&gt;=5",BASE[Edad],"&lt;=19"),COUNTIFS(BASE[Cod.Establecimiento],$O$3,BASE[CODCIE1010],ENOS_G3_ETI_5_19_AÑOS[[#This Row],[CIE-10]],BASE[Edad],"&gt;=5",BASE[Edad],"&lt;=19"))</f>
        <v>0</v>
      </c>
      <c r="W92" s="9">
        <f>SUM(ENOS_G3_ETI_5_19_AÑOS[[#This Row],[D1]:[D6]])</f>
        <v>0</v>
      </c>
      <c r="X92" s="2"/>
      <c r="Y92" s="32" t="s">
        <v>272</v>
      </c>
      <c r="Z92" s="8">
        <f>IF($O$3="(Todas)",COUNTIFS(BASE[CODCIE10],ENOS_G3_ETI_20_59_AÑOS[[#This Row],[CIE-10]],BASE[Edad],"&gt;=20",BASE[Edad],"&lt;=59"),COUNTIFS(BASE[Cod.Establecimiento],$O$3,BASE[CODCIE10],ENOS_G3_ETI_20_59_AÑOS[[#This Row],[CIE-10]],BASE[Edad],"&gt;=20",BASE[Edad],"&lt;=59"))</f>
        <v>0</v>
      </c>
      <c r="AA92" s="8">
        <f>IF($O$3="(Todas)",COUNTIFS(BASE[CODCIE102],ENOS_G3_ETI_20_59_AÑOS[[#This Row],[CIE-10]],BASE[Edad],"&gt;=20",BASE[Edad],"&lt;=59"),COUNTIFS(BASE[Cod.Establecimiento],$O$3,BASE[CODCIE102],ENOS_G3_ETI_20_59_AÑOS[[#This Row],[CIE-10]],BASE[Edad],"&gt;=20",BASE[Edad],"&lt;=59"))</f>
        <v>0</v>
      </c>
      <c r="AB92" s="8">
        <f>IF($O$3="(Todas)",COUNTIFS(BASE[CODCIE104],ENOS_G3_ETI_20_59_AÑOS[[#This Row],[CIE-10]],BASE[Edad],"&gt;=20",BASE[Edad],"&lt;=59"),COUNTIFS(BASE[Cod.Establecimiento],$O$3,BASE[CODCIE104],ENOS_G3_ETI_20_59_AÑOS[[#This Row],[CIE-10]],BASE[Edad],"&gt;=20",BASE[Edad],"&lt;=59"))</f>
        <v>0</v>
      </c>
      <c r="AC92" s="8">
        <f>IF($O$3="(Todas)",COUNTIFS(BASE[CODCIE106],ENOS_G3_ETI_20_59_AÑOS[[#This Row],[CIE-10]],BASE[Edad],"&gt;=20",BASE[Edad],"&lt;=59"),COUNTIFS(BASE[Cod.Establecimiento],$O$3,BASE[CODCIE106],ENOS_G3_ETI_20_59_AÑOS[[#This Row],[CIE-10]],BASE[Edad],"&gt;=20",BASE[Edad],"&lt;=59"))</f>
        <v>0</v>
      </c>
      <c r="AD92" s="8">
        <f>IF($O$3="(Todas)",COUNTIFS(BASE[CODCIE108],ENOS_G3_ETI_20_59_AÑOS[[#This Row],[CIE-10]],BASE[Edad],"&gt;=20",BASE[Edad],"&lt;=59"),COUNTIFS(BASE[Cod.Establecimiento],$O$3,BASE[CODCIE108],ENOS_G3_ETI_20_59_AÑOS[[#This Row],[CIE-10]],BASE[Edad],"&gt;=20",BASE[Edad],"&lt;=59"))</f>
        <v>0</v>
      </c>
      <c r="AE92" s="8">
        <f>IF($O$3="(Todas)",COUNTIFS(BASE[CODCIE1010],ENOS_G3_ETI_20_59_AÑOS[[#This Row],[CIE-10]],BASE[Edad],"&gt;=20",BASE[Edad],"&lt;=59"),COUNTIFS(BASE[Cod.Establecimiento],$O$3,BASE[CODCIE1010],ENOS_G3_ETI_20_59_AÑOS[[#This Row],[CIE-10]],BASE[Edad],"&gt;=20",BASE[Edad],"&lt;=59"))</f>
        <v>0</v>
      </c>
      <c r="AF92" s="9">
        <f>SUM(ENOS_G3_ETI_20_59_AÑOS[[#This Row],[D1]:[D6]])</f>
        <v>0</v>
      </c>
    </row>
    <row r="93" spans="1:3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32" t="s">
        <v>273</v>
      </c>
      <c r="Q93" s="8">
        <f>IF($O$3="(Todas)",COUNTIFS(BASE[CODCIE10],ENOS_G3_ETI_5_19_AÑOS[[#This Row],[CIE-10]],BASE[Edad],"&gt;=5",BASE[Edad],"&lt;=19"),COUNTIFS(BASE[Cod.Establecimiento],$O$3,BASE[CODCIE10],ENOS_G3_ETI_5_19_AÑOS[[#This Row],[CIE-10]],BASE[Edad],"&gt;=5",BASE[Edad],"&lt;=19"))</f>
        <v>0</v>
      </c>
      <c r="R93" s="8">
        <f>IF($O$3="(Todas)",COUNTIFS(BASE[CODCIE102],ENOS_G3_ETI_5_19_AÑOS[[#This Row],[CIE-10]],BASE[Edad],"&gt;=5",BASE[Edad],"&lt;=19"),COUNTIFS(BASE[Cod.Establecimiento],$O$3,BASE[CODCIE102],ENOS_G3_ETI_5_19_AÑOS[[#This Row],[CIE-10]],BASE[Edad],"&gt;=5",BASE[Edad],"&lt;=19"))</f>
        <v>0</v>
      </c>
      <c r="S93" s="8">
        <f>IF($O$3="(Todas)",COUNTIFS(BASE[CODCIE104],ENOS_G3_ETI_5_19_AÑOS[[#This Row],[CIE-10]],BASE[Edad],"&gt;=5",BASE[Edad],"&lt;=19"),COUNTIFS(BASE[Cod.Establecimiento],$O$3,BASE[CODCIE104],ENOS_G3_ETI_5_19_AÑOS[[#This Row],[CIE-10]],BASE[Edad],"&gt;=5",BASE[Edad],"&lt;=19"))</f>
        <v>0</v>
      </c>
      <c r="T93" s="8">
        <f>IF($O$3="(Todas)",COUNTIFS(BASE[CODCIE106],ENOS_G3_ETI_5_19_AÑOS[[#This Row],[CIE-10]],BASE[Edad],"&gt;=5",BASE[Edad],"&lt;=19"),COUNTIFS(BASE[Cod.Establecimiento],$O$3,BASE[CODCIE106],ENOS_G3_ETI_5_19_AÑOS[[#This Row],[CIE-10]],BASE[Edad],"&gt;=5",BASE[Edad],"&lt;=19"))</f>
        <v>0</v>
      </c>
      <c r="U93" s="8">
        <f>IF($O$3="(Todas)",COUNTIFS(BASE[CODCIE108],ENOS_G3_ETI_5_19_AÑOS[[#This Row],[CIE-10]],BASE[Edad],"&gt;=5",BASE[Edad],"&lt;=19"),COUNTIFS(BASE[Cod.Establecimiento],$O$3,BASE[CODCIE108],ENOS_G3_ETI_5_19_AÑOS[[#This Row],[CIE-10]],BASE[Edad],"&gt;=5",BASE[Edad],"&lt;=19"))</f>
        <v>0</v>
      </c>
      <c r="V93" s="8">
        <f>IF($O$3="(Todas)",COUNTIFS(BASE[CODCIE1010],ENOS_G3_ETI_5_19_AÑOS[[#This Row],[CIE-10]],BASE[Edad],"&gt;=5",BASE[Edad],"&lt;=19"),COUNTIFS(BASE[Cod.Establecimiento],$O$3,BASE[CODCIE1010],ENOS_G3_ETI_5_19_AÑOS[[#This Row],[CIE-10]],BASE[Edad],"&gt;=5",BASE[Edad],"&lt;=19"))</f>
        <v>0</v>
      </c>
      <c r="W93" s="9">
        <f>SUM(ENOS_G3_ETI_5_19_AÑOS[[#This Row],[D1]:[D6]])</f>
        <v>0</v>
      </c>
      <c r="X93" s="2"/>
      <c r="Y93" s="32" t="s">
        <v>273</v>
      </c>
      <c r="Z93" s="8">
        <f>IF($O$3="(Todas)",COUNTIFS(BASE[CODCIE10],ENOS_G3_ETI_20_59_AÑOS[[#This Row],[CIE-10]],BASE[Edad],"&gt;=20",BASE[Edad],"&lt;=59"),COUNTIFS(BASE[Cod.Establecimiento],$O$3,BASE[CODCIE10],ENOS_G3_ETI_20_59_AÑOS[[#This Row],[CIE-10]],BASE[Edad],"&gt;=20",BASE[Edad],"&lt;=59"))</f>
        <v>0</v>
      </c>
      <c r="AA93" s="8">
        <f>IF($O$3="(Todas)",COUNTIFS(BASE[CODCIE102],ENOS_G3_ETI_20_59_AÑOS[[#This Row],[CIE-10]],BASE[Edad],"&gt;=20",BASE[Edad],"&lt;=59"),COUNTIFS(BASE[Cod.Establecimiento],$O$3,BASE[CODCIE102],ENOS_G3_ETI_20_59_AÑOS[[#This Row],[CIE-10]],BASE[Edad],"&gt;=20",BASE[Edad],"&lt;=59"))</f>
        <v>0</v>
      </c>
      <c r="AB93" s="8">
        <f>IF($O$3="(Todas)",COUNTIFS(BASE[CODCIE104],ENOS_G3_ETI_20_59_AÑOS[[#This Row],[CIE-10]],BASE[Edad],"&gt;=20",BASE[Edad],"&lt;=59"),COUNTIFS(BASE[Cod.Establecimiento],$O$3,BASE[CODCIE104],ENOS_G3_ETI_20_59_AÑOS[[#This Row],[CIE-10]],BASE[Edad],"&gt;=20",BASE[Edad],"&lt;=59"))</f>
        <v>0</v>
      </c>
      <c r="AC93" s="8">
        <f>IF($O$3="(Todas)",COUNTIFS(BASE[CODCIE106],ENOS_G3_ETI_20_59_AÑOS[[#This Row],[CIE-10]],BASE[Edad],"&gt;=20",BASE[Edad],"&lt;=59"),COUNTIFS(BASE[Cod.Establecimiento],$O$3,BASE[CODCIE106],ENOS_G3_ETI_20_59_AÑOS[[#This Row],[CIE-10]],BASE[Edad],"&gt;=20",BASE[Edad],"&lt;=59"))</f>
        <v>0</v>
      </c>
      <c r="AD93" s="8">
        <f>IF($O$3="(Todas)",COUNTIFS(BASE[CODCIE108],ENOS_G3_ETI_20_59_AÑOS[[#This Row],[CIE-10]],BASE[Edad],"&gt;=20",BASE[Edad],"&lt;=59"),COUNTIFS(BASE[Cod.Establecimiento],$O$3,BASE[CODCIE108],ENOS_G3_ETI_20_59_AÑOS[[#This Row],[CIE-10]],BASE[Edad],"&gt;=20",BASE[Edad],"&lt;=59"))</f>
        <v>0</v>
      </c>
      <c r="AE93" s="8">
        <f>IF($O$3="(Todas)",COUNTIFS(BASE[CODCIE1010],ENOS_G3_ETI_20_59_AÑOS[[#This Row],[CIE-10]],BASE[Edad],"&gt;=20",BASE[Edad],"&lt;=59"),COUNTIFS(BASE[Cod.Establecimiento],$O$3,BASE[CODCIE1010],ENOS_G3_ETI_20_59_AÑOS[[#This Row],[CIE-10]],BASE[Edad],"&gt;=20",BASE[Edad],"&lt;=59"))</f>
        <v>0</v>
      </c>
      <c r="AF93" s="9">
        <f>SUM(ENOS_G3_ETI_20_59_AÑOS[[#This Row],[D1]:[D6]])</f>
        <v>0</v>
      </c>
    </row>
    <row r="94" spans="1:32" ht="18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32" ht="15.75" customHeight="1" thickBo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80" t="s">
        <v>276</v>
      </c>
      <c r="Q95" s="81"/>
      <c r="R95" s="81"/>
      <c r="S95" s="81"/>
      <c r="T95" s="81"/>
      <c r="U95" s="81"/>
      <c r="V95" s="81"/>
      <c r="W95" s="81"/>
      <c r="X95" s="2"/>
      <c r="Y95" s="80" t="s">
        <v>277</v>
      </c>
      <c r="Z95" s="81"/>
      <c r="AA95" s="81"/>
      <c r="AB95" s="81"/>
      <c r="AC95" s="81"/>
      <c r="AD95" s="81"/>
      <c r="AE95" s="81"/>
      <c r="AF95" s="81"/>
    </row>
    <row r="96" spans="1:32" ht="15.75" customHeight="1" thickTop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 t="s">
        <v>93</v>
      </c>
      <c r="Q96" s="8" t="s">
        <v>94</v>
      </c>
      <c r="R96" s="8" t="s">
        <v>95</v>
      </c>
      <c r="S96" s="8" t="s">
        <v>96</v>
      </c>
      <c r="T96" s="8" t="s">
        <v>97</v>
      </c>
      <c r="U96" s="8" t="s">
        <v>98</v>
      </c>
      <c r="V96" s="8" t="s">
        <v>99</v>
      </c>
      <c r="W96" s="10" t="s">
        <v>100</v>
      </c>
      <c r="X96" s="2"/>
      <c r="Y96" s="2" t="s">
        <v>93</v>
      </c>
      <c r="Z96" s="8" t="s">
        <v>94</v>
      </c>
      <c r="AA96" s="8" t="s">
        <v>95</v>
      </c>
      <c r="AB96" s="8" t="s">
        <v>96</v>
      </c>
      <c r="AC96" s="8" t="s">
        <v>97</v>
      </c>
      <c r="AD96" s="8" t="s">
        <v>98</v>
      </c>
      <c r="AE96" s="8" t="s">
        <v>99</v>
      </c>
      <c r="AF96" s="10" t="s">
        <v>100</v>
      </c>
    </row>
    <row r="97" spans="1:32" ht="18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32" t="s">
        <v>271</v>
      </c>
      <c r="Q97" s="8">
        <f>IF($O$3="(Todas)",COUNTIFS(BASE[CODCIE10],ENOS_G3_ETI_60_MAS_AÑOS[[#This Row],[CIE-10]],BASE[Edad],"&gt;=60"),COUNTIFS(BASE[Cod.Establecimiento],$O$3,BASE[CODCIE10],ENOS_G3_ETI_60_MAS_AÑOS[[#This Row],[CIE-10]],BASE[Edad],"&gt;=60"))</f>
        <v>0</v>
      </c>
      <c r="R97" s="8">
        <f>IF($O$3="(Todas)",COUNTIFS(BASE[CODCIE102],ENOS_G3_ETI_60_MAS_AÑOS[[#This Row],[CIE-10]],BASE[Edad],"&gt;=60"),COUNTIFS(BASE[Cod.Establecimiento],$O$3,BASE[CODCIE102],ENOS_G3_ETI_60_MAS_AÑOS[[#This Row],[CIE-10]],BASE[Edad],"&gt;=60"))</f>
        <v>0</v>
      </c>
      <c r="S97" s="8">
        <f>IF($O$3="(Todas)",COUNTIFS(BASE[CODCIE104],ENOS_G3_ETI_60_MAS_AÑOS[[#This Row],[CIE-10]],BASE[Edad],"&gt;=60"),COUNTIFS(BASE[Cod.Establecimiento],$O$3,BASE[CODCIE104],ENOS_G3_ETI_60_MAS_AÑOS[[#This Row],[CIE-10]],BASE[Edad],"&gt;=60"))</f>
        <v>0</v>
      </c>
      <c r="T97" s="8">
        <f>IF($O$3="(Todas)",COUNTIFS(BASE[CODCIE106],ENOS_G3_ETI_60_MAS_AÑOS[[#This Row],[CIE-10]],BASE[Edad],"&gt;=60"),COUNTIFS(BASE[Cod.Establecimiento],$O$3,BASE[CODCIE106],ENOS_G3_ETI_60_MAS_AÑOS[[#This Row],[CIE-10]],BASE[Edad],"&gt;=60"))</f>
        <v>0</v>
      </c>
      <c r="U97" s="8">
        <f>IF($O$3="(Todas)",COUNTIFS(BASE[CODCIE108],ENOS_G3_ETI_60_MAS_AÑOS[[#This Row],[CIE-10]],BASE[Edad],"&gt;=60"),COUNTIFS(BASE[Cod.Establecimiento],$O$3,BASE[CODCIE108],ENOS_G3_ETI_60_MAS_AÑOS[[#This Row],[CIE-10]],BASE[Edad],"&gt;=60"))</f>
        <v>0</v>
      </c>
      <c r="V97" s="8">
        <f>IF($O$3="(Todas)",COUNTIFS(BASE[CODCIE1010],ENOS_G3_ETI_60_MAS_AÑOS[[#This Row],[CIE-10]],BASE[Edad],"&gt;=60"),COUNTIFS(BASE[Cod.Establecimiento],$O$3,BASE[CODCIE1010],ENOS_G3_ETI_60_MAS_AÑOS[[#This Row],[CIE-10]],BASE[Edad],"&gt;=60"))</f>
        <v>0</v>
      </c>
      <c r="W97" s="9">
        <f>SUM(ENOS_G3_ETI_60_MAS_AÑOS[[#This Row],[D1]:[D6]])</f>
        <v>0</v>
      </c>
      <c r="X97" s="2"/>
      <c r="Y97" s="32" t="s">
        <v>271</v>
      </c>
      <c r="Z97" s="8">
        <f>IF($O$3="(Todas)",COUNTIFS(BASE[CODCIE10],ENOS_G3_ETI_SD_AÑOS[[#This Row],[CIE-10]],BASE[Edad],""),COUNTIFS(BASE[Cod.Establecimiento],$O$3,BASE[CODCIE10],ENOS_G3_ETI_SD_AÑOS[[#This Row],[CIE-10]],BASE[Edad],""))</f>
        <v>0</v>
      </c>
      <c r="AA97" s="8">
        <f>IF($O$3="(Todas)",COUNTIFS(BASE[CODCIE102],ENOS_G3_ETI_SD_AÑOS[[#This Row],[CIE-10]],BASE[Edad],""),COUNTIFS(BASE[Cod.Establecimiento],$O$3,BASE[CODCIE102],ENOS_G3_ETI_SD_AÑOS[[#This Row],[CIE-10]],BASE[Edad],""))</f>
        <v>0</v>
      </c>
      <c r="AB97" s="8">
        <f>IF($O$3="(Todas)",COUNTIFS(BASE[CODCIE104],ENOS_G3_ETI_SD_AÑOS[[#This Row],[CIE-10]],BASE[Edad],""),COUNTIFS(BASE[Cod.Establecimiento],$O$3,BASE[CODCIE104],ENOS_G3_ETI_SD_AÑOS[[#This Row],[CIE-10]],BASE[Edad],""))</f>
        <v>0</v>
      </c>
      <c r="AC97" s="8">
        <f>IF($O$3="(Todas)",COUNTIFS(BASE[CODCIE106],ENOS_G3_ETI_SD_AÑOS[[#This Row],[CIE-10]],BASE[Edad],""),COUNTIFS(BASE[Cod.Establecimiento],$O$3,BASE[CODCIE106],ENOS_G3_ETI_SD_AÑOS[[#This Row],[CIE-10]],BASE[Edad],""))</f>
        <v>0</v>
      </c>
      <c r="AD97" s="8">
        <f>IF($O$3="(Todas)",COUNTIFS(BASE[CODCIE108],ENOS_G3_ETI_SD_AÑOS[[#This Row],[CIE-10]],BASE[Edad],""),COUNTIFS(BASE[Cod.Establecimiento],$O$3,BASE[CODCIE108],ENOS_G3_ETI_SD_AÑOS[[#This Row],[CIE-10]],BASE[Edad],""))</f>
        <v>0</v>
      </c>
      <c r="AE97" s="8">
        <f>IF($O$3="(Todas)",COUNTIFS(BASE[CODCIE1010],ENOS_G3_ETI_SD_AÑOS[[#This Row],[CIE-10]],BASE[Edad],""),COUNTIFS(BASE[Cod.Establecimiento],$O$3,BASE[CODCIE1010],ENOS_G3_ETI_SD_AÑOS[[#This Row],[CIE-10]],BASE[Edad],""))</f>
        <v>0</v>
      </c>
      <c r="AF97" s="9">
        <f>SUM(ENOS_G3_ETI_SD_AÑOS[[#This Row],[D1]:[D6]])</f>
        <v>0</v>
      </c>
    </row>
    <row r="98" spans="1:32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32" t="s">
        <v>272</v>
      </c>
      <c r="Q98" s="8">
        <f>IF($O$3="(Todas)",COUNTIFS(BASE[CODCIE10],ENOS_G3_ETI_60_MAS_AÑOS[[#This Row],[CIE-10]],BASE[Edad],"&gt;=60"),COUNTIFS(BASE[Cod.Establecimiento],$O$3,BASE[CODCIE10],ENOS_G3_ETI_60_MAS_AÑOS[[#This Row],[CIE-10]],BASE[Edad],"&gt;=60"))</f>
        <v>0</v>
      </c>
      <c r="R98" s="8">
        <f>IF($O$3="(Todas)",COUNTIFS(BASE[CODCIE102],ENOS_G3_ETI_60_MAS_AÑOS[[#This Row],[CIE-10]],BASE[Edad],"&gt;=60"),COUNTIFS(BASE[Cod.Establecimiento],$O$3,BASE[CODCIE102],ENOS_G3_ETI_60_MAS_AÑOS[[#This Row],[CIE-10]],BASE[Edad],"&gt;=60"))</f>
        <v>0</v>
      </c>
      <c r="S98" s="8">
        <f>IF($O$3="(Todas)",COUNTIFS(BASE[CODCIE104],ENOS_G3_ETI_60_MAS_AÑOS[[#This Row],[CIE-10]],BASE[Edad],"&gt;=60"),COUNTIFS(BASE[Cod.Establecimiento],$O$3,BASE[CODCIE104],ENOS_G3_ETI_60_MAS_AÑOS[[#This Row],[CIE-10]],BASE[Edad],"&gt;=60"))</f>
        <v>0</v>
      </c>
      <c r="T98" s="8">
        <f>IF($O$3="(Todas)",COUNTIFS(BASE[CODCIE106],ENOS_G3_ETI_60_MAS_AÑOS[[#This Row],[CIE-10]],BASE[Edad],"&gt;=60"),COUNTIFS(BASE[Cod.Establecimiento],$O$3,BASE[CODCIE106],ENOS_G3_ETI_60_MAS_AÑOS[[#This Row],[CIE-10]],BASE[Edad],"&gt;=60"))</f>
        <v>0</v>
      </c>
      <c r="U98" s="8">
        <f>IF($O$3="(Todas)",COUNTIFS(BASE[CODCIE108],ENOS_G3_ETI_60_MAS_AÑOS[[#This Row],[CIE-10]],BASE[Edad],"&gt;=60"),COUNTIFS(BASE[Cod.Establecimiento],$O$3,BASE[CODCIE108],ENOS_G3_ETI_60_MAS_AÑOS[[#This Row],[CIE-10]],BASE[Edad],"&gt;=60"))</f>
        <v>0</v>
      </c>
      <c r="V98" s="8">
        <f>IF($O$3="(Todas)",COUNTIFS(BASE[CODCIE1010],ENOS_G3_ETI_60_MAS_AÑOS[[#This Row],[CIE-10]],BASE[Edad],"&gt;=60"),COUNTIFS(BASE[Cod.Establecimiento],$O$3,BASE[CODCIE1010],ENOS_G3_ETI_60_MAS_AÑOS[[#This Row],[CIE-10]],BASE[Edad],"&gt;=60"))</f>
        <v>0</v>
      </c>
      <c r="W98" s="9">
        <f>SUM(ENOS_G3_ETI_60_MAS_AÑOS[[#This Row],[D1]:[D6]])</f>
        <v>0</v>
      </c>
      <c r="X98" s="2"/>
      <c r="Y98" s="32" t="s">
        <v>272</v>
      </c>
      <c r="Z98" s="8">
        <f>IF($O$3="(Todas)",COUNTIFS(BASE[CODCIE10],ENOS_G3_ETI_SD_AÑOS[[#This Row],[CIE-10]],BASE[Edad],""),COUNTIFS(BASE[Cod.Establecimiento],$O$3,BASE[CODCIE10],ENOS_G3_ETI_SD_AÑOS[[#This Row],[CIE-10]],BASE[Edad],""))</f>
        <v>0</v>
      </c>
      <c r="AA98" s="8">
        <f>IF($O$3="(Todas)",COUNTIFS(BASE[CODCIE102],ENOS_G3_ETI_SD_AÑOS[[#This Row],[CIE-10]],BASE[Edad],""),COUNTIFS(BASE[Cod.Establecimiento],$O$3,BASE[CODCIE102],ENOS_G3_ETI_SD_AÑOS[[#This Row],[CIE-10]],BASE[Edad],""))</f>
        <v>0</v>
      </c>
      <c r="AB98" s="8">
        <f>IF($O$3="(Todas)",COUNTIFS(BASE[CODCIE104],ENOS_G3_ETI_SD_AÑOS[[#This Row],[CIE-10]],BASE[Edad],""),COUNTIFS(BASE[Cod.Establecimiento],$O$3,BASE[CODCIE104],ENOS_G3_ETI_SD_AÑOS[[#This Row],[CIE-10]],BASE[Edad],""))</f>
        <v>0</v>
      </c>
      <c r="AC98" s="8">
        <f>IF($O$3="(Todas)",COUNTIFS(BASE[CODCIE106],ENOS_G3_ETI_SD_AÑOS[[#This Row],[CIE-10]],BASE[Edad],""),COUNTIFS(BASE[Cod.Establecimiento],$O$3,BASE[CODCIE106],ENOS_G3_ETI_SD_AÑOS[[#This Row],[CIE-10]],BASE[Edad],""))</f>
        <v>0</v>
      </c>
      <c r="AD98" s="8">
        <f>IF($O$3="(Todas)",COUNTIFS(BASE[CODCIE108],ENOS_G3_ETI_SD_AÑOS[[#This Row],[CIE-10]],BASE[Edad],""),COUNTIFS(BASE[Cod.Establecimiento],$O$3,BASE[CODCIE108],ENOS_G3_ETI_SD_AÑOS[[#This Row],[CIE-10]],BASE[Edad],""))</f>
        <v>0</v>
      </c>
      <c r="AE98" s="8">
        <f>IF($O$3="(Todas)",COUNTIFS(BASE[CODCIE1010],ENOS_G3_ETI_SD_AÑOS[[#This Row],[CIE-10]],BASE[Edad],""),COUNTIFS(BASE[Cod.Establecimiento],$O$3,BASE[CODCIE1010],ENOS_G3_ETI_SD_AÑOS[[#This Row],[CIE-10]],BASE[Edad],""))</f>
        <v>0</v>
      </c>
      <c r="AF98" s="9">
        <f>SUM(ENOS_G3_ETI_SD_AÑOS[[#This Row],[D1]:[D6]])</f>
        <v>0</v>
      </c>
    </row>
    <row r="99" spans="1:3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32" t="s">
        <v>273</v>
      </c>
      <c r="Q99" s="8">
        <f>IF($O$3="(Todas)",COUNTIFS(BASE[CODCIE10],ENOS_G3_ETI_60_MAS_AÑOS[[#This Row],[CIE-10]],BASE[Edad],"&gt;=60"),COUNTIFS(BASE[Cod.Establecimiento],$O$3,BASE[CODCIE10],ENOS_G3_ETI_60_MAS_AÑOS[[#This Row],[CIE-10]],BASE[Edad],"&gt;=60"))</f>
        <v>0</v>
      </c>
      <c r="R99" s="8">
        <f>IF($O$3="(Todas)",COUNTIFS(BASE[CODCIE102],ENOS_G3_ETI_60_MAS_AÑOS[[#This Row],[CIE-10]],BASE[Edad],"&gt;=60"),COUNTIFS(BASE[Cod.Establecimiento],$O$3,BASE[CODCIE102],ENOS_G3_ETI_60_MAS_AÑOS[[#This Row],[CIE-10]],BASE[Edad],"&gt;=60"))</f>
        <v>0</v>
      </c>
      <c r="S99" s="8">
        <f>IF($O$3="(Todas)",COUNTIFS(BASE[CODCIE104],ENOS_G3_ETI_60_MAS_AÑOS[[#This Row],[CIE-10]],BASE[Edad],"&gt;=60"),COUNTIFS(BASE[Cod.Establecimiento],$O$3,BASE[CODCIE104],ENOS_G3_ETI_60_MAS_AÑOS[[#This Row],[CIE-10]],BASE[Edad],"&gt;=60"))</f>
        <v>0</v>
      </c>
      <c r="T99" s="8">
        <f>IF($O$3="(Todas)",COUNTIFS(BASE[CODCIE106],ENOS_G3_ETI_60_MAS_AÑOS[[#This Row],[CIE-10]],BASE[Edad],"&gt;=60"),COUNTIFS(BASE[Cod.Establecimiento],$O$3,BASE[CODCIE106],ENOS_G3_ETI_60_MAS_AÑOS[[#This Row],[CIE-10]],BASE[Edad],"&gt;=60"))</f>
        <v>0</v>
      </c>
      <c r="U99" s="8">
        <f>IF($O$3="(Todas)",COUNTIFS(BASE[CODCIE108],ENOS_G3_ETI_60_MAS_AÑOS[[#This Row],[CIE-10]],BASE[Edad],"&gt;=60"),COUNTIFS(BASE[Cod.Establecimiento],$O$3,BASE[CODCIE108],ENOS_G3_ETI_60_MAS_AÑOS[[#This Row],[CIE-10]],BASE[Edad],"&gt;=60"))</f>
        <v>0</v>
      </c>
      <c r="V99" s="8">
        <f>IF($O$3="(Todas)",COUNTIFS(BASE[CODCIE1010],ENOS_G3_ETI_60_MAS_AÑOS[[#This Row],[CIE-10]],BASE[Edad],"&gt;=60"),COUNTIFS(BASE[Cod.Establecimiento],$O$3,BASE[CODCIE1010],ENOS_G3_ETI_60_MAS_AÑOS[[#This Row],[CIE-10]],BASE[Edad],"&gt;=60"))</f>
        <v>0</v>
      </c>
      <c r="W99" s="9">
        <f>SUM(ENOS_G3_ETI_60_MAS_AÑOS[[#This Row],[D1]:[D6]])</f>
        <v>0</v>
      </c>
      <c r="X99" s="2"/>
      <c r="Y99" s="32" t="s">
        <v>273</v>
      </c>
      <c r="Z99" s="8">
        <f>IF($O$3="(Todas)",COUNTIFS(BASE[CODCIE10],ENOS_G3_ETI_SD_AÑOS[[#This Row],[CIE-10]],BASE[Edad],""),COUNTIFS(BASE[Cod.Establecimiento],$O$3,BASE[CODCIE10],ENOS_G3_ETI_SD_AÑOS[[#This Row],[CIE-10]],BASE[Edad],""))</f>
        <v>0</v>
      </c>
      <c r="AA99" s="8">
        <f>IF($O$3="(Todas)",COUNTIFS(BASE[CODCIE102],ENOS_G3_ETI_SD_AÑOS[[#This Row],[CIE-10]],BASE[Edad],""),COUNTIFS(BASE[Cod.Establecimiento],$O$3,BASE[CODCIE102],ENOS_G3_ETI_SD_AÑOS[[#This Row],[CIE-10]],BASE[Edad],""))</f>
        <v>0</v>
      </c>
      <c r="AB99" s="8">
        <f>IF($O$3="(Todas)",COUNTIFS(BASE[CODCIE104],ENOS_G3_ETI_SD_AÑOS[[#This Row],[CIE-10]],BASE[Edad],""),COUNTIFS(BASE[Cod.Establecimiento],$O$3,BASE[CODCIE104],ENOS_G3_ETI_SD_AÑOS[[#This Row],[CIE-10]],BASE[Edad],""))</f>
        <v>0</v>
      </c>
      <c r="AC99" s="8">
        <f>IF($O$3="(Todas)",COUNTIFS(BASE[CODCIE106],ENOS_G3_ETI_SD_AÑOS[[#This Row],[CIE-10]],BASE[Edad],""),COUNTIFS(BASE[Cod.Establecimiento],$O$3,BASE[CODCIE106],ENOS_G3_ETI_SD_AÑOS[[#This Row],[CIE-10]],BASE[Edad],""))</f>
        <v>0</v>
      </c>
      <c r="AD99" s="8">
        <f>IF($O$3="(Todas)",COUNTIFS(BASE[CODCIE108],ENOS_G3_ETI_SD_AÑOS[[#This Row],[CIE-10]],BASE[Edad],""),COUNTIFS(BASE[Cod.Establecimiento],$O$3,BASE[CODCIE108],ENOS_G3_ETI_SD_AÑOS[[#This Row],[CIE-10]],BASE[Edad],""))</f>
        <v>0</v>
      </c>
      <c r="AE99" s="8">
        <f>IF($O$3="(Todas)",COUNTIFS(BASE[CODCIE1010],ENOS_G3_ETI_SD_AÑOS[[#This Row],[CIE-10]],BASE[Edad],""),COUNTIFS(BASE[Cod.Establecimiento],$O$3,BASE[CODCIE1010],ENOS_G3_ETI_SD_AÑOS[[#This Row],[CIE-10]],BASE[Edad],""))</f>
        <v>0</v>
      </c>
      <c r="AF99" s="9">
        <f>SUM(ENOS_G3_ETI_SD_AÑOS[[#This Row],[D1]:[D6]])</f>
        <v>0</v>
      </c>
    </row>
    <row r="100" spans="1:32" ht="18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spans="1:32" ht="15.75" customHeight="1" thickBo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80" t="s">
        <v>278</v>
      </c>
      <c r="Q101" s="81"/>
      <c r="R101" s="81"/>
      <c r="S101" s="81"/>
      <c r="T101" s="81"/>
      <c r="U101" s="81"/>
      <c r="V101" s="81"/>
      <c r="W101" s="81"/>
      <c r="X101" s="2"/>
      <c r="Y101" s="80" t="s">
        <v>279</v>
      </c>
      <c r="Z101" s="81"/>
      <c r="AA101" s="81"/>
      <c r="AB101" s="81"/>
      <c r="AC101" s="81"/>
      <c r="AD101" s="81"/>
      <c r="AE101" s="81"/>
      <c r="AF101" s="81"/>
    </row>
    <row r="102" spans="1:32" ht="15.75" customHeight="1" thickTop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 t="s">
        <v>93</v>
      </c>
      <c r="Q102" s="8" t="s">
        <v>94</v>
      </c>
      <c r="R102" s="8" t="s">
        <v>95</v>
      </c>
      <c r="S102" s="8" t="s">
        <v>96</v>
      </c>
      <c r="T102" s="8" t="s">
        <v>97</v>
      </c>
      <c r="U102" s="8" t="s">
        <v>98</v>
      </c>
      <c r="V102" s="8" t="s">
        <v>99</v>
      </c>
      <c r="W102" s="10" t="s">
        <v>100</v>
      </c>
      <c r="X102" s="2"/>
      <c r="Y102" s="2" t="s">
        <v>93</v>
      </c>
      <c r="Z102" s="8" t="s">
        <v>94</v>
      </c>
      <c r="AA102" s="8" t="s">
        <v>95</v>
      </c>
      <c r="AB102" s="8" t="s">
        <v>96</v>
      </c>
      <c r="AC102" s="8" t="s">
        <v>97</v>
      </c>
      <c r="AD102" s="8" t="s">
        <v>98</v>
      </c>
      <c r="AE102" s="8" t="s">
        <v>99</v>
      </c>
      <c r="AF102" s="10" t="s">
        <v>100</v>
      </c>
    </row>
    <row r="103" spans="1:3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32" t="s">
        <v>304</v>
      </c>
      <c r="Q103" s="8">
        <f>IF($O$3="(Todas)",COUNTIFS(BASE[CODCIE10],ENOS_G3_IRANN_MENOR_QUE_1_AÑO[[#This Row],[CIE-10]],BASE[Edad],"&lt;1"),COUNTIFS(BASE[Cod.Establecimiento],$O$3,BASE[CODCIE10],ENOS_G3_IRANN_MENOR_QUE_1_AÑO[[#This Row],[CIE-10]],BASE[Edad],"&lt;1"))</f>
        <v>0</v>
      </c>
      <c r="R103" s="8">
        <f>IF($O$3="(Todas)",COUNTIFS(BASE[CODCIE102],ENOS_G3_IRANN_MENOR_QUE_1_AÑO[[#This Row],[CIE-10]],BASE[Edad],"&lt;1"),COUNTIFS(BASE[Cod.Establecimiento],$O$3,BASE[CODCIE102],ENOS_G3_IRANN_MENOR_QUE_1_AÑO[[#This Row],[CIE-10]],BASE[Edad],"&lt;1"))</f>
        <v>0</v>
      </c>
      <c r="S103" s="8">
        <f>IF($O$3="(Todas)",COUNTIFS(BASE[CODCIE104],ENOS_G3_IRANN_MENOR_QUE_1_AÑO[[#This Row],[CIE-10]],BASE[Edad],"&lt;1"),COUNTIFS(BASE[Cod.Establecimiento],$O$3,BASE[CODCIE104],ENOS_G3_IRANN_MENOR_QUE_1_AÑO[[#This Row],[CIE-10]],BASE[Edad],"&lt;1"))</f>
        <v>0</v>
      </c>
      <c r="T103" s="8">
        <f>IF($O$3="(Todas)",COUNTIFS(BASE[CODCIE106],ENOS_G3_IRANN_MENOR_QUE_1_AÑO[[#This Row],[CIE-10]],BASE[Edad],"&lt;1"),COUNTIFS(BASE[Cod.Establecimiento],$O$3,BASE[CODCIE106],ENOS_G3_IRANN_MENOR_QUE_1_AÑO[[#This Row],[CIE-10]],BASE[Edad],"&lt;1"))</f>
        <v>0</v>
      </c>
      <c r="U103" s="8">
        <f>IF($O$3="(Todas)",COUNTIFS(BASE[CODCIE108],ENOS_G3_IRANN_MENOR_QUE_1_AÑO[[#This Row],[CIE-10]],BASE[Edad],"&lt;1"),COUNTIFS(BASE[Cod.Establecimiento],$O$3,BASE[CODCIE108],ENOS_G3_IRANN_MENOR_QUE_1_AÑO[[#This Row],[CIE-10]],BASE[Edad],"&lt;1"))</f>
        <v>0</v>
      </c>
      <c r="V103" s="8">
        <f>IF($O$3="(Todas)",COUNTIFS(BASE[CODCIE1010],ENOS_G3_IRANN_MENOR_QUE_1_AÑO[[#This Row],[CIE-10]],BASE[Edad],"&lt;1"),COUNTIFS(BASE[Cod.Establecimiento],$O$3,BASE[CODCIE1010],ENOS_G3_IRANN_MENOR_QUE_1_AÑO[[#This Row],[CIE-10]],BASE[Edad],"&lt;1"))</f>
        <v>0</v>
      </c>
      <c r="W103" s="9">
        <f>SUM(ENOS_G3_IRANN_MENOR_QUE_1_AÑO[[#This Row],[D1]:[D6]])</f>
        <v>0</v>
      </c>
      <c r="X103" s="2"/>
      <c r="Y103" s="32" t="s">
        <v>304</v>
      </c>
      <c r="Z103" s="8">
        <f>IF($O$3="(Todas)",COUNTIFS(BASE[CODCIE10],ENOS_G3_IRANN_1_4_AÑOS[[#This Row],[CIE-10]],BASE[Edad],"&gt;=1",BASE[Edad],"&lt;=4"),COUNTIFS(BASE[Cod.Establecimiento],$O$3,BASE[CODCIE10],ENOS_G3_IRANN_1_4_AÑOS[[#This Row],[CIE-10]],BASE[Edad],"&gt;=1",BASE[Edad],"&lt;=4"))</f>
        <v>0</v>
      </c>
      <c r="AA103" s="8">
        <f>IF($O$3="(Todas)",COUNTIFS(BASE[CODCIE102],ENOS_G3_IRANN_1_4_AÑOS[[#This Row],[CIE-10]],BASE[Edad],"&gt;=1",BASE[Edad],"&lt;=4"),COUNTIFS(BASE[Cod.Establecimiento],$O$3,BASE[CODCIE102],ENOS_G3_IRANN_1_4_AÑOS[[#This Row],[CIE-10]],BASE[Edad],"&gt;=1",BASE[Edad],"&lt;=4"))</f>
        <v>0</v>
      </c>
      <c r="AB103" s="8">
        <f>IF($O$3="(Todas)",COUNTIFS(BASE[CODCIE104],ENOS_G3_IRANN_1_4_AÑOS[[#This Row],[CIE-10]],BASE[Edad],"&gt;=1",BASE[Edad],"&lt;=4"),COUNTIFS(BASE[Cod.Establecimiento],$O$3,BASE[CODCIE104],ENOS_G3_IRANN_1_4_AÑOS[[#This Row],[CIE-10]],BASE[Edad],"&gt;=1",BASE[Edad],"&lt;=4"))</f>
        <v>0</v>
      </c>
      <c r="AC103" s="8">
        <f>IF($O$3="(Todas)",COUNTIFS(BASE[CODCIE106],ENOS_G3_IRANN_1_4_AÑOS[[#This Row],[CIE-10]],BASE[Edad],"&gt;=1",BASE[Edad],"&lt;=4"),COUNTIFS(BASE[Cod.Establecimiento],$O$3,BASE[CODCIE106],ENOS_G3_IRANN_1_4_AÑOS[[#This Row],[CIE-10]],BASE[Edad],"&gt;=1",BASE[Edad],"&lt;=4"))</f>
        <v>0</v>
      </c>
      <c r="AD103" s="8">
        <f>IF($O$3="(Todas)",COUNTIFS(BASE[CODCIE108],ENOS_G3_IRANN_1_4_AÑOS[[#This Row],[CIE-10]],BASE[Edad],"&gt;=1",BASE[Edad],"&lt;=4"),COUNTIFS(BASE[Cod.Establecimiento],$O$3,BASE[CODCIE108],ENOS_G3_IRANN_1_4_AÑOS[[#This Row],[CIE-10]],BASE[Edad],"&gt;=1",BASE[Edad],"&lt;=4"))</f>
        <v>0</v>
      </c>
      <c r="AE103" s="8">
        <f>IF($O$3="(Todas)",COUNTIFS(BASE[CODCIE1010],ENOS_G3_IRANN_1_4_AÑOS[[#This Row],[CIE-10]],BASE[Edad],"&gt;=1",BASE[Edad],"&lt;=4"),COUNTIFS(BASE[Cod.Establecimiento],$O$3,BASE[CODCIE1010],ENOS_G3_IRANN_1_4_AÑOS[[#This Row],[CIE-10]],BASE[Edad],"&gt;=1",BASE[Edad],"&lt;=4"))</f>
        <v>0</v>
      </c>
      <c r="AF103" s="9">
        <f>SUM(ENOS_G3_IRANN_1_4_AÑOS[[#This Row],[D1]:[D6]])</f>
        <v>0</v>
      </c>
    </row>
    <row r="104" spans="1:3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32" t="s">
        <v>305</v>
      </c>
      <c r="Q104" s="8">
        <f>IF($O$3="(Todas)",COUNTIFS(BASE[CODCIE10],ENOS_G3_IRANN_MENOR_QUE_1_AÑO[[#This Row],[CIE-10]],BASE[Edad],"&lt;1"),COUNTIFS(BASE[Cod.Establecimiento],$O$3,BASE[CODCIE10],ENOS_G3_IRANN_MENOR_QUE_1_AÑO[[#This Row],[CIE-10]],BASE[Edad],"&lt;1"))</f>
        <v>0</v>
      </c>
      <c r="R104" s="8">
        <f>IF($O$3="(Todas)",COUNTIFS(BASE[CODCIE102],ENOS_G3_IRANN_MENOR_QUE_1_AÑO[[#This Row],[CIE-10]],BASE[Edad],"&lt;1"),COUNTIFS(BASE[Cod.Establecimiento],$O$3,BASE[CODCIE102],ENOS_G3_IRANN_MENOR_QUE_1_AÑO[[#This Row],[CIE-10]],BASE[Edad],"&lt;1"))</f>
        <v>0</v>
      </c>
      <c r="S104" s="8">
        <f>IF($O$3="(Todas)",COUNTIFS(BASE[CODCIE104],ENOS_G3_IRANN_MENOR_QUE_1_AÑO[[#This Row],[CIE-10]],BASE[Edad],"&lt;1"),COUNTIFS(BASE[Cod.Establecimiento],$O$3,BASE[CODCIE104],ENOS_G3_IRANN_MENOR_QUE_1_AÑO[[#This Row],[CIE-10]],BASE[Edad],"&lt;1"))</f>
        <v>0</v>
      </c>
      <c r="T104" s="8">
        <f>IF($O$3="(Todas)",COUNTIFS(BASE[CODCIE106],ENOS_G3_IRANN_MENOR_QUE_1_AÑO[[#This Row],[CIE-10]],BASE[Edad],"&lt;1"),COUNTIFS(BASE[Cod.Establecimiento],$O$3,BASE[CODCIE106],ENOS_G3_IRANN_MENOR_QUE_1_AÑO[[#This Row],[CIE-10]],BASE[Edad],"&lt;1"))</f>
        <v>0</v>
      </c>
      <c r="U104" s="8">
        <f>IF($O$3="(Todas)",COUNTIFS(BASE[CODCIE108],ENOS_G3_IRANN_MENOR_QUE_1_AÑO[[#This Row],[CIE-10]],BASE[Edad],"&lt;1"),COUNTIFS(BASE[Cod.Establecimiento],$O$3,BASE[CODCIE108],ENOS_G3_IRANN_MENOR_QUE_1_AÑO[[#This Row],[CIE-10]],BASE[Edad],"&lt;1"))</f>
        <v>0</v>
      </c>
      <c r="V104" s="8">
        <f>IF($O$3="(Todas)",COUNTIFS(BASE[CODCIE1010],ENOS_G3_IRANN_MENOR_QUE_1_AÑO[[#This Row],[CIE-10]],BASE[Edad],"&lt;1"),COUNTIFS(BASE[Cod.Establecimiento],$O$3,BASE[CODCIE1010],ENOS_G3_IRANN_MENOR_QUE_1_AÑO[[#This Row],[CIE-10]],BASE[Edad],"&lt;1"))</f>
        <v>0</v>
      </c>
      <c r="W104" s="9">
        <f>SUM(ENOS_G3_IRANN_MENOR_QUE_1_AÑO[[#This Row],[D1]:[D6]])</f>
        <v>0</v>
      </c>
      <c r="X104" s="2"/>
      <c r="Y104" s="32" t="s">
        <v>305</v>
      </c>
      <c r="Z104" s="8">
        <f>IF($O$3="(Todas)",COUNTIFS(BASE[CODCIE10],ENOS_G3_IRANN_1_4_AÑOS[[#This Row],[CIE-10]],BASE[Edad],"&gt;=1",BASE[Edad],"&lt;=4"),COUNTIFS(BASE[Cod.Establecimiento],$O$3,BASE[CODCIE10],ENOS_G3_IRANN_1_4_AÑOS[[#This Row],[CIE-10]],BASE[Edad],"&gt;=1",BASE[Edad],"&lt;=4"))</f>
        <v>0</v>
      </c>
      <c r="AA104" s="8">
        <f>IF($O$3="(Todas)",COUNTIFS(BASE[CODCIE102],ENOS_G3_IRANN_1_4_AÑOS[[#This Row],[CIE-10]],BASE[Edad],"&gt;=1",BASE[Edad],"&lt;=4"),COUNTIFS(BASE[Cod.Establecimiento],$O$3,BASE[CODCIE102],ENOS_G3_IRANN_1_4_AÑOS[[#This Row],[CIE-10]],BASE[Edad],"&gt;=1",BASE[Edad],"&lt;=4"))</f>
        <v>0</v>
      </c>
      <c r="AB104" s="8">
        <f>IF($O$3="(Todas)",COUNTIFS(BASE[CODCIE104],ENOS_G3_IRANN_1_4_AÑOS[[#This Row],[CIE-10]],BASE[Edad],"&gt;=1",BASE[Edad],"&lt;=4"),COUNTIFS(BASE[Cod.Establecimiento],$O$3,BASE[CODCIE104],ENOS_G3_IRANN_1_4_AÑOS[[#This Row],[CIE-10]],BASE[Edad],"&gt;=1",BASE[Edad],"&lt;=4"))</f>
        <v>0</v>
      </c>
      <c r="AC104" s="8">
        <f>IF($O$3="(Todas)",COUNTIFS(BASE[CODCIE106],ENOS_G3_IRANN_1_4_AÑOS[[#This Row],[CIE-10]],BASE[Edad],"&gt;=1",BASE[Edad],"&lt;=4"),COUNTIFS(BASE[Cod.Establecimiento],$O$3,BASE[CODCIE106],ENOS_G3_IRANN_1_4_AÑOS[[#This Row],[CIE-10]],BASE[Edad],"&gt;=1",BASE[Edad],"&lt;=4"))</f>
        <v>0</v>
      </c>
      <c r="AD104" s="8">
        <f>IF($O$3="(Todas)",COUNTIFS(BASE[CODCIE108],ENOS_G3_IRANN_1_4_AÑOS[[#This Row],[CIE-10]],BASE[Edad],"&gt;=1",BASE[Edad],"&lt;=4"),COUNTIFS(BASE[Cod.Establecimiento],$O$3,BASE[CODCIE108],ENOS_G3_IRANN_1_4_AÑOS[[#This Row],[CIE-10]],BASE[Edad],"&gt;=1",BASE[Edad],"&lt;=4"))</f>
        <v>0</v>
      </c>
      <c r="AE104" s="8">
        <f>IF($O$3="(Todas)",COUNTIFS(BASE[CODCIE1010],ENOS_G3_IRANN_1_4_AÑOS[[#This Row],[CIE-10]],BASE[Edad],"&gt;=1",BASE[Edad],"&lt;=4"),COUNTIFS(BASE[Cod.Establecimiento],$O$3,BASE[CODCIE1010],ENOS_G3_IRANN_1_4_AÑOS[[#This Row],[CIE-10]],BASE[Edad],"&gt;=1",BASE[Edad],"&lt;=4"))</f>
        <v>0</v>
      </c>
      <c r="AF104" s="9">
        <f>SUM(ENOS_G3_IRANN_1_4_AÑOS[[#This Row],[D1]:[D6]])</f>
        <v>0</v>
      </c>
    </row>
    <row r="105" spans="1:3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32" t="s">
        <v>306</v>
      </c>
      <c r="Q105" s="8">
        <f>IF($O$3="(Todas)",COUNTIFS(BASE[CODCIE10],ENOS_G3_IRANN_MENOR_QUE_1_AÑO[[#This Row],[CIE-10]],BASE[Edad],"&lt;1"),COUNTIFS(BASE[Cod.Establecimiento],$O$3,BASE[CODCIE10],ENOS_G3_IRANN_MENOR_QUE_1_AÑO[[#This Row],[CIE-10]],BASE[Edad],"&lt;1"))</f>
        <v>0</v>
      </c>
      <c r="R105" s="8">
        <f>IF($O$3="(Todas)",COUNTIFS(BASE[CODCIE102],ENOS_G3_IRANN_MENOR_QUE_1_AÑO[[#This Row],[CIE-10]],BASE[Edad],"&lt;1"),COUNTIFS(BASE[Cod.Establecimiento],$O$3,BASE[CODCIE102],ENOS_G3_IRANN_MENOR_QUE_1_AÑO[[#This Row],[CIE-10]],BASE[Edad],"&lt;1"))</f>
        <v>0</v>
      </c>
      <c r="S105" s="8">
        <f>IF($O$3="(Todas)",COUNTIFS(BASE[CODCIE104],ENOS_G3_IRANN_MENOR_QUE_1_AÑO[[#This Row],[CIE-10]],BASE[Edad],"&lt;1"),COUNTIFS(BASE[Cod.Establecimiento],$O$3,BASE[CODCIE104],ENOS_G3_IRANN_MENOR_QUE_1_AÑO[[#This Row],[CIE-10]],BASE[Edad],"&lt;1"))</f>
        <v>0</v>
      </c>
      <c r="T105" s="8">
        <f>IF($O$3="(Todas)",COUNTIFS(BASE[CODCIE106],ENOS_G3_IRANN_MENOR_QUE_1_AÑO[[#This Row],[CIE-10]],BASE[Edad],"&lt;1"),COUNTIFS(BASE[Cod.Establecimiento],$O$3,BASE[CODCIE106],ENOS_G3_IRANN_MENOR_QUE_1_AÑO[[#This Row],[CIE-10]],BASE[Edad],"&lt;1"))</f>
        <v>0</v>
      </c>
      <c r="U105" s="8">
        <f>IF($O$3="(Todas)",COUNTIFS(BASE[CODCIE108],ENOS_G3_IRANN_MENOR_QUE_1_AÑO[[#This Row],[CIE-10]],BASE[Edad],"&lt;1"),COUNTIFS(BASE[Cod.Establecimiento],$O$3,BASE[CODCIE108],ENOS_G3_IRANN_MENOR_QUE_1_AÑO[[#This Row],[CIE-10]],BASE[Edad],"&lt;1"))</f>
        <v>0</v>
      </c>
      <c r="V105" s="8">
        <f>IF($O$3="(Todas)",COUNTIFS(BASE[CODCIE1010],ENOS_G3_IRANN_MENOR_QUE_1_AÑO[[#This Row],[CIE-10]],BASE[Edad],"&lt;1"),COUNTIFS(BASE[Cod.Establecimiento],$O$3,BASE[CODCIE1010],ENOS_G3_IRANN_MENOR_QUE_1_AÑO[[#This Row],[CIE-10]],BASE[Edad],"&lt;1"))</f>
        <v>0</v>
      </c>
      <c r="W105" s="9">
        <f>SUM(ENOS_G3_IRANN_MENOR_QUE_1_AÑO[[#This Row],[D1]:[D6]])</f>
        <v>0</v>
      </c>
      <c r="X105" s="2"/>
      <c r="Y105" s="32" t="s">
        <v>306</v>
      </c>
      <c r="Z105" s="8">
        <f>IF($O$3="(Todas)",COUNTIFS(BASE[CODCIE10],ENOS_G3_IRANN_1_4_AÑOS[[#This Row],[CIE-10]],BASE[Edad],"&gt;=1",BASE[Edad],"&lt;=4"),COUNTIFS(BASE[Cod.Establecimiento],$O$3,BASE[CODCIE10],ENOS_G3_IRANN_1_4_AÑOS[[#This Row],[CIE-10]],BASE[Edad],"&gt;=1",BASE[Edad],"&lt;=4"))</f>
        <v>0</v>
      </c>
      <c r="AA105" s="8">
        <f>IF($O$3="(Todas)",COUNTIFS(BASE[CODCIE102],ENOS_G3_IRANN_1_4_AÑOS[[#This Row],[CIE-10]],BASE[Edad],"&gt;=1",BASE[Edad],"&lt;=4"),COUNTIFS(BASE[Cod.Establecimiento],$O$3,BASE[CODCIE102],ENOS_G3_IRANN_1_4_AÑOS[[#This Row],[CIE-10]],BASE[Edad],"&gt;=1",BASE[Edad],"&lt;=4"))</f>
        <v>0</v>
      </c>
      <c r="AB105" s="8">
        <f>IF($O$3="(Todas)",COUNTIFS(BASE[CODCIE104],ENOS_G3_IRANN_1_4_AÑOS[[#This Row],[CIE-10]],BASE[Edad],"&gt;=1",BASE[Edad],"&lt;=4"),COUNTIFS(BASE[Cod.Establecimiento],$O$3,BASE[CODCIE104],ENOS_G3_IRANN_1_4_AÑOS[[#This Row],[CIE-10]],BASE[Edad],"&gt;=1",BASE[Edad],"&lt;=4"))</f>
        <v>0</v>
      </c>
      <c r="AC105" s="8">
        <f>IF($O$3="(Todas)",COUNTIFS(BASE[CODCIE106],ENOS_G3_IRANN_1_4_AÑOS[[#This Row],[CIE-10]],BASE[Edad],"&gt;=1",BASE[Edad],"&lt;=4"),COUNTIFS(BASE[Cod.Establecimiento],$O$3,BASE[CODCIE106],ENOS_G3_IRANN_1_4_AÑOS[[#This Row],[CIE-10]],BASE[Edad],"&gt;=1",BASE[Edad],"&lt;=4"))</f>
        <v>0</v>
      </c>
      <c r="AD105" s="8">
        <f>IF($O$3="(Todas)",COUNTIFS(BASE[CODCIE108],ENOS_G3_IRANN_1_4_AÑOS[[#This Row],[CIE-10]],BASE[Edad],"&gt;=1",BASE[Edad],"&lt;=4"),COUNTIFS(BASE[Cod.Establecimiento],$O$3,BASE[CODCIE108],ENOS_G3_IRANN_1_4_AÑOS[[#This Row],[CIE-10]],BASE[Edad],"&gt;=1",BASE[Edad],"&lt;=4"))</f>
        <v>0</v>
      </c>
      <c r="AE105" s="8">
        <f>IF($O$3="(Todas)",COUNTIFS(BASE[CODCIE1010],ENOS_G3_IRANN_1_4_AÑOS[[#This Row],[CIE-10]],BASE[Edad],"&gt;=1",BASE[Edad],"&lt;=4"),COUNTIFS(BASE[Cod.Establecimiento],$O$3,BASE[CODCIE1010],ENOS_G3_IRANN_1_4_AÑOS[[#This Row],[CIE-10]],BASE[Edad],"&gt;=1",BASE[Edad],"&lt;=4"))</f>
        <v>0</v>
      </c>
      <c r="AF105" s="9">
        <f>SUM(ENOS_G3_IRANN_1_4_AÑOS[[#This Row],[D1]:[D6]])</f>
        <v>0</v>
      </c>
    </row>
    <row r="106" spans="1:3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32" t="s">
        <v>307</v>
      </c>
      <c r="Q106" s="8">
        <f>IF($O$3="(Todas)",COUNTIFS(BASE[CODCIE10],ENOS_G3_IRANN_MENOR_QUE_1_AÑO[[#This Row],[CIE-10]],BASE[Edad],"&lt;1"),COUNTIFS(BASE[Cod.Establecimiento],$O$3,BASE[CODCIE10],ENOS_G3_IRANN_MENOR_QUE_1_AÑO[[#This Row],[CIE-10]],BASE[Edad],"&lt;1"))</f>
        <v>0</v>
      </c>
      <c r="R106" s="8">
        <f>IF($O$3="(Todas)",COUNTIFS(BASE[CODCIE102],ENOS_G3_IRANN_MENOR_QUE_1_AÑO[[#This Row],[CIE-10]],BASE[Edad],"&lt;1"),COUNTIFS(BASE[Cod.Establecimiento],$O$3,BASE[CODCIE102],ENOS_G3_IRANN_MENOR_QUE_1_AÑO[[#This Row],[CIE-10]],BASE[Edad],"&lt;1"))</f>
        <v>0</v>
      </c>
      <c r="S106" s="8">
        <f>IF($O$3="(Todas)",COUNTIFS(BASE[CODCIE104],ENOS_G3_IRANN_MENOR_QUE_1_AÑO[[#This Row],[CIE-10]],BASE[Edad],"&lt;1"),COUNTIFS(BASE[Cod.Establecimiento],$O$3,BASE[CODCIE104],ENOS_G3_IRANN_MENOR_QUE_1_AÑO[[#This Row],[CIE-10]],BASE[Edad],"&lt;1"))</f>
        <v>0</v>
      </c>
      <c r="T106" s="8">
        <f>IF($O$3="(Todas)",COUNTIFS(BASE[CODCIE106],ENOS_G3_IRANN_MENOR_QUE_1_AÑO[[#This Row],[CIE-10]],BASE[Edad],"&lt;1"),COUNTIFS(BASE[Cod.Establecimiento],$O$3,BASE[CODCIE106],ENOS_G3_IRANN_MENOR_QUE_1_AÑO[[#This Row],[CIE-10]],BASE[Edad],"&lt;1"))</f>
        <v>0</v>
      </c>
      <c r="U106" s="8">
        <f>IF($O$3="(Todas)",COUNTIFS(BASE[CODCIE108],ENOS_G3_IRANN_MENOR_QUE_1_AÑO[[#This Row],[CIE-10]],BASE[Edad],"&lt;1"),COUNTIFS(BASE[Cod.Establecimiento],$O$3,BASE[CODCIE108],ENOS_G3_IRANN_MENOR_QUE_1_AÑO[[#This Row],[CIE-10]],BASE[Edad],"&lt;1"))</f>
        <v>0</v>
      </c>
      <c r="V106" s="8">
        <f>IF($O$3="(Todas)",COUNTIFS(BASE[CODCIE1010],ENOS_G3_IRANN_MENOR_QUE_1_AÑO[[#This Row],[CIE-10]],BASE[Edad],"&lt;1"),COUNTIFS(BASE[Cod.Establecimiento],$O$3,BASE[CODCIE1010],ENOS_G3_IRANN_MENOR_QUE_1_AÑO[[#This Row],[CIE-10]],BASE[Edad],"&lt;1"))</f>
        <v>0</v>
      </c>
      <c r="W106" s="9">
        <f>SUM(ENOS_G3_IRANN_MENOR_QUE_1_AÑO[[#This Row],[D1]:[D6]])</f>
        <v>0</v>
      </c>
      <c r="X106" s="2"/>
      <c r="Y106" s="32" t="s">
        <v>307</v>
      </c>
      <c r="Z106" s="8">
        <f>IF($O$3="(Todas)",COUNTIFS(BASE[CODCIE10],ENOS_G3_IRANN_1_4_AÑOS[[#This Row],[CIE-10]],BASE[Edad],"&gt;=1",BASE[Edad],"&lt;=4"),COUNTIFS(BASE[Cod.Establecimiento],$O$3,BASE[CODCIE10],ENOS_G3_IRANN_1_4_AÑOS[[#This Row],[CIE-10]],BASE[Edad],"&gt;=1",BASE[Edad],"&lt;=4"))</f>
        <v>0</v>
      </c>
      <c r="AA106" s="8">
        <f>IF($O$3="(Todas)",COUNTIFS(BASE[CODCIE102],ENOS_G3_IRANN_1_4_AÑOS[[#This Row],[CIE-10]],BASE[Edad],"&gt;=1",BASE[Edad],"&lt;=4"),COUNTIFS(BASE[Cod.Establecimiento],$O$3,BASE[CODCIE102],ENOS_G3_IRANN_1_4_AÑOS[[#This Row],[CIE-10]],BASE[Edad],"&gt;=1",BASE[Edad],"&lt;=4"))</f>
        <v>0</v>
      </c>
      <c r="AB106" s="8">
        <f>IF($O$3="(Todas)",COUNTIFS(BASE[CODCIE104],ENOS_G3_IRANN_1_4_AÑOS[[#This Row],[CIE-10]],BASE[Edad],"&gt;=1",BASE[Edad],"&lt;=4"),COUNTIFS(BASE[Cod.Establecimiento],$O$3,BASE[CODCIE104],ENOS_G3_IRANN_1_4_AÑOS[[#This Row],[CIE-10]],BASE[Edad],"&gt;=1",BASE[Edad],"&lt;=4"))</f>
        <v>0</v>
      </c>
      <c r="AC106" s="8">
        <f>IF($O$3="(Todas)",COUNTIFS(BASE[CODCIE106],ENOS_G3_IRANN_1_4_AÑOS[[#This Row],[CIE-10]],BASE[Edad],"&gt;=1",BASE[Edad],"&lt;=4"),COUNTIFS(BASE[Cod.Establecimiento],$O$3,BASE[CODCIE106],ENOS_G3_IRANN_1_4_AÑOS[[#This Row],[CIE-10]],BASE[Edad],"&gt;=1",BASE[Edad],"&lt;=4"))</f>
        <v>0</v>
      </c>
      <c r="AD106" s="8">
        <f>IF($O$3="(Todas)",COUNTIFS(BASE[CODCIE108],ENOS_G3_IRANN_1_4_AÑOS[[#This Row],[CIE-10]],BASE[Edad],"&gt;=1",BASE[Edad],"&lt;=4"),COUNTIFS(BASE[Cod.Establecimiento],$O$3,BASE[CODCIE108],ENOS_G3_IRANN_1_4_AÑOS[[#This Row],[CIE-10]],BASE[Edad],"&gt;=1",BASE[Edad],"&lt;=4"))</f>
        <v>0</v>
      </c>
      <c r="AE106" s="8">
        <f>IF($O$3="(Todas)",COUNTIFS(BASE[CODCIE1010],ENOS_G3_IRANN_1_4_AÑOS[[#This Row],[CIE-10]],BASE[Edad],"&gt;=1",BASE[Edad],"&lt;=4"),COUNTIFS(BASE[Cod.Establecimiento],$O$3,BASE[CODCIE1010],ENOS_G3_IRANN_1_4_AÑOS[[#This Row],[CIE-10]],BASE[Edad],"&gt;=1",BASE[Edad],"&lt;=4"))</f>
        <v>0</v>
      </c>
      <c r="AF106" s="9">
        <f>SUM(ENOS_G3_IRANN_1_4_AÑOS[[#This Row],[D1]:[D6]])</f>
        <v>0</v>
      </c>
    </row>
    <row r="107" spans="1:32" ht="18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32" t="s">
        <v>308</v>
      </c>
      <c r="Q107" s="8">
        <f>IF($O$3="(Todas)",COUNTIFS(BASE[CODCIE10],ENOS_G3_IRANN_MENOR_QUE_1_AÑO[[#This Row],[CIE-10]],BASE[Edad],"&lt;1"),COUNTIFS(BASE[Cod.Establecimiento],$O$3,BASE[CODCIE10],ENOS_G3_IRANN_MENOR_QUE_1_AÑO[[#This Row],[CIE-10]],BASE[Edad],"&lt;1"))</f>
        <v>0</v>
      </c>
      <c r="R107" s="8">
        <f>IF($O$3="(Todas)",COUNTIFS(BASE[CODCIE102],ENOS_G3_IRANN_MENOR_QUE_1_AÑO[[#This Row],[CIE-10]],BASE[Edad],"&lt;1"),COUNTIFS(BASE[Cod.Establecimiento],$O$3,BASE[CODCIE102],ENOS_G3_IRANN_MENOR_QUE_1_AÑO[[#This Row],[CIE-10]],BASE[Edad],"&lt;1"))</f>
        <v>0</v>
      </c>
      <c r="S107" s="8">
        <f>IF($O$3="(Todas)",COUNTIFS(BASE[CODCIE104],ENOS_G3_IRANN_MENOR_QUE_1_AÑO[[#This Row],[CIE-10]],BASE[Edad],"&lt;1"),COUNTIFS(BASE[Cod.Establecimiento],$O$3,BASE[CODCIE104],ENOS_G3_IRANN_MENOR_QUE_1_AÑO[[#This Row],[CIE-10]],BASE[Edad],"&lt;1"))</f>
        <v>0</v>
      </c>
      <c r="T107" s="8">
        <f>IF($O$3="(Todas)",COUNTIFS(BASE[CODCIE106],ENOS_G3_IRANN_MENOR_QUE_1_AÑO[[#This Row],[CIE-10]],BASE[Edad],"&lt;1"),COUNTIFS(BASE[Cod.Establecimiento],$O$3,BASE[CODCIE106],ENOS_G3_IRANN_MENOR_QUE_1_AÑO[[#This Row],[CIE-10]],BASE[Edad],"&lt;1"))</f>
        <v>0</v>
      </c>
      <c r="U107" s="8">
        <f>IF($O$3="(Todas)",COUNTIFS(BASE[CODCIE108],ENOS_G3_IRANN_MENOR_QUE_1_AÑO[[#This Row],[CIE-10]],BASE[Edad],"&lt;1"),COUNTIFS(BASE[Cod.Establecimiento],$O$3,BASE[CODCIE108],ENOS_G3_IRANN_MENOR_QUE_1_AÑO[[#This Row],[CIE-10]],BASE[Edad],"&lt;1"))</f>
        <v>0</v>
      </c>
      <c r="V107" s="8">
        <f>IF($O$3="(Todas)",COUNTIFS(BASE[CODCIE1010],ENOS_G3_IRANN_MENOR_QUE_1_AÑO[[#This Row],[CIE-10]],BASE[Edad],"&lt;1"),COUNTIFS(BASE[Cod.Establecimiento],$O$3,BASE[CODCIE1010],ENOS_G3_IRANN_MENOR_QUE_1_AÑO[[#This Row],[CIE-10]],BASE[Edad],"&lt;1"))</f>
        <v>0</v>
      </c>
      <c r="W107" s="9">
        <f>SUM(ENOS_G3_IRANN_MENOR_QUE_1_AÑO[[#This Row],[D1]:[D6]])</f>
        <v>0</v>
      </c>
      <c r="X107" s="2"/>
      <c r="Y107" s="32" t="s">
        <v>308</v>
      </c>
      <c r="Z107" s="8">
        <f>IF($O$3="(Todas)",COUNTIFS(BASE[CODCIE10],ENOS_G3_IRANN_1_4_AÑOS[[#This Row],[CIE-10]],BASE[Edad],"&gt;=1",BASE[Edad],"&lt;=4"),COUNTIFS(BASE[Cod.Establecimiento],$O$3,BASE[CODCIE10],ENOS_G3_IRANN_1_4_AÑOS[[#This Row],[CIE-10]],BASE[Edad],"&gt;=1",BASE[Edad],"&lt;=4"))</f>
        <v>0</v>
      </c>
      <c r="AA107" s="8">
        <f>IF($O$3="(Todas)",COUNTIFS(BASE[CODCIE102],ENOS_G3_IRANN_1_4_AÑOS[[#This Row],[CIE-10]],BASE[Edad],"&gt;=1",BASE[Edad],"&lt;=4"),COUNTIFS(BASE[Cod.Establecimiento],$O$3,BASE[CODCIE102],ENOS_G3_IRANN_1_4_AÑOS[[#This Row],[CIE-10]],BASE[Edad],"&gt;=1",BASE[Edad],"&lt;=4"))</f>
        <v>0</v>
      </c>
      <c r="AB107" s="8">
        <f>IF($O$3="(Todas)",COUNTIFS(BASE[CODCIE104],ENOS_G3_IRANN_1_4_AÑOS[[#This Row],[CIE-10]],BASE[Edad],"&gt;=1",BASE[Edad],"&lt;=4"),COUNTIFS(BASE[Cod.Establecimiento],$O$3,BASE[CODCIE104],ENOS_G3_IRANN_1_4_AÑOS[[#This Row],[CIE-10]],BASE[Edad],"&gt;=1",BASE[Edad],"&lt;=4"))</f>
        <v>0</v>
      </c>
      <c r="AC107" s="8">
        <f>IF($O$3="(Todas)",COUNTIFS(BASE[CODCIE106],ENOS_G3_IRANN_1_4_AÑOS[[#This Row],[CIE-10]],BASE[Edad],"&gt;=1",BASE[Edad],"&lt;=4"),COUNTIFS(BASE[Cod.Establecimiento],$O$3,BASE[CODCIE106],ENOS_G3_IRANN_1_4_AÑOS[[#This Row],[CIE-10]],BASE[Edad],"&gt;=1",BASE[Edad],"&lt;=4"))</f>
        <v>0</v>
      </c>
      <c r="AD107" s="8">
        <f>IF($O$3="(Todas)",COUNTIFS(BASE[CODCIE108],ENOS_G3_IRANN_1_4_AÑOS[[#This Row],[CIE-10]],BASE[Edad],"&gt;=1",BASE[Edad],"&lt;=4"),COUNTIFS(BASE[Cod.Establecimiento],$O$3,BASE[CODCIE108],ENOS_G3_IRANN_1_4_AÑOS[[#This Row],[CIE-10]],BASE[Edad],"&gt;=1",BASE[Edad],"&lt;=4"))</f>
        <v>0</v>
      </c>
      <c r="AE107" s="8">
        <f>IF($O$3="(Todas)",COUNTIFS(BASE[CODCIE1010],ENOS_G3_IRANN_1_4_AÑOS[[#This Row],[CIE-10]],BASE[Edad],"&gt;=1",BASE[Edad],"&lt;=4"),COUNTIFS(BASE[Cod.Establecimiento],$O$3,BASE[CODCIE1010],ENOS_G3_IRANN_1_4_AÑOS[[#This Row],[CIE-10]],BASE[Edad],"&gt;=1",BASE[Edad],"&lt;=4"))</f>
        <v>0</v>
      </c>
      <c r="AF107" s="9">
        <f>SUM(ENOS_G3_IRANN_1_4_AÑOS[[#This Row],[D1]:[D6]])</f>
        <v>0</v>
      </c>
    </row>
    <row r="108" spans="1:32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32" t="s">
        <v>309</v>
      </c>
      <c r="Q108" s="8">
        <f>IF($O$3="(Todas)",COUNTIFS(BASE[CODCIE10],ENOS_G3_IRANN_MENOR_QUE_1_AÑO[[#This Row],[CIE-10]],BASE[Edad],"&lt;1"),COUNTIFS(BASE[Cod.Establecimiento],$O$3,BASE[CODCIE10],ENOS_G3_IRANN_MENOR_QUE_1_AÑO[[#This Row],[CIE-10]],BASE[Edad],"&lt;1"))</f>
        <v>0</v>
      </c>
      <c r="R108" s="8">
        <f>IF($O$3="(Todas)",COUNTIFS(BASE[CODCIE102],ENOS_G3_IRANN_MENOR_QUE_1_AÑO[[#This Row],[CIE-10]],BASE[Edad],"&lt;1"),COUNTIFS(BASE[Cod.Establecimiento],$O$3,BASE[CODCIE102],ENOS_G3_IRANN_MENOR_QUE_1_AÑO[[#This Row],[CIE-10]],BASE[Edad],"&lt;1"))</f>
        <v>0</v>
      </c>
      <c r="S108" s="8">
        <f>IF($O$3="(Todas)",COUNTIFS(BASE[CODCIE104],ENOS_G3_IRANN_MENOR_QUE_1_AÑO[[#This Row],[CIE-10]],BASE[Edad],"&lt;1"),COUNTIFS(BASE[Cod.Establecimiento],$O$3,BASE[CODCIE104],ENOS_G3_IRANN_MENOR_QUE_1_AÑO[[#This Row],[CIE-10]],BASE[Edad],"&lt;1"))</f>
        <v>0</v>
      </c>
      <c r="T108" s="8">
        <f>IF($O$3="(Todas)",COUNTIFS(BASE[CODCIE106],ENOS_G3_IRANN_MENOR_QUE_1_AÑO[[#This Row],[CIE-10]],BASE[Edad],"&lt;1"),COUNTIFS(BASE[Cod.Establecimiento],$O$3,BASE[CODCIE106],ENOS_G3_IRANN_MENOR_QUE_1_AÑO[[#This Row],[CIE-10]],BASE[Edad],"&lt;1"))</f>
        <v>0</v>
      </c>
      <c r="U108" s="8">
        <f>IF($O$3="(Todas)",COUNTIFS(BASE[CODCIE108],ENOS_G3_IRANN_MENOR_QUE_1_AÑO[[#This Row],[CIE-10]],BASE[Edad],"&lt;1"),COUNTIFS(BASE[Cod.Establecimiento],$O$3,BASE[CODCIE108],ENOS_G3_IRANN_MENOR_QUE_1_AÑO[[#This Row],[CIE-10]],BASE[Edad],"&lt;1"))</f>
        <v>0</v>
      </c>
      <c r="V108" s="8">
        <f>IF($O$3="(Todas)",COUNTIFS(BASE[CODCIE1010],ENOS_G3_IRANN_MENOR_QUE_1_AÑO[[#This Row],[CIE-10]],BASE[Edad],"&lt;1"),COUNTIFS(BASE[Cod.Establecimiento],$O$3,BASE[CODCIE1010],ENOS_G3_IRANN_MENOR_QUE_1_AÑO[[#This Row],[CIE-10]],BASE[Edad],"&lt;1"))</f>
        <v>0</v>
      </c>
      <c r="W108" s="9">
        <f>SUM(ENOS_G3_IRANN_MENOR_QUE_1_AÑO[[#This Row],[D1]:[D6]])</f>
        <v>0</v>
      </c>
      <c r="X108" s="2"/>
      <c r="Y108" s="32" t="s">
        <v>309</v>
      </c>
      <c r="Z108" s="8">
        <f>IF($O$3="(Todas)",COUNTIFS(BASE[CODCIE10],ENOS_G3_IRANN_1_4_AÑOS[[#This Row],[CIE-10]],BASE[Edad],"&gt;=1",BASE[Edad],"&lt;=4"),COUNTIFS(BASE[Cod.Establecimiento],$O$3,BASE[CODCIE10],ENOS_G3_IRANN_1_4_AÑOS[[#This Row],[CIE-10]],BASE[Edad],"&gt;=1",BASE[Edad],"&lt;=4"))</f>
        <v>0</v>
      </c>
      <c r="AA108" s="8">
        <f>IF($O$3="(Todas)",COUNTIFS(BASE[CODCIE102],ENOS_G3_IRANN_1_4_AÑOS[[#This Row],[CIE-10]],BASE[Edad],"&gt;=1",BASE[Edad],"&lt;=4"),COUNTIFS(BASE[Cod.Establecimiento],$O$3,BASE[CODCIE102],ENOS_G3_IRANN_1_4_AÑOS[[#This Row],[CIE-10]],BASE[Edad],"&gt;=1",BASE[Edad],"&lt;=4"))</f>
        <v>0</v>
      </c>
      <c r="AB108" s="8">
        <f>IF($O$3="(Todas)",COUNTIFS(BASE[CODCIE104],ENOS_G3_IRANN_1_4_AÑOS[[#This Row],[CIE-10]],BASE[Edad],"&gt;=1",BASE[Edad],"&lt;=4"),COUNTIFS(BASE[Cod.Establecimiento],$O$3,BASE[CODCIE104],ENOS_G3_IRANN_1_4_AÑOS[[#This Row],[CIE-10]],BASE[Edad],"&gt;=1",BASE[Edad],"&lt;=4"))</f>
        <v>0</v>
      </c>
      <c r="AC108" s="8">
        <f>IF($O$3="(Todas)",COUNTIFS(BASE[CODCIE106],ENOS_G3_IRANN_1_4_AÑOS[[#This Row],[CIE-10]],BASE[Edad],"&gt;=1",BASE[Edad],"&lt;=4"),COUNTIFS(BASE[Cod.Establecimiento],$O$3,BASE[CODCIE106],ENOS_G3_IRANN_1_4_AÑOS[[#This Row],[CIE-10]],BASE[Edad],"&gt;=1",BASE[Edad],"&lt;=4"))</f>
        <v>0</v>
      </c>
      <c r="AD108" s="8">
        <f>IF($O$3="(Todas)",COUNTIFS(BASE[CODCIE108],ENOS_G3_IRANN_1_4_AÑOS[[#This Row],[CIE-10]],BASE[Edad],"&gt;=1",BASE[Edad],"&lt;=4"),COUNTIFS(BASE[Cod.Establecimiento],$O$3,BASE[CODCIE108],ENOS_G3_IRANN_1_4_AÑOS[[#This Row],[CIE-10]],BASE[Edad],"&gt;=1",BASE[Edad],"&lt;=4"))</f>
        <v>0</v>
      </c>
      <c r="AE108" s="8">
        <f>IF($O$3="(Todas)",COUNTIFS(BASE[CODCIE1010],ENOS_G3_IRANN_1_4_AÑOS[[#This Row],[CIE-10]],BASE[Edad],"&gt;=1",BASE[Edad],"&lt;=4"),COUNTIFS(BASE[Cod.Establecimiento],$O$3,BASE[CODCIE1010],ENOS_G3_IRANN_1_4_AÑOS[[#This Row],[CIE-10]],BASE[Edad],"&gt;=1",BASE[Edad],"&lt;=4"))</f>
        <v>0</v>
      </c>
      <c r="AF108" s="9">
        <f>SUM(ENOS_G3_IRANN_1_4_AÑOS[[#This Row],[D1]:[D6]])</f>
        <v>0</v>
      </c>
    </row>
    <row r="109" spans="1:32" ht="18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32" t="s">
        <v>310</v>
      </c>
      <c r="Q109" s="8">
        <f>IF($O$3="(Todas)",COUNTIFS(BASE[CODCIE10],ENOS_G3_IRANN_MENOR_QUE_1_AÑO[[#This Row],[CIE-10]],BASE[Edad],"&lt;1"),COUNTIFS(BASE[Cod.Establecimiento],$O$3,BASE[CODCIE10],ENOS_G3_IRANN_MENOR_QUE_1_AÑO[[#This Row],[CIE-10]],BASE[Edad],"&lt;1"))</f>
        <v>0</v>
      </c>
      <c r="R109" s="8">
        <f>IF($O$3="(Todas)",COUNTIFS(BASE[CODCIE102],ENOS_G3_IRANN_MENOR_QUE_1_AÑO[[#This Row],[CIE-10]],BASE[Edad],"&lt;1"),COUNTIFS(BASE[Cod.Establecimiento],$O$3,BASE[CODCIE102],ENOS_G3_IRANN_MENOR_QUE_1_AÑO[[#This Row],[CIE-10]],BASE[Edad],"&lt;1"))</f>
        <v>0</v>
      </c>
      <c r="S109" s="8">
        <f>IF($O$3="(Todas)",COUNTIFS(BASE[CODCIE104],ENOS_G3_IRANN_MENOR_QUE_1_AÑO[[#This Row],[CIE-10]],BASE[Edad],"&lt;1"),COUNTIFS(BASE[Cod.Establecimiento],$O$3,BASE[CODCIE104],ENOS_G3_IRANN_MENOR_QUE_1_AÑO[[#This Row],[CIE-10]],BASE[Edad],"&lt;1"))</f>
        <v>0</v>
      </c>
      <c r="T109" s="8">
        <f>IF($O$3="(Todas)",COUNTIFS(BASE[CODCIE106],ENOS_G3_IRANN_MENOR_QUE_1_AÑO[[#This Row],[CIE-10]],BASE[Edad],"&lt;1"),COUNTIFS(BASE[Cod.Establecimiento],$O$3,BASE[CODCIE106],ENOS_G3_IRANN_MENOR_QUE_1_AÑO[[#This Row],[CIE-10]],BASE[Edad],"&lt;1"))</f>
        <v>0</v>
      </c>
      <c r="U109" s="8">
        <f>IF($O$3="(Todas)",COUNTIFS(BASE[CODCIE108],ENOS_G3_IRANN_MENOR_QUE_1_AÑO[[#This Row],[CIE-10]],BASE[Edad],"&lt;1"),COUNTIFS(BASE[Cod.Establecimiento],$O$3,BASE[CODCIE108],ENOS_G3_IRANN_MENOR_QUE_1_AÑO[[#This Row],[CIE-10]],BASE[Edad],"&lt;1"))</f>
        <v>0</v>
      </c>
      <c r="V109" s="8">
        <f>IF($O$3="(Todas)",COUNTIFS(BASE[CODCIE1010],ENOS_G3_IRANN_MENOR_QUE_1_AÑO[[#This Row],[CIE-10]],BASE[Edad],"&lt;1"),COUNTIFS(BASE[Cod.Establecimiento],$O$3,BASE[CODCIE1010],ENOS_G3_IRANN_MENOR_QUE_1_AÑO[[#This Row],[CIE-10]],BASE[Edad],"&lt;1"))</f>
        <v>0</v>
      </c>
      <c r="W109" s="9">
        <f>SUM(ENOS_G3_IRANN_MENOR_QUE_1_AÑO[[#This Row],[D1]:[D6]])</f>
        <v>0</v>
      </c>
      <c r="X109" s="2"/>
      <c r="Y109" s="32" t="s">
        <v>310</v>
      </c>
      <c r="Z109" s="8">
        <f>IF($O$3="(Todas)",COUNTIFS(BASE[CODCIE10],ENOS_G3_IRANN_1_4_AÑOS[[#This Row],[CIE-10]],BASE[Edad],"&gt;=1",BASE[Edad],"&lt;=4"),COUNTIFS(BASE[Cod.Establecimiento],$O$3,BASE[CODCIE10],ENOS_G3_IRANN_1_4_AÑOS[[#This Row],[CIE-10]],BASE[Edad],"&gt;=1",BASE[Edad],"&lt;=4"))</f>
        <v>0</v>
      </c>
      <c r="AA109" s="8">
        <f>IF($O$3="(Todas)",COUNTIFS(BASE[CODCIE102],ENOS_G3_IRANN_1_4_AÑOS[[#This Row],[CIE-10]],BASE[Edad],"&gt;=1",BASE[Edad],"&lt;=4"),COUNTIFS(BASE[Cod.Establecimiento],$O$3,BASE[CODCIE102],ENOS_G3_IRANN_1_4_AÑOS[[#This Row],[CIE-10]],BASE[Edad],"&gt;=1",BASE[Edad],"&lt;=4"))</f>
        <v>0</v>
      </c>
      <c r="AB109" s="8">
        <f>IF($O$3="(Todas)",COUNTIFS(BASE[CODCIE104],ENOS_G3_IRANN_1_4_AÑOS[[#This Row],[CIE-10]],BASE[Edad],"&gt;=1",BASE[Edad],"&lt;=4"),COUNTIFS(BASE[Cod.Establecimiento],$O$3,BASE[CODCIE104],ENOS_G3_IRANN_1_4_AÑOS[[#This Row],[CIE-10]],BASE[Edad],"&gt;=1",BASE[Edad],"&lt;=4"))</f>
        <v>0</v>
      </c>
      <c r="AC109" s="8">
        <f>IF($O$3="(Todas)",COUNTIFS(BASE[CODCIE106],ENOS_G3_IRANN_1_4_AÑOS[[#This Row],[CIE-10]],BASE[Edad],"&gt;=1",BASE[Edad],"&lt;=4"),COUNTIFS(BASE[Cod.Establecimiento],$O$3,BASE[CODCIE106],ENOS_G3_IRANN_1_4_AÑOS[[#This Row],[CIE-10]],BASE[Edad],"&gt;=1",BASE[Edad],"&lt;=4"))</f>
        <v>0</v>
      </c>
      <c r="AD109" s="8">
        <f>IF($O$3="(Todas)",COUNTIFS(BASE[CODCIE108],ENOS_G3_IRANN_1_4_AÑOS[[#This Row],[CIE-10]],BASE[Edad],"&gt;=1",BASE[Edad],"&lt;=4"),COUNTIFS(BASE[Cod.Establecimiento],$O$3,BASE[CODCIE108],ENOS_G3_IRANN_1_4_AÑOS[[#This Row],[CIE-10]],BASE[Edad],"&gt;=1",BASE[Edad],"&lt;=4"))</f>
        <v>0</v>
      </c>
      <c r="AE109" s="8">
        <f>IF($O$3="(Todas)",COUNTIFS(BASE[CODCIE1010],ENOS_G3_IRANN_1_4_AÑOS[[#This Row],[CIE-10]],BASE[Edad],"&gt;=1",BASE[Edad],"&lt;=4"),COUNTIFS(BASE[Cod.Establecimiento],$O$3,BASE[CODCIE1010],ENOS_G3_IRANN_1_4_AÑOS[[#This Row],[CIE-10]],BASE[Edad],"&gt;=1",BASE[Edad],"&lt;=4"))</f>
        <v>0</v>
      </c>
      <c r="AF109" s="9">
        <f>SUM(ENOS_G3_IRANN_1_4_AÑOS[[#This Row],[D1]:[D6]])</f>
        <v>0</v>
      </c>
    </row>
    <row r="110" spans="1:32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32" t="s">
        <v>311</v>
      </c>
      <c r="Q110" s="8">
        <f>IF($O$3="(Todas)",COUNTIFS(BASE[CODCIE10],ENOS_G3_IRANN_MENOR_QUE_1_AÑO[[#This Row],[CIE-10]],BASE[Edad],"&lt;1"),COUNTIFS(BASE[Cod.Establecimiento],$O$3,BASE[CODCIE10],ENOS_G3_IRANN_MENOR_QUE_1_AÑO[[#This Row],[CIE-10]],BASE[Edad],"&lt;1"))</f>
        <v>0</v>
      </c>
      <c r="R110" s="8">
        <f>IF($O$3="(Todas)",COUNTIFS(BASE[CODCIE102],ENOS_G3_IRANN_MENOR_QUE_1_AÑO[[#This Row],[CIE-10]],BASE[Edad],"&lt;1"),COUNTIFS(BASE[Cod.Establecimiento],$O$3,BASE[CODCIE102],ENOS_G3_IRANN_MENOR_QUE_1_AÑO[[#This Row],[CIE-10]],BASE[Edad],"&lt;1"))</f>
        <v>0</v>
      </c>
      <c r="S110" s="8">
        <f>IF($O$3="(Todas)",COUNTIFS(BASE[CODCIE104],ENOS_G3_IRANN_MENOR_QUE_1_AÑO[[#This Row],[CIE-10]],BASE[Edad],"&lt;1"),COUNTIFS(BASE[Cod.Establecimiento],$O$3,BASE[CODCIE104],ENOS_G3_IRANN_MENOR_QUE_1_AÑO[[#This Row],[CIE-10]],BASE[Edad],"&lt;1"))</f>
        <v>0</v>
      </c>
      <c r="T110" s="8">
        <f>IF($O$3="(Todas)",COUNTIFS(BASE[CODCIE106],ENOS_G3_IRANN_MENOR_QUE_1_AÑO[[#This Row],[CIE-10]],BASE[Edad],"&lt;1"),COUNTIFS(BASE[Cod.Establecimiento],$O$3,BASE[CODCIE106],ENOS_G3_IRANN_MENOR_QUE_1_AÑO[[#This Row],[CIE-10]],BASE[Edad],"&lt;1"))</f>
        <v>0</v>
      </c>
      <c r="U110" s="8">
        <f>IF($O$3="(Todas)",COUNTIFS(BASE[CODCIE108],ENOS_G3_IRANN_MENOR_QUE_1_AÑO[[#This Row],[CIE-10]],BASE[Edad],"&lt;1"),COUNTIFS(BASE[Cod.Establecimiento],$O$3,BASE[CODCIE108],ENOS_G3_IRANN_MENOR_QUE_1_AÑO[[#This Row],[CIE-10]],BASE[Edad],"&lt;1"))</f>
        <v>0</v>
      </c>
      <c r="V110" s="8">
        <f>IF($O$3="(Todas)",COUNTIFS(BASE[CODCIE1010],ENOS_G3_IRANN_MENOR_QUE_1_AÑO[[#This Row],[CIE-10]],BASE[Edad],"&lt;1"),COUNTIFS(BASE[Cod.Establecimiento],$O$3,BASE[CODCIE1010],ENOS_G3_IRANN_MENOR_QUE_1_AÑO[[#This Row],[CIE-10]],BASE[Edad],"&lt;1"))</f>
        <v>0</v>
      </c>
      <c r="W110" s="9">
        <f>SUM(ENOS_G3_IRANN_MENOR_QUE_1_AÑO[[#This Row],[D1]:[D6]])</f>
        <v>0</v>
      </c>
      <c r="X110" s="2"/>
      <c r="Y110" s="32" t="s">
        <v>311</v>
      </c>
      <c r="Z110" s="8">
        <f>IF($O$3="(Todas)",COUNTIFS(BASE[CODCIE10],ENOS_G3_IRANN_1_4_AÑOS[[#This Row],[CIE-10]],BASE[Edad],"&gt;=1",BASE[Edad],"&lt;=4"),COUNTIFS(BASE[Cod.Establecimiento],$O$3,BASE[CODCIE10],ENOS_G3_IRANN_1_4_AÑOS[[#This Row],[CIE-10]],BASE[Edad],"&gt;=1",BASE[Edad],"&lt;=4"))</f>
        <v>0</v>
      </c>
      <c r="AA110" s="8">
        <f>IF($O$3="(Todas)",COUNTIFS(BASE[CODCIE102],ENOS_G3_IRANN_1_4_AÑOS[[#This Row],[CIE-10]],BASE[Edad],"&gt;=1",BASE[Edad],"&lt;=4"),COUNTIFS(BASE[Cod.Establecimiento],$O$3,BASE[CODCIE102],ENOS_G3_IRANN_1_4_AÑOS[[#This Row],[CIE-10]],BASE[Edad],"&gt;=1",BASE[Edad],"&lt;=4"))</f>
        <v>0</v>
      </c>
      <c r="AB110" s="8">
        <f>IF($O$3="(Todas)",COUNTIFS(BASE[CODCIE104],ENOS_G3_IRANN_1_4_AÑOS[[#This Row],[CIE-10]],BASE[Edad],"&gt;=1",BASE[Edad],"&lt;=4"),COUNTIFS(BASE[Cod.Establecimiento],$O$3,BASE[CODCIE104],ENOS_G3_IRANN_1_4_AÑOS[[#This Row],[CIE-10]],BASE[Edad],"&gt;=1",BASE[Edad],"&lt;=4"))</f>
        <v>0</v>
      </c>
      <c r="AC110" s="8">
        <f>IF($O$3="(Todas)",COUNTIFS(BASE[CODCIE106],ENOS_G3_IRANN_1_4_AÑOS[[#This Row],[CIE-10]],BASE[Edad],"&gt;=1",BASE[Edad],"&lt;=4"),COUNTIFS(BASE[Cod.Establecimiento],$O$3,BASE[CODCIE106],ENOS_G3_IRANN_1_4_AÑOS[[#This Row],[CIE-10]],BASE[Edad],"&gt;=1",BASE[Edad],"&lt;=4"))</f>
        <v>0</v>
      </c>
      <c r="AD110" s="8">
        <f>IF($O$3="(Todas)",COUNTIFS(BASE[CODCIE108],ENOS_G3_IRANN_1_4_AÑOS[[#This Row],[CIE-10]],BASE[Edad],"&gt;=1",BASE[Edad],"&lt;=4"),COUNTIFS(BASE[Cod.Establecimiento],$O$3,BASE[CODCIE108],ENOS_G3_IRANN_1_4_AÑOS[[#This Row],[CIE-10]],BASE[Edad],"&gt;=1",BASE[Edad],"&lt;=4"))</f>
        <v>0</v>
      </c>
      <c r="AE110" s="8">
        <f>IF($O$3="(Todas)",COUNTIFS(BASE[CODCIE1010],ENOS_G3_IRANN_1_4_AÑOS[[#This Row],[CIE-10]],BASE[Edad],"&gt;=1",BASE[Edad],"&lt;=4"),COUNTIFS(BASE[Cod.Establecimiento],$O$3,BASE[CODCIE1010],ENOS_G3_IRANN_1_4_AÑOS[[#This Row],[CIE-10]],BASE[Edad],"&gt;=1",BASE[Edad],"&lt;=4"))</f>
        <v>0</v>
      </c>
      <c r="AF110" s="9">
        <f>SUM(ENOS_G3_IRANN_1_4_AÑOS[[#This Row],[D1]:[D6]])</f>
        <v>0</v>
      </c>
    </row>
    <row r="111" spans="1:3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32" t="s">
        <v>312</v>
      </c>
      <c r="Q111" s="8">
        <f>IF($O$3="(Todas)",COUNTIFS(BASE[CODCIE10],ENOS_G3_IRANN_MENOR_QUE_1_AÑO[[#This Row],[CIE-10]],BASE[Edad],"&lt;1"),COUNTIFS(BASE[Cod.Establecimiento],$O$3,BASE[CODCIE10],ENOS_G3_IRANN_MENOR_QUE_1_AÑO[[#This Row],[CIE-10]],BASE[Edad],"&lt;1"))</f>
        <v>0</v>
      </c>
      <c r="R111" s="8">
        <f>IF($O$3="(Todas)",COUNTIFS(BASE[CODCIE102],ENOS_G3_IRANN_MENOR_QUE_1_AÑO[[#This Row],[CIE-10]],BASE[Edad],"&lt;1"),COUNTIFS(BASE[Cod.Establecimiento],$O$3,BASE[CODCIE102],ENOS_G3_IRANN_MENOR_QUE_1_AÑO[[#This Row],[CIE-10]],BASE[Edad],"&lt;1"))</f>
        <v>0</v>
      </c>
      <c r="S111" s="8">
        <f>IF($O$3="(Todas)",COUNTIFS(BASE[CODCIE104],ENOS_G3_IRANN_MENOR_QUE_1_AÑO[[#This Row],[CIE-10]],BASE[Edad],"&lt;1"),COUNTIFS(BASE[Cod.Establecimiento],$O$3,BASE[CODCIE104],ENOS_G3_IRANN_MENOR_QUE_1_AÑO[[#This Row],[CIE-10]],BASE[Edad],"&lt;1"))</f>
        <v>0</v>
      </c>
      <c r="T111" s="8">
        <f>IF($O$3="(Todas)",COUNTIFS(BASE[CODCIE106],ENOS_G3_IRANN_MENOR_QUE_1_AÑO[[#This Row],[CIE-10]],BASE[Edad],"&lt;1"),COUNTIFS(BASE[Cod.Establecimiento],$O$3,BASE[CODCIE106],ENOS_G3_IRANN_MENOR_QUE_1_AÑO[[#This Row],[CIE-10]],BASE[Edad],"&lt;1"))</f>
        <v>0</v>
      </c>
      <c r="U111" s="8">
        <f>IF($O$3="(Todas)",COUNTIFS(BASE[CODCIE108],ENOS_G3_IRANN_MENOR_QUE_1_AÑO[[#This Row],[CIE-10]],BASE[Edad],"&lt;1"),COUNTIFS(BASE[Cod.Establecimiento],$O$3,BASE[CODCIE108],ENOS_G3_IRANN_MENOR_QUE_1_AÑO[[#This Row],[CIE-10]],BASE[Edad],"&lt;1"))</f>
        <v>0</v>
      </c>
      <c r="V111" s="8">
        <f>IF($O$3="(Todas)",COUNTIFS(BASE[CODCIE1010],ENOS_G3_IRANN_MENOR_QUE_1_AÑO[[#This Row],[CIE-10]],BASE[Edad],"&lt;1"),COUNTIFS(BASE[Cod.Establecimiento],$O$3,BASE[CODCIE1010],ENOS_G3_IRANN_MENOR_QUE_1_AÑO[[#This Row],[CIE-10]],BASE[Edad],"&lt;1"))</f>
        <v>0</v>
      </c>
      <c r="W111" s="9">
        <f>SUM(ENOS_G3_IRANN_MENOR_QUE_1_AÑO[[#This Row],[D1]:[D6]])</f>
        <v>0</v>
      </c>
      <c r="X111" s="2"/>
      <c r="Y111" s="32" t="s">
        <v>312</v>
      </c>
      <c r="Z111" s="8">
        <f>IF($O$3="(Todas)",COUNTIFS(BASE[CODCIE10],ENOS_G3_IRANN_1_4_AÑOS[[#This Row],[CIE-10]],BASE[Edad],"&gt;=1",BASE[Edad],"&lt;=4"),COUNTIFS(BASE[Cod.Establecimiento],$O$3,BASE[CODCIE10],ENOS_G3_IRANN_1_4_AÑOS[[#This Row],[CIE-10]],BASE[Edad],"&gt;=1",BASE[Edad],"&lt;=4"))</f>
        <v>0</v>
      </c>
      <c r="AA111" s="8">
        <f>IF($O$3="(Todas)",COUNTIFS(BASE[CODCIE102],ENOS_G3_IRANN_1_4_AÑOS[[#This Row],[CIE-10]],BASE[Edad],"&gt;=1",BASE[Edad],"&lt;=4"),COUNTIFS(BASE[Cod.Establecimiento],$O$3,BASE[CODCIE102],ENOS_G3_IRANN_1_4_AÑOS[[#This Row],[CIE-10]],BASE[Edad],"&gt;=1",BASE[Edad],"&lt;=4"))</f>
        <v>0</v>
      </c>
      <c r="AB111" s="8">
        <f>IF($O$3="(Todas)",COUNTIFS(BASE[CODCIE104],ENOS_G3_IRANN_1_4_AÑOS[[#This Row],[CIE-10]],BASE[Edad],"&gt;=1",BASE[Edad],"&lt;=4"),COUNTIFS(BASE[Cod.Establecimiento],$O$3,BASE[CODCIE104],ENOS_G3_IRANN_1_4_AÑOS[[#This Row],[CIE-10]],BASE[Edad],"&gt;=1",BASE[Edad],"&lt;=4"))</f>
        <v>0</v>
      </c>
      <c r="AC111" s="8">
        <f>IF($O$3="(Todas)",COUNTIFS(BASE[CODCIE106],ENOS_G3_IRANN_1_4_AÑOS[[#This Row],[CIE-10]],BASE[Edad],"&gt;=1",BASE[Edad],"&lt;=4"),COUNTIFS(BASE[Cod.Establecimiento],$O$3,BASE[CODCIE106],ENOS_G3_IRANN_1_4_AÑOS[[#This Row],[CIE-10]],BASE[Edad],"&gt;=1",BASE[Edad],"&lt;=4"))</f>
        <v>0</v>
      </c>
      <c r="AD111" s="8">
        <f>IF($O$3="(Todas)",COUNTIFS(BASE[CODCIE108],ENOS_G3_IRANN_1_4_AÑOS[[#This Row],[CIE-10]],BASE[Edad],"&gt;=1",BASE[Edad],"&lt;=4"),COUNTIFS(BASE[Cod.Establecimiento],$O$3,BASE[CODCIE108],ENOS_G3_IRANN_1_4_AÑOS[[#This Row],[CIE-10]],BASE[Edad],"&gt;=1",BASE[Edad],"&lt;=4"))</f>
        <v>0</v>
      </c>
      <c r="AE111" s="8">
        <f>IF($O$3="(Todas)",COUNTIFS(BASE[CODCIE1010],ENOS_G3_IRANN_1_4_AÑOS[[#This Row],[CIE-10]],BASE[Edad],"&gt;=1",BASE[Edad],"&lt;=4"),COUNTIFS(BASE[Cod.Establecimiento],$O$3,BASE[CODCIE1010],ENOS_G3_IRANN_1_4_AÑOS[[#This Row],[CIE-10]],BASE[Edad],"&gt;=1",BASE[Edad],"&lt;=4"))</f>
        <v>0</v>
      </c>
      <c r="AF111" s="9">
        <f>SUM(ENOS_G3_IRANN_1_4_AÑOS[[#This Row],[D1]:[D6]])</f>
        <v>0</v>
      </c>
    </row>
    <row r="112" spans="1:3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spans="1:32" ht="18" customHeight="1" thickBo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80" t="s">
        <v>280</v>
      </c>
      <c r="Q113" s="81"/>
      <c r="R113" s="81"/>
      <c r="S113" s="81"/>
      <c r="T113" s="81"/>
      <c r="U113" s="81"/>
      <c r="V113" s="81"/>
      <c r="W113" s="81"/>
      <c r="X113" s="2"/>
      <c r="Y113" s="80" t="s">
        <v>281</v>
      </c>
      <c r="Z113" s="81"/>
      <c r="AA113" s="81"/>
      <c r="AB113" s="81"/>
      <c r="AC113" s="81"/>
      <c r="AD113" s="81"/>
      <c r="AE113" s="81"/>
      <c r="AF113" s="81"/>
    </row>
    <row r="114" spans="1:32" ht="15.75" customHeight="1" thickTop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 t="s">
        <v>93</v>
      </c>
      <c r="Q114" s="8" t="s">
        <v>94</v>
      </c>
      <c r="R114" s="8" t="s">
        <v>95</v>
      </c>
      <c r="S114" s="8" t="s">
        <v>96</v>
      </c>
      <c r="T114" s="8" t="s">
        <v>97</v>
      </c>
      <c r="U114" s="8" t="s">
        <v>98</v>
      </c>
      <c r="V114" s="8" t="s">
        <v>99</v>
      </c>
      <c r="W114" s="10" t="s">
        <v>100</v>
      </c>
      <c r="X114" s="2"/>
      <c r="Y114" s="2" t="s">
        <v>93</v>
      </c>
      <c r="Z114" s="8" t="s">
        <v>94</v>
      </c>
      <c r="AA114" s="8" t="s">
        <v>95</v>
      </c>
      <c r="AB114" s="8" t="s">
        <v>96</v>
      </c>
      <c r="AC114" s="8" t="s">
        <v>97</v>
      </c>
      <c r="AD114" s="8" t="s">
        <v>98</v>
      </c>
      <c r="AE114" s="8" t="s">
        <v>99</v>
      </c>
      <c r="AF114" s="10" t="s">
        <v>100</v>
      </c>
    </row>
    <row r="115" spans="1:3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32" t="s">
        <v>304</v>
      </c>
      <c r="Q115" s="8">
        <f>IF($O$3="(Todas)",COUNTIFS(BASE[CODCIE10],ENOS_G3_IRANN_5_19_AÑOS[[#This Row],[CIE-10]],BASE[Edad],"&gt;=5",BASE[Edad],"&lt;=19"),COUNTIFS(BASE[Cod.Establecimiento],$O$3,BASE[CODCIE10],ENOS_G3_IRANN_5_19_AÑOS[[#This Row],[CIE-10]],BASE[Edad],"&gt;=5",BASE[Edad],"&lt;=19"))</f>
        <v>0</v>
      </c>
      <c r="R115" s="8">
        <f>IF($O$3="(Todas)",COUNTIFS(BASE[CODCIE102],ENOS_G3_IRANN_5_19_AÑOS[[#This Row],[CIE-10]],BASE[Edad],"&gt;=5",BASE[Edad],"&lt;=19"),COUNTIFS(BASE[Cod.Establecimiento],$O$3,BASE[CODCIE102],ENOS_G3_IRANN_5_19_AÑOS[[#This Row],[CIE-10]],BASE[Edad],"&gt;=5",BASE[Edad],"&lt;=19"))</f>
        <v>0</v>
      </c>
      <c r="S115" s="8">
        <f>IF($O$3="(Todas)",COUNTIFS(BASE[CODCIE104],ENOS_G3_IRANN_5_19_AÑOS[[#This Row],[CIE-10]],BASE[Edad],"&gt;=5",BASE[Edad],"&lt;=19"),COUNTIFS(BASE[Cod.Establecimiento],$O$3,BASE[CODCIE104],ENOS_G3_IRANN_5_19_AÑOS[[#This Row],[CIE-10]],BASE[Edad],"&gt;=5",BASE[Edad],"&lt;=19"))</f>
        <v>0</v>
      </c>
      <c r="T115" s="8">
        <f>IF($O$3="(Todas)",COUNTIFS(BASE[CODCIE106],ENOS_G3_IRANN_5_19_AÑOS[[#This Row],[CIE-10]],BASE[Edad],"&gt;=5",BASE[Edad],"&lt;=19"),COUNTIFS(BASE[Cod.Establecimiento],$O$3,BASE[CODCIE106],ENOS_G3_IRANN_5_19_AÑOS[[#This Row],[CIE-10]],BASE[Edad],"&gt;=5",BASE[Edad],"&lt;=19"))</f>
        <v>0</v>
      </c>
      <c r="U115" s="8">
        <f>IF($O$3="(Todas)",COUNTIFS(BASE[CODCIE108],ENOS_G3_IRANN_5_19_AÑOS[[#This Row],[CIE-10]],BASE[Edad],"&gt;=5",BASE[Edad],"&lt;=19"),COUNTIFS(BASE[Cod.Establecimiento],$O$3,BASE[CODCIE108],ENOS_G3_IRANN_5_19_AÑOS[[#This Row],[CIE-10]],BASE[Edad],"&gt;=5",BASE[Edad],"&lt;=19"))</f>
        <v>0</v>
      </c>
      <c r="V115" s="8">
        <f>IF($O$3="(Todas)",COUNTIFS(BASE[CODCIE1010],ENOS_G3_IRANN_5_19_AÑOS[[#This Row],[CIE-10]],BASE[Edad],"&gt;=5",BASE[Edad],"&lt;=19"),COUNTIFS(BASE[Cod.Establecimiento],$O$3,BASE[CODCIE1010],ENOS_G3_IRANN_5_19_AÑOS[[#This Row],[CIE-10]],BASE[Edad],"&gt;=5",BASE[Edad],"&lt;=19"))</f>
        <v>0</v>
      </c>
      <c r="W115" s="9">
        <f>SUM(ENOS_G3_IRANN_5_19_AÑOS[[#This Row],[D1]:[D6]])</f>
        <v>0</v>
      </c>
      <c r="X115" s="2"/>
      <c r="Y115" s="32" t="s">
        <v>304</v>
      </c>
      <c r="Z115" s="8">
        <f>IF($O$3="(Todas)",COUNTIFS(BASE[CODCIE10],ENOS_G3_IRANN_20_59_AÑOS[[#This Row],[CIE-10]],BASE[Edad],"&gt;=20",BASE[Edad],"&lt;=59"),COUNTIFS(BASE[Cod.Establecimiento],$O$3,BASE[CODCIE10],ENOS_G3_IRANN_20_59_AÑOS[[#This Row],[CIE-10]],BASE[Edad],"&gt;=20",BASE[Edad],"&lt;=59"))</f>
        <v>0</v>
      </c>
      <c r="AA115" s="8">
        <f>IF($O$3="(Todas)",COUNTIFS(BASE[CODCIE102],ENOS_G3_IRANN_20_59_AÑOS[[#This Row],[CIE-10]],BASE[Edad],"&gt;=20",BASE[Edad],"&lt;=59"),COUNTIFS(BASE[Cod.Establecimiento],$O$3,BASE[CODCIE102],ENOS_G3_IRANN_20_59_AÑOS[[#This Row],[CIE-10]],BASE[Edad],"&gt;=20",BASE[Edad],"&lt;=59"))</f>
        <v>0</v>
      </c>
      <c r="AB115" s="8">
        <f>IF($O$3="(Todas)",COUNTIFS(BASE[CODCIE104],ENOS_G3_IRANN_20_59_AÑOS[[#This Row],[CIE-10]],BASE[Edad],"&gt;=20",BASE[Edad],"&lt;=59"),COUNTIFS(BASE[Cod.Establecimiento],$O$3,BASE[CODCIE104],ENOS_G3_IRANN_20_59_AÑOS[[#This Row],[CIE-10]],BASE[Edad],"&gt;=20",BASE[Edad],"&lt;=59"))</f>
        <v>0</v>
      </c>
      <c r="AC115" s="8">
        <f>IF($O$3="(Todas)",COUNTIFS(BASE[CODCIE106],ENOS_G3_IRANN_20_59_AÑOS[[#This Row],[CIE-10]],BASE[Edad],"&gt;=20",BASE[Edad],"&lt;=59"),COUNTIFS(BASE[Cod.Establecimiento],$O$3,BASE[CODCIE106],ENOS_G3_IRANN_20_59_AÑOS[[#This Row],[CIE-10]],BASE[Edad],"&gt;=20",BASE[Edad],"&lt;=59"))</f>
        <v>0</v>
      </c>
      <c r="AD115" s="8">
        <f>IF($O$3="(Todas)",COUNTIFS(BASE[CODCIE108],ENOS_G3_IRANN_20_59_AÑOS[[#This Row],[CIE-10]],BASE[Edad],"&gt;=20",BASE[Edad],"&lt;=59"),COUNTIFS(BASE[Cod.Establecimiento],$O$3,BASE[CODCIE108],ENOS_G3_IRANN_20_59_AÑOS[[#This Row],[CIE-10]],BASE[Edad],"&gt;=20",BASE[Edad],"&lt;=59"))</f>
        <v>0</v>
      </c>
      <c r="AE115" s="8">
        <f>IF($O$3="(Todas)",COUNTIFS(BASE[CODCIE1010],ENOS_G3_IRANN_20_59_AÑOS[[#This Row],[CIE-10]],BASE[Edad],"&gt;=20",BASE[Edad],"&lt;=59"),COUNTIFS(BASE[Cod.Establecimiento],$O$3,BASE[CODCIE1010],ENOS_G3_IRANN_20_59_AÑOS[[#This Row],[CIE-10]],BASE[Edad],"&gt;=20",BASE[Edad],"&lt;=59"))</f>
        <v>0</v>
      </c>
      <c r="AF115" s="9">
        <f>SUM(ENOS_G3_IRANN_20_59_AÑOS[[#This Row],[D1]:[D6]])</f>
        <v>0</v>
      </c>
    </row>
    <row r="116" spans="1:3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32" t="s">
        <v>305</v>
      </c>
      <c r="Q116" s="8">
        <f>IF($O$3="(Todas)",COUNTIFS(BASE[CODCIE10],ENOS_G3_IRANN_5_19_AÑOS[[#This Row],[CIE-10]],BASE[Edad],"&gt;=5",BASE[Edad],"&lt;=19"),COUNTIFS(BASE[Cod.Establecimiento],$O$3,BASE[CODCIE10],ENOS_G3_IRANN_5_19_AÑOS[[#This Row],[CIE-10]],BASE[Edad],"&gt;=5",BASE[Edad],"&lt;=19"))</f>
        <v>0</v>
      </c>
      <c r="R116" s="8">
        <f>IF($O$3="(Todas)",COUNTIFS(BASE[CODCIE102],ENOS_G3_IRANN_5_19_AÑOS[[#This Row],[CIE-10]],BASE[Edad],"&gt;=5",BASE[Edad],"&lt;=19"),COUNTIFS(BASE[Cod.Establecimiento],$O$3,BASE[CODCIE102],ENOS_G3_IRANN_5_19_AÑOS[[#This Row],[CIE-10]],BASE[Edad],"&gt;=5",BASE[Edad],"&lt;=19"))</f>
        <v>0</v>
      </c>
      <c r="S116" s="8">
        <f>IF($O$3="(Todas)",COUNTIFS(BASE[CODCIE104],ENOS_G3_IRANN_5_19_AÑOS[[#This Row],[CIE-10]],BASE[Edad],"&gt;=5",BASE[Edad],"&lt;=19"),COUNTIFS(BASE[Cod.Establecimiento],$O$3,BASE[CODCIE104],ENOS_G3_IRANN_5_19_AÑOS[[#This Row],[CIE-10]],BASE[Edad],"&gt;=5",BASE[Edad],"&lt;=19"))</f>
        <v>0</v>
      </c>
      <c r="T116" s="8">
        <f>IF($O$3="(Todas)",COUNTIFS(BASE[CODCIE106],ENOS_G3_IRANN_5_19_AÑOS[[#This Row],[CIE-10]],BASE[Edad],"&gt;=5",BASE[Edad],"&lt;=19"),COUNTIFS(BASE[Cod.Establecimiento],$O$3,BASE[CODCIE106],ENOS_G3_IRANN_5_19_AÑOS[[#This Row],[CIE-10]],BASE[Edad],"&gt;=5",BASE[Edad],"&lt;=19"))</f>
        <v>0</v>
      </c>
      <c r="U116" s="8">
        <f>IF($O$3="(Todas)",COUNTIFS(BASE[CODCIE108],ENOS_G3_IRANN_5_19_AÑOS[[#This Row],[CIE-10]],BASE[Edad],"&gt;=5",BASE[Edad],"&lt;=19"),COUNTIFS(BASE[Cod.Establecimiento],$O$3,BASE[CODCIE108],ENOS_G3_IRANN_5_19_AÑOS[[#This Row],[CIE-10]],BASE[Edad],"&gt;=5",BASE[Edad],"&lt;=19"))</f>
        <v>0</v>
      </c>
      <c r="V116" s="8">
        <f>IF($O$3="(Todas)",COUNTIFS(BASE[CODCIE1010],ENOS_G3_IRANN_5_19_AÑOS[[#This Row],[CIE-10]],BASE[Edad],"&gt;=5",BASE[Edad],"&lt;=19"),COUNTIFS(BASE[Cod.Establecimiento],$O$3,BASE[CODCIE1010],ENOS_G3_IRANN_5_19_AÑOS[[#This Row],[CIE-10]],BASE[Edad],"&gt;=5",BASE[Edad],"&lt;=19"))</f>
        <v>0</v>
      </c>
      <c r="W116" s="9">
        <f>SUM(ENOS_G3_IRANN_5_19_AÑOS[[#This Row],[D1]:[D6]])</f>
        <v>0</v>
      </c>
      <c r="X116" s="2"/>
      <c r="Y116" s="32" t="s">
        <v>305</v>
      </c>
      <c r="Z116" s="8">
        <f>IF($O$3="(Todas)",COUNTIFS(BASE[CODCIE10],ENOS_G3_IRANN_20_59_AÑOS[[#This Row],[CIE-10]],BASE[Edad],"&gt;=20",BASE[Edad],"&lt;=59"),COUNTIFS(BASE[Cod.Establecimiento],$O$3,BASE[CODCIE10],ENOS_G3_IRANN_20_59_AÑOS[[#This Row],[CIE-10]],BASE[Edad],"&gt;=20",BASE[Edad],"&lt;=59"))</f>
        <v>0</v>
      </c>
      <c r="AA116" s="8">
        <f>IF($O$3="(Todas)",COUNTIFS(BASE[CODCIE102],ENOS_G3_IRANN_20_59_AÑOS[[#This Row],[CIE-10]],BASE[Edad],"&gt;=20",BASE[Edad],"&lt;=59"),COUNTIFS(BASE[Cod.Establecimiento],$O$3,BASE[CODCIE102],ENOS_G3_IRANN_20_59_AÑOS[[#This Row],[CIE-10]],BASE[Edad],"&gt;=20",BASE[Edad],"&lt;=59"))</f>
        <v>0</v>
      </c>
      <c r="AB116" s="8">
        <f>IF($O$3="(Todas)",COUNTIFS(BASE[CODCIE104],ENOS_G3_IRANN_20_59_AÑOS[[#This Row],[CIE-10]],BASE[Edad],"&gt;=20",BASE[Edad],"&lt;=59"),COUNTIFS(BASE[Cod.Establecimiento],$O$3,BASE[CODCIE104],ENOS_G3_IRANN_20_59_AÑOS[[#This Row],[CIE-10]],BASE[Edad],"&gt;=20",BASE[Edad],"&lt;=59"))</f>
        <v>0</v>
      </c>
      <c r="AC116" s="8">
        <f>IF($O$3="(Todas)",COUNTIFS(BASE[CODCIE106],ENOS_G3_IRANN_20_59_AÑOS[[#This Row],[CIE-10]],BASE[Edad],"&gt;=20",BASE[Edad],"&lt;=59"),COUNTIFS(BASE[Cod.Establecimiento],$O$3,BASE[CODCIE106],ENOS_G3_IRANN_20_59_AÑOS[[#This Row],[CIE-10]],BASE[Edad],"&gt;=20",BASE[Edad],"&lt;=59"))</f>
        <v>0</v>
      </c>
      <c r="AD116" s="8">
        <f>IF($O$3="(Todas)",COUNTIFS(BASE[CODCIE108],ENOS_G3_IRANN_20_59_AÑOS[[#This Row],[CIE-10]],BASE[Edad],"&gt;=20",BASE[Edad],"&lt;=59"),COUNTIFS(BASE[Cod.Establecimiento],$O$3,BASE[CODCIE108],ENOS_G3_IRANN_20_59_AÑOS[[#This Row],[CIE-10]],BASE[Edad],"&gt;=20",BASE[Edad],"&lt;=59"))</f>
        <v>0</v>
      </c>
      <c r="AE116" s="8">
        <f>IF($O$3="(Todas)",COUNTIFS(BASE[CODCIE1010],ENOS_G3_IRANN_20_59_AÑOS[[#This Row],[CIE-10]],BASE[Edad],"&gt;=20",BASE[Edad],"&lt;=59"),COUNTIFS(BASE[Cod.Establecimiento],$O$3,BASE[CODCIE1010],ENOS_G3_IRANN_20_59_AÑOS[[#This Row],[CIE-10]],BASE[Edad],"&gt;=20",BASE[Edad],"&lt;=59"))</f>
        <v>0</v>
      </c>
      <c r="AF116" s="9">
        <f>SUM(ENOS_G3_IRANN_20_59_AÑOS[[#This Row],[D1]:[D6]])</f>
        <v>0</v>
      </c>
    </row>
    <row r="117" spans="1:3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32" t="s">
        <v>306</v>
      </c>
      <c r="Q117" s="8">
        <f>IF($O$3="(Todas)",COUNTIFS(BASE[CODCIE10],ENOS_G3_IRANN_5_19_AÑOS[[#This Row],[CIE-10]],BASE[Edad],"&gt;=5",BASE[Edad],"&lt;=19"),COUNTIFS(BASE[Cod.Establecimiento],$O$3,BASE[CODCIE10],ENOS_G3_IRANN_5_19_AÑOS[[#This Row],[CIE-10]],BASE[Edad],"&gt;=5",BASE[Edad],"&lt;=19"))</f>
        <v>0</v>
      </c>
      <c r="R117" s="8">
        <f>IF($O$3="(Todas)",COUNTIFS(BASE[CODCIE102],ENOS_G3_IRANN_5_19_AÑOS[[#This Row],[CIE-10]],BASE[Edad],"&gt;=5",BASE[Edad],"&lt;=19"),COUNTIFS(BASE[Cod.Establecimiento],$O$3,BASE[CODCIE102],ENOS_G3_IRANN_5_19_AÑOS[[#This Row],[CIE-10]],BASE[Edad],"&gt;=5",BASE[Edad],"&lt;=19"))</f>
        <v>0</v>
      </c>
      <c r="S117" s="8">
        <f>IF($O$3="(Todas)",COUNTIFS(BASE[CODCIE104],ENOS_G3_IRANN_5_19_AÑOS[[#This Row],[CIE-10]],BASE[Edad],"&gt;=5",BASE[Edad],"&lt;=19"),COUNTIFS(BASE[Cod.Establecimiento],$O$3,BASE[CODCIE104],ENOS_G3_IRANN_5_19_AÑOS[[#This Row],[CIE-10]],BASE[Edad],"&gt;=5",BASE[Edad],"&lt;=19"))</f>
        <v>0</v>
      </c>
      <c r="T117" s="8">
        <f>IF($O$3="(Todas)",COUNTIFS(BASE[CODCIE106],ENOS_G3_IRANN_5_19_AÑOS[[#This Row],[CIE-10]],BASE[Edad],"&gt;=5",BASE[Edad],"&lt;=19"),COUNTIFS(BASE[Cod.Establecimiento],$O$3,BASE[CODCIE106],ENOS_G3_IRANN_5_19_AÑOS[[#This Row],[CIE-10]],BASE[Edad],"&gt;=5",BASE[Edad],"&lt;=19"))</f>
        <v>0</v>
      </c>
      <c r="U117" s="8">
        <f>IF($O$3="(Todas)",COUNTIFS(BASE[CODCIE108],ENOS_G3_IRANN_5_19_AÑOS[[#This Row],[CIE-10]],BASE[Edad],"&gt;=5",BASE[Edad],"&lt;=19"),COUNTIFS(BASE[Cod.Establecimiento],$O$3,BASE[CODCIE108],ENOS_G3_IRANN_5_19_AÑOS[[#This Row],[CIE-10]],BASE[Edad],"&gt;=5",BASE[Edad],"&lt;=19"))</f>
        <v>0</v>
      </c>
      <c r="V117" s="8">
        <f>IF($O$3="(Todas)",COUNTIFS(BASE[CODCIE1010],ENOS_G3_IRANN_5_19_AÑOS[[#This Row],[CIE-10]],BASE[Edad],"&gt;=5",BASE[Edad],"&lt;=19"),COUNTIFS(BASE[Cod.Establecimiento],$O$3,BASE[CODCIE1010],ENOS_G3_IRANN_5_19_AÑOS[[#This Row],[CIE-10]],BASE[Edad],"&gt;=5",BASE[Edad],"&lt;=19"))</f>
        <v>0</v>
      </c>
      <c r="W117" s="9">
        <f>SUM(ENOS_G3_IRANN_5_19_AÑOS[[#This Row],[D1]:[D6]])</f>
        <v>0</v>
      </c>
      <c r="X117" s="2"/>
      <c r="Y117" s="32" t="s">
        <v>306</v>
      </c>
      <c r="Z117" s="8">
        <f>IF($O$3="(Todas)",COUNTIFS(BASE[CODCIE10],ENOS_G3_IRANN_20_59_AÑOS[[#This Row],[CIE-10]],BASE[Edad],"&gt;=20",BASE[Edad],"&lt;=59"),COUNTIFS(BASE[Cod.Establecimiento],$O$3,BASE[CODCIE10],ENOS_G3_IRANN_20_59_AÑOS[[#This Row],[CIE-10]],BASE[Edad],"&gt;=20",BASE[Edad],"&lt;=59"))</f>
        <v>0</v>
      </c>
      <c r="AA117" s="8">
        <f>IF($O$3="(Todas)",COUNTIFS(BASE[CODCIE102],ENOS_G3_IRANN_20_59_AÑOS[[#This Row],[CIE-10]],BASE[Edad],"&gt;=20",BASE[Edad],"&lt;=59"),COUNTIFS(BASE[Cod.Establecimiento],$O$3,BASE[CODCIE102],ENOS_G3_IRANN_20_59_AÑOS[[#This Row],[CIE-10]],BASE[Edad],"&gt;=20",BASE[Edad],"&lt;=59"))</f>
        <v>0</v>
      </c>
      <c r="AB117" s="8">
        <f>IF($O$3="(Todas)",COUNTIFS(BASE[CODCIE104],ENOS_G3_IRANN_20_59_AÑOS[[#This Row],[CIE-10]],BASE[Edad],"&gt;=20",BASE[Edad],"&lt;=59"),COUNTIFS(BASE[Cod.Establecimiento],$O$3,BASE[CODCIE104],ENOS_G3_IRANN_20_59_AÑOS[[#This Row],[CIE-10]],BASE[Edad],"&gt;=20",BASE[Edad],"&lt;=59"))</f>
        <v>0</v>
      </c>
      <c r="AC117" s="8">
        <f>IF($O$3="(Todas)",COUNTIFS(BASE[CODCIE106],ENOS_G3_IRANN_20_59_AÑOS[[#This Row],[CIE-10]],BASE[Edad],"&gt;=20",BASE[Edad],"&lt;=59"),COUNTIFS(BASE[Cod.Establecimiento],$O$3,BASE[CODCIE106],ENOS_G3_IRANN_20_59_AÑOS[[#This Row],[CIE-10]],BASE[Edad],"&gt;=20",BASE[Edad],"&lt;=59"))</f>
        <v>0</v>
      </c>
      <c r="AD117" s="8">
        <f>IF($O$3="(Todas)",COUNTIFS(BASE[CODCIE108],ENOS_G3_IRANN_20_59_AÑOS[[#This Row],[CIE-10]],BASE[Edad],"&gt;=20",BASE[Edad],"&lt;=59"),COUNTIFS(BASE[Cod.Establecimiento],$O$3,BASE[CODCIE108],ENOS_G3_IRANN_20_59_AÑOS[[#This Row],[CIE-10]],BASE[Edad],"&gt;=20",BASE[Edad],"&lt;=59"))</f>
        <v>0</v>
      </c>
      <c r="AE117" s="8">
        <f>IF($O$3="(Todas)",COUNTIFS(BASE[CODCIE1010],ENOS_G3_IRANN_20_59_AÑOS[[#This Row],[CIE-10]],BASE[Edad],"&gt;=20",BASE[Edad],"&lt;=59"),COUNTIFS(BASE[Cod.Establecimiento],$O$3,BASE[CODCIE1010],ENOS_G3_IRANN_20_59_AÑOS[[#This Row],[CIE-10]],BASE[Edad],"&gt;=20",BASE[Edad],"&lt;=59"))</f>
        <v>0</v>
      </c>
      <c r="AF117" s="9">
        <f>SUM(ENOS_G3_IRANN_20_59_AÑOS[[#This Row],[D1]:[D6]])</f>
        <v>0</v>
      </c>
    </row>
    <row r="118" spans="1:3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32" t="s">
        <v>307</v>
      </c>
      <c r="Q118" s="8">
        <f>IF($O$3="(Todas)",COUNTIFS(BASE[CODCIE10],ENOS_G3_IRANN_5_19_AÑOS[[#This Row],[CIE-10]],BASE[Edad],"&gt;=5",BASE[Edad],"&lt;=19"),COUNTIFS(BASE[Cod.Establecimiento],$O$3,BASE[CODCIE10],ENOS_G3_IRANN_5_19_AÑOS[[#This Row],[CIE-10]],BASE[Edad],"&gt;=5",BASE[Edad],"&lt;=19"))</f>
        <v>0</v>
      </c>
      <c r="R118" s="8">
        <f>IF($O$3="(Todas)",COUNTIFS(BASE[CODCIE102],ENOS_G3_IRANN_5_19_AÑOS[[#This Row],[CIE-10]],BASE[Edad],"&gt;=5",BASE[Edad],"&lt;=19"),COUNTIFS(BASE[Cod.Establecimiento],$O$3,BASE[CODCIE102],ENOS_G3_IRANN_5_19_AÑOS[[#This Row],[CIE-10]],BASE[Edad],"&gt;=5",BASE[Edad],"&lt;=19"))</f>
        <v>0</v>
      </c>
      <c r="S118" s="8">
        <f>IF($O$3="(Todas)",COUNTIFS(BASE[CODCIE104],ENOS_G3_IRANN_5_19_AÑOS[[#This Row],[CIE-10]],BASE[Edad],"&gt;=5",BASE[Edad],"&lt;=19"),COUNTIFS(BASE[Cod.Establecimiento],$O$3,BASE[CODCIE104],ENOS_G3_IRANN_5_19_AÑOS[[#This Row],[CIE-10]],BASE[Edad],"&gt;=5",BASE[Edad],"&lt;=19"))</f>
        <v>0</v>
      </c>
      <c r="T118" s="8">
        <f>IF($O$3="(Todas)",COUNTIFS(BASE[CODCIE106],ENOS_G3_IRANN_5_19_AÑOS[[#This Row],[CIE-10]],BASE[Edad],"&gt;=5",BASE[Edad],"&lt;=19"),COUNTIFS(BASE[Cod.Establecimiento],$O$3,BASE[CODCIE106],ENOS_G3_IRANN_5_19_AÑOS[[#This Row],[CIE-10]],BASE[Edad],"&gt;=5",BASE[Edad],"&lt;=19"))</f>
        <v>0</v>
      </c>
      <c r="U118" s="8">
        <f>IF($O$3="(Todas)",COUNTIFS(BASE[CODCIE108],ENOS_G3_IRANN_5_19_AÑOS[[#This Row],[CIE-10]],BASE[Edad],"&gt;=5",BASE[Edad],"&lt;=19"),COUNTIFS(BASE[Cod.Establecimiento],$O$3,BASE[CODCIE108],ENOS_G3_IRANN_5_19_AÑOS[[#This Row],[CIE-10]],BASE[Edad],"&gt;=5",BASE[Edad],"&lt;=19"))</f>
        <v>0</v>
      </c>
      <c r="V118" s="8">
        <f>IF($O$3="(Todas)",COUNTIFS(BASE[CODCIE1010],ENOS_G3_IRANN_5_19_AÑOS[[#This Row],[CIE-10]],BASE[Edad],"&gt;=5",BASE[Edad],"&lt;=19"),COUNTIFS(BASE[Cod.Establecimiento],$O$3,BASE[CODCIE1010],ENOS_G3_IRANN_5_19_AÑOS[[#This Row],[CIE-10]],BASE[Edad],"&gt;=5",BASE[Edad],"&lt;=19"))</f>
        <v>0</v>
      </c>
      <c r="W118" s="9">
        <f>SUM(ENOS_G3_IRANN_5_19_AÑOS[[#This Row],[D1]:[D6]])</f>
        <v>0</v>
      </c>
      <c r="X118" s="2"/>
      <c r="Y118" s="32" t="s">
        <v>307</v>
      </c>
      <c r="Z118" s="8">
        <f>IF($O$3="(Todas)",COUNTIFS(BASE[CODCIE10],ENOS_G3_IRANN_20_59_AÑOS[[#This Row],[CIE-10]],BASE[Edad],"&gt;=20",BASE[Edad],"&lt;=59"),COUNTIFS(BASE[Cod.Establecimiento],$O$3,BASE[CODCIE10],ENOS_G3_IRANN_20_59_AÑOS[[#This Row],[CIE-10]],BASE[Edad],"&gt;=20",BASE[Edad],"&lt;=59"))</f>
        <v>0</v>
      </c>
      <c r="AA118" s="8">
        <f>IF($O$3="(Todas)",COUNTIFS(BASE[CODCIE102],ENOS_G3_IRANN_20_59_AÑOS[[#This Row],[CIE-10]],BASE[Edad],"&gt;=20",BASE[Edad],"&lt;=59"),COUNTIFS(BASE[Cod.Establecimiento],$O$3,BASE[CODCIE102],ENOS_G3_IRANN_20_59_AÑOS[[#This Row],[CIE-10]],BASE[Edad],"&gt;=20",BASE[Edad],"&lt;=59"))</f>
        <v>0</v>
      </c>
      <c r="AB118" s="8">
        <f>IF($O$3="(Todas)",COUNTIFS(BASE[CODCIE104],ENOS_G3_IRANN_20_59_AÑOS[[#This Row],[CIE-10]],BASE[Edad],"&gt;=20",BASE[Edad],"&lt;=59"),COUNTIFS(BASE[Cod.Establecimiento],$O$3,BASE[CODCIE104],ENOS_G3_IRANN_20_59_AÑOS[[#This Row],[CIE-10]],BASE[Edad],"&gt;=20",BASE[Edad],"&lt;=59"))</f>
        <v>0</v>
      </c>
      <c r="AC118" s="8">
        <f>IF($O$3="(Todas)",COUNTIFS(BASE[CODCIE106],ENOS_G3_IRANN_20_59_AÑOS[[#This Row],[CIE-10]],BASE[Edad],"&gt;=20",BASE[Edad],"&lt;=59"),COUNTIFS(BASE[Cod.Establecimiento],$O$3,BASE[CODCIE106],ENOS_G3_IRANN_20_59_AÑOS[[#This Row],[CIE-10]],BASE[Edad],"&gt;=20",BASE[Edad],"&lt;=59"))</f>
        <v>0</v>
      </c>
      <c r="AD118" s="8">
        <f>IF($O$3="(Todas)",COUNTIFS(BASE[CODCIE108],ENOS_G3_IRANN_20_59_AÑOS[[#This Row],[CIE-10]],BASE[Edad],"&gt;=20",BASE[Edad],"&lt;=59"),COUNTIFS(BASE[Cod.Establecimiento],$O$3,BASE[CODCIE108],ENOS_G3_IRANN_20_59_AÑOS[[#This Row],[CIE-10]],BASE[Edad],"&gt;=20",BASE[Edad],"&lt;=59"))</f>
        <v>0</v>
      </c>
      <c r="AE118" s="8">
        <f>IF($O$3="(Todas)",COUNTIFS(BASE[CODCIE1010],ENOS_G3_IRANN_20_59_AÑOS[[#This Row],[CIE-10]],BASE[Edad],"&gt;=20",BASE[Edad],"&lt;=59"),COUNTIFS(BASE[Cod.Establecimiento],$O$3,BASE[CODCIE1010],ENOS_G3_IRANN_20_59_AÑOS[[#This Row],[CIE-10]],BASE[Edad],"&gt;=20",BASE[Edad],"&lt;=59"))</f>
        <v>0</v>
      </c>
      <c r="AF118" s="9">
        <f>SUM(ENOS_G3_IRANN_20_59_AÑOS[[#This Row],[D1]:[D6]])</f>
        <v>0</v>
      </c>
    </row>
    <row r="119" spans="1:32" ht="18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32" t="s">
        <v>308</v>
      </c>
      <c r="Q119" s="8">
        <f>IF($O$3="(Todas)",COUNTIFS(BASE[CODCIE10],ENOS_G3_IRANN_5_19_AÑOS[[#This Row],[CIE-10]],BASE[Edad],"&gt;=5",BASE[Edad],"&lt;=19"),COUNTIFS(BASE[Cod.Establecimiento],$O$3,BASE[CODCIE10],ENOS_G3_IRANN_5_19_AÑOS[[#This Row],[CIE-10]],BASE[Edad],"&gt;=5",BASE[Edad],"&lt;=19"))</f>
        <v>0</v>
      </c>
      <c r="R119" s="8">
        <f>IF($O$3="(Todas)",COUNTIFS(BASE[CODCIE102],ENOS_G3_IRANN_5_19_AÑOS[[#This Row],[CIE-10]],BASE[Edad],"&gt;=5",BASE[Edad],"&lt;=19"),COUNTIFS(BASE[Cod.Establecimiento],$O$3,BASE[CODCIE102],ENOS_G3_IRANN_5_19_AÑOS[[#This Row],[CIE-10]],BASE[Edad],"&gt;=5",BASE[Edad],"&lt;=19"))</f>
        <v>0</v>
      </c>
      <c r="S119" s="8">
        <f>IF($O$3="(Todas)",COUNTIFS(BASE[CODCIE104],ENOS_G3_IRANN_5_19_AÑOS[[#This Row],[CIE-10]],BASE[Edad],"&gt;=5",BASE[Edad],"&lt;=19"),COUNTIFS(BASE[Cod.Establecimiento],$O$3,BASE[CODCIE104],ENOS_G3_IRANN_5_19_AÑOS[[#This Row],[CIE-10]],BASE[Edad],"&gt;=5",BASE[Edad],"&lt;=19"))</f>
        <v>0</v>
      </c>
      <c r="T119" s="8">
        <f>IF($O$3="(Todas)",COUNTIFS(BASE[CODCIE106],ENOS_G3_IRANN_5_19_AÑOS[[#This Row],[CIE-10]],BASE[Edad],"&gt;=5",BASE[Edad],"&lt;=19"),COUNTIFS(BASE[Cod.Establecimiento],$O$3,BASE[CODCIE106],ENOS_G3_IRANN_5_19_AÑOS[[#This Row],[CIE-10]],BASE[Edad],"&gt;=5",BASE[Edad],"&lt;=19"))</f>
        <v>0</v>
      </c>
      <c r="U119" s="8">
        <f>IF($O$3="(Todas)",COUNTIFS(BASE[CODCIE108],ENOS_G3_IRANN_5_19_AÑOS[[#This Row],[CIE-10]],BASE[Edad],"&gt;=5",BASE[Edad],"&lt;=19"),COUNTIFS(BASE[Cod.Establecimiento],$O$3,BASE[CODCIE108],ENOS_G3_IRANN_5_19_AÑOS[[#This Row],[CIE-10]],BASE[Edad],"&gt;=5",BASE[Edad],"&lt;=19"))</f>
        <v>0</v>
      </c>
      <c r="V119" s="8">
        <f>IF($O$3="(Todas)",COUNTIFS(BASE[CODCIE1010],ENOS_G3_IRANN_5_19_AÑOS[[#This Row],[CIE-10]],BASE[Edad],"&gt;=5",BASE[Edad],"&lt;=19"),COUNTIFS(BASE[Cod.Establecimiento],$O$3,BASE[CODCIE1010],ENOS_G3_IRANN_5_19_AÑOS[[#This Row],[CIE-10]],BASE[Edad],"&gt;=5",BASE[Edad],"&lt;=19"))</f>
        <v>0</v>
      </c>
      <c r="W119" s="9">
        <f>SUM(ENOS_G3_IRANN_5_19_AÑOS[[#This Row],[D1]:[D6]])</f>
        <v>0</v>
      </c>
      <c r="X119" s="2"/>
      <c r="Y119" s="32" t="s">
        <v>308</v>
      </c>
      <c r="Z119" s="8">
        <f>IF($O$3="(Todas)",COUNTIFS(BASE[CODCIE10],ENOS_G3_IRANN_20_59_AÑOS[[#This Row],[CIE-10]],BASE[Edad],"&gt;=20",BASE[Edad],"&lt;=59"),COUNTIFS(BASE[Cod.Establecimiento],$O$3,BASE[CODCIE10],ENOS_G3_IRANN_20_59_AÑOS[[#This Row],[CIE-10]],BASE[Edad],"&gt;=20",BASE[Edad],"&lt;=59"))</f>
        <v>0</v>
      </c>
      <c r="AA119" s="8">
        <f>IF($O$3="(Todas)",COUNTIFS(BASE[CODCIE102],ENOS_G3_IRANN_20_59_AÑOS[[#This Row],[CIE-10]],BASE[Edad],"&gt;=20",BASE[Edad],"&lt;=59"),COUNTIFS(BASE[Cod.Establecimiento],$O$3,BASE[CODCIE102],ENOS_G3_IRANN_20_59_AÑOS[[#This Row],[CIE-10]],BASE[Edad],"&gt;=20",BASE[Edad],"&lt;=59"))</f>
        <v>0</v>
      </c>
      <c r="AB119" s="8">
        <f>IF($O$3="(Todas)",COUNTIFS(BASE[CODCIE104],ENOS_G3_IRANN_20_59_AÑOS[[#This Row],[CIE-10]],BASE[Edad],"&gt;=20",BASE[Edad],"&lt;=59"),COUNTIFS(BASE[Cod.Establecimiento],$O$3,BASE[CODCIE104],ENOS_G3_IRANN_20_59_AÑOS[[#This Row],[CIE-10]],BASE[Edad],"&gt;=20",BASE[Edad],"&lt;=59"))</f>
        <v>0</v>
      </c>
      <c r="AC119" s="8">
        <f>IF($O$3="(Todas)",COUNTIFS(BASE[CODCIE106],ENOS_G3_IRANN_20_59_AÑOS[[#This Row],[CIE-10]],BASE[Edad],"&gt;=20",BASE[Edad],"&lt;=59"),COUNTIFS(BASE[Cod.Establecimiento],$O$3,BASE[CODCIE106],ENOS_G3_IRANN_20_59_AÑOS[[#This Row],[CIE-10]],BASE[Edad],"&gt;=20",BASE[Edad],"&lt;=59"))</f>
        <v>0</v>
      </c>
      <c r="AD119" s="8">
        <f>IF($O$3="(Todas)",COUNTIFS(BASE[CODCIE108],ENOS_G3_IRANN_20_59_AÑOS[[#This Row],[CIE-10]],BASE[Edad],"&gt;=20",BASE[Edad],"&lt;=59"),COUNTIFS(BASE[Cod.Establecimiento],$O$3,BASE[CODCIE108],ENOS_G3_IRANN_20_59_AÑOS[[#This Row],[CIE-10]],BASE[Edad],"&gt;=20",BASE[Edad],"&lt;=59"))</f>
        <v>0</v>
      </c>
      <c r="AE119" s="8">
        <f>IF($O$3="(Todas)",COUNTIFS(BASE[CODCIE1010],ENOS_G3_IRANN_20_59_AÑOS[[#This Row],[CIE-10]],BASE[Edad],"&gt;=20",BASE[Edad],"&lt;=59"),COUNTIFS(BASE[Cod.Establecimiento],$O$3,BASE[CODCIE1010],ENOS_G3_IRANN_20_59_AÑOS[[#This Row],[CIE-10]],BASE[Edad],"&gt;=20",BASE[Edad],"&lt;=59"))</f>
        <v>0</v>
      </c>
      <c r="AF119" s="9">
        <f>SUM(ENOS_G3_IRANN_20_59_AÑOS[[#This Row],[D1]:[D6]])</f>
        <v>0</v>
      </c>
    </row>
    <row r="120" spans="1:32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32" t="s">
        <v>309</v>
      </c>
      <c r="Q120" s="8">
        <f>IF($O$3="(Todas)",COUNTIFS(BASE[CODCIE10],ENOS_G3_IRANN_5_19_AÑOS[[#This Row],[CIE-10]],BASE[Edad],"&gt;=5",BASE[Edad],"&lt;=19"),COUNTIFS(BASE[Cod.Establecimiento],$O$3,BASE[CODCIE10],ENOS_G3_IRANN_5_19_AÑOS[[#This Row],[CIE-10]],BASE[Edad],"&gt;=5",BASE[Edad],"&lt;=19"))</f>
        <v>0</v>
      </c>
      <c r="R120" s="8">
        <f>IF($O$3="(Todas)",COUNTIFS(BASE[CODCIE102],ENOS_G3_IRANN_5_19_AÑOS[[#This Row],[CIE-10]],BASE[Edad],"&gt;=5",BASE[Edad],"&lt;=19"),COUNTIFS(BASE[Cod.Establecimiento],$O$3,BASE[CODCIE102],ENOS_G3_IRANN_5_19_AÑOS[[#This Row],[CIE-10]],BASE[Edad],"&gt;=5",BASE[Edad],"&lt;=19"))</f>
        <v>0</v>
      </c>
      <c r="S120" s="8">
        <f>IF($O$3="(Todas)",COUNTIFS(BASE[CODCIE104],ENOS_G3_IRANN_5_19_AÑOS[[#This Row],[CIE-10]],BASE[Edad],"&gt;=5",BASE[Edad],"&lt;=19"),COUNTIFS(BASE[Cod.Establecimiento],$O$3,BASE[CODCIE104],ENOS_G3_IRANN_5_19_AÑOS[[#This Row],[CIE-10]],BASE[Edad],"&gt;=5",BASE[Edad],"&lt;=19"))</f>
        <v>0</v>
      </c>
      <c r="T120" s="8">
        <f>IF($O$3="(Todas)",COUNTIFS(BASE[CODCIE106],ENOS_G3_IRANN_5_19_AÑOS[[#This Row],[CIE-10]],BASE[Edad],"&gt;=5",BASE[Edad],"&lt;=19"),COUNTIFS(BASE[Cod.Establecimiento],$O$3,BASE[CODCIE106],ENOS_G3_IRANN_5_19_AÑOS[[#This Row],[CIE-10]],BASE[Edad],"&gt;=5",BASE[Edad],"&lt;=19"))</f>
        <v>0</v>
      </c>
      <c r="U120" s="8">
        <f>IF($O$3="(Todas)",COUNTIFS(BASE[CODCIE108],ENOS_G3_IRANN_5_19_AÑOS[[#This Row],[CIE-10]],BASE[Edad],"&gt;=5",BASE[Edad],"&lt;=19"),COUNTIFS(BASE[Cod.Establecimiento],$O$3,BASE[CODCIE108],ENOS_G3_IRANN_5_19_AÑOS[[#This Row],[CIE-10]],BASE[Edad],"&gt;=5",BASE[Edad],"&lt;=19"))</f>
        <v>0</v>
      </c>
      <c r="V120" s="8">
        <f>IF($O$3="(Todas)",COUNTIFS(BASE[CODCIE1010],ENOS_G3_IRANN_5_19_AÑOS[[#This Row],[CIE-10]],BASE[Edad],"&gt;=5",BASE[Edad],"&lt;=19"),COUNTIFS(BASE[Cod.Establecimiento],$O$3,BASE[CODCIE1010],ENOS_G3_IRANN_5_19_AÑOS[[#This Row],[CIE-10]],BASE[Edad],"&gt;=5",BASE[Edad],"&lt;=19"))</f>
        <v>0</v>
      </c>
      <c r="W120" s="9">
        <f>SUM(ENOS_G3_IRANN_5_19_AÑOS[[#This Row],[D1]:[D6]])</f>
        <v>0</v>
      </c>
      <c r="X120" s="2"/>
      <c r="Y120" s="32" t="s">
        <v>309</v>
      </c>
      <c r="Z120" s="8">
        <f>IF($O$3="(Todas)",COUNTIFS(BASE[CODCIE10],ENOS_G3_IRANN_20_59_AÑOS[[#This Row],[CIE-10]],BASE[Edad],"&gt;=20",BASE[Edad],"&lt;=59"),COUNTIFS(BASE[Cod.Establecimiento],$O$3,BASE[CODCIE10],ENOS_G3_IRANN_20_59_AÑOS[[#This Row],[CIE-10]],BASE[Edad],"&gt;=20",BASE[Edad],"&lt;=59"))</f>
        <v>0</v>
      </c>
      <c r="AA120" s="8">
        <f>IF($O$3="(Todas)",COUNTIFS(BASE[CODCIE102],ENOS_G3_IRANN_20_59_AÑOS[[#This Row],[CIE-10]],BASE[Edad],"&gt;=20",BASE[Edad],"&lt;=59"),COUNTIFS(BASE[Cod.Establecimiento],$O$3,BASE[CODCIE102],ENOS_G3_IRANN_20_59_AÑOS[[#This Row],[CIE-10]],BASE[Edad],"&gt;=20",BASE[Edad],"&lt;=59"))</f>
        <v>0</v>
      </c>
      <c r="AB120" s="8">
        <f>IF($O$3="(Todas)",COUNTIFS(BASE[CODCIE104],ENOS_G3_IRANN_20_59_AÑOS[[#This Row],[CIE-10]],BASE[Edad],"&gt;=20",BASE[Edad],"&lt;=59"),COUNTIFS(BASE[Cod.Establecimiento],$O$3,BASE[CODCIE104],ENOS_G3_IRANN_20_59_AÑOS[[#This Row],[CIE-10]],BASE[Edad],"&gt;=20",BASE[Edad],"&lt;=59"))</f>
        <v>0</v>
      </c>
      <c r="AC120" s="8">
        <f>IF($O$3="(Todas)",COUNTIFS(BASE[CODCIE106],ENOS_G3_IRANN_20_59_AÑOS[[#This Row],[CIE-10]],BASE[Edad],"&gt;=20",BASE[Edad],"&lt;=59"),COUNTIFS(BASE[Cod.Establecimiento],$O$3,BASE[CODCIE106],ENOS_G3_IRANN_20_59_AÑOS[[#This Row],[CIE-10]],BASE[Edad],"&gt;=20",BASE[Edad],"&lt;=59"))</f>
        <v>0</v>
      </c>
      <c r="AD120" s="8">
        <f>IF($O$3="(Todas)",COUNTIFS(BASE[CODCIE108],ENOS_G3_IRANN_20_59_AÑOS[[#This Row],[CIE-10]],BASE[Edad],"&gt;=20",BASE[Edad],"&lt;=59"),COUNTIFS(BASE[Cod.Establecimiento],$O$3,BASE[CODCIE108],ENOS_G3_IRANN_20_59_AÑOS[[#This Row],[CIE-10]],BASE[Edad],"&gt;=20",BASE[Edad],"&lt;=59"))</f>
        <v>0</v>
      </c>
      <c r="AE120" s="8">
        <f>IF($O$3="(Todas)",COUNTIFS(BASE[CODCIE1010],ENOS_G3_IRANN_20_59_AÑOS[[#This Row],[CIE-10]],BASE[Edad],"&gt;=20",BASE[Edad],"&lt;=59"),COUNTIFS(BASE[Cod.Establecimiento],$O$3,BASE[CODCIE1010],ENOS_G3_IRANN_20_59_AÑOS[[#This Row],[CIE-10]],BASE[Edad],"&gt;=20",BASE[Edad],"&lt;=59"))</f>
        <v>0</v>
      </c>
      <c r="AF120" s="9">
        <f>SUM(ENOS_G3_IRANN_20_59_AÑOS[[#This Row],[D1]:[D6]])</f>
        <v>0</v>
      </c>
    </row>
    <row r="121" spans="1:32" ht="18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32" t="s">
        <v>310</v>
      </c>
      <c r="Q121" s="8">
        <f>IF($O$3="(Todas)",COUNTIFS(BASE[CODCIE10],ENOS_G3_IRANN_5_19_AÑOS[[#This Row],[CIE-10]],BASE[Edad],"&gt;=5",BASE[Edad],"&lt;=19"),COUNTIFS(BASE[Cod.Establecimiento],$O$3,BASE[CODCIE10],ENOS_G3_IRANN_5_19_AÑOS[[#This Row],[CIE-10]],BASE[Edad],"&gt;=5",BASE[Edad],"&lt;=19"))</f>
        <v>0</v>
      </c>
      <c r="R121" s="8">
        <f>IF($O$3="(Todas)",COUNTIFS(BASE[CODCIE102],ENOS_G3_IRANN_5_19_AÑOS[[#This Row],[CIE-10]],BASE[Edad],"&gt;=5",BASE[Edad],"&lt;=19"),COUNTIFS(BASE[Cod.Establecimiento],$O$3,BASE[CODCIE102],ENOS_G3_IRANN_5_19_AÑOS[[#This Row],[CIE-10]],BASE[Edad],"&gt;=5",BASE[Edad],"&lt;=19"))</f>
        <v>0</v>
      </c>
      <c r="S121" s="8">
        <f>IF($O$3="(Todas)",COUNTIFS(BASE[CODCIE104],ENOS_G3_IRANN_5_19_AÑOS[[#This Row],[CIE-10]],BASE[Edad],"&gt;=5",BASE[Edad],"&lt;=19"),COUNTIFS(BASE[Cod.Establecimiento],$O$3,BASE[CODCIE104],ENOS_G3_IRANN_5_19_AÑOS[[#This Row],[CIE-10]],BASE[Edad],"&gt;=5",BASE[Edad],"&lt;=19"))</f>
        <v>0</v>
      </c>
      <c r="T121" s="8">
        <f>IF($O$3="(Todas)",COUNTIFS(BASE[CODCIE106],ENOS_G3_IRANN_5_19_AÑOS[[#This Row],[CIE-10]],BASE[Edad],"&gt;=5",BASE[Edad],"&lt;=19"),COUNTIFS(BASE[Cod.Establecimiento],$O$3,BASE[CODCIE106],ENOS_G3_IRANN_5_19_AÑOS[[#This Row],[CIE-10]],BASE[Edad],"&gt;=5",BASE[Edad],"&lt;=19"))</f>
        <v>0</v>
      </c>
      <c r="U121" s="8">
        <f>IF($O$3="(Todas)",COUNTIFS(BASE[CODCIE108],ENOS_G3_IRANN_5_19_AÑOS[[#This Row],[CIE-10]],BASE[Edad],"&gt;=5",BASE[Edad],"&lt;=19"),COUNTIFS(BASE[Cod.Establecimiento],$O$3,BASE[CODCIE108],ENOS_G3_IRANN_5_19_AÑOS[[#This Row],[CIE-10]],BASE[Edad],"&gt;=5",BASE[Edad],"&lt;=19"))</f>
        <v>0</v>
      </c>
      <c r="V121" s="8">
        <f>IF($O$3="(Todas)",COUNTIFS(BASE[CODCIE1010],ENOS_G3_IRANN_5_19_AÑOS[[#This Row],[CIE-10]],BASE[Edad],"&gt;=5",BASE[Edad],"&lt;=19"),COUNTIFS(BASE[Cod.Establecimiento],$O$3,BASE[CODCIE1010],ENOS_G3_IRANN_5_19_AÑOS[[#This Row],[CIE-10]],BASE[Edad],"&gt;=5",BASE[Edad],"&lt;=19"))</f>
        <v>0</v>
      </c>
      <c r="W121" s="9">
        <f>SUM(ENOS_G3_IRANN_5_19_AÑOS[[#This Row],[D1]:[D6]])</f>
        <v>0</v>
      </c>
      <c r="X121" s="2"/>
      <c r="Y121" s="32" t="s">
        <v>310</v>
      </c>
      <c r="Z121" s="8">
        <f>IF($O$3="(Todas)",COUNTIFS(BASE[CODCIE10],ENOS_G3_IRANN_20_59_AÑOS[[#This Row],[CIE-10]],BASE[Edad],"&gt;=20",BASE[Edad],"&lt;=59"),COUNTIFS(BASE[Cod.Establecimiento],$O$3,BASE[CODCIE10],ENOS_G3_IRANN_20_59_AÑOS[[#This Row],[CIE-10]],BASE[Edad],"&gt;=20",BASE[Edad],"&lt;=59"))</f>
        <v>0</v>
      </c>
      <c r="AA121" s="8">
        <f>IF($O$3="(Todas)",COUNTIFS(BASE[CODCIE102],ENOS_G3_IRANN_20_59_AÑOS[[#This Row],[CIE-10]],BASE[Edad],"&gt;=20",BASE[Edad],"&lt;=59"),COUNTIFS(BASE[Cod.Establecimiento],$O$3,BASE[CODCIE102],ENOS_G3_IRANN_20_59_AÑOS[[#This Row],[CIE-10]],BASE[Edad],"&gt;=20",BASE[Edad],"&lt;=59"))</f>
        <v>0</v>
      </c>
      <c r="AB121" s="8">
        <f>IF($O$3="(Todas)",COUNTIFS(BASE[CODCIE104],ENOS_G3_IRANN_20_59_AÑOS[[#This Row],[CIE-10]],BASE[Edad],"&gt;=20",BASE[Edad],"&lt;=59"),COUNTIFS(BASE[Cod.Establecimiento],$O$3,BASE[CODCIE104],ENOS_G3_IRANN_20_59_AÑOS[[#This Row],[CIE-10]],BASE[Edad],"&gt;=20",BASE[Edad],"&lt;=59"))</f>
        <v>0</v>
      </c>
      <c r="AC121" s="8">
        <f>IF($O$3="(Todas)",COUNTIFS(BASE[CODCIE106],ENOS_G3_IRANN_20_59_AÑOS[[#This Row],[CIE-10]],BASE[Edad],"&gt;=20",BASE[Edad],"&lt;=59"),COUNTIFS(BASE[Cod.Establecimiento],$O$3,BASE[CODCIE106],ENOS_G3_IRANN_20_59_AÑOS[[#This Row],[CIE-10]],BASE[Edad],"&gt;=20",BASE[Edad],"&lt;=59"))</f>
        <v>0</v>
      </c>
      <c r="AD121" s="8">
        <f>IF($O$3="(Todas)",COUNTIFS(BASE[CODCIE108],ENOS_G3_IRANN_20_59_AÑOS[[#This Row],[CIE-10]],BASE[Edad],"&gt;=20",BASE[Edad],"&lt;=59"),COUNTIFS(BASE[Cod.Establecimiento],$O$3,BASE[CODCIE108],ENOS_G3_IRANN_20_59_AÑOS[[#This Row],[CIE-10]],BASE[Edad],"&gt;=20",BASE[Edad],"&lt;=59"))</f>
        <v>0</v>
      </c>
      <c r="AE121" s="8">
        <f>IF($O$3="(Todas)",COUNTIFS(BASE[CODCIE1010],ENOS_G3_IRANN_20_59_AÑOS[[#This Row],[CIE-10]],BASE[Edad],"&gt;=20",BASE[Edad],"&lt;=59"),COUNTIFS(BASE[Cod.Establecimiento],$O$3,BASE[CODCIE1010],ENOS_G3_IRANN_20_59_AÑOS[[#This Row],[CIE-10]],BASE[Edad],"&gt;=20",BASE[Edad],"&lt;=59"))</f>
        <v>0</v>
      </c>
      <c r="AF121" s="9">
        <f>SUM(ENOS_G3_IRANN_20_59_AÑOS[[#This Row],[D1]:[D6]])</f>
        <v>0</v>
      </c>
    </row>
    <row r="122" spans="1:3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32" t="s">
        <v>311</v>
      </c>
      <c r="Q122" s="8">
        <f>IF($O$3="(Todas)",COUNTIFS(BASE[CODCIE10],ENOS_G3_IRANN_5_19_AÑOS[[#This Row],[CIE-10]],BASE[Edad],"&gt;=5",BASE[Edad],"&lt;=19"),COUNTIFS(BASE[Cod.Establecimiento],$O$3,BASE[CODCIE10],ENOS_G3_IRANN_5_19_AÑOS[[#This Row],[CIE-10]],BASE[Edad],"&gt;=5",BASE[Edad],"&lt;=19"))</f>
        <v>0</v>
      </c>
      <c r="R122" s="8">
        <f>IF($O$3="(Todas)",COUNTIFS(BASE[CODCIE102],ENOS_G3_IRANN_5_19_AÑOS[[#This Row],[CIE-10]],BASE[Edad],"&gt;=5",BASE[Edad],"&lt;=19"),COUNTIFS(BASE[Cod.Establecimiento],$O$3,BASE[CODCIE102],ENOS_G3_IRANN_5_19_AÑOS[[#This Row],[CIE-10]],BASE[Edad],"&gt;=5",BASE[Edad],"&lt;=19"))</f>
        <v>0</v>
      </c>
      <c r="S122" s="8">
        <f>IF($O$3="(Todas)",COUNTIFS(BASE[CODCIE104],ENOS_G3_IRANN_5_19_AÑOS[[#This Row],[CIE-10]],BASE[Edad],"&gt;=5",BASE[Edad],"&lt;=19"),COUNTIFS(BASE[Cod.Establecimiento],$O$3,BASE[CODCIE104],ENOS_G3_IRANN_5_19_AÑOS[[#This Row],[CIE-10]],BASE[Edad],"&gt;=5",BASE[Edad],"&lt;=19"))</f>
        <v>0</v>
      </c>
      <c r="T122" s="8">
        <f>IF($O$3="(Todas)",COUNTIFS(BASE[CODCIE106],ENOS_G3_IRANN_5_19_AÑOS[[#This Row],[CIE-10]],BASE[Edad],"&gt;=5",BASE[Edad],"&lt;=19"),COUNTIFS(BASE[Cod.Establecimiento],$O$3,BASE[CODCIE106],ENOS_G3_IRANN_5_19_AÑOS[[#This Row],[CIE-10]],BASE[Edad],"&gt;=5",BASE[Edad],"&lt;=19"))</f>
        <v>0</v>
      </c>
      <c r="U122" s="8">
        <f>IF($O$3="(Todas)",COUNTIFS(BASE[CODCIE108],ENOS_G3_IRANN_5_19_AÑOS[[#This Row],[CIE-10]],BASE[Edad],"&gt;=5",BASE[Edad],"&lt;=19"),COUNTIFS(BASE[Cod.Establecimiento],$O$3,BASE[CODCIE108],ENOS_G3_IRANN_5_19_AÑOS[[#This Row],[CIE-10]],BASE[Edad],"&gt;=5",BASE[Edad],"&lt;=19"))</f>
        <v>0</v>
      </c>
      <c r="V122" s="8">
        <f>IF($O$3="(Todas)",COUNTIFS(BASE[CODCIE1010],ENOS_G3_IRANN_5_19_AÑOS[[#This Row],[CIE-10]],BASE[Edad],"&gt;=5",BASE[Edad],"&lt;=19"),COUNTIFS(BASE[Cod.Establecimiento],$O$3,BASE[CODCIE1010],ENOS_G3_IRANN_5_19_AÑOS[[#This Row],[CIE-10]],BASE[Edad],"&gt;=5",BASE[Edad],"&lt;=19"))</f>
        <v>0</v>
      </c>
      <c r="W122" s="9">
        <f>SUM(ENOS_G3_IRANN_5_19_AÑOS[[#This Row],[D1]:[D6]])</f>
        <v>0</v>
      </c>
      <c r="X122" s="2"/>
      <c r="Y122" s="32" t="s">
        <v>311</v>
      </c>
      <c r="Z122" s="8">
        <f>IF($O$3="(Todas)",COUNTIFS(BASE[CODCIE10],ENOS_G3_IRANN_20_59_AÑOS[[#This Row],[CIE-10]],BASE[Edad],"&gt;=20",BASE[Edad],"&lt;=59"),COUNTIFS(BASE[Cod.Establecimiento],$O$3,BASE[CODCIE10],ENOS_G3_IRANN_20_59_AÑOS[[#This Row],[CIE-10]],BASE[Edad],"&gt;=20",BASE[Edad],"&lt;=59"))</f>
        <v>0</v>
      </c>
      <c r="AA122" s="8">
        <f>IF($O$3="(Todas)",COUNTIFS(BASE[CODCIE102],ENOS_G3_IRANN_20_59_AÑOS[[#This Row],[CIE-10]],BASE[Edad],"&gt;=20",BASE[Edad],"&lt;=59"),COUNTIFS(BASE[Cod.Establecimiento],$O$3,BASE[CODCIE102],ENOS_G3_IRANN_20_59_AÑOS[[#This Row],[CIE-10]],BASE[Edad],"&gt;=20",BASE[Edad],"&lt;=59"))</f>
        <v>0</v>
      </c>
      <c r="AB122" s="8">
        <f>IF($O$3="(Todas)",COUNTIFS(BASE[CODCIE104],ENOS_G3_IRANN_20_59_AÑOS[[#This Row],[CIE-10]],BASE[Edad],"&gt;=20",BASE[Edad],"&lt;=59"),COUNTIFS(BASE[Cod.Establecimiento],$O$3,BASE[CODCIE104],ENOS_G3_IRANN_20_59_AÑOS[[#This Row],[CIE-10]],BASE[Edad],"&gt;=20",BASE[Edad],"&lt;=59"))</f>
        <v>0</v>
      </c>
      <c r="AC122" s="8">
        <f>IF($O$3="(Todas)",COUNTIFS(BASE[CODCIE106],ENOS_G3_IRANN_20_59_AÑOS[[#This Row],[CIE-10]],BASE[Edad],"&gt;=20",BASE[Edad],"&lt;=59"),COUNTIFS(BASE[Cod.Establecimiento],$O$3,BASE[CODCIE106],ENOS_G3_IRANN_20_59_AÑOS[[#This Row],[CIE-10]],BASE[Edad],"&gt;=20",BASE[Edad],"&lt;=59"))</f>
        <v>0</v>
      </c>
      <c r="AD122" s="8">
        <f>IF($O$3="(Todas)",COUNTIFS(BASE[CODCIE108],ENOS_G3_IRANN_20_59_AÑOS[[#This Row],[CIE-10]],BASE[Edad],"&gt;=20",BASE[Edad],"&lt;=59"),COUNTIFS(BASE[Cod.Establecimiento],$O$3,BASE[CODCIE108],ENOS_G3_IRANN_20_59_AÑOS[[#This Row],[CIE-10]],BASE[Edad],"&gt;=20",BASE[Edad],"&lt;=59"))</f>
        <v>0</v>
      </c>
      <c r="AE122" s="8">
        <f>IF($O$3="(Todas)",COUNTIFS(BASE[CODCIE1010],ENOS_G3_IRANN_20_59_AÑOS[[#This Row],[CIE-10]],BASE[Edad],"&gt;=20",BASE[Edad],"&lt;=59"),COUNTIFS(BASE[Cod.Establecimiento],$O$3,BASE[CODCIE1010],ENOS_G3_IRANN_20_59_AÑOS[[#This Row],[CIE-10]],BASE[Edad],"&gt;=20",BASE[Edad],"&lt;=59"))</f>
        <v>0</v>
      </c>
      <c r="AF122" s="9">
        <f>SUM(ENOS_G3_IRANN_20_59_AÑOS[[#This Row],[D1]:[D6]])</f>
        <v>0</v>
      </c>
    </row>
    <row r="123" spans="1:3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32" t="s">
        <v>312</v>
      </c>
      <c r="Q123" s="8">
        <f>IF($O$3="(Todas)",COUNTIFS(BASE[CODCIE10],ENOS_G3_IRANN_5_19_AÑOS[[#This Row],[CIE-10]],BASE[Edad],"&gt;=5",BASE[Edad],"&lt;=19"),COUNTIFS(BASE[Cod.Establecimiento],$O$3,BASE[CODCIE10],ENOS_G3_IRANN_5_19_AÑOS[[#This Row],[CIE-10]],BASE[Edad],"&gt;=5",BASE[Edad],"&lt;=19"))</f>
        <v>0</v>
      </c>
      <c r="R123" s="8">
        <f>IF($O$3="(Todas)",COUNTIFS(BASE[CODCIE102],ENOS_G3_IRANN_5_19_AÑOS[[#This Row],[CIE-10]],BASE[Edad],"&gt;=5",BASE[Edad],"&lt;=19"),COUNTIFS(BASE[Cod.Establecimiento],$O$3,BASE[CODCIE102],ENOS_G3_IRANN_5_19_AÑOS[[#This Row],[CIE-10]],BASE[Edad],"&gt;=5",BASE[Edad],"&lt;=19"))</f>
        <v>0</v>
      </c>
      <c r="S123" s="8">
        <f>IF($O$3="(Todas)",COUNTIFS(BASE[CODCIE104],ENOS_G3_IRANN_5_19_AÑOS[[#This Row],[CIE-10]],BASE[Edad],"&gt;=5",BASE[Edad],"&lt;=19"),COUNTIFS(BASE[Cod.Establecimiento],$O$3,BASE[CODCIE104],ENOS_G3_IRANN_5_19_AÑOS[[#This Row],[CIE-10]],BASE[Edad],"&gt;=5",BASE[Edad],"&lt;=19"))</f>
        <v>0</v>
      </c>
      <c r="T123" s="8">
        <f>IF($O$3="(Todas)",COUNTIFS(BASE[CODCIE106],ENOS_G3_IRANN_5_19_AÑOS[[#This Row],[CIE-10]],BASE[Edad],"&gt;=5",BASE[Edad],"&lt;=19"),COUNTIFS(BASE[Cod.Establecimiento],$O$3,BASE[CODCIE106],ENOS_G3_IRANN_5_19_AÑOS[[#This Row],[CIE-10]],BASE[Edad],"&gt;=5",BASE[Edad],"&lt;=19"))</f>
        <v>0</v>
      </c>
      <c r="U123" s="8">
        <f>IF($O$3="(Todas)",COUNTIFS(BASE[CODCIE108],ENOS_G3_IRANN_5_19_AÑOS[[#This Row],[CIE-10]],BASE[Edad],"&gt;=5",BASE[Edad],"&lt;=19"),COUNTIFS(BASE[Cod.Establecimiento],$O$3,BASE[CODCIE108],ENOS_G3_IRANN_5_19_AÑOS[[#This Row],[CIE-10]],BASE[Edad],"&gt;=5",BASE[Edad],"&lt;=19"))</f>
        <v>0</v>
      </c>
      <c r="V123" s="8">
        <f>IF($O$3="(Todas)",COUNTIFS(BASE[CODCIE1010],ENOS_G3_IRANN_5_19_AÑOS[[#This Row],[CIE-10]],BASE[Edad],"&gt;=5",BASE[Edad],"&lt;=19"),COUNTIFS(BASE[Cod.Establecimiento],$O$3,BASE[CODCIE1010],ENOS_G3_IRANN_5_19_AÑOS[[#This Row],[CIE-10]],BASE[Edad],"&gt;=5",BASE[Edad],"&lt;=19"))</f>
        <v>0</v>
      </c>
      <c r="W123" s="9">
        <f>SUM(ENOS_G3_IRANN_5_19_AÑOS[[#This Row],[D1]:[D6]])</f>
        <v>0</v>
      </c>
      <c r="X123" s="2"/>
      <c r="Y123" s="32" t="s">
        <v>312</v>
      </c>
      <c r="Z123" s="8">
        <f>IF($O$3="(Todas)",COUNTIFS(BASE[CODCIE10],ENOS_G3_IRANN_20_59_AÑOS[[#This Row],[CIE-10]],BASE[Edad],"&gt;=20",BASE[Edad],"&lt;=59"),COUNTIFS(BASE[Cod.Establecimiento],$O$3,BASE[CODCIE10],ENOS_G3_IRANN_20_59_AÑOS[[#This Row],[CIE-10]],BASE[Edad],"&gt;=20",BASE[Edad],"&lt;=59"))</f>
        <v>0</v>
      </c>
      <c r="AA123" s="8">
        <f>IF($O$3="(Todas)",COUNTIFS(BASE[CODCIE102],ENOS_G3_IRANN_20_59_AÑOS[[#This Row],[CIE-10]],BASE[Edad],"&gt;=20",BASE[Edad],"&lt;=59"),COUNTIFS(BASE[Cod.Establecimiento],$O$3,BASE[CODCIE102],ENOS_G3_IRANN_20_59_AÑOS[[#This Row],[CIE-10]],BASE[Edad],"&gt;=20",BASE[Edad],"&lt;=59"))</f>
        <v>0</v>
      </c>
      <c r="AB123" s="8">
        <f>IF($O$3="(Todas)",COUNTIFS(BASE[CODCIE104],ENOS_G3_IRANN_20_59_AÑOS[[#This Row],[CIE-10]],BASE[Edad],"&gt;=20",BASE[Edad],"&lt;=59"),COUNTIFS(BASE[Cod.Establecimiento],$O$3,BASE[CODCIE104],ENOS_G3_IRANN_20_59_AÑOS[[#This Row],[CIE-10]],BASE[Edad],"&gt;=20",BASE[Edad],"&lt;=59"))</f>
        <v>0</v>
      </c>
      <c r="AC123" s="8">
        <f>IF($O$3="(Todas)",COUNTIFS(BASE[CODCIE106],ENOS_G3_IRANN_20_59_AÑOS[[#This Row],[CIE-10]],BASE[Edad],"&gt;=20",BASE[Edad],"&lt;=59"),COUNTIFS(BASE[Cod.Establecimiento],$O$3,BASE[CODCIE106],ENOS_G3_IRANN_20_59_AÑOS[[#This Row],[CIE-10]],BASE[Edad],"&gt;=20",BASE[Edad],"&lt;=59"))</f>
        <v>0</v>
      </c>
      <c r="AD123" s="8">
        <f>IF($O$3="(Todas)",COUNTIFS(BASE[CODCIE108],ENOS_G3_IRANN_20_59_AÑOS[[#This Row],[CIE-10]],BASE[Edad],"&gt;=20",BASE[Edad],"&lt;=59"),COUNTIFS(BASE[Cod.Establecimiento],$O$3,BASE[CODCIE108],ENOS_G3_IRANN_20_59_AÑOS[[#This Row],[CIE-10]],BASE[Edad],"&gt;=20",BASE[Edad],"&lt;=59"))</f>
        <v>0</v>
      </c>
      <c r="AE123" s="8">
        <f>IF($O$3="(Todas)",COUNTIFS(BASE[CODCIE1010],ENOS_G3_IRANN_20_59_AÑOS[[#This Row],[CIE-10]],BASE[Edad],"&gt;=20",BASE[Edad],"&lt;=59"),COUNTIFS(BASE[Cod.Establecimiento],$O$3,BASE[CODCIE1010],ENOS_G3_IRANN_20_59_AÑOS[[#This Row],[CIE-10]],BASE[Edad],"&gt;=20",BASE[Edad],"&lt;=59"))</f>
        <v>0</v>
      </c>
      <c r="AF123" s="9">
        <f>SUM(ENOS_G3_IRANN_20_59_AÑOS[[#This Row],[D1]:[D6]])</f>
        <v>0</v>
      </c>
    </row>
    <row r="124" spans="1:3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spans="1:32" ht="18" customHeight="1" thickBo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80" t="s">
        <v>282</v>
      </c>
      <c r="Q125" s="81"/>
      <c r="R125" s="81"/>
      <c r="S125" s="81"/>
      <c r="T125" s="81"/>
      <c r="U125" s="81"/>
      <c r="V125" s="81"/>
      <c r="W125" s="81"/>
      <c r="X125" s="2"/>
      <c r="Y125" s="80" t="s">
        <v>283</v>
      </c>
      <c r="Z125" s="81"/>
      <c r="AA125" s="81"/>
      <c r="AB125" s="81"/>
      <c r="AC125" s="81"/>
      <c r="AD125" s="81"/>
      <c r="AE125" s="81"/>
      <c r="AF125" s="81"/>
    </row>
    <row r="126" spans="1:32" ht="15.75" customHeight="1" thickTop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 t="s">
        <v>93</v>
      </c>
      <c r="Q126" s="8" t="s">
        <v>94</v>
      </c>
      <c r="R126" s="8" t="s">
        <v>95</v>
      </c>
      <c r="S126" s="8" t="s">
        <v>96</v>
      </c>
      <c r="T126" s="8" t="s">
        <v>97</v>
      </c>
      <c r="U126" s="8" t="s">
        <v>98</v>
      </c>
      <c r="V126" s="8" t="s">
        <v>99</v>
      </c>
      <c r="W126" s="10" t="s">
        <v>100</v>
      </c>
      <c r="X126" s="2"/>
      <c r="Y126" s="2" t="s">
        <v>93</v>
      </c>
      <c r="Z126" s="8" t="s">
        <v>94</v>
      </c>
      <c r="AA126" s="8" t="s">
        <v>95</v>
      </c>
      <c r="AB126" s="8" t="s">
        <v>96</v>
      </c>
      <c r="AC126" s="8" t="s">
        <v>97</v>
      </c>
      <c r="AD126" s="8" t="s">
        <v>98</v>
      </c>
      <c r="AE126" s="8" t="s">
        <v>99</v>
      </c>
      <c r="AF126" s="10" t="s">
        <v>100</v>
      </c>
    </row>
    <row r="127" spans="1:3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32" t="s">
        <v>304</v>
      </c>
      <c r="Q127" s="8">
        <f>IF($O$3="(Todas)",COUNTIFS(BASE[CODCIE10],ENOS_G3_IRANN_60_MAS_AÑOS[[#This Row],[CIE-10]],BASE[Edad],"&gt;=60"),COUNTIFS(BASE[Cod.Establecimiento],$O$3,BASE[CODCIE10],ENOS_G3_IRANN_60_MAS_AÑOS[[#This Row],[CIE-10]],BASE[Edad],"&gt;=60"))</f>
        <v>0</v>
      </c>
      <c r="R127" s="8">
        <f>IF($O$3="(Todas)",COUNTIFS(BASE[CODCIE102],ENOS_G3_IRANN_60_MAS_AÑOS[[#This Row],[CIE-10]],BASE[Edad],"&gt;=60"),COUNTIFS(BASE[Cod.Establecimiento],$O$3,BASE[CODCIE102],ENOS_G3_IRANN_60_MAS_AÑOS[[#This Row],[CIE-10]],BASE[Edad],"&gt;=60"))</f>
        <v>0</v>
      </c>
      <c r="S127" s="8">
        <f>IF($O$3="(Todas)",COUNTIFS(BASE[CODCIE104],ENOS_G3_IRANN_60_MAS_AÑOS[[#This Row],[CIE-10]],BASE[Edad],"&gt;=60"),COUNTIFS(BASE[Cod.Establecimiento],$O$3,BASE[CODCIE104],ENOS_G3_IRANN_60_MAS_AÑOS[[#This Row],[CIE-10]],BASE[Edad],"&gt;=60"))</f>
        <v>0</v>
      </c>
      <c r="T127" s="8">
        <f>IF($O$3="(Todas)",COUNTIFS(BASE[CODCIE106],ENOS_G3_IRANN_60_MAS_AÑOS[[#This Row],[CIE-10]],BASE[Edad],"&gt;=60"),COUNTIFS(BASE[Cod.Establecimiento],$O$3,BASE[CODCIE106],ENOS_G3_IRANN_60_MAS_AÑOS[[#This Row],[CIE-10]],BASE[Edad],"&gt;=60"))</f>
        <v>0</v>
      </c>
      <c r="U127" s="8">
        <f>IF($O$3="(Todas)",COUNTIFS(BASE[CODCIE108],ENOS_G3_IRANN_60_MAS_AÑOS[[#This Row],[CIE-10]],BASE[Edad],"&gt;=60"),COUNTIFS(BASE[Cod.Establecimiento],$O$3,BASE[CODCIE108],ENOS_G3_IRANN_60_MAS_AÑOS[[#This Row],[CIE-10]],BASE[Edad],"&gt;=60"))</f>
        <v>0</v>
      </c>
      <c r="V127" s="8">
        <f>IF($O$3="(Todas)",COUNTIFS(BASE[CODCIE1010],ENOS_G3_IRANN_60_MAS_AÑOS[[#This Row],[CIE-10]],BASE[Edad],"&gt;=60"),COUNTIFS(BASE[Cod.Establecimiento],$O$3,BASE[CODCIE1010],ENOS_G3_IRANN_60_MAS_AÑOS[[#This Row],[CIE-10]],BASE[Edad],"&gt;=60"))</f>
        <v>0</v>
      </c>
      <c r="W127" s="9">
        <f>SUM(ENOS_G3_IRANN_60_MAS_AÑOS[[#This Row],[D1]:[D6]])</f>
        <v>0</v>
      </c>
      <c r="X127" s="2"/>
      <c r="Y127" s="32" t="s">
        <v>304</v>
      </c>
      <c r="Z127" s="8">
        <f>IF($O$3="(Todas)",COUNTIFS(BASE[CODCIE10],ENOS_G3_IRANN_SD_AÑOS[[#This Row],[CIE-10]],BASE[Edad],""),COUNTIFS(BASE[Cod.Establecimiento],$O$3,BASE[CODCIE10],ENOS_G3_IRANN_SD_AÑOS[[#This Row],[CIE-10]],BASE[Edad],""))</f>
        <v>0</v>
      </c>
      <c r="AA127" s="8">
        <f>IF($O$3="(Todas)",COUNTIFS(BASE[CODCIE102],ENOS_G3_IRANN_SD_AÑOS[[#This Row],[CIE-10]],BASE[Edad],""),COUNTIFS(BASE[Cod.Establecimiento],$O$3,BASE[CODCIE102],ENOS_G3_IRANN_SD_AÑOS[[#This Row],[CIE-10]],BASE[Edad],""))</f>
        <v>0</v>
      </c>
      <c r="AB127" s="8">
        <f>IF($O$3="(Todas)",COUNTIFS(BASE[CODCIE104],ENOS_G3_IRANN_SD_AÑOS[[#This Row],[CIE-10]],BASE[Edad],""),COUNTIFS(BASE[Cod.Establecimiento],$O$3,BASE[CODCIE104],ENOS_G3_IRANN_SD_AÑOS[[#This Row],[CIE-10]],BASE[Edad],""))</f>
        <v>0</v>
      </c>
      <c r="AC127" s="8">
        <f>IF($O$3="(Todas)",COUNTIFS(BASE[CODCIE106],ENOS_G3_IRANN_SD_AÑOS[[#This Row],[CIE-10]],BASE[Edad],""),COUNTIFS(BASE[Cod.Establecimiento],$O$3,BASE[CODCIE106],ENOS_G3_IRANN_SD_AÑOS[[#This Row],[CIE-10]],BASE[Edad],""))</f>
        <v>0</v>
      </c>
      <c r="AD127" s="8">
        <f>IF($O$3="(Todas)",COUNTIFS(BASE[CODCIE108],ENOS_G3_IRANN_SD_AÑOS[[#This Row],[CIE-10]],BASE[Edad],""),COUNTIFS(BASE[Cod.Establecimiento],$O$3,BASE[CODCIE108],ENOS_G3_IRANN_SD_AÑOS[[#This Row],[CIE-10]],BASE[Edad],""))</f>
        <v>0</v>
      </c>
      <c r="AE127" s="8">
        <f>IF($O$3="(Todas)",COUNTIFS(BASE[CODCIE1010],ENOS_G3_IRANN_SD_AÑOS[[#This Row],[CIE-10]],BASE[Edad],""),COUNTIFS(BASE[Cod.Establecimiento],$O$3,BASE[CODCIE1010],ENOS_G3_IRANN_SD_AÑOS[[#This Row],[CIE-10]],BASE[Edad],""))</f>
        <v>0</v>
      </c>
      <c r="AF127" s="9">
        <f>SUM(ENOS_G3_IRANN_SD_AÑOS[[#This Row],[D1]:[D6]])</f>
        <v>0</v>
      </c>
    </row>
    <row r="128" spans="1:3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32" t="s">
        <v>305</v>
      </c>
      <c r="Q128" s="8">
        <f>IF($O$3="(Todas)",COUNTIFS(BASE[CODCIE10],ENOS_G3_IRANN_60_MAS_AÑOS[[#This Row],[CIE-10]],BASE[Edad],"&gt;=60"),COUNTIFS(BASE[Cod.Establecimiento],$O$3,BASE[CODCIE10],ENOS_G3_IRANN_60_MAS_AÑOS[[#This Row],[CIE-10]],BASE[Edad],"&gt;=60"))</f>
        <v>0</v>
      </c>
      <c r="R128" s="8">
        <f>IF($O$3="(Todas)",COUNTIFS(BASE[CODCIE102],ENOS_G3_IRANN_60_MAS_AÑOS[[#This Row],[CIE-10]],BASE[Edad],"&gt;=60"),COUNTIFS(BASE[Cod.Establecimiento],$O$3,BASE[CODCIE102],ENOS_G3_IRANN_60_MAS_AÑOS[[#This Row],[CIE-10]],BASE[Edad],"&gt;=60"))</f>
        <v>0</v>
      </c>
      <c r="S128" s="8">
        <f>IF($O$3="(Todas)",COUNTIFS(BASE[CODCIE104],ENOS_G3_IRANN_60_MAS_AÑOS[[#This Row],[CIE-10]],BASE[Edad],"&gt;=60"),COUNTIFS(BASE[Cod.Establecimiento],$O$3,BASE[CODCIE104],ENOS_G3_IRANN_60_MAS_AÑOS[[#This Row],[CIE-10]],BASE[Edad],"&gt;=60"))</f>
        <v>0</v>
      </c>
      <c r="T128" s="8">
        <f>IF($O$3="(Todas)",COUNTIFS(BASE[CODCIE106],ENOS_G3_IRANN_60_MAS_AÑOS[[#This Row],[CIE-10]],BASE[Edad],"&gt;=60"),COUNTIFS(BASE[Cod.Establecimiento],$O$3,BASE[CODCIE106],ENOS_G3_IRANN_60_MAS_AÑOS[[#This Row],[CIE-10]],BASE[Edad],"&gt;=60"))</f>
        <v>0</v>
      </c>
      <c r="U128" s="8">
        <f>IF($O$3="(Todas)",COUNTIFS(BASE[CODCIE108],ENOS_G3_IRANN_60_MAS_AÑOS[[#This Row],[CIE-10]],BASE[Edad],"&gt;=60"),COUNTIFS(BASE[Cod.Establecimiento],$O$3,BASE[CODCIE108],ENOS_G3_IRANN_60_MAS_AÑOS[[#This Row],[CIE-10]],BASE[Edad],"&gt;=60"))</f>
        <v>0</v>
      </c>
      <c r="V128" s="8">
        <f>IF($O$3="(Todas)",COUNTIFS(BASE[CODCIE1010],ENOS_G3_IRANN_60_MAS_AÑOS[[#This Row],[CIE-10]],BASE[Edad],"&gt;=60"),COUNTIFS(BASE[Cod.Establecimiento],$O$3,BASE[CODCIE1010],ENOS_G3_IRANN_60_MAS_AÑOS[[#This Row],[CIE-10]],BASE[Edad],"&gt;=60"))</f>
        <v>0</v>
      </c>
      <c r="W128" s="9">
        <f>SUM(ENOS_G3_IRANN_60_MAS_AÑOS[[#This Row],[D1]:[D6]])</f>
        <v>0</v>
      </c>
      <c r="X128" s="2"/>
      <c r="Y128" s="32" t="s">
        <v>305</v>
      </c>
      <c r="Z128" s="8">
        <f>IF($O$3="(Todas)",COUNTIFS(BASE[CODCIE10],ENOS_G3_IRANN_SD_AÑOS[[#This Row],[CIE-10]],BASE[Edad],""),COUNTIFS(BASE[Cod.Establecimiento],$O$3,BASE[CODCIE10],ENOS_G3_IRANN_SD_AÑOS[[#This Row],[CIE-10]],BASE[Edad],""))</f>
        <v>0</v>
      </c>
      <c r="AA128" s="8">
        <f>IF($O$3="(Todas)",COUNTIFS(BASE[CODCIE102],ENOS_G3_IRANN_SD_AÑOS[[#This Row],[CIE-10]],BASE[Edad],""),COUNTIFS(BASE[Cod.Establecimiento],$O$3,BASE[CODCIE102],ENOS_G3_IRANN_SD_AÑOS[[#This Row],[CIE-10]],BASE[Edad],""))</f>
        <v>0</v>
      </c>
      <c r="AB128" s="8">
        <f>IF($O$3="(Todas)",COUNTIFS(BASE[CODCIE104],ENOS_G3_IRANN_SD_AÑOS[[#This Row],[CIE-10]],BASE[Edad],""),COUNTIFS(BASE[Cod.Establecimiento],$O$3,BASE[CODCIE104],ENOS_G3_IRANN_SD_AÑOS[[#This Row],[CIE-10]],BASE[Edad],""))</f>
        <v>0</v>
      </c>
      <c r="AC128" s="8">
        <f>IF($O$3="(Todas)",COUNTIFS(BASE[CODCIE106],ENOS_G3_IRANN_SD_AÑOS[[#This Row],[CIE-10]],BASE[Edad],""),COUNTIFS(BASE[Cod.Establecimiento],$O$3,BASE[CODCIE106],ENOS_G3_IRANN_SD_AÑOS[[#This Row],[CIE-10]],BASE[Edad],""))</f>
        <v>0</v>
      </c>
      <c r="AD128" s="8">
        <f>IF($O$3="(Todas)",COUNTIFS(BASE[CODCIE108],ENOS_G3_IRANN_SD_AÑOS[[#This Row],[CIE-10]],BASE[Edad],""),COUNTIFS(BASE[Cod.Establecimiento],$O$3,BASE[CODCIE108],ENOS_G3_IRANN_SD_AÑOS[[#This Row],[CIE-10]],BASE[Edad],""))</f>
        <v>0</v>
      </c>
      <c r="AE128" s="8">
        <f>IF($O$3="(Todas)",COUNTIFS(BASE[CODCIE1010],ENOS_G3_IRANN_SD_AÑOS[[#This Row],[CIE-10]],BASE[Edad],""),COUNTIFS(BASE[Cod.Establecimiento],$O$3,BASE[CODCIE1010],ENOS_G3_IRANN_SD_AÑOS[[#This Row],[CIE-10]],BASE[Edad],""))</f>
        <v>0</v>
      </c>
      <c r="AF128" s="9">
        <f>SUM(ENOS_G3_IRANN_SD_AÑOS[[#This Row],[D1]:[D6]])</f>
        <v>0</v>
      </c>
    </row>
    <row r="129" spans="1:3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32" t="s">
        <v>306</v>
      </c>
      <c r="Q129" s="8">
        <f>IF($O$3="(Todas)",COUNTIFS(BASE[CODCIE10],ENOS_G3_IRANN_60_MAS_AÑOS[[#This Row],[CIE-10]],BASE[Edad],"&gt;=60"),COUNTIFS(BASE[Cod.Establecimiento],$O$3,BASE[CODCIE10],ENOS_G3_IRANN_60_MAS_AÑOS[[#This Row],[CIE-10]],BASE[Edad],"&gt;=60"))</f>
        <v>0</v>
      </c>
      <c r="R129" s="8">
        <f>IF($O$3="(Todas)",COUNTIFS(BASE[CODCIE102],ENOS_G3_IRANN_60_MAS_AÑOS[[#This Row],[CIE-10]],BASE[Edad],"&gt;=60"),COUNTIFS(BASE[Cod.Establecimiento],$O$3,BASE[CODCIE102],ENOS_G3_IRANN_60_MAS_AÑOS[[#This Row],[CIE-10]],BASE[Edad],"&gt;=60"))</f>
        <v>0</v>
      </c>
      <c r="S129" s="8">
        <f>IF($O$3="(Todas)",COUNTIFS(BASE[CODCIE104],ENOS_G3_IRANN_60_MAS_AÑOS[[#This Row],[CIE-10]],BASE[Edad],"&gt;=60"),COUNTIFS(BASE[Cod.Establecimiento],$O$3,BASE[CODCIE104],ENOS_G3_IRANN_60_MAS_AÑOS[[#This Row],[CIE-10]],BASE[Edad],"&gt;=60"))</f>
        <v>0</v>
      </c>
      <c r="T129" s="8">
        <f>IF($O$3="(Todas)",COUNTIFS(BASE[CODCIE106],ENOS_G3_IRANN_60_MAS_AÑOS[[#This Row],[CIE-10]],BASE[Edad],"&gt;=60"),COUNTIFS(BASE[Cod.Establecimiento],$O$3,BASE[CODCIE106],ENOS_G3_IRANN_60_MAS_AÑOS[[#This Row],[CIE-10]],BASE[Edad],"&gt;=60"))</f>
        <v>0</v>
      </c>
      <c r="U129" s="8">
        <f>IF($O$3="(Todas)",COUNTIFS(BASE[CODCIE108],ENOS_G3_IRANN_60_MAS_AÑOS[[#This Row],[CIE-10]],BASE[Edad],"&gt;=60"),COUNTIFS(BASE[Cod.Establecimiento],$O$3,BASE[CODCIE108],ENOS_G3_IRANN_60_MAS_AÑOS[[#This Row],[CIE-10]],BASE[Edad],"&gt;=60"))</f>
        <v>0</v>
      </c>
      <c r="V129" s="8">
        <f>IF($O$3="(Todas)",COUNTIFS(BASE[CODCIE1010],ENOS_G3_IRANN_60_MAS_AÑOS[[#This Row],[CIE-10]],BASE[Edad],"&gt;=60"),COUNTIFS(BASE[Cod.Establecimiento],$O$3,BASE[CODCIE1010],ENOS_G3_IRANN_60_MAS_AÑOS[[#This Row],[CIE-10]],BASE[Edad],"&gt;=60"))</f>
        <v>0</v>
      </c>
      <c r="W129" s="9">
        <f>SUM(ENOS_G3_IRANN_60_MAS_AÑOS[[#This Row],[D1]:[D6]])</f>
        <v>0</v>
      </c>
      <c r="X129" s="2"/>
      <c r="Y129" s="32" t="s">
        <v>306</v>
      </c>
      <c r="Z129" s="8">
        <f>IF($O$3="(Todas)",COUNTIFS(BASE[CODCIE10],ENOS_G3_IRANN_SD_AÑOS[[#This Row],[CIE-10]],BASE[Edad],""),COUNTIFS(BASE[Cod.Establecimiento],$O$3,BASE[CODCIE10],ENOS_G3_IRANN_SD_AÑOS[[#This Row],[CIE-10]],BASE[Edad],""))</f>
        <v>0</v>
      </c>
      <c r="AA129" s="8">
        <f>IF($O$3="(Todas)",COUNTIFS(BASE[CODCIE102],ENOS_G3_IRANN_SD_AÑOS[[#This Row],[CIE-10]],BASE[Edad],""),COUNTIFS(BASE[Cod.Establecimiento],$O$3,BASE[CODCIE102],ENOS_G3_IRANN_SD_AÑOS[[#This Row],[CIE-10]],BASE[Edad],""))</f>
        <v>0</v>
      </c>
      <c r="AB129" s="8">
        <f>IF($O$3="(Todas)",COUNTIFS(BASE[CODCIE104],ENOS_G3_IRANN_SD_AÑOS[[#This Row],[CIE-10]],BASE[Edad],""),COUNTIFS(BASE[Cod.Establecimiento],$O$3,BASE[CODCIE104],ENOS_G3_IRANN_SD_AÑOS[[#This Row],[CIE-10]],BASE[Edad],""))</f>
        <v>0</v>
      </c>
      <c r="AC129" s="8">
        <f>IF($O$3="(Todas)",COUNTIFS(BASE[CODCIE106],ENOS_G3_IRANN_SD_AÑOS[[#This Row],[CIE-10]],BASE[Edad],""),COUNTIFS(BASE[Cod.Establecimiento],$O$3,BASE[CODCIE106],ENOS_G3_IRANN_SD_AÑOS[[#This Row],[CIE-10]],BASE[Edad],""))</f>
        <v>0</v>
      </c>
      <c r="AD129" s="8">
        <f>IF($O$3="(Todas)",COUNTIFS(BASE[CODCIE108],ENOS_G3_IRANN_SD_AÑOS[[#This Row],[CIE-10]],BASE[Edad],""),COUNTIFS(BASE[Cod.Establecimiento],$O$3,BASE[CODCIE108],ENOS_G3_IRANN_SD_AÑOS[[#This Row],[CIE-10]],BASE[Edad],""))</f>
        <v>0</v>
      </c>
      <c r="AE129" s="8">
        <f>IF($O$3="(Todas)",COUNTIFS(BASE[CODCIE1010],ENOS_G3_IRANN_SD_AÑOS[[#This Row],[CIE-10]],BASE[Edad],""),COUNTIFS(BASE[Cod.Establecimiento],$O$3,BASE[CODCIE1010],ENOS_G3_IRANN_SD_AÑOS[[#This Row],[CIE-10]],BASE[Edad],""))</f>
        <v>0</v>
      </c>
      <c r="AF129" s="9">
        <f>SUM(ENOS_G3_IRANN_SD_AÑOS[[#This Row],[D1]:[D6]])</f>
        <v>0</v>
      </c>
    </row>
    <row r="130" spans="1:3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32" t="s">
        <v>307</v>
      </c>
      <c r="Q130" s="8">
        <f>IF($O$3="(Todas)",COUNTIFS(BASE[CODCIE10],ENOS_G3_IRANN_60_MAS_AÑOS[[#This Row],[CIE-10]],BASE[Edad],"&gt;=60"),COUNTIFS(BASE[Cod.Establecimiento],$O$3,BASE[CODCIE10],ENOS_G3_IRANN_60_MAS_AÑOS[[#This Row],[CIE-10]],BASE[Edad],"&gt;=60"))</f>
        <v>0</v>
      </c>
      <c r="R130" s="8">
        <f>IF($O$3="(Todas)",COUNTIFS(BASE[CODCIE102],ENOS_G3_IRANN_60_MAS_AÑOS[[#This Row],[CIE-10]],BASE[Edad],"&gt;=60"),COUNTIFS(BASE[Cod.Establecimiento],$O$3,BASE[CODCIE102],ENOS_G3_IRANN_60_MAS_AÑOS[[#This Row],[CIE-10]],BASE[Edad],"&gt;=60"))</f>
        <v>0</v>
      </c>
      <c r="S130" s="8">
        <f>IF($O$3="(Todas)",COUNTIFS(BASE[CODCIE104],ENOS_G3_IRANN_60_MAS_AÑOS[[#This Row],[CIE-10]],BASE[Edad],"&gt;=60"),COUNTIFS(BASE[Cod.Establecimiento],$O$3,BASE[CODCIE104],ENOS_G3_IRANN_60_MAS_AÑOS[[#This Row],[CIE-10]],BASE[Edad],"&gt;=60"))</f>
        <v>0</v>
      </c>
      <c r="T130" s="8">
        <f>IF($O$3="(Todas)",COUNTIFS(BASE[CODCIE106],ENOS_G3_IRANN_60_MAS_AÑOS[[#This Row],[CIE-10]],BASE[Edad],"&gt;=60"),COUNTIFS(BASE[Cod.Establecimiento],$O$3,BASE[CODCIE106],ENOS_G3_IRANN_60_MAS_AÑOS[[#This Row],[CIE-10]],BASE[Edad],"&gt;=60"))</f>
        <v>0</v>
      </c>
      <c r="U130" s="8">
        <f>IF($O$3="(Todas)",COUNTIFS(BASE[CODCIE108],ENOS_G3_IRANN_60_MAS_AÑOS[[#This Row],[CIE-10]],BASE[Edad],"&gt;=60"),COUNTIFS(BASE[Cod.Establecimiento],$O$3,BASE[CODCIE108],ENOS_G3_IRANN_60_MAS_AÑOS[[#This Row],[CIE-10]],BASE[Edad],"&gt;=60"))</f>
        <v>0</v>
      </c>
      <c r="V130" s="8">
        <f>IF($O$3="(Todas)",COUNTIFS(BASE[CODCIE1010],ENOS_G3_IRANN_60_MAS_AÑOS[[#This Row],[CIE-10]],BASE[Edad],"&gt;=60"),COUNTIFS(BASE[Cod.Establecimiento],$O$3,BASE[CODCIE1010],ENOS_G3_IRANN_60_MAS_AÑOS[[#This Row],[CIE-10]],BASE[Edad],"&gt;=60"))</f>
        <v>0</v>
      </c>
      <c r="W130" s="9">
        <f>SUM(ENOS_G3_IRANN_60_MAS_AÑOS[[#This Row],[D1]:[D6]])</f>
        <v>0</v>
      </c>
      <c r="X130" s="2"/>
      <c r="Y130" s="32" t="s">
        <v>307</v>
      </c>
      <c r="Z130" s="8">
        <f>IF($O$3="(Todas)",COUNTIFS(BASE[CODCIE10],ENOS_G3_IRANN_SD_AÑOS[[#This Row],[CIE-10]],BASE[Edad],""),COUNTIFS(BASE[Cod.Establecimiento],$O$3,BASE[CODCIE10],ENOS_G3_IRANN_SD_AÑOS[[#This Row],[CIE-10]],BASE[Edad],""))</f>
        <v>0</v>
      </c>
      <c r="AA130" s="8">
        <f>IF($O$3="(Todas)",COUNTIFS(BASE[CODCIE102],ENOS_G3_IRANN_SD_AÑOS[[#This Row],[CIE-10]],BASE[Edad],""),COUNTIFS(BASE[Cod.Establecimiento],$O$3,BASE[CODCIE102],ENOS_G3_IRANN_SD_AÑOS[[#This Row],[CIE-10]],BASE[Edad],""))</f>
        <v>0</v>
      </c>
      <c r="AB130" s="8">
        <f>IF($O$3="(Todas)",COUNTIFS(BASE[CODCIE104],ENOS_G3_IRANN_SD_AÑOS[[#This Row],[CIE-10]],BASE[Edad],""),COUNTIFS(BASE[Cod.Establecimiento],$O$3,BASE[CODCIE104],ENOS_G3_IRANN_SD_AÑOS[[#This Row],[CIE-10]],BASE[Edad],""))</f>
        <v>0</v>
      </c>
      <c r="AC130" s="8">
        <f>IF($O$3="(Todas)",COUNTIFS(BASE[CODCIE106],ENOS_G3_IRANN_SD_AÑOS[[#This Row],[CIE-10]],BASE[Edad],""),COUNTIFS(BASE[Cod.Establecimiento],$O$3,BASE[CODCIE106],ENOS_G3_IRANN_SD_AÑOS[[#This Row],[CIE-10]],BASE[Edad],""))</f>
        <v>0</v>
      </c>
      <c r="AD130" s="8">
        <f>IF($O$3="(Todas)",COUNTIFS(BASE[CODCIE108],ENOS_G3_IRANN_SD_AÑOS[[#This Row],[CIE-10]],BASE[Edad],""),COUNTIFS(BASE[Cod.Establecimiento],$O$3,BASE[CODCIE108],ENOS_G3_IRANN_SD_AÑOS[[#This Row],[CIE-10]],BASE[Edad],""))</f>
        <v>0</v>
      </c>
      <c r="AE130" s="8">
        <f>IF($O$3="(Todas)",COUNTIFS(BASE[CODCIE1010],ENOS_G3_IRANN_SD_AÑOS[[#This Row],[CIE-10]],BASE[Edad],""),COUNTIFS(BASE[Cod.Establecimiento],$O$3,BASE[CODCIE1010],ENOS_G3_IRANN_SD_AÑOS[[#This Row],[CIE-10]],BASE[Edad],""))</f>
        <v>0</v>
      </c>
      <c r="AF130" s="9">
        <f>SUM(ENOS_G3_IRANN_SD_AÑOS[[#This Row],[D1]:[D6]])</f>
        <v>0</v>
      </c>
    </row>
    <row r="131" spans="1:3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32" t="s">
        <v>308</v>
      </c>
      <c r="Q131" s="8">
        <f>IF($O$3="(Todas)",COUNTIFS(BASE[CODCIE10],ENOS_G3_IRANN_60_MAS_AÑOS[[#This Row],[CIE-10]],BASE[Edad],"&gt;=60"),COUNTIFS(BASE[Cod.Establecimiento],$O$3,BASE[CODCIE10],ENOS_G3_IRANN_60_MAS_AÑOS[[#This Row],[CIE-10]],BASE[Edad],"&gt;=60"))</f>
        <v>0</v>
      </c>
      <c r="R131" s="8">
        <f>IF($O$3="(Todas)",COUNTIFS(BASE[CODCIE102],ENOS_G3_IRANN_60_MAS_AÑOS[[#This Row],[CIE-10]],BASE[Edad],"&gt;=60"),COUNTIFS(BASE[Cod.Establecimiento],$O$3,BASE[CODCIE102],ENOS_G3_IRANN_60_MAS_AÑOS[[#This Row],[CIE-10]],BASE[Edad],"&gt;=60"))</f>
        <v>0</v>
      </c>
      <c r="S131" s="8">
        <f>IF($O$3="(Todas)",COUNTIFS(BASE[CODCIE104],ENOS_G3_IRANN_60_MAS_AÑOS[[#This Row],[CIE-10]],BASE[Edad],"&gt;=60"),COUNTIFS(BASE[Cod.Establecimiento],$O$3,BASE[CODCIE104],ENOS_G3_IRANN_60_MAS_AÑOS[[#This Row],[CIE-10]],BASE[Edad],"&gt;=60"))</f>
        <v>0</v>
      </c>
      <c r="T131" s="8">
        <f>IF($O$3="(Todas)",COUNTIFS(BASE[CODCIE106],ENOS_G3_IRANN_60_MAS_AÑOS[[#This Row],[CIE-10]],BASE[Edad],"&gt;=60"),COUNTIFS(BASE[Cod.Establecimiento],$O$3,BASE[CODCIE106],ENOS_G3_IRANN_60_MAS_AÑOS[[#This Row],[CIE-10]],BASE[Edad],"&gt;=60"))</f>
        <v>0</v>
      </c>
      <c r="U131" s="8">
        <f>IF($O$3="(Todas)",COUNTIFS(BASE[CODCIE108],ENOS_G3_IRANN_60_MAS_AÑOS[[#This Row],[CIE-10]],BASE[Edad],"&gt;=60"),COUNTIFS(BASE[Cod.Establecimiento],$O$3,BASE[CODCIE108],ENOS_G3_IRANN_60_MAS_AÑOS[[#This Row],[CIE-10]],BASE[Edad],"&gt;=60"))</f>
        <v>0</v>
      </c>
      <c r="V131" s="8">
        <f>IF($O$3="(Todas)",COUNTIFS(BASE[CODCIE1010],ENOS_G3_IRANN_60_MAS_AÑOS[[#This Row],[CIE-10]],BASE[Edad],"&gt;=60"),COUNTIFS(BASE[Cod.Establecimiento],$O$3,BASE[CODCIE1010],ENOS_G3_IRANN_60_MAS_AÑOS[[#This Row],[CIE-10]],BASE[Edad],"&gt;=60"))</f>
        <v>0</v>
      </c>
      <c r="W131" s="9">
        <f>SUM(ENOS_G3_IRANN_60_MAS_AÑOS[[#This Row],[D1]:[D6]])</f>
        <v>0</v>
      </c>
      <c r="X131" s="2"/>
      <c r="Y131" s="32" t="s">
        <v>308</v>
      </c>
      <c r="Z131" s="8">
        <f>IF($O$3="(Todas)",COUNTIFS(BASE[CODCIE10],ENOS_G3_IRANN_SD_AÑOS[[#This Row],[CIE-10]],BASE[Edad],""),COUNTIFS(BASE[Cod.Establecimiento],$O$3,BASE[CODCIE10],ENOS_G3_IRANN_SD_AÑOS[[#This Row],[CIE-10]],BASE[Edad],""))</f>
        <v>0</v>
      </c>
      <c r="AA131" s="8">
        <f>IF($O$3="(Todas)",COUNTIFS(BASE[CODCIE102],ENOS_G3_IRANN_SD_AÑOS[[#This Row],[CIE-10]],BASE[Edad],""),COUNTIFS(BASE[Cod.Establecimiento],$O$3,BASE[CODCIE102],ENOS_G3_IRANN_SD_AÑOS[[#This Row],[CIE-10]],BASE[Edad],""))</f>
        <v>0</v>
      </c>
      <c r="AB131" s="8">
        <f>IF($O$3="(Todas)",COUNTIFS(BASE[CODCIE104],ENOS_G3_IRANN_SD_AÑOS[[#This Row],[CIE-10]],BASE[Edad],""),COUNTIFS(BASE[Cod.Establecimiento],$O$3,BASE[CODCIE104],ENOS_G3_IRANN_SD_AÑOS[[#This Row],[CIE-10]],BASE[Edad],""))</f>
        <v>0</v>
      </c>
      <c r="AC131" s="8">
        <f>IF($O$3="(Todas)",COUNTIFS(BASE[CODCIE106],ENOS_G3_IRANN_SD_AÑOS[[#This Row],[CIE-10]],BASE[Edad],""),COUNTIFS(BASE[Cod.Establecimiento],$O$3,BASE[CODCIE106],ENOS_G3_IRANN_SD_AÑOS[[#This Row],[CIE-10]],BASE[Edad],""))</f>
        <v>0</v>
      </c>
      <c r="AD131" s="8">
        <f>IF($O$3="(Todas)",COUNTIFS(BASE[CODCIE108],ENOS_G3_IRANN_SD_AÑOS[[#This Row],[CIE-10]],BASE[Edad],""),COUNTIFS(BASE[Cod.Establecimiento],$O$3,BASE[CODCIE108],ENOS_G3_IRANN_SD_AÑOS[[#This Row],[CIE-10]],BASE[Edad],""))</f>
        <v>0</v>
      </c>
      <c r="AE131" s="8">
        <f>IF($O$3="(Todas)",COUNTIFS(BASE[CODCIE1010],ENOS_G3_IRANN_SD_AÑOS[[#This Row],[CIE-10]],BASE[Edad],""),COUNTIFS(BASE[Cod.Establecimiento],$O$3,BASE[CODCIE1010],ENOS_G3_IRANN_SD_AÑOS[[#This Row],[CIE-10]],BASE[Edad],""))</f>
        <v>0</v>
      </c>
      <c r="AF131" s="9">
        <f>SUM(ENOS_G3_IRANN_SD_AÑOS[[#This Row],[D1]:[D6]])</f>
        <v>0</v>
      </c>
    </row>
    <row r="132" spans="1: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32" t="s">
        <v>309</v>
      </c>
      <c r="Q132" s="8">
        <f>IF($O$3="(Todas)",COUNTIFS(BASE[CODCIE10],ENOS_G3_IRANN_60_MAS_AÑOS[[#This Row],[CIE-10]],BASE[Edad],"&gt;=60"),COUNTIFS(BASE[Cod.Establecimiento],$O$3,BASE[CODCIE10],ENOS_G3_IRANN_60_MAS_AÑOS[[#This Row],[CIE-10]],BASE[Edad],"&gt;=60"))</f>
        <v>0</v>
      </c>
      <c r="R132" s="8">
        <f>IF($O$3="(Todas)",COUNTIFS(BASE[CODCIE102],ENOS_G3_IRANN_60_MAS_AÑOS[[#This Row],[CIE-10]],BASE[Edad],"&gt;=60"),COUNTIFS(BASE[Cod.Establecimiento],$O$3,BASE[CODCIE102],ENOS_G3_IRANN_60_MAS_AÑOS[[#This Row],[CIE-10]],BASE[Edad],"&gt;=60"))</f>
        <v>0</v>
      </c>
      <c r="S132" s="8">
        <f>IF($O$3="(Todas)",COUNTIFS(BASE[CODCIE104],ENOS_G3_IRANN_60_MAS_AÑOS[[#This Row],[CIE-10]],BASE[Edad],"&gt;=60"),COUNTIFS(BASE[Cod.Establecimiento],$O$3,BASE[CODCIE104],ENOS_G3_IRANN_60_MAS_AÑOS[[#This Row],[CIE-10]],BASE[Edad],"&gt;=60"))</f>
        <v>0</v>
      </c>
      <c r="T132" s="8">
        <f>IF($O$3="(Todas)",COUNTIFS(BASE[CODCIE106],ENOS_G3_IRANN_60_MAS_AÑOS[[#This Row],[CIE-10]],BASE[Edad],"&gt;=60"),COUNTIFS(BASE[Cod.Establecimiento],$O$3,BASE[CODCIE106],ENOS_G3_IRANN_60_MAS_AÑOS[[#This Row],[CIE-10]],BASE[Edad],"&gt;=60"))</f>
        <v>0</v>
      </c>
      <c r="U132" s="8">
        <f>IF($O$3="(Todas)",COUNTIFS(BASE[CODCIE108],ENOS_G3_IRANN_60_MAS_AÑOS[[#This Row],[CIE-10]],BASE[Edad],"&gt;=60"),COUNTIFS(BASE[Cod.Establecimiento],$O$3,BASE[CODCIE108],ENOS_G3_IRANN_60_MAS_AÑOS[[#This Row],[CIE-10]],BASE[Edad],"&gt;=60"))</f>
        <v>0</v>
      </c>
      <c r="V132" s="8">
        <f>IF($O$3="(Todas)",COUNTIFS(BASE[CODCIE1010],ENOS_G3_IRANN_60_MAS_AÑOS[[#This Row],[CIE-10]],BASE[Edad],"&gt;=60"),COUNTIFS(BASE[Cod.Establecimiento],$O$3,BASE[CODCIE1010],ENOS_G3_IRANN_60_MAS_AÑOS[[#This Row],[CIE-10]],BASE[Edad],"&gt;=60"))</f>
        <v>0</v>
      </c>
      <c r="W132" s="9">
        <f>SUM(ENOS_G3_IRANN_60_MAS_AÑOS[[#This Row],[D1]:[D6]])</f>
        <v>0</v>
      </c>
      <c r="X132" s="2"/>
      <c r="Y132" s="32" t="s">
        <v>309</v>
      </c>
      <c r="Z132" s="8">
        <f>IF($O$3="(Todas)",COUNTIFS(BASE[CODCIE10],ENOS_G3_IRANN_SD_AÑOS[[#This Row],[CIE-10]],BASE[Edad],""),COUNTIFS(BASE[Cod.Establecimiento],$O$3,BASE[CODCIE10],ENOS_G3_IRANN_SD_AÑOS[[#This Row],[CIE-10]],BASE[Edad],""))</f>
        <v>0</v>
      </c>
      <c r="AA132" s="8">
        <f>IF($O$3="(Todas)",COUNTIFS(BASE[CODCIE102],ENOS_G3_IRANN_SD_AÑOS[[#This Row],[CIE-10]],BASE[Edad],""),COUNTIFS(BASE[Cod.Establecimiento],$O$3,BASE[CODCIE102],ENOS_G3_IRANN_SD_AÑOS[[#This Row],[CIE-10]],BASE[Edad],""))</f>
        <v>0</v>
      </c>
      <c r="AB132" s="8">
        <f>IF($O$3="(Todas)",COUNTIFS(BASE[CODCIE104],ENOS_G3_IRANN_SD_AÑOS[[#This Row],[CIE-10]],BASE[Edad],""),COUNTIFS(BASE[Cod.Establecimiento],$O$3,BASE[CODCIE104],ENOS_G3_IRANN_SD_AÑOS[[#This Row],[CIE-10]],BASE[Edad],""))</f>
        <v>0</v>
      </c>
      <c r="AC132" s="8">
        <f>IF($O$3="(Todas)",COUNTIFS(BASE[CODCIE106],ENOS_G3_IRANN_SD_AÑOS[[#This Row],[CIE-10]],BASE[Edad],""),COUNTIFS(BASE[Cod.Establecimiento],$O$3,BASE[CODCIE106],ENOS_G3_IRANN_SD_AÑOS[[#This Row],[CIE-10]],BASE[Edad],""))</f>
        <v>0</v>
      </c>
      <c r="AD132" s="8">
        <f>IF($O$3="(Todas)",COUNTIFS(BASE[CODCIE108],ENOS_G3_IRANN_SD_AÑOS[[#This Row],[CIE-10]],BASE[Edad],""),COUNTIFS(BASE[Cod.Establecimiento],$O$3,BASE[CODCIE108],ENOS_G3_IRANN_SD_AÑOS[[#This Row],[CIE-10]],BASE[Edad],""))</f>
        <v>0</v>
      </c>
      <c r="AE132" s="8">
        <f>IF($O$3="(Todas)",COUNTIFS(BASE[CODCIE1010],ENOS_G3_IRANN_SD_AÑOS[[#This Row],[CIE-10]],BASE[Edad],""),COUNTIFS(BASE[Cod.Establecimiento],$O$3,BASE[CODCIE1010],ENOS_G3_IRANN_SD_AÑOS[[#This Row],[CIE-10]],BASE[Edad],""))</f>
        <v>0</v>
      </c>
      <c r="AF132" s="9">
        <f>SUM(ENOS_G3_IRANN_SD_AÑOS[[#This Row],[D1]:[D6]])</f>
        <v>0</v>
      </c>
    </row>
    <row r="133" spans="1:32" ht="18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32" t="s">
        <v>310</v>
      </c>
      <c r="Q133" s="8">
        <f>IF($O$3="(Todas)",COUNTIFS(BASE[CODCIE10],ENOS_G3_IRANN_60_MAS_AÑOS[[#This Row],[CIE-10]],BASE[Edad],"&gt;=60"),COUNTIFS(BASE[Cod.Establecimiento],$O$3,BASE[CODCIE10],ENOS_G3_IRANN_60_MAS_AÑOS[[#This Row],[CIE-10]],BASE[Edad],"&gt;=60"))</f>
        <v>0</v>
      </c>
      <c r="R133" s="8">
        <f>IF($O$3="(Todas)",COUNTIFS(BASE[CODCIE102],ENOS_G3_IRANN_60_MAS_AÑOS[[#This Row],[CIE-10]],BASE[Edad],"&gt;=60"),COUNTIFS(BASE[Cod.Establecimiento],$O$3,BASE[CODCIE102],ENOS_G3_IRANN_60_MAS_AÑOS[[#This Row],[CIE-10]],BASE[Edad],"&gt;=60"))</f>
        <v>0</v>
      </c>
      <c r="S133" s="8">
        <f>IF($O$3="(Todas)",COUNTIFS(BASE[CODCIE104],ENOS_G3_IRANN_60_MAS_AÑOS[[#This Row],[CIE-10]],BASE[Edad],"&gt;=60"),COUNTIFS(BASE[Cod.Establecimiento],$O$3,BASE[CODCIE104],ENOS_G3_IRANN_60_MAS_AÑOS[[#This Row],[CIE-10]],BASE[Edad],"&gt;=60"))</f>
        <v>0</v>
      </c>
      <c r="T133" s="8">
        <f>IF($O$3="(Todas)",COUNTIFS(BASE[CODCIE106],ENOS_G3_IRANN_60_MAS_AÑOS[[#This Row],[CIE-10]],BASE[Edad],"&gt;=60"),COUNTIFS(BASE[Cod.Establecimiento],$O$3,BASE[CODCIE106],ENOS_G3_IRANN_60_MAS_AÑOS[[#This Row],[CIE-10]],BASE[Edad],"&gt;=60"))</f>
        <v>0</v>
      </c>
      <c r="U133" s="8">
        <f>IF($O$3="(Todas)",COUNTIFS(BASE[CODCIE108],ENOS_G3_IRANN_60_MAS_AÑOS[[#This Row],[CIE-10]],BASE[Edad],"&gt;=60"),COUNTIFS(BASE[Cod.Establecimiento],$O$3,BASE[CODCIE108],ENOS_G3_IRANN_60_MAS_AÑOS[[#This Row],[CIE-10]],BASE[Edad],"&gt;=60"))</f>
        <v>0</v>
      </c>
      <c r="V133" s="8">
        <f>IF($O$3="(Todas)",COUNTIFS(BASE[CODCIE1010],ENOS_G3_IRANN_60_MAS_AÑOS[[#This Row],[CIE-10]],BASE[Edad],"&gt;=60"),COUNTIFS(BASE[Cod.Establecimiento],$O$3,BASE[CODCIE1010],ENOS_G3_IRANN_60_MAS_AÑOS[[#This Row],[CIE-10]],BASE[Edad],"&gt;=60"))</f>
        <v>0</v>
      </c>
      <c r="W133" s="9">
        <f>SUM(ENOS_G3_IRANN_60_MAS_AÑOS[[#This Row],[D1]:[D6]])</f>
        <v>0</v>
      </c>
      <c r="X133" s="2"/>
      <c r="Y133" s="32" t="s">
        <v>310</v>
      </c>
      <c r="Z133" s="8">
        <f>IF($O$3="(Todas)",COUNTIFS(BASE[CODCIE10],ENOS_G3_IRANN_SD_AÑOS[[#This Row],[CIE-10]],BASE[Edad],""),COUNTIFS(BASE[Cod.Establecimiento],$O$3,BASE[CODCIE10],ENOS_G3_IRANN_SD_AÑOS[[#This Row],[CIE-10]],BASE[Edad],""))</f>
        <v>0</v>
      </c>
      <c r="AA133" s="8">
        <f>IF($O$3="(Todas)",COUNTIFS(BASE[CODCIE102],ENOS_G3_IRANN_SD_AÑOS[[#This Row],[CIE-10]],BASE[Edad],""),COUNTIFS(BASE[Cod.Establecimiento],$O$3,BASE[CODCIE102],ENOS_G3_IRANN_SD_AÑOS[[#This Row],[CIE-10]],BASE[Edad],""))</f>
        <v>0</v>
      </c>
      <c r="AB133" s="8">
        <f>IF($O$3="(Todas)",COUNTIFS(BASE[CODCIE104],ENOS_G3_IRANN_SD_AÑOS[[#This Row],[CIE-10]],BASE[Edad],""),COUNTIFS(BASE[Cod.Establecimiento],$O$3,BASE[CODCIE104],ENOS_G3_IRANN_SD_AÑOS[[#This Row],[CIE-10]],BASE[Edad],""))</f>
        <v>0</v>
      </c>
      <c r="AC133" s="8">
        <f>IF($O$3="(Todas)",COUNTIFS(BASE[CODCIE106],ENOS_G3_IRANN_SD_AÑOS[[#This Row],[CIE-10]],BASE[Edad],""),COUNTIFS(BASE[Cod.Establecimiento],$O$3,BASE[CODCIE106],ENOS_G3_IRANN_SD_AÑOS[[#This Row],[CIE-10]],BASE[Edad],""))</f>
        <v>0</v>
      </c>
      <c r="AD133" s="8">
        <f>IF($O$3="(Todas)",COUNTIFS(BASE[CODCIE108],ENOS_G3_IRANN_SD_AÑOS[[#This Row],[CIE-10]],BASE[Edad],""),COUNTIFS(BASE[Cod.Establecimiento],$O$3,BASE[CODCIE108],ENOS_G3_IRANN_SD_AÑOS[[#This Row],[CIE-10]],BASE[Edad],""))</f>
        <v>0</v>
      </c>
      <c r="AE133" s="8">
        <f>IF($O$3="(Todas)",COUNTIFS(BASE[CODCIE1010],ENOS_G3_IRANN_SD_AÑOS[[#This Row],[CIE-10]],BASE[Edad],""),COUNTIFS(BASE[Cod.Establecimiento],$O$3,BASE[CODCIE1010],ENOS_G3_IRANN_SD_AÑOS[[#This Row],[CIE-10]],BASE[Edad],""))</f>
        <v>0</v>
      </c>
      <c r="AF133" s="9">
        <f>SUM(ENOS_G3_IRANN_SD_AÑOS[[#This Row],[D1]:[D6]])</f>
        <v>0</v>
      </c>
    </row>
    <row r="134" spans="1:32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32" t="s">
        <v>311</v>
      </c>
      <c r="Q134" s="8">
        <f>IF($O$3="(Todas)",COUNTIFS(BASE[CODCIE10],ENOS_G3_IRANN_60_MAS_AÑOS[[#This Row],[CIE-10]],BASE[Edad],"&gt;=60"),COUNTIFS(BASE[Cod.Establecimiento],$O$3,BASE[CODCIE10],ENOS_G3_IRANN_60_MAS_AÑOS[[#This Row],[CIE-10]],BASE[Edad],"&gt;=60"))</f>
        <v>0</v>
      </c>
      <c r="R134" s="8">
        <f>IF($O$3="(Todas)",COUNTIFS(BASE[CODCIE102],ENOS_G3_IRANN_60_MAS_AÑOS[[#This Row],[CIE-10]],BASE[Edad],"&gt;=60"),COUNTIFS(BASE[Cod.Establecimiento],$O$3,BASE[CODCIE102],ENOS_G3_IRANN_60_MAS_AÑOS[[#This Row],[CIE-10]],BASE[Edad],"&gt;=60"))</f>
        <v>0</v>
      </c>
      <c r="S134" s="8">
        <f>IF($O$3="(Todas)",COUNTIFS(BASE[CODCIE104],ENOS_G3_IRANN_60_MAS_AÑOS[[#This Row],[CIE-10]],BASE[Edad],"&gt;=60"),COUNTIFS(BASE[Cod.Establecimiento],$O$3,BASE[CODCIE104],ENOS_G3_IRANN_60_MAS_AÑOS[[#This Row],[CIE-10]],BASE[Edad],"&gt;=60"))</f>
        <v>0</v>
      </c>
      <c r="T134" s="8">
        <f>IF($O$3="(Todas)",COUNTIFS(BASE[CODCIE106],ENOS_G3_IRANN_60_MAS_AÑOS[[#This Row],[CIE-10]],BASE[Edad],"&gt;=60"),COUNTIFS(BASE[Cod.Establecimiento],$O$3,BASE[CODCIE106],ENOS_G3_IRANN_60_MAS_AÑOS[[#This Row],[CIE-10]],BASE[Edad],"&gt;=60"))</f>
        <v>0</v>
      </c>
      <c r="U134" s="8">
        <f>IF($O$3="(Todas)",COUNTIFS(BASE[CODCIE108],ENOS_G3_IRANN_60_MAS_AÑOS[[#This Row],[CIE-10]],BASE[Edad],"&gt;=60"),COUNTIFS(BASE[Cod.Establecimiento],$O$3,BASE[CODCIE108],ENOS_G3_IRANN_60_MAS_AÑOS[[#This Row],[CIE-10]],BASE[Edad],"&gt;=60"))</f>
        <v>0</v>
      </c>
      <c r="V134" s="8">
        <f>IF($O$3="(Todas)",COUNTIFS(BASE[CODCIE1010],ENOS_G3_IRANN_60_MAS_AÑOS[[#This Row],[CIE-10]],BASE[Edad],"&gt;=60"),COUNTIFS(BASE[Cod.Establecimiento],$O$3,BASE[CODCIE1010],ENOS_G3_IRANN_60_MAS_AÑOS[[#This Row],[CIE-10]],BASE[Edad],"&gt;=60"))</f>
        <v>0</v>
      </c>
      <c r="W134" s="9">
        <f>SUM(ENOS_G3_IRANN_60_MAS_AÑOS[[#This Row],[D1]:[D6]])</f>
        <v>0</v>
      </c>
      <c r="X134" s="2"/>
      <c r="Y134" s="32" t="s">
        <v>311</v>
      </c>
      <c r="Z134" s="8">
        <f>IF($O$3="(Todas)",COUNTIFS(BASE[CODCIE10],ENOS_G3_IRANN_SD_AÑOS[[#This Row],[CIE-10]],BASE[Edad],""),COUNTIFS(BASE[Cod.Establecimiento],$O$3,BASE[CODCIE10],ENOS_G3_IRANN_SD_AÑOS[[#This Row],[CIE-10]],BASE[Edad],""))</f>
        <v>0</v>
      </c>
      <c r="AA134" s="8">
        <f>IF($O$3="(Todas)",COUNTIFS(BASE[CODCIE102],ENOS_G3_IRANN_SD_AÑOS[[#This Row],[CIE-10]],BASE[Edad],""),COUNTIFS(BASE[Cod.Establecimiento],$O$3,BASE[CODCIE102],ENOS_G3_IRANN_SD_AÑOS[[#This Row],[CIE-10]],BASE[Edad],""))</f>
        <v>0</v>
      </c>
      <c r="AB134" s="8">
        <f>IF($O$3="(Todas)",COUNTIFS(BASE[CODCIE104],ENOS_G3_IRANN_SD_AÑOS[[#This Row],[CIE-10]],BASE[Edad],""),COUNTIFS(BASE[Cod.Establecimiento],$O$3,BASE[CODCIE104],ENOS_G3_IRANN_SD_AÑOS[[#This Row],[CIE-10]],BASE[Edad],""))</f>
        <v>0</v>
      </c>
      <c r="AC134" s="8">
        <f>IF($O$3="(Todas)",COUNTIFS(BASE[CODCIE106],ENOS_G3_IRANN_SD_AÑOS[[#This Row],[CIE-10]],BASE[Edad],""),COUNTIFS(BASE[Cod.Establecimiento],$O$3,BASE[CODCIE106],ENOS_G3_IRANN_SD_AÑOS[[#This Row],[CIE-10]],BASE[Edad],""))</f>
        <v>0</v>
      </c>
      <c r="AD134" s="8">
        <f>IF($O$3="(Todas)",COUNTIFS(BASE[CODCIE108],ENOS_G3_IRANN_SD_AÑOS[[#This Row],[CIE-10]],BASE[Edad],""),COUNTIFS(BASE[Cod.Establecimiento],$O$3,BASE[CODCIE108],ENOS_G3_IRANN_SD_AÑOS[[#This Row],[CIE-10]],BASE[Edad],""))</f>
        <v>0</v>
      </c>
      <c r="AE134" s="8">
        <f>IF($O$3="(Todas)",COUNTIFS(BASE[CODCIE1010],ENOS_G3_IRANN_SD_AÑOS[[#This Row],[CIE-10]],BASE[Edad],""),COUNTIFS(BASE[Cod.Establecimiento],$O$3,BASE[CODCIE1010],ENOS_G3_IRANN_SD_AÑOS[[#This Row],[CIE-10]],BASE[Edad],""))</f>
        <v>0</v>
      </c>
      <c r="AF134" s="9">
        <f>SUM(ENOS_G3_IRANN_SD_AÑOS[[#This Row],[D1]:[D6]])</f>
        <v>0</v>
      </c>
    </row>
    <row r="135" spans="1:3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32" t="s">
        <v>312</v>
      </c>
      <c r="Q135" s="8">
        <f>IF($O$3="(Todas)",COUNTIFS(BASE[CODCIE10],ENOS_G3_IRANN_60_MAS_AÑOS[[#This Row],[CIE-10]],BASE[Edad],"&gt;=60"),COUNTIFS(BASE[Cod.Establecimiento],$O$3,BASE[CODCIE10],ENOS_G3_IRANN_60_MAS_AÑOS[[#This Row],[CIE-10]],BASE[Edad],"&gt;=60"))</f>
        <v>0</v>
      </c>
      <c r="R135" s="8">
        <f>IF($O$3="(Todas)",COUNTIFS(BASE[CODCIE102],ENOS_G3_IRANN_60_MAS_AÑOS[[#This Row],[CIE-10]],BASE[Edad],"&gt;=60"),COUNTIFS(BASE[Cod.Establecimiento],$O$3,BASE[CODCIE102],ENOS_G3_IRANN_60_MAS_AÑOS[[#This Row],[CIE-10]],BASE[Edad],"&gt;=60"))</f>
        <v>0</v>
      </c>
      <c r="S135" s="8">
        <f>IF($O$3="(Todas)",COUNTIFS(BASE[CODCIE104],ENOS_G3_IRANN_60_MAS_AÑOS[[#This Row],[CIE-10]],BASE[Edad],"&gt;=60"),COUNTIFS(BASE[Cod.Establecimiento],$O$3,BASE[CODCIE104],ENOS_G3_IRANN_60_MAS_AÑOS[[#This Row],[CIE-10]],BASE[Edad],"&gt;=60"))</f>
        <v>0</v>
      </c>
      <c r="T135" s="8">
        <f>IF($O$3="(Todas)",COUNTIFS(BASE[CODCIE106],ENOS_G3_IRANN_60_MAS_AÑOS[[#This Row],[CIE-10]],BASE[Edad],"&gt;=60"),COUNTIFS(BASE[Cod.Establecimiento],$O$3,BASE[CODCIE106],ENOS_G3_IRANN_60_MAS_AÑOS[[#This Row],[CIE-10]],BASE[Edad],"&gt;=60"))</f>
        <v>0</v>
      </c>
      <c r="U135" s="8">
        <f>IF($O$3="(Todas)",COUNTIFS(BASE[CODCIE108],ENOS_G3_IRANN_60_MAS_AÑOS[[#This Row],[CIE-10]],BASE[Edad],"&gt;=60"),COUNTIFS(BASE[Cod.Establecimiento],$O$3,BASE[CODCIE108],ENOS_G3_IRANN_60_MAS_AÑOS[[#This Row],[CIE-10]],BASE[Edad],"&gt;=60"))</f>
        <v>0</v>
      </c>
      <c r="V135" s="8">
        <f>IF($O$3="(Todas)",COUNTIFS(BASE[CODCIE1010],ENOS_G3_IRANN_60_MAS_AÑOS[[#This Row],[CIE-10]],BASE[Edad],"&gt;=60"),COUNTIFS(BASE[Cod.Establecimiento],$O$3,BASE[CODCIE1010],ENOS_G3_IRANN_60_MAS_AÑOS[[#This Row],[CIE-10]],BASE[Edad],"&gt;=60"))</f>
        <v>0</v>
      </c>
      <c r="W135" s="9">
        <f>SUM(ENOS_G3_IRANN_60_MAS_AÑOS[[#This Row],[D1]:[D6]])</f>
        <v>0</v>
      </c>
      <c r="X135" s="2"/>
      <c r="Y135" s="32" t="s">
        <v>312</v>
      </c>
      <c r="Z135" s="8">
        <f>IF($O$3="(Todas)",COUNTIFS(BASE[CODCIE10],ENOS_G3_IRANN_SD_AÑOS[[#This Row],[CIE-10]],BASE[Edad],""),COUNTIFS(BASE[Cod.Establecimiento],$O$3,BASE[CODCIE10],ENOS_G3_IRANN_SD_AÑOS[[#This Row],[CIE-10]],BASE[Edad],""))</f>
        <v>0</v>
      </c>
      <c r="AA135" s="8">
        <f>IF($O$3="(Todas)",COUNTIFS(BASE[CODCIE102],ENOS_G3_IRANN_SD_AÑOS[[#This Row],[CIE-10]],BASE[Edad],""),COUNTIFS(BASE[Cod.Establecimiento],$O$3,BASE[CODCIE102],ENOS_G3_IRANN_SD_AÑOS[[#This Row],[CIE-10]],BASE[Edad],""))</f>
        <v>0</v>
      </c>
      <c r="AB135" s="8">
        <f>IF($O$3="(Todas)",COUNTIFS(BASE[CODCIE104],ENOS_G3_IRANN_SD_AÑOS[[#This Row],[CIE-10]],BASE[Edad],""),COUNTIFS(BASE[Cod.Establecimiento],$O$3,BASE[CODCIE104],ENOS_G3_IRANN_SD_AÑOS[[#This Row],[CIE-10]],BASE[Edad],""))</f>
        <v>0</v>
      </c>
      <c r="AC135" s="8">
        <f>IF($O$3="(Todas)",COUNTIFS(BASE[CODCIE106],ENOS_G3_IRANN_SD_AÑOS[[#This Row],[CIE-10]],BASE[Edad],""),COUNTIFS(BASE[Cod.Establecimiento],$O$3,BASE[CODCIE106],ENOS_G3_IRANN_SD_AÑOS[[#This Row],[CIE-10]],BASE[Edad],""))</f>
        <v>0</v>
      </c>
      <c r="AD135" s="8">
        <f>IF($O$3="(Todas)",COUNTIFS(BASE[CODCIE108],ENOS_G3_IRANN_SD_AÑOS[[#This Row],[CIE-10]],BASE[Edad],""),COUNTIFS(BASE[Cod.Establecimiento],$O$3,BASE[CODCIE108],ENOS_G3_IRANN_SD_AÑOS[[#This Row],[CIE-10]],BASE[Edad],""))</f>
        <v>0</v>
      </c>
      <c r="AE135" s="8">
        <f>IF($O$3="(Todas)",COUNTIFS(BASE[CODCIE1010],ENOS_G3_IRANN_SD_AÑOS[[#This Row],[CIE-10]],BASE[Edad],""),COUNTIFS(BASE[Cod.Establecimiento],$O$3,BASE[CODCIE1010],ENOS_G3_IRANN_SD_AÑOS[[#This Row],[CIE-10]],BASE[Edad],""))</f>
        <v>0</v>
      </c>
      <c r="AF135" s="9">
        <f>SUM(ENOS_G3_IRANN_SD_AÑOS[[#This Row],[D1]:[D6]])</f>
        <v>0</v>
      </c>
    </row>
    <row r="136" spans="1:3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spans="1:32" ht="18" customHeight="1" thickBo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80" t="s">
        <v>284</v>
      </c>
      <c r="Q137" s="81"/>
      <c r="R137" s="81"/>
      <c r="S137" s="81"/>
      <c r="T137" s="81"/>
      <c r="U137" s="81"/>
      <c r="V137" s="81"/>
      <c r="W137" s="81"/>
      <c r="X137" s="2"/>
      <c r="Y137" s="80" t="s">
        <v>285</v>
      </c>
      <c r="Z137" s="81"/>
      <c r="AA137" s="81"/>
      <c r="AB137" s="81"/>
      <c r="AC137" s="81"/>
      <c r="AD137" s="81"/>
      <c r="AE137" s="81"/>
      <c r="AF137" s="81"/>
    </row>
    <row r="138" spans="1:32" ht="15.75" customHeight="1" thickTop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 t="s">
        <v>93</v>
      </c>
      <c r="Q138" s="8" t="s">
        <v>94</v>
      </c>
      <c r="R138" s="8" t="s">
        <v>95</v>
      </c>
      <c r="S138" s="8" t="s">
        <v>96</v>
      </c>
      <c r="T138" s="8" t="s">
        <v>97</v>
      </c>
      <c r="U138" s="8" t="s">
        <v>98</v>
      </c>
      <c r="V138" s="8" t="s">
        <v>99</v>
      </c>
      <c r="W138" s="10" t="s">
        <v>100</v>
      </c>
      <c r="X138" s="2"/>
      <c r="Y138" s="2" t="s">
        <v>93</v>
      </c>
      <c r="Z138" s="8" t="s">
        <v>94</v>
      </c>
      <c r="AA138" s="8" t="s">
        <v>95</v>
      </c>
      <c r="AB138" s="8" t="s">
        <v>96</v>
      </c>
      <c r="AC138" s="8" t="s">
        <v>97</v>
      </c>
      <c r="AD138" s="8" t="s">
        <v>98</v>
      </c>
      <c r="AE138" s="8" t="s">
        <v>99</v>
      </c>
      <c r="AF138" s="10" t="s">
        <v>100</v>
      </c>
    </row>
    <row r="139" spans="1:3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32" t="s">
        <v>313</v>
      </c>
      <c r="Q139" s="8">
        <f>IF($O$3="(Todas)",COUNTIFS(BASE[CODCIE10],ENOS_G3_NEU_MENOR_QUE_1_AÑO[[#This Row],[CIE-10]],BASE[Edad],"&lt;1"),COUNTIFS(BASE[Cod.Establecimiento],$O$3,BASE[CODCIE10],ENOS_G3_NEU_MENOR_QUE_1_AÑO[[#This Row],[CIE-10]],BASE[Edad],"&lt;1"))</f>
        <v>0</v>
      </c>
      <c r="R139" s="8">
        <f>IF($O$3="(Todas)",COUNTIFS(BASE[CODCIE102],ENOS_G3_NEU_MENOR_QUE_1_AÑO[[#This Row],[CIE-10]],BASE[Edad],"&lt;1"),COUNTIFS(BASE[Cod.Establecimiento],$O$3,BASE[CODCIE102],ENOS_G3_NEU_MENOR_QUE_1_AÑO[[#This Row],[CIE-10]],BASE[Edad],"&lt;1"))</f>
        <v>0</v>
      </c>
      <c r="S139" s="8">
        <f>IF($O$3="(Todas)",COUNTIFS(BASE[CODCIE104],ENOS_G3_NEU_MENOR_QUE_1_AÑO[[#This Row],[CIE-10]],BASE[Edad],"&lt;1"),COUNTIFS(BASE[Cod.Establecimiento],$O$3,BASE[CODCIE104],ENOS_G3_NEU_MENOR_QUE_1_AÑO[[#This Row],[CIE-10]],BASE[Edad],"&lt;1"))</f>
        <v>0</v>
      </c>
      <c r="T139" s="8">
        <f>IF($O$3="(Todas)",COUNTIFS(BASE[CODCIE106],ENOS_G3_NEU_MENOR_QUE_1_AÑO[[#This Row],[CIE-10]],BASE[Edad],"&lt;1"),COUNTIFS(BASE[Cod.Establecimiento],$O$3,BASE[CODCIE106],ENOS_G3_NEU_MENOR_QUE_1_AÑO[[#This Row],[CIE-10]],BASE[Edad],"&lt;1"))</f>
        <v>0</v>
      </c>
      <c r="U139" s="8">
        <f>IF($O$3="(Todas)",COUNTIFS(BASE[CODCIE108],ENOS_G3_NEU_MENOR_QUE_1_AÑO[[#This Row],[CIE-10]],BASE[Edad],"&lt;1"),COUNTIFS(BASE[Cod.Establecimiento],$O$3,BASE[CODCIE108],ENOS_G3_NEU_MENOR_QUE_1_AÑO[[#This Row],[CIE-10]],BASE[Edad],"&lt;1"))</f>
        <v>0</v>
      </c>
      <c r="V139" s="8">
        <f>IF($O$3="(Todas)",COUNTIFS(BASE[CODCIE1010],ENOS_G3_NEU_MENOR_QUE_1_AÑO[[#This Row],[CIE-10]],BASE[Edad],"&lt;1"),COUNTIFS(BASE[Cod.Establecimiento],$O$3,BASE[CODCIE1010],ENOS_G3_NEU_MENOR_QUE_1_AÑO[[#This Row],[CIE-10]],BASE[Edad],"&lt;1"))</f>
        <v>0</v>
      </c>
      <c r="W139" s="9">
        <f>SUM(ENOS_G3_NEU_MENOR_QUE_1_AÑO[[#This Row],[D1]:[D6]])</f>
        <v>0</v>
      </c>
      <c r="X139" s="2"/>
      <c r="Y139" s="32" t="s">
        <v>313</v>
      </c>
      <c r="Z139" s="8">
        <f>IF($O$3="(Todas)",COUNTIFS(BASE[CODCIE10],ENOS_G3_NEU_1_4_AÑOS[[#This Row],[CIE-10]],BASE[Edad],"&gt;=1",BASE[Edad],"&lt;=4"),COUNTIFS(BASE[Cod.Establecimiento],$O$3,BASE[CODCIE10],ENOS_G3_NEU_1_4_AÑOS[[#This Row],[CIE-10]],BASE[Edad],"&gt;=1",BASE[Edad],"&lt;=4"))</f>
        <v>0</v>
      </c>
      <c r="AA139" s="8">
        <f>IF($O$3="(Todas)",COUNTIFS(BASE[CODCIE102],ENOS_G3_NEU_1_4_AÑOS[[#This Row],[CIE-10]],BASE[Edad],"&gt;=1",BASE[Edad],"&lt;=4"),COUNTIFS(BASE[Cod.Establecimiento],$O$3,BASE[CODCIE102],ENOS_G3_NEU_1_4_AÑOS[[#This Row],[CIE-10]],BASE[Edad],"&gt;=1",BASE[Edad],"&lt;=4"))</f>
        <v>0</v>
      </c>
      <c r="AB139" s="8">
        <f>IF($O$3="(Todas)",COUNTIFS(BASE[CODCIE104],ENOS_G3_NEU_1_4_AÑOS[[#This Row],[CIE-10]],BASE[Edad],"&gt;=1",BASE[Edad],"&lt;=4"),COUNTIFS(BASE[Cod.Establecimiento],$O$3,BASE[CODCIE104],ENOS_G3_NEU_1_4_AÑOS[[#This Row],[CIE-10]],BASE[Edad],"&gt;=1",BASE[Edad],"&lt;=4"))</f>
        <v>0</v>
      </c>
      <c r="AC139" s="8">
        <f>IF($O$3="(Todas)",COUNTIFS(BASE[CODCIE106],ENOS_G3_NEU_1_4_AÑOS[[#This Row],[CIE-10]],BASE[Edad],"&gt;=1",BASE[Edad],"&lt;=4"),COUNTIFS(BASE[Cod.Establecimiento],$O$3,BASE[CODCIE106],ENOS_G3_NEU_1_4_AÑOS[[#This Row],[CIE-10]],BASE[Edad],"&gt;=1",BASE[Edad],"&lt;=4"))</f>
        <v>0</v>
      </c>
      <c r="AD139" s="8">
        <f>IF($O$3="(Todas)",COUNTIFS(BASE[CODCIE108],ENOS_G3_NEU_1_4_AÑOS[[#This Row],[CIE-10]],BASE[Edad],"&gt;=1",BASE[Edad],"&lt;=4"),COUNTIFS(BASE[Cod.Establecimiento],$O$3,BASE[CODCIE108],ENOS_G3_NEU_1_4_AÑOS[[#This Row],[CIE-10]],BASE[Edad],"&gt;=1",BASE[Edad],"&lt;=4"))</f>
        <v>0</v>
      </c>
      <c r="AE139" s="8">
        <f>IF($O$3="(Todas)",COUNTIFS(BASE[CODCIE1010],ENOS_G3_NEU_1_4_AÑOS[[#This Row],[CIE-10]],BASE[Edad],"&gt;=1",BASE[Edad],"&lt;=4"),COUNTIFS(BASE[Cod.Establecimiento],$O$3,BASE[CODCIE1010],ENOS_G3_NEU_1_4_AÑOS[[#This Row],[CIE-10]],BASE[Edad],"&gt;=1",BASE[Edad],"&lt;=4"))</f>
        <v>0</v>
      </c>
      <c r="AF139" s="9">
        <f>SUM(ENOS_G3_NEU_1_4_AÑOS[[#This Row],[D1]:[D6]])</f>
        <v>0</v>
      </c>
    </row>
    <row r="140" spans="1:3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32" t="s">
        <v>314</v>
      </c>
      <c r="Q140" s="8">
        <f>IF($O$3="(Todas)",COUNTIFS(BASE[CODCIE10],ENOS_G3_NEU_MENOR_QUE_1_AÑO[[#This Row],[CIE-10]],BASE[Edad],"&lt;1"),COUNTIFS(BASE[Cod.Establecimiento],$O$3,BASE[CODCIE10],ENOS_G3_NEU_MENOR_QUE_1_AÑO[[#This Row],[CIE-10]],BASE[Edad],"&lt;1"))</f>
        <v>0</v>
      </c>
      <c r="R140" s="8">
        <f>IF($O$3="(Todas)",COUNTIFS(BASE[CODCIE102],ENOS_G3_NEU_MENOR_QUE_1_AÑO[[#This Row],[CIE-10]],BASE[Edad],"&lt;1"),COUNTIFS(BASE[Cod.Establecimiento],$O$3,BASE[CODCIE102],ENOS_G3_NEU_MENOR_QUE_1_AÑO[[#This Row],[CIE-10]],BASE[Edad],"&lt;1"))</f>
        <v>0</v>
      </c>
      <c r="S140" s="8">
        <f>IF($O$3="(Todas)",COUNTIFS(BASE[CODCIE104],ENOS_G3_NEU_MENOR_QUE_1_AÑO[[#This Row],[CIE-10]],BASE[Edad],"&lt;1"),COUNTIFS(BASE[Cod.Establecimiento],$O$3,BASE[CODCIE104],ENOS_G3_NEU_MENOR_QUE_1_AÑO[[#This Row],[CIE-10]],BASE[Edad],"&lt;1"))</f>
        <v>0</v>
      </c>
      <c r="T140" s="8">
        <f>IF($O$3="(Todas)",COUNTIFS(BASE[CODCIE106],ENOS_G3_NEU_MENOR_QUE_1_AÑO[[#This Row],[CIE-10]],BASE[Edad],"&lt;1"),COUNTIFS(BASE[Cod.Establecimiento],$O$3,BASE[CODCIE106],ENOS_G3_NEU_MENOR_QUE_1_AÑO[[#This Row],[CIE-10]],BASE[Edad],"&lt;1"))</f>
        <v>0</v>
      </c>
      <c r="U140" s="8">
        <f>IF($O$3="(Todas)",COUNTIFS(BASE[CODCIE108],ENOS_G3_NEU_MENOR_QUE_1_AÑO[[#This Row],[CIE-10]],BASE[Edad],"&lt;1"),COUNTIFS(BASE[Cod.Establecimiento],$O$3,BASE[CODCIE108],ENOS_G3_NEU_MENOR_QUE_1_AÑO[[#This Row],[CIE-10]],BASE[Edad],"&lt;1"))</f>
        <v>0</v>
      </c>
      <c r="V140" s="8">
        <f>IF($O$3="(Todas)",COUNTIFS(BASE[CODCIE1010],ENOS_G3_NEU_MENOR_QUE_1_AÑO[[#This Row],[CIE-10]],BASE[Edad],"&lt;1"),COUNTIFS(BASE[Cod.Establecimiento],$O$3,BASE[CODCIE1010],ENOS_G3_NEU_MENOR_QUE_1_AÑO[[#This Row],[CIE-10]],BASE[Edad],"&lt;1"))</f>
        <v>0</v>
      </c>
      <c r="W140" s="9">
        <f>SUM(ENOS_G3_NEU_MENOR_QUE_1_AÑO[[#This Row],[D1]:[D6]])</f>
        <v>0</v>
      </c>
      <c r="X140" s="2"/>
      <c r="Y140" s="32" t="s">
        <v>314</v>
      </c>
      <c r="Z140" s="8">
        <f>IF($O$3="(Todas)",COUNTIFS(BASE[CODCIE10],ENOS_G3_NEU_1_4_AÑOS[[#This Row],[CIE-10]],BASE[Edad],"&gt;=1",BASE[Edad],"&lt;=4"),COUNTIFS(BASE[Cod.Establecimiento],$O$3,BASE[CODCIE10],ENOS_G3_NEU_1_4_AÑOS[[#This Row],[CIE-10]],BASE[Edad],"&gt;=1",BASE[Edad],"&lt;=4"))</f>
        <v>0</v>
      </c>
      <c r="AA140" s="8">
        <f>IF($O$3="(Todas)",COUNTIFS(BASE[CODCIE102],ENOS_G3_NEU_1_4_AÑOS[[#This Row],[CIE-10]],BASE[Edad],"&gt;=1",BASE[Edad],"&lt;=4"),COUNTIFS(BASE[Cod.Establecimiento],$O$3,BASE[CODCIE102],ENOS_G3_NEU_1_4_AÑOS[[#This Row],[CIE-10]],BASE[Edad],"&gt;=1",BASE[Edad],"&lt;=4"))</f>
        <v>0</v>
      </c>
      <c r="AB140" s="8">
        <f>IF($O$3="(Todas)",COUNTIFS(BASE[CODCIE104],ENOS_G3_NEU_1_4_AÑOS[[#This Row],[CIE-10]],BASE[Edad],"&gt;=1",BASE[Edad],"&lt;=4"),COUNTIFS(BASE[Cod.Establecimiento],$O$3,BASE[CODCIE104],ENOS_G3_NEU_1_4_AÑOS[[#This Row],[CIE-10]],BASE[Edad],"&gt;=1",BASE[Edad],"&lt;=4"))</f>
        <v>0</v>
      </c>
      <c r="AC140" s="8">
        <f>IF($O$3="(Todas)",COUNTIFS(BASE[CODCIE106],ENOS_G3_NEU_1_4_AÑOS[[#This Row],[CIE-10]],BASE[Edad],"&gt;=1",BASE[Edad],"&lt;=4"),COUNTIFS(BASE[Cod.Establecimiento],$O$3,BASE[CODCIE106],ENOS_G3_NEU_1_4_AÑOS[[#This Row],[CIE-10]],BASE[Edad],"&gt;=1",BASE[Edad],"&lt;=4"))</f>
        <v>0</v>
      </c>
      <c r="AD140" s="8">
        <f>IF($O$3="(Todas)",COUNTIFS(BASE[CODCIE108],ENOS_G3_NEU_1_4_AÑOS[[#This Row],[CIE-10]],BASE[Edad],"&gt;=1",BASE[Edad],"&lt;=4"),COUNTIFS(BASE[Cod.Establecimiento],$O$3,BASE[CODCIE108],ENOS_G3_NEU_1_4_AÑOS[[#This Row],[CIE-10]],BASE[Edad],"&gt;=1",BASE[Edad],"&lt;=4"))</f>
        <v>0</v>
      </c>
      <c r="AE140" s="8">
        <f>IF($O$3="(Todas)",COUNTIFS(BASE[CODCIE1010],ENOS_G3_NEU_1_4_AÑOS[[#This Row],[CIE-10]],BASE[Edad],"&gt;=1",BASE[Edad],"&lt;=4"),COUNTIFS(BASE[Cod.Establecimiento],$O$3,BASE[CODCIE1010],ENOS_G3_NEU_1_4_AÑOS[[#This Row],[CIE-10]],BASE[Edad],"&gt;=1",BASE[Edad],"&lt;=4"))</f>
        <v>0</v>
      </c>
      <c r="AF140" s="9">
        <f>SUM(ENOS_G3_NEU_1_4_AÑOS[[#This Row],[D1]:[D6]])</f>
        <v>0</v>
      </c>
    </row>
    <row r="141" spans="1:3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32" t="s">
        <v>315</v>
      </c>
      <c r="Q141" s="8">
        <f>IF($O$3="(Todas)",COUNTIFS(BASE[CODCIE10],ENOS_G3_NEU_MENOR_QUE_1_AÑO[[#This Row],[CIE-10]],BASE[Edad],"&lt;1"),COUNTIFS(BASE[Cod.Establecimiento],$O$3,BASE[CODCIE10],ENOS_G3_NEU_MENOR_QUE_1_AÑO[[#This Row],[CIE-10]],BASE[Edad],"&lt;1"))</f>
        <v>0</v>
      </c>
      <c r="R141" s="8">
        <f>IF($O$3="(Todas)",COUNTIFS(BASE[CODCIE102],ENOS_G3_NEU_MENOR_QUE_1_AÑO[[#This Row],[CIE-10]],BASE[Edad],"&lt;1"),COUNTIFS(BASE[Cod.Establecimiento],$O$3,BASE[CODCIE102],ENOS_G3_NEU_MENOR_QUE_1_AÑO[[#This Row],[CIE-10]],BASE[Edad],"&lt;1"))</f>
        <v>0</v>
      </c>
      <c r="S141" s="8">
        <f>IF($O$3="(Todas)",COUNTIFS(BASE[CODCIE104],ENOS_G3_NEU_MENOR_QUE_1_AÑO[[#This Row],[CIE-10]],BASE[Edad],"&lt;1"),COUNTIFS(BASE[Cod.Establecimiento],$O$3,BASE[CODCIE104],ENOS_G3_NEU_MENOR_QUE_1_AÑO[[#This Row],[CIE-10]],BASE[Edad],"&lt;1"))</f>
        <v>0</v>
      </c>
      <c r="T141" s="8">
        <f>IF($O$3="(Todas)",COUNTIFS(BASE[CODCIE106],ENOS_G3_NEU_MENOR_QUE_1_AÑO[[#This Row],[CIE-10]],BASE[Edad],"&lt;1"),COUNTIFS(BASE[Cod.Establecimiento],$O$3,BASE[CODCIE106],ENOS_G3_NEU_MENOR_QUE_1_AÑO[[#This Row],[CIE-10]],BASE[Edad],"&lt;1"))</f>
        <v>0</v>
      </c>
      <c r="U141" s="8">
        <f>IF($O$3="(Todas)",COUNTIFS(BASE[CODCIE108],ENOS_G3_NEU_MENOR_QUE_1_AÑO[[#This Row],[CIE-10]],BASE[Edad],"&lt;1"),COUNTIFS(BASE[Cod.Establecimiento],$O$3,BASE[CODCIE108],ENOS_G3_NEU_MENOR_QUE_1_AÑO[[#This Row],[CIE-10]],BASE[Edad],"&lt;1"))</f>
        <v>0</v>
      </c>
      <c r="V141" s="8">
        <f>IF($O$3="(Todas)",COUNTIFS(BASE[CODCIE1010],ENOS_G3_NEU_MENOR_QUE_1_AÑO[[#This Row],[CIE-10]],BASE[Edad],"&lt;1"),COUNTIFS(BASE[Cod.Establecimiento],$O$3,BASE[CODCIE1010],ENOS_G3_NEU_MENOR_QUE_1_AÑO[[#This Row],[CIE-10]],BASE[Edad],"&lt;1"))</f>
        <v>0</v>
      </c>
      <c r="W141" s="9">
        <f>SUM(ENOS_G3_NEU_MENOR_QUE_1_AÑO[[#This Row],[D1]:[D6]])</f>
        <v>0</v>
      </c>
      <c r="X141" s="2"/>
      <c r="Y141" s="32" t="s">
        <v>315</v>
      </c>
      <c r="Z141" s="8">
        <f>IF($O$3="(Todas)",COUNTIFS(BASE[CODCIE10],ENOS_G3_NEU_1_4_AÑOS[[#This Row],[CIE-10]],BASE[Edad],"&gt;=1",BASE[Edad],"&lt;=4"),COUNTIFS(BASE[Cod.Establecimiento],$O$3,BASE[CODCIE10],ENOS_G3_NEU_1_4_AÑOS[[#This Row],[CIE-10]],BASE[Edad],"&gt;=1",BASE[Edad],"&lt;=4"))</f>
        <v>0</v>
      </c>
      <c r="AA141" s="8">
        <f>IF($O$3="(Todas)",COUNTIFS(BASE[CODCIE102],ENOS_G3_NEU_1_4_AÑOS[[#This Row],[CIE-10]],BASE[Edad],"&gt;=1",BASE[Edad],"&lt;=4"),COUNTIFS(BASE[Cod.Establecimiento],$O$3,BASE[CODCIE102],ENOS_G3_NEU_1_4_AÑOS[[#This Row],[CIE-10]],BASE[Edad],"&gt;=1",BASE[Edad],"&lt;=4"))</f>
        <v>0</v>
      </c>
      <c r="AB141" s="8">
        <f>IF($O$3="(Todas)",COUNTIFS(BASE[CODCIE104],ENOS_G3_NEU_1_4_AÑOS[[#This Row],[CIE-10]],BASE[Edad],"&gt;=1",BASE[Edad],"&lt;=4"),COUNTIFS(BASE[Cod.Establecimiento],$O$3,BASE[CODCIE104],ENOS_G3_NEU_1_4_AÑOS[[#This Row],[CIE-10]],BASE[Edad],"&gt;=1",BASE[Edad],"&lt;=4"))</f>
        <v>0</v>
      </c>
      <c r="AC141" s="8">
        <f>IF($O$3="(Todas)",COUNTIFS(BASE[CODCIE106],ENOS_G3_NEU_1_4_AÑOS[[#This Row],[CIE-10]],BASE[Edad],"&gt;=1",BASE[Edad],"&lt;=4"),COUNTIFS(BASE[Cod.Establecimiento],$O$3,BASE[CODCIE106],ENOS_G3_NEU_1_4_AÑOS[[#This Row],[CIE-10]],BASE[Edad],"&gt;=1",BASE[Edad],"&lt;=4"))</f>
        <v>0</v>
      </c>
      <c r="AD141" s="8">
        <f>IF($O$3="(Todas)",COUNTIFS(BASE[CODCIE108],ENOS_G3_NEU_1_4_AÑOS[[#This Row],[CIE-10]],BASE[Edad],"&gt;=1",BASE[Edad],"&lt;=4"),COUNTIFS(BASE[Cod.Establecimiento],$O$3,BASE[CODCIE108],ENOS_G3_NEU_1_4_AÑOS[[#This Row],[CIE-10]],BASE[Edad],"&gt;=1",BASE[Edad],"&lt;=4"))</f>
        <v>0</v>
      </c>
      <c r="AE141" s="8">
        <f>IF($O$3="(Todas)",COUNTIFS(BASE[CODCIE1010],ENOS_G3_NEU_1_4_AÑOS[[#This Row],[CIE-10]],BASE[Edad],"&gt;=1",BASE[Edad],"&lt;=4"),COUNTIFS(BASE[Cod.Establecimiento],$O$3,BASE[CODCIE1010],ENOS_G3_NEU_1_4_AÑOS[[#This Row],[CIE-10]],BASE[Edad],"&gt;=1",BASE[Edad],"&lt;=4"))</f>
        <v>0</v>
      </c>
      <c r="AF141" s="9">
        <f>SUM(ENOS_G3_NEU_1_4_AÑOS[[#This Row],[D1]:[D6]])</f>
        <v>0</v>
      </c>
    </row>
    <row r="142" spans="1:3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32" t="s">
        <v>316</v>
      </c>
      <c r="Q142" s="8">
        <f>IF($O$3="(Todas)",COUNTIFS(BASE[CODCIE10],ENOS_G3_NEU_MENOR_QUE_1_AÑO[[#This Row],[CIE-10]],BASE[Edad],"&lt;1"),COUNTIFS(BASE[Cod.Establecimiento],$O$3,BASE[CODCIE10],ENOS_G3_NEU_MENOR_QUE_1_AÑO[[#This Row],[CIE-10]],BASE[Edad],"&lt;1"))</f>
        <v>0</v>
      </c>
      <c r="R142" s="8">
        <f>IF($O$3="(Todas)",COUNTIFS(BASE[CODCIE102],ENOS_G3_NEU_MENOR_QUE_1_AÑO[[#This Row],[CIE-10]],BASE[Edad],"&lt;1"),COUNTIFS(BASE[Cod.Establecimiento],$O$3,BASE[CODCIE102],ENOS_G3_NEU_MENOR_QUE_1_AÑO[[#This Row],[CIE-10]],BASE[Edad],"&lt;1"))</f>
        <v>0</v>
      </c>
      <c r="S142" s="8">
        <f>IF($O$3="(Todas)",COUNTIFS(BASE[CODCIE104],ENOS_G3_NEU_MENOR_QUE_1_AÑO[[#This Row],[CIE-10]],BASE[Edad],"&lt;1"),COUNTIFS(BASE[Cod.Establecimiento],$O$3,BASE[CODCIE104],ENOS_G3_NEU_MENOR_QUE_1_AÑO[[#This Row],[CIE-10]],BASE[Edad],"&lt;1"))</f>
        <v>0</v>
      </c>
      <c r="T142" s="8">
        <f>IF($O$3="(Todas)",COUNTIFS(BASE[CODCIE106],ENOS_G3_NEU_MENOR_QUE_1_AÑO[[#This Row],[CIE-10]],BASE[Edad],"&lt;1"),COUNTIFS(BASE[Cod.Establecimiento],$O$3,BASE[CODCIE106],ENOS_G3_NEU_MENOR_QUE_1_AÑO[[#This Row],[CIE-10]],BASE[Edad],"&lt;1"))</f>
        <v>0</v>
      </c>
      <c r="U142" s="8">
        <f>IF($O$3="(Todas)",COUNTIFS(BASE[CODCIE108],ENOS_G3_NEU_MENOR_QUE_1_AÑO[[#This Row],[CIE-10]],BASE[Edad],"&lt;1"),COUNTIFS(BASE[Cod.Establecimiento],$O$3,BASE[CODCIE108],ENOS_G3_NEU_MENOR_QUE_1_AÑO[[#This Row],[CIE-10]],BASE[Edad],"&lt;1"))</f>
        <v>0</v>
      </c>
      <c r="V142" s="8">
        <f>IF($O$3="(Todas)",COUNTIFS(BASE[CODCIE1010],ENOS_G3_NEU_MENOR_QUE_1_AÑO[[#This Row],[CIE-10]],BASE[Edad],"&lt;1"),COUNTIFS(BASE[Cod.Establecimiento],$O$3,BASE[CODCIE1010],ENOS_G3_NEU_MENOR_QUE_1_AÑO[[#This Row],[CIE-10]],BASE[Edad],"&lt;1"))</f>
        <v>0</v>
      </c>
      <c r="W142" s="9">
        <f>SUM(ENOS_G3_NEU_MENOR_QUE_1_AÑO[[#This Row],[D1]:[D6]])</f>
        <v>0</v>
      </c>
      <c r="X142" s="2"/>
      <c r="Y142" s="32" t="s">
        <v>316</v>
      </c>
      <c r="Z142" s="8">
        <f>IF($O$3="(Todas)",COUNTIFS(BASE[CODCIE10],ENOS_G3_NEU_1_4_AÑOS[[#This Row],[CIE-10]],BASE[Edad],"&gt;=1",BASE[Edad],"&lt;=4"),COUNTIFS(BASE[Cod.Establecimiento],$O$3,BASE[CODCIE10],ENOS_G3_NEU_1_4_AÑOS[[#This Row],[CIE-10]],BASE[Edad],"&gt;=1",BASE[Edad],"&lt;=4"))</f>
        <v>0</v>
      </c>
      <c r="AA142" s="8">
        <f>IF($O$3="(Todas)",COUNTIFS(BASE[CODCIE102],ENOS_G3_NEU_1_4_AÑOS[[#This Row],[CIE-10]],BASE[Edad],"&gt;=1",BASE[Edad],"&lt;=4"),COUNTIFS(BASE[Cod.Establecimiento],$O$3,BASE[CODCIE102],ENOS_G3_NEU_1_4_AÑOS[[#This Row],[CIE-10]],BASE[Edad],"&gt;=1",BASE[Edad],"&lt;=4"))</f>
        <v>0</v>
      </c>
      <c r="AB142" s="8">
        <f>IF($O$3="(Todas)",COUNTIFS(BASE[CODCIE104],ENOS_G3_NEU_1_4_AÑOS[[#This Row],[CIE-10]],BASE[Edad],"&gt;=1",BASE[Edad],"&lt;=4"),COUNTIFS(BASE[Cod.Establecimiento],$O$3,BASE[CODCIE104],ENOS_G3_NEU_1_4_AÑOS[[#This Row],[CIE-10]],BASE[Edad],"&gt;=1",BASE[Edad],"&lt;=4"))</f>
        <v>0</v>
      </c>
      <c r="AC142" s="8">
        <f>IF($O$3="(Todas)",COUNTIFS(BASE[CODCIE106],ENOS_G3_NEU_1_4_AÑOS[[#This Row],[CIE-10]],BASE[Edad],"&gt;=1",BASE[Edad],"&lt;=4"),COUNTIFS(BASE[Cod.Establecimiento],$O$3,BASE[CODCIE106],ENOS_G3_NEU_1_4_AÑOS[[#This Row],[CIE-10]],BASE[Edad],"&gt;=1",BASE[Edad],"&lt;=4"))</f>
        <v>0</v>
      </c>
      <c r="AD142" s="8">
        <f>IF($O$3="(Todas)",COUNTIFS(BASE[CODCIE108],ENOS_G3_NEU_1_4_AÑOS[[#This Row],[CIE-10]],BASE[Edad],"&gt;=1",BASE[Edad],"&lt;=4"),COUNTIFS(BASE[Cod.Establecimiento],$O$3,BASE[CODCIE108],ENOS_G3_NEU_1_4_AÑOS[[#This Row],[CIE-10]],BASE[Edad],"&gt;=1",BASE[Edad],"&lt;=4"))</f>
        <v>0</v>
      </c>
      <c r="AE142" s="8">
        <f>IF($O$3="(Todas)",COUNTIFS(BASE[CODCIE1010],ENOS_G3_NEU_1_4_AÑOS[[#This Row],[CIE-10]],BASE[Edad],"&gt;=1",BASE[Edad],"&lt;=4"),COUNTIFS(BASE[Cod.Establecimiento],$O$3,BASE[CODCIE1010],ENOS_G3_NEU_1_4_AÑOS[[#This Row],[CIE-10]],BASE[Edad],"&gt;=1",BASE[Edad],"&lt;=4"))</f>
        <v>0</v>
      </c>
      <c r="AF142" s="9">
        <f>SUM(ENOS_G3_NEU_1_4_AÑOS[[#This Row],[D1]:[D6]])</f>
        <v>0</v>
      </c>
    </row>
    <row r="143" spans="1:32" ht="18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32" t="s">
        <v>317</v>
      </c>
      <c r="Q143" s="8">
        <f>IF($O$3="(Todas)",COUNTIFS(BASE[CODCIE10],ENOS_G3_NEU_MENOR_QUE_1_AÑO[[#This Row],[CIE-10]],BASE[Edad],"&lt;1"),COUNTIFS(BASE[Cod.Establecimiento],$O$3,BASE[CODCIE10],ENOS_G3_NEU_MENOR_QUE_1_AÑO[[#This Row],[CIE-10]],BASE[Edad],"&lt;1"))</f>
        <v>0</v>
      </c>
      <c r="R143" s="8">
        <f>IF($O$3="(Todas)",COUNTIFS(BASE[CODCIE102],ENOS_G3_NEU_MENOR_QUE_1_AÑO[[#This Row],[CIE-10]],BASE[Edad],"&lt;1"),COUNTIFS(BASE[Cod.Establecimiento],$O$3,BASE[CODCIE102],ENOS_G3_NEU_MENOR_QUE_1_AÑO[[#This Row],[CIE-10]],BASE[Edad],"&lt;1"))</f>
        <v>0</v>
      </c>
      <c r="S143" s="8">
        <f>IF($O$3="(Todas)",COUNTIFS(BASE[CODCIE104],ENOS_G3_NEU_MENOR_QUE_1_AÑO[[#This Row],[CIE-10]],BASE[Edad],"&lt;1"),COUNTIFS(BASE[Cod.Establecimiento],$O$3,BASE[CODCIE104],ENOS_G3_NEU_MENOR_QUE_1_AÑO[[#This Row],[CIE-10]],BASE[Edad],"&lt;1"))</f>
        <v>0</v>
      </c>
      <c r="T143" s="8">
        <f>IF($O$3="(Todas)",COUNTIFS(BASE[CODCIE106],ENOS_G3_NEU_MENOR_QUE_1_AÑO[[#This Row],[CIE-10]],BASE[Edad],"&lt;1"),COUNTIFS(BASE[Cod.Establecimiento],$O$3,BASE[CODCIE106],ENOS_G3_NEU_MENOR_QUE_1_AÑO[[#This Row],[CIE-10]],BASE[Edad],"&lt;1"))</f>
        <v>0</v>
      </c>
      <c r="U143" s="8">
        <f>IF($O$3="(Todas)",COUNTIFS(BASE[CODCIE108],ENOS_G3_NEU_MENOR_QUE_1_AÑO[[#This Row],[CIE-10]],BASE[Edad],"&lt;1"),COUNTIFS(BASE[Cod.Establecimiento],$O$3,BASE[CODCIE108],ENOS_G3_NEU_MENOR_QUE_1_AÑO[[#This Row],[CIE-10]],BASE[Edad],"&lt;1"))</f>
        <v>0</v>
      </c>
      <c r="V143" s="8">
        <f>IF($O$3="(Todas)",COUNTIFS(BASE[CODCIE1010],ENOS_G3_NEU_MENOR_QUE_1_AÑO[[#This Row],[CIE-10]],BASE[Edad],"&lt;1"),COUNTIFS(BASE[Cod.Establecimiento],$O$3,BASE[CODCIE1010],ENOS_G3_NEU_MENOR_QUE_1_AÑO[[#This Row],[CIE-10]],BASE[Edad],"&lt;1"))</f>
        <v>0</v>
      </c>
      <c r="W143" s="9">
        <f>SUM(ENOS_G3_NEU_MENOR_QUE_1_AÑO[[#This Row],[D1]:[D6]])</f>
        <v>0</v>
      </c>
      <c r="X143" s="2"/>
      <c r="Y143" s="32" t="s">
        <v>317</v>
      </c>
      <c r="Z143" s="8">
        <f>IF($O$3="(Todas)",COUNTIFS(BASE[CODCIE10],ENOS_G3_NEU_1_4_AÑOS[[#This Row],[CIE-10]],BASE[Edad],"&gt;=1",BASE[Edad],"&lt;=4"),COUNTIFS(BASE[Cod.Establecimiento],$O$3,BASE[CODCIE10],ENOS_G3_NEU_1_4_AÑOS[[#This Row],[CIE-10]],BASE[Edad],"&gt;=1",BASE[Edad],"&lt;=4"))</f>
        <v>0</v>
      </c>
      <c r="AA143" s="8">
        <f>IF($O$3="(Todas)",COUNTIFS(BASE[CODCIE102],ENOS_G3_NEU_1_4_AÑOS[[#This Row],[CIE-10]],BASE[Edad],"&gt;=1",BASE[Edad],"&lt;=4"),COUNTIFS(BASE[Cod.Establecimiento],$O$3,BASE[CODCIE102],ENOS_G3_NEU_1_4_AÑOS[[#This Row],[CIE-10]],BASE[Edad],"&gt;=1",BASE[Edad],"&lt;=4"))</f>
        <v>0</v>
      </c>
      <c r="AB143" s="8">
        <f>IF($O$3="(Todas)",COUNTIFS(BASE[CODCIE104],ENOS_G3_NEU_1_4_AÑOS[[#This Row],[CIE-10]],BASE[Edad],"&gt;=1",BASE[Edad],"&lt;=4"),COUNTIFS(BASE[Cod.Establecimiento],$O$3,BASE[CODCIE104],ENOS_G3_NEU_1_4_AÑOS[[#This Row],[CIE-10]],BASE[Edad],"&gt;=1",BASE[Edad],"&lt;=4"))</f>
        <v>0</v>
      </c>
      <c r="AC143" s="8">
        <f>IF($O$3="(Todas)",COUNTIFS(BASE[CODCIE106],ENOS_G3_NEU_1_4_AÑOS[[#This Row],[CIE-10]],BASE[Edad],"&gt;=1",BASE[Edad],"&lt;=4"),COUNTIFS(BASE[Cod.Establecimiento],$O$3,BASE[CODCIE106],ENOS_G3_NEU_1_4_AÑOS[[#This Row],[CIE-10]],BASE[Edad],"&gt;=1",BASE[Edad],"&lt;=4"))</f>
        <v>0</v>
      </c>
      <c r="AD143" s="8">
        <f>IF($O$3="(Todas)",COUNTIFS(BASE[CODCIE108],ENOS_G3_NEU_1_4_AÑOS[[#This Row],[CIE-10]],BASE[Edad],"&gt;=1",BASE[Edad],"&lt;=4"),COUNTIFS(BASE[Cod.Establecimiento],$O$3,BASE[CODCIE108],ENOS_G3_NEU_1_4_AÑOS[[#This Row],[CIE-10]],BASE[Edad],"&gt;=1",BASE[Edad],"&lt;=4"))</f>
        <v>0</v>
      </c>
      <c r="AE143" s="8">
        <f>IF($O$3="(Todas)",COUNTIFS(BASE[CODCIE1010],ENOS_G3_NEU_1_4_AÑOS[[#This Row],[CIE-10]],BASE[Edad],"&gt;=1",BASE[Edad],"&lt;=4"),COUNTIFS(BASE[Cod.Establecimiento],$O$3,BASE[CODCIE1010],ENOS_G3_NEU_1_4_AÑOS[[#This Row],[CIE-10]],BASE[Edad],"&gt;=1",BASE[Edad],"&lt;=4"))</f>
        <v>0</v>
      </c>
      <c r="AF143" s="9">
        <f>SUM(ENOS_G3_NEU_1_4_AÑOS[[#This Row],[D1]:[D6]])</f>
        <v>0</v>
      </c>
    </row>
    <row r="144" spans="1:32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32" t="s">
        <v>318</v>
      </c>
      <c r="Q144" s="8">
        <f>IF($O$3="(Todas)",COUNTIFS(BASE[CODCIE10],ENOS_G3_NEU_MENOR_QUE_1_AÑO[[#This Row],[CIE-10]],BASE[Edad],"&lt;1"),COUNTIFS(BASE[Cod.Establecimiento],$O$3,BASE[CODCIE10],ENOS_G3_NEU_MENOR_QUE_1_AÑO[[#This Row],[CIE-10]],BASE[Edad],"&lt;1"))</f>
        <v>0</v>
      </c>
      <c r="R144" s="8">
        <f>IF($O$3="(Todas)",COUNTIFS(BASE[CODCIE102],ENOS_G3_NEU_MENOR_QUE_1_AÑO[[#This Row],[CIE-10]],BASE[Edad],"&lt;1"),COUNTIFS(BASE[Cod.Establecimiento],$O$3,BASE[CODCIE102],ENOS_G3_NEU_MENOR_QUE_1_AÑO[[#This Row],[CIE-10]],BASE[Edad],"&lt;1"))</f>
        <v>0</v>
      </c>
      <c r="S144" s="8">
        <f>IF($O$3="(Todas)",COUNTIFS(BASE[CODCIE104],ENOS_G3_NEU_MENOR_QUE_1_AÑO[[#This Row],[CIE-10]],BASE[Edad],"&lt;1"),COUNTIFS(BASE[Cod.Establecimiento],$O$3,BASE[CODCIE104],ENOS_G3_NEU_MENOR_QUE_1_AÑO[[#This Row],[CIE-10]],BASE[Edad],"&lt;1"))</f>
        <v>0</v>
      </c>
      <c r="T144" s="8">
        <f>IF($O$3="(Todas)",COUNTIFS(BASE[CODCIE106],ENOS_G3_NEU_MENOR_QUE_1_AÑO[[#This Row],[CIE-10]],BASE[Edad],"&lt;1"),COUNTIFS(BASE[Cod.Establecimiento],$O$3,BASE[CODCIE106],ENOS_G3_NEU_MENOR_QUE_1_AÑO[[#This Row],[CIE-10]],BASE[Edad],"&lt;1"))</f>
        <v>0</v>
      </c>
      <c r="U144" s="8">
        <f>IF($O$3="(Todas)",COUNTIFS(BASE[CODCIE108],ENOS_G3_NEU_MENOR_QUE_1_AÑO[[#This Row],[CIE-10]],BASE[Edad],"&lt;1"),COUNTIFS(BASE[Cod.Establecimiento],$O$3,BASE[CODCIE108],ENOS_G3_NEU_MENOR_QUE_1_AÑO[[#This Row],[CIE-10]],BASE[Edad],"&lt;1"))</f>
        <v>0</v>
      </c>
      <c r="V144" s="8">
        <f>IF($O$3="(Todas)",COUNTIFS(BASE[CODCIE1010],ENOS_G3_NEU_MENOR_QUE_1_AÑO[[#This Row],[CIE-10]],BASE[Edad],"&lt;1"),COUNTIFS(BASE[Cod.Establecimiento],$O$3,BASE[CODCIE1010],ENOS_G3_NEU_MENOR_QUE_1_AÑO[[#This Row],[CIE-10]],BASE[Edad],"&lt;1"))</f>
        <v>0</v>
      </c>
      <c r="W144" s="9">
        <f>SUM(ENOS_G3_NEU_MENOR_QUE_1_AÑO[[#This Row],[D1]:[D6]])</f>
        <v>0</v>
      </c>
      <c r="X144" s="2"/>
      <c r="Y144" s="32" t="s">
        <v>318</v>
      </c>
      <c r="Z144" s="8">
        <f>IF($O$3="(Todas)",COUNTIFS(BASE[CODCIE10],ENOS_G3_NEU_1_4_AÑOS[[#This Row],[CIE-10]],BASE[Edad],"&gt;=1",BASE[Edad],"&lt;=4"),COUNTIFS(BASE[Cod.Establecimiento],$O$3,BASE[CODCIE10],ENOS_G3_NEU_1_4_AÑOS[[#This Row],[CIE-10]],BASE[Edad],"&gt;=1",BASE[Edad],"&lt;=4"))</f>
        <v>0</v>
      </c>
      <c r="AA144" s="8">
        <f>IF($O$3="(Todas)",COUNTIFS(BASE[CODCIE102],ENOS_G3_NEU_1_4_AÑOS[[#This Row],[CIE-10]],BASE[Edad],"&gt;=1",BASE[Edad],"&lt;=4"),COUNTIFS(BASE[Cod.Establecimiento],$O$3,BASE[CODCIE102],ENOS_G3_NEU_1_4_AÑOS[[#This Row],[CIE-10]],BASE[Edad],"&gt;=1",BASE[Edad],"&lt;=4"))</f>
        <v>0</v>
      </c>
      <c r="AB144" s="8">
        <f>IF($O$3="(Todas)",COUNTIFS(BASE[CODCIE104],ENOS_G3_NEU_1_4_AÑOS[[#This Row],[CIE-10]],BASE[Edad],"&gt;=1",BASE[Edad],"&lt;=4"),COUNTIFS(BASE[Cod.Establecimiento],$O$3,BASE[CODCIE104],ENOS_G3_NEU_1_4_AÑOS[[#This Row],[CIE-10]],BASE[Edad],"&gt;=1",BASE[Edad],"&lt;=4"))</f>
        <v>0</v>
      </c>
      <c r="AC144" s="8">
        <f>IF($O$3="(Todas)",COUNTIFS(BASE[CODCIE106],ENOS_G3_NEU_1_4_AÑOS[[#This Row],[CIE-10]],BASE[Edad],"&gt;=1",BASE[Edad],"&lt;=4"),COUNTIFS(BASE[Cod.Establecimiento],$O$3,BASE[CODCIE106],ENOS_G3_NEU_1_4_AÑOS[[#This Row],[CIE-10]],BASE[Edad],"&gt;=1",BASE[Edad],"&lt;=4"))</f>
        <v>0</v>
      </c>
      <c r="AD144" s="8">
        <f>IF($O$3="(Todas)",COUNTIFS(BASE[CODCIE108],ENOS_G3_NEU_1_4_AÑOS[[#This Row],[CIE-10]],BASE[Edad],"&gt;=1",BASE[Edad],"&lt;=4"),COUNTIFS(BASE[Cod.Establecimiento],$O$3,BASE[CODCIE108],ENOS_G3_NEU_1_4_AÑOS[[#This Row],[CIE-10]],BASE[Edad],"&gt;=1",BASE[Edad],"&lt;=4"))</f>
        <v>0</v>
      </c>
      <c r="AE144" s="8">
        <f>IF($O$3="(Todas)",COUNTIFS(BASE[CODCIE1010],ENOS_G3_NEU_1_4_AÑOS[[#This Row],[CIE-10]],BASE[Edad],"&gt;=1",BASE[Edad],"&lt;=4"),COUNTIFS(BASE[Cod.Establecimiento],$O$3,BASE[CODCIE1010],ENOS_G3_NEU_1_4_AÑOS[[#This Row],[CIE-10]],BASE[Edad],"&gt;=1",BASE[Edad],"&lt;=4"))</f>
        <v>0</v>
      </c>
      <c r="AF144" s="9">
        <f>SUM(ENOS_G3_NEU_1_4_AÑOS[[#This Row],[D1]:[D6]])</f>
        <v>0</v>
      </c>
    </row>
    <row r="145" spans="1:3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32" t="s">
        <v>319</v>
      </c>
      <c r="Q145" s="8">
        <f>IF($O$3="(Todas)",COUNTIFS(BASE[CODCIE10],ENOS_G3_NEU_MENOR_QUE_1_AÑO[[#This Row],[CIE-10]],BASE[Edad],"&lt;1"),COUNTIFS(BASE[Cod.Establecimiento],$O$3,BASE[CODCIE10],ENOS_G3_NEU_MENOR_QUE_1_AÑO[[#This Row],[CIE-10]],BASE[Edad],"&lt;1"))</f>
        <v>0</v>
      </c>
      <c r="R145" s="8">
        <f>IF($O$3="(Todas)",COUNTIFS(BASE[CODCIE102],ENOS_G3_NEU_MENOR_QUE_1_AÑO[[#This Row],[CIE-10]],BASE[Edad],"&lt;1"),COUNTIFS(BASE[Cod.Establecimiento],$O$3,BASE[CODCIE102],ENOS_G3_NEU_MENOR_QUE_1_AÑO[[#This Row],[CIE-10]],BASE[Edad],"&lt;1"))</f>
        <v>0</v>
      </c>
      <c r="S145" s="8">
        <f>IF($O$3="(Todas)",COUNTIFS(BASE[CODCIE104],ENOS_G3_NEU_MENOR_QUE_1_AÑO[[#This Row],[CIE-10]],BASE[Edad],"&lt;1"),COUNTIFS(BASE[Cod.Establecimiento],$O$3,BASE[CODCIE104],ENOS_G3_NEU_MENOR_QUE_1_AÑO[[#This Row],[CIE-10]],BASE[Edad],"&lt;1"))</f>
        <v>0</v>
      </c>
      <c r="T145" s="8">
        <f>IF($O$3="(Todas)",COUNTIFS(BASE[CODCIE106],ENOS_G3_NEU_MENOR_QUE_1_AÑO[[#This Row],[CIE-10]],BASE[Edad],"&lt;1"),COUNTIFS(BASE[Cod.Establecimiento],$O$3,BASE[CODCIE106],ENOS_G3_NEU_MENOR_QUE_1_AÑO[[#This Row],[CIE-10]],BASE[Edad],"&lt;1"))</f>
        <v>0</v>
      </c>
      <c r="U145" s="8">
        <f>IF($O$3="(Todas)",COUNTIFS(BASE[CODCIE108],ENOS_G3_NEU_MENOR_QUE_1_AÑO[[#This Row],[CIE-10]],BASE[Edad],"&lt;1"),COUNTIFS(BASE[Cod.Establecimiento],$O$3,BASE[CODCIE108],ENOS_G3_NEU_MENOR_QUE_1_AÑO[[#This Row],[CIE-10]],BASE[Edad],"&lt;1"))</f>
        <v>0</v>
      </c>
      <c r="V145" s="8">
        <f>IF($O$3="(Todas)",COUNTIFS(BASE[CODCIE1010],ENOS_G3_NEU_MENOR_QUE_1_AÑO[[#This Row],[CIE-10]],BASE[Edad],"&lt;1"),COUNTIFS(BASE[Cod.Establecimiento],$O$3,BASE[CODCIE1010],ENOS_G3_NEU_MENOR_QUE_1_AÑO[[#This Row],[CIE-10]],BASE[Edad],"&lt;1"))</f>
        <v>0</v>
      </c>
      <c r="W145" s="9">
        <f>SUM(ENOS_G3_NEU_MENOR_QUE_1_AÑO[[#This Row],[D1]:[D6]])</f>
        <v>0</v>
      </c>
      <c r="X145" s="2"/>
      <c r="Y145" s="32" t="s">
        <v>319</v>
      </c>
      <c r="Z145" s="8">
        <f>IF($O$3="(Todas)",COUNTIFS(BASE[CODCIE10],ENOS_G3_NEU_1_4_AÑOS[[#This Row],[CIE-10]],BASE[Edad],"&gt;=1",BASE[Edad],"&lt;=4"),COUNTIFS(BASE[Cod.Establecimiento],$O$3,BASE[CODCIE10],ENOS_G3_NEU_1_4_AÑOS[[#This Row],[CIE-10]],BASE[Edad],"&gt;=1",BASE[Edad],"&lt;=4"))</f>
        <v>0</v>
      </c>
      <c r="AA145" s="8">
        <f>IF($O$3="(Todas)",COUNTIFS(BASE[CODCIE102],ENOS_G3_NEU_1_4_AÑOS[[#This Row],[CIE-10]],BASE[Edad],"&gt;=1",BASE[Edad],"&lt;=4"),COUNTIFS(BASE[Cod.Establecimiento],$O$3,BASE[CODCIE102],ENOS_G3_NEU_1_4_AÑOS[[#This Row],[CIE-10]],BASE[Edad],"&gt;=1",BASE[Edad],"&lt;=4"))</f>
        <v>0</v>
      </c>
      <c r="AB145" s="8">
        <f>IF($O$3="(Todas)",COUNTIFS(BASE[CODCIE104],ENOS_G3_NEU_1_4_AÑOS[[#This Row],[CIE-10]],BASE[Edad],"&gt;=1",BASE[Edad],"&lt;=4"),COUNTIFS(BASE[Cod.Establecimiento],$O$3,BASE[CODCIE104],ENOS_G3_NEU_1_4_AÑOS[[#This Row],[CIE-10]],BASE[Edad],"&gt;=1",BASE[Edad],"&lt;=4"))</f>
        <v>0</v>
      </c>
      <c r="AC145" s="8">
        <f>IF($O$3="(Todas)",COUNTIFS(BASE[CODCIE106],ENOS_G3_NEU_1_4_AÑOS[[#This Row],[CIE-10]],BASE[Edad],"&gt;=1",BASE[Edad],"&lt;=4"),COUNTIFS(BASE[Cod.Establecimiento],$O$3,BASE[CODCIE106],ENOS_G3_NEU_1_4_AÑOS[[#This Row],[CIE-10]],BASE[Edad],"&gt;=1",BASE[Edad],"&lt;=4"))</f>
        <v>0</v>
      </c>
      <c r="AD145" s="8">
        <f>IF($O$3="(Todas)",COUNTIFS(BASE[CODCIE108],ENOS_G3_NEU_1_4_AÑOS[[#This Row],[CIE-10]],BASE[Edad],"&gt;=1",BASE[Edad],"&lt;=4"),COUNTIFS(BASE[Cod.Establecimiento],$O$3,BASE[CODCIE108],ENOS_G3_NEU_1_4_AÑOS[[#This Row],[CIE-10]],BASE[Edad],"&gt;=1",BASE[Edad],"&lt;=4"))</f>
        <v>0</v>
      </c>
      <c r="AE145" s="8">
        <f>IF($O$3="(Todas)",COUNTIFS(BASE[CODCIE1010],ENOS_G3_NEU_1_4_AÑOS[[#This Row],[CIE-10]],BASE[Edad],"&gt;=1",BASE[Edad],"&lt;=4"),COUNTIFS(BASE[Cod.Establecimiento],$O$3,BASE[CODCIE1010],ENOS_G3_NEU_1_4_AÑOS[[#This Row],[CIE-10]],BASE[Edad],"&gt;=1",BASE[Edad],"&lt;=4"))</f>
        <v>0</v>
      </c>
      <c r="AF145" s="9">
        <f>SUM(ENOS_G3_NEU_1_4_AÑOS[[#This Row],[D1]:[D6]])</f>
        <v>0</v>
      </c>
    </row>
    <row r="146" spans="1:3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spans="1:32" ht="18" customHeight="1" thickBo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80" t="s">
        <v>286</v>
      </c>
      <c r="Q147" s="81"/>
      <c r="R147" s="81"/>
      <c r="S147" s="81"/>
      <c r="T147" s="81"/>
      <c r="U147" s="81"/>
      <c r="V147" s="81"/>
      <c r="W147" s="81"/>
      <c r="X147" s="2"/>
      <c r="Y147" s="80" t="s">
        <v>287</v>
      </c>
      <c r="Z147" s="81"/>
      <c r="AA147" s="81"/>
      <c r="AB147" s="81"/>
      <c r="AC147" s="81"/>
      <c r="AD147" s="81"/>
      <c r="AE147" s="81"/>
      <c r="AF147" s="81"/>
    </row>
    <row r="148" spans="1:32" ht="15.75" customHeight="1" thickTop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 t="s">
        <v>93</v>
      </c>
      <c r="Q148" s="8" t="s">
        <v>94</v>
      </c>
      <c r="R148" s="8" t="s">
        <v>95</v>
      </c>
      <c r="S148" s="8" t="s">
        <v>96</v>
      </c>
      <c r="T148" s="8" t="s">
        <v>97</v>
      </c>
      <c r="U148" s="8" t="s">
        <v>98</v>
      </c>
      <c r="V148" s="8" t="s">
        <v>99</v>
      </c>
      <c r="W148" s="10" t="s">
        <v>100</v>
      </c>
      <c r="X148" s="2"/>
      <c r="Y148" s="2" t="s">
        <v>93</v>
      </c>
      <c r="Z148" s="8" t="s">
        <v>94</v>
      </c>
      <c r="AA148" s="8" t="s">
        <v>95</v>
      </c>
      <c r="AB148" s="8" t="s">
        <v>96</v>
      </c>
      <c r="AC148" s="8" t="s">
        <v>97</v>
      </c>
      <c r="AD148" s="8" t="s">
        <v>98</v>
      </c>
      <c r="AE148" s="8" t="s">
        <v>99</v>
      </c>
      <c r="AF148" s="10" t="s">
        <v>100</v>
      </c>
    </row>
    <row r="149" spans="1:32" ht="18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32" t="s">
        <v>313</v>
      </c>
      <c r="Q149" s="8">
        <f>IF($O$3="(Todas)",COUNTIFS(BASE[CODCIE10],ENOS_G3_NEU_5_19_AÑOS[[#This Row],[CIE-10]],BASE[Edad],"&gt;=5",BASE[Edad],"&lt;=19"),COUNTIFS(BASE[Cod.Establecimiento],$O$3,BASE[CODCIE10],ENOS_G3_NEU_5_19_AÑOS[[#This Row],[CIE-10]],BASE[Edad],"&gt;=5",BASE[Edad],"&lt;=19"))</f>
        <v>0</v>
      </c>
      <c r="R149" s="8">
        <f>IF($O$3="(Todas)",COUNTIFS(BASE[CODCIE102],ENOS_G3_NEU_5_19_AÑOS[[#This Row],[CIE-10]],BASE[Edad],"&gt;=5",BASE[Edad],"&lt;=19"),COUNTIFS(BASE[Cod.Establecimiento],$O$3,BASE[CODCIE102],ENOS_G3_NEU_5_19_AÑOS[[#This Row],[CIE-10]],BASE[Edad],"&gt;=5",BASE[Edad],"&lt;=19"))</f>
        <v>0</v>
      </c>
      <c r="S149" s="8">
        <f>IF($O$3="(Todas)",COUNTIFS(BASE[CODCIE104],ENOS_G3_NEU_5_19_AÑOS[[#This Row],[CIE-10]],BASE[Edad],"&gt;=5",BASE[Edad],"&lt;=19"),COUNTIFS(BASE[Cod.Establecimiento],$O$3,BASE[CODCIE104],ENOS_G3_NEU_5_19_AÑOS[[#This Row],[CIE-10]],BASE[Edad],"&gt;=5",BASE[Edad],"&lt;=19"))</f>
        <v>0</v>
      </c>
      <c r="T149" s="8">
        <f>IF($O$3="(Todas)",COUNTIFS(BASE[CODCIE106],ENOS_G3_NEU_5_19_AÑOS[[#This Row],[CIE-10]],BASE[Edad],"&gt;=5",BASE[Edad],"&lt;=19"),COUNTIFS(BASE[Cod.Establecimiento],$O$3,BASE[CODCIE106],ENOS_G3_NEU_5_19_AÑOS[[#This Row],[CIE-10]],BASE[Edad],"&gt;=5",BASE[Edad],"&lt;=19"))</f>
        <v>0</v>
      </c>
      <c r="U149" s="8">
        <f>IF($O$3="(Todas)",COUNTIFS(BASE[CODCIE108],ENOS_G3_NEU_5_19_AÑOS[[#This Row],[CIE-10]],BASE[Edad],"&gt;=5",BASE[Edad],"&lt;=19"),COUNTIFS(BASE[Cod.Establecimiento],$O$3,BASE[CODCIE108],ENOS_G3_NEU_5_19_AÑOS[[#This Row],[CIE-10]],BASE[Edad],"&gt;=5",BASE[Edad],"&lt;=19"))</f>
        <v>0</v>
      </c>
      <c r="V149" s="8">
        <f>IF($O$3="(Todas)",COUNTIFS(BASE[CODCIE1010],ENOS_G3_NEU_5_19_AÑOS[[#This Row],[CIE-10]],BASE[Edad],"&gt;=5",BASE[Edad],"&lt;=19"),COUNTIFS(BASE[Cod.Establecimiento],$O$3,BASE[CODCIE1010],ENOS_G3_NEU_5_19_AÑOS[[#This Row],[CIE-10]],BASE[Edad],"&gt;=5",BASE[Edad],"&lt;=19"))</f>
        <v>0</v>
      </c>
      <c r="W149" s="9">
        <f>SUM(ENOS_G3_NEU_5_19_AÑOS[[#This Row],[D1]:[D6]])</f>
        <v>0</v>
      </c>
      <c r="X149" s="2"/>
      <c r="Y149" s="32" t="s">
        <v>313</v>
      </c>
      <c r="Z149" s="8">
        <f>IF($O$3="(Todas)",COUNTIFS(BASE[CODCIE10],ENOS_G3_NEU_20_59_AÑOS[[#This Row],[CIE-10]],BASE[Edad],"&gt;=20",BASE[Edad],"&lt;=59"),COUNTIFS(BASE[Cod.Establecimiento],$O$3,BASE[CODCIE10],ENOS_G3_NEU_20_59_AÑOS[[#This Row],[CIE-10]],BASE[Edad],"&gt;=20",BASE[Edad],"&lt;=59"))</f>
        <v>0</v>
      </c>
      <c r="AA149" s="8">
        <f>IF($O$3="(Todas)",COUNTIFS(BASE[CODCIE102],ENOS_G3_NEU_20_59_AÑOS[[#This Row],[CIE-10]],BASE[Edad],"&gt;=20",BASE[Edad],"&lt;=59"),COUNTIFS(BASE[Cod.Establecimiento],$O$3,BASE[CODCIE102],ENOS_G3_NEU_20_59_AÑOS[[#This Row],[CIE-10]],BASE[Edad],"&gt;=20",BASE[Edad],"&lt;=59"))</f>
        <v>0</v>
      </c>
      <c r="AB149" s="8">
        <f>IF($O$3="(Todas)",COUNTIFS(BASE[CODCIE104],ENOS_G3_NEU_20_59_AÑOS[[#This Row],[CIE-10]],BASE[Edad],"&gt;=20",BASE[Edad],"&lt;=59"),COUNTIFS(BASE[Cod.Establecimiento],$O$3,BASE[CODCIE104],ENOS_G3_NEU_20_59_AÑOS[[#This Row],[CIE-10]],BASE[Edad],"&gt;=20",BASE[Edad],"&lt;=59"))</f>
        <v>0</v>
      </c>
      <c r="AC149" s="8">
        <f>IF($O$3="(Todas)",COUNTIFS(BASE[CODCIE106],ENOS_G3_NEU_20_59_AÑOS[[#This Row],[CIE-10]],BASE[Edad],"&gt;=20",BASE[Edad],"&lt;=59"),COUNTIFS(BASE[Cod.Establecimiento],$O$3,BASE[CODCIE106],ENOS_G3_NEU_20_59_AÑOS[[#This Row],[CIE-10]],BASE[Edad],"&gt;=20",BASE[Edad],"&lt;=59"))</f>
        <v>0</v>
      </c>
      <c r="AD149" s="8">
        <f>IF($O$3="(Todas)",COUNTIFS(BASE[CODCIE108],ENOS_G3_NEU_20_59_AÑOS[[#This Row],[CIE-10]],BASE[Edad],"&gt;=20",BASE[Edad],"&lt;=59"),COUNTIFS(BASE[Cod.Establecimiento],$O$3,BASE[CODCIE108],ENOS_G3_NEU_20_59_AÑOS[[#This Row],[CIE-10]],BASE[Edad],"&gt;=20",BASE[Edad],"&lt;=59"))</f>
        <v>0</v>
      </c>
      <c r="AE149" s="8">
        <f>IF($O$3="(Todas)",COUNTIFS(BASE[CODCIE1010],ENOS_G3_NEU_20_59_AÑOS[[#This Row],[CIE-10]],BASE[Edad],"&gt;=20",BASE[Edad],"&lt;=59"),COUNTIFS(BASE[Cod.Establecimiento],$O$3,BASE[CODCIE1010],ENOS_G3_NEU_20_59_AÑOS[[#This Row],[CIE-10]],BASE[Edad],"&gt;=20",BASE[Edad],"&lt;=59"))</f>
        <v>0</v>
      </c>
      <c r="AF149" s="9">
        <f>SUM(ENOS_G3_NEU_20_59_AÑOS[[#This Row],[D1]:[D6]])</f>
        <v>0</v>
      </c>
    </row>
    <row r="150" spans="1:32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32" t="s">
        <v>314</v>
      </c>
      <c r="Q150" s="8">
        <f>IF($O$3="(Todas)",COUNTIFS(BASE[CODCIE10],ENOS_G3_NEU_5_19_AÑOS[[#This Row],[CIE-10]],BASE[Edad],"&gt;=5",BASE[Edad],"&lt;=19"),COUNTIFS(BASE[Cod.Establecimiento],$O$3,BASE[CODCIE10],ENOS_G3_NEU_5_19_AÑOS[[#This Row],[CIE-10]],BASE[Edad],"&gt;=5",BASE[Edad],"&lt;=19"))</f>
        <v>0</v>
      </c>
      <c r="R150" s="8">
        <f>IF($O$3="(Todas)",COUNTIFS(BASE[CODCIE102],ENOS_G3_NEU_5_19_AÑOS[[#This Row],[CIE-10]],BASE[Edad],"&gt;=5",BASE[Edad],"&lt;=19"),COUNTIFS(BASE[Cod.Establecimiento],$O$3,BASE[CODCIE102],ENOS_G3_NEU_5_19_AÑOS[[#This Row],[CIE-10]],BASE[Edad],"&gt;=5",BASE[Edad],"&lt;=19"))</f>
        <v>0</v>
      </c>
      <c r="S150" s="8">
        <f>IF($O$3="(Todas)",COUNTIFS(BASE[CODCIE104],ENOS_G3_NEU_5_19_AÑOS[[#This Row],[CIE-10]],BASE[Edad],"&gt;=5",BASE[Edad],"&lt;=19"),COUNTIFS(BASE[Cod.Establecimiento],$O$3,BASE[CODCIE104],ENOS_G3_NEU_5_19_AÑOS[[#This Row],[CIE-10]],BASE[Edad],"&gt;=5",BASE[Edad],"&lt;=19"))</f>
        <v>0</v>
      </c>
      <c r="T150" s="8">
        <f>IF($O$3="(Todas)",COUNTIFS(BASE[CODCIE106],ENOS_G3_NEU_5_19_AÑOS[[#This Row],[CIE-10]],BASE[Edad],"&gt;=5",BASE[Edad],"&lt;=19"),COUNTIFS(BASE[Cod.Establecimiento],$O$3,BASE[CODCIE106],ENOS_G3_NEU_5_19_AÑOS[[#This Row],[CIE-10]],BASE[Edad],"&gt;=5",BASE[Edad],"&lt;=19"))</f>
        <v>0</v>
      </c>
      <c r="U150" s="8">
        <f>IF($O$3="(Todas)",COUNTIFS(BASE[CODCIE108],ENOS_G3_NEU_5_19_AÑOS[[#This Row],[CIE-10]],BASE[Edad],"&gt;=5",BASE[Edad],"&lt;=19"),COUNTIFS(BASE[Cod.Establecimiento],$O$3,BASE[CODCIE108],ENOS_G3_NEU_5_19_AÑOS[[#This Row],[CIE-10]],BASE[Edad],"&gt;=5",BASE[Edad],"&lt;=19"))</f>
        <v>0</v>
      </c>
      <c r="V150" s="8">
        <f>IF($O$3="(Todas)",COUNTIFS(BASE[CODCIE1010],ENOS_G3_NEU_5_19_AÑOS[[#This Row],[CIE-10]],BASE[Edad],"&gt;=5",BASE[Edad],"&lt;=19"),COUNTIFS(BASE[Cod.Establecimiento],$O$3,BASE[CODCIE1010],ENOS_G3_NEU_5_19_AÑOS[[#This Row],[CIE-10]],BASE[Edad],"&gt;=5",BASE[Edad],"&lt;=19"))</f>
        <v>0</v>
      </c>
      <c r="W150" s="9">
        <f>SUM(ENOS_G3_NEU_5_19_AÑOS[[#This Row],[D1]:[D6]])</f>
        <v>0</v>
      </c>
      <c r="X150" s="2"/>
      <c r="Y150" s="32" t="s">
        <v>314</v>
      </c>
      <c r="Z150" s="8">
        <f>IF($O$3="(Todas)",COUNTIFS(BASE[CODCIE10],ENOS_G3_NEU_20_59_AÑOS[[#This Row],[CIE-10]],BASE[Edad],"&gt;=20",BASE[Edad],"&lt;=59"),COUNTIFS(BASE[Cod.Establecimiento],$O$3,BASE[CODCIE10],ENOS_G3_NEU_20_59_AÑOS[[#This Row],[CIE-10]],BASE[Edad],"&gt;=20",BASE[Edad],"&lt;=59"))</f>
        <v>0</v>
      </c>
      <c r="AA150" s="8">
        <f>IF($O$3="(Todas)",COUNTIFS(BASE[CODCIE102],ENOS_G3_NEU_20_59_AÑOS[[#This Row],[CIE-10]],BASE[Edad],"&gt;=20",BASE[Edad],"&lt;=59"),COUNTIFS(BASE[Cod.Establecimiento],$O$3,BASE[CODCIE102],ENOS_G3_NEU_20_59_AÑOS[[#This Row],[CIE-10]],BASE[Edad],"&gt;=20",BASE[Edad],"&lt;=59"))</f>
        <v>0</v>
      </c>
      <c r="AB150" s="8">
        <f>IF($O$3="(Todas)",COUNTIFS(BASE[CODCIE104],ENOS_G3_NEU_20_59_AÑOS[[#This Row],[CIE-10]],BASE[Edad],"&gt;=20",BASE[Edad],"&lt;=59"),COUNTIFS(BASE[Cod.Establecimiento],$O$3,BASE[CODCIE104],ENOS_G3_NEU_20_59_AÑOS[[#This Row],[CIE-10]],BASE[Edad],"&gt;=20",BASE[Edad],"&lt;=59"))</f>
        <v>0</v>
      </c>
      <c r="AC150" s="8">
        <f>IF($O$3="(Todas)",COUNTIFS(BASE[CODCIE106],ENOS_G3_NEU_20_59_AÑOS[[#This Row],[CIE-10]],BASE[Edad],"&gt;=20",BASE[Edad],"&lt;=59"),COUNTIFS(BASE[Cod.Establecimiento],$O$3,BASE[CODCIE106],ENOS_G3_NEU_20_59_AÑOS[[#This Row],[CIE-10]],BASE[Edad],"&gt;=20",BASE[Edad],"&lt;=59"))</f>
        <v>0</v>
      </c>
      <c r="AD150" s="8">
        <f>IF($O$3="(Todas)",COUNTIFS(BASE[CODCIE108],ENOS_G3_NEU_20_59_AÑOS[[#This Row],[CIE-10]],BASE[Edad],"&gt;=20",BASE[Edad],"&lt;=59"),COUNTIFS(BASE[Cod.Establecimiento],$O$3,BASE[CODCIE108],ENOS_G3_NEU_20_59_AÑOS[[#This Row],[CIE-10]],BASE[Edad],"&gt;=20",BASE[Edad],"&lt;=59"))</f>
        <v>0</v>
      </c>
      <c r="AE150" s="8">
        <f>IF($O$3="(Todas)",COUNTIFS(BASE[CODCIE1010],ENOS_G3_NEU_20_59_AÑOS[[#This Row],[CIE-10]],BASE[Edad],"&gt;=20",BASE[Edad],"&lt;=59"),COUNTIFS(BASE[Cod.Establecimiento],$O$3,BASE[CODCIE1010],ENOS_G3_NEU_20_59_AÑOS[[#This Row],[CIE-10]],BASE[Edad],"&gt;=20",BASE[Edad],"&lt;=59"))</f>
        <v>0</v>
      </c>
      <c r="AF150" s="9">
        <f>SUM(ENOS_G3_NEU_20_59_AÑOS[[#This Row],[D1]:[D6]])</f>
        <v>0</v>
      </c>
    </row>
    <row r="151" spans="1:3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32" t="s">
        <v>315</v>
      </c>
      <c r="Q151" s="8">
        <f>IF($O$3="(Todas)",COUNTIFS(BASE[CODCIE10],ENOS_G3_NEU_5_19_AÑOS[[#This Row],[CIE-10]],BASE[Edad],"&gt;=5",BASE[Edad],"&lt;=19"),COUNTIFS(BASE[Cod.Establecimiento],$O$3,BASE[CODCIE10],ENOS_G3_NEU_5_19_AÑOS[[#This Row],[CIE-10]],BASE[Edad],"&gt;=5",BASE[Edad],"&lt;=19"))</f>
        <v>0</v>
      </c>
      <c r="R151" s="8">
        <f>IF($O$3="(Todas)",COUNTIFS(BASE[CODCIE102],ENOS_G3_NEU_5_19_AÑOS[[#This Row],[CIE-10]],BASE[Edad],"&gt;=5",BASE[Edad],"&lt;=19"),COUNTIFS(BASE[Cod.Establecimiento],$O$3,BASE[CODCIE102],ENOS_G3_NEU_5_19_AÑOS[[#This Row],[CIE-10]],BASE[Edad],"&gt;=5",BASE[Edad],"&lt;=19"))</f>
        <v>0</v>
      </c>
      <c r="S151" s="8">
        <f>IF($O$3="(Todas)",COUNTIFS(BASE[CODCIE104],ENOS_G3_NEU_5_19_AÑOS[[#This Row],[CIE-10]],BASE[Edad],"&gt;=5",BASE[Edad],"&lt;=19"),COUNTIFS(BASE[Cod.Establecimiento],$O$3,BASE[CODCIE104],ENOS_G3_NEU_5_19_AÑOS[[#This Row],[CIE-10]],BASE[Edad],"&gt;=5",BASE[Edad],"&lt;=19"))</f>
        <v>0</v>
      </c>
      <c r="T151" s="8">
        <f>IF($O$3="(Todas)",COUNTIFS(BASE[CODCIE106],ENOS_G3_NEU_5_19_AÑOS[[#This Row],[CIE-10]],BASE[Edad],"&gt;=5",BASE[Edad],"&lt;=19"),COUNTIFS(BASE[Cod.Establecimiento],$O$3,BASE[CODCIE106],ENOS_G3_NEU_5_19_AÑOS[[#This Row],[CIE-10]],BASE[Edad],"&gt;=5",BASE[Edad],"&lt;=19"))</f>
        <v>0</v>
      </c>
      <c r="U151" s="8">
        <f>IF($O$3="(Todas)",COUNTIFS(BASE[CODCIE108],ENOS_G3_NEU_5_19_AÑOS[[#This Row],[CIE-10]],BASE[Edad],"&gt;=5",BASE[Edad],"&lt;=19"),COUNTIFS(BASE[Cod.Establecimiento],$O$3,BASE[CODCIE108],ENOS_G3_NEU_5_19_AÑOS[[#This Row],[CIE-10]],BASE[Edad],"&gt;=5",BASE[Edad],"&lt;=19"))</f>
        <v>0</v>
      </c>
      <c r="V151" s="8">
        <f>IF($O$3="(Todas)",COUNTIFS(BASE[CODCIE1010],ENOS_G3_NEU_5_19_AÑOS[[#This Row],[CIE-10]],BASE[Edad],"&gt;=5",BASE[Edad],"&lt;=19"),COUNTIFS(BASE[Cod.Establecimiento],$O$3,BASE[CODCIE1010],ENOS_G3_NEU_5_19_AÑOS[[#This Row],[CIE-10]],BASE[Edad],"&gt;=5",BASE[Edad],"&lt;=19"))</f>
        <v>0</v>
      </c>
      <c r="W151" s="9">
        <f>SUM(ENOS_G3_NEU_5_19_AÑOS[[#This Row],[D1]:[D6]])</f>
        <v>0</v>
      </c>
      <c r="X151" s="2"/>
      <c r="Y151" s="32" t="s">
        <v>315</v>
      </c>
      <c r="Z151" s="8">
        <f>IF($O$3="(Todas)",COUNTIFS(BASE[CODCIE10],ENOS_G3_NEU_20_59_AÑOS[[#This Row],[CIE-10]],BASE[Edad],"&gt;=20",BASE[Edad],"&lt;=59"),COUNTIFS(BASE[Cod.Establecimiento],$O$3,BASE[CODCIE10],ENOS_G3_NEU_20_59_AÑOS[[#This Row],[CIE-10]],BASE[Edad],"&gt;=20",BASE[Edad],"&lt;=59"))</f>
        <v>0</v>
      </c>
      <c r="AA151" s="8">
        <f>IF($O$3="(Todas)",COUNTIFS(BASE[CODCIE102],ENOS_G3_NEU_20_59_AÑOS[[#This Row],[CIE-10]],BASE[Edad],"&gt;=20",BASE[Edad],"&lt;=59"),COUNTIFS(BASE[Cod.Establecimiento],$O$3,BASE[CODCIE102],ENOS_G3_NEU_20_59_AÑOS[[#This Row],[CIE-10]],BASE[Edad],"&gt;=20",BASE[Edad],"&lt;=59"))</f>
        <v>0</v>
      </c>
      <c r="AB151" s="8">
        <f>IF($O$3="(Todas)",COUNTIFS(BASE[CODCIE104],ENOS_G3_NEU_20_59_AÑOS[[#This Row],[CIE-10]],BASE[Edad],"&gt;=20",BASE[Edad],"&lt;=59"),COUNTIFS(BASE[Cod.Establecimiento],$O$3,BASE[CODCIE104],ENOS_G3_NEU_20_59_AÑOS[[#This Row],[CIE-10]],BASE[Edad],"&gt;=20",BASE[Edad],"&lt;=59"))</f>
        <v>0</v>
      </c>
      <c r="AC151" s="8">
        <f>IF($O$3="(Todas)",COUNTIFS(BASE[CODCIE106],ENOS_G3_NEU_20_59_AÑOS[[#This Row],[CIE-10]],BASE[Edad],"&gt;=20",BASE[Edad],"&lt;=59"),COUNTIFS(BASE[Cod.Establecimiento],$O$3,BASE[CODCIE106],ENOS_G3_NEU_20_59_AÑOS[[#This Row],[CIE-10]],BASE[Edad],"&gt;=20",BASE[Edad],"&lt;=59"))</f>
        <v>0</v>
      </c>
      <c r="AD151" s="8">
        <f>IF($O$3="(Todas)",COUNTIFS(BASE[CODCIE108],ENOS_G3_NEU_20_59_AÑOS[[#This Row],[CIE-10]],BASE[Edad],"&gt;=20",BASE[Edad],"&lt;=59"),COUNTIFS(BASE[Cod.Establecimiento],$O$3,BASE[CODCIE108],ENOS_G3_NEU_20_59_AÑOS[[#This Row],[CIE-10]],BASE[Edad],"&gt;=20",BASE[Edad],"&lt;=59"))</f>
        <v>0</v>
      </c>
      <c r="AE151" s="8">
        <f>IF($O$3="(Todas)",COUNTIFS(BASE[CODCIE1010],ENOS_G3_NEU_20_59_AÑOS[[#This Row],[CIE-10]],BASE[Edad],"&gt;=20",BASE[Edad],"&lt;=59"),COUNTIFS(BASE[Cod.Establecimiento],$O$3,BASE[CODCIE1010],ENOS_G3_NEU_20_59_AÑOS[[#This Row],[CIE-10]],BASE[Edad],"&gt;=20",BASE[Edad],"&lt;=59"))</f>
        <v>0</v>
      </c>
      <c r="AF151" s="9">
        <f>SUM(ENOS_G3_NEU_20_59_AÑOS[[#This Row],[D1]:[D6]])</f>
        <v>0</v>
      </c>
    </row>
    <row r="152" spans="1:3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32" t="s">
        <v>316</v>
      </c>
      <c r="Q152" s="8">
        <f>IF($O$3="(Todas)",COUNTIFS(BASE[CODCIE10],ENOS_G3_NEU_5_19_AÑOS[[#This Row],[CIE-10]],BASE[Edad],"&gt;=5",BASE[Edad],"&lt;=19"),COUNTIFS(BASE[Cod.Establecimiento],$O$3,BASE[CODCIE10],ENOS_G3_NEU_5_19_AÑOS[[#This Row],[CIE-10]],BASE[Edad],"&gt;=5",BASE[Edad],"&lt;=19"))</f>
        <v>0</v>
      </c>
      <c r="R152" s="8">
        <f>IF($O$3="(Todas)",COUNTIFS(BASE[CODCIE102],ENOS_G3_NEU_5_19_AÑOS[[#This Row],[CIE-10]],BASE[Edad],"&gt;=5",BASE[Edad],"&lt;=19"),COUNTIFS(BASE[Cod.Establecimiento],$O$3,BASE[CODCIE102],ENOS_G3_NEU_5_19_AÑOS[[#This Row],[CIE-10]],BASE[Edad],"&gt;=5",BASE[Edad],"&lt;=19"))</f>
        <v>0</v>
      </c>
      <c r="S152" s="8">
        <f>IF($O$3="(Todas)",COUNTIFS(BASE[CODCIE104],ENOS_G3_NEU_5_19_AÑOS[[#This Row],[CIE-10]],BASE[Edad],"&gt;=5",BASE[Edad],"&lt;=19"),COUNTIFS(BASE[Cod.Establecimiento],$O$3,BASE[CODCIE104],ENOS_G3_NEU_5_19_AÑOS[[#This Row],[CIE-10]],BASE[Edad],"&gt;=5",BASE[Edad],"&lt;=19"))</f>
        <v>0</v>
      </c>
      <c r="T152" s="8">
        <f>IF($O$3="(Todas)",COUNTIFS(BASE[CODCIE106],ENOS_G3_NEU_5_19_AÑOS[[#This Row],[CIE-10]],BASE[Edad],"&gt;=5",BASE[Edad],"&lt;=19"),COUNTIFS(BASE[Cod.Establecimiento],$O$3,BASE[CODCIE106],ENOS_G3_NEU_5_19_AÑOS[[#This Row],[CIE-10]],BASE[Edad],"&gt;=5",BASE[Edad],"&lt;=19"))</f>
        <v>0</v>
      </c>
      <c r="U152" s="8">
        <f>IF($O$3="(Todas)",COUNTIFS(BASE[CODCIE108],ENOS_G3_NEU_5_19_AÑOS[[#This Row],[CIE-10]],BASE[Edad],"&gt;=5",BASE[Edad],"&lt;=19"),COUNTIFS(BASE[Cod.Establecimiento],$O$3,BASE[CODCIE108],ENOS_G3_NEU_5_19_AÑOS[[#This Row],[CIE-10]],BASE[Edad],"&gt;=5",BASE[Edad],"&lt;=19"))</f>
        <v>0</v>
      </c>
      <c r="V152" s="8">
        <f>IF($O$3="(Todas)",COUNTIFS(BASE[CODCIE1010],ENOS_G3_NEU_5_19_AÑOS[[#This Row],[CIE-10]],BASE[Edad],"&gt;=5",BASE[Edad],"&lt;=19"),COUNTIFS(BASE[Cod.Establecimiento],$O$3,BASE[CODCIE1010],ENOS_G3_NEU_5_19_AÑOS[[#This Row],[CIE-10]],BASE[Edad],"&gt;=5",BASE[Edad],"&lt;=19"))</f>
        <v>0</v>
      </c>
      <c r="W152" s="9">
        <f>SUM(ENOS_G3_NEU_5_19_AÑOS[[#This Row],[D1]:[D6]])</f>
        <v>0</v>
      </c>
      <c r="X152" s="2"/>
      <c r="Y152" s="32" t="s">
        <v>316</v>
      </c>
      <c r="Z152" s="8">
        <f>IF($O$3="(Todas)",COUNTIFS(BASE[CODCIE10],ENOS_G3_NEU_20_59_AÑOS[[#This Row],[CIE-10]],BASE[Edad],"&gt;=20",BASE[Edad],"&lt;=59"),COUNTIFS(BASE[Cod.Establecimiento],$O$3,BASE[CODCIE10],ENOS_G3_NEU_20_59_AÑOS[[#This Row],[CIE-10]],BASE[Edad],"&gt;=20",BASE[Edad],"&lt;=59"))</f>
        <v>0</v>
      </c>
      <c r="AA152" s="8">
        <f>IF($O$3="(Todas)",COUNTIFS(BASE[CODCIE102],ENOS_G3_NEU_20_59_AÑOS[[#This Row],[CIE-10]],BASE[Edad],"&gt;=20",BASE[Edad],"&lt;=59"),COUNTIFS(BASE[Cod.Establecimiento],$O$3,BASE[CODCIE102],ENOS_G3_NEU_20_59_AÑOS[[#This Row],[CIE-10]],BASE[Edad],"&gt;=20",BASE[Edad],"&lt;=59"))</f>
        <v>0</v>
      </c>
      <c r="AB152" s="8">
        <f>IF($O$3="(Todas)",COUNTIFS(BASE[CODCIE104],ENOS_G3_NEU_20_59_AÑOS[[#This Row],[CIE-10]],BASE[Edad],"&gt;=20",BASE[Edad],"&lt;=59"),COUNTIFS(BASE[Cod.Establecimiento],$O$3,BASE[CODCIE104],ENOS_G3_NEU_20_59_AÑOS[[#This Row],[CIE-10]],BASE[Edad],"&gt;=20",BASE[Edad],"&lt;=59"))</f>
        <v>0</v>
      </c>
      <c r="AC152" s="8">
        <f>IF($O$3="(Todas)",COUNTIFS(BASE[CODCIE106],ENOS_G3_NEU_20_59_AÑOS[[#This Row],[CIE-10]],BASE[Edad],"&gt;=20",BASE[Edad],"&lt;=59"),COUNTIFS(BASE[Cod.Establecimiento],$O$3,BASE[CODCIE106],ENOS_G3_NEU_20_59_AÑOS[[#This Row],[CIE-10]],BASE[Edad],"&gt;=20",BASE[Edad],"&lt;=59"))</f>
        <v>0</v>
      </c>
      <c r="AD152" s="8">
        <f>IF($O$3="(Todas)",COUNTIFS(BASE[CODCIE108],ENOS_G3_NEU_20_59_AÑOS[[#This Row],[CIE-10]],BASE[Edad],"&gt;=20",BASE[Edad],"&lt;=59"),COUNTIFS(BASE[Cod.Establecimiento],$O$3,BASE[CODCIE108],ENOS_G3_NEU_20_59_AÑOS[[#This Row],[CIE-10]],BASE[Edad],"&gt;=20",BASE[Edad],"&lt;=59"))</f>
        <v>0</v>
      </c>
      <c r="AE152" s="8">
        <f>IF($O$3="(Todas)",COUNTIFS(BASE[CODCIE1010],ENOS_G3_NEU_20_59_AÑOS[[#This Row],[CIE-10]],BASE[Edad],"&gt;=20",BASE[Edad],"&lt;=59"),COUNTIFS(BASE[Cod.Establecimiento],$O$3,BASE[CODCIE1010],ENOS_G3_NEU_20_59_AÑOS[[#This Row],[CIE-10]],BASE[Edad],"&gt;=20",BASE[Edad],"&lt;=59"))</f>
        <v>0</v>
      </c>
      <c r="AF152" s="9">
        <f>SUM(ENOS_G3_NEU_20_59_AÑOS[[#This Row],[D1]:[D6]])</f>
        <v>0</v>
      </c>
    </row>
    <row r="153" spans="1:3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32" t="s">
        <v>317</v>
      </c>
      <c r="Q153" s="8">
        <f>IF($O$3="(Todas)",COUNTIFS(BASE[CODCIE10],ENOS_G3_NEU_5_19_AÑOS[[#This Row],[CIE-10]],BASE[Edad],"&gt;=5",BASE[Edad],"&lt;=19"),COUNTIFS(BASE[Cod.Establecimiento],$O$3,BASE[CODCIE10],ENOS_G3_NEU_5_19_AÑOS[[#This Row],[CIE-10]],BASE[Edad],"&gt;=5",BASE[Edad],"&lt;=19"))</f>
        <v>0</v>
      </c>
      <c r="R153" s="8">
        <f>IF($O$3="(Todas)",COUNTIFS(BASE[CODCIE102],ENOS_G3_NEU_5_19_AÑOS[[#This Row],[CIE-10]],BASE[Edad],"&gt;=5",BASE[Edad],"&lt;=19"),COUNTIFS(BASE[Cod.Establecimiento],$O$3,BASE[CODCIE102],ENOS_G3_NEU_5_19_AÑOS[[#This Row],[CIE-10]],BASE[Edad],"&gt;=5",BASE[Edad],"&lt;=19"))</f>
        <v>0</v>
      </c>
      <c r="S153" s="8">
        <f>IF($O$3="(Todas)",COUNTIFS(BASE[CODCIE104],ENOS_G3_NEU_5_19_AÑOS[[#This Row],[CIE-10]],BASE[Edad],"&gt;=5",BASE[Edad],"&lt;=19"),COUNTIFS(BASE[Cod.Establecimiento],$O$3,BASE[CODCIE104],ENOS_G3_NEU_5_19_AÑOS[[#This Row],[CIE-10]],BASE[Edad],"&gt;=5",BASE[Edad],"&lt;=19"))</f>
        <v>0</v>
      </c>
      <c r="T153" s="8">
        <f>IF($O$3="(Todas)",COUNTIFS(BASE[CODCIE106],ENOS_G3_NEU_5_19_AÑOS[[#This Row],[CIE-10]],BASE[Edad],"&gt;=5",BASE[Edad],"&lt;=19"),COUNTIFS(BASE[Cod.Establecimiento],$O$3,BASE[CODCIE106],ENOS_G3_NEU_5_19_AÑOS[[#This Row],[CIE-10]],BASE[Edad],"&gt;=5",BASE[Edad],"&lt;=19"))</f>
        <v>0</v>
      </c>
      <c r="U153" s="8">
        <f>IF($O$3="(Todas)",COUNTIFS(BASE[CODCIE108],ENOS_G3_NEU_5_19_AÑOS[[#This Row],[CIE-10]],BASE[Edad],"&gt;=5",BASE[Edad],"&lt;=19"),COUNTIFS(BASE[Cod.Establecimiento],$O$3,BASE[CODCIE108],ENOS_G3_NEU_5_19_AÑOS[[#This Row],[CIE-10]],BASE[Edad],"&gt;=5",BASE[Edad],"&lt;=19"))</f>
        <v>0</v>
      </c>
      <c r="V153" s="8">
        <f>IF($O$3="(Todas)",COUNTIFS(BASE[CODCIE1010],ENOS_G3_NEU_5_19_AÑOS[[#This Row],[CIE-10]],BASE[Edad],"&gt;=5",BASE[Edad],"&lt;=19"),COUNTIFS(BASE[Cod.Establecimiento],$O$3,BASE[CODCIE1010],ENOS_G3_NEU_5_19_AÑOS[[#This Row],[CIE-10]],BASE[Edad],"&gt;=5",BASE[Edad],"&lt;=19"))</f>
        <v>0</v>
      </c>
      <c r="W153" s="9">
        <f>SUM(ENOS_G3_NEU_5_19_AÑOS[[#This Row],[D1]:[D6]])</f>
        <v>0</v>
      </c>
      <c r="X153" s="2"/>
      <c r="Y153" s="32" t="s">
        <v>317</v>
      </c>
      <c r="Z153" s="8">
        <f>IF($O$3="(Todas)",COUNTIFS(BASE[CODCIE10],ENOS_G3_NEU_20_59_AÑOS[[#This Row],[CIE-10]],BASE[Edad],"&gt;=20",BASE[Edad],"&lt;=59"),COUNTIFS(BASE[Cod.Establecimiento],$O$3,BASE[CODCIE10],ENOS_G3_NEU_20_59_AÑOS[[#This Row],[CIE-10]],BASE[Edad],"&gt;=20",BASE[Edad],"&lt;=59"))</f>
        <v>0</v>
      </c>
      <c r="AA153" s="8">
        <f>IF($O$3="(Todas)",COUNTIFS(BASE[CODCIE102],ENOS_G3_NEU_20_59_AÑOS[[#This Row],[CIE-10]],BASE[Edad],"&gt;=20",BASE[Edad],"&lt;=59"),COUNTIFS(BASE[Cod.Establecimiento],$O$3,BASE[CODCIE102],ENOS_G3_NEU_20_59_AÑOS[[#This Row],[CIE-10]],BASE[Edad],"&gt;=20",BASE[Edad],"&lt;=59"))</f>
        <v>0</v>
      </c>
      <c r="AB153" s="8">
        <f>IF($O$3="(Todas)",COUNTIFS(BASE[CODCIE104],ENOS_G3_NEU_20_59_AÑOS[[#This Row],[CIE-10]],BASE[Edad],"&gt;=20",BASE[Edad],"&lt;=59"),COUNTIFS(BASE[Cod.Establecimiento],$O$3,BASE[CODCIE104],ENOS_G3_NEU_20_59_AÑOS[[#This Row],[CIE-10]],BASE[Edad],"&gt;=20",BASE[Edad],"&lt;=59"))</f>
        <v>0</v>
      </c>
      <c r="AC153" s="8">
        <f>IF($O$3="(Todas)",COUNTIFS(BASE[CODCIE106],ENOS_G3_NEU_20_59_AÑOS[[#This Row],[CIE-10]],BASE[Edad],"&gt;=20",BASE[Edad],"&lt;=59"),COUNTIFS(BASE[Cod.Establecimiento],$O$3,BASE[CODCIE106],ENOS_G3_NEU_20_59_AÑOS[[#This Row],[CIE-10]],BASE[Edad],"&gt;=20",BASE[Edad],"&lt;=59"))</f>
        <v>0</v>
      </c>
      <c r="AD153" s="8">
        <f>IF($O$3="(Todas)",COUNTIFS(BASE[CODCIE108],ENOS_G3_NEU_20_59_AÑOS[[#This Row],[CIE-10]],BASE[Edad],"&gt;=20",BASE[Edad],"&lt;=59"),COUNTIFS(BASE[Cod.Establecimiento],$O$3,BASE[CODCIE108],ENOS_G3_NEU_20_59_AÑOS[[#This Row],[CIE-10]],BASE[Edad],"&gt;=20",BASE[Edad],"&lt;=59"))</f>
        <v>0</v>
      </c>
      <c r="AE153" s="8">
        <f>IF($O$3="(Todas)",COUNTIFS(BASE[CODCIE1010],ENOS_G3_NEU_20_59_AÑOS[[#This Row],[CIE-10]],BASE[Edad],"&gt;=20",BASE[Edad],"&lt;=59"),COUNTIFS(BASE[Cod.Establecimiento],$O$3,BASE[CODCIE1010],ENOS_G3_NEU_20_59_AÑOS[[#This Row],[CIE-10]],BASE[Edad],"&gt;=20",BASE[Edad],"&lt;=59"))</f>
        <v>0</v>
      </c>
      <c r="AF153" s="9">
        <f>SUM(ENOS_G3_NEU_20_59_AÑOS[[#This Row],[D1]:[D6]])</f>
        <v>0</v>
      </c>
    </row>
    <row r="154" spans="1:3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32" t="s">
        <v>318</v>
      </c>
      <c r="Q154" s="8">
        <f>IF($O$3="(Todas)",COUNTIFS(BASE[CODCIE10],ENOS_G3_NEU_5_19_AÑOS[[#This Row],[CIE-10]],BASE[Edad],"&gt;=5",BASE[Edad],"&lt;=19"),COUNTIFS(BASE[Cod.Establecimiento],$O$3,BASE[CODCIE10],ENOS_G3_NEU_5_19_AÑOS[[#This Row],[CIE-10]],BASE[Edad],"&gt;=5",BASE[Edad],"&lt;=19"))</f>
        <v>0</v>
      </c>
      <c r="R154" s="8">
        <f>IF($O$3="(Todas)",COUNTIFS(BASE[CODCIE102],ENOS_G3_NEU_5_19_AÑOS[[#This Row],[CIE-10]],BASE[Edad],"&gt;=5",BASE[Edad],"&lt;=19"),COUNTIFS(BASE[Cod.Establecimiento],$O$3,BASE[CODCIE102],ENOS_G3_NEU_5_19_AÑOS[[#This Row],[CIE-10]],BASE[Edad],"&gt;=5",BASE[Edad],"&lt;=19"))</f>
        <v>0</v>
      </c>
      <c r="S154" s="8">
        <f>IF($O$3="(Todas)",COUNTIFS(BASE[CODCIE104],ENOS_G3_NEU_5_19_AÑOS[[#This Row],[CIE-10]],BASE[Edad],"&gt;=5",BASE[Edad],"&lt;=19"),COUNTIFS(BASE[Cod.Establecimiento],$O$3,BASE[CODCIE104],ENOS_G3_NEU_5_19_AÑOS[[#This Row],[CIE-10]],BASE[Edad],"&gt;=5",BASE[Edad],"&lt;=19"))</f>
        <v>0</v>
      </c>
      <c r="T154" s="8">
        <f>IF($O$3="(Todas)",COUNTIFS(BASE[CODCIE106],ENOS_G3_NEU_5_19_AÑOS[[#This Row],[CIE-10]],BASE[Edad],"&gt;=5",BASE[Edad],"&lt;=19"),COUNTIFS(BASE[Cod.Establecimiento],$O$3,BASE[CODCIE106],ENOS_G3_NEU_5_19_AÑOS[[#This Row],[CIE-10]],BASE[Edad],"&gt;=5",BASE[Edad],"&lt;=19"))</f>
        <v>0</v>
      </c>
      <c r="U154" s="8">
        <f>IF($O$3="(Todas)",COUNTIFS(BASE[CODCIE108],ENOS_G3_NEU_5_19_AÑOS[[#This Row],[CIE-10]],BASE[Edad],"&gt;=5",BASE[Edad],"&lt;=19"),COUNTIFS(BASE[Cod.Establecimiento],$O$3,BASE[CODCIE108],ENOS_G3_NEU_5_19_AÑOS[[#This Row],[CIE-10]],BASE[Edad],"&gt;=5",BASE[Edad],"&lt;=19"))</f>
        <v>0</v>
      </c>
      <c r="V154" s="8">
        <f>IF($O$3="(Todas)",COUNTIFS(BASE[CODCIE1010],ENOS_G3_NEU_5_19_AÑOS[[#This Row],[CIE-10]],BASE[Edad],"&gt;=5",BASE[Edad],"&lt;=19"),COUNTIFS(BASE[Cod.Establecimiento],$O$3,BASE[CODCIE1010],ENOS_G3_NEU_5_19_AÑOS[[#This Row],[CIE-10]],BASE[Edad],"&gt;=5",BASE[Edad],"&lt;=19"))</f>
        <v>0</v>
      </c>
      <c r="W154" s="9">
        <f>SUM(ENOS_G3_NEU_5_19_AÑOS[[#This Row],[D1]:[D6]])</f>
        <v>0</v>
      </c>
      <c r="X154" s="2"/>
      <c r="Y154" s="32" t="s">
        <v>318</v>
      </c>
      <c r="Z154" s="8">
        <f>IF($O$3="(Todas)",COUNTIFS(BASE[CODCIE10],ENOS_G3_NEU_20_59_AÑOS[[#This Row],[CIE-10]],BASE[Edad],"&gt;=20",BASE[Edad],"&lt;=59"),COUNTIFS(BASE[Cod.Establecimiento],$O$3,BASE[CODCIE10],ENOS_G3_NEU_20_59_AÑOS[[#This Row],[CIE-10]],BASE[Edad],"&gt;=20",BASE[Edad],"&lt;=59"))</f>
        <v>0</v>
      </c>
      <c r="AA154" s="8">
        <f>IF($O$3="(Todas)",COUNTIFS(BASE[CODCIE102],ENOS_G3_NEU_20_59_AÑOS[[#This Row],[CIE-10]],BASE[Edad],"&gt;=20",BASE[Edad],"&lt;=59"),COUNTIFS(BASE[Cod.Establecimiento],$O$3,BASE[CODCIE102],ENOS_G3_NEU_20_59_AÑOS[[#This Row],[CIE-10]],BASE[Edad],"&gt;=20",BASE[Edad],"&lt;=59"))</f>
        <v>0</v>
      </c>
      <c r="AB154" s="8">
        <f>IF($O$3="(Todas)",COUNTIFS(BASE[CODCIE104],ENOS_G3_NEU_20_59_AÑOS[[#This Row],[CIE-10]],BASE[Edad],"&gt;=20",BASE[Edad],"&lt;=59"),COUNTIFS(BASE[Cod.Establecimiento],$O$3,BASE[CODCIE104],ENOS_G3_NEU_20_59_AÑOS[[#This Row],[CIE-10]],BASE[Edad],"&gt;=20",BASE[Edad],"&lt;=59"))</f>
        <v>0</v>
      </c>
      <c r="AC154" s="8">
        <f>IF($O$3="(Todas)",COUNTIFS(BASE[CODCIE106],ENOS_G3_NEU_20_59_AÑOS[[#This Row],[CIE-10]],BASE[Edad],"&gt;=20",BASE[Edad],"&lt;=59"),COUNTIFS(BASE[Cod.Establecimiento],$O$3,BASE[CODCIE106],ENOS_G3_NEU_20_59_AÑOS[[#This Row],[CIE-10]],BASE[Edad],"&gt;=20",BASE[Edad],"&lt;=59"))</f>
        <v>0</v>
      </c>
      <c r="AD154" s="8">
        <f>IF($O$3="(Todas)",COUNTIFS(BASE[CODCIE108],ENOS_G3_NEU_20_59_AÑOS[[#This Row],[CIE-10]],BASE[Edad],"&gt;=20",BASE[Edad],"&lt;=59"),COUNTIFS(BASE[Cod.Establecimiento],$O$3,BASE[CODCIE108],ENOS_G3_NEU_20_59_AÑOS[[#This Row],[CIE-10]],BASE[Edad],"&gt;=20",BASE[Edad],"&lt;=59"))</f>
        <v>0</v>
      </c>
      <c r="AE154" s="8">
        <f>IF($O$3="(Todas)",COUNTIFS(BASE[CODCIE1010],ENOS_G3_NEU_20_59_AÑOS[[#This Row],[CIE-10]],BASE[Edad],"&gt;=20",BASE[Edad],"&lt;=59"),COUNTIFS(BASE[Cod.Establecimiento],$O$3,BASE[CODCIE1010],ENOS_G3_NEU_20_59_AÑOS[[#This Row],[CIE-10]],BASE[Edad],"&gt;=20",BASE[Edad],"&lt;=59"))</f>
        <v>0</v>
      </c>
      <c r="AF154" s="9">
        <f>SUM(ENOS_G3_NEU_20_59_AÑOS[[#This Row],[D1]:[D6]])</f>
        <v>0</v>
      </c>
    </row>
    <row r="155" spans="1:32" ht="18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32" t="s">
        <v>319</v>
      </c>
      <c r="Q155" s="8">
        <f>IF($O$3="(Todas)",COUNTIFS(BASE[CODCIE10],ENOS_G3_NEU_5_19_AÑOS[[#This Row],[CIE-10]],BASE[Edad],"&gt;=5",BASE[Edad],"&lt;=19"),COUNTIFS(BASE[Cod.Establecimiento],$O$3,BASE[CODCIE10],ENOS_G3_NEU_5_19_AÑOS[[#This Row],[CIE-10]],BASE[Edad],"&gt;=5",BASE[Edad],"&lt;=19"))</f>
        <v>0</v>
      </c>
      <c r="R155" s="8">
        <f>IF($O$3="(Todas)",COUNTIFS(BASE[CODCIE102],ENOS_G3_NEU_5_19_AÑOS[[#This Row],[CIE-10]],BASE[Edad],"&gt;=5",BASE[Edad],"&lt;=19"),COUNTIFS(BASE[Cod.Establecimiento],$O$3,BASE[CODCIE102],ENOS_G3_NEU_5_19_AÑOS[[#This Row],[CIE-10]],BASE[Edad],"&gt;=5",BASE[Edad],"&lt;=19"))</f>
        <v>0</v>
      </c>
      <c r="S155" s="8">
        <f>IF($O$3="(Todas)",COUNTIFS(BASE[CODCIE104],ENOS_G3_NEU_5_19_AÑOS[[#This Row],[CIE-10]],BASE[Edad],"&gt;=5",BASE[Edad],"&lt;=19"),COUNTIFS(BASE[Cod.Establecimiento],$O$3,BASE[CODCIE104],ENOS_G3_NEU_5_19_AÑOS[[#This Row],[CIE-10]],BASE[Edad],"&gt;=5",BASE[Edad],"&lt;=19"))</f>
        <v>0</v>
      </c>
      <c r="T155" s="8">
        <f>IF($O$3="(Todas)",COUNTIFS(BASE[CODCIE106],ENOS_G3_NEU_5_19_AÑOS[[#This Row],[CIE-10]],BASE[Edad],"&gt;=5",BASE[Edad],"&lt;=19"),COUNTIFS(BASE[Cod.Establecimiento],$O$3,BASE[CODCIE106],ENOS_G3_NEU_5_19_AÑOS[[#This Row],[CIE-10]],BASE[Edad],"&gt;=5",BASE[Edad],"&lt;=19"))</f>
        <v>0</v>
      </c>
      <c r="U155" s="8">
        <f>IF($O$3="(Todas)",COUNTIFS(BASE[CODCIE108],ENOS_G3_NEU_5_19_AÑOS[[#This Row],[CIE-10]],BASE[Edad],"&gt;=5",BASE[Edad],"&lt;=19"),COUNTIFS(BASE[Cod.Establecimiento],$O$3,BASE[CODCIE108],ENOS_G3_NEU_5_19_AÑOS[[#This Row],[CIE-10]],BASE[Edad],"&gt;=5",BASE[Edad],"&lt;=19"))</f>
        <v>0</v>
      </c>
      <c r="V155" s="8">
        <f>IF($O$3="(Todas)",COUNTIFS(BASE[CODCIE1010],ENOS_G3_NEU_5_19_AÑOS[[#This Row],[CIE-10]],BASE[Edad],"&gt;=5",BASE[Edad],"&lt;=19"),COUNTIFS(BASE[Cod.Establecimiento],$O$3,BASE[CODCIE1010],ENOS_G3_NEU_5_19_AÑOS[[#This Row],[CIE-10]],BASE[Edad],"&gt;=5",BASE[Edad],"&lt;=19"))</f>
        <v>0</v>
      </c>
      <c r="W155" s="9">
        <f>SUM(ENOS_G3_NEU_5_19_AÑOS[[#This Row],[D1]:[D6]])</f>
        <v>0</v>
      </c>
      <c r="X155" s="2"/>
      <c r="Y155" s="32" t="s">
        <v>319</v>
      </c>
      <c r="Z155" s="8">
        <f>IF($O$3="(Todas)",COUNTIFS(BASE[CODCIE10],ENOS_G3_NEU_20_59_AÑOS[[#This Row],[CIE-10]],BASE[Edad],"&gt;=20",BASE[Edad],"&lt;=59"),COUNTIFS(BASE[Cod.Establecimiento],$O$3,BASE[CODCIE10],ENOS_G3_NEU_20_59_AÑOS[[#This Row],[CIE-10]],BASE[Edad],"&gt;=20",BASE[Edad],"&lt;=59"))</f>
        <v>0</v>
      </c>
      <c r="AA155" s="8">
        <f>IF($O$3="(Todas)",COUNTIFS(BASE[CODCIE102],ENOS_G3_NEU_20_59_AÑOS[[#This Row],[CIE-10]],BASE[Edad],"&gt;=20",BASE[Edad],"&lt;=59"),COUNTIFS(BASE[Cod.Establecimiento],$O$3,BASE[CODCIE102],ENOS_G3_NEU_20_59_AÑOS[[#This Row],[CIE-10]],BASE[Edad],"&gt;=20",BASE[Edad],"&lt;=59"))</f>
        <v>0</v>
      </c>
      <c r="AB155" s="8">
        <f>IF($O$3="(Todas)",COUNTIFS(BASE[CODCIE104],ENOS_G3_NEU_20_59_AÑOS[[#This Row],[CIE-10]],BASE[Edad],"&gt;=20",BASE[Edad],"&lt;=59"),COUNTIFS(BASE[Cod.Establecimiento],$O$3,BASE[CODCIE104],ENOS_G3_NEU_20_59_AÑOS[[#This Row],[CIE-10]],BASE[Edad],"&gt;=20",BASE[Edad],"&lt;=59"))</f>
        <v>0</v>
      </c>
      <c r="AC155" s="8">
        <f>IF($O$3="(Todas)",COUNTIFS(BASE[CODCIE106],ENOS_G3_NEU_20_59_AÑOS[[#This Row],[CIE-10]],BASE[Edad],"&gt;=20",BASE[Edad],"&lt;=59"),COUNTIFS(BASE[Cod.Establecimiento],$O$3,BASE[CODCIE106],ENOS_G3_NEU_20_59_AÑOS[[#This Row],[CIE-10]],BASE[Edad],"&gt;=20",BASE[Edad],"&lt;=59"))</f>
        <v>0</v>
      </c>
      <c r="AD155" s="8">
        <f>IF($O$3="(Todas)",COUNTIFS(BASE[CODCIE108],ENOS_G3_NEU_20_59_AÑOS[[#This Row],[CIE-10]],BASE[Edad],"&gt;=20",BASE[Edad],"&lt;=59"),COUNTIFS(BASE[Cod.Establecimiento],$O$3,BASE[CODCIE108],ENOS_G3_NEU_20_59_AÑOS[[#This Row],[CIE-10]],BASE[Edad],"&gt;=20",BASE[Edad],"&lt;=59"))</f>
        <v>0</v>
      </c>
      <c r="AE155" s="8">
        <f>IF($O$3="(Todas)",COUNTIFS(BASE[CODCIE1010],ENOS_G3_NEU_20_59_AÑOS[[#This Row],[CIE-10]],BASE[Edad],"&gt;=20",BASE[Edad],"&lt;=59"),COUNTIFS(BASE[Cod.Establecimiento],$O$3,BASE[CODCIE1010],ENOS_G3_NEU_20_59_AÑOS[[#This Row],[CIE-10]],BASE[Edad],"&gt;=20",BASE[Edad],"&lt;=59"))</f>
        <v>0</v>
      </c>
      <c r="AF155" s="9">
        <f>SUM(ENOS_G3_NEU_20_59_AÑOS[[#This Row],[D1]:[D6]])</f>
        <v>0</v>
      </c>
    </row>
    <row r="156" spans="1:32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spans="1:32" ht="18" thickBo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80" t="s">
        <v>288</v>
      </c>
      <c r="Q157" s="81"/>
      <c r="R157" s="81"/>
      <c r="S157" s="81"/>
      <c r="T157" s="81"/>
      <c r="U157" s="81"/>
      <c r="V157" s="81"/>
      <c r="W157" s="81"/>
      <c r="X157" s="2"/>
      <c r="Y157" s="80" t="s">
        <v>289</v>
      </c>
      <c r="Z157" s="81"/>
      <c r="AA157" s="81"/>
      <c r="AB157" s="81"/>
      <c r="AC157" s="81"/>
      <c r="AD157" s="81"/>
      <c r="AE157" s="81"/>
      <c r="AF157" s="81"/>
    </row>
    <row r="158" spans="1:32" ht="15.75" thickTop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 t="s">
        <v>93</v>
      </c>
      <c r="Q158" s="8" t="s">
        <v>94</v>
      </c>
      <c r="R158" s="8" t="s">
        <v>95</v>
      </c>
      <c r="S158" s="8" t="s">
        <v>96</v>
      </c>
      <c r="T158" s="8" t="s">
        <v>97</v>
      </c>
      <c r="U158" s="8" t="s">
        <v>98</v>
      </c>
      <c r="V158" s="8" t="s">
        <v>99</v>
      </c>
      <c r="W158" s="10" t="s">
        <v>100</v>
      </c>
      <c r="X158" s="2"/>
      <c r="Y158" s="2" t="s">
        <v>93</v>
      </c>
      <c r="Z158" s="8" t="s">
        <v>94</v>
      </c>
      <c r="AA158" s="8" t="s">
        <v>95</v>
      </c>
      <c r="AB158" s="8" t="s">
        <v>96</v>
      </c>
      <c r="AC158" s="8" t="s">
        <v>97</v>
      </c>
      <c r="AD158" s="8" t="s">
        <v>98</v>
      </c>
      <c r="AE158" s="8" t="s">
        <v>99</v>
      </c>
      <c r="AF158" s="10" t="s">
        <v>100</v>
      </c>
    </row>
    <row r="159" spans="1:32" ht="18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32" t="s">
        <v>313</v>
      </c>
      <c r="Q159" s="8">
        <f>IF($O$3="(Todas)",COUNTIFS(BASE[CODCIE10],ENOS_G3_NEU_60_MAS_AÑOS[[#This Row],[CIE-10]],BASE[Edad],"&gt;=60"),COUNTIFS(BASE[Cod.Establecimiento],$O$3,BASE[CODCIE10],ENOS_G3_NEU_60_MAS_AÑOS[[#This Row],[CIE-10]],BASE[Edad],"&gt;=60"))</f>
        <v>0</v>
      </c>
      <c r="R159" s="8">
        <f>IF($O$3="(Todas)",COUNTIFS(BASE[CODCIE102],ENOS_G3_NEU_60_MAS_AÑOS[[#This Row],[CIE-10]],BASE[Edad],"&gt;=60"),COUNTIFS(BASE[Cod.Establecimiento],$O$3,BASE[CODCIE102],ENOS_G3_NEU_60_MAS_AÑOS[[#This Row],[CIE-10]],BASE[Edad],"&gt;=60"))</f>
        <v>0</v>
      </c>
      <c r="S159" s="8">
        <f>IF($O$3="(Todas)",COUNTIFS(BASE[CODCIE104],ENOS_G3_NEU_60_MAS_AÑOS[[#This Row],[CIE-10]],BASE[Edad],"&gt;=60"),COUNTIFS(BASE[Cod.Establecimiento],$O$3,BASE[CODCIE104],ENOS_G3_NEU_60_MAS_AÑOS[[#This Row],[CIE-10]],BASE[Edad],"&gt;=60"))</f>
        <v>0</v>
      </c>
      <c r="T159" s="8">
        <f>IF($O$3="(Todas)",COUNTIFS(BASE[CODCIE106],ENOS_G3_NEU_60_MAS_AÑOS[[#This Row],[CIE-10]],BASE[Edad],"&gt;=60"),COUNTIFS(BASE[Cod.Establecimiento],$O$3,BASE[CODCIE106],ENOS_G3_NEU_60_MAS_AÑOS[[#This Row],[CIE-10]],BASE[Edad],"&gt;=60"))</f>
        <v>0</v>
      </c>
      <c r="U159" s="8">
        <f>IF($O$3="(Todas)",COUNTIFS(BASE[CODCIE108],ENOS_G3_NEU_60_MAS_AÑOS[[#This Row],[CIE-10]],BASE[Edad],"&gt;=60"),COUNTIFS(BASE[Cod.Establecimiento],$O$3,BASE[CODCIE108],ENOS_G3_NEU_60_MAS_AÑOS[[#This Row],[CIE-10]],BASE[Edad],"&gt;=60"))</f>
        <v>0</v>
      </c>
      <c r="V159" s="8">
        <f>IF($O$3="(Todas)",COUNTIFS(BASE[CODCIE1010],ENOS_G3_NEU_60_MAS_AÑOS[[#This Row],[CIE-10]],BASE[Edad],"&gt;=60"),COUNTIFS(BASE[Cod.Establecimiento],$O$3,BASE[CODCIE1010],ENOS_G3_NEU_60_MAS_AÑOS[[#This Row],[CIE-10]],BASE[Edad],"&gt;=60"))</f>
        <v>0</v>
      </c>
      <c r="W159" s="9">
        <f>SUM(ENOS_G3_NEU_60_MAS_AÑOS[[#This Row],[D1]:[D6]])</f>
        <v>0</v>
      </c>
      <c r="X159" s="2"/>
      <c r="Y159" s="32" t="s">
        <v>313</v>
      </c>
      <c r="Z159" s="8">
        <f>IF($O$3="(Todas)",COUNTIFS(BASE[CODCIE10],ENOS_G3_NEU_SD_AÑOS[[#This Row],[CIE-10]],BASE[Edad],""),COUNTIFS(BASE[Cod.Establecimiento],$O$3,BASE[CODCIE10],ENOS_G3_NEU_SD_AÑOS[[#This Row],[CIE-10]],BASE[Edad],""))</f>
        <v>0</v>
      </c>
      <c r="AA159" s="8">
        <f>IF($O$3="(Todas)",COUNTIFS(BASE[CODCIE102],ENOS_G3_NEU_SD_AÑOS[[#This Row],[CIE-10]],BASE[Edad],""),COUNTIFS(BASE[Cod.Establecimiento],$O$3,BASE[CODCIE102],ENOS_G3_NEU_SD_AÑOS[[#This Row],[CIE-10]],BASE[Edad],""))</f>
        <v>0</v>
      </c>
      <c r="AB159" s="8">
        <f>IF($O$3="(Todas)",COUNTIFS(BASE[CODCIE104],ENOS_G3_NEU_SD_AÑOS[[#This Row],[CIE-10]],BASE[Edad],""),COUNTIFS(BASE[Cod.Establecimiento],$O$3,BASE[CODCIE104],ENOS_G3_NEU_SD_AÑOS[[#This Row],[CIE-10]],BASE[Edad],""))</f>
        <v>0</v>
      </c>
      <c r="AC159" s="8">
        <f>IF($O$3="(Todas)",COUNTIFS(BASE[CODCIE106],ENOS_G3_NEU_SD_AÑOS[[#This Row],[CIE-10]],BASE[Edad],""),COUNTIFS(BASE[Cod.Establecimiento],$O$3,BASE[CODCIE106],ENOS_G3_NEU_SD_AÑOS[[#This Row],[CIE-10]],BASE[Edad],""))</f>
        <v>0</v>
      </c>
      <c r="AD159" s="8">
        <f>IF($O$3="(Todas)",COUNTIFS(BASE[CODCIE108],ENOS_G3_NEU_SD_AÑOS[[#This Row],[CIE-10]],BASE[Edad],""),COUNTIFS(BASE[Cod.Establecimiento],$O$3,BASE[CODCIE108],ENOS_G3_NEU_SD_AÑOS[[#This Row],[CIE-10]],BASE[Edad],""))</f>
        <v>0</v>
      </c>
      <c r="AE159" s="8">
        <f>IF($O$3="(Todas)",COUNTIFS(BASE[CODCIE1010],ENOS_G3_NEU_SD_AÑOS[[#This Row],[CIE-10]],BASE[Edad],""),COUNTIFS(BASE[Cod.Establecimiento],$O$3,BASE[CODCIE1010],ENOS_G3_NEU_SD_AÑOS[[#This Row],[CIE-10]],BASE[Edad],""))</f>
        <v>0</v>
      </c>
      <c r="AF159" s="9">
        <f>SUM(ENOS_G3_NEU_SD_AÑOS[[#This Row],[D1]:[D6]])</f>
        <v>0</v>
      </c>
    </row>
    <row r="160" spans="1:32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32" t="s">
        <v>314</v>
      </c>
      <c r="Q160" s="8">
        <f>IF($O$3="(Todas)",COUNTIFS(BASE[CODCIE10],ENOS_G3_NEU_60_MAS_AÑOS[[#This Row],[CIE-10]],BASE[Edad],"&gt;=60"),COUNTIFS(BASE[Cod.Establecimiento],$O$3,BASE[CODCIE10],ENOS_G3_NEU_60_MAS_AÑOS[[#This Row],[CIE-10]],BASE[Edad],"&gt;=60"))</f>
        <v>0</v>
      </c>
      <c r="R160" s="8">
        <f>IF($O$3="(Todas)",COUNTIFS(BASE[CODCIE102],ENOS_G3_NEU_60_MAS_AÑOS[[#This Row],[CIE-10]],BASE[Edad],"&gt;=60"),COUNTIFS(BASE[Cod.Establecimiento],$O$3,BASE[CODCIE102],ENOS_G3_NEU_60_MAS_AÑOS[[#This Row],[CIE-10]],BASE[Edad],"&gt;=60"))</f>
        <v>0</v>
      </c>
      <c r="S160" s="8">
        <f>IF($O$3="(Todas)",COUNTIFS(BASE[CODCIE104],ENOS_G3_NEU_60_MAS_AÑOS[[#This Row],[CIE-10]],BASE[Edad],"&gt;=60"),COUNTIFS(BASE[Cod.Establecimiento],$O$3,BASE[CODCIE104],ENOS_G3_NEU_60_MAS_AÑOS[[#This Row],[CIE-10]],BASE[Edad],"&gt;=60"))</f>
        <v>0</v>
      </c>
      <c r="T160" s="8">
        <f>IF($O$3="(Todas)",COUNTIFS(BASE[CODCIE106],ENOS_G3_NEU_60_MAS_AÑOS[[#This Row],[CIE-10]],BASE[Edad],"&gt;=60"),COUNTIFS(BASE[Cod.Establecimiento],$O$3,BASE[CODCIE106],ENOS_G3_NEU_60_MAS_AÑOS[[#This Row],[CIE-10]],BASE[Edad],"&gt;=60"))</f>
        <v>0</v>
      </c>
      <c r="U160" s="8">
        <f>IF($O$3="(Todas)",COUNTIFS(BASE[CODCIE108],ENOS_G3_NEU_60_MAS_AÑOS[[#This Row],[CIE-10]],BASE[Edad],"&gt;=60"),COUNTIFS(BASE[Cod.Establecimiento],$O$3,BASE[CODCIE108],ENOS_G3_NEU_60_MAS_AÑOS[[#This Row],[CIE-10]],BASE[Edad],"&gt;=60"))</f>
        <v>0</v>
      </c>
      <c r="V160" s="8">
        <f>IF($O$3="(Todas)",COUNTIFS(BASE[CODCIE1010],ENOS_G3_NEU_60_MAS_AÑOS[[#This Row],[CIE-10]],BASE[Edad],"&gt;=60"),COUNTIFS(BASE[Cod.Establecimiento],$O$3,BASE[CODCIE1010],ENOS_G3_NEU_60_MAS_AÑOS[[#This Row],[CIE-10]],BASE[Edad],"&gt;=60"))</f>
        <v>0</v>
      </c>
      <c r="W160" s="9">
        <f>SUM(ENOS_G3_NEU_60_MAS_AÑOS[[#This Row],[D1]:[D6]])</f>
        <v>0</v>
      </c>
      <c r="X160" s="2"/>
      <c r="Y160" s="32" t="s">
        <v>314</v>
      </c>
      <c r="Z160" s="8">
        <f>IF($O$3="(Todas)",COUNTIFS(BASE[CODCIE10],ENOS_G3_NEU_SD_AÑOS[[#This Row],[CIE-10]],BASE[Edad],""),COUNTIFS(BASE[Cod.Establecimiento],$O$3,BASE[CODCIE10],ENOS_G3_NEU_SD_AÑOS[[#This Row],[CIE-10]],BASE[Edad],""))</f>
        <v>0</v>
      </c>
      <c r="AA160" s="8">
        <f>IF($O$3="(Todas)",COUNTIFS(BASE[CODCIE102],ENOS_G3_NEU_SD_AÑOS[[#This Row],[CIE-10]],BASE[Edad],""),COUNTIFS(BASE[Cod.Establecimiento],$O$3,BASE[CODCIE102],ENOS_G3_NEU_SD_AÑOS[[#This Row],[CIE-10]],BASE[Edad],""))</f>
        <v>0</v>
      </c>
      <c r="AB160" s="8">
        <f>IF($O$3="(Todas)",COUNTIFS(BASE[CODCIE104],ENOS_G3_NEU_SD_AÑOS[[#This Row],[CIE-10]],BASE[Edad],""),COUNTIFS(BASE[Cod.Establecimiento],$O$3,BASE[CODCIE104],ENOS_G3_NEU_SD_AÑOS[[#This Row],[CIE-10]],BASE[Edad],""))</f>
        <v>0</v>
      </c>
      <c r="AC160" s="8">
        <f>IF($O$3="(Todas)",COUNTIFS(BASE[CODCIE106],ENOS_G3_NEU_SD_AÑOS[[#This Row],[CIE-10]],BASE[Edad],""),COUNTIFS(BASE[Cod.Establecimiento],$O$3,BASE[CODCIE106],ENOS_G3_NEU_SD_AÑOS[[#This Row],[CIE-10]],BASE[Edad],""))</f>
        <v>0</v>
      </c>
      <c r="AD160" s="8">
        <f>IF($O$3="(Todas)",COUNTIFS(BASE[CODCIE108],ENOS_G3_NEU_SD_AÑOS[[#This Row],[CIE-10]],BASE[Edad],""),COUNTIFS(BASE[Cod.Establecimiento],$O$3,BASE[CODCIE108],ENOS_G3_NEU_SD_AÑOS[[#This Row],[CIE-10]],BASE[Edad],""))</f>
        <v>0</v>
      </c>
      <c r="AE160" s="8">
        <f>IF($O$3="(Todas)",COUNTIFS(BASE[CODCIE1010],ENOS_G3_NEU_SD_AÑOS[[#This Row],[CIE-10]],BASE[Edad],""),COUNTIFS(BASE[Cod.Establecimiento],$O$3,BASE[CODCIE1010],ENOS_G3_NEU_SD_AÑOS[[#This Row],[CIE-10]],BASE[Edad],""))</f>
        <v>0</v>
      </c>
      <c r="AF160" s="9">
        <f>SUM(ENOS_G3_NEU_SD_AÑOS[[#This Row],[D1]:[D6]])</f>
        <v>0</v>
      </c>
    </row>
    <row r="161" spans="1:32" ht="18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32" t="s">
        <v>315</v>
      </c>
      <c r="Q161" s="8">
        <f>IF($O$3="(Todas)",COUNTIFS(BASE[CODCIE10],ENOS_G3_NEU_60_MAS_AÑOS[[#This Row],[CIE-10]],BASE[Edad],"&gt;=60"),COUNTIFS(BASE[Cod.Establecimiento],$O$3,BASE[CODCIE10],ENOS_G3_NEU_60_MAS_AÑOS[[#This Row],[CIE-10]],BASE[Edad],"&gt;=60"))</f>
        <v>0</v>
      </c>
      <c r="R161" s="8">
        <f>IF($O$3="(Todas)",COUNTIFS(BASE[CODCIE102],ENOS_G3_NEU_60_MAS_AÑOS[[#This Row],[CIE-10]],BASE[Edad],"&gt;=60"),COUNTIFS(BASE[Cod.Establecimiento],$O$3,BASE[CODCIE102],ENOS_G3_NEU_60_MAS_AÑOS[[#This Row],[CIE-10]],BASE[Edad],"&gt;=60"))</f>
        <v>0</v>
      </c>
      <c r="S161" s="8">
        <f>IF($O$3="(Todas)",COUNTIFS(BASE[CODCIE104],ENOS_G3_NEU_60_MAS_AÑOS[[#This Row],[CIE-10]],BASE[Edad],"&gt;=60"),COUNTIFS(BASE[Cod.Establecimiento],$O$3,BASE[CODCIE104],ENOS_G3_NEU_60_MAS_AÑOS[[#This Row],[CIE-10]],BASE[Edad],"&gt;=60"))</f>
        <v>0</v>
      </c>
      <c r="T161" s="8">
        <f>IF($O$3="(Todas)",COUNTIFS(BASE[CODCIE106],ENOS_G3_NEU_60_MAS_AÑOS[[#This Row],[CIE-10]],BASE[Edad],"&gt;=60"),COUNTIFS(BASE[Cod.Establecimiento],$O$3,BASE[CODCIE106],ENOS_G3_NEU_60_MAS_AÑOS[[#This Row],[CIE-10]],BASE[Edad],"&gt;=60"))</f>
        <v>0</v>
      </c>
      <c r="U161" s="8">
        <f>IF($O$3="(Todas)",COUNTIFS(BASE[CODCIE108],ENOS_G3_NEU_60_MAS_AÑOS[[#This Row],[CIE-10]],BASE[Edad],"&gt;=60"),COUNTIFS(BASE[Cod.Establecimiento],$O$3,BASE[CODCIE108],ENOS_G3_NEU_60_MAS_AÑOS[[#This Row],[CIE-10]],BASE[Edad],"&gt;=60"))</f>
        <v>0</v>
      </c>
      <c r="V161" s="8">
        <f>IF($O$3="(Todas)",COUNTIFS(BASE[CODCIE1010],ENOS_G3_NEU_60_MAS_AÑOS[[#This Row],[CIE-10]],BASE[Edad],"&gt;=60"),COUNTIFS(BASE[Cod.Establecimiento],$O$3,BASE[CODCIE1010],ENOS_G3_NEU_60_MAS_AÑOS[[#This Row],[CIE-10]],BASE[Edad],"&gt;=60"))</f>
        <v>0</v>
      </c>
      <c r="W161" s="9">
        <f>SUM(ENOS_G3_NEU_60_MAS_AÑOS[[#This Row],[D1]:[D6]])</f>
        <v>0</v>
      </c>
      <c r="X161" s="2"/>
      <c r="Y161" s="32" t="s">
        <v>315</v>
      </c>
      <c r="Z161" s="8">
        <f>IF($O$3="(Todas)",COUNTIFS(BASE[CODCIE10],ENOS_G3_NEU_SD_AÑOS[[#This Row],[CIE-10]],BASE[Edad],""),COUNTIFS(BASE[Cod.Establecimiento],$O$3,BASE[CODCIE10],ENOS_G3_NEU_SD_AÑOS[[#This Row],[CIE-10]],BASE[Edad],""))</f>
        <v>0</v>
      </c>
      <c r="AA161" s="8">
        <f>IF($O$3="(Todas)",COUNTIFS(BASE[CODCIE102],ENOS_G3_NEU_SD_AÑOS[[#This Row],[CIE-10]],BASE[Edad],""),COUNTIFS(BASE[Cod.Establecimiento],$O$3,BASE[CODCIE102],ENOS_G3_NEU_SD_AÑOS[[#This Row],[CIE-10]],BASE[Edad],""))</f>
        <v>0</v>
      </c>
      <c r="AB161" s="8">
        <f>IF($O$3="(Todas)",COUNTIFS(BASE[CODCIE104],ENOS_G3_NEU_SD_AÑOS[[#This Row],[CIE-10]],BASE[Edad],""),COUNTIFS(BASE[Cod.Establecimiento],$O$3,BASE[CODCIE104],ENOS_G3_NEU_SD_AÑOS[[#This Row],[CIE-10]],BASE[Edad],""))</f>
        <v>0</v>
      </c>
      <c r="AC161" s="8">
        <f>IF($O$3="(Todas)",COUNTIFS(BASE[CODCIE106],ENOS_G3_NEU_SD_AÑOS[[#This Row],[CIE-10]],BASE[Edad],""),COUNTIFS(BASE[Cod.Establecimiento],$O$3,BASE[CODCIE106],ENOS_G3_NEU_SD_AÑOS[[#This Row],[CIE-10]],BASE[Edad],""))</f>
        <v>0</v>
      </c>
      <c r="AD161" s="8">
        <f>IF($O$3="(Todas)",COUNTIFS(BASE[CODCIE108],ENOS_G3_NEU_SD_AÑOS[[#This Row],[CIE-10]],BASE[Edad],""),COUNTIFS(BASE[Cod.Establecimiento],$O$3,BASE[CODCIE108],ENOS_G3_NEU_SD_AÑOS[[#This Row],[CIE-10]],BASE[Edad],""))</f>
        <v>0</v>
      </c>
      <c r="AE161" s="8">
        <f>IF($O$3="(Todas)",COUNTIFS(BASE[CODCIE1010],ENOS_G3_NEU_SD_AÑOS[[#This Row],[CIE-10]],BASE[Edad],""),COUNTIFS(BASE[Cod.Establecimiento],$O$3,BASE[CODCIE1010],ENOS_G3_NEU_SD_AÑOS[[#This Row],[CIE-10]],BASE[Edad],""))</f>
        <v>0</v>
      </c>
      <c r="AF161" s="9">
        <f>SUM(ENOS_G3_NEU_SD_AÑOS[[#This Row],[D1]:[D6]])</f>
        <v>0</v>
      </c>
    </row>
    <row r="162" spans="1:3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32" t="s">
        <v>316</v>
      </c>
      <c r="Q162" s="8">
        <f>IF($O$3="(Todas)",COUNTIFS(BASE[CODCIE10],ENOS_G3_NEU_60_MAS_AÑOS[[#This Row],[CIE-10]],BASE[Edad],"&gt;=60"),COUNTIFS(BASE[Cod.Establecimiento],$O$3,BASE[CODCIE10],ENOS_G3_NEU_60_MAS_AÑOS[[#This Row],[CIE-10]],BASE[Edad],"&gt;=60"))</f>
        <v>0</v>
      </c>
      <c r="R162" s="8">
        <f>IF($O$3="(Todas)",COUNTIFS(BASE[CODCIE102],ENOS_G3_NEU_60_MAS_AÑOS[[#This Row],[CIE-10]],BASE[Edad],"&gt;=60"),COUNTIFS(BASE[Cod.Establecimiento],$O$3,BASE[CODCIE102],ENOS_G3_NEU_60_MAS_AÑOS[[#This Row],[CIE-10]],BASE[Edad],"&gt;=60"))</f>
        <v>0</v>
      </c>
      <c r="S162" s="8">
        <f>IF($O$3="(Todas)",COUNTIFS(BASE[CODCIE104],ENOS_G3_NEU_60_MAS_AÑOS[[#This Row],[CIE-10]],BASE[Edad],"&gt;=60"),COUNTIFS(BASE[Cod.Establecimiento],$O$3,BASE[CODCIE104],ENOS_G3_NEU_60_MAS_AÑOS[[#This Row],[CIE-10]],BASE[Edad],"&gt;=60"))</f>
        <v>0</v>
      </c>
      <c r="T162" s="8">
        <f>IF($O$3="(Todas)",COUNTIFS(BASE[CODCIE106],ENOS_G3_NEU_60_MAS_AÑOS[[#This Row],[CIE-10]],BASE[Edad],"&gt;=60"),COUNTIFS(BASE[Cod.Establecimiento],$O$3,BASE[CODCIE106],ENOS_G3_NEU_60_MAS_AÑOS[[#This Row],[CIE-10]],BASE[Edad],"&gt;=60"))</f>
        <v>0</v>
      </c>
      <c r="U162" s="8">
        <f>IF($O$3="(Todas)",COUNTIFS(BASE[CODCIE108],ENOS_G3_NEU_60_MAS_AÑOS[[#This Row],[CIE-10]],BASE[Edad],"&gt;=60"),COUNTIFS(BASE[Cod.Establecimiento],$O$3,BASE[CODCIE108],ENOS_G3_NEU_60_MAS_AÑOS[[#This Row],[CIE-10]],BASE[Edad],"&gt;=60"))</f>
        <v>0</v>
      </c>
      <c r="V162" s="8">
        <f>IF($O$3="(Todas)",COUNTIFS(BASE[CODCIE1010],ENOS_G3_NEU_60_MAS_AÑOS[[#This Row],[CIE-10]],BASE[Edad],"&gt;=60"),COUNTIFS(BASE[Cod.Establecimiento],$O$3,BASE[CODCIE1010],ENOS_G3_NEU_60_MAS_AÑOS[[#This Row],[CIE-10]],BASE[Edad],"&gt;=60"))</f>
        <v>0</v>
      </c>
      <c r="W162" s="9">
        <f>SUM(ENOS_G3_NEU_60_MAS_AÑOS[[#This Row],[D1]:[D6]])</f>
        <v>0</v>
      </c>
      <c r="X162" s="2"/>
      <c r="Y162" s="32" t="s">
        <v>316</v>
      </c>
      <c r="Z162" s="8">
        <f>IF($O$3="(Todas)",COUNTIFS(BASE[CODCIE10],ENOS_G3_NEU_SD_AÑOS[[#This Row],[CIE-10]],BASE[Edad],""),COUNTIFS(BASE[Cod.Establecimiento],$O$3,BASE[CODCIE10],ENOS_G3_NEU_SD_AÑOS[[#This Row],[CIE-10]],BASE[Edad],""))</f>
        <v>0</v>
      </c>
      <c r="AA162" s="8">
        <f>IF($O$3="(Todas)",COUNTIFS(BASE[CODCIE102],ENOS_G3_NEU_SD_AÑOS[[#This Row],[CIE-10]],BASE[Edad],""),COUNTIFS(BASE[Cod.Establecimiento],$O$3,BASE[CODCIE102],ENOS_G3_NEU_SD_AÑOS[[#This Row],[CIE-10]],BASE[Edad],""))</f>
        <v>0</v>
      </c>
      <c r="AB162" s="8">
        <f>IF($O$3="(Todas)",COUNTIFS(BASE[CODCIE104],ENOS_G3_NEU_SD_AÑOS[[#This Row],[CIE-10]],BASE[Edad],""),COUNTIFS(BASE[Cod.Establecimiento],$O$3,BASE[CODCIE104],ENOS_G3_NEU_SD_AÑOS[[#This Row],[CIE-10]],BASE[Edad],""))</f>
        <v>0</v>
      </c>
      <c r="AC162" s="8">
        <f>IF($O$3="(Todas)",COUNTIFS(BASE[CODCIE106],ENOS_G3_NEU_SD_AÑOS[[#This Row],[CIE-10]],BASE[Edad],""),COUNTIFS(BASE[Cod.Establecimiento],$O$3,BASE[CODCIE106],ENOS_G3_NEU_SD_AÑOS[[#This Row],[CIE-10]],BASE[Edad],""))</f>
        <v>0</v>
      </c>
      <c r="AD162" s="8">
        <f>IF($O$3="(Todas)",COUNTIFS(BASE[CODCIE108],ENOS_G3_NEU_SD_AÑOS[[#This Row],[CIE-10]],BASE[Edad],""),COUNTIFS(BASE[Cod.Establecimiento],$O$3,BASE[CODCIE108],ENOS_G3_NEU_SD_AÑOS[[#This Row],[CIE-10]],BASE[Edad],""))</f>
        <v>0</v>
      </c>
      <c r="AE162" s="8">
        <f>IF($O$3="(Todas)",COUNTIFS(BASE[CODCIE1010],ENOS_G3_NEU_SD_AÑOS[[#This Row],[CIE-10]],BASE[Edad],""),COUNTIFS(BASE[Cod.Establecimiento],$O$3,BASE[CODCIE1010],ENOS_G3_NEU_SD_AÑOS[[#This Row],[CIE-10]],BASE[Edad],""))</f>
        <v>0</v>
      </c>
      <c r="AF162" s="9">
        <f>SUM(ENOS_G3_NEU_SD_AÑOS[[#This Row],[D1]:[D6]])</f>
        <v>0</v>
      </c>
    </row>
    <row r="163" spans="1:3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32" t="s">
        <v>317</v>
      </c>
      <c r="Q163" s="8">
        <f>IF($O$3="(Todas)",COUNTIFS(BASE[CODCIE10],ENOS_G3_NEU_60_MAS_AÑOS[[#This Row],[CIE-10]],BASE[Edad],"&gt;=60"),COUNTIFS(BASE[Cod.Establecimiento],$O$3,BASE[CODCIE10],ENOS_G3_NEU_60_MAS_AÑOS[[#This Row],[CIE-10]],BASE[Edad],"&gt;=60"))</f>
        <v>0</v>
      </c>
      <c r="R163" s="8">
        <f>IF($O$3="(Todas)",COUNTIFS(BASE[CODCIE102],ENOS_G3_NEU_60_MAS_AÑOS[[#This Row],[CIE-10]],BASE[Edad],"&gt;=60"),COUNTIFS(BASE[Cod.Establecimiento],$O$3,BASE[CODCIE102],ENOS_G3_NEU_60_MAS_AÑOS[[#This Row],[CIE-10]],BASE[Edad],"&gt;=60"))</f>
        <v>0</v>
      </c>
      <c r="S163" s="8">
        <f>IF($O$3="(Todas)",COUNTIFS(BASE[CODCIE104],ENOS_G3_NEU_60_MAS_AÑOS[[#This Row],[CIE-10]],BASE[Edad],"&gt;=60"),COUNTIFS(BASE[Cod.Establecimiento],$O$3,BASE[CODCIE104],ENOS_G3_NEU_60_MAS_AÑOS[[#This Row],[CIE-10]],BASE[Edad],"&gt;=60"))</f>
        <v>0</v>
      </c>
      <c r="T163" s="8">
        <f>IF($O$3="(Todas)",COUNTIFS(BASE[CODCIE106],ENOS_G3_NEU_60_MAS_AÑOS[[#This Row],[CIE-10]],BASE[Edad],"&gt;=60"),COUNTIFS(BASE[Cod.Establecimiento],$O$3,BASE[CODCIE106],ENOS_G3_NEU_60_MAS_AÑOS[[#This Row],[CIE-10]],BASE[Edad],"&gt;=60"))</f>
        <v>0</v>
      </c>
      <c r="U163" s="8">
        <f>IF($O$3="(Todas)",COUNTIFS(BASE[CODCIE108],ENOS_G3_NEU_60_MAS_AÑOS[[#This Row],[CIE-10]],BASE[Edad],"&gt;=60"),COUNTIFS(BASE[Cod.Establecimiento],$O$3,BASE[CODCIE108],ENOS_G3_NEU_60_MAS_AÑOS[[#This Row],[CIE-10]],BASE[Edad],"&gt;=60"))</f>
        <v>0</v>
      </c>
      <c r="V163" s="8">
        <f>IF($O$3="(Todas)",COUNTIFS(BASE[CODCIE1010],ENOS_G3_NEU_60_MAS_AÑOS[[#This Row],[CIE-10]],BASE[Edad],"&gt;=60"),COUNTIFS(BASE[Cod.Establecimiento],$O$3,BASE[CODCIE1010],ENOS_G3_NEU_60_MAS_AÑOS[[#This Row],[CIE-10]],BASE[Edad],"&gt;=60"))</f>
        <v>0</v>
      </c>
      <c r="W163" s="9">
        <f>SUM(ENOS_G3_NEU_60_MAS_AÑOS[[#This Row],[D1]:[D6]])</f>
        <v>0</v>
      </c>
      <c r="X163" s="2"/>
      <c r="Y163" s="32" t="s">
        <v>317</v>
      </c>
      <c r="Z163" s="8">
        <f>IF($O$3="(Todas)",COUNTIFS(BASE[CODCIE10],ENOS_G3_NEU_SD_AÑOS[[#This Row],[CIE-10]],BASE[Edad],""),COUNTIFS(BASE[Cod.Establecimiento],$O$3,BASE[CODCIE10],ENOS_G3_NEU_SD_AÑOS[[#This Row],[CIE-10]],BASE[Edad],""))</f>
        <v>0</v>
      </c>
      <c r="AA163" s="8">
        <f>IF($O$3="(Todas)",COUNTIFS(BASE[CODCIE102],ENOS_G3_NEU_SD_AÑOS[[#This Row],[CIE-10]],BASE[Edad],""),COUNTIFS(BASE[Cod.Establecimiento],$O$3,BASE[CODCIE102],ENOS_G3_NEU_SD_AÑOS[[#This Row],[CIE-10]],BASE[Edad],""))</f>
        <v>0</v>
      </c>
      <c r="AB163" s="8">
        <f>IF($O$3="(Todas)",COUNTIFS(BASE[CODCIE104],ENOS_G3_NEU_SD_AÑOS[[#This Row],[CIE-10]],BASE[Edad],""),COUNTIFS(BASE[Cod.Establecimiento],$O$3,BASE[CODCIE104],ENOS_G3_NEU_SD_AÑOS[[#This Row],[CIE-10]],BASE[Edad],""))</f>
        <v>0</v>
      </c>
      <c r="AC163" s="8">
        <f>IF($O$3="(Todas)",COUNTIFS(BASE[CODCIE106],ENOS_G3_NEU_SD_AÑOS[[#This Row],[CIE-10]],BASE[Edad],""),COUNTIFS(BASE[Cod.Establecimiento],$O$3,BASE[CODCIE106],ENOS_G3_NEU_SD_AÑOS[[#This Row],[CIE-10]],BASE[Edad],""))</f>
        <v>0</v>
      </c>
      <c r="AD163" s="8">
        <f>IF($O$3="(Todas)",COUNTIFS(BASE[CODCIE108],ENOS_G3_NEU_SD_AÑOS[[#This Row],[CIE-10]],BASE[Edad],""),COUNTIFS(BASE[Cod.Establecimiento],$O$3,BASE[CODCIE108],ENOS_G3_NEU_SD_AÑOS[[#This Row],[CIE-10]],BASE[Edad],""))</f>
        <v>0</v>
      </c>
      <c r="AE163" s="8">
        <f>IF($O$3="(Todas)",COUNTIFS(BASE[CODCIE1010],ENOS_G3_NEU_SD_AÑOS[[#This Row],[CIE-10]],BASE[Edad],""),COUNTIFS(BASE[Cod.Establecimiento],$O$3,BASE[CODCIE1010],ENOS_G3_NEU_SD_AÑOS[[#This Row],[CIE-10]],BASE[Edad],""))</f>
        <v>0</v>
      </c>
      <c r="AF163" s="9">
        <f>SUM(ENOS_G3_NEU_SD_AÑOS[[#This Row],[D1]:[D6]])</f>
        <v>0</v>
      </c>
    </row>
    <row r="164" spans="1:3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32" t="s">
        <v>318</v>
      </c>
      <c r="Q164" s="8">
        <f>IF($O$3="(Todas)",COUNTIFS(BASE[CODCIE10],ENOS_G3_NEU_60_MAS_AÑOS[[#This Row],[CIE-10]],BASE[Edad],"&gt;=60"),COUNTIFS(BASE[Cod.Establecimiento],$O$3,BASE[CODCIE10],ENOS_G3_NEU_60_MAS_AÑOS[[#This Row],[CIE-10]],BASE[Edad],"&gt;=60"))</f>
        <v>0</v>
      </c>
      <c r="R164" s="8">
        <f>IF($O$3="(Todas)",COUNTIFS(BASE[CODCIE102],ENOS_G3_NEU_60_MAS_AÑOS[[#This Row],[CIE-10]],BASE[Edad],"&gt;=60"),COUNTIFS(BASE[Cod.Establecimiento],$O$3,BASE[CODCIE102],ENOS_G3_NEU_60_MAS_AÑOS[[#This Row],[CIE-10]],BASE[Edad],"&gt;=60"))</f>
        <v>0</v>
      </c>
      <c r="S164" s="8">
        <f>IF($O$3="(Todas)",COUNTIFS(BASE[CODCIE104],ENOS_G3_NEU_60_MAS_AÑOS[[#This Row],[CIE-10]],BASE[Edad],"&gt;=60"),COUNTIFS(BASE[Cod.Establecimiento],$O$3,BASE[CODCIE104],ENOS_G3_NEU_60_MAS_AÑOS[[#This Row],[CIE-10]],BASE[Edad],"&gt;=60"))</f>
        <v>0</v>
      </c>
      <c r="T164" s="8">
        <f>IF($O$3="(Todas)",COUNTIFS(BASE[CODCIE106],ENOS_G3_NEU_60_MAS_AÑOS[[#This Row],[CIE-10]],BASE[Edad],"&gt;=60"),COUNTIFS(BASE[Cod.Establecimiento],$O$3,BASE[CODCIE106],ENOS_G3_NEU_60_MAS_AÑOS[[#This Row],[CIE-10]],BASE[Edad],"&gt;=60"))</f>
        <v>0</v>
      </c>
      <c r="U164" s="8">
        <f>IF($O$3="(Todas)",COUNTIFS(BASE[CODCIE108],ENOS_G3_NEU_60_MAS_AÑOS[[#This Row],[CIE-10]],BASE[Edad],"&gt;=60"),COUNTIFS(BASE[Cod.Establecimiento],$O$3,BASE[CODCIE108],ENOS_G3_NEU_60_MAS_AÑOS[[#This Row],[CIE-10]],BASE[Edad],"&gt;=60"))</f>
        <v>0</v>
      </c>
      <c r="V164" s="8">
        <f>IF($O$3="(Todas)",COUNTIFS(BASE[CODCIE1010],ENOS_G3_NEU_60_MAS_AÑOS[[#This Row],[CIE-10]],BASE[Edad],"&gt;=60"),COUNTIFS(BASE[Cod.Establecimiento],$O$3,BASE[CODCIE1010],ENOS_G3_NEU_60_MAS_AÑOS[[#This Row],[CIE-10]],BASE[Edad],"&gt;=60"))</f>
        <v>0</v>
      </c>
      <c r="W164" s="9">
        <f>SUM(ENOS_G3_NEU_60_MAS_AÑOS[[#This Row],[D1]:[D6]])</f>
        <v>0</v>
      </c>
      <c r="X164" s="2"/>
      <c r="Y164" s="32" t="s">
        <v>318</v>
      </c>
      <c r="Z164" s="8">
        <f>IF($O$3="(Todas)",COUNTIFS(BASE[CODCIE10],ENOS_G3_NEU_SD_AÑOS[[#This Row],[CIE-10]],BASE[Edad],""),COUNTIFS(BASE[Cod.Establecimiento],$O$3,BASE[CODCIE10],ENOS_G3_NEU_SD_AÑOS[[#This Row],[CIE-10]],BASE[Edad],""))</f>
        <v>0</v>
      </c>
      <c r="AA164" s="8">
        <f>IF($O$3="(Todas)",COUNTIFS(BASE[CODCIE102],ENOS_G3_NEU_SD_AÑOS[[#This Row],[CIE-10]],BASE[Edad],""),COUNTIFS(BASE[Cod.Establecimiento],$O$3,BASE[CODCIE102],ENOS_G3_NEU_SD_AÑOS[[#This Row],[CIE-10]],BASE[Edad],""))</f>
        <v>0</v>
      </c>
      <c r="AB164" s="8">
        <f>IF($O$3="(Todas)",COUNTIFS(BASE[CODCIE104],ENOS_G3_NEU_SD_AÑOS[[#This Row],[CIE-10]],BASE[Edad],""),COUNTIFS(BASE[Cod.Establecimiento],$O$3,BASE[CODCIE104],ENOS_G3_NEU_SD_AÑOS[[#This Row],[CIE-10]],BASE[Edad],""))</f>
        <v>0</v>
      </c>
      <c r="AC164" s="8">
        <f>IF($O$3="(Todas)",COUNTIFS(BASE[CODCIE106],ENOS_G3_NEU_SD_AÑOS[[#This Row],[CIE-10]],BASE[Edad],""),COUNTIFS(BASE[Cod.Establecimiento],$O$3,BASE[CODCIE106],ENOS_G3_NEU_SD_AÑOS[[#This Row],[CIE-10]],BASE[Edad],""))</f>
        <v>0</v>
      </c>
      <c r="AD164" s="8">
        <f>IF($O$3="(Todas)",COUNTIFS(BASE[CODCIE108],ENOS_G3_NEU_SD_AÑOS[[#This Row],[CIE-10]],BASE[Edad],""),COUNTIFS(BASE[Cod.Establecimiento],$O$3,BASE[CODCIE108],ENOS_G3_NEU_SD_AÑOS[[#This Row],[CIE-10]],BASE[Edad],""))</f>
        <v>0</v>
      </c>
      <c r="AE164" s="8">
        <f>IF($O$3="(Todas)",COUNTIFS(BASE[CODCIE1010],ENOS_G3_NEU_SD_AÑOS[[#This Row],[CIE-10]],BASE[Edad],""),COUNTIFS(BASE[Cod.Establecimiento],$O$3,BASE[CODCIE1010],ENOS_G3_NEU_SD_AÑOS[[#This Row],[CIE-10]],BASE[Edad],""))</f>
        <v>0</v>
      </c>
      <c r="AF164" s="9">
        <f>SUM(ENOS_G3_NEU_SD_AÑOS[[#This Row],[D1]:[D6]])</f>
        <v>0</v>
      </c>
    </row>
    <row r="165" spans="1:3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32" t="s">
        <v>319</v>
      </c>
      <c r="Q165" s="8">
        <f>IF($O$3="(Todas)",COUNTIFS(BASE[CODCIE10],ENOS_G3_NEU_60_MAS_AÑOS[[#This Row],[CIE-10]],BASE[Edad],"&gt;=60"),COUNTIFS(BASE[Cod.Establecimiento],$O$3,BASE[CODCIE10],ENOS_G3_NEU_60_MAS_AÑOS[[#This Row],[CIE-10]],BASE[Edad],"&gt;=60"))</f>
        <v>0</v>
      </c>
      <c r="R165" s="8">
        <f>IF($O$3="(Todas)",COUNTIFS(BASE[CODCIE102],ENOS_G3_NEU_60_MAS_AÑOS[[#This Row],[CIE-10]],BASE[Edad],"&gt;=60"),COUNTIFS(BASE[Cod.Establecimiento],$O$3,BASE[CODCIE102],ENOS_G3_NEU_60_MAS_AÑOS[[#This Row],[CIE-10]],BASE[Edad],"&gt;=60"))</f>
        <v>0</v>
      </c>
      <c r="S165" s="8">
        <f>IF($O$3="(Todas)",COUNTIFS(BASE[CODCIE104],ENOS_G3_NEU_60_MAS_AÑOS[[#This Row],[CIE-10]],BASE[Edad],"&gt;=60"),COUNTIFS(BASE[Cod.Establecimiento],$O$3,BASE[CODCIE104],ENOS_G3_NEU_60_MAS_AÑOS[[#This Row],[CIE-10]],BASE[Edad],"&gt;=60"))</f>
        <v>0</v>
      </c>
      <c r="T165" s="8">
        <f>IF($O$3="(Todas)",COUNTIFS(BASE[CODCIE106],ENOS_G3_NEU_60_MAS_AÑOS[[#This Row],[CIE-10]],BASE[Edad],"&gt;=60"),COUNTIFS(BASE[Cod.Establecimiento],$O$3,BASE[CODCIE106],ENOS_G3_NEU_60_MAS_AÑOS[[#This Row],[CIE-10]],BASE[Edad],"&gt;=60"))</f>
        <v>0</v>
      </c>
      <c r="U165" s="8">
        <f>IF($O$3="(Todas)",COUNTIFS(BASE[CODCIE108],ENOS_G3_NEU_60_MAS_AÑOS[[#This Row],[CIE-10]],BASE[Edad],"&gt;=60"),COUNTIFS(BASE[Cod.Establecimiento],$O$3,BASE[CODCIE108],ENOS_G3_NEU_60_MAS_AÑOS[[#This Row],[CIE-10]],BASE[Edad],"&gt;=60"))</f>
        <v>0</v>
      </c>
      <c r="V165" s="8">
        <f>IF($O$3="(Todas)",COUNTIFS(BASE[CODCIE1010],ENOS_G3_NEU_60_MAS_AÑOS[[#This Row],[CIE-10]],BASE[Edad],"&gt;=60"),COUNTIFS(BASE[Cod.Establecimiento],$O$3,BASE[CODCIE1010],ENOS_G3_NEU_60_MAS_AÑOS[[#This Row],[CIE-10]],BASE[Edad],"&gt;=60"))</f>
        <v>0</v>
      </c>
      <c r="W165" s="9">
        <f>SUM(ENOS_G3_NEU_60_MAS_AÑOS[[#This Row],[D1]:[D6]])</f>
        <v>0</v>
      </c>
      <c r="X165" s="2"/>
      <c r="Y165" s="32" t="s">
        <v>319</v>
      </c>
      <c r="Z165" s="8">
        <f>IF($O$3="(Todas)",COUNTIFS(BASE[CODCIE10],ENOS_G3_NEU_SD_AÑOS[[#This Row],[CIE-10]],BASE[Edad],""),COUNTIFS(BASE[Cod.Establecimiento],$O$3,BASE[CODCIE10],ENOS_G3_NEU_SD_AÑOS[[#This Row],[CIE-10]],BASE[Edad],""))</f>
        <v>0</v>
      </c>
      <c r="AA165" s="8">
        <f>IF($O$3="(Todas)",COUNTIFS(BASE[CODCIE102],ENOS_G3_NEU_SD_AÑOS[[#This Row],[CIE-10]],BASE[Edad],""),COUNTIFS(BASE[Cod.Establecimiento],$O$3,BASE[CODCIE102],ENOS_G3_NEU_SD_AÑOS[[#This Row],[CIE-10]],BASE[Edad],""))</f>
        <v>0</v>
      </c>
      <c r="AB165" s="8">
        <f>IF($O$3="(Todas)",COUNTIFS(BASE[CODCIE104],ENOS_G3_NEU_SD_AÑOS[[#This Row],[CIE-10]],BASE[Edad],""),COUNTIFS(BASE[Cod.Establecimiento],$O$3,BASE[CODCIE104],ENOS_G3_NEU_SD_AÑOS[[#This Row],[CIE-10]],BASE[Edad],""))</f>
        <v>0</v>
      </c>
      <c r="AC165" s="8">
        <f>IF($O$3="(Todas)",COUNTIFS(BASE[CODCIE106],ENOS_G3_NEU_SD_AÑOS[[#This Row],[CIE-10]],BASE[Edad],""),COUNTIFS(BASE[Cod.Establecimiento],$O$3,BASE[CODCIE106],ENOS_G3_NEU_SD_AÑOS[[#This Row],[CIE-10]],BASE[Edad],""))</f>
        <v>0</v>
      </c>
      <c r="AD165" s="8">
        <f>IF($O$3="(Todas)",COUNTIFS(BASE[CODCIE108],ENOS_G3_NEU_SD_AÑOS[[#This Row],[CIE-10]],BASE[Edad],""),COUNTIFS(BASE[Cod.Establecimiento],$O$3,BASE[CODCIE108],ENOS_G3_NEU_SD_AÑOS[[#This Row],[CIE-10]],BASE[Edad],""))</f>
        <v>0</v>
      </c>
      <c r="AE165" s="8">
        <f>IF($O$3="(Todas)",COUNTIFS(BASE[CODCIE1010],ENOS_G3_NEU_SD_AÑOS[[#This Row],[CIE-10]],BASE[Edad],""),COUNTIFS(BASE[Cod.Establecimiento],$O$3,BASE[CODCIE1010],ENOS_G3_NEU_SD_AÑOS[[#This Row],[CIE-10]],BASE[Edad],""))</f>
        <v>0</v>
      </c>
      <c r="AF165" s="9">
        <f>SUM(ENOS_G3_NEU_SD_AÑOS[[#This Row],[D1]:[D6]])</f>
        <v>0</v>
      </c>
    </row>
    <row r="166" spans="1:3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spans="1:32" ht="18" customHeight="1" thickBot="1">
      <c r="A167" s="2"/>
      <c r="B167" s="2"/>
      <c r="C167" s="2"/>
      <c r="D167" s="2"/>
      <c r="E167" s="2"/>
      <c r="F167" s="2"/>
      <c r="G167" s="2"/>
      <c r="H167" s="2"/>
      <c r="I167" s="2"/>
      <c r="J167" s="79"/>
      <c r="K167" s="85"/>
      <c r="L167" s="79"/>
      <c r="M167" s="85"/>
      <c r="N167" s="85"/>
      <c r="O167" s="2"/>
      <c r="P167" s="80" t="s">
        <v>290</v>
      </c>
      <c r="Q167" s="81"/>
      <c r="R167" s="81"/>
      <c r="S167" s="81"/>
      <c r="T167" s="81"/>
      <c r="U167" s="81"/>
      <c r="V167" s="81"/>
      <c r="W167" s="81"/>
      <c r="X167" s="2"/>
      <c r="Y167" s="80" t="s">
        <v>291</v>
      </c>
      <c r="Z167" s="81"/>
      <c r="AA167" s="81"/>
      <c r="AB167" s="81"/>
      <c r="AC167" s="81"/>
      <c r="AD167" s="81"/>
      <c r="AE167" s="81"/>
      <c r="AF167" s="81"/>
    </row>
    <row r="168" spans="1:32" ht="15.75" customHeight="1" thickTop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 t="s">
        <v>93</v>
      </c>
      <c r="Q168" s="8" t="s">
        <v>94</v>
      </c>
      <c r="R168" s="8" t="s">
        <v>95</v>
      </c>
      <c r="S168" s="8" t="s">
        <v>96</v>
      </c>
      <c r="T168" s="8" t="s">
        <v>97</v>
      </c>
      <c r="U168" s="8" t="s">
        <v>98</v>
      </c>
      <c r="V168" s="8" t="s">
        <v>99</v>
      </c>
      <c r="W168" s="10" t="s">
        <v>100</v>
      </c>
      <c r="X168" s="2"/>
      <c r="Y168" s="2" t="s">
        <v>93</v>
      </c>
      <c r="Z168" s="8" t="s">
        <v>94</v>
      </c>
      <c r="AA168" s="8" t="s">
        <v>95</v>
      </c>
      <c r="AB168" s="8" t="s">
        <v>96</v>
      </c>
      <c r="AC168" s="8" t="s">
        <v>97</v>
      </c>
      <c r="AD168" s="8" t="s">
        <v>98</v>
      </c>
      <c r="AE168" s="8" t="s">
        <v>99</v>
      </c>
      <c r="AF168" s="10" t="s">
        <v>100</v>
      </c>
    </row>
    <row r="169" spans="1:3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32" t="s">
        <v>320</v>
      </c>
      <c r="Q169" s="8">
        <f>IF($O$3="(Todas)",COUNTIFS(BASE[CODCIE10],ENOS_G3_IRAGNG_MENOR_QUE_1_AÑO[[#This Row],[CIE-10]],BASE[Edad],"&lt;1"),COUNTIFS(BASE[Cod.Establecimiento],$O$3,BASE[CODCIE10],ENOS_G3_IRAGNG_MENOR_QUE_1_AÑO[[#This Row],[CIE-10]],BASE[Edad],"&lt;1"))</f>
        <v>0</v>
      </c>
      <c r="R169" s="8">
        <f>IF($O$3="(Todas)",COUNTIFS(BASE[CODCIE102],ENOS_G3_IRAGNG_MENOR_QUE_1_AÑO[[#This Row],[CIE-10]],BASE[Edad],"&lt;1"),COUNTIFS(BASE[Cod.Establecimiento],$O$3,BASE[CODCIE102],ENOS_G3_IRAGNG_MENOR_QUE_1_AÑO[[#This Row],[CIE-10]],BASE[Edad],"&lt;1"))</f>
        <v>0</v>
      </c>
      <c r="S169" s="8">
        <f>IF($O$3="(Todas)",COUNTIFS(BASE[CODCIE104],ENOS_G3_IRAGNG_MENOR_QUE_1_AÑO[[#This Row],[CIE-10]],BASE[Edad],"&lt;1"),COUNTIFS(BASE[Cod.Establecimiento],$O$3,BASE[CODCIE104],ENOS_G3_IRAGNG_MENOR_QUE_1_AÑO[[#This Row],[CIE-10]],BASE[Edad],"&lt;1"))</f>
        <v>0</v>
      </c>
      <c r="T169" s="8">
        <f>IF($O$3="(Todas)",COUNTIFS(BASE[CODCIE106],ENOS_G3_IRAGNG_MENOR_QUE_1_AÑO[[#This Row],[CIE-10]],BASE[Edad],"&lt;1"),COUNTIFS(BASE[Cod.Establecimiento],$O$3,BASE[CODCIE106],ENOS_G3_IRAGNG_MENOR_QUE_1_AÑO[[#This Row],[CIE-10]],BASE[Edad],"&lt;1"))</f>
        <v>0</v>
      </c>
      <c r="U169" s="8">
        <f>IF($O$3="(Todas)",COUNTIFS(BASE[CODCIE108],ENOS_G3_IRAGNG_MENOR_QUE_1_AÑO[[#This Row],[CIE-10]],BASE[Edad],"&lt;1"),COUNTIFS(BASE[Cod.Establecimiento],$O$3,BASE[CODCIE108],ENOS_G3_IRAGNG_MENOR_QUE_1_AÑO[[#This Row],[CIE-10]],BASE[Edad],"&lt;1"))</f>
        <v>0</v>
      </c>
      <c r="V169" s="8">
        <f>IF($O$3="(Todas)",COUNTIFS(BASE[CODCIE1010],ENOS_G3_IRAGNG_MENOR_QUE_1_AÑO[[#This Row],[CIE-10]],BASE[Edad],"&lt;1"),COUNTIFS(BASE[Cod.Establecimiento],$O$3,BASE[CODCIE1010],ENOS_G3_IRAGNG_MENOR_QUE_1_AÑO[[#This Row],[CIE-10]],BASE[Edad],"&lt;1"))</f>
        <v>0</v>
      </c>
      <c r="W169" s="9">
        <f>SUM(ENOS_G3_IRAGNG_MENOR_QUE_1_AÑO[[#This Row],[D1]:[D6]])</f>
        <v>0</v>
      </c>
      <c r="X169" s="2"/>
      <c r="Y169" s="32" t="s">
        <v>320</v>
      </c>
      <c r="Z169" s="8">
        <f>IF($O$3="(Todas)",COUNTIFS(BASE[CODCIE10],ENOS_G3_IRAGNG_1_4_AÑOS[[#This Row],[CIE-10]],BASE[Edad],"&gt;=1",BASE[Edad],"&lt;=4"),COUNTIFS(BASE[Cod.Establecimiento],$O$3,BASE[CODCIE10],ENOS_G3_IRAGNG_1_4_AÑOS[[#This Row],[CIE-10]],BASE[Edad],"&gt;=1",BASE[Edad],"&lt;=4"))</f>
        <v>0</v>
      </c>
      <c r="AA169" s="8">
        <f>IF($O$3="(Todas)",COUNTIFS(BASE[CODCIE102],ENOS_G3_IRAGNG_1_4_AÑOS[[#This Row],[CIE-10]],BASE[Edad],"&gt;=1",BASE[Edad],"&lt;=4"),COUNTIFS(BASE[Cod.Establecimiento],$O$3,BASE[CODCIE102],ENOS_G3_IRAGNG_1_4_AÑOS[[#This Row],[CIE-10]],BASE[Edad],"&gt;=1",BASE[Edad],"&lt;=4"))</f>
        <v>0</v>
      </c>
      <c r="AB169" s="8">
        <f>IF($O$3="(Todas)",COUNTIFS(BASE[CODCIE104],ENOS_G3_IRAGNG_1_4_AÑOS[[#This Row],[CIE-10]],BASE[Edad],"&gt;=1",BASE[Edad],"&lt;=4"),COUNTIFS(BASE[Cod.Establecimiento],$O$3,BASE[CODCIE104],ENOS_G3_IRAGNG_1_4_AÑOS[[#This Row],[CIE-10]],BASE[Edad],"&gt;=1",BASE[Edad],"&lt;=4"))</f>
        <v>0</v>
      </c>
      <c r="AC169" s="8">
        <f>IF($O$3="(Todas)",COUNTIFS(BASE[CODCIE106],ENOS_G3_IRAGNG_1_4_AÑOS[[#This Row],[CIE-10]],BASE[Edad],"&gt;=1",BASE[Edad],"&lt;=4"),COUNTIFS(BASE[Cod.Establecimiento],$O$3,BASE[CODCIE106],ENOS_G3_IRAGNG_1_4_AÑOS[[#This Row],[CIE-10]],BASE[Edad],"&gt;=1",BASE[Edad],"&lt;=4"))</f>
        <v>0</v>
      </c>
      <c r="AD169" s="8">
        <f>IF($O$3="(Todas)",COUNTIFS(BASE[CODCIE108],ENOS_G3_IRAGNG_1_4_AÑOS[[#This Row],[CIE-10]],BASE[Edad],"&gt;=1",BASE[Edad],"&lt;=4"),COUNTIFS(BASE[Cod.Establecimiento],$O$3,BASE[CODCIE108],ENOS_G3_IRAGNG_1_4_AÑOS[[#This Row],[CIE-10]],BASE[Edad],"&gt;=1",BASE[Edad],"&lt;=4"))</f>
        <v>0</v>
      </c>
      <c r="AE169" s="8">
        <f>IF($O$3="(Todas)",COUNTIFS(BASE[CODCIE1010],ENOS_G3_IRAGNG_1_4_AÑOS[[#This Row],[CIE-10]],BASE[Edad],"&gt;=1",BASE[Edad],"&lt;=4"),COUNTIFS(BASE[Cod.Establecimiento],$O$3,BASE[CODCIE1010],ENOS_G3_IRAGNG_1_4_AÑOS[[#This Row],[CIE-10]],BASE[Edad],"&gt;=1",BASE[Edad],"&lt;=4"))</f>
        <v>0</v>
      </c>
      <c r="AF169" s="9">
        <f>SUM(ENOS_G3_IRAGNG_1_4_AÑOS[[#This Row],[D1]:[D6]])</f>
        <v>0</v>
      </c>
    </row>
    <row r="170" spans="1:3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32" t="s">
        <v>321</v>
      </c>
      <c r="Q170" s="8">
        <f>IF($O$3="(Todas)",COUNTIFS(BASE[CODCIE10],ENOS_G3_IRAGNG_MENOR_QUE_1_AÑO[[#This Row],[CIE-10]],BASE[Edad],"&lt;1"),COUNTIFS(BASE[Cod.Establecimiento],$O$3,BASE[CODCIE10],ENOS_G3_IRAGNG_MENOR_QUE_1_AÑO[[#This Row],[CIE-10]],BASE[Edad],"&lt;1"))</f>
        <v>0</v>
      </c>
      <c r="R170" s="8">
        <f>IF($O$3="(Todas)",COUNTIFS(BASE[CODCIE102],ENOS_G3_IRAGNG_MENOR_QUE_1_AÑO[[#This Row],[CIE-10]],BASE[Edad],"&lt;1"),COUNTIFS(BASE[Cod.Establecimiento],$O$3,BASE[CODCIE102],ENOS_G3_IRAGNG_MENOR_QUE_1_AÑO[[#This Row],[CIE-10]],BASE[Edad],"&lt;1"))</f>
        <v>0</v>
      </c>
      <c r="S170" s="8">
        <f>IF($O$3="(Todas)",COUNTIFS(BASE[CODCIE104],ENOS_G3_IRAGNG_MENOR_QUE_1_AÑO[[#This Row],[CIE-10]],BASE[Edad],"&lt;1"),COUNTIFS(BASE[Cod.Establecimiento],$O$3,BASE[CODCIE104],ENOS_G3_IRAGNG_MENOR_QUE_1_AÑO[[#This Row],[CIE-10]],BASE[Edad],"&lt;1"))</f>
        <v>0</v>
      </c>
      <c r="T170" s="8">
        <f>IF($O$3="(Todas)",COUNTIFS(BASE[CODCIE106],ENOS_G3_IRAGNG_MENOR_QUE_1_AÑO[[#This Row],[CIE-10]],BASE[Edad],"&lt;1"),COUNTIFS(BASE[Cod.Establecimiento],$O$3,BASE[CODCIE106],ENOS_G3_IRAGNG_MENOR_QUE_1_AÑO[[#This Row],[CIE-10]],BASE[Edad],"&lt;1"))</f>
        <v>0</v>
      </c>
      <c r="U170" s="8">
        <f>IF($O$3="(Todas)",COUNTIFS(BASE[CODCIE108],ENOS_G3_IRAGNG_MENOR_QUE_1_AÑO[[#This Row],[CIE-10]],BASE[Edad],"&lt;1"),COUNTIFS(BASE[Cod.Establecimiento],$O$3,BASE[CODCIE108],ENOS_G3_IRAGNG_MENOR_QUE_1_AÑO[[#This Row],[CIE-10]],BASE[Edad],"&lt;1"))</f>
        <v>0</v>
      </c>
      <c r="V170" s="8">
        <f>IF($O$3="(Todas)",COUNTIFS(BASE[CODCIE1010],ENOS_G3_IRAGNG_MENOR_QUE_1_AÑO[[#This Row],[CIE-10]],BASE[Edad],"&lt;1"),COUNTIFS(BASE[Cod.Establecimiento],$O$3,BASE[CODCIE1010],ENOS_G3_IRAGNG_MENOR_QUE_1_AÑO[[#This Row],[CIE-10]],BASE[Edad],"&lt;1"))</f>
        <v>0</v>
      </c>
      <c r="W170" s="9">
        <f>SUM(ENOS_G3_IRAGNG_MENOR_QUE_1_AÑO[[#This Row],[D1]:[D6]])</f>
        <v>0</v>
      </c>
      <c r="X170" s="2"/>
      <c r="Y170" s="32" t="s">
        <v>321</v>
      </c>
      <c r="Z170" s="8">
        <f>IF($O$3="(Todas)",COUNTIFS(BASE[CODCIE10],ENOS_G3_IRAGNG_1_4_AÑOS[[#This Row],[CIE-10]],BASE[Edad],"&gt;=1",BASE[Edad],"&lt;=4"),COUNTIFS(BASE[Cod.Establecimiento],$O$3,BASE[CODCIE10],ENOS_G3_IRAGNG_1_4_AÑOS[[#This Row],[CIE-10]],BASE[Edad],"&gt;=1",BASE[Edad],"&lt;=4"))</f>
        <v>0</v>
      </c>
      <c r="AA170" s="8">
        <f>IF($O$3="(Todas)",COUNTIFS(BASE[CODCIE102],ENOS_G3_IRAGNG_1_4_AÑOS[[#This Row],[CIE-10]],BASE[Edad],"&gt;=1",BASE[Edad],"&lt;=4"),COUNTIFS(BASE[Cod.Establecimiento],$O$3,BASE[CODCIE102],ENOS_G3_IRAGNG_1_4_AÑOS[[#This Row],[CIE-10]],BASE[Edad],"&gt;=1",BASE[Edad],"&lt;=4"))</f>
        <v>0</v>
      </c>
      <c r="AB170" s="8">
        <f>IF($O$3="(Todas)",COUNTIFS(BASE[CODCIE104],ENOS_G3_IRAGNG_1_4_AÑOS[[#This Row],[CIE-10]],BASE[Edad],"&gt;=1",BASE[Edad],"&lt;=4"),COUNTIFS(BASE[Cod.Establecimiento],$O$3,BASE[CODCIE104],ENOS_G3_IRAGNG_1_4_AÑOS[[#This Row],[CIE-10]],BASE[Edad],"&gt;=1",BASE[Edad],"&lt;=4"))</f>
        <v>0</v>
      </c>
      <c r="AC170" s="8">
        <f>IF($O$3="(Todas)",COUNTIFS(BASE[CODCIE106],ENOS_G3_IRAGNG_1_4_AÑOS[[#This Row],[CIE-10]],BASE[Edad],"&gt;=1",BASE[Edad],"&lt;=4"),COUNTIFS(BASE[Cod.Establecimiento],$O$3,BASE[CODCIE106],ENOS_G3_IRAGNG_1_4_AÑOS[[#This Row],[CIE-10]],BASE[Edad],"&gt;=1",BASE[Edad],"&lt;=4"))</f>
        <v>0</v>
      </c>
      <c r="AD170" s="8">
        <f>IF($O$3="(Todas)",COUNTIFS(BASE[CODCIE108],ENOS_G3_IRAGNG_1_4_AÑOS[[#This Row],[CIE-10]],BASE[Edad],"&gt;=1",BASE[Edad],"&lt;=4"),COUNTIFS(BASE[Cod.Establecimiento],$O$3,BASE[CODCIE108],ENOS_G3_IRAGNG_1_4_AÑOS[[#This Row],[CIE-10]],BASE[Edad],"&gt;=1",BASE[Edad],"&lt;=4"))</f>
        <v>0</v>
      </c>
      <c r="AE170" s="8">
        <f>IF($O$3="(Todas)",COUNTIFS(BASE[CODCIE1010],ENOS_G3_IRAGNG_1_4_AÑOS[[#This Row],[CIE-10]],BASE[Edad],"&gt;=1",BASE[Edad],"&lt;=4"),COUNTIFS(BASE[Cod.Establecimiento],$O$3,BASE[CODCIE1010],ENOS_G3_IRAGNG_1_4_AÑOS[[#This Row],[CIE-10]],BASE[Edad],"&gt;=1",BASE[Edad],"&lt;=4"))</f>
        <v>0</v>
      </c>
      <c r="AF170" s="9">
        <f>SUM(ENOS_G3_IRAGNG_1_4_AÑOS[[#This Row],[D1]:[D6]])</f>
        <v>0</v>
      </c>
    </row>
    <row r="171" spans="1:32" ht="18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32" t="s">
        <v>322</v>
      </c>
      <c r="Q171" s="8">
        <f>IF($O$3="(Todas)",COUNTIFS(BASE[CODCIE10],ENOS_G3_IRAGNG_MENOR_QUE_1_AÑO[[#This Row],[CIE-10]],BASE[Edad],"&lt;1"),COUNTIFS(BASE[Cod.Establecimiento],$O$3,BASE[CODCIE10],ENOS_G3_IRAGNG_MENOR_QUE_1_AÑO[[#This Row],[CIE-10]],BASE[Edad],"&lt;1"))</f>
        <v>0</v>
      </c>
      <c r="R171" s="8">
        <f>IF($O$3="(Todas)",COUNTIFS(BASE[CODCIE102],ENOS_G3_IRAGNG_MENOR_QUE_1_AÑO[[#This Row],[CIE-10]],BASE[Edad],"&lt;1"),COUNTIFS(BASE[Cod.Establecimiento],$O$3,BASE[CODCIE102],ENOS_G3_IRAGNG_MENOR_QUE_1_AÑO[[#This Row],[CIE-10]],BASE[Edad],"&lt;1"))</f>
        <v>0</v>
      </c>
      <c r="S171" s="8">
        <f>IF($O$3="(Todas)",COUNTIFS(BASE[CODCIE104],ENOS_G3_IRAGNG_MENOR_QUE_1_AÑO[[#This Row],[CIE-10]],BASE[Edad],"&lt;1"),COUNTIFS(BASE[Cod.Establecimiento],$O$3,BASE[CODCIE104],ENOS_G3_IRAGNG_MENOR_QUE_1_AÑO[[#This Row],[CIE-10]],BASE[Edad],"&lt;1"))</f>
        <v>0</v>
      </c>
      <c r="T171" s="8">
        <f>IF($O$3="(Todas)",COUNTIFS(BASE[CODCIE106],ENOS_G3_IRAGNG_MENOR_QUE_1_AÑO[[#This Row],[CIE-10]],BASE[Edad],"&lt;1"),COUNTIFS(BASE[Cod.Establecimiento],$O$3,BASE[CODCIE106],ENOS_G3_IRAGNG_MENOR_QUE_1_AÑO[[#This Row],[CIE-10]],BASE[Edad],"&lt;1"))</f>
        <v>0</v>
      </c>
      <c r="U171" s="8">
        <f>IF($O$3="(Todas)",COUNTIFS(BASE[CODCIE108],ENOS_G3_IRAGNG_MENOR_QUE_1_AÑO[[#This Row],[CIE-10]],BASE[Edad],"&lt;1"),COUNTIFS(BASE[Cod.Establecimiento],$O$3,BASE[CODCIE108],ENOS_G3_IRAGNG_MENOR_QUE_1_AÑO[[#This Row],[CIE-10]],BASE[Edad],"&lt;1"))</f>
        <v>0</v>
      </c>
      <c r="V171" s="8">
        <f>IF($O$3="(Todas)",COUNTIFS(BASE[CODCIE1010],ENOS_G3_IRAGNG_MENOR_QUE_1_AÑO[[#This Row],[CIE-10]],BASE[Edad],"&lt;1"),COUNTIFS(BASE[Cod.Establecimiento],$O$3,BASE[CODCIE1010],ENOS_G3_IRAGNG_MENOR_QUE_1_AÑO[[#This Row],[CIE-10]],BASE[Edad],"&lt;1"))</f>
        <v>0</v>
      </c>
      <c r="W171" s="9">
        <f>SUM(ENOS_G3_IRAGNG_MENOR_QUE_1_AÑO[[#This Row],[D1]:[D6]])</f>
        <v>0</v>
      </c>
      <c r="X171" s="2"/>
      <c r="Y171" s="32" t="s">
        <v>322</v>
      </c>
      <c r="Z171" s="8">
        <f>IF($O$3="(Todas)",COUNTIFS(BASE[CODCIE10],ENOS_G3_IRAGNG_1_4_AÑOS[[#This Row],[CIE-10]],BASE[Edad],"&gt;=1",BASE[Edad],"&lt;=4"),COUNTIFS(BASE[Cod.Establecimiento],$O$3,BASE[CODCIE10],ENOS_G3_IRAGNG_1_4_AÑOS[[#This Row],[CIE-10]],BASE[Edad],"&gt;=1",BASE[Edad],"&lt;=4"))</f>
        <v>0</v>
      </c>
      <c r="AA171" s="8">
        <f>IF($O$3="(Todas)",COUNTIFS(BASE[CODCIE102],ENOS_G3_IRAGNG_1_4_AÑOS[[#This Row],[CIE-10]],BASE[Edad],"&gt;=1",BASE[Edad],"&lt;=4"),COUNTIFS(BASE[Cod.Establecimiento],$O$3,BASE[CODCIE102],ENOS_G3_IRAGNG_1_4_AÑOS[[#This Row],[CIE-10]],BASE[Edad],"&gt;=1",BASE[Edad],"&lt;=4"))</f>
        <v>0</v>
      </c>
      <c r="AB171" s="8">
        <f>IF($O$3="(Todas)",COUNTIFS(BASE[CODCIE104],ENOS_G3_IRAGNG_1_4_AÑOS[[#This Row],[CIE-10]],BASE[Edad],"&gt;=1",BASE[Edad],"&lt;=4"),COUNTIFS(BASE[Cod.Establecimiento],$O$3,BASE[CODCIE104],ENOS_G3_IRAGNG_1_4_AÑOS[[#This Row],[CIE-10]],BASE[Edad],"&gt;=1",BASE[Edad],"&lt;=4"))</f>
        <v>0</v>
      </c>
      <c r="AC171" s="8">
        <f>IF($O$3="(Todas)",COUNTIFS(BASE[CODCIE106],ENOS_G3_IRAGNG_1_4_AÑOS[[#This Row],[CIE-10]],BASE[Edad],"&gt;=1",BASE[Edad],"&lt;=4"),COUNTIFS(BASE[Cod.Establecimiento],$O$3,BASE[CODCIE106],ENOS_G3_IRAGNG_1_4_AÑOS[[#This Row],[CIE-10]],BASE[Edad],"&gt;=1",BASE[Edad],"&lt;=4"))</f>
        <v>0</v>
      </c>
      <c r="AD171" s="8">
        <f>IF($O$3="(Todas)",COUNTIFS(BASE[CODCIE108],ENOS_G3_IRAGNG_1_4_AÑOS[[#This Row],[CIE-10]],BASE[Edad],"&gt;=1",BASE[Edad],"&lt;=4"),COUNTIFS(BASE[Cod.Establecimiento],$O$3,BASE[CODCIE108],ENOS_G3_IRAGNG_1_4_AÑOS[[#This Row],[CIE-10]],BASE[Edad],"&gt;=1",BASE[Edad],"&lt;=4"))</f>
        <v>0</v>
      </c>
      <c r="AE171" s="8">
        <f>IF($O$3="(Todas)",COUNTIFS(BASE[CODCIE1010],ENOS_G3_IRAGNG_1_4_AÑOS[[#This Row],[CIE-10]],BASE[Edad],"&gt;=1",BASE[Edad],"&lt;=4"),COUNTIFS(BASE[Cod.Establecimiento],$O$3,BASE[CODCIE1010],ENOS_G3_IRAGNG_1_4_AÑOS[[#This Row],[CIE-10]],BASE[Edad],"&gt;=1",BASE[Edad],"&lt;=4"))</f>
        <v>0</v>
      </c>
      <c r="AF171" s="9">
        <f>SUM(ENOS_G3_IRAGNG_1_4_AÑOS[[#This Row],[D1]:[D6]])</f>
        <v>0</v>
      </c>
    </row>
    <row r="172" spans="1:3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spans="1:32" ht="18" customHeight="1" thickBo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80" t="s">
        <v>292</v>
      </c>
      <c r="Q173" s="81"/>
      <c r="R173" s="81"/>
      <c r="S173" s="81"/>
      <c r="T173" s="81"/>
      <c r="U173" s="81"/>
      <c r="V173" s="81"/>
      <c r="W173" s="81"/>
      <c r="X173" s="2"/>
      <c r="Y173" s="80" t="s">
        <v>293</v>
      </c>
      <c r="Z173" s="81"/>
      <c r="AA173" s="81"/>
      <c r="AB173" s="81"/>
      <c r="AC173" s="81"/>
      <c r="AD173" s="81"/>
      <c r="AE173" s="81"/>
      <c r="AF173" s="81"/>
    </row>
    <row r="174" spans="1:32" ht="15.75" customHeight="1" thickTop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 t="s">
        <v>93</v>
      </c>
      <c r="Q174" s="8" t="s">
        <v>94</v>
      </c>
      <c r="R174" s="8" t="s">
        <v>95</v>
      </c>
      <c r="S174" s="8" t="s">
        <v>96</v>
      </c>
      <c r="T174" s="8" t="s">
        <v>97</v>
      </c>
      <c r="U174" s="8" t="s">
        <v>98</v>
      </c>
      <c r="V174" s="8" t="s">
        <v>99</v>
      </c>
      <c r="W174" s="10" t="s">
        <v>100</v>
      </c>
      <c r="X174" s="2"/>
      <c r="Y174" s="2" t="s">
        <v>93</v>
      </c>
      <c r="Z174" s="8" t="s">
        <v>94</v>
      </c>
      <c r="AA174" s="8" t="s">
        <v>95</v>
      </c>
      <c r="AB174" s="8" t="s">
        <v>96</v>
      </c>
      <c r="AC174" s="8" t="s">
        <v>97</v>
      </c>
      <c r="AD174" s="8" t="s">
        <v>98</v>
      </c>
      <c r="AE174" s="8" t="s">
        <v>99</v>
      </c>
      <c r="AF174" s="10" t="s">
        <v>100</v>
      </c>
    </row>
    <row r="175" spans="1:3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32" t="s">
        <v>320</v>
      </c>
      <c r="Q175" s="8">
        <f>IF($O$3="(Todas)",COUNTIFS(BASE[CODCIE10],ENOS_G3_IRAGNG_5_19_AÑOS[[#This Row],[CIE-10]],BASE[Edad],"&gt;=5",BASE[Edad],"&lt;=19"),COUNTIFS(BASE[Cod.Establecimiento],$O$3,BASE[CODCIE10],ENOS_G3_IRAGNG_5_19_AÑOS[[#This Row],[CIE-10]],BASE[Edad],"&gt;=5",BASE[Edad],"&lt;=19"))</f>
        <v>0</v>
      </c>
      <c r="R175" s="8">
        <f>IF($O$3="(Todas)",COUNTIFS(BASE[CODCIE102],ENOS_G3_IRAGNG_5_19_AÑOS[[#This Row],[CIE-10]],BASE[Edad],"&gt;=5",BASE[Edad],"&lt;=19"),COUNTIFS(BASE[Cod.Establecimiento],$O$3,BASE[CODCIE102],ENOS_G3_IRAGNG_5_19_AÑOS[[#This Row],[CIE-10]],BASE[Edad],"&gt;=5",BASE[Edad],"&lt;=19"))</f>
        <v>0</v>
      </c>
      <c r="S175" s="8">
        <f>IF($O$3="(Todas)",COUNTIFS(BASE[CODCIE104],ENOS_G3_IRAGNG_5_19_AÑOS[[#This Row],[CIE-10]],BASE[Edad],"&gt;=5",BASE[Edad],"&lt;=19"),COUNTIFS(BASE[Cod.Establecimiento],$O$3,BASE[CODCIE104],ENOS_G3_IRAGNG_5_19_AÑOS[[#This Row],[CIE-10]],BASE[Edad],"&gt;=5",BASE[Edad],"&lt;=19"))</f>
        <v>0</v>
      </c>
      <c r="T175" s="8">
        <f>IF($O$3="(Todas)",COUNTIFS(BASE[CODCIE106],ENOS_G3_IRAGNG_5_19_AÑOS[[#This Row],[CIE-10]],BASE[Edad],"&gt;=5",BASE[Edad],"&lt;=19"),COUNTIFS(BASE[Cod.Establecimiento],$O$3,BASE[CODCIE106],ENOS_G3_IRAGNG_5_19_AÑOS[[#This Row],[CIE-10]],BASE[Edad],"&gt;=5",BASE[Edad],"&lt;=19"))</f>
        <v>0</v>
      </c>
      <c r="U175" s="8">
        <f>IF($O$3="(Todas)",COUNTIFS(BASE[CODCIE108],ENOS_G3_IRAGNG_5_19_AÑOS[[#This Row],[CIE-10]],BASE[Edad],"&gt;=5",BASE[Edad],"&lt;=19"),COUNTIFS(BASE[Cod.Establecimiento],$O$3,BASE[CODCIE108],ENOS_G3_IRAGNG_5_19_AÑOS[[#This Row],[CIE-10]],BASE[Edad],"&gt;=5",BASE[Edad],"&lt;=19"))</f>
        <v>0</v>
      </c>
      <c r="V175" s="8">
        <f>IF($O$3="(Todas)",COUNTIFS(BASE[CODCIE1010],ENOS_G3_IRAGNG_5_19_AÑOS[[#This Row],[CIE-10]],BASE[Edad],"&gt;=5",BASE[Edad],"&lt;=19"),COUNTIFS(BASE[Cod.Establecimiento],$O$3,BASE[CODCIE1010],ENOS_G3_IRAGNG_5_19_AÑOS[[#This Row],[CIE-10]],BASE[Edad],"&gt;=5",BASE[Edad],"&lt;=19"))</f>
        <v>0</v>
      </c>
      <c r="W175" s="9">
        <f>SUM(ENOS_G3_IRAGNG_5_19_AÑOS[[#This Row],[D1]:[D6]])</f>
        <v>0</v>
      </c>
      <c r="X175" s="2"/>
      <c r="Y175" s="32" t="s">
        <v>320</v>
      </c>
      <c r="Z175" s="8">
        <f>IF($O$3="(Todas)",COUNTIFS(BASE[CODCIE10],ENOS_G3_IRAGNG_20_59_AÑOS[[#This Row],[CIE-10]],BASE[Edad],"&gt;=20",BASE[Edad],"&lt;=59"),COUNTIFS(BASE[Cod.Establecimiento],$O$3,BASE[CODCIE10],ENOS_G3_IRAGNG_20_59_AÑOS[[#This Row],[CIE-10]],BASE[Edad],"&gt;=20",BASE[Edad],"&lt;=59"))</f>
        <v>0</v>
      </c>
      <c r="AA175" s="8">
        <f>IF($O$3="(Todas)",COUNTIFS(BASE[CODCIE102],ENOS_G3_IRAGNG_20_59_AÑOS[[#This Row],[CIE-10]],BASE[Edad],"&gt;=20",BASE[Edad],"&lt;=59"),COUNTIFS(BASE[Cod.Establecimiento],$O$3,BASE[CODCIE102],ENOS_G3_IRAGNG_20_59_AÑOS[[#This Row],[CIE-10]],BASE[Edad],"&gt;=20",BASE[Edad],"&lt;=59"))</f>
        <v>0</v>
      </c>
      <c r="AB175" s="8">
        <f>IF($O$3="(Todas)",COUNTIFS(BASE[CODCIE104],ENOS_G3_IRAGNG_20_59_AÑOS[[#This Row],[CIE-10]],BASE[Edad],"&gt;=20",BASE[Edad],"&lt;=59"),COUNTIFS(BASE[Cod.Establecimiento],$O$3,BASE[CODCIE104],ENOS_G3_IRAGNG_20_59_AÑOS[[#This Row],[CIE-10]],BASE[Edad],"&gt;=20",BASE[Edad],"&lt;=59"))</f>
        <v>0</v>
      </c>
      <c r="AC175" s="8">
        <f>IF($O$3="(Todas)",COUNTIFS(BASE[CODCIE106],ENOS_G3_IRAGNG_20_59_AÑOS[[#This Row],[CIE-10]],BASE[Edad],"&gt;=20",BASE[Edad],"&lt;=59"),COUNTIFS(BASE[Cod.Establecimiento],$O$3,BASE[CODCIE106],ENOS_G3_IRAGNG_20_59_AÑOS[[#This Row],[CIE-10]],BASE[Edad],"&gt;=20",BASE[Edad],"&lt;=59"))</f>
        <v>0</v>
      </c>
      <c r="AD175" s="8">
        <f>IF($O$3="(Todas)",COUNTIFS(BASE[CODCIE108],ENOS_G3_IRAGNG_20_59_AÑOS[[#This Row],[CIE-10]],BASE[Edad],"&gt;=20",BASE[Edad],"&lt;=59"),COUNTIFS(BASE[Cod.Establecimiento],$O$3,BASE[CODCIE108],ENOS_G3_IRAGNG_20_59_AÑOS[[#This Row],[CIE-10]],BASE[Edad],"&gt;=20",BASE[Edad],"&lt;=59"))</f>
        <v>0</v>
      </c>
      <c r="AE175" s="8">
        <f>IF($O$3="(Todas)",COUNTIFS(BASE[CODCIE1010],ENOS_G3_IRAGNG_20_59_AÑOS[[#This Row],[CIE-10]],BASE[Edad],"&gt;=20",BASE[Edad],"&lt;=59"),COUNTIFS(BASE[Cod.Establecimiento],$O$3,BASE[CODCIE1010],ENOS_G3_IRAGNG_20_59_AÑOS[[#This Row],[CIE-10]],BASE[Edad],"&gt;=20",BASE[Edad],"&lt;=59"))</f>
        <v>0</v>
      </c>
      <c r="AF175" s="9">
        <f>SUM(ENOS_G3_IRAGNG_20_59_AÑOS[[#This Row],[D1]:[D6]])</f>
        <v>0</v>
      </c>
    </row>
    <row r="176" spans="1:3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32" t="s">
        <v>321</v>
      </c>
      <c r="Q176" s="8">
        <f>IF($O$3="(Todas)",COUNTIFS(BASE[CODCIE10],ENOS_G3_IRAGNG_5_19_AÑOS[[#This Row],[CIE-10]],BASE[Edad],"&gt;=5",BASE[Edad],"&lt;=19"),COUNTIFS(BASE[Cod.Establecimiento],$O$3,BASE[CODCIE10],ENOS_G3_IRAGNG_5_19_AÑOS[[#This Row],[CIE-10]],BASE[Edad],"&gt;=5",BASE[Edad],"&lt;=19"))</f>
        <v>0</v>
      </c>
      <c r="R176" s="8">
        <f>IF($O$3="(Todas)",COUNTIFS(BASE[CODCIE102],ENOS_G3_IRAGNG_5_19_AÑOS[[#This Row],[CIE-10]],BASE[Edad],"&gt;=5",BASE[Edad],"&lt;=19"),COUNTIFS(BASE[Cod.Establecimiento],$O$3,BASE[CODCIE102],ENOS_G3_IRAGNG_5_19_AÑOS[[#This Row],[CIE-10]],BASE[Edad],"&gt;=5",BASE[Edad],"&lt;=19"))</f>
        <v>0</v>
      </c>
      <c r="S176" s="8">
        <f>IF($O$3="(Todas)",COUNTIFS(BASE[CODCIE104],ENOS_G3_IRAGNG_5_19_AÑOS[[#This Row],[CIE-10]],BASE[Edad],"&gt;=5",BASE[Edad],"&lt;=19"),COUNTIFS(BASE[Cod.Establecimiento],$O$3,BASE[CODCIE104],ENOS_G3_IRAGNG_5_19_AÑOS[[#This Row],[CIE-10]],BASE[Edad],"&gt;=5",BASE[Edad],"&lt;=19"))</f>
        <v>0</v>
      </c>
      <c r="T176" s="8">
        <f>IF($O$3="(Todas)",COUNTIFS(BASE[CODCIE106],ENOS_G3_IRAGNG_5_19_AÑOS[[#This Row],[CIE-10]],BASE[Edad],"&gt;=5",BASE[Edad],"&lt;=19"),COUNTIFS(BASE[Cod.Establecimiento],$O$3,BASE[CODCIE106],ENOS_G3_IRAGNG_5_19_AÑOS[[#This Row],[CIE-10]],BASE[Edad],"&gt;=5",BASE[Edad],"&lt;=19"))</f>
        <v>0</v>
      </c>
      <c r="U176" s="8">
        <f>IF($O$3="(Todas)",COUNTIFS(BASE[CODCIE108],ENOS_G3_IRAGNG_5_19_AÑOS[[#This Row],[CIE-10]],BASE[Edad],"&gt;=5",BASE[Edad],"&lt;=19"),COUNTIFS(BASE[Cod.Establecimiento],$O$3,BASE[CODCIE108],ENOS_G3_IRAGNG_5_19_AÑOS[[#This Row],[CIE-10]],BASE[Edad],"&gt;=5",BASE[Edad],"&lt;=19"))</f>
        <v>0</v>
      </c>
      <c r="V176" s="8">
        <f>IF($O$3="(Todas)",COUNTIFS(BASE[CODCIE1010],ENOS_G3_IRAGNG_5_19_AÑOS[[#This Row],[CIE-10]],BASE[Edad],"&gt;=5",BASE[Edad],"&lt;=19"),COUNTIFS(BASE[Cod.Establecimiento],$O$3,BASE[CODCIE1010],ENOS_G3_IRAGNG_5_19_AÑOS[[#This Row],[CIE-10]],BASE[Edad],"&gt;=5",BASE[Edad],"&lt;=19"))</f>
        <v>0</v>
      </c>
      <c r="W176" s="9">
        <f>SUM(ENOS_G3_IRAGNG_5_19_AÑOS[[#This Row],[D1]:[D6]])</f>
        <v>0</v>
      </c>
      <c r="X176" s="2"/>
      <c r="Y176" s="32" t="s">
        <v>321</v>
      </c>
      <c r="Z176" s="8">
        <f>IF($O$3="(Todas)",COUNTIFS(BASE[CODCIE10],ENOS_G3_IRAGNG_20_59_AÑOS[[#This Row],[CIE-10]],BASE[Edad],"&gt;=20",BASE[Edad],"&lt;=59"),COUNTIFS(BASE[Cod.Establecimiento],$O$3,BASE[CODCIE10],ENOS_G3_IRAGNG_20_59_AÑOS[[#This Row],[CIE-10]],BASE[Edad],"&gt;=20",BASE[Edad],"&lt;=59"))</f>
        <v>0</v>
      </c>
      <c r="AA176" s="8">
        <f>IF($O$3="(Todas)",COUNTIFS(BASE[CODCIE102],ENOS_G3_IRAGNG_20_59_AÑOS[[#This Row],[CIE-10]],BASE[Edad],"&gt;=20",BASE[Edad],"&lt;=59"),COUNTIFS(BASE[Cod.Establecimiento],$O$3,BASE[CODCIE102],ENOS_G3_IRAGNG_20_59_AÑOS[[#This Row],[CIE-10]],BASE[Edad],"&gt;=20",BASE[Edad],"&lt;=59"))</f>
        <v>0</v>
      </c>
      <c r="AB176" s="8">
        <f>IF($O$3="(Todas)",COUNTIFS(BASE[CODCIE104],ENOS_G3_IRAGNG_20_59_AÑOS[[#This Row],[CIE-10]],BASE[Edad],"&gt;=20",BASE[Edad],"&lt;=59"),COUNTIFS(BASE[Cod.Establecimiento],$O$3,BASE[CODCIE104],ENOS_G3_IRAGNG_20_59_AÑOS[[#This Row],[CIE-10]],BASE[Edad],"&gt;=20",BASE[Edad],"&lt;=59"))</f>
        <v>0</v>
      </c>
      <c r="AC176" s="8">
        <f>IF($O$3="(Todas)",COUNTIFS(BASE[CODCIE106],ENOS_G3_IRAGNG_20_59_AÑOS[[#This Row],[CIE-10]],BASE[Edad],"&gt;=20",BASE[Edad],"&lt;=59"),COUNTIFS(BASE[Cod.Establecimiento],$O$3,BASE[CODCIE106],ENOS_G3_IRAGNG_20_59_AÑOS[[#This Row],[CIE-10]],BASE[Edad],"&gt;=20",BASE[Edad],"&lt;=59"))</f>
        <v>0</v>
      </c>
      <c r="AD176" s="8">
        <f>IF($O$3="(Todas)",COUNTIFS(BASE[CODCIE108],ENOS_G3_IRAGNG_20_59_AÑOS[[#This Row],[CIE-10]],BASE[Edad],"&gt;=20",BASE[Edad],"&lt;=59"),COUNTIFS(BASE[Cod.Establecimiento],$O$3,BASE[CODCIE108],ENOS_G3_IRAGNG_20_59_AÑOS[[#This Row],[CIE-10]],BASE[Edad],"&gt;=20",BASE[Edad],"&lt;=59"))</f>
        <v>0</v>
      </c>
      <c r="AE176" s="8">
        <f>IF($O$3="(Todas)",COUNTIFS(BASE[CODCIE1010],ENOS_G3_IRAGNG_20_59_AÑOS[[#This Row],[CIE-10]],BASE[Edad],"&gt;=20",BASE[Edad],"&lt;=59"),COUNTIFS(BASE[Cod.Establecimiento],$O$3,BASE[CODCIE1010],ENOS_G3_IRAGNG_20_59_AÑOS[[#This Row],[CIE-10]],BASE[Edad],"&gt;=20",BASE[Edad],"&lt;=59"))</f>
        <v>0</v>
      </c>
      <c r="AF176" s="9">
        <f>SUM(ENOS_G3_IRAGNG_20_59_AÑOS[[#This Row],[D1]:[D6]])</f>
        <v>0</v>
      </c>
    </row>
    <row r="177" spans="1:32" ht="18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32" t="s">
        <v>322</v>
      </c>
      <c r="Q177" s="8">
        <f>IF($O$3="(Todas)",COUNTIFS(BASE[CODCIE10],ENOS_G3_IRAGNG_5_19_AÑOS[[#This Row],[CIE-10]],BASE[Edad],"&gt;=5",BASE[Edad],"&lt;=19"),COUNTIFS(BASE[Cod.Establecimiento],$O$3,BASE[CODCIE10],ENOS_G3_IRAGNG_5_19_AÑOS[[#This Row],[CIE-10]],BASE[Edad],"&gt;=5",BASE[Edad],"&lt;=19"))</f>
        <v>0</v>
      </c>
      <c r="R177" s="8">
        <f>IF($O$3="(Todas)",COUNTIFS(BASE[CODCIE102],ENOS_G3_IRAGNG_5_19_AÑOS[[#This Row],[CIE-10]],BASE[Edad],"&gt;=5",BASE[Edad],"&lt;=19"),COUNTIFS(BASE[Cod.Establecimiento],$O$3,BASE[CODCIE102],ENOS_G3_IRAGNG_5_19_AÑOS[[#This Row],[CIE-10]],BASE[Edad],"&gt;=5",BASE[Edad],"&lt;=19"))</f>
        <v>0</v>
      </c>
      <c r="S177" s="8">
        <f>IF($O$3="(Todas)",COUNTIFS(BASE[CODCIE104],ENOS_G3_IRAGNG_5_19_AÑOS[[#This Row],[CIE-10]],BASE[Edad],"&gt;=5",BASE[Edad],"&lt;=19"),COUNTIFS(BASE[Cod.Establecimiento],$O$3,BASE[CODCIE104],ENOS_G3_IRAGNG_5_19_AÑOS[[#This Row],[CIE-10]],BASE[Edad],"&gt;=5",BASE[Edad],"&lt;=19"))</f>
        <v>0</v>
      </c>
      <c r="T177" s="8">
        <f>IF($O$3="(Todas)",COUNTIFS(BASE[CODCIE106],ENOS_G3_IRAGNG_5_19_AÑOS[[#This Row],[CIE-10]],BASE[Edad],"&gt;=5",BASE[Edad],"&lt;=19"),COUNTIFS(BASE[Cod.Establecimiento],$O$3,BASE[CODCIE106],ENOS_G3_IRAGNG_5_19_AÑOS[[#This Row],[CIE-10]],BASE[Edad],"&gt;=5",BASE[Edad],"&lt;=19"))</f>
        <v>0</v>
      </c>
      <c r="U177" s="8">
        <f>IF($O$3="(Todas)",COUNTIFS(BASE[CODCIE108],ENOS_G3_IRAGNG_5_19_AÑOS[[#This Row],[CIE-10]],BASE[Edad],"&gt;=5",BASE[Edad],"&lt;=19"),COUNTIFS(BASE[Cod.Establecimiento],$O$3,BASE[CODCIE108],ENOS_G3_IRAGNG_5_19_AÑOS[[#This Row],[CIE-10]],BASE[Edad],"&gt;=5",BASE[Edad],"&lt;=19"))</f>
        <v>0</v>
      </c>
      <c r="V177" s="8">
        <f>IF($O$3="(Todas)",COUNTIFS(BASE[CODCIE1010],ENOS_G3_IRAGNG_5_19_AÑOS[[#This Row],[CIE-10]],BASE[Edad],"&gt;=5",BASE[Edad],"&lt;=19"),COUNTIFS(BASE[Cod.Establecimiento],$O$3,BASE[CODCIE1010],ENOS_G3_IRAGNG_5_19_AÑOS[[#This Row],[CIE-10]],BASE[Edad],"&gt;=5",BASE[Edad],"&lt;=19"))</f>
        <v>0</v>
      </c>
      <c r="W177" s="9">
        <f>SUM(ENOS_G3_IRAGNG_5_19_AÑOS[[#This Row],[D1]:[D6]])</f>
        <v>0</v>
      </c>
      <c r="X177" s="2"/>
      <c r="Y177" s="32" t="s">
        <v>322</v>
      </c>
      <c r="Z177" s="8">
        <f>IF($O$3="(Todas)",COUNTIFS(BASE[CODCIE10],ENOS_G3_IRAGNG_20_59_AÑOS[[#This Row],[CIE-10]],BASE[Edad],"&gt;=20",BASE[Edad],"&lt;=59"),COUNTIFS(BASE[Cod.Establecimiento],$O$3,BASE[CODCIE10],ENOS_G3_IRAGNG_20_59_AÑOS[[#This Row],[CIE-10]],BASE[Edad],"&gt;=20",BASE[Edad],"&lt;=59"))</f>
        <v>0</v>
      </c>
      <c r="AA177" s="8">
        <f>IF($O$3="(Todas)",COUNTIFS(BASE[CODCIE102],ENOS_G3_IRAGNG_20_59_AÑOS[[#This Row],[CIE-10]],BASE[Edad],"&gt;=20",BASE[Edad],"&lt;=59"),COUNTIFS(BASE[Cod.Establecimiento],$O$3,BASE[CODCIE102],ENOS_G3_IRAGNG_20_59_AÑOS[[#This Row],[CIE-10]],BASE[Edad],"&gt;=20",BASE[Edad],"&lt;=59"))</f>
        <v>0</v>
      </c>
      <c r="AB177" s="8">
        <f>IF($O$3="(Todas)",COUNTIFS(BASE[CODCIE104],ENOS_G3_IRAGNG_20_59_AÑOS[[#This Row],[CIE-10]],BASE[Edad],"&gt;=20",BASE[Edad],"&lt;=59"),COUNTIFS(BASE[Cod.Establecimiento],$O$3,BASE[CODCIE104],ENOS_G3_IRAGNG_20_59_AÑOS[[#This Row],[CIE-10]],BASE[Edad],"&gt;=20",BASE[Edad],"&lt;=59"))</f>
        <v>0</v>
      </c>
      <c r="AC177" s="8">
        <f>IF($O$3="(Todas)",COUNTIFS(BASE[CODCIE106],ENOS_G3_IRAGNG_20_59_AÑOS[[#This Row],[CIE-10]],BASE[Edad],"&gt;=20",BASE[Edad],"&lt;=59"),COUNTIFS(BASE[Cod.Establecimiento],$O$3,BASE[CODCIE106],ENOS_G3_IRAGNG_20_59_AÑOS[[#This Row],[CIE-10]],BASE[Edad],"&gt;=20",BASE[Edad],"&lt;=59"))</f>
        <v>0</v>
      </c>
      <c r="AD177" s="8">
        <f>IF($O$3="(Todas)",COUNTIFS(BASE[CODCIE108],ENOS_G3_IRAGNG_20_59_AÑOS[[#This Row],[CIE-10]],BASE[Edad],"&gt;=20",BASE[Edad],"&lt;=59"),COUNTIFS(BASE[Cod.Establecimiento],$O$3,BASE[CODCIE108],ENOS_G3_IRAGNG_20_59_AÑOS[[#This Row],[CIE-10]],BASE[Edad],"&gt;=20",BASE[Edad],"&lt;=59"))</f>
        <v>0</v>
      </c>
      <c r="AE177" s="8">
        <f>IF($O$3="(Todas)",COUNTIFS(BASE[CODCIE1010],ENOS_G3_IRAGNG_20_59_AÑOS[[#This Row],[CIE-10]],BASE[Edad],"&gt;=20",BASE[Edad],"&lt;=59"),COUNTIFS(BASE[Cod.Establecimiento],$O$3,BASE[CODCIE1010],ENOS_G3_IRAGNG_20_59_AÑOS[[#This Row],[CIE-10]],BASE[Edad],"&gt;=20",BASE[Edad],"&lt;=59"))</f>
        <v>0</v>
      </c>
      <c r="AF177" s="9">
        <f>SUM(ENOS_G3_IRAGNG_20_59_AÑOS[[#This Row],[D1]:[D6]])</f>
        <v>0</v>
      </c>
    </row>
    <row r="178" spans="1:32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spans="1:32" ht="18" customHeight="1" thickBo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80" t="s">
        <v>294</v>
      </c>
      <c r="Q179" s="81"/>
      <c r="R179" s="81"/>
      <c r="S179" s="81"/>
      <c r="T179" s="81"/>
      <c r="U179" s="81"/>
      <c r="V179" s="81"/>
      <c r="W179" s="81"/>
      <c r="X179" s="2"/>
      <c r="Y179" s="80" t="s">
        <v>295</v>
      </c>
      <c r="Z179" s="81"/>
      <c r="AA179" s="81"/>
      <c r="AB179" s="81"/>
      <c r="AC179" s="81"/>
      <c r="AD179" s="81"/>
      <c r="AE179" s="81"/>
      <c r="AF179" s="81"/>
    </row>
    <row r="180" spans="1:32" ht="15.75" customHeight="1" thickTop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 t="s">
        <v>93</v>
      </c>
      <c r="Q180" s="8" t="s">
        <v>94</v>
      </c>
      <c r="R180" s="8" t="s">
        <v>95</v>
      </c>
      <c r="S180" s="8" t="s">
        <v>96</v>
      </c>
      <c r="T180" s="8" t="s">
        <v>97</v>
      </c>
      <c r="U180" s="8" t="s">
        <v>98</v>
      </c>
      <c r="V180" s="8" t="s">
        <v>99</v>
      </c>
      <c r="W180" s="10" t="s">
        <v>100</v>
      </c>
      <c r="X180" s="2"/>
      <c r="Y180" s="2" t="s">
        <v>93</v>
      </c>
      <c r="Z180" s="8" t="s">
        <v>94</v>
      </c>
      <c r="AA180" s="8" t="s">
        <v>95</v>
      </c>
      <c r="AB180" s="8" t="s">
        <v>96</v>
      </c>
      <c r="AC180" s="8" t="s">
        <v>97</v>
      </c>
      <c r="AD180" s="8" t="s">
        <v>98</v>
      </c>
      <c r="AE180" s="8" t="s">
        <v>99</v>
      </c>
      <c r="AF180" s="10" t="s">
        <v>100</v>
      </c>
    </row>
    <row r="181" spans="1:3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32" t="s">
        <v>320</v>
      </c>
      <c r="Q181" s="8">
        <f>IF($O$3="(Todas)",COUNTIFS(BASE[CODCIE10],ENOS_G3_IRAGNG_60_MAS_AÑOS[[#This Row],[CIE-10]],BASE[Edad],"&gt;=60"),COUNTIFS(BASE[Cod.Establecimiento],$O$3,BASE[CODCIE10],ENOS_G3_IRAGNG_60_MAS_AÑOS[[#This Row],[CIE-10]],BASE[Edad],"&gt;=60"))</f>
        <v>0</v>
      </c>
      <c r="R181" s="8">
        <f>IF($O$3="(Todas)",COUNTIFS(BASE[CODCIE102],ENOS_G3_IRAGNG_60_MAS_AÑOS[[#This Row],[CIE-10]],BASE[Edad],"&gt;=60"),COUNTIFS(BASE[Cod.Establecimiento],$O$3,BASE[CODCIE102],ENOS_G3_IRAGNG_60_MAS_AÑOS[[#This Row],[CIE-10]],BASE[Edad],"&gt;=60"))</f>
        <v>0</v>
      </c>
      <c r="S181" s="8">
        <f>IF($O$3="(Todas)",COUNTIFS(BASE[CODCIE104],ENOS_G3_IRAGNG_60_MAS_AÑOS[[#This Row],[CIE-10]],BASE[Edad],"&gt;=60"),COUNTIFS(BASE[Cod.Establecimiento],$O$3,BASE[CODCIE104],ENOS_G3_IRAGNG_60_MAS_AÑOS[[#This Row],[CIE-10]],BASE[Edad],"&gt;=60"))</f>
        <v>0</v>
      </c>
      <c r="T181" s="8">
        <f>IF($O$3="(Todas)",COUNTIFS(BASE[CODCIE106],ENOS_G3_IRAGNG_60_MAS_AÑOS[[#This Row],[CIE-10]],BASE[Edad],"&gt;=60"),COUNTIFS(BASE[Cod.Establecimiento],$O$3,BASE[CODCIE106],ENOS_G3_IRAGNG_60_MAS_AÑOS[[#This Row],[CIE-10]],BASE[Edad],"&gt;=60"))</f>
        <v>0</v>
      </c>
      <c r="U181" s="8">
        <f>IF($O$3="(Todas)",COUNTIFS(BASE[CODCIE108],ENOS_G3_IRAGNG_60_MAS_AÑOS[[#This Row],[CIE-10]],BASE[Edad],"&gt;=60"),COUNTIFS(BASE[Cod.Establecimiento],$O$3,BASE[CODCIE108],ENOS_G3_IRAGNG_60_MAS_AÑOS[[#This Row],[CIE-10]],BASE[Edad],"&gt;=60"))</f>
        <v>0</v>
      </c>
      <c r="V181" s="8">
        <f>IF($O$3="(Todas)",COUNTIFS(BASE[CODCIE1010],ENOS_G3_IRAGNG_60_MAS_AÑOS[[#This Row],[CIE-10]],BASE[Edad],"&gt;=60"),COUNTIFS(BASE[Cod.Establecimiento],$O$3,BASE[CODCIE1010],ENOS_G3_IRAGNG_60_MAS_AÑOS[[#This Row],[CIE-10]],BASE[Edad],"&gt;=60"))</f>
        <v>0</v>
      </c>
      <c r="W181" s="9">
        <f>SUM(ENOS_G3_IRAGNG_60_MAS_AÑOS[[#This Row],[D1]:[D6]])</f>
        <v>0</v>
      </c>
      <c r="X181" s="2"/>
      <c r="Y181" s="32" t="s">
        <v>320</v>
      </c>
      <c r="Z181" s="8">
        <f>IF($O$3="(Todas)",COUNTIFS(BASE[CODCIE10],ENOS_G3_IRAGNG_SD_AÑOS[[#This Row],[CIE-10]],BASE[Edad],""),COUNTIFS(BASE[Cod.Establecimiento],$O$3,BASE[CODCIE10],ENOS_G3_IRAGNG_SD_AÑOS[[#This Row],[CIE-10]],BASE[Edad],""))</f>
        <v>0</v>
      </c>
      <c r="AA181" s="8">
        <f>IF($O$3="(Todas)",COUNTIFS(BASE[CODCIE102],ENOS_G3_IRAGNG_SD_AÑOS[[#This Row],[CIE-10]],BASE[Edad],""),COUNTIFS(BASE[Cod.Establecimiento],$O$3,BASE[CODCIE102],ENOS_G3_IRAGNG_SD_AÑOS[[#This Row],[CIE-10]],BASE[Edad],""))</f>
        <v>0</v>
      </c>
      <c r="AB181" s="8">
        <f>IF($O$3="(Todas)",COUNTIFS(BASE[CODCIE104],ENOS_G3_IRAGNG_SD_AÑOS[[#This Row],[CIE-10]],BASE[Edad],""),COUNTIFS(BASE[Cod.Establecimiento],$O$3,BASE[CODCIE104],ENOS_G3_IRAGNG_SD_AÑOS[[#This Row],[CIE-10]],BASE[Edad],""))</f>
        <v>0</v>
      </c>
      <c r="AC181" s="8">
        <f>IF($O$3="(Todas)",COUNTIFS(BASE[CODCIE106],ENOS_G3_IRAGNG_SD_AÑOS[[#This Row],[CIE-10]],BASE[Edad],""),COUNTIFS(BASE[Cod.Establecimiento],$O$3,BASE[CODCIE106],ENOS_G3_IRAGNG_SD_AÑOS[[#This Row],[CIE-10]],BASE[Edad],""))</f>
        <v>0</v>
      </c>
      <c r="AD181" s="8">
        <f>IF($O$3="(Todas)",COUNTIFS(BASE[CODCIE108],ENOS_G3_IRAGNG_SD_AÑOS[[#This Row],[CIE-10]],BASE[Edad],""),COUNTIFS(BASE[Cod.Establecimiento],$O$3,BASE[CODCIE108],ENOS_G3_IRAGNG_SD_AÑOS[[#This Row],[CIE-10]],BASE[Edad],""))</f>
        <v>0</v>
      </c>
      <c r="AE181" s="8">
        <f>IF($O$3="(Todas)",COUNTIFS(BASE[CODCIE1010],ENOS_G3_IRAGNG_SD_AÑOS[[#This Row],[CIE-10]],BASE[Edad],""),COUNTIFS(BASE[Cod.Establecimiento],$O$3,BASE[CODCIE1010],ENOS_G3_IRAGNG_SD_AÑOS[[#This Row],[CIE-10]],BASE[Edad],""))</f>
        <v>0</v>
      </c>
      <c r="AF181" s="9">
        <f>SUM(ENOS_G3_IRAGNG_SD_AÑOS[[#This Row],[D1]:[D6]])</f>
        <v>0</v>
      </c>
    </row>
    <row r="182" spans="1:3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32" t="s">
        <v>321</v>
      </c>
      <c r="Q182" s="8">
        <f>IF($O$3="(Todas)",COUNTIFS(BASE[CODCIE10],ENOS_G3_IRAGNG_60_MAS_AÑOS[[#This Row],[CIE-10]],BASE[Edad],"&gt;=60"),COUNTIFS(BASE[Cod.Establecimiento],$O$3,BASE[CODCIE10],ENOS_G3_IRAGNG_60_MAS_AÑOS[[#This Row],[CIE-10]],BASE[Edad],"&gt;=60"))</f>
        <v>0</v>
      </c>
      <c r="R182" s="8">
        <f>IF($O$3="(Todas)",COUNTIFS(BASE[CODCIE102],ENOS_G3_IRAGNG_60_MAS_AÑOS[[#This Row],[CIE-10]],BASE[Edad],"&gt;=60"),COUNTIFS(BASE[Cod.Establecimiento],$O$3,BASE[CODCIE102],ENOS_G3_IRAGNG_60_MAS_AÑOS[[#This Row],[CIE-10]],BASE[Edad],"&gt;=60"))</f>
        <v>0</v>
      </c>
      <c r="S182" s="8">
        <f>IF($O$3="(Todas)",COUNTIFS(BASE[CODCIE104],ENOS_G3_IRAGNG_60_MAS_AÑOS[[#This Row],[CIE-10]],BASE[Edad],"&gt;=60"),COUNTIFS(BASE[Cod.Establecimiento],$O$3,BASE[CODCIE104],ENOS_G3_IRAGNG_60_MAS_AÑOS[[#This Row],[CIE-10]],BASE[Edad],"&gt;=60"))</f>
        <v>0</v>
      </c>
      <c r="T182" s="8">
        <f>IF($O$3="(Todas)",COUNTIFS(BASE[CODCIE106],ENOS_G3_IRAGNG_60_MAS_AÑOS[[#This Row],[CIE-10]],BASE[Edad],"&gt;=60"),COUNTIFS(BASE[Cod.Establecimiento],$O$3,BASE[CODCIE106],ENOS_G3_IRAGNG_60_MAS_AÑOS[[#This Row],[CIE-10]],BASE[Edad],"&gt;=60"))</f>
        <v>0</v>
      </c>
      <c r="U182" s="8">
        <f>IF($O$3="(Todas)",COUNTIFS(BASE[CODCIE108],ENOS_G3_IRAGNG_60_MAS_AÑOS[[#This Row],[CIE-10]],BASE[Edad],"&gt;=60"),COUNTIFS(BASE[Cod.Establecimiento],$O$3,BASE[CODCIE108],ENOS_G3_IRAGNG_60_MAS_AÑOS[[#This Row],[CIE-10]],BASE[Edad],"&gt;=60"))</f>
        <v>0</v>
      </c>
      <c r="V182" s="8">
        <f>IF($O$3="(Todas)",COUNTIFS(BASE[CODCIE1010],ENOS_G3_IRAGNG_60_MAS_AÑOS[[#This Row],[CIE-10]],BASE[Edad],"&gt;=60"),COUNTIFS(BASE[Cod.Establecimiento],$O$3,BASE[CODCIE1010],ENOS_G3_IRAGNG_60_MAS_AÑOS[[#This Row],[CIE-10]],BASE[Edad],"&gt;=60"))</f>
        <v>0</v>
      </c>
      <c r="W182" s="9">
        <f>SUM(ENOS_G3_IRAGNG_60_MAS_AÑOS[[#This Row],[D1]:[D6]])</f>
        <v>0</v>
      </c>
      <c r="X182" s="2"/>
      <c r="Y182" s="32" t="s">
        <v>321</v>
      </c>
      <c r="Z182" s="8">
        <f>IF($O$3="(Todas)",COUNTIFS(BASE[CODCIE10],ENOS_G3_IRAGNG_SD_AÑOS[[#This Row],[CIE-10]],BASE[Edad],""),COUNTIFS(BASE[Cod.Establecimiento],$O$3,BASE[CODCIE10],ENOS_G3_IRAGNG_SD_AÑOS[[#This Row],[CIE-10]],BASE[Edad],""))</f>
        <v>0</v>
      </c>
      <c r="AA182" s="8">
        <f>IF($O$3="(Todas)",COUNTIFS(BASE[CODCIE102],ENOS_G3_IRAGNG_SD_AÑOS[[#This Row],[CIE-10]],BASE[Edad],""),COUNTIFS(BASE[Cod.Establecimiento],$O$3,BASE[CODCIE102],ENOS_G3_IRAGNG_SD_AÑOS[[#This Row],[CIE-10]],BASE[Edad],""))</f>
        <v>0</v>
      </c>
      <c r="AB182" s="8">
        <f>IF($O$3="(Todas)",COUNTIFS(BASE[CODCIE104],ENOS_G3_IRAGNG_SD_AÑOS[[#This Row],[CIE-10]],BASE[Edad],""),COUNTIFS(BASE[Cod.Establecimiento],$O$3,BASE[CODCIE104],ENOS_G3_IRAGNG_SD_AÑOS[[#This Row],[CIE-10]],BASE[Edad],""))</f>
        <v>0</v>
      </c>
      <c r="AC182" s="8">
        <f>IF($O$3="(Todas)",COUNTIFS(BASE[CODCIE106],ENOS_G3_IRAGNG_SD_AÑOS[[#This Row],[CIE-10]],BASE[Edad],""),COUNTIFS(BASE[Cod.Establecimiento],$O$3,BASE[CODCIE106],ENOS_G3_IRAGNG_SD_AÑOS[[#This Row],[CIE-10]],BASE[Edad],""))</f>
        <v>0</v>
      </c>
      <c r="AD182" s="8">
        <f>IF($O$3="(Todas)",COUNTIFS(BASE[CODCIE108],ENOS_G3_IRAGNG_SD_AÑOS[[#This Row],[CIE-10]],BASE[Edad],""),COUNTIFS(BASE[Cod.Establecimiento],$O$3,BASE[CODCIE108],ENOS_G3_IRAGNG_SD_AÑOS[[#This Row],[CIE-10]],BASE[Edad],""))</f>
        <v>0</v>
      </c>
      <c r="AE182" s="8">
        <f>IF($O$3="(Todas)",COUNTIFS(BASE[CODCIE1010],ENOS_G3_IRAGNG_SD_AÑOS[[#This Row],[CIE-10]],BASE[Edad],""),COUNTIFS(BASE[Cod.Establecimiento],$O$3,BASE[CODCIE1010],ENOS_G3_IRAGNG_SD_AÑOS[[#This Row],[CIE-10]],BASE[Edad],""))</f>
        <v>0</v>
      </c>
      <c r="AF182" s="9">
        <f>SUM(ENOS_G3_IRAGNG_SD_AÑOS[[#This Row],[D1]:[D6]])</f>
        <v>0</v>
      </c>
    </row>
    <row r="183" spans="1:32" ht="18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32" t="s">
        <v>322</v>
      </c>
      <c r="Q183" s="8">
        <f>IF($O$3="(Todas)",COUNTIFS(BASE[CODCIE10],ENOS_G3_IRAGNG_60_MAS_AÑOS[[#This Row],[CIE-10]],BASE[Edad],"&gt;=60"),COUNTIFS(BASE[Cod.Establecimiento],$O$3,BASE[CODCIE10],ENOS_G3_IRAGNG_60_MAS_AÑOS[[#This Row],[CIE-10]],BASE[Edad],"&gt;=60"))</f>
        <v>0</v>
      </c>
      <c r="R183" s="8">
        <f>IF($O$3="(Todas)",COUNTIFS(BASE[CODCIE102],ENOS_G3_IRAGNG_60_MAS_AÑOS[[#This Row],[CIE-10]],BASE[Edad],"&gt;=60"),COUNTIFS(BASE[Cod.Establecimiento],$O$3,BASE[CODCIE102],ENOS_G3_IRAGNG_60_MAS_AÑOS[[#This Row],[CIE-10]],BASE[Edad],"&gt;=60"))</f>
        <v>0</v>
      </c>
      <c r="S183" s="8">
        <f>IF($O$3="(Todas)",COUNTIFS(BASE[CODCIE104],ENOS_G3_IRAGNG_60_MAS_AÑOS[[#This Row],[CIE-10]],BASE[Edad],"&gt;=60"),COUNTIFS(BASE[Cod.Establecimiento],$O$3,BASE[CODCIE104],ENOS_G3_IRAGNG_60_MAS_AÑOS[[#This Row],[CIE-10]],BASE[Edad],"&gt;=60"))</f>
        <v>0</v>
      </c>
      <c r="T183" s="8">
        <f>IF($O$3="(Todas)",COUNTIFS(BASE[CODCIE106],ENOS_G3_IRAGNG_60_MAS_AÑOS[[#This Row],[CIE-10]],BASE[Edad],"&gt;=60"),COUNTIFS(BASE[Cod.Establecimiento],$O$3,BASE[CODCIE106],ENOS_G3_IRAGNG_60_MAS_AÑOS[[#This Row],[CIE-10]],BASE[Edad],"&gt;=60"))</f>
        <v>0</v>
      </c>
      <c r="U183" s="8">
        <f>IF($O$3="(Todas)",COUNTIFS(BASE[CODCIE108],ENOS_G3_IRAGNG_60_MAS_AÑOS[[#This Row],[CIE-10]],BASE[Edad],"&gt;=60"),COUNTIFS(BASE[Cod.Establecimiento],$O$3,BASE[CODCIE108],ENOS_G3_IRAGNG_60_MAS_AÑOS[[#This Row],[CIE-10]],BASE[Edad],"&gt;=60"))</f>
        <v>0</v>
      </c>
      <c r="V183" s="8">
        <f>IF($O$3="(Todas)",COUNTIFS(BASE[CODCIE1010],ENOS_G3_IRAGNG_60_MAS_AÑOS[[#This Row],[CIE-10]],BASE[Edad],"&gt;=60"),COUNTIFS(BASE[Cod.Establecimiento],$O$3,BASE[CODCIE1010],ENOS_G3_IRAGNG_60_MAS_AÑOS[[#This Row],[CIE-10]],BASE[Edad],"&gt;=60"))</f>
        <v>0</v>
      </c>
      <c r="W183" s="9">
        <f>SUM(ENOS_G3_IRAGNG_60_MAS_AÑOS[[#This Row],[D1]:[D6]])</f>
        <v>0</v>
      </c>
      <c r="X183" s="2"/>
      <c r="Y183" s="32" t="s">
        <v>322</v>
      </c>
      <c r="Z183" s="8">
        <f>IF($O$3="(Todas)",COUNTIFS(BASE[CODCIE10],ENOS_G3_IRAGNG_SD_AÑOS[[#This Row],[CIE-10]],BASE[Edad],""),COUNTIFS(BASE[Cod.Establecimiento],$O$3,BASE[CODCIE10],ENOS_G3_IRAGNG_SD_AÑOS[[#This Row],[CIE-10]],BASE[Edad],""))</f>
        <v>0</v>
      </c>
      <c r="AA183" s="8">
        <f>IF($O$3="(Todas)",COUNTIFS(BASE[CODCIE102],ENOS_G3_IRAGNG_SD_AÑOS[[#This Row],[CIE-10]],BASE[Edad],""),COUNTIFS(BASE[Cod.Establecimiento],$O$3,BASE[CODCIE102],ENOS_G3_IRAGNG_SD_AÑOS[[#This Row],[CIE-10]],BASE[Edad],""))</f>
        <v>0</v>
      </c>
      <c r="AB183" s="8">
        <f>IF($O$3="(Todas)",COUNTIFS(BASE[CODCIE104],ENOS_G3_IRAGNG_SD_AÑOS[[#This Row],[CIE-10]],BASE[Edad],""),COUNTIFS(BASE[Cod.Establecimiento],$O$3,BASE[CODCIE104],ENOS_G3_IRAGNG_SD_AÑOS[[#This Row],[CIE-10]],BASE[Edad],""))</f>
        <v>0</v>
      </c>
      <c r="AC183" s="8">
        <f>IF($O$3="(Todas)",COUNTIFS(BASE[CODCIE106],ENOS_G3_IRAGNG_SD_AÑOS[[#This Row],[CIE-10]],BASE[Edad],""),COUNTIFS(BASE[Cod.Establecimiento],$O$3,BASE[CODCIE106],ENOS_G3_IRAGNG_SD_AÑOS[[#This Row],[CIE-10]],BASE[Edad],""))</f>
        <v>0</v>
      </c>
      <c r="AD183" s="8">
        <f>IF($O$3="(Todas)",COUNTIFS(BASE[CODCIE108],ENOS_G3_IRAGNG_SD_AÑOS[[#This Row],[CIE-10]],BASE[Edad],""),COUNTIFS(BASE[Cod.Establecimiento],$O$3,BASE[CODCIE108],ENOS_G3_IRAGNG_SD_AÑOS[[#This Row],[CIE-10]],BASE[Edad],""))</f>
        <v>0</v>
      </c>
      <c r="AE183" s="8">
        <f>IF($O$3="(Todas)",COUNTIFS(BASE[CODCIE1010],ENOS_G3_IRAGNG_SD_AÑOS[[#This Row],[CIE-10]],BASE[Edad],""),COUNTIFS(BASE[Cod.Establecimiento],$O$3,BASE[CODCIE1010],ENOS_G3_IRAGNG_SD_AÑOS[[#This Row],[CIE-10]],BASE[Edad],""))</f>
        <v>0</v>
      </c>
      <c r="AF183" s="9">
        <f>SUM(ENOS_G3_IRAGNG_SD_AÑOS[[#This Row],[D1]:[D6]])</f>
        <v>0</v>
      </c>
    </row>
    <row r="184" spans="1:32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spans="1:32" ht="18" customHeight="1" thickBo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80" t="s">
        <v>296</v>
      </c>
      <c r="Q185" s="81"/>
      <c r="R185" s="81"/>
      <c r="S185" s="81"/>
      <c r="T185" s="81"/>
      <c r="U185" s="81"/>
      <c r="V185" s="81"/>
      <c r="W185" s="81"/>
      <c r="X185" s="2"/>
      <c r="Y185" s="80" t="s">
        <v>297</v>
      </c>
      <c r="Z185" s="81"/>
      <c r="AA185" s="81"/>
      <c r="AB185" s="81"/>
      <c r="AC185" s="81"/>
      <c r="AD185" s="81"/>
      <c r="AE185" s="81"/>
      <c r="AF185" s="81"/>
    </row>
    <row r="186" spans="1:32" ht="15.75" customHeight="1" thickTop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 t="s">
        <v>93</v>
      </c>
      <c r="Q186" s="8" t="s">
        <v>94</v>
      </c>
      <c r="R186" s="8" t="s">
        <v>95</v>
      </c>
      <c r="S186" s="8" t="s">
        <v>96</v>
      </c>
      <c r="T186" s="8" t="s">
        <v>97</v>
      </c>
      <c r="U186" s="8" t="s">
        <v>98</v>
      </c>
      <c r="V186" s="8" t="s">
        <v>99</v>
      </c>
      <c r="W186" s="10" t="s">
        <v>100</v>
      </c>
      <c r="X186" s="2"/>
      <c r="Y186" s="2" t="s">
        <v>93</v>
      </c>
      <c r="Z186" s="8" t="s">
        <v>94</v>
      </c>
      <c r="AA186" s="8" t="s">
        <v>95</v>
      </c>
      <c r="AB186" s="8" t="s">
        <v>96</v>
      </c>
      <c r="AC186" s="8" t="s">
        <v>97</v>
      </c>
      <c r="AD186" s="8" t="s">
        <v>98</v>
      </c>
      <c r="AE186" s="8" t="s">
        <v>99</v>
      </c>
      <c r="AF186" s="10" t="s">
        <v>100</v>
      </c>
    </row>
    <row r="187" spans="1:3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32" t="s">
        <v>298</v>
      </c>
      <c r="Q187" s="8">
        <f>IF($O$3="(Todas)",COUNTIFS(BASE[CODCIE10],ENOS_G3_DA_MENOR_QUE_1_AÑO[[#This Row],[CIE-10]],BASE[Edad],"&lt;1"),COUNTIFS(BASE[Cod.Establecimiento],$O$3,BASE[CODCIE10],ENOS_G3_DA_MENOR_QUE_1_AÑO[[#This Row],[CIE-10]],BASE[Edad],"&lt;1"))</f>
        <v>0</v>
      </c>
      <c r="R187" s="8">
        <f>IF($O$3="(Todas)",COUNTIFS(BASE[CODCIE102],ENOS_G3_DA_MENOR_QUE_1_AÑO[[#This Row],[CIE-10]],BASE[Edad],"&lt;1"),COUNTIFS(BASE[Cod.Establecimiento],$O$3,BASE[CODCIE102],ENOS_G3_DA_MENOR_QUE_1_AÑO[[#This Row],[CIE-10]],BASE[Edad],"&lt;1"))</f>
        <v>0</v>
      </c>
      <c r="S187" s="8">
        <f>IF($O$3="(Todas)",COUNTIFS(BASE[CODCIE104],ENOS_G3_DA_MENOR_QUE_1_AÑO[[#This Row],[CIE-10]],BASE[Edad],"&lt;1"),COUNTIFS(BASE[Cod.Establecimiento],$O$3,BASE[CODCIE104],ENOS_G3_DA_MENOR_QUE_1_AÑO[[#This Row],[CIE-10]],BASE[Edad],"&lt;1"))</f>
        <v>0</v>
      </c>
      <c r="T187" s="8">
        <f>IF($O$3="(Todas)",COUNTIFS(BASE[CODCIE106],ENOS_G3_DA_MENOR_QUE_1_AÑO[[#This Row],[CIE-10]],BASE[Edad],"&lt;1"),COUNTIFS(BASE[Cod.Establecimiento],$O$3,BASE[CODCIE106],ENOS_G3_DA_MENOR_QUE_1_AÑO[[#This Row],[CIE-10]],BASE[Edad],"&lt;1"))</f>
        <v>0</v>
      </c>
      <c r="U187" s="8">
        <f>IF($O$3="(Todas)",COUNTIFS(BASE[CODCIE108],ENOS_G3_DA_MENOR_QUE_1_AÑO[[#This Row],[CIE-10]],BASE[Edad],"&lt;1"),COUNTIFS(BASE[Cod.Establecimiento],$O$3,BASE[CODCIE108],ENOS_G3_DA_MENOR_QUE_1_AÑO[[#This Row],[CIE-10]],BASE[Edad],"&lt;1"))</f>
        <v>0</v>
      </c>
      <c r="V187" s="8">
        <f>IF($O$3="(Todas)",COUNTIFS(BASE[CODCIE1010],ENOS_G3_DA_MENOR_QUE_1_AÑO[[#This Row],[CIE-10]],BASE[Edad],"&lt;1"),COUNTIFS(BASE[Cod.Establecimiento],$O$3,BASE[CODCIE1010],ENOS_G3_DA_MENOR_QUE_1_AÑO[[#This Row],[CIE-10]],BASE[Edad],"&lt;1"))</f>
        <v>0</v>
      </c>
      <c r="W187" s="9">
        <f>SUM(ENOS_G3_DA_MENOR_QUE_1_AÑO[[#This Row],[D1]:[D6]])</f>
        <v>0</v>
      </c>
      <c r="X187" s="2"/>
      <c r="Y187" s="32" t="s">
        <v>298</v>
      </c>
      <c r="Z187" s="8">
        <f>IF($O$3="(Todas)",COUNTIFS(BASE[CODCIE10],ENOS_G3_DA_1_4_AÑOS[[#This Row],[CIE-10]],BASE[Edad],"&gt;=1",BASE[Edad],"&lt;=4"),COUNTIFS(BASE[Cod.Establecimiento],$O$3,BASE[CODCIE10],ENOS_G3_DA_1_4_AÑOS[[#This Row],[CIE-10]],BASE[Edad],"&gt;=1",BASE[Edad],"&lt;=4"))</f>
        <v>0</v>
      </c>
      <c r="AA187" s="8">
        <f>IF($O$3="(Todas)",COUNTIFS(BASE[CODCIE102],ENOS_G3_DA_1_4_AÑOS[[#This Row],[CIE-10]],BASE[Edad],"&gt;=1",BASE[Edad],"&lt;=4"),COUNTIFS(BASE[Cod.Establecimiento],$O$3,BASE[CODCIE102],ENOS_G3_DA_1_4_AÑOS[[#This Row],[CIE-10]],BASE[Edad],"&gt;=1",BASE[Edad],"&lt;=4"))</f>
        <v>0</v>
      </c>
      <c r="AB187" s="8">
        <f>IF($O$3="(Todas)",COUNTIFS(BASE[CODCIE104],ENOS_G3_DA_1_4_AÑOS[[#This Row],[CIE-10]],BASE[Edad],"&gt;=1",BASE[Edad],"&lt;=4"),COUNTIFS(BASE[Cod.Establecimiento],$O$3,BASE[CODCIE104],ENOS_G3_DA_1_4_AÑOS[[#This Row],[CIE-10]],BASE[Edad],"&gt;=1",BASE[Edad],"&lt;=4"))</f>
        <v>0</v>
      </c>
      <c r="AC187" s="8">
        <f>IF($O$3="(Todas)",COUNTIFS(BASE[CODCIE106],ENOS_G3_DA_1_4_AÑOS[[#This Row],[CIE-10]],BASE[Edad],"&gt;=1",BASE[Edad],"&lt;=4"),COUNTIFS(BASE[Cod.Establecimiento],$O$3,BASE[CODCIE106],ENOS_G3_DA_1_4_AÑOS[[#This Row],[CIE-10]],BASE[Edad],"&gt;=1",BASE[Edad],"&lt;=4"))</f>
        <v>0</v>
      </c>
      <c r="AD187" s="8">
        <f>IF($O$3="(Todas)",COUNTIFS(BASE[CODCIE108],ENOS_G3_DA_1_4_AÑOS[[#This Row],[CIE-10]],BASE[Edad],"&gt;=1",BASE[Edad],"&lt;=4"),COUNTIFS(BASE[Cod.Establecimiento],$O$3,BASE[CODCIE108],ENOS_G3_DA_1_4_AÑOS[[#This Row],[CIE-10]],BASE[Edad],"&gt;=1",BASE[Edad],"&lt;=4"))</f>
        <v>0</v>
      </c>
      <c r="AE187" s="8">
        <f>IF($O$3="(Todas)",COUNTIFS(BASE[CODCIE1010],ENOS_G3_DA_1_4_AÑOS[[#This Row],[CIE-10]],BASE[Edad],"&gt;=1",BASE[Edad],"&lt;=4"),COUNTIFS(BASE[Cod.Establecimiento],$O$3,BASE[CODCIE1010],ENOS_G3_DA_1_4_AÑOS[[#This Row],[CIE-10]],BASE[Edad],"&gt;=1",BASE[Edad],"&lt;=4"))</f>
        <v>0</v>
      </c>
      <c r="AF187" s="9">
        <f>SUM(ENOS_G3_DA_1_4_AÑOS[[#This Row],[D1]:[D6]])</f>
        <v>0</v>
      </c>
    </row>
    <row r="188" spans="1:3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32" t="s">
        <v>323</v>
      </c>
      <c r="Q188" s="8">
        <f>IF($O$3="(Todas)",COUNTIFS(BASE[CODCIE10],ENOS_G3_DA_MENOR_QUE_1_AÑO[[#This Row],[CIE-10]],BASE[Edad],"&lt;1"),COUNTIFS(BASE[Cod.Establecimiento],$O$3,BASE[CODCIE10],ENOS_G3_DA_MENOR_QUE_1_AÑO[[#This Row],[CIE-10]],BASE[Edad],"&lt;1"))</f>
        <v>0</v>
      </c>
      <c r="R188" s="8">
        <f>IF($O$3="(Todas)",COUNTIFS(BASE[CODCIE102],ENOS_G3_DA_MENOR_QUE_1_AÑO[[#This Row],[CIE-10]],BASE[Edad],"&lt;1"),COUNTIFS(BASE[Cod.Establecimiento],$O$3,BASE[CODCIE102],ENOS_G3_DA_MENOR_QUE_1_AÑO[[#This Row],[CIE-10]],BASE[Edad],"&lt;1"))</f>
        <v>0</v>
      </c>
      <c r="S188" s="8">
        <f>IF($O$3="(Todas)",COUNTIFS(BASE[CODCIE104],ENOS_G3_DA_MENOR_QUE_1_AÑO[[#This Row],[CIE-10]],BASE[Edad],"&lt;1"),COUNTIFS(BASE[Cod.Establecimiento],$O$3,BASE[CODCIE104],ENOS_G3_DA_MENOR_QUE_1_AÑO[[#This Row],[CIE-10]],BASE[Edad],"&lt;1"))</f>
        <v>0</v>
      </c>
      <c r="T188" s="8">
        <f>IF($O$3="(Todas)",COUNTIFS(BASE[CODCIE106],ENOS_G3_DA_MENOR_QUE_1_AÑO[[#This Row],[CIE-10]],BASE[Edad],"&lt;1"),COUNTIFS(BASE[Cod.Establecimiento],$O$3,BASE[CODCIE106],ENOS_G3_DA_MENOR_QUE_1_AÑO[[#This Row],[CIE-10]],BASE[Edad],"&lt;1"))</f>
        <v>0</v>
      </c>
      <c r="U188" s="8">
        <f>IF($O$3="(Todas)",COUNTIFS(BASE[CODCIE108],ENOS_G3_DA_MENOR_QUE_1_AÑO[[#This Row],[CIE-10]],BASE[Edad],"&lt;1"),COUNTIFS(BASE[Cod.Establecimiento],$O$3,BASE[CODCIE108],ENOS_G3_DA_MENOR_QUE_1_AÑO[[#This Row],[CIE-10]],BASE[Edad],"&lt;1"))</f>
        <v>0</v>
      </c>
      <c r="V188" s="8">
        <f>IF($O$3="(Todas)",COUNTIFS(BASE[CODCIE1010],ENOS_G3_DA_MENOR_QUE_1_AÑO[[#This Row],[CIE-10]],BASE[Edad],"&lt;1"),COUNTIFS(BASE[Cod.Establecimiento],$O$3,BASE[CODCIE1010],ENOS_G3_DA_MENOR_QUE_1_AÑO[[#This Row],[CIE-10]],BASE[Edad],"&lt;1"))</f>
        <v>0</v>
      </c>
      <c r="W188" s="9">
        <f>SUM(ENOS_G3_DA_MENOR_QUE_1_AÑO[[#This Row],[D1]:[D6]])</f>
        <v>0</v>
      </c>
      <c r="X188" s="2"/>
      <c r="Y188" s="32" t="s">
        <v>323</v>
      </c>
      <c r="Z188" s="8">
        <f>IF($O$3="(Todas)",COUNTIFS(BASE[CODCIE10],ENOS_G3_DA_1_4_AÑOS[[#This Row],[CIE-10]],BASE[Edad],"&gt;=1",BASE[Edad],"&lt;=4"),COUNTIFS(BASE[Cod.Establecimiento],$O$3,BASE[CODCIE10],ENOS_G3_DA_1_4_AÑOS[[#This Row],[CIE-10]],BASE[Edad],"&gt;=1",BASE[Edad],"&lt;=4"))</f>
        <v>0</v>
      </c>
      <c r="AA188" s="8">
        <f>IF($O$3="(Todas)",COUNTIFS(BASE[CODCIE102],ENOS_G3_DA_1_4_AÑOS[[#This Row],[CIE-10]],BASE[Edad],"&gt;=1",BASE[Edad],"&lt;=4"),COUNTIFS(BASE[Cod.Establecimiento],$O$3,BASE[CODCIE102],ENOS_G3_DA_1_4_AÑOS[[#This Row],[CIE-10]],BASE[Edad],"&gt;=1",BASE[Edad],"&lt;=4"))</f>
        <v>0</v>
      </c>
      <c r="AB188" s="8">
        <f>IF($O$3="(Todas)",COUNTIFS(BASE[CODCIE104],ENOS_G3_DA_1_4_AÑOS[[#This Row],[CIE-10]],BASE[Edad],"&gt;=1",BASE[Edad],"&lt;=4"),COUNTIFS(BASE[Cod.Establecimiento],$O$3,BASE[CODCIE104],ENOS_G3_DA_1_4_AÑOS[[#This Row],[CIE-10]],BASE[Edad],"&gt;=1",BASE[Edad],"&lt;=4"))</f>
        <v>0</v>
      </c>
      <c r="AC188" s="8">
        <f>IF($O$3="(Todas)",COUNTIFS(BASE[CODCIE106],ENOS_G3_DA_1_4_AÑOS[[#This Row],[CIE-10]],BASE[Edad],"&gt;=1",BASE[Edad],"&lt;=4"),COUNTIFS(BASE[Cod.Establecimiento],$O$3,BASE[CODCIE106],ENOS_G3_DA_1_4_AÑOS[[#This Row],[CIE-10]],BASE[Edad],"&gt;=1",BASE[Edad],"&lt;=4"))</f>
        <v>0</v>
      </c>
      <c r="AD188" s="8">
        <f>IF($O$3="(Todas)",COUNTIFS(BASE[CODCIE108],ENOS_G3_DA_1_4_AÑOS[[#This Row],[CIE-10]],BASE[Edad],"&gt;=1",BASE[Edad],"&lt;=4"),COUNTIFS(BASE[Cod.Establecimiento],$O$3,BASE[CODCIE108],ENOS_G3_DA_1_4_AÑOS[[#This Row],[CIE-10]],BASE[Edad],"&gt;=1",BASE[Edad],"&lt;=4"))</f>
        <v>0</v>
      </c>
      <c r="AE188" s="8">
        <f>IF($O$3="(Todas)",COUNTIFS(BASE[CODCIE1010],ENOS_G3_DA_1_4_AÑOS[[#This Row],[CIE-10]],BASE[Edad],"&gt;=1",BASE[Edad],"&lt;=4"),COUNTIFS(BASE[Cod.Establecimiento],$O$3,BASE[CODCIE1010],ENOS_G3_DA_1_4_AÑOS[[#This Row],[CIE-10]],BASE[Edad],"&gt;=1",BASE[Edad],"&lt;=4"))</f>
        <v>0</v>
      </c>
      <c r="AF188" s="9">
        <f>SUM(ENOS_G3_DA_1_4_AÑOS[[#This Row],[D1]:[D6]])</f>
        <v>0</v>
      </c>
    </row>
    <row r="189" spans="1:32" ht="18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32" t="s">
        <v>324</v>
      </c>
      <c r="Q189" s="8">
        <f>IF($O$3="(Todas)",COUNTIFS(BASE[CODCIE10],ENOS_G3_DA_MENOR_QUE_1_AÑO[[#This Row],[CIE-10]],BASE[Edad],"&lt;1"),COUNTIFS(BASE[Cod.Establecimiento],$O$3,BASE[CODCIE10],ENOS_G3_DA_MENOR_QUE_1_AÑO[[#This Row],[CIE-10]],BASE[Edad],"&lt;1"))</f>
        <v>0</v>
      </c>
      <c r="R189" s="8">
        <f>IF($O$3="(Todas)",COUNTIFS(BASE[CODCIE102],ENOS_G3_DA_MENOR_QUE_1_AÑO[[#This Row],[CIE-10]],BASE[Edad],"&lt;1"),COUNTIFS(BASE[Cod.Establecimiento],$O$3,BASE[CODCIE102],ENOS_G3_DA_MENOR_QUE_1_AÑO[[#This Row],[CIE-10]],BASE[Edad],"&lt;1"))</f>
        <v>0</v>
      </c>
      <c r="S189" s="8">
        <f>IF($O$3="(Todas)",COUNTIFS(BASE[CODCIE104],ENOS_G3_DA_MENOR_QUE_1_AÑO[[#This Row],[CIE-10]],BASE[Edad],"&lt;1"),COUNTIFS(BASE[Cod.Establecimiento],$O$3,BASE[CODCIE104],ENOS_G3_DA_MENOR_QUE_1_AÑO[[#This Row],[CIE-10]],BASE[Edad],"&lt;1"))</f>
        <v>0</v>
      </c>
      <c r="T189" s="8">
        <f>IF($O$3="(Todas)",COUNTIFS(BASE[CODCIE106],ENOS_G3_DA_MENOR_QUE_1_AÑO[[#This Row],[CIE-10]],BASE[Edad],"&lt;1"),COUNTIFS(BASE[Cod.Establecimiento],$O$3,BASE[CODCIE106],ENOS_G3_DA_MENOR_QUE_1_AÑO[[#This Row],[CIE-10]],BASE[Edad],"&lt;1"))</f>
        <v>0</v>
      </c>
      <c r="U189" s="8">
        <f>IF($O$3="(Todas)",COUNTIFS(BASE[CODCIE108],ENOS_G3_DA_MENOR_QUE_1_AÑO[[#This Row],[CIE-10]],BASE[Edad],"&lt;1"),COUNTIFS(BASE[Cod.Establecimiento],$O$3,BASE[CODCIE108],ENOS_G3_DA_MENOR_QUE_1_AÑO[[#This Row],[CIE-10]],BASE[Edad],"&lt;1"))</f>
        <v>0</v>
      </c>
      <c r="V189" s="8">
        <f>IF($O$3="(Todas)",COUNTIFS(BASE[CODCIE1010],ENOS_G3_DA_MENOR_QUE_1_AÑO[[#This Row],[CIE-10]],BASE[Edad],"&lt;1"),COUNTIFS(BASE[Cod.Establecimiento],$O$3,BASE[CODCIE1010],ENOS_G3_DA_MENOR_QUE_1_AÑO[[#This Row],[CIE-10]],BASE[Edad],"&lt;1"))</f>
        <v>0</v>
      </c>
      <c r="W189" s="9">
        <f>SUM(ENOS_G3_DA_MENOR_QUE_1_AÑO[[#This Row],[D1]:[D6]])</f>
        <v>0</v>
      </c>
      <c r="X189" s="2"/>
      <c r="Y189" s="32" t="s">
        <v>324</v>
      </c>
      <c r="Z189" s="8">
        <f>IF($O$3="(Todas)",COUNTIFS(BASE[CODCIE10],ENOS_G3_DA_1_4_AÑOS[[#This Row],[CIE-10]],BASE[Edad],"&gt;=1",BASE[Edad],"&lt;=4"),COUNTIFS(BASE[Cod.Establecimiento],$O$3,BASE[CODCIE10],ENOS_G3_DA_1_4_AÑOS[[#This Row],[CIE-10]],BASE[Edad],"&gt;=1",BASE[Edad],"&lt;=4"))</f>
        <v>0</v>
      </c>
      <c r="AA189" s="8">
        <f>IF($O$3="(Todas)",COUNTIFS(BASE[CODCIE102],ENOS_G3_DA_1_4_AÑOS[[#This Row],[CIE-10]],BASE[Edad],"&gt;=1",BASE[Edad],"&lt;=4"),COUNTIFS(BASE[Cod.Establecimiento],$O$3,BASE[CODCIE102],ENOS_G3_DA_1_4_AÑOS[[#This Row],[CIE-10]],BASE[Edad],"&gt;=1",BASE[Edad],"&lt;=4"))</f>
        <v>0</v>
      </c>
      <c r="AB189" s="8">
        <f>IF($O$3="(Todas)",COUNTIFS(BASE[CODCIE104],ENOS_G3_DA_1_4_AÑOS[[#This Row],[CIE-10]],BASE[Edad],"&gt;=1",BASE[Edad],"&lt;=4"),COUNTIFS(BASE[Cod.Establecimiento],$O$3,BASE[CODCIE104],ENOS_G3_DA_1_4_AÑOS[[#This Row],[CIE-10]],BASE[Edad],"&gt;=1",BASE[Edad],"&lt;=4"))</f>
        <v>0</v>
      </c>
      <c r="AC189" s="8">
        <f>IF($O$3="(Todas)",COUNTIFS(BASE[CODCIE106],ENOS_G3_DA_1_4_AÑOS[[#This Row],[CIE-10]],BASE[Edad],"&gt;=1",BASE[Edad],"&lt;=4"),COUNTIFS(BASE[Cod.Establecimiento],$O$3,BASE[CODCIE106],ENOS_G3_DA_1_4_AÑOS[[#This Row],[CIE-10]],BASE[Edad],"&gt;=1",BASE[Edad],"&lt;=4"))</f>
        <v>0</v>
      </c>
      <c r="AD189" s="8">
        <f>IF($O$3="(Todas)",COUNTIFS(BASE[CODCIE108],ENOS_G3_DA_1_4_AÑOS[[#This Row],[CIE-10]],BASE[Edad],"&gt;=1",BASE[Edad],"&lt;=4"),COUNTIFS(BASE[Cod.Establecimiento],$O$3,BASE[CODCIE108],ENOS_G3_DA_1_4_AÑOS[[#This Row],[CIE-10]],BASE[Edad],"&gt;=1",BASE[Edad],"&lt;=4"))</f>
        <v>0</v>
      </c>
      <c r="AE189" s="8">
        <f>IF($O$3="(Todas)",COUNTIFS(BASE[CODCIE1010],ENOS_G3_DA_1_4_AÑOS[[#This Row],[CIE-10]],BASE[Edad],"&gt;=1",BASE[Edad],"&lt;=4"),COUNTIFS(BASE[Cod.Establecimiento],$O$3,BASE[CODCIE1010],ENOS_G3_DA_1_4_AÑOS[[#This Row],[CIE-10]],BASE[Edad],"&gt;=1",BASE[Edad],"&lt;=4"))</f>
        <v>0</v>
      </c>
      <c r="AF189" s="9">
        <f>SUM(ENOS_G3_DA_1_4_AÑOS[[#This Row],[D1]:[D6]])</f>
        <v>0</v>
      </c>
    </row>
    <row r="190" spans="1:32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32" t="s">
        <v>261</v>
      </c>
      <c r="Q190" s="8">
        <f>IF($O$3="(Todas)",COUNTIFS(BASE[CODCIE10],ENOS_G3_DA_MENOR_QUE_1_AÑO[[#This Row],[CIE-10]],BASE[Edad],"&lt;1"),COUNTIFS(BASE[Cod.Establecimiento],$O$3,BASE[CODCIE10],ENOS_G3_DA_MENOR_QUE_1_AÑO[[#This Row],[CIE-10]],BASE[Edad],"&lt;1"))</f>
        <v>0</v>
      </c>
      <c r="R190" s="8">
        <f>IF($O$3="(Todas)",COUNTIFS(BASE[CODCIE102],ENOS_G3_DA_MENOR_QUE_1_AÑO[[#This Row],[CIE-10]],BASE[Edad],"&lt;1"),COUNTIFS(BASE[Cod.Establecimiento],$O$3,BASE[CODCIE102],ENOS_G3_DA_MENOR_QUE_1_AÑO[[#This Row],[CIE-10]],BASE[Edad],"&lt;1"))</f>
        <v>0</v>
      </c>
      <c r="S190" s="8">
        <f>IF($O$3="(Todas)",COUNTIFS(BASE[CODCIE104],ENOS_G3_DA_MENOR_QUE_1_AÑO[[#This Row],[CIE-10]],BASE[Edad],"&lt;1"),COUNTIFS(BASE[Cod.Establecimiento],$O$3,BASE[CODCIE104],ENOS_G3_DA_MENOR_QUE_1_AÑO[[#This Row],[CIE-10]],BASE[Edad],"&lt;1"))</f>
        <v>0</v>
      </c>
      <c r="T190" s="8">
        <f>IF($O$3="(Todas)",COUNTIFS(BASE[CODCIE106],ENOS_G3_DA_MENOR_QUE_1_AÑO[[#This Row],[CIE-10]],BASE[Edad],"&lt;1"),COUNTIFS(BASE[Cod.Establecimiento],$O$3,BASE[CODCIE106],ENOS_G3_DA_MENOR_QUE_1_AÑO[[#This Row],[CIE-10]],BASE[Edad],"&lt;1"))</f>
        <v>0</v>
      </c>
      <c r="U190" s="8">
        <f>IF($O$3="(Todas)",COUNTIFS(BASE[CODCIE108],ENOS_G3_DA_MENOR_QUE_1_AÑO[[#This Row],[CIE-10]],BASE[Edad],"&lt;1"),COUNTIFS(BASE[Cod.Establecimiento],$O$3,BASE[CODCIE108],ENOS_G3_DA_MENOR_QUE_1_AÑO[[#This Row],[CIE-10]],BASE[Edad],"&lt;1"))</f>
        <v>0</v>
      </c>
      <c r="V190" s="8">
        <f>IF($O$3="(Todas)",COUNTIFS(BASE[CODCIE1010],ENOS_G3_DA_MENOR_QUE_1_AÑO[[#This Row],[CIE-10]],BASE[Edad],"&lt;1"),COUNTIFS(BASE[Cod.Establecimiento],$O$3,BASE[CODCIE1010],ENOS_G3_DA_MENOR_QUE_1_AÑO[[#This Row],[CIE-10]],BASE[Edad],"&lt;1"))</f>
        <v>0</v>
      </c>
      <c r="W190" s="9">
        <f>SUM(ENOS_G3_DA_MENOR_QUE_1_AÑO[[#This Row],[D1]:[D6]])</f>
        <v>0</v>
      </c>
      <c r="X190" s="2"/>
      <c r="Y190" s="32" t="s">
        <v>261</v>
      </c>
      <c r="Z190" s="8">
        <f>IF($O$3="(Todas)",COUNTIFS(BASE[CODCIE10],ENOS_G3_DA_1_4_AÑOS[[#This Row],[CIE-10]],BASE[Edad],"&gt;=1",BASE[Edad],"&lt;=4"),COUNTIFS(BASE[Cod.Establecimiento],$O$3,BASE[CODCIE10],ENOS_G3_DA_1_4_AÑOS[[#This Row],[CIE-10]],BASE[Edad],"&gt;=1",BASE[Edad],"&lt;=4"))</f>
        <v>0</v>
      </c>
      <c r="AA190" s="8">
        <f>IF($O$3="(Todas)",COUNTIFS(BASE[CODCIE102],ENOS_G3_DA_1_4_AÑOS[[#This Row],[CIE-10]],BASE[Edad],"&gt;=1",BASE[Edad],"&lt;=4"),COUNTIFS(BASE[Cod.Establecimiento],$O$3,BASE[CODCIE102],ENOS_G3_DA_1_4_AÑOS[[#This Row],[CIE-10]],BASE[Edad],"&gt;=1",BASE[Edad],"&lt;=4"))</f>
        <v>0</v>
      </c>
      <c r="AB190" s="8">
        <f>IF($O$3="(Todas)",COUNTIFS(BASE[CODCIE104],ENOS_G3_DA_1_4_AÑOS[[#This Row],[CIE-10]],BASE[Edad],"&gt;=1",BASE[Edad],"&lt;=4"),COUNTIFS(BASE[Cod.Establecimiento],$O$3,BASE[CODCIE104],ENOS_G3_DA_1_4_AÑOS[[#This Row],[CIE-10]],BASE[Edad],"&gt;=1",BASE[Edad],"&lt;=4"))</f>
        <v>0</v>
      </c>
      <c r="AC190" s="8">
        <f>IF($O$3="(Todas)",COUNTIFS(BASE[CODCIE106],ENOS_G3_DA_1_4_AÑOS[[#This Row],[CIE-10]],BASE[Edad],"&gt;=1",BASE[Edad],"&lt;=4"),COUNTIFS(BASE[Cod.Establecimiento],$O$3,BASE[CODCIE106],ENOS_G3_DA_1_4_AÑOS[[#This Row],[CIE-10]],BASE[Edad],"&gt;=1",BASE[Edad],"&lt;=4"))</f>
        <v>0</v>
      </c>
      <c r="AD190" s="8">
        <f>IF($O$3="(Todas)",COUNTIFS(BASE[CODCIE108],ENOS_G3_DA_1_4_AÑOS[[#This Row],[CIE-10]],BASE[Edad],"&gt;=1",BASE[Edad],"&lt;=4"),COUNTIFS(BASE[Cod.Establecimiento],$O$3,BASE[CODCIE108],ENOS_G3_DA_1_4_AÑOS[[#This Row],[CIE-10]],BASE[Edad],"&gt;=1",BASE[Edad],"&lt;=4"))</f>
        <v>0</v>
      </c>
      <c r="AE190" s="8">
        <f>IF($O$3="(Todas)",COUNTIFS(BASE[CODCIE1010],ENOS_G3_DA_1_4_AÑOS[[#This Row],[CIE-10]],BASE[Edad],"&gt;=1",BASE[Edad],"&lt;=4"),COUNTIFS(BASE[Cod.Establecimiento],$O$3,BASE[CODCIE1010],ENOS_G3_DA_1_4_AÑOS[[#This Row],[CIE-10]],BASE[Edad],"&gt;=1",BASE[Edad],"&lt;=4"))</f>
        <v>0</v>
      </c>
      <c r="AF190" s="9">
        <f>SUM(ENOS_G3_DA_1_4_AÑOS[[#This Row],[D1]:[D6]])</f>
        <v>0</v>
      </c>
    </row>
    <row r="191" spans="1:3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32" t="s">
        <v>299</v>
      </c>
      <c r="Q191" s="8">
        <f>IF($O$3="(Todas)",COUNTIFS(BASE[CODCIE10],ENOS_G3_DA_MENOR_QUE_1_AÑO[[#This Row],[CIE-10]],BASE[Edad],"&lt;1"),COUNTIFS(BASE[Cod.Establecimiento],$O$3,BASE[CODCIE10],ENOS_G3_DA_MENOR_QUE_1_AÑO[[#This Row],[CIE-10]],BASE[Edad],"&lt;1"))</f>
        <v>0</v>
      </c>
      <c r="R191" s="8">
        <f>IF($O$3="(Todas)",COUNTIFS(BASE[CODCIE102],ENOS_G3_DA_MENOR_QUE_1_AÑO[[#This Row],[CIE-10]],BASE[Edad],"&lt;1"),COUNTIFS(BASE[Cod.Establecimiento],$O$3,BASE[CODCIE102],ENOS_G3_DA_MENOR_QUE_1_AÑO[[#This Row],[CIE-10]],BASE[Edad],"&lt;1"))</f>
        <v>0</v>
      </c>
      <c r="S191" s="8">
        <f>IF($O$3="(Todas)",COUNTIFS(BASE[CODCIE104],ENOS_G3_DA_MENOR_QUE_1_AÑO[[#This Row],[CIE-10]],BASE[Edad],"&lt;1"),COUNTIFS(BASE[Cod.Establecimiento],$O$3,BASE[CODCIE104],ENOS_G3_DA_MENOR_QUE_1_AÑO[[#This Row],[CIE-10]],BASE[Edad],"&lt;1"))</f>
        <v>0</v>
      </c>
      <c r="T191" s="8">
        <f>IF($O$3="(Todas)",COUNTIFS(BASE[CODCIE106],ENOS_G3_DA_MENOR_QUE_1_AÑO[[#This Row],[CIE-10]],BASE[Edad],"&lt;1"),COUNTIFS(BASE[Cod.Establecimiento],$O$3,BASE[CODCIE106],ENOS_G3_DA_MENOR_QUE_1_AÑO[[#This Row],[CIE-10]],BASE[Edad],"&lt;1"))</f>
        <v>0</v>
      </c>
      <c r="U191" s="8">
        <f>IF($O$3="(Todas)",COUNTIFS(BASE[CODCIE108],ENOS_G3_DA_MENOR_QUE_1_AÑO[[#This Row],[CIE-10]],BASE[Edad],"&lt;1"),COUNTIFS(BASE[Cod.Establecimiento],$O$3,BASE[CODCIE108],ENOS_G3_DA_MENOR_QUE_1_AÑO[[#This Row],[CIE-10]],BASE[Edad],"&lt;1"))</f>
        <v>0</v>
      </c>
      <c r="V191" s="8">
        <f>IF($O$3="(Todas)",COUNTIFS(BASE[CODCIE1010],ENOS_G3_DA_MENOR_QUE_1_AÑO[[#This Row],[CIE-10]],BASE[Edad],"&lt;1"),COUNTIFS(BASE[Cod.Establecimiento],$O$3,BASE[CODCIE1010],ENOS_G3_DA_MENOR_QUE_1_AÑO[[#This Row],[CIE-10]],BASE[Edad],"&lt;1"))</f>
        <v>0</v>
      </c>
      <c r="W191" s="9">
        <f>SUM(ENOS_G3_DA_MENOR_QUE_1_AÑO[[#This Row],[D1]:[D6]])</f>
        <v>0</v>
      </c>
      <c r="X191" s="2"/>
      <c r="Y191" s="32" t="s">
        <v>299</v>
      </c>
      <c r="Z191" s="8">
        <f>IF($O$3="(Todas)",COUNTIFS(BASE[CODCIE10],ENOS_G3_DA_1_4_AÑOS[[#This Row],[CIE-10]],BASE[Edad],"&gt;=1",BASE[Edad],"&lt;=4"),COUNTIFS(BASE[Cod.Establecimiento],$O$3,BASE[CODCIE10],ENOS_G3_DA_1_4_AÑOS[[#This Row],[CIE-10]],BASE[Edad],"&gt;=1",BASE[Edad],"&lt;=4"))</f>
        <v>0</v>
      </c>
      <c r="AA191" s="8">
        <f>IF($O$3="(Todas)",COUNTIFS(BASE[CODCIE102],ENOS_G3_DA_1_4_AÑOS[[#This Row],[CIE-10]],BASE[Edad],"&gt;=1",BASE[Edad],"&lt;=4"),COUNTIFS(BASE[Cod.Establecimiento],$O$3,BASE[CODCIE102],ENOS_G3_DA_1_4_AÑOS[[#This Row],[CIE-10]],BASE[Edad],"&gt;=1",BASE[Edad],"&lt;=4"))</f>
        <v>0</v>
      </c>
      <c r="AB191" s="8">
        <f>IF($O$3="(Todas)",COUNTIFS(BASE[CODCIE104],ENOS_G3_DA_1_4_AÑOS[[#This Row],[CIE-10]],BASE[Edad],"&gt;=1",BASE[Edad],"&lt;=4"),COUNTIFS(BASE[Cod.Establecimiento],$O$3,BASE[CODCIE104],ENOS_G3_DA_1_4_AÑOS[[#This Row],[CIE-10]],BASE[Edad],"&gt;=1",BASE[Edad],"&lt;=4"))</f>
        <v>0</v>
      </c>
      <c r="AC191" s="8">
        <f>IF($O$3="(Todas)",COUNTIFS(BASE[CODCIE106],ENOS_G3_DA_1_4_AÑOS[[#This Row],[CIE-10]],BASE[Edad],"&gt;=1",BASE[Edad],"&lt;=4"),COUNTIFS(BASE[Cod.Establecimiento],$O$3,BASE[CODCIE106],ENOS_G3_DA_1_4_AÑOS[[#This Row],[CIE-10]],BASE[Edad],"&gt;=1",BASE[Edad],"&lt;=4"))</f>
        <v>0</v>
      </c>
      <c r="AD191" s="8">
        <f>IF($O$3="(Todas)",COUNTIFS(BASE[CODCIE108],ENOS_G3_DA_1_4_AÑOS[[#This Row],[CIE-10]],BASE[Edad],"&gt;=1",BASE[Edad],"&lt;=4"),COUNTIFS(BASE[Cod.Establecimiento],$O$3,BASE[CODCIE108],ENOS_G3_DA_1_4_AÑOS[[#This Row],[CIE-10]],BASE[Edad],"&gt;=1",BASE[Edad],"&lt;=4"))</f>
        <v>0</v>
      </c>
      <c r="AE191" s="8">
        <f>IF($O$3="(Todas)",COUNTIFS(BASE[CODCIE1010],ENOS_G3_DA_1_4_AÑOS[[#This Row],[CIE-10]],BASE[Edad],"&gt;=1",BASE[Edad],"&lt;=4"),COUNTIFS(BASE[Cod.Establecimiento],$O$3,BASE[CODCIE1010],ENOS_G3_DA_1_4_AÑOS[[#This Row],[CIE-10]],BASE[Edad],"&gt;=1",BASE[Edad],"&lt;=4"))</f>
        <v>0</v>
      </c>
      <c r="AF191" s="9">
        <f>SUM(ENOS_G3_DA_1_4_AÑOS[[#This Row],[D1]:[D6]])</f>
        <v>0</v>
      </c>
    </row>
    <row r="192" spans="1:3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32" t="s">
        <v>325</v>
      </c>
      <c r="Q192" s="8">
        <f>IF($O$3="(Todas)",COUNTIFS(BASE[CODCIE10],ENOS_G3_DA_MENOR_QUE_1_AÑO[[#This Row],[CIE-10]],BASE[Edad],"&lt;1"),COUNTIFS(BASE[Cod.Establecimiento],$O$3,BASE[CODCIE10],ENOS_G3_DA_MENOR_QUE_1_AÑO[[#This Row],[CIE-10]],BASE[Edad],"&lt;1"))</f>
        <v>0</v>
      </c>
      <c r="R192" s="8">
        <f>IF($O$3="(Todas)",COUNTIFS(BASE[CODCIE102],ENOS_G3_DA_MENOR_QUE_1_AÑO[[#This Row],[CIE-10]],BASE[Edad],"&lt;1"),COUNTIFS(BASE[Cod.Establecimiento],$O$3,BASE[CODCIE102],ENOS_G3_DA_MENOR_QUE_1_AÑO[[#This Row],[CIE-10]],BASE[Edad],"&lt;1"))</f>
        <v>0</v>
      </c>
      <c r="S192" s="8">
        <f>IF($O$3="(Todas)",COUNTIFS(BASE[CODCIE104],ENOS_G3_DA_MENOR_QUE_1_AÑO[[#This Row],[CIE-10]],BASE[Edad],"&lt;1"),COUNTIFS(BASE[Cod.Establecimiento],$O$3,BASE[CODCIE104],ENOS_G3_DA_MENOR_QUE_1_AÑO[[#This Row],[CIE-10]],BASE[Edad],"&lt;1"))</f>
        <v>0</v>
      </c>
      <c r="T192" s="8">
        <f>IF($O$3="(Todas)",COUNTIFS(BASE[CODCIE106],ENOS_G3_DA_MENOR_QUE_1_AÑO[[#This Row],[CIE-10]],BASE[Edad],"&lt;1"),COUNTIFS(BASE[Cod.Establecimiento],$O$3,BASE[CODCIE106],ENOS_G3_DA_MENOR_QUE_1_AÑO[[#This Row],[CIE-10]],BASE[Edad],"&lt;1"))</f>
        <v>0</v>
      </c>
      <c r="U192" s="8">
        <f>IF($O$3="(Todas)",COUNTIFS(BASE[CODCIE108],ENOS_G3_DA_MENOR_QUE_1_AÑO[[#This Row],[CIE-10]],BASE[Edad],"&lt;1"),COUNTIFS(BASE[Cod.Establecimiento],$O$3,BASE[CODCIE108],ENOS_G3_DA_MENOR_QUE_1_AÑO[[#This Row],[CIE-10]],BASE[Edad],"&lt;1"))</f>
        <v>0</v>
      </c>
      <c r="V192" s="8">
        <f>IF($O$3="(Todas)",COUNTIFS(BASE[CODCIE1010],ENOS_G3_DA_MENOR_QUE_1_AÑO[[#This Row],[CIE-10]],BASE[Edad],"&lt;1"),COUNTIFS(BASE[Cod.Establecimiento],$O$3,BASE[CODCIE1010],ENOS_G3_DA_MENOR_QUE_1_AÑO[[#This Row],[CIE-10]],BASE[Edad],"&lt;1"))</f>
        <v>0</v>
      </c>
      <c r="W192" s="9">
        <f>SUM(ENOS_G3_DA_MENOR_QUE_1_AÑO[[#This Row],[D1]:[D6]])</f>
        <v>0</v>
      </c>
      <c r="X192" s="2"/>
      <c r="Y192" s="32" t="s">
        <v>325</v>
      </c>
      <c r="Z192" s="8">
        <f>IF($O$3="(Todas)",COUNTIFS(BASE[CODCIE10],ENOS_G3_DA_1_4_AÑOS[[#This Row],[CIE-10]],BASE[Edad],"&gt;=1",BASE[Edad],"&lt;=4"),COUNTIFS(BASE[Cod.Establecimiento],$O$3,BASE[CODCIE10],ENOS_G3_DA_1_4_AÑOS[[#This Row],[CIE-10]],BASE[Edad],"&gt;=1",BASE[Edad],"&lt;=4"))</f>
        <v>0</v>
      </c>
      <c r="AA192" s="8">
        <f>IF($O$3="(Todas)",COUNTIFS(BASE[CODCIE102],ENOS_G3_DA_1_4_AÑOS[[#This Row],[CIE-10]],BASE[Edad],"&gt;=1",BASE[Edad],"&lt;=4"),COUNTIFS(BASE[Cod.Establecimiento],$O$3,BASE[CODCIE102],ENOS_G3_DA_1_4_AÑOS[[#This Row],[CIE-10]],BASE[Edad],"&gt;=1",BASE[Edad],"&lt;=4"))</f>
        <v>0</v>
      </c>
      <c r="AB192" s="8">
        <f>IF($O$3="(Todas)",COUNTIFS(BASE[CODCIE104],ENOS_G3_DA_1_4_AÑOS[[#This Row],[CIE-10]],BASE[Edad],"&gt;=1",BASE[Edad],"&lt;=4"),COUNTIFS(BASE[Cod.Establecimiento],$O$3,BASE[CODCIE104],ENOS_G3_DA_1_4_AÑOS[[#This Row],[CIE-10]],BASE[Edad],"&gt;=1",BASE[Edad],"&lt;=4"))</f>
        <v>0</v>
      </c>
      <c r="AC192" s="8">
        <f>IF($O$3="(Todas)",COUNTIFS(BASE[CODCIE106],ENOS_G3_DA_1_4_AÑOS[[#This Row],[CIE-10]],BASE[Edad],"&gt;=1",BASE[Edad],"&lt;=4"),COUNTIFS(BASE[Cod.Establecimiento],$O$3,BASE[CODCIE106],ENOS_G3_DA_1_4_AÑOS[[#This Row],[CIE-10]],BASE[Edad],"&gt;=1",BASE[Edad],"&lt;=4"))</f>
        <v>0</v>
      </c>
      <c r="AD192" s="8">
        <f>IF($O$3="(Todas)",COUNTIFS(BASE[CODCIE108],ENOS_G3_DA_1_4_AÑOS[[#This Row],[CIE-10]],BASE[Edad],"&gt;=1",BASE[Edad],"&lt;=4"),COUNTIFS(BASE[Cod.Establecimiento],$O$3,BASE[CODCIE108],ENOS_G3_DA_1_4_AÑOS[[#This Row],[CIE-10]],BASE[Edad],"&gt;=1",BASE[Edad],"&lt;=4"))</f>
        <v>0</v>
      </c>
      <c r="AE192" s="8">
        <f>IF($O$3="(Todas)",COUNTIFS(BASE[CODCIE1010],ENOS_G3_DA_1_4_AÑOS[[#This Row],[CIE-10]],BASE[Edad],"&gt;=1",BASE[Edad],"&lt;=4"),COUNTIFS(BASE[Cod.Establecimiento],$O$3,BASE[CODCIE1010],ENOS_G3_DA_1_4_AÑOS[[#This Row],[CIE-10]],BASE[Edad],"&gt;=1",BASE[Edad],"&lt;=4"))</f>
        <v>0</v>
      </c>
      <c r="AF192" s="9">
        <f>SUM(ENOS_G3_DA_1_4_AÑOS[[#This Row],[D1]:[D6]])</f>
        <v>0</v>
      </c>
    </row>
    <row r="193" spans="1:3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32" t="s">
        <v>326</v>
      </c>
      <c r="Q193" s="8">
        <f>IF($O$3="(Todas)",COUNTIFS(BASE[CODCIE10],ENOS_G3_DA_MENOR_QUE_1_AÑO[[#This Row],[CIE-10]],BASE[Edad],"&lt;1"),COUNTIFS(BASE[Cod.Establecimiento],$O$3,BASE[CODCIE10],ENOS_G3_DA_MENOR_QUE_1_AÑO[[#This Row],[CIE-10]],BASE[Edad],"&lt;1"))</f>
        <v>0</v>
      </c>
      <c r="R193" s="8">
        <f>IF($O$3="(Todas)",COUNTIFS(BASE[CODCIE102],ENOS_G3_DA_MENOR_QUE_1_AÑO[[#This Row],[CIE-10]],BASE[Edad],"&lt;1"),COUNTIFS(BASE[Cod.Establecimiento],$O$3,BASE[CODCIE102],ENOS_G3_DA_MENOR_QUE_1_AÑO[[#This Row],[CIE-10]],BASE[Edad],"&lt;1"))</f>
        <v>0</v>
      </c>
      <c r="S193" s="8">
        <f>IF($O$3="(Todas)",COUNTIFS(BASE[CODCIE104],ENOS_G3_DA_MENOR_QUE_1_AÑO[[#This Row],[CIE-10]],BASE[Edad],"&lt;1"),COUNTIFS(BASE[Cod.Establecimiento],$O$3,BASE[CODCIE104],ENOS_G3_DA_MENOR_QUE_1_AÑO[[#This Row],[CIE-10]],BASE[Edad],"&lt;1"))</f>
        <v>0</v>
      </c>
      <c r="T193" s="8">
        <f>IF($O$3="(Todas)",COUNTIFS(BASE[CODCIE106],ENOS_G3_DA_MENOR_QUE_1_AÑO[[#This Row],[CIE-10]],BASE[Edad],"&lt;1"),COUNTIFS(BASE[Cod.Establecimiento],$O$3,BASE[CODCIE106],ENOS_G3_DA_MENOR_QUE_1_AÑO[[#This Row],[CIE-10]],BASE[Edad],"&lt;1"))</f>
        <v>0</v>
      </c>
      <c r="U193" s="8">
        <f>IF($O$3="(Todas)",COUNTIFS(BASE[CODCIE108],ENOS_G3_DA_MENOR_QUE_1_AÑO[[#This Row],[CIE-10]],BASE[Edad],"&lt;1"),COUNTIFS(BASE[Cod.Establecimiento],$O$3,BASE[CODCIE108],ENOS_G3_DA_MENOR_QUE_1_AÑO[[#This Row],[CIE-10]],BASE[Edad],"&lt;1"))</f>
        <v>0</v>
      </c>
      <c r="V193" s="8">
        <f>IF($O$3="(Todas)",COUNTIFS(BASE[CODCIE1010],ENOS_G3_DA_MENOR_QUE_1_AÑO[[#This Row],[CIE-10]],BASE[Edad],"&lt;1"),COUNTIFS(BASE[Cod.Establecimiento],$O$3,BASE[CODCIE1010],ENOS_G3_DA_MENOR_QUE_1_AÑO[[#This Row],[CIE-10]],BASE[Edad],"&lt;1"))</f>
        <v>0</v>
      </c>
      <c r="W193" s="9">
        <f>SUM(ENOS_G3_DA_MENOR_QUE_1_AÑO[[#This Row],[D1]:[D6]])</f>
        <v>0</v>
      </c>
      <c r="X193" s="2"/>
      <c r="Y193" s="32" t="s">
        <v>326</v>
      </c>
      <c r="Z193" s="8">
        <f>IF($O$3="(Todas)",COUNTIFS(BASE[CODCIE10],ENOS_G3_DA_1_4_AÑOS[[#This Row],[CIE-10]],BASE[Edad],"&gt;=1",BASE[Edad],"&lt;=4"),COUNTIFS(BASE[Cod.Establecimiento],$O$3,BASE[CODCIE10],ENOS_G3_DA_1_4_AÑOS[[#This Row],[CIE-10]],BASE[Edad],"&gt;=1",BASE[Edad],"&lt;=4"))</f>
        <v>0</v>
      </c>
      <c r="AA193" s="8">
        <f>IF($O$3="(Todas)",COUNTIFS(BASE[CODCIE102],ENOS_G3_DA_1_4_AÑOS[[#This Row],[CIE-10]],BASE[Edad],"&gt;=1",BASE[Edad],"&lt;=4"),COUNTIFS(BASE[Cod.Establecimiento],$O$3,BASE[CODCIE102],ENOS_G3_DA_1_4_AÑOS[[#This Row],[CIE-10]],BASE[Edad],"&gt;=1",BASE[Edad],"&lt;=4"))</f>
        <v>0</v>
      </c>
      <c r="AB193" s="8">
        <f>IF($O$3="(Todas)",COUNTIFS(BASE[CODCIE104],ENOS_G3_DA_1_4_AÑOS[[#This Row],[CIE-10]],BASE[Edad],"&gt;=1",BASE[Edad],"&lt;=4"),COUNTIFS(BASE[Cod.Establecimiento],$O$3,BASE[CODCIE104],ENOS_G3_DA_1_4_AÑOS[[#This Row],[CIE-10]],BASE[Edad],"&gt;=1",BASE[Edad],"&lt;=4"))</f>
        <v>0</v>
      </c>
      <c r="AC193" s="8">
        <f>IF($O$3="(Todas)",COUNTIFS(BASE[CODCIE106],ENOS_G3_DA_1_4_AÑOS[[#This Row],[CIE-10]],BASE[Edad],"&gt;=1",BASE[Edad],"&lt;=4"),COUNTIFS(BASE[Cod.Establecimiento],$O$3,BASE[CODCIE106],ENOS_G3_DA_1_4_AÑOS[[#This Row],[CIE-10]],BASE[Edad],"&gt;=1",BASE[Edad],"&lt;=4"))</f>
        <v>0</v>
      </c>
      <c r="AD193" s="8">
        <f>IF($O$3="(Todas)",COUNTIFS(BASE[CODCIE108],ENOS_G3_DA_1_4_AÑOS[[#This Row],[CIE-10]],BASE[Edad],"&gt;=1",BASE[Edad],"&lt;=4"),COUNTIFS(BASE[Cod.Establecimiento],$O$3,BASE[CODCIE108],ENOS_G3_DA_1_4_AÑOS[[#This Row],[CIE-10]],BASE[Edad],"&gt;=1",BASE[Edad],"&lt;=4"))</f>
        <v>0</v>
      </c>
      <c r="AE193" s="8">
        <f>IF($O$3="(Todas)",COUNTIFS(BASE[CODCIE1010],ENOS_G3_DA_1_4_AÑOS[[#This Row],[CIE-10]],BASE[Edad],"&gt;=1",BASE[Edad],"&lt;=4"),COUNTIFS(BASE[Cod.Establecimiento],$O$3,BASE[CODCIE1010],ENOS_G3_DA_1_4_AÑOS[[#This Row],[CIE-10]],BASE[Edad],"&gt;=1",BASE[Edad],"&lt;=4"))</f>
        <v>0</v>
      </c>
      <c r="AF193" s="9">
        <f>SUM(ENOS_G3_DA_1_4_AÑOS[[#This Row],[D1]:[D6]])</f>
        <v>0</v>
      </c>
    </row>
    <row r="194" spans="1:3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32" t="s">
        <v>327</v>
      </c>
      <c r="Q194" s="8">
        <f>IF($O$3="(Todas)",COUNTIFS(BASE[CODCIE10],ENOS_G3_DA_MENOR_QUE_1_AÑO[[#This Row],[CIE-10]],BASE[Edad],"&lt;1"),COUNTIFS(BASE[Cod.Establecimiento],$O$3,BASE[CODCIE10],ENOS_G3_DA_MENOR_QUE_1_AÑO[[#This Row],[CIE-10]],BASE[Edad],"&lt;1"))</f>
        <v>0</v>
      </c>
      <c r="R194" s="8">
        <f>IF($O$3="(Todas)",COUNTIFS(BASE[CODCIE102],ENOS_G3_DA_MENOR_QUE_1_AÑO[[#This Row],[CIE-10]],BASE[Edad],"&lt;1"),COUNTIFS(BASE[Cod.Establecimiento],$O$3,BASE[CODCIE102],ENOS_G3_DA_MENOR_QUE_1_AÑO[[#This Row],[CIE-10]],BASE[Edad],"&lt;1"))</f>
        <v>0</v>
      </c>
      <c r="S194" s="8">
        <f>IF($O$3="(Todas)",COUNTIFS(BASE[CODCIE104],ENOS_G3_DA_MENOR_QUE_1_AÑO[[#This Row],[CIE-10]],BASE[Edad],"&lt;1"),COUNTIFS(BASE[Cod.Establecimiento],$O$3,BASE[CODCIE104],ENOS_G3_DA_MENOR_QUE_1_AÑO[[#This Row],[CIE-10]],BASE[Edad],"&lt;1"))</f>
        <v>0</v>
      </c>
      <c r="T194" s="8">
        <f>IF($O$3="(Todas)",COUNTIFS(BASE[CODCIE106],ENOS_G3_DA_MENOR_QUE_1_AÑO[[#This Row],[CIE-10]],BASE[Edad],"&lt;1"),COUNTIFS(BASE[Cod.Establecimiento],$O$3,BASE[CODCIE106],ENOS_G3_DA_MENOR_QUE_1_AÑO[[#This Row],[CIE-10]],BASE[Edad],"&lt;1"))</f>
        <v>0</v>
      </c>
      <c r="U194" s="8">
        <f>IF($O$3="(Todas)",COUNTIFS(BASE[CODCIE108],ENOS_G3_DA_MENOR_QUE_1_AÑO[[#This Row],[CIE-10]],BASE[Edad],"&lt;1"),COUNTIFS(BASE[Cod.Establecimiento],$O$3,BASE[CODCIE108],ENOS_G3_DA_MENOR_QUE_1_AÑO[[#This Row],[CIE-10]],BASE[Edad],"&lt;1"))</f>
        <v>0</v>
      </c>
      <c r="V194" s="8">
        <f>IF($O$3="(Todas)",COUNTIFS(BASE[CODCIE1010],ENOS_G3_DA_MENOR_QUE_1_AÑO[[#This Row],[CIE-10]],BASE[Edad],"&lt;1"),COUNTIFS(BASE[Cod.Establecimiento],$O$3,BASE[CODCIE1010],ENOS_G3_DA_MENOR_QUE_1_AÑO[[#This Row],[CIE-10]],BASE[Edad],"&lt;1"))</f>
        <v>0</v>
      </c>
      <c r="W194" s="9">
        <f>SUM(ENOS_G3_DA_MENOR_QUE_1_AÑO[[#This Row],[D1]:[D6]])</f>
        <v>0</v>
      </c>
      <c r="X194" s="2"/>
      <c r="Y194" s="32" t="s">
        <v>327</v>
      </c>
      <c r="Z194" s="8">
        <f>IF($O$3="(Todas)",COUNTIFS(BASE[CODCIE10],ENOS_G3_DA_1_4_AÑOS[[#This Row],[CIE-10]],BASE[Edad],"&gt;=1",BASE[Edad],"&lt;=4"),COUNTIFS(BASE[Cod.Establecimiento],$O$3,BASE[CODCIE10],ENOS_G3_DA_1_4_AÑOS[[#This Row],[CIE-10]],BASE[Edad],"&gt;=1",BASE[Edad],"&lt;=4"))</f>
        <v>0</v>
      </c>
      <c r="AA194" s="8">
        <f>IF($O$3="(Todas)",COUNTIFS(BASE[CODCIE102],ENOS_G3_DA_1_4_AÑOS[[#This Row],[CIE-10]],BASE[Edad],"&gt;=1",BASE[Edad],"&lt;=4"),COUNTIFS(BASE[Cod.Establecimiento],$O$3,BASE[CODCIE102],ENOS_G3_DA_1_4_AÑOS[[#This Row],[CIE-10]],BASE[Edad],"&gt;=1",BASE[Edad],"&lt;=4"))</f>
        <v>0</v>
      </c>
      <c r="AB194" s="8">
        <f>IF($O$3="(Todas)",COUNTIFS(BASE[CODCIE104],ENOS_G3_DA_1_4_AÑOS[[#This Row],[CIE-10]],BASE[Edad],"&gt;=1",BASE[Edad],"&lt;=4"),COUNTIFS(BASE[Cod.Establecimiento],$O$3,BASE[CODCIE104],ENOS_G3_DA_1_4_AÑOS[[#This Row],[CIE-10]],BASE[Edad],"&gt;=1",BASE[Edad],"&lt;=4"))</f>
        <v>0</v>
      </c>
      <c r="AC194" s="8">
        <f>IF($O$3="(Todas)",COUNTIFS(BASE[CODCIE106],ENOS_G3_DA_1_4_AÑOS[[#This Row],[CIE-10]],BASE[Edad],"&gt;=1",BASE[Edad],"&lt;=4"),COUNTIFS(BASE[Cod.Establecimiento],$O$3,BASE[CODCIE106],ENOS_G3_DA_1_4_AÑOS[[#This Row],[CIE-10]],BASE[Edad],"&gt;=1",BASE[Edad],"&lt;=4"))</f>
        <v>0</v>
      </c>
      <c r="AD194" s="8">
        <f>IF($O$3="(Todas)",COUNTIFS(BASE[CODCIE108],ENOS_G3_DA_1_4_AÑOS[[#This Row],[CIE-10]],BASE[Edad],"&gt;=1",BASE[Edad],"&lt;=4"),COUNTIFS(BASE[Cod.Establecimiento],$O$3,BASE[CODCIE108],ENOS_G3_DA_1_4_AÑOS[[#This Row],[CIE-10]],BASE[Edad],"&gt;=1",BASE[Edad],"&lt;=4"))</f>
        <v>0</v>
      </c>
      <c r="AE194" s="8">
        <f>IF($O$3="(Todas)",COUNTIFS(BASE[CODCIE1010],ENOS_G3_DA_1_4_AÑOS[[#This Row],[CIE-10]],BASE[Edad],"&gt;=1",BASE[Edad],"&lt;=4"),COUNTIFS(BASE[Cod.Establecimiento],$O$3,BASE[CODCIE1010],ENOS_G3_DA_1_4_AÑOS[[#This Row],[CIE-10]],BASE[Edad],"&gt;=1",BASE[Edad],"&lt;=4"))</f>
        <v>0</v>
      </c>
      <c r="AF194" s="9">
        <f>SUM(ENOS_G3_DA_1_4_AÑOS[[#This Row],[D1]:[D6]])</f>
        <v>0</v>
      </c>
    </row>
    <row r="195" spans="1:32" ht="18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spans="1:32" ht="18" customHeight="1" thickBo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80" t="s">
        <v>300</v>
      </c>
      <c r="Q196" s="81"/>
      <c r="R196" s="81"/>
      <c r="S196" s="81"/>
      <c r="T196" s="81"/>
      <c r="U196" s="81"/>
      <c r="V196" s="81"/>
      <c r="W196" s="81"/>
      <c r="X196" s="2"/>
      <c r="Y196" s="80" t="s">
        <v>301</v>
      </c>
      <c r="Z196" s="81"/>
      <c r="AA196" s="81"/>
      <c r="AB196" s="81"/>
      <c r="AC196" s="81"/>
      <c r="AD196" s="81"/>
      <c r="AE196" s="81"/>
      <c r="AF196" s="81"/>
    </row>
    <row r="197" spans="1:32" ht="15.75" customHeight="1" thickTop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 t="s">
        <v>93</v>
      </c>
      <c r="Q197" s="8" t="s">
        <v>94</v>
      </c>
      <c r="R197" s="8" t="s">
        <v>95</v>
      </c>
      <c r="S197" s="8" t="s">
        <v>96</v>
      </c>
      <c r="T197" s="8" t="s">
        <v>97</v>
      </c>
      <c r="U197" s="8" t="s">
        <v>98</v>
      </c>
      <c r="V197" s="8" t="s">
        <v>99</v>
      </c>
      <c r="W197" s="10" t="s">
        <v>100</v>
      </c>
      <c r="X197" s="2"/>
      <c r="Y197" s="2" t="s">
        <v>93</v>
      </c>
      <c r="Z197" s="8" t="s">
        <v>94</v>
      </c>
      <c r="AA197" s="8" t="s">
        <v>95</v>
      </c>
      <c r="AB197" s="8" t="s">
        <v>96</v>
      </c>
      <c r="AC197" s="8" t="s">
        <v>97</v>
      </c>
      <c r="AD197" s="8" t="s">
        <v>98</v>
      </c>
      <c r="AE197" s="8" t="s">
        <v>99</v>
      </c>
      <c r="AF197" s="10" t="s">
        <v>100</v>
      </c>
    </row>
    <row r="198" spans="1:3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32" t="s">
        <v>298</v>
      </c>
      <c r="Q198" s="8">
        <f>IF($O$3="(Todas)",COUNTIFS(BASE[CODCIE10],ENOS_G3_DA_5_19_AÑOS[[#This Row],[CIE-10]],BASE[Edad],"&gt;=5",BASE[Edad],"&lt;=19"),COUNTIFS(BASE[Cod.Establecimiento],$O$3,BASE[CODCIE10],ENOS_G3_DA_5_19_AÑOS[[#This Row],[CIE-10]],BASE[Edad],"&gt;=5",BASE[Edad],"&lt;=19"))</f>
        <v>0</v>
      </c>
      <c r="R198" s="8">
        <f>IF($O$3="(Todas)",COUNTIFS(BASE[CODCIE102],ENOS_G3_DA_5_19_AÑOS[[#This Row],[CIE-10]],BASE[Edad],"&gt;=5",BASE[Edad],"&lt;=19"),COUNTIFS(BASE[Cod.Establecimiento],$O$3,BASE[CODCIE102],ENOS_G3_DA_5_19_AÑOS[[#This Row],[CIE-10]],BASE[Edad],"&gt;=5",BASE[Edad],"&lt;=19"))</f>
        <v>0</v>
      </c>
      <c r="S198" s="8">
        <f>IF($O$3="(Todas)",COUNTIFS(BASE[CODCIE104],ENOS_G3_DA_5_19_AÑOS[[#This Row],[CIE-10]],BASE[Edad],"&gt;=5",BASE[Edad],"&lt;=19"),COUNTIFS(BASE[Cod.Establecimiento],$O$3,BASE[CODCIE104],ENOS_G3_DA_5_19_AÑOS[[#This Row],[CIE-10]],BASE[Edad],"&gt;=5",BASE[Edad],"&lt;=19"))</f>
        <v>0</v>
      </c>
      <c r="T198" s="8">
        <f>IF($O$3="(Todas)",COUNTIFS(BASE[CODCIE106],ENOS_G3_DA_5_19_AÑOS[[#This Row],[CIE-10]],BASE[Edad],"&gt;=5",BASE[Edad],"&lt;=19"),COUNTIFS(BASE[Cod.Establecimiento],$O$3,BASE[CODCIE106],ENOS_G3_DA_5_19_AÑOS[[#This Row],[CIE-10]],BASE[Edad],"&gt;=5",BASE[Edad],"&lt;=19"))</f>
        <v>0</v>
      </c>
      <c r="U198" s="8">
        <f>IF($O$3="(Todas)",COUNTIFS(BASE[CODCIE108],ENOS_G3_DA_5_19_AÑOS[[#This Row],[CIE-10]],BASE[Edad],"&gt;=5",BASE[Edad],"&lt;=19"),COUNTIFS(BASE[Cod.Establecimiento],$O$3,BASE[CODCIE108],ENOS_G3_DA_5_19_AÑOS[[#This Row],[CIE-10]],BASE[Edad],"&gt;=5",BASE[Edad],"&lt;=19"))</f>
        <v>0</v>
      </c>
      <c r="V198" s="8">
        <f>IF($O$3="(Todas)",COUNTIFS(BASE[CODCIE1010],ENOS_G3_DA_5_19_AÑOS[[#This Row],[CIE-10]],BASE[Edad],"&gt;=5",BASE[Edad],"&lt;=19"),COUNTIFS(BASE[Cod.Establecimiento],$O$3,BASE[CODCIE1010],ENOS_G3_DA_5_19_AÑOS[[#This Row],[CIE-10]],BASE[Edad],"&gt;=5",BASE[Edad],"&lt;=19"))</f>
        <v>0</v>
      </c>
      <c r="W198" s="9">
        <f>SUM(ENOS_G3_DA_5_19_AÑOS[[#This Row],[D1]:[D6]])</f>
        <v>0</v>
      </c>
      <c r="X198" s="2"/>
      <c r="Y198" s="32" t="s">
        <v>298</v>
      </c>
      <c r="Z198" s="8">
        <f>IF($O$3="(Todas)",COUNTIFS(BASE[CODCIE10],ENOS_G3_DA_20_59_AÑOS[[#This Row],[CIE-10]],BASE[Edad],"&gt;=20",BASE[Edad],"&lt;=59"),COUNTIFS(BASE[Cod.Establecimiento],$O$3,BASE[CODCIE10],ENOS_G3_DA_20_59_AÑOS[[#This Row],[CIE-10]],BASE[Edad],"&gt;=20",BASE[Edad],"&lt;=59"))</f>
        <v>0</v>
      </c>
      <c r="AA198" s="8">
        <f>IF($O$3="(Todas)",COUNTIFS(BASE[CODCIE102],ENOS_G3_DA_20_59_AÑOS[[#This Row],[CIE-10]],BASE[Edad],"&gt;=20",BASE[Edad],"&lt;=59"),COUNTIFS(BASE[Cod.Establecimiento],$O$3,BASE[CODCIE102],ENOS_G3_DA_20_59_AÑOS[[#This Row],[CIE-10]],BASE[Edad],"&gt;=20",BASE[Edad],"&lt;=59"))</f>
        <v>0</v>
      </c>
      <c r="AB198" s="8">
        <f>IF($O$3="(Todas)",COUNTIFS(BASE[CODCIE104],ENOS_G3_DA_20_59_AÑOS[[#This Row],[CIE-10]],BASE[Edad],"&gt;=20",BASE[Edad],"&lt;=59"),COUNTIFS(BASE[Cod.Establecimiento],$O$3,BASE[CODCIE104],ENOS_G3_DA_20_59_AÑOS[[#This Row],[CIE-10]],BASE[Edad],"&gt;=20",BASE[Edad],"&lt;=59"))</f>
        <v>0</v>
      </c>
      <c r="AC198" s="8">
        <f>IF($O$3="(Todas)",COUNTIFS(BASE[CODCIE106],ENOS_G3_DA_20_59_AÑOS[[#This Row],[CIE-10]],BASE[Edad],"&gt;=20",BASE[Edad],"&lt;=59"),COUNTIFS(BASE[Cod.Establecimiento],$O$3,BASE[CODCIE106],ENOS_G3_DA_20_59_AÑOS[[#This Row],[CIE-10]],BASE[Edad],"&gt;=20",BASE[Edad],"&lt;=59"))</f>
        <v>0</v>
      </c>
      <c r="AD198" s="8">
        <f>IF($O$3="(Todas)",COUNTIFS(BASE[CODCIE108],ENOS_G3_DA_20_59_AÑOS[[#This Row],[CIE-10]],BASE[Edad],"&gt;=20",BASE[Edad],"&lt;=59"),COUNTIFS(BASE[Cod.Establecimiento],$O$3,BASE[CODCIE108],ENOS_G3_DA_20_59_AÑOS[[#This Row],[CIE-10]],BASE[Edad],"&gt;=20",BASE[Edad],"&lt;=59"))</f>
        <v>0</v>
      </c>
      <c r="AE198" s="8">
        <f>IF($O$3="(Todas)",COUNTIFS(BASE[CODCIE1010],ENOS_G3_DA_20_59_AÑOS[[#This Row],[CIE-10]],BASE[Edad],"&gt;=20",BASE[Edad],"&lt;=59"),COUNTIFS(BASE[Cod.Establecimiento],$O$3,BASE[CODCIE1010],ENOS_G3_DA_20_59_AÑOS[[#This Row],[CIE-10]],BASE[Edad],"&gt;=20",BASE[Edad],"&lt;=59"))</f>
        <v>0</v>
      </c>
      <c r="AF198" s="9">
        <f>SUM(ENOS_G3_DA_20_59_AÑOS[[#This Row],[D1]:[D6]])</f>
        <v>0</v>
      </c>
    </row>
    <row r="199" spans="1:3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32" t="s">
        <v>323</v>
      </c>
      <c r="Q199" s="8">
        <f>IF($O$3="(Todas)",COUNTIFS(BASE[CODCIE10],ENOS_G3_DA_5_19_AÑOS[[#This Row],[CIE-10]],BASE[Edad],"&gt;=5",BASE[Edad],"&lt;=19"),COUNTIFS(BASE[Cod.Establecimiento],$O$3,BASE[CODCIE10],ENOS_G3_DA_5_19_AÑOS[[#This Row],[CIE-10]],BASE[Edad],"&gt;=5",BASE[Edad],"&lt;=19"))</f>
        <v>0</v>
      </c>
      <c r="R199" s="8">
        <f>IF($O$3="(Todas)",COUNTIFS(BASE[CODCIE102],ENOS_G3_DA_5_19_AÑOS[[#This Row],[CIE-10]],BASE[Edad],"&gt;=5",BASE[Edad],"&lt;=19"),COUNTIFS(BASE[Cod.Establecimiento],$O$3,BASE[CODCIE102],ENOS_G3_DA_5_19_AÑOS[[#This Row],[CIE-10]],BASE[Edad],"&gt;=5",BASE[Edad],"&lt;=19"))</f>
        <v>0</v>
      </c>
      <c r="S199" s="8">
        <f>IF($O$3="(Todas)",COUNTIFS(BASE[CODCIE104],ENOS_G3_DA_5_19_AÑOS[[#This Row],[CIE-10]],BASE[Edad],"&gt;=5",BASE[Edad],"&lt;=19"),COUNTIFS(BASE[Cod.Establecimiento],$O$3,BASE[CODCIE104],ENOS_G3_DA_5_19_AÑOS[[#This Row],[CIE-10]],BASE[Edad],"&gt;=5",BASE[Edad],"&lt;=19"))</f>
        <v>0</v>
      </c>
      <c r="T199" s="8">
        <f>IF($O$3="(Todas)",COUNTIFS(BASE[CODCIE106],ENOS_G3_DA_5_19_AÑOS[[#This Row],[CIE-10]],BASE[Edad],"&gt;=5",BASE[Edad],"&lt;=19"),COUNTIFS(BASE[Cod.Establecimiento],$O$3,BASE[CODCIE106],ENOS_G3_DA_5_19_AÑOS[[#This Row],[CIE-10]],BASE[Edad],"&gt;=5",BASE[Edad],"&lt;=19"))</f>
        <v>0</v>
      </c>
      <c r="U199" s="8">
        <f>IF($O$3="(Todas)",COUNTIFS(BASE[CODCIE108],ENOS_G3_DA_5_19_AÑOS[[#This Row],[CIE-10]],BASE[Edad],"&gt;=5",BASE[Edad],"&lt;=19"),COUNTIFS(BASE[Cod.Establecimiento],$O$3,BASE[CODCIE108],ENOS_G3_DA_5_19_AÑOS[[#This Row],[CIE-10]],BASE[Edad],"&gt;=5",BASE[Edad],"&lt;=19"))</f>
        <v>0</v>
      </c>
      <c r="V199" s="8">
        <f>IF($O$3="(Todas)",COUNTIFS(BASE[CODCIE1010],ENOS_G3_DA_5_19_AÑOS[[#This Row],[CIE-10]],BASE[Edad],"&gt;=5",BASE[Edad],"&lt;=19"),COUNTIFS(BASE[Cod.Establecimiento],$O$3,BASE[CODCIE1010],ENOS_G3_DA_5_19_AÑOS[[#This Row],[CIE-10]],BASE[Edad],"&gt;=5",BASE[Edad],"&lt;=19"))</f>
        <v>0</v>
      </c>
      <c r="W199" s="9">
        <f>SUM(ENOS_G3_DA_5_19_AÑOS[[#This Row],[D1]:[D6]])</f>
        <v>0</v>
      </c>
      <c r="X199" s="2"/>
      <c r="Y199" s="32" t="s">
        <v>323</v>
      </c>
      <c r="Z199" s="8">
        <f>IF($O$3="(Todas)",COUNTIFS(BASE[CODCIE10],ENOS_G3_DA_20_59_AÑOS[[#This Row],[CIE-10]],BASE[Edad],"&gt;=20",BASE[Edad],"&lt;=59"),COUNTIFS(BASE[Cod.Establecimiento],$O$3,BASE[CODCIE10],ENOS_G3_DA_20_59_AÑOS[[#This Row],[CIE-10]],BASE[Edad],"&gt;=20",BASE[Edad],"&lt;=59"))</f>
        <v>0</v>
      </c>
      <c r="AA199" s="8">
        <f>IF($O$3="(Todas)",COUNTIFS(BASE[CODCIE102],ENOS_G3_DA_20_59_AÑOS[[#This Row],[CIE-10]],BASE[Edad],"&gt;=20",BASE[Edad],"&lt;=59"),COUNTIFS(BASE[Cod.Establecimiento],$O$3,BASE[CODCIE102],ENOS_G3_DA_20_59_AÑOS[[#This Row],[CIE-10]],BASE[Edad],"&gt;=20",BASE[Edad],"&lt;=59"))</f>
        <v>0</v>
      </c>
      <c r="AB199" s="8">
        <f>IF($O$3="(Todas)",COUNTIFS(BASE[CODCIE104],ENOS_G3_DA_20_59_AÑOS[[#This Row],[CIE-10]],BASE[Edad],"&gt;=20",BASE[Edad],"&lt;=59"),COUNTIFS(BASE[Cod.Establecimiento],$O$3,BASE[CODCIE104],ENOS_G3_DA_20_59_AÑOS[[#This Row],[CIE-10]],BASE[Edad],"&gt;=20",BASE[Edad],"&lt;=59"))</f>
        <v>0</v>
      </c>
      <c r="AC199" s="8">
        <f>IF($O$3="(Todas)",COUNTIFS(BASE[CODCIE106],ENOS_G3_DA_20_59_AÑOS[[#This Row],[CIE-10]],BASE[Edad],"&gt;=20",BASE[Edad],"&lt;=59"),COUNTIFS(BASE[Cod.Establecimiento],$O$3,BASE[CODCIE106],ENOS_G3_DA_20_59_AÑOS[[#This Row],[CIE-10]],BASE[Edad],"&gt;=20",BASE[Edad],"&lt;=59"))</f>
        <v>0</v>
      </c>
      <c r="AD199" s="8">
        <f>IF($O$3="(Todas)",COUNTIFS(BASE[CODCIE108],ENOS_G3_DA_20_59_AÑOS[[#This Row],[CIE-10]],BASE[Edad],"&gt;=20",BASE[Edad],"&lt;=59"),COUNTIFS(BASE[Cod.Establecimiento],$O$3,BASE[CODCIE108],ENOS_G3_DA_20_59_AÑOS[[#This Row],[CIE-10]],BASE[Edad],"&gt;=20",BASE[Edad],"&lt;=59"))</f>
        <v>0</v>
      </c>
      <c r="AE199" s="8">
        <f>IF($O$3="(Todas)",COUNTIFS(BASE[CODCIE1010],ENOS_G3_DA_20_59_AÑOS[[#This Row],[CIE-10]],BASE[Edad],"&gt;=20",BASE[Edad],"&lt;=59"),COUNTIFS(BASE[Cod.Establecimiento],$O$3,BASE[CODCIE1010],ENOS_G3_DA_20_59_AÑOS[[#This Row],[CIE-10]],BASE[Edad],"&gt;=20",BASE[Edad],"&lt;=59"))</f>
        <v>0</v>
      </c>
      <c r="AF199" s="9">
        <f>SUM(ENOS_G3_DA_20_59_AÑOS[[#This Row],[D1]:[D6]])</f>
        <v>0</v>
      </c>
    </row>
    <row r="200" spans="1:32" ht="18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32" t="s">
        <v>324</v>
      </c>
      <c r="Q200" s="8">
        <f>IF($O$3="(Todas)",COUNTIFS(BASE[CODCIE10],ENOS_G3_DA_5_19_AÑOS[[#This Row],[CIE-10]],BASE[Edad],"&gt;=5",BASE[Edad],"&lt;=19"),COUNTIFS(BASE[Cod.Establecimiento],$O$3,BASE[CODCIE10],ENOS_G3_DA_5_19_AÑOS[[#This Row],[CIE-10]],BASE[Edad],"&gt;=5",BASE[Edad],"&lt;=19"))</f>
        <v>0</v>
      </c>
      <c r="R200" s="8">
        <f>IF($O$3="(Todas)",COUNTIFS(BASE[CODCIE102],ENOS_G3_DA_5_19_AÑOS[[#This Row],[CIE-10]],BASE[Edad],"&gt;=5",BASE[Edad],"&lt;=19"),COUNTIFS(BASE[Cod.Establecimiento],$O$3,BASE[CODCIE102],ENOS_G3_DA_5_19_AÑOS[[#This Row],[CIE-10]],BASE[Edad],"&gt;=5",BASE[Edad],"&lt;=19"))</f>
        <v>0</v>
      </c>
      <c r="S200" s="8">
        <f>IF($O$3="(Todas)",COUNTIFS(BASE[CODCIE104],ENOS_G3_DA_5_19_AÑOS[[#This Row],[CIE-10]],BASE[Edad],"&gt;=5",BASE[Edad],"&lt;=19"),COUNTIFS(BASE[Cod.Establecimiento],$O$3,BASE[CODCIE104],ENOS_G3_DA_5_19_AÑOS[[#This Row],[CIE-10]],BASE[Edad],"&gt;=5",BASE[Edad],"&lt;=19"))</f>
        <v>0</v>
      </c>
      <c r="T200" s="8">
        <f>IF($O$3="(Todas)",COUNTIFS(BASE[CODCIE106],ENOS_G3_DA_5_19_AÑOS[[#This Row],[CIE-10]],BASE[Edad],"&gt;=5",BASE[Edad],"&lt;=19"),COUNTIFS(BASE[Cod.Establecimiento],$O$3,BASE[CODCIE106],ENOS_G3_DA_5_19_AÑOS[[#This Row],[CIE-10]],BASE[Edad],"&gt;=5",BASE[Edad],"&lt;=19"))</f>
        <v>0</v>
      </c>
      <c r="U200" s="8">
        <f>IF($O$3="(Todas)",COUNTIFS(BASE[CODCIE108],ENOS_G3_DA_5_19_AÑOS[[#This Row],[CIE-10]],BASE[Edad],"&gt;=5",BASE[Edad],"&lt;=19"),COUNTIFS(BASE[Cod.Establecimiento],$O$3,BASE[CODCIE108],ENOS_G3_DA_5_19_AÑOS[[#This Row],[CIE-10]],BASE[Edad],"&gt;=5",BASE[Edad],"&lt;=19"))</f>
        <v>0</v>
      </c>
      <c r="V200" s="8">
        <f>IF($O$3="(Todas)",COUNTIFS(BASE[CODCIE1010],ENOS_G3_DA_5_19_AÑOS[[#This Row],[CIE-10]],BASE[Edad],"&gt;=5",BASE[Edad],"&lt;=19"),COUNTIFS(BASE[Cod.Establecimiento],$O$3,BASE[CODCIE1010],ENOS_G3_DA_5_19_AÑOS[[#This Row],[CIE-10]],BASE[Edad],"&gt;=5",BASE[Edad],"&lt;=19"))</f>
        <v>0</v>
      </c>
      <c r="W200" s="9">
        <f>SUM(ENOS_G3_DA_5_19_AÑOS[[#This Row],[D1]:[D6]])</f>
        <v>0</v>
      </c>
      <c r="X200" s="2"/>
      <c r="Y200" s="32" t="s">
        <v>324</v>
      </c>
      <c r="Z200" s="8">
        <f>IF($O$3="(Todas)",COUNTIFS(BASE[CODCIE10],ENOS_G3_DA_20_59_AÑOS[[#This Row],[CIE-10]],BASE[Edad],"&gt;=20",BASE[Edad],"&lt;=59"),COUNTIFS(BASE[Cod.Establecimiento],$O$3,BASE[CODCIE10],ENOS_G3_DA_20_59_AÑOS[[#This Row],[CIE-10]],BASE[Edad],"&gt;=20",BASE[Edad],"&lt;=59"))</f>
        <v>0</v>
      </c>
      <c r="AA200" s="8">
        <f>IF($O$3="(Todas)",COUNTIFS(BASE[CODCIE102],ENOS_G3_DA_20_59_AÑOS[[#This Row],[CIE-10]],BASE[Edad],"&gt;=20",BASE[Edad],"&lt;=59"),COUNTIFS(BASE[Cod.Establecimiento],$O$3,BASE[CODCIE102],ENOS_G3_DA_20_59_AÑOS[[#This Row],[CIE-10]],BASE[Edad],"&gt;=20",BASE[Edad],"&lt;=59"))</f>
        <v>0</v>
      </c>
      <c r="AB200" s="8">
        <f>IF($O$3="(Todas)",COUNTIFS(BASE[CODCIE104],ENOS_G3_DA_20_59_AÑOS[[#This Row],[CIE-10]],BASE[Edad],"&gt;=20",BASE[Edad],"&lt;=59"),COUNTIFS(BASE[Cod.Establecimiento],$O$3,BASE[CODCIE104],ENOS_G3_DA_20_59_AÑOS[[#This Row],[CIE-10]],BASE[Edad],"&gt;=20",BASE[Edad],"&lt;=59"))</f>
        <v>0</v>
      </c>
      <c r="AC200" s="8">
        <f>IF($O$3="(Todas)",COUNTIFS(BASE[CODCIE106],ENOS_G3_DA_20_59_AÑOS[[#This Row],[CIE-10]],BASE[Edad],"&gt;=20",BASE[Edad],"&lt;=59"),COUNTIFS(BASE[Cod.Establecimiento],$O$3,BASE[CODCIE106],ENOS_G3_DA_20_59_AÑOS[[#This Row],[CIE-10]],BASE[Edad],"&gt;=20",BASE[Edad],"&lt;=59"))</f>
        <v>0</v>
      </c>
      <c r="AD200" s="8">
        <f>IF($O$3="(Todas)",COUNTIFS(BASE[CODCIE108],ENOS_G3_DA_20_59_AÑOS[[#This Row],[CIE-10]],BASE[Edad],"&gt;=20",BASE[Edad],"&lt;=59"),COUNTIFS(BASE[Cod.Establecimiento],$O$3,BASE[CODCIE108],ENOS_G3_DA_20_59_AÑOS[[#This Row],[CIE-10]],BASE[Edad],"&gt;=20",BASE[Edad],"&lt;=59"))</f>
        <v>0</v>
      </c>
      <c r="AE200" s="8">
        <f>IF($O$3="(Todas)",COUNTIFS(BASE[CODCIE1010],ENOS_G3_DA_20_59_AÑOS[[#This Row],[CIE-10]],BASE[Edad],"&gt;=20",BASE[Edad],"&lt;=59"),COUNTIFS(BASE[Cod.Establecimiento],$O$3,BASE[CODCIE1010],ENOS_G3_DA_20_59_AÑOS[[#This Row],[CIE-10]],BASE[Edad],"&gt;=20",BASE[Edad],"&lt;=59"))</f>
        <v>0</v>
      </c>
      <c r="AF200" s="9">
        <f>SUM(ENOS_G3_DA_20_59_AÑOS[[#This Row],[D1]:[D6]])</f>
        <v>0</v>
      </c>
    </row>
    <row r="201" spans="1:32" ht="18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32" t="s">
        <v>261</v>
      </c>
      <c r="Q201" s="8">
        <f>IF($O$3="(Todas)",COUNTIFS(BASE[CODCIE10],ENOS_G3_DA_5_19_AÑOS[[#This Row],[CIE-10]],BASE[Edad],"&gt;=5",BASE[Edad],"&lt;=19"),COUNTIFS(BASE[Cod.Establecimiento],$O$3,BASE[CODCIE10],ENOS_G3_DA_5_19_AÑOS[[#This Row],[CIE-10]],BASE[Edad],"&gt;=5",BASE[Edad],"&lt;=19"))</f>
        <v>0</v>
      </c>
      <c r="R201" s="8">
        <f>IF($O$3="(Todas)",COUNTIFS(BASE[CODCIE102],ENOS_G3_DA_5_19_AÑOS[[#This Row],[CIE-10]],BASE[Edad],"&gt;=5",BASE[Edad],"&lt;=19"),COUNTIFS(BASE[Cod.Establecimiento],$O$3,BASE[CODCIE102],ENOS_G3_DA_5_19_AÑOS[[#This Row],[CIE-10]],BASE[Edad],"&gt;=5",BASE[Edad],"&lt;=19"))</f>
        <v>0</v>
      </c>
      <c r="S201" s="8">
        <f>IF($O$3="(Todas)",COUNTIFS(BASE[CODCIE104],ENOS_G3_DA_5_19_AÑOS[[#This Row],[CIE-10]],BASE[Edad],"&gt;=5",BASE[Edad],"&lt;=19"),COUNTIFS(BASE[Cod.Establecimiento],$O$3,BASE[CODCIE104],ENOS_G3_DA_5_19_AÑOS[[#This Row],[CIE-10]],BASE[Edad],"&gt;=5",BASE[Edad],"&lt;=19"))</f>
        <v>0</v>
      </c>
      <c r="T201" s="8">
        <f>IF($O$3="(Todas)",COUNTIFS(BASE[CODCIE106],ENOS_G3_DA_5_19_AÑOS[[#This Row],[CIE-10]],BASE[Edad],"&gt;=5",BASE[Edad],"&lt;=19"),COUNTIFS(BASE[Cod.Establecimiento],$O$3,BASE[CODCIE106],ENOS_G3_DA_5_19_AÑOS[[#This Row],[CIE-10]],BASE[Edad],"&gt;=5",BASE[Edad],"&lt;=19"))</f>
        <v>0</v>
      </c>
      <c r="U201" s="8">
        <f>IF($O$3="(Todas)",COUNTIFS(BASE[CODCIE108],ENOS_G3_DA_5_19_AÑOS[[#This Row],[CIE-10]],BASE[Edad],"&gt;=5",BASE[Edad],"&lt;=19"),COUNTIFS(BASE[Cod.Establecimiento],$O$3,BASE[CODCIE108],ENOS_G3_DA_5_19_AÑOS[[#This Row],[CIE-10]],BASE[Edad],"&gt;=5",BASE[Edad],"&lt;=19"))</f>
        <v>0</v>
      </c>
      <c r="V201" s="8">
        <f>IF($O$3="(Todas)",COUNTIFS(BASE[CODCIE1010],ENOS_G3_DA_5_19_AÑOS[[#This Row],[CIE-10]],BASE[Edad],"&gt;=5",BASE[Edad],"&lt;=19"),COUNTIFS(BASE[Cod.Establecimiento],$O$3,BASE[CODCIE1010],ENOS_G3_DA_5_19_AÑOS[[#This Row],[CIE-10]],BASE[Edad],"&gt;=5",BASE[Edad],"&lt;=19"))</f>
        <v>0</v>
      </c>
      <c r="W201" s="9">
        <f>SUM(ENOS_G3_DA_5_19_AÑOS[[#This Row],[D1]:[D6]])</f>
        <v>0</v>
      </c>
      <c r="X201" s="2"/>
      <c r="Y201" s="32" t="s">
        <v>261</v>
      </c>
      <c r="Z201" s="8">
        <f>IF($O$3="(Todas)",COUNTIFS(BASE[CODCIE10],ENOS_G3_DA_20_59_AÑOS[[#This Row],[CIE-10]],BASE[Edad],"&gt;=20",BASE[Edad],"&lt;=59"),COUNTIFS(BASE[Cod.Establecimiento],$O$3,BASE[CODCIE10],ENOS_G3_DA_20_59_AÑOS[[#This Row],[CIE-10]],BASE[Edad],"&gt;=20",BASE[Edad],"&lt;=59"))</f>
        <v>0</v>
      </c>
      <c r="AA201" s="8">
        <f>IF($O$3="(Todas)",COUNTIFS(BASE[CODCIE102],ENOS_G3_DA_20_59_AÑOS[[#This Row],[CIE-10]],BASE[Edad],"&gt;=20",BASE[Edad],"&lt;=59"),COUNTIFS(BASE[Cod.Establecimiento],$O$3,BASE[CODCIE102],ENOS_G3_DA_20_59_AÑOS[[#This Row],[CIE-10]],BASE[Edad],"&gt;=20",BASE[Edad],"&lt;=59"))</f>
        <v>0</v>
      </c>
      <c r="AB201" s="8">
        <f>IF($O$3="(Todas)",COUNTIFS(BASE[CODCIE104],ENOS_G3_DA_20_59_AÑOS[[#This Row],[CIE-10]],BASE[Edad],"&gt;=20",BASE[Edad],"&lt;=59"),COUNTIFS(BASE[Cod.Establecimiento],$O$3,BASE[CODCIE104],ENOS_G3_DA_20_59_AÑOS[[#This Row],[CIE-10]],BASE[Edad],"&gt;=20",BASE[Edad],"&lt;=59"))</f>
        <v>0</v>
      </c>
      <c r="AC201" s="8">
        <f>IF($O$3="(Todas)",COUNTIFS(BASE[CODCIE106],ENOS_G3_DA_20_59_AÑOS[[#This Row],[CIE-10]],BASE[Edad],"&gt;=20",BASE[Edad],"&lt;=59"),COUNTIFS(BASE[Cod.Establecimiento],$O$3,BASE[CODCIE106],ENOS_G3_DA_20_59_AÑOS[[#This Row],[CIE-10]],BASE[Edad],"&gt;=20",BASE[Edad],"&lt;=59"))</f>
        <v>0</v>
      </c>
      <c r="AD201" s="8">
        <f>IF($O$3="(Todas)",COUNTIFS(BASE[CODCIE108],ENOS_G3_DA_20_59_AÑOS[[#This Row],[CIE-10]],BASE[Edad],"&gt;=20",BASE[Edad],"&lt;=59"),COUNTIFS(BASE[Cod.Establecimiento],$O$3,BASE[CODCIE108],ENOS_G3_DA_20_59_AÑOS[[#This Row],[CIE-10]],BASE[Edad],"&gt;=20",BASE[Edad],"&lt;=59"))</f>
        <v>0</v>
      </c>
      <c r="AE201" s="8">
        <f>IF($O$3="(Todas)",COUNTIFS(BASE[CODCIE1010],ENOS_G3_DA_20_59_AÑOS[[#This Row],[CIE-10]],BASE[Edad],"&gt;=20",BASE[Edad],"&lt;=59"),COUNTIFS(BASE[Cod.Establecimiento],$O$3,BASE[CODCIE1010],ENOS_G3_DA_20_59_AÑOS[[#This Row],[CIE-10]],BASE[Edad],"&gt;=20",BASE[Edad],"&lt;=59"))</f>
        <v>0</v>
      </c>
      <c r="AF201" s="9">
        <f>SUM(ENOS_G3_DA_20_59_AÑOS[[#This Row],[D1]:[D6]])</f>
        <v>0</v>
      </c>
    </row>
    <row r="202" spans="1:3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32" t="s">
        <v>299</v>
      </c>
      <c r="Q202" s="8">
        <f>IF($O$3="(Todas)",COUNTIFS(BASE[CODCIE10],ENOS_G3_DA_5_19_AÑOS[[#This Row],[CIE-10]],BASE[Edad],"&gt;=5",BASE[Edad],"&lt;=19"),COUNTIFS(BASE[Cod.Establecimiento],$O$3,BASE[CODCIE10],ENOS_G3_DA_5_19_AÑOS[[#This Row],[CIE-10]],BASE[Edad],"&gt;=5",BASE[Edad],"&lt;=19"))</f>
        <v>0</v>
      </c>
      <c r="R202" s="8">
        <f>IF($O$3="(Todas)",COUNTIFS(BASE[CODCIE102],ENOS_G3_DA_5_19_AÑOS[[#This Row],[CIE-10]],BASE[Edad],"&gt;=5",BASE[Edad],"&lt;=19"),COUNTIFS(BASE[Cod.Establecimiento],$O$3,BASE[CODCIE102],ENOS_G3_DA_5_19_AÑOS[[#This Row],[CIE-10]],BASE[Edad],"&gt;=5",BASE[Edad],"&lt;=19"))</f>
        <v>0</v>
      </c>
      <c r="S202" s="8">
        <f>IF($O$3="(Todas)",COUNTIFS(BASE[CODCIE104],ENOS_G3_DA_5_19_AÑOS[[#This Row],[CIE-10]],BASE[Edad],"&gt;=5",BASE[Edad],"&lt;=19"),COUNTIFS(BASE[Cod.Establecimiento],$O$3,BASE[CODCIE104],ENOS_G3_DA_5_19_AÑOS[[#This Row],[CIE-10]],BASE[Edad],"&gt;=5",BASE[Edad],"&lt;=19"))</f>
        <v>0</v>
      </c>
      <c r="T202" s="8">
        <f>IF($O$3="(Todas)",COUNTIFS(BASE[CODCIE106],ENOS_G3_DA_5_19_AÑOS[[#This Row],[CIE-10]],BASE[Edad],"&gt;=5",BASE[Edad],"&lt;=19"),COUNTIFS(BASE[Cod.Establecimiento],$O$3,BASE[CODCIE106],ENOS_G3_DA_5_19_AÑOS[[#This Row],[CIE-10]],BASE[Edad],"&gt;=5",BASE[Edad],"&lt;=19"))</f>
        <v>0</v>
      </c>
      <c r="U202" s="8">
        <f>IF($O$3="(Todas)",COUNTIFS(BASE[CODCIE108],ENOS_G3_DA_5_19_AÑOS[[#This Row],[CIE-10]],BASE[Edad],"&gt;=5",BASE[Edad],"&lt;=19"),COUNTIFS(BASE[Cod.Establecimiento],$O$3,BASE[CODCIE108],ENOS_G3_DA_5_19_AÑOS[[#This Row],[CIE-10]],BASE[Edad],"&gt;=5",BASE[Edad],"&lt;=19"))</f>
        <v>0</v>
      </c>
      <c r="V202" s="8">
        <f>IF($O$3="(Todas)",COUNTIFS(BASE[CODCIE1010],ENOS_G3_DA_5_19_AÑOS[[#This Row],[CIE-10]],BASE[Edad],"&gt;=5",BASE[Edad],"&lt;=19"),COUNTIFS(BASE[Cod.Establecimiento],$O$3,BASE[CODCIE1010],ENOS_G3_DA_5_19_AÑOS[[#This Row],[CIE-10]],BASE[Edad],"&gt;=5",BASE[Edad],"&lt;=19"))</f>
        <v>0</v>
      </c>
      <c r="W202" s="9">
        <f>SUM(ENOS_G3_DA_5_19_AÑOS[[#This Row],[D1]:[D6]])</f>
        <v>0</v>
      </c>
      <c r="X202" s="2"/>
      <c r="Y202" s="32" t="s">
        <v>299</v>
      </c>
      <c r="Z202" s="8">
        <f>IF($O$3="(Todas)",COUNTIFS(BASE[CODCIE10],ENOS_G3_DA_20_59_AÑOS[[#This Row],[CIE-10]],BASE[Edad],"&gt;=20",BASE[Edad],"&lt;=59"),COUNTIFS(BASE[Cod.Establecimiento],$O$3,BASE[CODCIE10],ENOS_G3_DA_20_59_AÑOS[[#This Row],[CIE-10]],BASE[Edad],"&gt;=20",BASE[Edad],"&lt;=59"))</f>
        <v>0</v>
      </c>
      <c r="AA202" s="8">
        <f>IF($O$3="(Todas)",COUNTIFS(BASE[CODCIE102],ENOS_G3_DA_20_59_AÑOS[[#This Row],[CIE-10]],BASE[Edad],"&gt;=20",BASE[Edad],"&lt;=59"),COUNTIFS(BASE[Cod.Establecimiento],$O$3,BASE[CODCIE102],ENOS_G3_DA_20_59_AÑOS[[#This Row],[CIE-10]],BASE[Edad],"&gt;=20",BASE[Edad],"&lt;=59"))</f>
        <v>0</v>
      </c>
      <c r="AB202" s="8">
        <f>IF($O$3="(Todas)",COUNTIFS(BASE[CODCIE104],ENOS_G3_DA_20_59_AÑOS[[#This Row],[CIE-10]],BASE[Edad],"&gt;=20",BASE[Edad],"&lt;=59"),COUNTIFS(BASE[Cod.Establecimiento],$O$3,BASE[CODCIE104],ENOS_G3_DA_20_59_AÑOS[[#This Row],[CIE-10]],BASE[Edad],"&gt;=20",BASE[Edad],"&lt;=59"))</f>
        <v>0</v>
      </c>
      <c r="AC202" s="8">
        <f>IF($O$3="(Todas)",COUNTIFS(BASE[CODCIE106],ENOS_G3_DA_20_59_AÑOS[[#This Row],[CIE-10]],BASE[Edad],"&gt;=20",BASE[Edad],"&lt;=59"),COUNTIFS(BASE[Cod.Establecimiento],$O$3,BASE[CODCIE106],ENOS_G3_DA_20_59_AÑOS[[#This Row],[CIE-10]],BASE[Edad],"&gt;=20",BASE[Edad],"&lt;=59"))</f>
        <v>0</v>
      </c>
      <c r="AD202" s="8">
        <f>IF($O$3="(Todas)",COUNTIFS(BASE[CODCIE108],ENOS_G3_DA_20_59_AÑOS[[#This Row],[CIE-10]],BASE[Edad],"&gt;=20",BASE[Edad],"&lt;=59"),COUNTIFS(BASE[Cod.Establecimiento],$O$3,BASE[CODCIE108],ENOS_G3_DA_20_59_AÑOS[[#This Row],[CIE-10]],BASE[Edad],"&gt;=20",BASE[Edad],"&lt;=59"))</f>
        <v>0</v>
      </c>
      <c r="AE202" s="8">
        <f>IF($O$3="(Todas)",COUNTIFS(BASE[CODCIE1010],ENOS_G3_DA_20_59_AÑOS[[#This Row],[CIE-10]],BASE[Edad],"&gt;=20",BASE[Edad],"&lt;=59"),COUNTIFS(BASE[Cod.Establecimiento],$O$3,BASE[CODCIE1010],ENOS_G3_DA_20_59_AÑOS[[#This Row],[CIE-10]],BASE[Edad],"&gt;=20",BASE[Edad],"&lt;=59"))</f>
        <v>0</v>
      </c>
      <c r="AF202" s="9">
        <f>SUM(ENOS_G3_DA_20_59_AÑOS[[#This Row],[D1]:[D6]])</f>
        <v>0</v>
      </c>
    </row>
    <row r="203" spans="1:3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32" t="s">
        <v>325</v>
      </c>
      <c r="Q203" s="8">
        <f>IF($O$3="(Todas)",COUNTIFS(BASE[CODCIE10],ENOS_G3_DA_5_19_AÑOS[[#This Row],[CIE-10]],BASE[Edad],"&gt;=5",BASE[Edad],"&lt;=19"),COUNTIFS(BASE[Cod.Establecimiento],$O$3,BASE[CODCIE10],ENOS_G3_DA_5_19_AÑOS[[#This Row],[CIE-10]],BASE[Edad],"&gt;=5",BASE[Edad],"&lt;=19"))</f>
        <v>0</v>
      </c>
      <c r="R203" s="8">
        <f>IF($O$3="(Todas)",COUNTIFS(BASE[CODCIE102],ENOS_G3_DA_5_19_AÑOS[[#This Row],[CIE-10]],BASE[Edad],"&gt;=5",BASE[Edad],"&lt;=19"),COUNTIFS(BASE[Cod.Establecimiento],$O$3,BASE[CODCIE102],ENOS_G3_DA_5_19_AÑOS[[#This Row],[CIE-10]],BASE[Edad],"&gt;=5",BASE[Edad],"&lt;=19"))</f>
        <v>0</v>
      </c>
      <c r="S203" s="8">
        <f>IF($O$3="(Todas)",COUNTIFS(BASE[CODCIE104],ENOS_G3_DA_5_19_AÑOS[[#This Row],[CIE-10]],BASE[Edad],"&gt;=5",BASE[Edad],"&lt;=19"),COUNTIFS(BASE[Cod.Establecimiento],$O$3,BASE[CODCIE104],ENOS_G3_DA_5_19_AÑOS[[#This Row],[CIE-10]],BASE[Edad],"&gt;=5",BASE[Edad],"&lt;=19"))</f>
        <v>0</v>
      </c>
      <c r="T203" s="8">
        <f>IF($O$3="(Todas)",COUNTIFS(BASE[CODCIE106],ENOS_G3_DA_5_19_AÑOS[[#This Row],[CIE-10]],BASE[Edad],"&gt;=5",BASE[Edad],"&lt;=19"),COUNTIFS(BASE[Cod.Establecimiento],$O$3,BASE[CODCIE106],ENOS_G3_DA_5_19_AÑOS[[#This Row],[CIE-10]],BASE[Edad],"&gt;=5",BASE[Edad],"&lt;=19"))</f>
        <v>0</v>
      </c>
      <c r="U203" s="8">
        <f>IF($O$3="(Todas)",COUNTIFS(BASE[CODCIE108],ENOS_G3_DA_5_19_AÑOS[[#This Row],[CIE-10]],BASE[Edad],"&gt;=5",BASE[Edad],"&lt;=19"),COUNTIFS(BASE[Cod.Establecimiento],$O$3,BASE[CODCIE108],ENOS_G3_DA_5_19_AÑOS[[#This Row],[CIE-10]],BASE[Edad],"&gt;=5",BASE[Edad],"&lt;=19"))</f>
        <v>0</v>
      </c>
      <c r="V203" s="8">
        <f>IF($O$3="(Todas)",COUNTIFS(BASE[CODCIE1010],ENOS_G3_DA_5_19_AÑOS[[#This Row],[CIE-10]],BASE[Edad],"&gt;=5",BASE[Edad],"&lt;=19"),COUNTIFS(BASE[Cod.Establecimiento],$O$3,BASE[CODCIE1010],ENOS_G3_DA_5_19_AÑOS[[#This Row],[CIE-10]],BASE[Edad],"&gt;=5",BASE[Edad],"&lt;=19"))</f>
        <v>0</v>
      </c>
      <c r="W203" s="9">
        <f>SUM(ENOS_G3_DA_5_19_AÑOS[[#This Row],[D1]:[D6]])</f>
        <v>0</v>
      </c>
      <c r="X203" s="2"/>
      <c r="Y203" s="32" t="s">
        <v>325</v>
      </c>
      <c r="Z203" s="8">
        <f>IF($O$3="(Todas)",COUNTIFS(BASE[CODCIE10],ENOS_G3_DA_20_59_AÑOS[[#This Row],[CIE-10]],BASE[Edad],"&gt;=20",BASE[Edad],"&lt;=59"),COUNTIFS(BASE[Cod.Establecimiento],$O$3,BASE[CODCIE10],ENOS_G3_DA_20_59_AÑOS[[#This Row],[CIE-10]],BASE[Edad],"&gt;=20",BASE[Edad],"&lt;=59"))</f>
        <v>0</v>
      </c>
      <c r="AA203" s="8">
        <f>IF($O$3="(Todas)",COUNTIFS(BASE[CODCIE102],ENOS_G3_DA_20_59_AÑOS[[#This Row],[CIE-10]],BASE[Edad],"&gt;=20",BASE[Edad],"&lt;=59"),COUNTIFS(BASE[Cod.Establecimiento],$O$3,BASE[CODCIE102],ENOS_G3_DA_20_59_AÑOS[[#This Row],[CIE-10]],BASE[Edad],"&gt;=20",BASE[Edad],"&lt;=59"))</f>
        <v>0</v>
      </c>
      <c r="AB203" s="8">
        <f>IF($O$3="(Todas)",COUNTIFS(BASE[CODCIE104],ENOS_G3_DA_20_59_AÑOS[[#This Row],[CIE-10]],BASE[Edad],"&gt;=20",BASE[Edad],"&lt;=59"),COUNTIFS(BASE[Cod.Establecimiento],$O$3,BASE[CODCIE104],ENOS_G3_DA_20_59_AÑOS[[#This Row],[CIE-10]],BASE[Edad],"&gt;=20",BASE[Edad],"&lt;=59"))</f>
        <v>0</v>
      </c>
      <c r="AC203" s="8">
        <f>IF($O$3="(Todas)",COUNTIFS(BASE[CODCIE106],ENOS_G3_DA_20_59_AÑOS[[#This Row],[CIE-10]],BASE[Edad],"&gt;=20",BASE[Edad],"&lt;=59"),COUNTIFS(BASE[Cod.Establecimiento],$O$3,BASE[CODCIE106],ENOS_G3_DA_20_59_AÑOS[[#This Row],[CIE-10]],BASE[Edad],"&gt;=20",BASE[Edad],"&lt;=59"))</f>
        <v>0</v>
      </c>
      <c r="AD203" s="8">
        <f>IF($O$3="(Todas)",COUNTIFS(BASE[CODCIE108],ENOS_G3_DA_20_59_AÑOS[[#This Row],[CIE-10]],BASE[Edad],"&gt;=20",BASE[Edad],"&lt;=59"),COUNTIFS(BASE[Cod.Establecimiento],$O$3,BASE[CODCIE108],ENOS_G3_DA_20_59_AÑOS[[#This Row],[CIE-10]],BASE[Edad],"&gt;=20",BASE[Edad],"&lt;=59"))</f>
        <v>0</v>
      </c>
      <c r="AE203" s="8">
        <f>IF($O$3="(Todas)",COUNTIFS(BASE[CODCIE1010],ENOS_G3_DA_20_59_AÑOS[[#This Row],[CIE-10]],BASE[Edad],"&gt;=20",BASE[Edad],"&lt;=59"),COUNTIFS(BASE[Cod.Establecimiento],$O$3,BASE[CODCIE1010],ENOS_G3_DA_20_59_AÑOS[[#This Row],[CIE-10]],BASE[Edad],"&gt;=20",BASE[Edad],"&lt;=59"))</f>
        <v>0</v>
      </c>
      <c r="AF203" s="9">
        <f>SUM(ENOS_G3_DA_20_59_AÑOS[[#This Row],[D1]:[D6]])</f>
        <v>0</v>
      </c>
    </row>
    <row r="204" spans="1:3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32" t="s">
        <v>326</v>
      </c>
      <c r="Q204" s="8">
        <f>IF($O$3="(Todas)",COUNTIFS(BASE[CODCIE10],ENOS_G3_DA_5_19_AÑOS[[#This Row],[CIE-10]],BASE[Edad],"&gt;=5",BASE[Edad],"&lt;=19"),COUNTIFS(BASE[Cod.Establecimiento],$O$3,BASE[CODCIE10],ENOS_G3_DA_5_19_AÑOS[[#This Row],[CIE-10]],BASE[Edad],"&gt;=5",BASE[Edad],"&lt;=19"))</f>
        <v>0</v>
      </c>
      <c r="R204" s="8">
        <f>IF($O$3="(Todas)",COUNTIFS(BASE[CODCIE102],ENOS_G3_DA_5_19_AÑOS[[#This Row],[CIE-10]],BASE[Edad],"&gt;=5",BASE[Edad],"&lt;=19"),COUNTIFS(BASE[Cod.Establecimiento],$O$3,BASE[CODCIE102],ENOS_G3_DA_5_19_AÑOS[[#This Row],[CIE-10]],BASE[Edad],"&gt;=5",BASE[Edad],"&lt;=19"))</f>
        <v>0</v>
      </c>
      <c r="S204" s="8">
        <f>IF($O$3="(Todas)",COUNTIFS(BASE[CODCIE104],ENOS_G3_DA_5_19_AÑOS[[#This Row],[CIE-10]],BASE[Edad],"&gt;=5",BASE[Edad],"&lt;=19"),COUNTIFS(BASE[Cod.Establecimiento],$O$3,BASE[CODCIE104],ENOS_G3_DA_5_19_AÑOS[[#This Row],[CIE-10]],BASE[Edad],"&gt;=5",BASE[Edad],"&lt;=19"))</f>
        <v>0</v>
      </c>
      <c r="T204" s="8">
        <f>IF($O$3="(Todas)",COUNTIFS(BASE[CODCIE106],ENOS_G3_DA_5_19_AÑOS[[#This Row],[CIE-10]],BASE[Edad],"&gt;=5",BASE[Edad],"&lt;=19"),COUNTIFS(BASE[Cod.Establecimiento],$O$3,BASE[CODCIE106],ENOS_G3_DA_5_19_AÑOS[[#This Row],[CIE-10]],BASE[Edad],"&gt;=5",BASE[Edad],"&lt;=19"))</f>
        <v>0</v>
      </c>
      <c r="U204" s="8">
        <f>IF($O$3="(Todas)",COUNTIFS(BASE[CODCIE108],ENOS_G3_DA_5_19_AÑOS[[#This Row],[CIE-10]],BASE[Edad],"&gt;=5",BASE[Edad],"&lt;=19"),COUNTIFS(BASE[Cod.Establecimiento],$O$3,BASE[CODCIE108],ENOS_G3_DA_5_19_AÑOS[[#This Row],[CIE-10]],BASE[Edad],"&gt;=5",BASE[Edad],"&lt;=19"))</f>
        <v>0</v>
      </c>
      <c r="V204" s="8">
        <f>IF($O$3="(Todas)",COUNTIFS(BASE[CODCIE1010],ENOS_G3_DA_5_19_AÑOS[[#This Row],[CIE-10]],BASE[Edad],"&gt;=5",BASE[Edad],"&lt;=19"),COUNTIFS(BASE[Cod.Establecimiento],$O$3,BASE[CODCIE1010],ENOS_G3_DA_5_19_AÑOS[[#This Row],[CIE-10]],BASE[Edad],"&gt;=5",BASE[Edad],"&lt;=19"))</f>
        <v>0</v>
      </c>
      <c r="W204" s="9">
        <f>SUM(ENOS_G3_DA_5_19_AÑOS[[#This Row],[D1]:[D6]])</f>
        <v>0</v>
      </c>
      <c r="X204" s="2"/>
      <c r="Y204" s="32" t="s">
        <v>326</v>
      </c>
      <c r="Z204" s="8">
        <f>IF($O$3="(Todas)",COUNTIFS(BASE[CODCIE10],ENOS_G3_DA_20_59_AÑOS[[#This Row],[CIE-10]],BASE[Edad],"&gt;=20",BASE[Edad],"&lt;=59"),COUNTIFS(BASE[Cod.Establecimiento],$O$3,BASE[CODCIE10],ENOS_G3_DA_20_59_AÑOS[[#This Row],[CIE-10]],BASE[Edad],"&gt;=20",BASE[Edad],"&lt;=59"))</f>
        <v>0</v>
      </c>
      <c r="AA204" s="8">
        <f>IF($O$3="(Todas)",COUNTIFS(BASE[CODCIE102],ENOS_G3_DA_20_59_AÑOS[[#This Row],[CIE-10]],BASE[Edad],"&gt;=20",BASE[Edad],"&lt;=59"),COUNTIFS(BASE[Cod.Establecimiento],$O$3,BASE[CODCIE102],ENOS_G3_DA_20_59_AÑOS[[#This Row],[CIE-10]],BASE[Edad],"&gt;=20",BASE[Edad],"&lt;=59"))</f>
        <v>0</v>
      </c>
      <c r="AB204" s="8">
        <f>IF($O$3="(Todas)",COUNTIFS(BASE[CODCIE104],ENOS_G3_DA_20_59_AÑOS[[#This Row],[CIE-10]],BASE[Edad],"&gt;=20",BASE[Edad],"&lt;=59"),COUNTIFS(BASE[Cod.Establecimiento],$O$3,BASE[CODCIE104],ENOS_G3_DA_20_59_AÑOS[[#This Row],[CIE-10]],BASE[Edad],"&gt;=20",BASE[Edad],"&lt;=59"))</f>
        <v>0</v>
      </c>
      <c r="AC204" s="8">
        <f>IF($O$3="(Todas)",COUNTIFS(BASE[CODCIE106],ENOS_G3_DA_20_59_AÑOS[[#This Row],[CIE-10]],BASE[Edad],"&gt;=20",BASE[Edad],"&lt;=59"),COUNTIFS(BASE[Cod.Establecimiento],$O$3,BASE[CODCIE106],ENOS_G3_DA_20_59_AÑOS[[#This Row],[CIE-10]],BASE[Edad],"&gt;=20",BASE[Edad],"&lt;=59"))</f>
        <v>0</v>
      </c>
      <c r="AD204" s="8">
        <f>IF($O$3="(Todas)",COUNTIFS(BASE[CODCIE108],ENOS_G3_DA_20_59_AÑOS[[#This Row],[CIE-10]],BASE[Edad],"&gt;=20",BASE[Edad],"&lt;=59"),COUNTIFS(BASE[Cod.Establecimiento],$O$3,BASE[CODCIE108],ENOS_G3_DA_20_59_AÑOS[[#This Row],[CIE-10]],BASE[Edad],"&gt;=20",BASE[Edad],"&lt;=59"))</f>
        <v>0</v>
      </c>
      <c r="AE204" s="8">
        <f>IF($O$3="(Todas)",COUNTIFS(BASE[CODCIE1010],ENOS_G3_DA_20_59_AÑOS[[#This Row],[CIE-10]],BASE[Edad],"&gt;=20",BASE[Edad],"&lt;=59"),COUNTIFS(BASE[Cod.Establecimiento],$O$3,BASE[CODCIE1010],ENOS_G3_DA_20_59_AÑOS[[#This Row],[CIE-10]],BASE[Edad],"&gt;=20",BASE[Edad],"&lt;=59"))</f>
        <v>0</v>
      </c>
      <c r="AF204" s="9">
        <f>SUM(ENOS_G3_DA_20_59_AÑOS[[#This Row],[D1]:[D6]])</f>
        <v>0</v>
      </c>
    </row>
    <row r="205" spans="1:3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32" t="s">
        <v>327</v>
      </c>
      <c r="Q205" s="8">
        <f>IF($O$3="(Todas)",COUNTIFS(BASE[CODCIE10],ENOS_G3_DA_5_19_AÑOS[[#This Row],[CIE-10]],BASE[Edad],"&gt;=5",BASE[Edad],"&lt;=19"),COUNTIFS(BASE[Cod.Establecimiento],$O$3,BASE[CODCIE10],ENOS_G3_DA_5_19_AÑOS[[#This Row],[CIE-10]],BASE[Edad],"&gt;=5",BASE[Edad],"&lt;=19"))</f>
        <v>0</v>
      </c>
      <c r="R205" s="8">
        <f>IF($O$3="(Todas)",COUNTIFS(BASE[CODCIE102],ENOS_G3_DA_5_19_AÑOS[[#This Row],[CIE-10]],BASE[Edad],"&gt;=5",BASE[Edad],"&lt;=19"),COUNTIFS(BASE[Cod.Establecimiento],$O$3,BASE[CODCIE102],ENOS_G3_DA_5_19_AÑOS[[#This Row],[CIE-10]],BASE[Edad],"&gt;=5",BASE[Edad],"&lt;=19"))</f>
        <v>0</v>
      </c>
      <c r="S205" s="8">
        <f>IF($O$3="(Todas)",COUNTIFS(BASE[CODCIE104],ENOS_G3_DA_5_19_AÑOS[[#This Row],[CIE-10]],BASE[Edad],"&gt;=5",BASE[Edad],"&lt;=19"),COUNTIFS(BASE[Cod.Establecimiento],$O$3,BASE[CODCIE104],ENOS_G3_DA_5_19_AÑOS[[#This Row],[CIE-10]],BASE[Edad],"&gt;=5",BASE[Edad],"&lt;=19"))</f>
        <v>0</v>
      </c>
      <c r="T205" s="8">
        <f>IF($O$3="(Todas)",COUNTIFS(BASE[CODCIE106],ENOS_G3_DA_5_19_AÑOS[[#This Row],[CIE-10]],BASE[Edad],"&gt;=5",BASE[Edad],"&lt;=19"),COUNTIFS(BASE[Cod.Establecimiento],$O$3,BASE[CODCIE106],ENOS_G3_DA_5_19_AÑOS[[#This Row],[CIE-10]],BASE[Edad],"&gt;=5",BASE[Edad],"&lt;=19"))</f>
        <v>0</v>
      </c>
      <c r="U205" s="8">
        <f>IF($O$3="(Todas)",COUNTIFS(BASE[CODCIE108],ENOS_G3_DA_5_19_AÑOS[[#This Row],[CIE-10]],BASE[Edad],"&gt;=5",BASE[Edad],"&lt;=19"),COUNTIFS(BASE[Cod.Establecimiento],$O$3,BASE[CODCIE108],ENOS_G3_DA_5_19_AÑOS[[#This Row],[CIE-10]],BASE[Edad],"&gt;=5",BASE[Edad],"&lt;=19"))</f>
        <v>0</v>
      </c>
      <c r="V205" s="8">
        <f>IF($O$3="(Todas)",COUNTIFS(BASE[CODCIE1010],ENOS_G3_DA_5_19_AÑOS[[#This Row],[CIE-10]],BASE[Edad],"&gt;=5",BASE[Edad],"&lt;=19"),COUNTIFS(BASE[Cod.Establecimiento],$O$3,BASE[CODCIE1010],ENOS_G3_DA_5_19_AÑOS[[#This Row],[CIE-10]],BASE[Edad],"&gt;=5",BASE[Edad],"&lt;=19"))</f>
        <v>0</v>
      </c>
      <c r="W205" s="9">
        <f>SUM(ENOS_G3_DA_5_19_AÑOS[[#This Row],[D1]:[D6]])</f>
        <v>0</v>
      </c>
      <c r="X205" s="2"/>
      <c r="Y205" s="32" t="s">
        <v>327</v>
      </c>
      <c r="Z205" s="8">
        <f>IF($O$3="(Todas)",COUNTIFS(BASE[CODCIE10],ENOS_G3_DA_20_59_AÑOS[[#This Row],[CIE-10]],BASE[Edad],"&gt;=20",BASE[Edad],"&lt;=59"),COUNTIFS(BASE[Cod.Establecimiento],$O$3,BASE[CODCIE10],ENOS_G3_DA_20_59_AÑOS[[#This Row],[CIE-10]],BASE[Edad],"&gt;=20",BASE[Edad],"&lt;=59"))</f>
        <v>0</v>
      </c>
      <c r="AA205" s="8">
        <f>IF($O$3="(Todas)",COUNTIFS(BASE[CODCIE102],ENOS_G3_DA_20_59_AÑOS[[#This Row],[CIE-10]],BASE[Edad],"&gt;=20",BASE[Edad],"&lt;=59"),COUNTIFS(BASE[Cod.Establecimiento],$O$3,BASE[CODCIE102],ENOS_G3_DA_20_59_AÑOS[[#This Row],[CIE-10]],BASE[Edad],"&gt;=20",BASE[Edad],"&lt;=59"))</f>
        <v>0</v>
      </c>
      <c r="AB205" s="8">
        <f>IF($O$3="(Todas)",COUNTIFS(BASE[CODCIE104],ENOS_G3_DA_20_59_AÑOS[[#This Row],[CIE-10]],BASE[Edad],"&gt;=20",BASE[Edad],"&lt;=59"),COUNTIFS(BASE[Cod.Establecimiento],$O$3,BASE[CODCIE104],ENOS_G3_DA_20_59_AÑOS[[#This Row],[CIE-10]],BASE[Edad],"&gt;=20",BASE[Edad],"&lt;=59"))</f>
        <v>0</v>
      </c>
      <c r="AC205" s="8">
        <f>IF($O$3="(Todas)",COUNTIFS(BASE[CODCIE106],ENOS_G3_DA_20_59_AÑOS[[#This Row],[CIE-10]],BASE[Edad],"&gt;=20",BASE[Edad],"&lt;=59"),COUNTIFS(BASE[Cod.Establecimiento],$O$3,BASE[CODCIE106],ENOS_G3_DA_20_59_AÑOS[[#This Row],[CIE-10]],BASE[Edad],"&gt;=20",BASE[Edad],"&lt;=59"))</f>
        <v>0</v>
      </c>
      <c r="AD205" s="8">
        <f>IF($O$3="(Todas)",COUNTIFS(BASE[CODCIE108],ENOS_G3_DA_20_59_AÑOS[[#This Row],[CIE-10]],BASE[Edad],"&gt;=20",BASE[Edad],"&lt;=59"),COUNTIFS(BASE[Cod.Establecimiento],$O$3,BASE[CODCIE108],ENOS_G3_DA_20_59_AÑOS[[#This Row],[CIE-10]],BASE[Edad],"&gt;=20",BASE[Edad],"&lt;=59"))</f>
        <v>0</v>
      </c>
      <c r="AE205" s="8">
        <f>IF($O$3="(Todas)",COUNTIFS(BASE[CODCIE1010],ENOS_G3_DA_20_59_AÑOS[[#This Row],[CIE-10]],BASE[Edad],"&gt;=20",BASE[Edad],"&lt;=59"),COUNTIFS(BASE[Cod.Establecimiento],$O$3,BASE[CODCIE1010],ENOS_G3_DA_20_59_AÑOS[[#This Row],[CIE-10]],BASE[Edad],"&gt;=20",BASE[Edad],"&lt;=59"))</f>
        <v>0</v>
      </c>
      <c r="AF205" s="9">
        <f>SUM(ENOS_G3_DA_20_59_AÑOS[[#This Row],[D1]:[D6]])</f>
        <v>0</v>
      </c>
    </row>
    <row r="206" spans="1:3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spans="1:32" ht="18" customHeight="1" thickBo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80" t="s">
        <v>302</v>
      </c>
      <c r="Q207" s="81"/>
      <c r="R207" s="81"/>
      <c r="S207" s="81"/>
      <c r="T207" s="81"/>
      <c r="U207" s="81"/>
      <c r="V207" s="81"/>
      <c r="W207" s="81"/>
      <c r="X207" s="2"/>
      <c r="Y207" s="80" t="s">
        <v>303</v>
      </c>
      <c r="Z207" s="81"/>
      <c r="AA207" s="81"/>
      <c r="AB207" s="81"/>
      <c r="AC207" s="81"/>
      <c r="AD207" s="81"/>
      <c r="AE207" s="81"/>
      <c r="AF207" s="81"/>
    </row>
    <row r="208" spans="1:32" ht="15.75" customHeight="1" thickTop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 t="s">
        <v>93</v>
      </c>
      <c r="Q208" s="8" t="s">
        <v>94</v>
      </c>
      <c r="R208" s="8" t="s">
        <v>95</v>
      </c>
      <c r="S208" s="8" t="s">
        <v>96</v>
      </c>
      <c r="T208" s="8" t="s">
        <v>97</v>
      </c>
      <c r="U208" s="8" t="s">
        <v>98</v>
      </c>
      <c r="V208" s="8" t="s">
        <v>99</v>
      </c>
      <c r="W208" s="10" t="s">
        <v>100</v>
      </c>
      <c r="X208" s="2"/>
      <c r="Y208" s="2" t="s">
        <v>93</v>
      </c>
      <c r="Z208" s="8" t="s">
        <v>94</v>
      </c>
      <c r="AA208" s="8" t="s">
        <v>95</v>
      </c>
      <c r="AB208" s="8" t="s">
        <v>96</v>
      </c>
      <c r="AC208" s="8" t="s">
        <v>97</v>
      </c>
      <c r="AD208" s="8" t="s">
        <v>98</v>
      </c>
      <c r="AE208" s="8" t="s">
        <v>99</v>
      </c>
      <c r="AF208" s="10" t="s">
        <v>100</v>
      </c>
    </row>
    <row r="209" spans="1:3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32" t="s">
        <v>298</v>
      </c>
      <c r="Q209" s="8">
        <f>IF($O$3="(Todas)",COUNTIFS(BASE[CODCIE10],ENOS_G3_DA_60_MAS_AÑOS[[#This Row],[CIE-10]],BASE[Edad],"&gt;=60"),COUNTIFS(BASE[Cod.Establecimiento],$O$3,BASE[CODCIE10],ENOS_G3_DA_60_MAS_AÑOS[[#This Row],[CIE-10]],BASE[Edad],"&gt;=60"))</f>
        <v>0</v>
      </c>
      <c r="R209" s="8">
        <f>IF($O$3="(Todas)",COUNTIFS(BASE[CODCIE102],ENOS_G3_DA_60_MAS_AÑOS[[#This Row],[CIE-10]],BASE[Edad],"&gt;=60"),COUNTIFS(BASE[Cod.Establecimiento],$O$3,BASE[CODCIE102],ENOS_G3_DA_60_MAS_AÑOS[[#This Row],[CIE-10]],BASE[Edad],"&gt;=60"))</f>
        <v>0</v>
      </c>
      <c r="S209" s="8">
        <f>IF($O$3="(Todas)",COUNTIFS(BASE[CODCIE104],ENOS_G3_DA_60_MAS_AÑOS[[#This Row],[CIE-10]],BASE[Edad],"&gt;=60"),COUNTIFS(BASE[Cod.Establecimiento],$O$3,BASE[CODCIE104],ENOS_G3_DA_60_MAS_AÑOS[[#This Row],[CIE-10]],BASE[Edad],"&gt;=60"))</f>
        <v>0</v>
      </c>
      <c r="T209" s="8">
        <f>IF($O$3="(Todas)",COUNTIFS(BASE[CODCIE106],ENOS_G3_DA_60_MAS_AÑOS[[#This Row],[CIE-10]],BASE[Edad],"&gt;=60"),COUNTIFS(BASE[Cod.Establecimiento],$O$3,BASE[CODCIE106],ENOS_G3_DA_60_MAS_AÑOS[[#This Row],[CIE-10]],BASE[Edad],"&gt;=60"))</f>
        <v>0</v>
      </c>
      <c r="U209" s="8">
        <f>IF($O$3="(Todas)",COUNTIFS(BASE[CODCIE108],ENOS_G3_DA_60_MAS_AÑOS[[#This Row],[CIE-10]],BASE[Edad],"&gt;=60"),COUNTIFS(BASE[Cod.Establecimiento],$O$3,BASE[CODCIE108],ENOS_G3_DA_60_MAS_AÑOS[[#This Row],[CIE-10]],BASE[Edad],"&gt;=60"))</f>
        <v>0</v>
      </c>
      <c r="V209" s="8">
        <f>IF($O$3="(Todas)",COUNTIFS(BASE[CODCIE1010],ENOS_G3_DA_60_MAS_AÑOS[[#This Row],[CIE-10]],BASE[Edad],"&gt;=60"),COUNTIFS(BASE[Cod.Establecimiento],$O$3,BASE[CODCIE1010],ENOS_G3_DA_60_MAS_AÑOS[[#This Row],[CIE-10]],BASE[Edad],"&gt;=60"))</f>
        <v>0</v>
      </c>
      <c r="W209" s="9">
        <f>SUM(ENOS_G3_DA_60_MAS_AÑOS[[#This Row],[D1]:[D6]])</f>
        <v>0</v>
      </c>
      <c r="X209" s="2"/>
      <c r="Y209" s="32" t="s">
        <v>298</v>
      </c>
      <c r="Z209" s="8">
        <f>IF($O$3="(Todas)",COUNTIFS(BASE[CODCIE10],ENOS_G3_DA_SD_AÑOS[[#This Row],[CIE-10]],BASE[Edad],""),COUNTIFS(BASE[Cod.Establecimiento],$O$3,BASE[CODCIE10],ENOS_G3_DA_SD_AÑOS[[#This Row],[CIE-10]],BASE[Edad],""))</f>
        <v>0</v>
      </c>
      <c r="AA209" s="8">
        <f>IF($O$3="(Todas)",COUNTIFS(BASE[CODCIE102],ENOS_G3_DA_SD_AÑOS[[#This Row],[CIE-10]],BASE[Edad],""),COUNTIFS(BASE[Cod.Establecimiento],$O$3,BASE[CODCIE102],ENOS_G3_DA_SD_AÑOS[[#This Row],[CIE-10]],BASE[Edad],""))</f>
        <v>0</v>
      </c>
      <c r="AB209" s="8">
        <f>IF($O$3="(Todas)",COUNTIFS(BASE[CODCIE104],ENOS_G3_DA_SD_AÑOS[[#This Row],[CIE-10]],BASE[Edad],""),COUNTIFS(BASE[Cod.Establecimiento],$O$3,BASE[CODCIE104],ENOS_G3_DA_SD_AÑOS[[#This Row],[CIE-10]],BASE[Edad],""))</f>
        <v>0</v>
      </c>
      <c r="AC209" s="8">
        <f>IF($O$3="(Todas)",COUNTIFS(BASE[CODCIE106],ENOS_G3_DA_SD_AÑOS[[#This Row],[CIE-10]],BASE[Edad],""),COUNTIFS(BASE[Cod.Establecimiento],$O$3,BASE[CODCIE106],ENOS_G3_DA_SD_AÑOS[[#This Row],[CIE-10]],BASE[Edad],""))</f>
        <v>0</v>
      </c>
      <c r="AD209" s="8">
        <f>IF($O$3="(Todas)",COUNTIFS(BASE[CODCIE108],ENOS_G3_DA_SD_AÑOS[[#This Row],[CIE-10]],BASE[Edad],""),COUNTIFS(BASE[Cod.Establecimiento],$O$3,BASE[CODCIE108],ENOS_G3_DA_SD_AÑOS[[#This Row],[CIE-10]],BASE[Edad],""))</f>
        <v>0</v>
      </c>
      <c r="AE209" s="8">
        <f>IF($O$3="(Todas)",COUNTIFS(BASE[CODCIE1010],ENOS_G3_DA_SD_AÑOS[[#This Row],[CIE-10]],BASE[Edad],""),COUNTIFS(BASE[Cod.Establecimiento],$O$3,BASE[CODCIE1010],ENOS_G3_DA_SD_AÑOS[[#This Row],[CIE-10]],BASE[Edad],""))</f>
        <v>0</v>
      </c>
      <c r="AF209" s="9">
        <f>SUM(ENOS_G3_DA_SD_AÑOS[[#This Row],[D1]:[D6]])</f>
        <v>0</v>
      </c>
    </row>
    <row r="210" spans="1:3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32" t="s">
        <v>323</v>
      </c>
      <c r="Q210" s="8">
        <f>IF($O$3="(Todas)",COUNTIFS(BASE[CODCIE10],ENOS_G3_DA_60_MAS_AÑOS[[#This Row],[CIE-10]],BASE[Edad],"&gt;=60"),COUNTIFS(BASE[Cod.Establecimiento],$O$3,BASE[CODCIE10],ENOS_G3_DA_60_MAS_AÑOS[[#This Row],[CIE-10]],BASE[Edad],"&gt;=60"))</f>
        <v>0</v>
      </c>
      <c r="R210" s="8">
        <f>IF($O$3="(Todas)",COUNTIFS(BASE[CODCIE102],ENOS_G3_DA_60_MAS_AÑOS[[#This Row],[CIE-10]],BASE[Edad],"&gt;=60"),COUNTIFS(BASE[Cod.Establecimiento],$O$3,BASE[CODCIE102],ENOS_G3_DA_60_MAS_AÑOS[[#This Row],[CIE-10]],BASE[Edad],"&gt;=60"))</f>
        <v>0</v>
      </c>
      <c r="S210" s="8">
        <f>IF($O$3="(Todas)",COUNTIFS(BASE[CODCIE104],ENOS_G3_DA_60_MAS_AÑOS[[#This Row],[CIE-10]],BASE[Edad],"&gt;=60"),COUNTIFS(BASE[Cod.Establecimiento],$O$3,BASE[CODCIE104],ENOS_G3_DA_60_MAS_AÑOS[[#This Row],[CIE-10]],BASE[Edad],"&gt;=60"))</f>
        <v>0</v>
      </c>
      <c r="T210" s="8">
        <f>IF($O$3="(Todas)",COUNTIFS(BASE[CODCIE106],ENOS_G3_DA_60_MAS_AÑOS[[#This Row],[CIE-10]],BASE[Edad],"&gt;=60"),COUNTIFS(BASE[Cod.Establecimiento],$O$3,BASE[CODCIE106],ENOS_G3_DA_60_MAS_AÑOS[[#This Row],[CIE-10]],BASE[Edad],"&gt;=60"))</f>
        <v>0</v>
      </c>
      <c r="U210" s="8">
        <f>IF($O$3="(Todas)",COUNTIFS(BASE[CODCIE108],ENOS_G3_DA_60_MAS_AÑOS[[#This Row],[CIE-10]],BASE[Edad],"&gt;=60"),COUNTIFS(BASE[Cod.Establecimiento],$O$3,BASE[CODCIE108],ENOS_G3_DA_60_MAS_AÑOS[[#This Row],[CIE-10]],BASE[Edad],"&gt;=60"))</f>
        <v>0</v>
      </c>
      <c r="V210" s="8">
        <f>IF($O$3="(Todas)",COUNTIFS(BASE[CODCIE1010],ENOS_G3_DA_60_MAS_AÑOS[[#This Row],[CIE-10]],BASE[Edad],"&gt;=60"),COUNTIFS(BASE[Cod.Establecimiento],$O$3,BASE[CODCIE1010],ENOS_G3_DA_60_MAS_AÑOS[[#This Row],[CIE-10]],BASE[Edad],"&gt;=60"))</f>
        <v>0</v>
      </c>
      <c r="W210" s="9">
        <f>SUM(ENOS_G3_DA_60_MAS_AÑOS[[#This Row],[D1]:[D6]])</f>
        <v>0</v>
      </c>
      <c r="X210" s="2"/>
      <c r="Y210" s="32" t="s">
        <v>323</v>
      </c>
      <c r="Z210" s="8">
        <f>IF($O$3="(Todas)",COUNTIFS(BASE[CODCIE10],ENOS_G3_DA_SD_AÑOS[[#This Row],[CIE-10]],BASE[Edad],""),COUNTIFS(BASE[Cod.Establecimiento],$O$3,BASE[CODCIE10],ENOS_G3_DA_SD_AÑOS[[#This Row],[CIE-10]],BASE[Edad],""))</f>
        <v>0</v>
      </c>
      <c r="AA210" s="8">
        <f>IF($O$3="(Todas)",COUNTIFS(BASE[CODCIE102],ENOS_G3_DA_SD_AÑOS[[#This Row],[CIE-10]],BASE[Edad],""),COUNTIFS(BASE[Cod.Establecimiento],$O$3,BASE[CODCIE102],ENOS_G3_DA_SD_AÑOS[[#This Row],[CIE-10]],BASE[Edad],""))</f>
        <v>0</v>
      </c>
      <c r="AB210" s="8">
        <f>IF($O$3="(Todas)",COUNTIFS(BASE[CODCIE104],ENOS_G3_DA_SD_AÑOS[[#This Row],[CIE-10]],BASE[Edad],""),COUNTIFS(BASE[Cod.Establecimiento],$O$3,BASE[CODCIE104],ENOS_G3_DA_SD_AÑOS[[#This Row],[CIE-10]],BASE[Edad],""))</f>
        <v>0</v>
      </c>
      <c r="AC210" s="8">
        <f>IF($O$3="(Todas)",COUNTIFS(BASE[CODCIE106],ENOS_G3_DA_SD_AÑOS[[#This Row],[CIE-10]],BASE[Edad],""),COUNTIFS(BASE[Cod.Establecimiento],$O$3,BASE[CODCIE106],ENOS_G3_DA_SD_AÑOS[[#This Row],[CIE-10]],BASE[Edad],""))</f>
        <v>0</v>
      </c>
      <c r="AD210" s="8">
        <f>IF($O$3="(Todas)",COUNTIFS(BASE[CODCIE108],ENOS_G3_DA_SD_AÑOS[[#This Row],[CIE-10]],BASE[Edad],""),COUNTIFS(BASE[Cod.Establecimiento],$O$3,BASE[CODCIE108],ENOS_G3_DA_SD_AÑOS[[#This Row],[CIE-10]],BASE[Edad],""))</f>
        <v>0</v>
      </c>
      <c r="AE210" s="8">
        <f>IF($O$3="(Todas)",COUNTIFS(BASE[CODCIE1010],ENOS_G3_DA_SD_AÑOS[[#This Row],[CIE-10]],BASE[Edad],""),COUNTIFS(BASE[Cod.Establecimiento],$O$3,BASE[CODCIE1010],ENOS_G3_DA_SD_AÑOS[[#This Row],[CIE-10]],BASE[Edad],""))</f>
        <v>0</v>
      </c>
      <c r="AF210" s="9">
        <f>SUM(ENOS_G3_DA_SD_AÑOS[[#This Row],[D1]:[D6]])</f>
        <v>0</v>
      </c>
    </row>
    <row r="211" spans="1:32" ht="18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32" t="s">
        <v>324</v>
      </c>
      <c r="Q211" s="8">
        <f>IF($O$3="(Todas)",COUNTIFS(BASE[CODCIE10],ENOS_G3_DA_60_MAS_AÑOS[[#This Row],[CIE-10]],BASE[Edad],"&gt;=60"),COUNTIFS(BASE[Cod.Establecimiento],$O$3,BASE[CODCIE10],ENOS_G3_DA_60_MAS_AÑOS[[#This Row],[CIE-10]],BASE[Edad],"&gt;=60"))</f>
        <v>0</v>
      </c>
      <c r="R211" s="8">
        <f>IF($O$3="(Todas)",COUNTIFS(BASE[CODCIE102],ENOS_G3_DA_60_MAS_AÑOS[[#This Row],[CIE-10]],BASE[Edad],"&gt;=60"),COUNTIFS(BASE[Cod.Establecimiento],$O$3,BASE[CODCIE102],ENOS_G3_DA_60_MAS_AÑOS[[#This Row],[CIE-10]],BASE[Edad],"&gt;=60"))</f>
        <v>0</v>
      </c>
      <c r="S211" s="8">
        <f>IF($O$3="(Todas)",COUNTIFS(BASE[CODCIE104],ENOS_G3_DA_60_MAS_AÑOS[[#This Row],[CIE-10]],BASE[Edad],"&gt;=60"),COUNTIFS(BASE[Cod.Establecimiento],$O$3,BASE[CODCIE104],ENOS_G3_DA_60_MAS_AÑOS[[#This Row],[CIE-10]],BASE[Edad],"&gt;=60"))</f>
        <v>0</v>
      </c>
      <c r="T211" s="8">
        <f>IF($O$3="(Todas)",COUNTIFS(BASE[CODCIE106],ENOS_G3_DA_60_MAS_AÑOS[[#This Row],[CIE-10]],BASE[Edad],"&gt;=60"),COUNTIFS(BASE[Cod.Establecimiento],$O$3,BASE[CODCIE106],ENOS_G3_DA_60_MAS_AÑOS[[#This Row],[CIE-10]],BASE[Edad],"&gt;=60"))</f>
        <v>0</v>
      </c>
      <c r="U211" s="8">
        <f>IF($O$3="(Todas)",COUNTIFS(BASE[CODCIE108],ENOS_G3_DA_60_MAS_AÑOS[[#This Row],[CIE-10]],BASE[Edad],"&gt;=60"),COUNTIFS(BASE[Cod.Establecimiento],$O$3,BASE[CODCIE108],ENOS_G3_DA_60_MAS_AÑOS[[#This Row],[CIE-10]],BASE[Edad],"&gt;=60"))</f>
        <v>0</v>
      </c>
      <c r="V211" s="8">
        <f>IF($O$3="(Todas)",COUNTIFS(BASE[CODCIE1010],ENOS_G3_DA_60_MAS_AÑOS[[#This Row],[CIE-10]],BASE[Edad],"&gt;=60"),COUNTIFS(BASE[Cod.Establecimiento],$O$3,BASE[CODCIE1010],ENOS_G3_DA_60_MAS_AÑOS[[#This Row],[CIE-10]],BASE[Edad],"&gt;=60"))</f>
        <v>0</v>
      </c>
      <c r="W211" s="9">
        <f>SUM(ENOS_G3_DA_60_MAS_AÑOS[[#This Row],[D1]:[D6]])</f>
        <v>0</v>
      </c>
      <c r="X211" s="2"/>
      <c r="Y211" s="32" t="s">
        <v>324</v>
      </c>
      <c r="Z211" s="8">
        <f>IF($O$3="(Todas)",COUNTIFS(BASE[CODCIE10],ENOS_G3_DA_SD_AÑOS[[#This Row],[CIE-10]],BASE[Edad],""),COUNTIFS(BASE[Cod.Establecimiento],$O$3,BASE[CODCIE10],ENOS_G3_DA_SD_AÑOS[[#This Row],[CIE-10]],BASE[Edad],""))</f>
        <v>0</v>
      </c>
      <c r="AA211" s="8">
        <f>IF($O$3="(Todas)",COUNTIFS(BASE[CODCIE102],ENOS_G3_DA_SD_AÑOS[[#This Row],[CIE-10]],BASE[Edad],""),COUNTIFS(BASE[Cod.Establecimiento],$O$3,BASE[CODCIE102],ENOS_G3_DA_SD_AÑOS[[#This Row],[CIE-10]],BASE[Edad],""))</f>
        <v>0</v>
      </c>
      <c r="AB211" s="8">
        <f>IF($O$3="(Todas)",COUNTIFS(BASE[CODCIE104],ENOS_G3_DA_SD_AÑOS[[#This Row],[CIE-10]],BASE[Edad],""),COUNTIFS(BASE[Cod.Establecimiento],$O$3,BASE[CODCIE104],ENOS_G3_DA_SD_AÑOS[[#This Row],[CIE-10]],BASE[Edad],""))</f>
        <v>0</v>
      </c>
      <c r="AC211" s="8">
        <f>IF($O$3="(Todas)",COUNTIFS(BASE[CODCIE106],ENOS_G3_DA_SD_AÑOS[[#This Row],[CIE-10]],BASE[Edad],""),COUNTIFS(BASE[Cod.Establecimiento],$O$3,BASE[CODCIE106],ENOS_G3_DA_SD_AÑOS[[#This Row],[CIE-10]],BASE[Edad],""))</f>
        <v>0</v>
      </c>
      <c r="AD211" s="8">
        <f>IF($O$3="(Todas)",COUNTIFS(BASE[CODCIE108],ENOS_G3_DA_SD_AÑOS[[#This Row],[CIE-10]],BASE[Edad],""),COUNTIFS(BASE[Cod.Establecimiento],$O$3,BASE[CODCIE108],ENOS_G3_DA_SD_AÑOS[[#This Row],[CIE-10]],BASE[Edad],""))</f>
        <v>0</v>
      </c>
      <c r="AE211" s="8">
        <f>IF($O$3="(Todas)",COUNTIFS(BASE[CODCIE1010],ENOS_G3_DA_SD_AÑOS[[#This Row],[CIE-10]],BASE[Edad],""),COUNTIFS(BASE[Cod.Establecimiento],$O$3,BASE[CODCIE1010],ENOS_G3_DA_SD_AÑOS[[#This Row],[CIE-10]],BASE[Edad],""))</f>
        <v>0</v>
      </c>
      <c r="AF211" s="9">
        <f>SUM(ENOS_G3_DA_SD_AÑOS[[#This Row],[D1]:[D6]])</f>
        <v>0</v>
      </c>
    </row>
    <row r="212" spans="1:3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32" t="s">
        <v>261</v>
      </c>
      <c r="Q212" s="8">
        <f>IF($O$3="(Todas)",COUNTIFS(BASE[CODCIE10],ENOS_G3_DA_60_MAS_AÑOS[[#This Row],[CIE-10]],BASE[Edad],"&gt;=60"),COUNTIFS(BASE[Cod.Establecimiento],$O$3,BASE[CODCIE10],ENOS_G3_DA_60_MAS_AÑOS[[#This Row],[CIE-10]],BASE[Edad],"&gt;=60"))</f>
        <v>0</v>
      </c>
      <c r="R212" s="8">
        <f>IF($O$3="(Todas)",COUNTIFS(BASE[CODCIE102],ENOS_G3_DA_60_MAS_AÑOS[[#This Row],[CIE-10]],BASE[Edad],"&gt;=60"),COUNTIFS(BASE[Cod.Establecimiento],$O$3,BASE[CODCIE102],ENOS_G3_DA_60_MAS_AÑOS[[#This Row],[CIE-10]],BASE[Edad],"&gt;=60"))</f>
        <v>0</v>
      </c>
      <c r="S212" s="8">
        <f>IF($O$3="(Todas)",COUNTIFS(BASE[CODCIE104],ENOS_G3_DA_60_MAS_AÑOS[[#This Row],[CIE-10]],BASE[Edad],"&gt;=60"),COUNTIFS(BASE[Cod.Establecimiento],$O$3,BASE[CODCIE104],ENOS_G3_DA_60_MAS_AÑOS[[#This Row],[CIE-10]],BASE[Edad],"&gt;=60"))</f>
        <v>0</v>
      </c>
      <c r="T212" s="8">
        <f>IF($O$3="(Todas)",COUNTIFS(BASE[CODCIE106],ENOS_G3_DA_60_MAS_AÑOS[[#This Row],[CIE-10]],BASE[Edad],"&gt;=60"),COUNTIFS(BASE[Cod.Establecimiento],$O$3,BASE[CODCIE106],ENOS_G3_DA_60_MAS_AÑOS[[#This Row],[CIE-10]],BASE[Edad],"&gt;=60"))</f>
        <v>0</v>
      </c>
      <c r="U212" s="8">
        <f>IF($O$3="(Todas)",COUNTIFS(BASE[CODCIE108],ENOS_G3_DA_60_MAS_AÑOS[[#This Row],[CIE-10]],BASE[Edad],"&gt;=60"),COUNTIFS(BASE[Cod.Establecimiento],$O$3,BASE[CODCIE108],ENOS_G3_DA_60_MAS_AÑOS[[#This Row],[CIE-10]],BASE[Edad],"&gt;=60"))</f>
        <v>0</v>
      </c>
      <c r="V212" s="8">
        <f>IF($O$3="(Todas)",COUNTIFS(BASE[CODCIE1010],ENOS_G3_DA_60_MAS_AÑOS[[#This Row],[CIE-10]],BASE[Edad],"&gt;=60"),COUNTIFS(BASE[Cod.Establecimiento],$O$3,BASE[CODCIE1010],ENOS_G3_DA_60_MAS_AÑOS[[#This Row],[CIE-10]],BASE[Edad],"&gt;=60"))</f>
        <v>0</v>
      </c>
      <c r="W212" s="9">
        <f>SUM(ENOS_G3_DA_60_MAS_AÑOS[[#This Row],[D1]:[D6]])</f>
        <v>0</v>
      </c>
      <c r="X212" s="2"/>
      <c r="Y212" s="32" t="s">
        <v>261</v>
      </c>
      <c r="Z212" s="8">
        <f>IF($O$3="(Todas)",COUNTIFS(BASE[CODCIE10],ENOS_G3_DA_SD_AÑOS[[#This Row],[CIE-10]],BASE[Edad],""),COUNTIFS(BASE[Cod.Establecimiento],$O$3,BASE[CODCIE10],ENOS_G3_DA_SD_AÑOS[[#This Row],[CIE-10]],BASE[Edad],""))</f>
        <v>0</v>
      </c>
      <c r="AA212" s="8">
        <f>IF($O$3="(Todas)",COUNTIFS(BASE[CODCIE102],ENOS_G3_DA_SD_AÑOS[[#This Row],[CIE-10]],BASE[Edad],""),COUNTIFS(BASE[Cod.Establecimiento],$O$3,BASE[CODCIE102],ENOS_G3_DA_SD_AÑOS[[#This Row],[CIE-10]],BASE[Edad],""))</f>
        <v>0</v>
      </c>
      <c r="AB212" s="8">
        <f>IF($O$3="(Todas)",COUNTIFS(BASE[CODCIE104],ENOS_G3_DA_SD_AÑOS[[#This Row],[CIE-10]],BASE[Edad],""),COUNTIFS(BASE[Cod.Establecimiento],$O$3,BASE[CODCIE104],ENOS_G3_DA_SD_AÑOS[[#This Row],[CIE-10]],BASE[Edad],""))</f>
        <v>0</v>
      </c>
      <c r="AC212" s="8">
        <f>IF($O$3="(Todas)",COUNTIFS(BASE[CODCIE106],ENOS_G3_DA_SD_AÑOS[[#This Row],[CIE-10]],BASE[Edad],""),COUNTIFS(BASE[Cod.Establecimiento],$O$3,BASE[CODCIE106],ENOS_G3_DA_SD_AÑOS[[#This Row],[CIE-10]],BASE[Edad],""))</f>
        <v>0</v>
      </c>
      <c r="AD212" s="8">
        <f>IF($O$3="(Todas)",COUNTIFS(BASE[CODCIE108],ENOS_G3_DA_SD_AÑOS[[#This Row],[CIE-10]],BASE[Edad],""),COUNTIFS(BASE[Cod.Establecimiento],$O$3,BASE[CODCIE108],ENOS_G3_DA_SD_AÑOS[[#This Row],[CIE-10]],BASE[Edad],""))</f>
        <v>0</v>
      </c>
      <c r="AE212" s="8">
        <f>IF($O$3="(Todas)",COUNTIFS(BASE[CODCIE1010],ENOS_G3_DA_SD_AÑOS[[#This Row],[CIE-10]],BASE[Edad],""),COUNTIFS(BASE[Cod.Establecimiento],$O$3,BASE[CODCIE1010],ENOS_G3_DA_SD_AÑOS[[#This Row],[CIE-10]],BASE[Edad],""))</f>
        <v>0</v>
      </c>
      <c r="AF212" s="9">
        <f>SUM(ENOS_G3_DA_SD_AÑOS[[#This Row],[D1]:[D6]])</f>
        <v>0</v>
      </c>
    </row>
    <row r="213" spans="1:32" ht="18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32" t="s">
        <v>299</v>
      </c>
      <c r="Q213" s="8">
        <f>IF($O$3="(Todas)",COUNTIFS(BASE[CODCIE10],ENOS_G3_DA_60_MAS_AÑOS[[#This Row],[CIE-10]],BASE[Edad],"&gt;=60"),COUNTIFS(BASE[Cod.Establecimiento],$O$3,BASE[CODCIE10],ENOS_G3_DA_60_MAS_AÑOS[[#This Row],[CIE-10]],BASE[Edad],"&gt;=60"))</f>
        <v>0</v>
      </c>
      <c r="R213" s="8">
        <f>IF($O$3="(Todas)",COUNTIFS(BASE[CODCIE102],ENOS_G3_DA_60_MAS_AÑOS[[#This Row],[CIE-10]],BASE[Edad],"&gt;=60"),COUNTIFS(BASE[Cod.Establecimiento],$O$3,BASE[CODCIE102],ENOS_G3_DA_60_MAS_AÑOS[[#This Row],[CIE-10]],BASE[Edad],"&gt;=60"))</f>
        <v>0</v>
      </c>
      <c r="S213" s="8">
        <f>IF($O$3="(Todas)",COUNTIFS(BASE[CODCIE104],ENOS_G3_DA_60_MAS_AÑOS[[#This Row],[CIE-10]],BASE[Edad],"&gt;=60"),COUNTIFS(BASE[Cod.Establecimiento],$O$3,BASE[CODCIE104],ENOS_G3_DA_60_MAS_AÑOS[[#This Row],[CIE-10]],BASE[Edad],"&gt;=60"))</f>
        <v>0</v>
      </c>
      <c r="T213" s="8">
        <f>IF($O$3="(Todas)",COUNTIFS(BASE[CODCIE106],ENOS_G3_DA_60_MAS_AÑOS[[#This Row],[CIE-10]],BASE[Edad],"&gt;=60"),COUNTIFS(BASE[Cod.Establecimiento],$O$3,BASE[CODCIE106],ENOS_G3_DA_60_MAS_AÑOS[[#This Row],[CIE-10]],BASE[Edad],"&gt;=60"))</f>
        <v>0</v>
      </c>
      <c r="U213" s="8">
        <f>IF($O$3="(Todas)",COUNTIFS(BASE[CODCIE108],ENOS_G3_DA_60_MAS_AÑOS[[#This Row],[CIE-10]],BASE[Edad],"&gt;=60"),COUNTIFS(BASE[Cod.Establecimiento],$O$3,BASE[CODCIE108],ENOS_G3_DA_60_MAS_AÑOS[[#This Row],[CIE-10]],BASE[Edad],"&gt;=60"))</f>
        <v>0</v>
      </c>
      <c r="V213" s="8">
        <f>IF($O$3="(Todas)",COUNTIFS(BASE[CODCIE1010],ENOS_G3_DA_60_MAS_AÑOS[[#This Row],[CIE-10]],BASE[Edad],"&gt;=60"),COUNTIFS(BASE[Cod.Establecimiento],$O$3,BASE[CODCIE1010],ENOS_G3_DA_60_MAS_AÑOS[[#This Row],[CIE-10]],BASE[Edad],"&gt;=60"))</f>
        <v>0</v>
      </c>
      <c r="W213" s="9">
        <f>SUM(ENOS_G3_DA_60_MAS_AÑOS[[#This Row],[D1]:[D6]])</f>
        <v>0</v>
      </c>
      <c r="X213" s="2"/>
      <c r="Y213" s="32" t="s">
        <v>299</v>
      </c>
      <c r="Z213" s="8">
        <f>IF($O$3="(Todas)",COUNTIFS(BASE[CODCIE10],ENOS_G3_DA_SD_AÑOS[[#This Row],[CIE-10]],BASE[Edad],""),COUNTIFS(BASE[Cod.Establecimiento],$O$3,BASE[CODCIE10],ENOS_G3_DA_SD_AÑOS[[#This Row],[CIE-10]],BASE[Edad],""))</f>
        <v>0</v>
      </c>
      <c r="AA213" s="8">
        <f>IF($O$3="(Todas)",COUNTIFS(BASE[CODCIE102],ENOS_G3_DA_SD_AÑOS[[#This Row],[CIE-10]],BASE[Edad],""),COUNTIFS(BASE[Cod.Establecimiento],$O$3,BASE[CODCIE102],ENOS_G3_DA_SD_AÑOS[[#This Row],[CIE-10]],BASE[Edad],""))</f>
        <v>0</v>
      </c>
      <c r="AB213" s="8">
        <f>IF($O$3="(Todas)",COUNTIFS(BASE[CODCIE104],ENOS_G3_DA_SD_AÑOS[[#This Row],[CIE-10]],BASE[Edad],""),COUNTIFS(BASE[Cod.Establecimiento],$O$3,BASE[CODCIE104],ENOS_G3_DA_SD_AÑOS[[#This Row],[CIE-10]],BASE[Edad],""))</f>
        <v>0</v>
      </c>
      <c r="AC213" s="8">
        <f>IF($O$3="(Todas)",COUNTIFS(BASE[CODCIE106],ENOS_G3_DA_SD_AÑOS[[#This Row],[CIE-10]],BASE[Edad],""),COUNTIFS(BASE[Cod.Establecimiento],$O$3,BASE[CODCIE106],ENOS_G3_DA_SD_AÑOS[[#This Row],[CIE-10]],BASE[Edad],""))</f>
        <v>0</v>
      </c>
      <c r="AD213" s="8">
        <f>IF($O$3="(Todas)",COUNTIFS(BASE[CODCIE108],ENOS_G3_DA_SD_AÑOS[[#This Row],[CIE-10]],BASE[Edad],""),COUNTIFS(BASE[Cod.Establecimiento],$O$3,BASE[CODCIE108],ENOS_G3_DA_SD_AÑOS[[#This Row],[CIE-10]],BASE[Edad],""))</f>
        <v>0</v>
      </c>
      <c r="AE213" s="8">
        <f>IF($O$3="(Todas)",COUNTIFS(BASE[CODCIE1010],ENOS_G3_DA_SD_AÑOS[[#This Row],[CIE-10]],BASE[Edad],""),COUNTIFS(BASE[Cod.Establecimiento],$O$3,BASE[CODCIE1010],ENOS_G3_DA_SD_AÑOS[[#This Row],[CIE-10]],BASE[Edad],""))</f>
        <v>0</v>
      </c>
      <c r="AF213" s="9">
        <f>SUM(ENOS_G3_DA_SD_AÑOS[[#This Row],[D1]:[D6]])</f>
        <v>0</v>
      </c>
    </row>
    <row r="214" spans="1:32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32" t="s">
        <v>325</v>
      </c>
      <c r="Q214" s="8">
        <f>IF($O$3="(Todas)",COUNTIFS(BASE[CODCIE10],ENOS_G3_DA_60_MAS_AÑOS[[#This Row],[CIE-10]],BASE[Edad],"&gt;=60"),COUNTIFS(BASE[Cod.Establecimiento],$O$3,BASE[CODCIE10],ENOS_G3_DA_60_MAS_AÑOS[[#This Row],[CIE-10]],BASE[Edad],"&gt;=60"))</f>
        <v>0</v>
      </c>
      <c r="R214" s="8">
        <f>IF($O$3="(Todas)",COUNTIFS(BASE[CODCIE102],ENOS_G3_DA_60_MAS_AÑOS[[#This Row],[CIE-10]],BASE[Edad],"&gt;=60"),COUNTIFS(BASE[Cod.Establecimiento],$O$3,BASE[CODCIE102],ENOS_G3_DA_60_MAS_AÑOS[[#This Row],[CIE-10]],BASE[Edad],"&gt;=60"))</f>
        <v>0</v>
      </c>
      <c r="S214" s="8">
        <f>IF($O$3="(Todas)",COUNTIFS(BASE[CODCIE104],ENOS_G3_DA_60_MAS_AÑOS[[#This Row],[CIE-10]],BASE[Edad],"&gt;=60"),COUNTIFS(BASE[Cod.Establecimiento],$O$3,BASE[CODCIE104],ENOS_G3_DA_60_MAS_AÑOS[[#This Row],[CIE-10]],BASE[Edad],"&gt;=60"))</f>
        <v>0</v>
      </c>
      <c r="T214" s="8">
        <f>IF($O$3="(Todas)",COUNTIFS(BASE[CODCIE106],ENOS_G3_DA_60_MAS_AÑOS[[#This Row],[CIE-10]],BASE[Edad],"&gt;=60"),COUNTIFS(BASE[Cod.Establecimiento],$O$3,BASE[CODCIE106],ENOS_G3_DA_60_MAS_AÑOS[[#This Row],[CIE-10]],BASE[Edad],"&gt;=60"))</f>
        <v>0</v>
      </c>
      <c r="U214" s="8">
        <f>IF($O$3="(Todas)",COUNTIFS(BASE[CODCIE108],ENOS_G3_DA_60_MAS_AÑOS[[#This Row],[CIE-10]],BASE[Edad],"&gt;=60"),COUNTIFS(BASE[Cod.Establecimiento],$O$3,BASE[CODCIE108],ENOS_G3_DA_60_MAS_AÑOS[[#This Row],[CIE-10]],BASE[Edad],"&gt;=60"))</f>
        <v>0</v>
      </c>
      <c r="V214" s="8">
        <f>IF($O$3="(Todas)",COUNTIFS(BASE[CODCIE1010],ENOS_G3_DA_60_MAS_AÑOS[[#This Row],[CIE-10]],BASE[Edad],"&gt;=60"),COUNTIFS(BASE[Cod.Establecimiento],$O$3,BASE[CODCIE1010],ENOS_G3_DA_60_MAS_AÑOS[[#This Row],[CIE-10]],BASE[Edad],"&gt;=60"))</f>
        <v>0</v>
      </c>
      <c r="W214" s="9">
        <f>SUM(ENOS_G3_DA_60_MAS_AÑOS[[#This Row],[D1]:[D6]])</f>
        <v>0</v>
      </c>
      <c r="X214" s="2"/>
      <c r="Y214" s="32" t="s">
        <v>325</v>
      </c>
      <c r="Z214" s="8">
        <f>IF($O$3="(Todas)",COUNTIFS(BASE[CODCIE10],ENOS_G3_DA_SD_AÑOS[[#This Row],[CIE-10]],BASE[Edad],""),COUNTIFS(BASE[Cod.Establecimiento],$O$3,BASE[CODCIE10],ENOS_G3_DA_SD_AÑOS[[#This Row],[CIE-10]],BASE[Edad],""))</f>
        <v>0</v>
      </c>
      <c r="AA214" s="8">
        <f>IF($O$3="(Todas)",COUNTIFS(BASE[CODCIE102],ENOS_G3_DA_SD_AÑOS[[#This Row],[CIE-10]],BASE[Edad],""),COUNTIFS(BASE[Cod.Establecimiento],$O$3,BASE[CODCIE102],ENOS_G3_DA_SD_AÑOS[[#This Row],[CIE-10]],BASE[Edad],""))</f>
        <v>0</v>
      </c>
      <c r="AB214" s="8">
        <f>IF($O$3="(Todas)",COUNTIFS(BASE[CODCIE104],ENOS_G3_DA_SD_AÑOS[[#This Row],[CIE-10]],BASE[Edad],""),COUNTIFS(BASE[Cod.Establecimiento],$O$3,BASE[CODCIE104],ENOS_G3_DA_SD_AÑOS[[#This Row],[CIE-10]],BASE[Edad],""))</f>
        <v>0</v>
      </c>
      <c r="AC214" s="8">
        <f>IF($O$3="(Todas)",COUNTIFS(BASE[CODCIE106],ENOS_G3_DA_SD_AÑOS[[#This Row],[CIE-10]],BASE[Edad],""),COUNTIFS(BASE[Cod.Establecimiento],$O$3,BASE[CODCIE106],ENOS_G3_DA_SD_AÑOS[[#This Row],[CIE-10]],BASE[Edad],""))</f>
        <v>0</v>
      </c>
      <c r="AD214" s="8">
        <f>IF($O$3="(Todas)",COUNTIFS(BASE[CODCIE108],ENOS_G3_DA_SD_AÑOS[[#This Row],[CIE-10]],BASE[Edad],""),COUNTIFS(BASE[Cod.Establecimiento],$O$3,BASE[CODCIE108],ENOS_G3_DA_SD_AÑOS[[#This Row],[CIE-10]],BASE[Edad],""))</f>
        <v>0</v>
      </c>
      <c r="AE214" s="8">
        <f>IF($O$3="(Todas)",COUNTIFS(BASE[CODCIE1010],ENOS_G3_DA_SD_AÑOS[[#This Row],[CIE-10]],BASE[Edad],""),COUNTIFS(BASE[Cod.Establecimiento],$O$3,BASE[CODCIE1010],ENOS_G3_DA_SD_AÑOS[[#This Row],[CIE-10]],BASE[Edad],""))</f>
        <v>0</v>
      </c>
      <c r="AF214" s="9">
        <f>SUM(ENOS_G3_DA_SD_AÑOS[[#This Row],[D1]:[D6]])</f>
        <v>0</v>
      </c>
    </row>
    <row r="215" spans="1:3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32" t="s">
        <v>326</v>
      </c>
      <c r="Q215" s="8">
        <f>IF($O$3="(Todas)",COUNTIFS(BASE[CODCIE10],ENOS_G3_DA_60_MAS_AÑOS[[#This Row],[CIE-10]],BASE[Edad],"&gt;=60"),COUNTIFS(BASE[Cod.Establecimiento],$O$3,BASE[CODCIE10],ENOS_G3_DA_60_MAS_AÑOS[[#This Row],[CIE-10]],BASE[Edad],"&gt;=60"))</f>
        <v>0</v>
      </c>
      <c r="R215" s="8">
        <f>IF($O$3="(Todas)",COUNTIFS(BASE[CODCIE102],ENOS_G3_DA_60_MAS_AÑOS[[#This Row],[CIE-10]],BASE[Edad],"&gt;=60"),COUNTIFS(BASE[Cod.Establecimiento],$O$3,BASE[CODCIE102],ENOS_G3_DA_60_MAS_AÑOS[[#This Row],[CIE-10]],BASE[Edad],"&gt;=60"))</f>
        <v>0</v>
      </c>
      <c r="S215" s="8">
        <f>IF($O$3="(Todas)",COUNTIFS(BASE[CODCIE104],ENOS_G3_DA_60_MAS_AÑOS[[#This Row],[CIE-10]],BASE[Edad],"&gt;=60"),COUNTIFS(BASE[Cod.Establecimiento],$O$3,BASE[CODCIE104],ENOS_G3_DA_60_MAS_AÑOS[[#This Row],[CIE-10]],BASE[Edad],"&gt;=60"))</f>
        <v>0</v>
      </c>
      <c r="T215" s="8">
        <f>IF($O$3="(Todas)",COUNTIFS(BASE[CODCIE106],ENOS_G3_DA_60_MAS_AÑOS[[#This Row],[CIE-10]],BASE[Edad],"&gt;=60"),COUNTIFS(BASE[Cod.Establecimiento],$O$3,BASE[CODCIE106],ENOS_G3_DA_60_MAS_AÑOS[[#This Row],[CIE-10]],BASE[Edad],"&gt;=60"))</f>
        <v>0</v>
      </c>
      <c r="U215" s="8">
        <f>IF($O$3="(Todas)",COUNTIFS(BASE[CODCIE108],ENOS_G3_DA_60_MAS_AÑOS[[#This Row],[CIE-10]],BASE[Edad],"&gt;=60"),COUNTIFS(BASE[Cod.Establecimiento],$O$3,BASE[CODCIE108],ENOS_G3_DA_60_MAS_AÑOS[[#This Row],[CIE-10]],BASE[Edad],"&gt;=60"))</f>
        <v>0</v>
      </c>
      <c r="V215" s="8">
        <f>IF($O$3="(Todas)",COUNTIFS(BASE[CODCIE1010],ENOS_G3_DA_60_MAS_AÑOS[[#This Row],[CIE-10]],BASE[Edad],"&gt;=60"),COUNTIFS(BASE[Cod.Establecimiento],$O$3,BASE[CODCIE1010],ENOS_G3_DA_60_MAS_AÑOS[[#This Row],[CIE-10]],BASE[Edad],"&gt;=60"))</f>
        <v>0</v>
      </c>
      <c r="W215" s="9">
        <f>SUM(ENOS_G3_DA_60_MAS_AÑOS[[#This Row],[D1]:[D6]])</f>
        <v>0</v>
      </c>
      <c r="X215" s="2"/>
      <c r="Y215" s="32" t="s">
        <v>326</v>
      </c>
      <c r="Z215" s="8">
        <f>IF($O$3="(Todas)",COUNTIFS(BASE[CODCIE10],ENOS_G3_DA_SD_AÑOS[[#This Row],[CIE-10]],BASE[Edad],""),COUNTIFS(BASE[Cod.Establecimiento],$O$3,BASE[CODCIE10],ENOS_G3_DA_SD_AÑOS[[#This Row],[CIE-10]],BASE[Edad],""))</f>
        <v>0</v>
      </c>
      <c r="AA215" s="8">
        <f>IF($O$3="(Todas)",COUNTIFS(BASE[CODCIE102],ENOS_G3_DA_SD_AÑOS[[#This Row],[CIE-10]],BASE[Edad],""),COUNTIFS(BASE[Cod.Establecimiento],$O$3,BASE[CODCIE102],ENOS_G3_DA_SD_AÑOS[[#This Row],[CIE-10]],BASE[Edad],""))</f>
        <v>0</v>
      </c>
      <c r="AB215" s="8">
        <f>IF($O$3="(Todas)",COUNTIFS(BASE[CODCIE104],ENOS_G3_DA_SD_AÑOS[[#This Row],[CIE-10]],BASE[Edad],""),COUNTIFS(BASE[Cod.Establecimiento],$O$3,BASE[CODCIE104],ENOS_G3_DA_SD_AÑOS[[#This Row],[CIE-10]],BASE[Edad],""))</f>
        <v>0</v>
      </c>
      <c r="AC215" s="8">
        <f>IF($O$3="(Todas)",COUNTIFS(BASE[CODCIE106],ENOS_G3_DA_SD_AÑOS[[#This Row],[CIE-10]],BASE[Edad],""),COUNTIFS(BASE[Cod.Establecimiento],$O$3,BASE[CODCIE106],ENOS_G3_DA_SD_AÑOS[[#This Row],[CIE-10]],BASE[Edad],""))</f>
        <v>0</v>
      </c>
      <c r="AD215" s="8">
        <f>IF($O$3="(Todas)",COUNTIFS(BASE[CODCIE108],ENOS_G3_DA_SD_AÑOS[[#This Row],[CIE-10]],BASE[Edad],""),COUNTIFS(BASE[Cod.Establecimiento],$O$3,BASE[CODCIE108],ENOS_G3_DA_SD_AÑOS[[#This Row],[CIE-10]],BASE[Edad],""))</f>
        <v>0</v>
      </c>
      <c r="AE215" s="8">
        <f>IF($O$3="(Todas)",COUNTIFS(BASE[CODCIE1010],ENOS_G3_DA_SD_AÑOS[[#This Row],[CIE-10]],BASE[Edad],""),COUNTIFS(BASE[Cod.Establecimiento],$O$3,BASE[CODCIE1010],ENOS_G3_DA_SD_AÑOS[[#This Row],[CIE-10]],BASE[Edad],""))</f>
        <v>0</v>
      </c>
      <c r="AF215" s="9">
        <f>SUM(ENOS_G3_DA_SD_AÑOS[[#This Row],[D1]:[D6]])</f>
        <v>0</v>
      </c>
    </row>
    <row r="216" spans="1:32">
      <c r="A216" s="2"/>
      <c r="B216" s="2"/>
      <c r="C216" s="2"/>
      <c r="D216" s="2"/>
      <c r="E216" s="2"/>
      <c r="F216" s="2"/>
      <c r="G216" s="2"/>
      <c r="H216" s="2"/>
      <c r="I216" s="2"/>
      <c r="J216" s="79"/>
      <c r="K216" s="85"/>
      <c r="L216" s="79"/>
      <c r="M216" s="85"/>
      <c r="N216" s="85"/>
      <c r="O216" s="2"/>
      <c r="P216" s="32" t="s">
        <v>327</v>
      </c>
      <c r="Q216" s="8">
        <f>IF($O$3="(Todas)",COUNTIFS(BASE[CODCIE10],ENOS_G3_DA_60_MAS_AÑOS[[#This Row],[CIE-10]],BASE[Edad],"&gt;=60"),COUNTIFS(BASE[Cod.Establecimiento],$O$3,BASE[CODCIE10],ENOS_G3_DA_60_MAS_AÑOS[[#This Row],[CIE-10]],BASE[Edad],"&gt;=60"))</f>
        <v>0</v>
      </c>
      <c r="R216" s="8">
        <f>IF($O$3="(Todas)",COUNTIFS(BASE[CODCIE102],ENOS_G3_DA_60_MAS_AÑOS[[#This Row],[CIE-10]],BASE[Edad],"&gt;=60"),COUNTIFS(BASE[Cod.Establecimiento],$O$3,BASE[CODCIE102],ENOS_G3_DA_60_MAS_AÑOS[[#This Row],[CIE-10]],BASE[Edad],"&gt;=60"))</f>
        <v>0</v>
      </c>
      <c r="S216" s="8">
        <f>IF($O$3="(Todas)",COUNTIFS(BASE[CODCIE104],ENOS_G3_DA_60_MAS_AÑOS[[#This Row],[CIE-10]],BASE[Edad],"&gt;=60"),COUNTIFS(BASE[Cod.Establecimiento],$O$3,BASE[CODCIE104],ENOS_G3_DA_60_MAS_AÑOS[[#This Row],[CIE-10]],BASE[Edad],"&gt;=60"))</f>
        <v>0</v>
      </c>
      <c r="T216" s="8">
        <f>IF($O$3="(Todas)",COUNTIFS(BASE[CODCIE106],ENOS_G3_DA_60_MAS_AÑOS[[#This Row],[CIE-10]],BASE[Edad],"&gt;=60"),COUNTIFS(BASE[Cod.Establecimiento],$O$3,BASE[CODCIE106],ENOS_G3_DA_60_MAS_AÑOS[[#This Row],[CIE-10]],BASE[Edad],"&gt;=60"))</f>
        <v>0</v>
      </c>
      <c r="U216" s="8">
        <f>IF($O$3="(Todas)",COUNTIFS(BASE[CODCIE108],ENOS_G3_DA_60_MAS_AÑOS[[#This Row],[CIE-10]],BASE[Edad],"&gt;=60"),COUNTIFS(BASE[Cod.Establecimiento],$O$3,BASE[CODCIE108],ENOS_G3_DA_60_MAS_AÑOS[[#This Row],[CIE-10]],BASE[Edad],"&gt;=60"))</f>
        <v>0</v>
      </c>
      <c r="V216" s="8">
        <f>IF($O$3="(Todas)",COUNTIFS(BASE[CODCIE1010],ENOS_G3_DA_60_MAS_AÑOS[[#This Row],[CIE-10]],BASE[Edad],"&gt;=60"),COUNTIFS(BASE[Cod.Establecimiento],$O$3,BASE[CODCIE1010],ENOS_G3_DA_60_MAS_AÑOS[[#This Row],[CIE-10]],BASE[Edad],"&gt;=60"))</f>
        <v>0</v>
      </c>
      <c r="W216" s="9">
        <f>SUM(ENOS_G3_DA_60_MAS_AÑOS[[#This Row],[D1]:[D6]])</f>
        <v>0</v>
      </c>
      <c r="X216" s="2"/>
      <c r="Y216" s="32" t="s">
        <v>327</v>
      </c>
      <c r="Z216" s="8">
        <f>IF($O$3="(Todas)",COUNTIFS(BASE[CODCIE10],ENOS_G3_DA_SD_AÑOS[[#This Row],[CIE-10]],BASE[Edad],""),COUNTIFS(BASE[Cod.Establecimiento],$O$3,BASE[CODCIE10],ENOS_G3_DA_SD_AÑOS[[#This Row],[CIE-10]],BASE[Edad],""))</f>
        <v>0</v>
      </c>
      <c r="AA216" s="8">
        <f>IF($O$3="(Todas)",COUNTIFS(BASE[CODCIE102],ENOS_G3_DA_SD_AÑOS[[#This Row],[CIE-10]],BASE[Edad],""),COUNTIFS(BASE[Cod.Establecimiento],$O$3,BASE[CODCIE102],ENOS_G3_DA_SD_AÑOS[[#This Row],[CIE-10]],BASE[Edad],""))</f>
        <v>0</v>
      </c>
      <c r="AB216" s="8">
        <f>IF($O$3="(Todas)",COUNTIFS(BASE[CODCIE104],ENOS_G3_DA_SD_AÑOS[[#This Row],[CIE-10]],BASE[Edad],""),COUNTIFS(BASE[Cod.Establecimiento],$O$3,BASE[CODCIE104],ENOS_G3_DA_SD_AÑOS[[#This Row],[CIE-10]],BASE[Edad],""))</f>
        <v>0</v>
      </c>
      <c r="AC216" s="8">
        <f>IF($O$3="(Todas)",COUNTIFS(BASE[CODCIE106],ENOS_G3_DA_SD_AÑOS[[#This Row],[CIE-10]],BASE[Edad],""),COUNTIFS(BASE[Cod.Establecimiento],$O$3,BASE[CODCIE106],ENOS_G3_DA_SD_AÑOS[[#This Row],[CIE-10]],BASE[Edad],""))</f>
        <v>0</v>
      </c>
      <c r="AD216" s="8">
        <f>IF($O$3="(Todas)",COUNTIFS(BASE[CODCIE108],ENOS_G3_DA_SD_AÑOS[[#This Row],[CIE-10]],BASE[Edad],""),COUNTIFS(BASE[Cod.Establecimiento],$O$3,BASE[CODCIE108],ENOS_G3_DA_SD_AÑOS[[#This Row],[CIE-10]],BASE[Edad],""))</f>
        <v>0</v>
      </c>
      <c r="AE216" s="8">
        <f>IF($O$3="(Todas)",COUNTIFS(BASE[CODCIE1010],ENOS_G3_DA_SD_AÑOS[[#This Row],[CIE-10]],BASE[Edad],""),COUNTIFS(BASE[Cod.Establecimiento],$O$3,BASE[CODCIE1010],ENOS_G3_DA_SD_AÑOS[[#This Row],[CIE-10]],BASE[Edad],""))</f>
        <v>0</v>
      </c>
      <c r="AF216" s="9">
        <f>SUM(ENOS_G3_DA_SD_AÑOS[[#This Row],[D1]:[D6]])</f>
        <v>0</v>
      </c>
    </row>
    <row r="217" spans="1:32">
      <c r="X217" s="2"/>
    </row>
    <row r="218" spans="1:32">
      <c r="X218" s="2"/>
    </row>
    <row r="219" spans="1:32">
      <c r="X219" s="2"/>
    </row>
    <row r="220" spans="1:32">
      <c r="X220" s="2"/>
    </row>
    <row r="221" spans="1:32">
      <c r="X221" s="2"/>
    </row>
    <row r="222" spans="1:32">
      <c r="X222" s="2"/>
    </row>
    <row r="223" spans="1:32">
      <c r="X223" s="2"/>
    </row>
    <row r="224" spans="1:32" ht="18" customHeight="1">
      <c r="X224" s="2"/>
    </row>
    <row r="225" spans="24:24" ht="15.75" customHeight="1">
      <c r="X225" s="2"/>
    </row>
    <row r="226" spans="24:24">
      <c r="X226" s="2"/>
    </row>
    <row r="227" spans="24:24">
      <c r="X227" s="2"/>
    </row>
    <row r="228" spans="24:24">
      <c r="X228" s="2"/>
    </row>
    <row r="229" spans="24:24">
      <c r="X229" s="2"/>
    </row>
    <row r="230" spans="24:24">
      <c r="X230" s="2"/>
    </row>
    <row r="231" spans="24:24">
      <c r="X231" s="2"/>
    </row>
    <row r="232" spans="24:24">
      <c r="X232" s="2"/>
    </row>
    <row r="233" spans="24:24">
      <c r="X233" s="2"/>
    </row>
    <row r="234" spans="24:24">
      <c r="X234" s="2"/>
    </row>
    <row r="235" spans="24:24" ht="18" customHeight="1">
      <c r="X235" s="2"/>
    </row>
    <row r="236" spans="24:24" ht="15.75" customHeight="1">
      <c r="X236" s="2"/>
    </row>
    <row r="237" spans="24:24">
      <c r="X237" s="2"/>
    </row>
    <row r="238" spans="24:24">
      <c r="X238" s="2"/>
    </row>
    <row r="239" spans="24:24">
      <c r="X239" s="2"/>
    </row>
    <row r="240" spans="24:24">
      <c r="X240" s="2"/>
    </row>
    <row r="241" spans="24:24">
      <c r="X241" s="2"/>
    </row>
    <row r="242" spans="24:24">
      <c r="X242" s="2"/>
    </row>
    <row r="243" spans="24:24">
      <c r="X243" s="2"/>
    </row>
    <row r="244" spans="24:24">
      <c r="X244" s="2"/>
    </row>
  </sheetData>
  <mergeCells count="120">
    <mergeCell ref="N4:O4"/>
    <mergeCell ref="B1:M1"/>
    <mergeCell ref="N2:O2"/>
    <mergeCell ref="Y179:AF179"/>
    <mergeCell ref="G14:G15"/>
    <mergeCell ref="P77:W77"/>
    <mergeCell ref="P157:W157"/>
    <mergeCell ref="B2:M2"/>
    <mergeCell ref="P137:W137"/>
    <mergeCell ref="J10:K10"/>
    <mergeCell ref="D21:D22"/>
    <mergeCell ref="P167:W167"/>
    <mergeCell ref="Y63:AF63"/>
    <mergeCell ref="Y95:AF95"/>
    <mergeCell ref="J9:K9"/>
    <mergeCell ref="L14:L15"/>
    <mergeCell ref="D28:F28"/>
    <mergeCell ref="Y157:AF157"/>
    <mergeCell ref="P83:W83"/>
    <mergeCell ref="H19:I22"/>
    <mergeCell ref="Y67:AF67"/>
    <mergeCell ref="D16:D17"/>
    <mergeCell ref="D30:F30"/>
    <mergeCell ref="P147:W147"/>
    <mergeCell ref="J14:K15"/>
    <mergeCell ref="Y147:AF147"/>
    <mergeCell ref="F11:F12"/>
    <mergeCell ref="Y207:AF207"/>
    <mergeCell ref="J167:K167"/>
    <mergeCell ref="Y43:AF43"/>
    <mergeCell ref="B27:C27"/>
    <mergeCell ref="B13:C22"/>
    <mergeCell ref="Y35:AF35"/>
    <mergeCell ref="Y125:AF125"/>
    <mergeCell ref="Y59:AF59"/>
    <mergeCell ref="M24:M25"/>
    <mergeCell ref="J33:L33"/>
    <mergeCell ref="B29:C29"/>
    <mergeCell ref="Y185:AF185"/>
    <mergeCell ref="Y196:AF196"/>
    <mergeCell ref="Y113:AF113"/>
    <mergeCell ref="P43:W43"/>
    <mergeCell ref="M16:M18"/>
    <mergeCell ref="P95:W95"/>
    <mergeCell ref="P185:W185"/>
    <mergeCell ref="P179:W179"/>
    <mergeCell ref="Y173:AF173"/>
    <mergeCell ref="M14:M15"/>
    <mergeCell ref="B28:C28"/>
    <mergeCell ref="Y101:AF101"/>
    <mergeCell ref="J19:K20"/>
    <mergeCell ref="E16:E17"/>
    <mergeCell ref="G16:G17"/>
    <mergeCell ref="D14:D15"/>
    <mergeCell ref="L11:L12"/>
    <mergeCell ref="F14:F15"/>
    <mergeCell ref="J16:K18"/>
    <mergeCell ref="B30:C30"/>
    <mergeCell ref="F18:F20"/>
    <mergeCell ref="P47:W47"/>
    <mergeCell ref="P89:W89"/>
    <mergeCell ref="P29:AF34"/>
    <mergeCell ref="P71:W71"/>
    <mergeCell ref="J11:K12"/>
    <mergeCell ref="G18:G20"/>
    <mergeCell ref="P51:W51"/>
    <mergeCell ref="E11:E12"/>
    <mergeCell ref="D29:F29"/>
    <mergeCell ref="P67:W67"/>
    <mergeCell ref="Y83:AF83"/>
    <mergeCell ref="E18:E20"/>
    <mergeCell ref="D26:F26"/>
    <mergeCell ref="B6:G6"/>
    <mergeCell ref="J7:K7"/>
    <mergeCell ref="H7:I18"/>
    <mergeCell ref="Y47:AF47"/>
    <mergeCell ref="G11:G12"/>
    <mergeCell ref="L167:N167"/>
    <mergeCell ref="P35:W35"/>
    <mergeCell ref="B23:M23"/>
    <mergeCell ref="Y89:AF89"/>
    <mergeCell ref="M11:M12"/>
    <mergeCell ref="B24:C25"/>
    <mergeCell ref="Y71:AF71"/>
    <mergeCell ref="D18:D20"/>
    <mergeCell ref="F21:F22"/>
    <mergeCell ref="P59:W59"/>
    <mergeCell ref="Y51:AF51"/>
    <mergeCell ref="P113:W113"/>
    <mergeCell ref="Y137:AF137"/>
    <mergeCell ref="P63:W63"/>
    <mergeCell ref="J13:K13"/>
    <mergeCell ref="Y39:AF39"/>
    <mergeCell ref="G24:L24"/>
    <mergeCell ref="P101:W101"/>
    <mergeCell ref="Y167:AF167"/>
    <mergeCell ref="J216:K216"/>
    <mergeCell ref="B7:C12"/>
    <mergeCell ref="B3:M3"/>
    <mergeCell ref="M19:M20"/>
    <mergeCell ref="L216:N216"/>
    <mergeCell ref="J8:K8"/>
    <mergeCell ref="H6:M6"/>
    <mergeCell ref="P196:W196"/>
    <mergeCell ref="L19:L20"/>
    <mergeCell ref="P207:W207"/>
    <mergeCell ref="B26:C26"/>
    <mergeCell ref="L16:L18"/>
    <mergeCell ref="P39:W39"/>
    <mergeCell ref="J21:K21"/>
    <mergeCell ref="P173:W173"/>
    <mergeCell ref="E21:E22"/>
    <mergeCell ref="D24:F25"/>
    <mergeCell ref="G21:G22"/>
    <mergeCell ref="P125:W125"/>
    <mergeCell ref="F16:F17"/>
    <mergeCell ref="E14:E15"/>
    <mergeCell ref="D11:D12"/>
    <mergeCell ref="J22:K22"/>
    <mergeCell ref="D27:F27"/>
  </mergeCells>
  <phoneticPr fontId="29" type="noConversion"/>
  <conditionalFormatting sqref="N4 F8:G22 M8:M22 G26:M30">
    <cfRule type="cellIs" dxfId="79" priority="3" operator="greaterThan">
      <formula>0</formula>
    </cfRule>
  </conditionalFormatting>
  <conditionalFormatting sqref="Q37:W37 Z37:AF37 Q41:W41 Z41:AF41 Q45:W45 Z45:AF45 Q49:W49 Z49:AF49 Z53:AF53 Q53:W57 Q61:W61 Z61:AF61 Q65:W65 Z65:AF65 Q69:W69 Z69:AF69 Q73:W73 Z73:AF75 Q79:W81 Q85:W87 Z85:AF87 Q91:W93 Z91:AF93 Q97:W99 Z97:AF99 Q103:W111 Z103:AF111 Q115:W123 Z115:AF123 Q127:W135 Z127:AF135 Q139:W145 Z139:AF145">
    <cfRule type="cellIs" dxfId="78" priority="2" operator="greaterThan">
      <formula>0</formula>
    </cfRule>
  </conditionalFormatting>
  <conditionalFormatting sqref="Q149:W155 Z149:AF155 Q159:W165 Z159:AF165 Q169:W171 Z169:AF171 Q175:W177 Z175:AF177 Q181:W183 Z181:AF183 Q187:W194 Z187:AF194 Q198:W205 Z198:AF205 Q209:W216 Z209:AF216">
    <cfRule type="cellIs" dxfId="77" priority="1" operator="greaterThan">
      <formula>0</formula>
    </cfRule>
  </conditionalFormatting>
  <pageMargins left="0.7" right="0.7" top="0.75" bottom="0.75" header="0.3" footer="0.3"/>
  <pageSetup orientation="portrait" r:id="rId2"/>
  <legacyDrawing r:id="rId3"/>
  <tableParts count="49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8AB9E-59BF-4969-A096-226F8D0DE39D}">
  <dimension ref="A1:AO72"/>
  <sheetViews>
    <sheetView showGridLines="0" zoomScale="85" zoomScaleNormal="70" workbookViewId="0">
      <selection activeCell="AJ3" sqref="AJ3:AK3"/>
    </sheetView>
  </sheetViews>
  <sheetFormatPr baseColWidth="10" defaultRowHeight="15"/>
  <cols>
    <col min="2" max="7" width="5.7109375" customWidth="1"/>
    <col min="8" max="8" width="5.7109375" style="2" customWidth="1"/>
    <col min="9" max="9" width="3.7109375" customWidth="1"/>
    <col min="11" max="16" width="5.7109375" customWidth="1"/>
    <col min="17" max="17" width="5.7109375" style="2" customWidth="1"/>
    <col min="18" max="18" width="3.7109375" customWidth="1"/>
    <col min="20" max="25" width="5.7109375" customWidth="1"/>
    <col min="26" max="26" width="5.7109375" style="2" customWidth="1"/>
    <col min="27" max="27" width="3.7109375" customWidth="1"/>
    <col min="29" max="34" width="5.7109375" customWidth="1"/>
    <col min="35" max="35" width="5.7109375" style="2" customWidth="1"/>
    <col min="36" max="36" width="20.140625" bestFit="1" customWidth="1"/>
    <col min="37" max="37" width="10.7109375" bestFit="1" customWidth="1"/>
    <col min="38" max="43" width="5.7109375" customWidth="1"/>
    <col min="44" max="44" width="3.7109375" customWidth="1"/>
    <col min="46" max="51" width="5.7109375" customWidth="1"/>
    <col min="54" max="59" width="5.7109375" customWidth="1"/>
  </cols>
  <sheetData>
    <row r="1" spans="1:41" s="2" customFormat="1" ht="32.25" customHeight="1">
      <c r="F1" s="145" t="s">
        <v>346</v>
      </c>
      <c r="G1" s="145"/>
      <c r="H1" s="145"/>
      <c r="I1" s="145"/>
      <c r="J1" s="145"/>
      <c r="K1" s="145"/>
      <c r="M1" s="69" t="s">
        <v>361</v>
      </c>
      <c r="AJ1" s="78" t="s">
        <v>86</v>
      </c>
      <c r="AK1" s="79"/>
    </row>
    <row r="2" spans="1:41" ht="18" customHeight="1" thickBot="1">
      <c r="A2" s="80" t="s">
        <v>329</v>
      </c>
      <c r="B2" s="81"/>
      <c r="C2" s="81"/>
      <c r="D2" s="81"/>
      <c r="E2" s="81"/>
      <c r="F2" s="81"/>
      <c r="G2" s="81"/>
      <c r="H2" s="81"/>
      <c r="J2" s="80" t="s">
        <v>330</v>
      </c>
      <c r="K2" s="80"/>
      <c r="L2" s="80"/>
      <c r="M2" s="80"/>
      <c r="N2" s="80"/>
      <c r="O2" s="80"/>
      <c r="P2" s="80"/>
      <c r="Q2" s="80"/>
      <c r="R2" s="2"/>
      <c r="S2" s="80" t="s">
        <v>347</v>
      </c>
      <c r="T2" s="80"/>
      <c r="U2" s="80"/>
      <c r="V2" s="80"/>
      <c r="W2" s="80"/>
      <c r="X2" s="80"/>
      <c r="Y2" s="80"/>
      <c r="Z2" s="80"/>
      <c r="AB2" s="80" t="s">
        <v>349</v>
      </c>
      <c r="AC2" s="81"/>
      <c r="AD2" s="81"/>
      <c r="AE2" s="81"/>
      <c r="AF2" s="81"/>
      <c r="AG2" s="81"/>
      <c r="AH2" s="81"/>
      <c r="AI2" s="81"/>
      <c r="AJ2" s="1" t="s">
        <v>10</v>
      </c>
      <c r="AK2" t="s">
        <v>92</v>
      </c>
    </row>
    <row r="3" spans="1:41" ht="15.75" customHeight="1" thickTop="1">
      <c r="A3" s="6" t="str">
        <f>CONCATENATE("TOTAL: ",SUM(B3:G3))</f>
        <v>TOTAL: 0</v>
      </c>
      <c r="B3" s="5">
        <f>SUM(EPV_PARALISIS_FLACIDA_AGUDA62[D1])</f>
        <v>0</v>
      </c>
      <c r="C3" s="5">
        <f>SUM(EPV_PARALISIS_FLACIDA_AGUDA62[D2])</f>
        <v>0</v>
      </c>
      <c r="D3" s="5">
        <f>SUM(EPV_PARALISIS_FLACIDA_AGUDA62[D3])</f>
        <v>0</v>
      </c>
      <c r="E3" s="5">
        <f>SUM(EPV_PARALISIS_FLACIDA_AGUDA62[D4])</f>
        <v>0</v>
      </c>
      <c r="F3" s="5">
        <f>SUM(EPV_PARALISIS_FLACIDA_AGUDA62[D5])</f>
        <v>0</v>
      </c>
      <c r="G3" s="5">
        <f>SUM(EPV_PARALISIS_FLACIDA_AGUDA62[D6])</f>
        <v>0</v>
      </c>
      <c r="H3" s="7"/>
      <c r="J3" s="6" t="str">
        <f>CONCATENATE("TOTAL: ",SUM(K3:P3))</f>
        <v>TOTAL: 0</v>
      </c>
      <c r="K3" s="5">
        <f>SUM(EPV_RUBEOLA63[D1])</f>
        <v>0</v>
      </c>
      <c r="L3" s="5">
        <f>SUM(EPV_RUBEOLA63[D2])</f>
        <v>0</v>
      </c>
      <c r="M3" s="5">
        <f>SUM(EPV_RUBEOLA63[D3])</f>
        <v>0</v>
      </c>
      <c r="N3" s="5">
        <f>SUM(EPV_RUBEOLA63[D4])</f>
        <v>0</v>
      </c>
      <c r="O3" s="5">
        <f>SUM(EPV_RUBEOLA63[D5])</f>
        <v>0</v>
      </c>
      <c r="P3" s="5">
        <f>SUM(EPV_RUBEOLA63[D6])</f>
        <v>0</v>
      </c>
      <c r="Q3" s="7"/>
      <c r="S3" s="6" t="str">
        <f>CONCATENATE("TOTAL: ",SUM(T3:Y3))</f>
        <v>TOTAL: 0</v>
      </c>
      <c r="T3" s="5">
        <f>SUM(EPV_SARAMPION64[D1])</f>
        <v>0</v>
      </c>
      <c r="U3" s="5">
        <f>SUM(EPV_SARAMPION64[D2])</f>
        <v>0</v>
      </c>
      <c r="V3" s="5">
        <f>SUM(EPV_SARAMPION64[D3])</f>
        <v>0</v>
      </c>
      <c r="W3" s="5">
        <f>SUM(EPV_SARAMPION64[D4])</f>
        <v>0</v>
      </c>
      <c r="X3" s="5">
        <f>SUM(EPV_SARAMPION64[D5])</f>
        <v>0</v>
      </c>
      <c r="Y3" s="5">
        <f>SUM(EPV_SARAMPION64[D6])</f>
        <v>0</v>
      </c>
      <c r="Z3" s="7"/>
      <c r="AB3" s="6" t="str">
        <f>CONCATENATE("TOTAL: ",SUM(AC3:AH3))</f>
        <v>TOTAL: 0</v>
      </c>
      <c r="AC3" s="5">
        <f>SUM(EPV_DIFTERIA65[D1])</f>
        <v>0</v>
      </c>
      <c r="AD3" s="5">
        <f>SUM(EPV_DIFTERIA65[D2])</f>
        <v>0</v>
      </c>
      <c r="AE3" s="5">
        <f>SUM(EPV_DIFTERIA65[D3])</f>
        <v>0</v>
      </c>
      <c r="AF3" s="5">
        <f>SUM(EPV_DIFTERIA65[D4])</f>
        <v>0</v>
      </c>
      <c r="AG3" s="5">
        <f>SUM(EPV_DIFTERIA65[D5])</f>
        <v>0</v>
      </c>
      <c r="AH3" s="5">
        <f>SUM(EPV_DIFTERIA65[D6])</f>
        <v>0</v>
      </c>
      <c r="AI3" s="7"/>
      <c r="AJ3" s="79"/>
      <c r="AK3" s="79"/>
    </row>
    <row r="4" spans="1:41">
      <c r="A4" t="s">
        <v>93</v>
      </c>
      <c r="B4" s="3" t="s">
        <v>94</v>
      </c>
      <c r="C4" s="3" t="s">
        <v>95</v>
      </c>
      <c r="D4" s="3" t="s">
        <v>96</v>
      </c>
      <c r="E4" s="3" t="s">
        <v>97</v>
      </c>
      <c r="F4" s="3" t="s">
        <v>98</v>
      </c>
      <c r="G4" s="3" t="s">
        <v>99</v>
      </c>
      <c r="H4" s="10" t="s">
        <v>100</v>
      </c>
      <c r="J4" t="s">
        <v>93</v>
      </c>
      <c r="K4" s="3" t="s">
        <v>94</v>
      </c>
      <c r="L4" s="3" t="s">
        <v>95</v>
      </c>
      <c r="M4" s="3" t="s">
        <v>96</v>
      </c>
      <c r="N4" s="3" t="s">
        <v>97</v>
      </c>
      <c r="O4" s="3" t="s">
        <v>98</v>
      </c>
      <c r="P4" s="3" t="s">
        <v>99</v>
      </c>
      <c r="Q4" s="8" t="s">
        <v>100</v>
      </c>
      <c r="S4" t="s">
        <v>93</v>
      </c>
      <c r="T4" s="3" t="s">
        <v>94</v>
      </c>
      <c r="U4" s="3" t="s">
        <v>95</v>
      </c>
      <c r="V4" s="3" t="s">
        <v>96</v>
      </c>
      <c r="W4" s="3" t="s">
        <v>97</v>
      </c>
      <c r="X4" s="3" t="s">
        <v>98</v>
      </c>
      <c r="Y4" s="3" t="s">
        <v>99</v>
      </c>
      <c r="Z4" s="8" t="s">
        <v>100</v>
      </c>
      <c r="AB4" t="s">
        <v>93</v>
      </c>
      <c r="AC4" s="3" t="s">
        <v>94</v>
      </c>
      <c r="AD4" s="3" t="s">
        <v>95</v>
      </c>
      <c r="AE4" s="3" t="s">
        <v>96</v>
      </c>
      <c r="AF4" s="3" t="s">
        <v>97</v>
      </c>
      <c r="AG4" s="3" t="s">
        <v>98</v>
      </c>
      <c r="AH4" s="3" t="s">
        <v>99</v>
      </c>
      <c r="AI4" s="8" t="s">
        <v>100</v>
      </c>
    </row>
    <row r="5" spans="1:41">
      <c r="A5" s="4" t="s">
        <v>331</v>
      </c>
      <c r="B5" s="3">
        <f>IF($AK$2="(Todas)",COUNTIF(BASE[CODCIE10],EPV_PARALISIS_FLACIDA_AGUDA62[[#This Row],[CIE-10]]),COUNTIFS(BASE[Cod.Establecimiento],$AK$2,BASE[CODCIE10],EPV_PARALISIS_FLACIDA_AGUDA62[[#This Row],[CIE-10]]))</f>
        <v>0</v>
      </c>
      <c r="C5" s="3">
        <f>IF($AK$2="(Todas)",COUNTIF(BASE[CODCIE102],EPV_PARALISIS_FLACIDA_AGUDA62[[#This Row],[CIE-10]]),COUNTIFS(BASE[Cod.Establecimiento],$AK$2,BASE[CODCIE102],EPV_PARALISIS_FLACIDA_AGUDA62[[#This Row],[CIE-10]]))</f>
        <v>0</v>
      </c>
      <c r="D5" s="3">
        <f>IF($AK$2="(Todas)",COUNTIF(BASE[CODCIE104],EPV_PARALISIS_FLACIDA_AGUDA62[[#This Row],[CIE-10]]),COUNTIFS(BASE[Cod.Establecimiento],$AK$2,BASE[CODCIE104],EPV_PARALISIS_FLACIDA_AGUDA62[[#This Row],[CIE-10]]))</f>
        <v>0</v>
      </c>
      <c r="E5" s="3">
        <f>IF($AK$2="(Todas)",COUNTIF(BASE[CODCIE106],EPV_PARALISIS_FLACIDA_AGUDA62[[#This Row],[CIE-10]]),COUNTIFS(BASE[Cod.Establecimiento],$AK$2,BASE[CODCIE106],EPV_PARALISIS_FLACIDA_AGUDA62[[#This Row],[CIE-10]]))</f>
        <v>0</v>
      </c>
      <c r="F5" s="3">
        <f>IF($AK$2="(Todas)",COUNTIF(BASE[CODCIE108],EPV_PARALISIS_FLACIDA_AGUDA62[[#This Row],[CIE-10]]),COUNTIFS(BASE[Cod.Establecimiento],$AK$2,BASE[CODCIE108],EPV_PARALISIS_FLACIDA_AGUDA62[[#This Row],[CIE-10]]))</f>
        <v>0</v>
      </c>
      <c r="G5" s="3">
        <f>IF($AK$2="(Todas)",COUNTIF(BASE[CODCIE1010],EPV_PARALISIS_FLACIDA_AGUDA62[[#This Row],[CIE-10]]),COUNTIFS(BASE[Cod.Establecimiento],$AK$2,BASE[CODCIE1010],EPV_PARALISIS_FLACIDA_AGUDA62[[#This Row],[CIE-10]]))</f>
        <v>0</v>
      </c>
      <c r="H5" s="9">
        <f>SUM(EPV_PARALISIS_FLACIDA_AGUDA62[[#This Row],[D1]:[D6]])</f>
        <v>0</v>
      </c>
      <c r="J5" s="4" t="s">
        <v>261</v>
      </c>
      <c r="K5" s="3">
        <f>IF($AK$2="(Todas)",COUNTIF(BASE[CODCIE10],EPV_RUBEOLA63[[#This Row],[CIE-10]]),COUNTIFS(BASE[Cod.Establecimiento],$AK$2,BASE[CODCIE10],EPV_RUBEOLA63[[#This Row],[CIE-10]]))</f>
        <v>0</v>
      </c>
      <c r="L5" s="3">
        <f>IF($AK$2="(Todas)",COUNTIF(BASE[CODCIE102],EPV_RUBEOLA63[[#This Row],[CIE-10]]),COUNTIFS(BASE[Cod.Establecimiento],$AK$2,BASE[CODCIE102],EPV_RUBEOLA63[[#This Row],[CIE-10]]))</f>
        <v>0</v>
      </c>
      <c r="M5" s="3">
        <f>IF($AK$2="(Todas)",COUNTIF(BASE[CODCIE104],EPV_RUBEOLA63[[#This Row],[CIE-10]]),COUNTIFS(BASE[Cod.Establecimiento],$AK$2,BASE[CODCIE104],EPV_RUBEOLA63[[#This Row],[CIE-10]]))</f>
        <v>0</v>
      </c>
      <c r="N5" s="3">
        <f>IF($AK$2="(Todas)",COUNTIF(BASE[CODCIE106],EPV_RUBEOLA63[[#This Row],[CIE-10]]),COUNTIFS(BASE[Cod.Establecimiento],$AK$2,BASE[CODCIE106],EPV_RUBEOLA63[[#This Row],[CIE-10]]))</f>
        <v>0</v>
      </c>
      <c r="O5" s="3">
        <f>IF($AK$2="(Todas)",COUNTIF(BASE[CODCIE108],EPV_RUBEOLA63[[#This Row],[CIE-10]]),COUNTIFS(BASE[Cod.Establecimiento],$AK$2,BASE[CODCIE108],EPV_RUBEOLA63[[#This Row],[CIE-10]]))</f>
        <v>0</v>
      </c>
      <c r="P5" s="3">
        <f>IF($AK$2="(Todas)",COUNTIF(BASE[CODCIE1010],EPV_RUBEOLA63[[#This Row],[CIE-10]]),COUNTIFS(BASE[Cod.Establecimiento],$AK$2,BASE[CODCIE1010],EPV_RUBEOLA63[[#This Row],[CIE-10]]))</f>
        <v>0</v>
      </c>
      <c r="Q5" s="9">
        <f>SUM(EPV_RUBEOLA63[[#This Row],[D1]:[D6]])</f>
        <v>0</v>
      </c>
      <c r="S5" s="4" t="s">
        <v>348</v>
      </c>
      <c r="T5" s="3">
        <f>IF($AK$2="(Todas)",COUNTIF(BASE[CODCIE10],EPV_SARAMPION64[[#This Row],[CIE-10]]),COUNTIFS(BASE[Cod.Establecimiento],$AK$2,BASE[CODCIE10],EPV_SARAMPION64[[#This Row],[CIE-10]]))</f>
        <v>0</v>
      </c>
      <c r="U5" s="3">
        <f>IF($AK$2="(Todas)",COUNTIF(BASE[CODCIE102],EPV_SARAMPION64[[#This Row],[CIE-10]]),COUNTIFS(BASE[Cod.Establecimiento],$AK$2,BASE[CODCIE102],EPV_SARAMPION64[[#This Row],[CIE-10]]))</f>
        <v>0</v>
      </c>
      <c r="V5" s="3">
        <f>IF($AK$2="(Todas)",COUNTIF(BASE[CODCIE104],EPV_SARAMPION64[[#This Row],[CIE-10]]),COUNTIFS(BASE[Cod.Establecimiento],$AK$2,BASE[CODCIE104],EPV_SARAMPION64[[#This Row],[CIE-10]]))</f>
        <v>0</v>
      </c>
      <c r="W5" s="3">
        <f>IF($AK$2="(Todas)",COUNTIF(BASE[CODCIE106],EPV_SARAMPION64[[#This Row],[CIE-10]]),COUNTIFS(BASE[Cod.Establecimiento],$AK$2,BASE[CODCIE106],EPV_SARAMPION64[[#This Row],[CIE-10]]))</f>
        <v>0</v>
      </c>
      <c r="X5" s="3">
        <f>IF($AK$2="(Todas)",COUNTIF(BASE[CODCIE108],EPV_SARAMPION64[[#This Row],[CIE-10]]),COUNTIFS(BASE[Cod.Establecimiento],$AK$2,BASE[CODCIE108],EPV_SARAMPION64[[#This Row],[CIE-10]]))</f>
        <v>0</v>
      </c>
      <c r="Y5" s="3">
        <f>IF($AK$2="(Todas)",COUNTIF(BASE[CODCIE1010],EPV_SARAMPION64[[#This Row],[CIE-10]]),COUNTIFS(BASE[Cod.Establecimiento],$AK$2,BASE[CODCIE1010],EPV_SARAMPION64[[#This Row],[CIE-10]]))</f>
        <v>0</v>
      </c>
      <c r="Z5" s="9">
        <f>SUM(EPV_SARAMPION64[[#This Row],[D1]:[D6]])</f>
        <v>0</v>
      </c>
      <c r="AB5" s="4" t="s">
        <v>335</v>
      </c>
      <c r="AC5" s="3">
        <f>IF($AK$2="(Todas)",COUNTIF(BASE[CODCIE10],EPV_DIFTERIA65[[#This Row],[CIE-10]]),COUNTIFS(BASE[Cod.Establecimiento],$AK$2,BASE[CODCIE10],EPV_DIFTERIA65[[#This Row],[CIE-10]]))</f>
        <v>0</v>
      </c>
      <c r="AD5" s="3">
        <f>IF($AK$2="(Todas)",COUNTIF(BASE[CODCIE102],EPV_DIFTERIA65[[#This Row],[CIE-10]]),COUNTIFS(BASE[Cod.Establecimiento],$AK$2,BASE[CODCIE102],EPV_DIFTERIA65[[#This Row],[CIE-10]]))</f>
        <v>0</v>
      </c>
      <c r="AE5" s="3">
        <f>IF($AK$2="(Todas)",COUNTIF(BASE[CODCIE104],EPV_DIFTERIA65[[#This Row],[CIE-10]]),COUNTIFS(BASE[Cod.Establecimiento],$AK$2,BASE[CODCIE104],EPV_DIFTERIA65[[#This Row],[CIE-10]]))</f>
        <v>0</v>
      </c>
      <c r="AF5" s="3">
        <f>IF($AK$2="(Todas)",COUNTIF(BASE[CODCIE106],EPV_DIFTERIA65[[#This Row],[CIE-10]]),COUNTIFS(BASE[Cod.Establecimiento],$AK$2,BASE[CODCIE106],EPV_DIFTERIA65[[#This Row],[CIE-10]]))</f>
        <v>0</v>
      </c>
      <c r="AG5" s="3">
        <f>IF($AK$2="(Todas)",COUNTIF(BASE[CODCIE108],EPV_DIFTERIA65[[#This Row],[CIE-10]]),COUNTIFS(BASE[Cod.Establecimiento],$AK$2,BASE[CODCIE108],EPV_DIFTERIA65[[#This Row],[CIE-10]]))</f>
        <v>0</v>
      </c>
      <c r="AH5" s="3">
        <f>IF($AK$2="(Todas)",COUNTIF(BASE[CODCIE1010],EPV_DIFTERIA65[[#This Row],[CIE-10]]),COUNTIFS(BASE[Cod.Establecimiento],$AK$2,BASE[CODCIE1010],EPV_DIFTERIA65[[#This Row],[CIE-10]]))</f>
        <v>0</v>
      </c>
      <c r="AI5" s="9">
        <f>SUM(EPV_DIFTERIA65[[#This Row],[D1]:[D6]])</f>
        <v>0</v>
      </c>
      <c r="AJ5" s="142" t="s">
        <v>142</v>
      </c>
      <c r="AK5" s="142"/>
    </row>
    <row r="6" spans="1:41">
      <c r="A6" s="4" t="s">
        <v>332</v>
      </c>
      <c r="B6" s="3">
        <f>IF($AK$2="(Todas)",COUNTIF(BASE[CODCIE10],EPV_PARALISIS_FLACIDA_AGUDA62[[#This Row],[CIE-10]]),COUNTIFS(BASE[Cod.Establecimiento],$AK$2,BASE[CODCIE10],EPV_PARALISIS_FLACIDA_AGUDA62[[#This Row],[CIE-10]]))</f>
        <v>0</v>
      </c>
      <c r="C6" s="3">
        <f>IF($AK$2="(Todas)",COUNTIF(BASE[CODCIE102],EPV_PARALISIS_FLACIDA_AGUDA62[[#This Row],[CIE-10]]),COUNTIFS(BASE[Cod.Establecimiento],$AK$2,BASE[CODCIE102],EPV_PARALISIS_FLACIDA_AGUDA62[[#This Row],[CIE-10]]))</f>
        <v>0</v>
      </c>
      <c r="D6" s="3">
        <f>IF($AK$2="(Todas)",COUNTIF(BASE[CODCIE104],EPV_PARALISIS_FLACIDA_AGUDA62[[#This Row],[CIE-10]]),COUNTIFS(BASE[Cod.Establecimiento],$AK$2,BASE[CODCIE104],EPV_PARALISIS_FLACIDA_AGUDA62[[#This Row],[CIE-10]]))</f>
        <v>0</v>
      </c>
      <c r="E6" s="3">
        <f>IF($AK$2="(Todas)",COUNTIF(BASE[CODCIE106],EPV_PARALISIS_FLACIDA_AGUDA62[[#This Row],[CIE-10]]),COUNTIFS(BASE[Cod.Establecimiento],$AK$2,BASE[CODCIE106],EPV_PARALISIS_FLACIDA_AGUDA62[[#This Row],[CIE-10]]))</f>
        <v>0</v>
      </c>
      <c r="F6" s="3">
        <f>IF($AK$2="(Todas)",COUNTIF(BASE[CODCIE108],EPV_PARALISIS_FLACIDA_AGUDA62[[#This Row],[CIE-10]]),COUNTIFS(BASE[Cod.Establecimiento],$AK$2,BASE[CODCIE108],EPV_PARALISIS_FLACIDA_AGUDA62[[#This Row],[CIE-10]]))</f>
        <v>0</v>
      </c>
      <c r="G6" s="3">
        <f>IF($AK$2="(Todas)",COUNTIF(BASE[CODCIE1010],EPV_PARALISIS_FLACIDA_AGUDA62[[#This Row],[CIE-10]]),COUNTIFS(BASE[Cod.Establecimiento],$AK$2,BASE[CODCIE1010],EPV_PARALISIS_FLACIDA_AGUDA62[[#This Row],[CIE-10]]))</f>
        <v>0</v>
      </c>
      <c r="H6" s="9">
        <f>SUM(EPV_PARALISIS_FLACIDA_AGUDA62[[#This Row],[D1]:[D6]])</f>
        <v>0</v>
      </c>
      <c r="J6" s="4" t="s">
        <v>344</v>
      </c>
      <c r="K6" s="3">
        <f>IF($AK$2="(Todas)",COUNTIF(BASE[CODCIE10],EPV_RUBEOLA63[[#This Row],[CIE-10]]),COUNTIFS(BASE[Cod.Establecimiento],$AK$2,BASE[CODCIE10],EPV_RUBEOLA63[[#This Row],[CIE-10]]))</f>
        <v>0</v>
      </c>
      <c r="L6" s="3">
        <f>IF($AK$2="(Todas)",COUNTIF(BASE[CODCIE102],EPV_RUBEOLA63[[#This Row],[CIE-10]]),COUNTIFS(BASE[Cod.Establecimiento],$AK$2,BASE[CODCIE102],EPV_RUBEOLA63[[#This Row],[CIE-10]]))</f>
        <v>0</v>
      </c>
      <c r="M6" s="3">
        <f>IF($AK$2="(Todas)",COUNTIF(BASE[CODCIE104],EPV_RUBEOLA63[[#This Row],[CIE-10]]),COUNTIFS(BASE[Cod.Establecimiento],$AK$2,BASE[CODCIE104],EPV_RUBEOLA63[[#This Row],[CIE-10]]))</f>
        <v>0</v>
      </c>
      <c r="N6" s="3">
        <f>IF($AK$2="(Todas)",COUNTIF(BASE[CODCIE106],EPV_RUBEOLA63[[#This Row],[CIE-10]]),COUNTIFS(BASE[Cod.Establecimiento],$AK$2,BASE[CODCIE106],EPV_RUBEOLA63[[#This Row],[CIE-10]]))</f>
        <v>0</v>
      </c>
      <c r="O6" s="3">
        <f>IF($AK$2="(Todas)",COUNTIF(BASE[CODCIE108],EPV_RUBEOLA63[[#This Row],[CIE-10]]),COUNTIFS(BASE[Cod.Establecimiento],$AK$2,BASE[CODCIE108],EPV_RUBEOLA63[[#This Row],[CIE-10]]))</f>
        <v>0</v>
      </c>
      <c r="P6" s="3">
        <f>IF($AK$2="(Todas)",COUNTIF(BASE[CODCIE1010],EPV_RUBEOLA63[[#This Row],[CIE-10]]),COUNTIFS(BASE[Cod.Establecimiento],$AK$2,BASE[CODCIE1010],EPV_RUBEOLA63[[#This Row],[CIE-10]]))</f>
        <v>0</v>
      </c>
      <c r="Q6" s="9">
        <f>SUM(EPV_RUBEOLA63[[#This Row],[D1]:[D6]])</f>
        <v>0</v>
      </c>
      <c r="AJ6" s="142"/>
      <c r="AK6" s="142"/>
    </row>
    <row r="7" spans="1:41" ht="18" customHeight="1" thickBot="1">
      <c r="A7" s="4" t="s">
        <v>323</v>
      </c>
      <c r="B7" s="3">
        <f>IF($AK$2="(Todas)",COUNTIF(BASE[CODCIE10],EPV_PARALISIS_FLACIDA_AGUDA62[[#This Row],[CIE-10]]),COUNTIFS(BASE[Cod.Establecimiento],$AK$2,BASE[CODCIE10],EPV_PARALISIS_FLACIDA_AGUDA62[[#This Row],[CIE-10]]))</f>
        <v>0</v>
      </c>
      <c r="C7" s="3">
        <f>IF($AK$2="(Todas)",COUNTIF(BASE[CODCIE102],EPV_PARALISIS_FLACIDA_AGUDA62[[#This Row],[CIE-10]]),COUNTIFS(BASE[Cod.Establecimiento],$AK$2,BASE[CODCIE102],EPV_PARALISIS_FLACIDA_AGUDA62[[#This Row],[CIE-10]]))</f>
        <v>0</v>
      </c>
      <c r="D7" s="3">
        <f>IF($AK$2="(Todas)",COUNTIF(BASE[CODCIE104],EPV_PARALISIS_FLACIDA_AGUDA62[[#This Row],[CIE-10]]),COUNTIFS(BASE[Cod.Establecimiento],$AK$2,BASE[CODCIE104],EPV_PARALISIS_FLACIDA_AGUDA62[[#This Row],[CIE-10]]))</f>
        <v>0</v>
      </c>
      <c r="E7" s="3">
        <f>IF($AK$2="(Todas)",COUNTIF(BASE[CODCIE106],EPV_PARALISIS_FLACIDA_AGUDA62[[#This Row],[CIE-10]]),COUNTIFS(BASE[Cod.Establecimiento],$AK$2,BASE[CODCIE106],EPV_PARALISIS_FLACIDA_AGUDA62[[#This Row],[CIE-10]]))</f>
        <v>0</v>
      </c>
      <c r="F7" s="3">
        <f>IF($AK$2="(Todas)",COUNTIF(BASE[CODCIE108],EPV_PARALISIS_FLACIDA_AGUDA62[[#This Row],[CIE-10]]),COUNTIFS(BASE[Cod.Establecimiento],$AK$2,BASE[CODCIE108],EPV_PARALISIS_FLACIDA_AGUDA62[[#This Row],[CIE-10]]))</f>
        <v>0</v>
      </c>
      <c r="G7" s="3">
        <f>IF($AK$2="(Todas)",COUNTIF(BASE[CODCIE1010],EPV_PARALISIS_FLACIDA_AGUDA62[[#This Row],[CIE-10]]),COUNTIFS(BASE[Cod.Establecimiento],$AK$2,BASE[CODCIE1010],EPV_PARALISIS_FLACIDA_AGUDA62[[#This Row],[CIE-10]]))</f>
        <v>0</v>
      </c>
      <c r="H7" s="9">
        <f>SUM(EPV_PARALISIS_FLACIDA_AGUDA62[[#This Row],[D1]:[D6]])</f>
        <v>0</v>
      </c>
      <c r="J7" s="4" t="s">
        <v>345</v>
      </c>
      <c r="K7" s="3">
        <f>IF($AK$2="(Todas)",COUNTIF(BASE[CODCIE10],EPV_RUBEOLA63[[#This Row],[CIE-10]]),COUNTIFS(BASE[Cod.Establecimiento],$AK$2,BASE[CODCIE10],EPV_RUBEOLA63[[#This Row],[CIE-10]]))</f>
        <v>0</v>
      </c>
      <c r="L7" s="3">
        <f>IF($AK$2="(Todas)",COUNTIF(BASE[CODCIE102],EPV_RUBEOLA63[[#This Row],[CIE-10]]),COUNTIFS(BASE[Cod.Establecimiento],$AK$2,BASE[CODCIE102],EPV_RUBEOLA63[[#This Row],[CIE-10]]))</f>
        <v>0</v>
      </c>
      <c r="M7" s="3">
        <f>IF($AK$2="(Todas)",COUNTIF(BASE[CODCIE104],EPV_RUBEOLA63[[#This Row],[CIE-10]]),COUNTIFS(BASE[Cod.Establecimiento],$AK$2,BASE[CODCIE104],EPV_RUBEOLA63[[#This Row],[CIE-10]]))</f>
        <v>0</v>
      </c>
      <c r="N7" s="3">
        <f>IF($AK$2="(Todas)",COUNTIF(BASE[CODCIE106],EPV_RUBEOLA63[[#This Row],[CIE-10]]),COUNTIFS(BASE[Cod.Establecimiento],$AK$2,BASE[CODCIE106],EPV_RUBEOLA63[[#This Row],[CIE-10]]))</f>
        <v>0</v>
      </c>
      <c r="O7" s="3">
        <f>IF($AK$2="(Todas)",COUNTIF(BASE[CODCIE108],EPV_RUBEOLA63[[#This Row],[CIE-10]]),COUNTIFS(BASE[Cod.Establecimiento],$AK$2,BASE[CODCIE108],EPV_RUBEOLA63[[#This Row],[CIE-10]]))</f>
        <v>0</v>
      </c>
      <c r="P7" s="3">
        <f>IF($AK$2="(Todas)",COUNTIF(BASE[CODCIE1010],EPV_RUBEOLA63[[#This Row],[CIE-10]]),COUNTIFS(BASE[Cod.Establecimiento],$AK$2,BASE[CODCIE1010],EPV_RUBEOLA63[[#This Row],[CIE-10]]))</f>
        <v>0</v>
      </c>
      <c r="Q7" s="9">
        <f>SUM(EPV_RUBEOLA63[[#This Row],[D1]:[D6]])</f>
        <v>0</v>
      </c>
      <c r="S7" s="80" t="s">
        <v>350</v>
      </c>
      <c r="T7" s="80"/>
      <c r="U7" s="80"/>
      <c r="V7" s="80"/>
      <c r="W7" s="80"/>
      <c r="X7" s="80"/>
      <c r="Y7" s="80"/>
      <c r="Z7" s="80"/>
      <c r="AB7" s="80" t="s">
        <v>351</v>
      </c>
      <c r="AC7" s="80"/>
      <c r="AD7" s="80"/>
      <c r="AE7" s="80"/>
      <c r="AF7" s="80"/>
      <c r="AG7" s="80"/>
      <c r="AH7" s="80"/>
      <c r="AI7" s="80"/>
      <c r="AJ7" s="142"/>
      <c r="AK7" s="142"/>
      <c r="AL7" s="70"/>
      <c r="AM7" s="70"/>
      <c r="AN7" s="70"/>
      <c r="AO7" s="70"/>
    </row>
    <row r="8" spans="1:41" ht="15.75" customHeight="1" thickTop="1">
      <c r="A8" s="4" t="s">
        <v>324</v>
      </c>
      <c r="B8" s="3">
        <f>IF($AK$2="(Todas)",COUNTIF(BASE[CODCIE10],EPV_PARALISIS_FLACIDA_AGUDA62[[#This Row],[CIE-10]]),COUNTIFS(BASE[Cod.Establecimiento],$AK$2,BASE[CODCIE10],EPV_PARALISIS_FLACIDA_AGUDA62[[#This Row],[CIE-10]]))</f>
        <v>0</v>
      </c>
      <c r="C8" s="3">
        <f>IF($AK$2="(Todas)",COUNTIF(BASE[CODCIE102],EPV_PARALISIS_FLACIDA_AGUDA62[[#This Row],[CIE-10]]),COUNTIFS(BASE[Cod.Establecimiento],$AK$2,BASE[CODCIE102],EPV_PARALISIS_FLACIDA_AGUDA62[[#This Row],[CIE-10]]))</f>
        <v>0</v>
      </c>
      <c r="D8" s="3">
        <f>IF($AK$2="(Todas)",COUNTIF(BASE[CODCIE104],EPV_PARALISIS_FLACIDA_AGUDA62[[#This Row],[CIE-10]]),COUNTIFS(BASE[Cod.Establecimiento],$AK$2,BASE[CODCIE104],EPV_PARALISIS_FLACIDA_AGUDA62[[#This Row],[CIE-10]]))</f>
        <v>0</v>
      </c>
      <c r="E8" s="3">
        <f>IF($AK$2="(Todas)",COUNTIF(BASE[CODCIE106],EPV_PARALISIS_FLACIDA_AGUDA62[[#This Row],[CIE-10]]),COUNTIFS(BASE[Cod.Establecimiento],$AK$2,BASE[CODCIE106],EPV_PARALISIS_FLACIDA_AGUDA62[[#This Row],[CIE-10]]))</f>
        <v>0</v>
      </c>
      <c r="F8" s="3">
        <f>IF($AK$2="(Todas)",COUNTIF(BASE[CODCIE108],EPV_PARALISIS_FLACIDA_AGUDA62[[#This Row],[CIE-10]]),COUNTIFS(BASE[Cod.Establecimiento],$AK$2,BASE[CODCIE108],EPV_PARALISIS_FLACIDA_AGUDA62[[#This Row],[CIE-10]]))</f>
        <v>0</v>
      </c>
      <c r="G8" s="3">
        <f>IF($AK$2="(Todas)",COUNTIF(BASE[CODCIE1010],EPV_PARALISIS_FLACIDA_AGUDA62[[#This Row],[CIE-10]]),COUNTIFS(BASE[Cod.Establecimiento],$AK$2,BASE[CODCIE1010],EPV_PARALISIS_FLACIDA_AGUDA62[[#This Row],[CIE-10]]))</f>
        <v>0</v>
      </c>
      <c r="H8" s="9">
        <f>SUM(EPV_PARALISIS_FLACIDA_AGUDA62[[#This Row],[D1]:[D6]])</f>
        <v>0</v>
      </c>
      <c r="J8" s="4" t="s">
        <v>112</v>
      </c>
      <c r="K8" s="3">
        <f>IF($AK$2="(Todas)",COUNTIF(BASE[CODCIE10],EPV_RUBEOLA63[[#This Row],[CIE-10]]),COUNTIFS(BASE[Cod.Establecimiento],$AK$2,BASE[CODCIE10],EPV_RUBEOLA63[[#This Row],[CIE-10]]))</f>
        <v>0</v>
      </c>
      <c r="L8" s="3">
        <f>IF($AK$2="(Todas)",COUNTIF(BASE[CODCIE102],EPV_RUBEOLA63[[#This Row],[CIE-10]]),COUNTIFS(BASE[Cod.Establecimiento],$AK$2,BASE[CODCIE102],EPV_RUBEOLA63[[#This Row],[CIE-10]]))</f>
        <v>0</v>
      </c>
      <c r="M8" s="3">
        <f>IF($AK$2="(Todas)",COUNTIF(BASE[CODCIE104],EPV_RUBEOLA63[[#This Row],[CIE-10]]),COUNTIFS(BASE[Cod.Establecimiento],$AK$2,BASE[CODCIE104],EPV_RUBEOLA63[[#This Row],[CIE-10]]))</f>
        <v>0</v>
      </c>
      <c r="N8" s="3">
        <f>IF($AK$2="(Todas)",COUNTIF(BASE[CODCIE106],EPV_RUBEOLA63[[#This Row],[CIE-10]]),COUNTIFS(BASE[Cod.Establecimiento],$AK$2,BASE[CODCIE106],EPV_RUBEOLA63[[#This Row],[CIE-10]]))</f>
        <v>0</v>
      </c>
      <c r="O8" s="3">
        <f>IF($AK$2="(Todas)",COUNTIF(BASE[CODCIE108],EPV_RUBEOLA63[[#This Row],[CIE-10]]),COUNTIFS(BASE[Cod.Establecimiento],$AK$2,BASE[CODCIE108],EPV_RUBEOLA63[[#This Row],[CIE-10]]))</f>
        <v>0</v>
      </c>
      <c r="P8" s="3">
        <f>IF($AK$2="(Todas)",COUNTIF(BASE[CODCIE1010],EPV_RUBEOLA63[[#This Row],[CIE-10]]),COUNTIFS(BASE[Cod.Establecimiento],$AK$2,BASE[CODCIE1010],EPV_RUBEOLA63[[#This Row],[CIE-10]]))</f>
        <v>0</v>
      </c>
      <c r="Q8" s="9">
        <f>SUM(EPV_RUBEOLA63[[#This Row],[D1]:[D6]])</f>
        <v>0</v>
      </c>
      <c r="S8" s="6" t="str">
        <f>CONCATENATE("TOTAL: ",SUM(T8:Y8))</f>
        <v>TOTAL: 0</v>
      </c>
      <c r="T8" s="5">
        <f>SUM(EPV_SARAMPION6466[D1])</f>
        <v>0</v>
      </c>
      <c r="U8" s="5">
        <f>SUM(EPV_SARAMPION6466[D2])</f>
        <v>0</v>
      </c>
      <c r="V8" s="5">
        <f>SUM(EPV_SARAMPION6466[D3])</f>
        <v>0</v>
      </c>
      <c r="W8" s="5">
        <f>SUM(EPV_SARAMPION6466[D4])</f>
        <v>0</v>
      </c>
      <c r="X8" s="5">
        <f>SUM(EPV_SARAMPION6466[D5])</f>
        <v>0</v>
      </c>
      <c r="Y8" s="5">
        <f>SUM(EPV_SARAMPION6466[D6])</f>
        <v>0</v>
      </c>
      <c r="Z8" s="7"/>
      <c r="AB8" s="6" t="str">
        <f>CONCATENATE("TOTAL: ",SUM(AC8:AH8))</f>
        <v>TOTAL: 0</v>
      </c>
      <c r="AC8" s="5">
        <f>SUM(EPV_SARAMPION646667[D1])</f>
        <v>0</v>
      </c>
      <c r="AD8" s="5">
        <f>SUM(EPV_SARAMPION646667[D2])</f>
        <v>0</v>
      </c>
      <c r="AE8" s="5">
        <f>SUM(EPV_SARAMPION646667[D3])</f>
        <v>0</v>
      </c>
      <c r="AF8" s="5">
        <f>SUM(EPV_SARAMPION646667[D4])</f>
        <v>0</v>
      </c>
      <c r="AG8" s="5">
        <f>SUM(EPV_SARAMPION646667[D5])</f>
        <v>0</v>
      </c>
      <c r="AH8" s="5">
        <f>SUM(EPV_SARAMPION646667[D6])</f>
        <v>0</v>
      </c>
      <c r="AI8" s="7"/>
      <c r="AJ8" s="142"/>
      <c r="AK8" s="142"/>
      <c r="AL8" s="70"/>
      <c r="AM8" s="70"/>
      <c r="AN8" s="70"/>
      <c r="AO8" s="70"/>
    </row>
    <row r="9" spans="1:41" ht="15" customHeight="1">
      <c r="A9" s="4" t="s">
        <v>261</v>
      </c>
      <c r="B9" s="3">
        <f>IF($AK$2="(Todas)",COUNTIF(BASE[CODCIE10],EPV_PARALISIS_FLACIDA_AGUDA62[[#This Row],[CIE-10]]),COUNTIFS(BASE[Cod.Establecimiento],$AK$2,BASE[CODCIE10],EPV_PARALISIS_FLACIDA_AGUDA62[[#This Row],[CIE-10]]))</f>
        <v>0</v>
      </c>
      <c r="C9" s="3">
        <f>IF($AK$2="(Todas)",COUNTIF(BASE[CODCIE102],EPV_PARALISIS_FLACIDA_AGUDA62[[#This Row],[CIE-10]]),COUNTIFS(BASE[Cod.Establecimiento],$AK$2,BASE[CODCIE102],EPV_PARALISIS_FLACIDA_AGUDA62[[#This Row],[CIE-10]]))</f>
        <v>0</v>
      </c>
      <c r="D9" s="3">
        <f>IF($AK$2="(Todas)",COUNTIF(BASE[CODCIE104],EPV_PARALISIS_FLACIDA_AGUDA62[[#This Row],[CIE-10]]),COUNTIFS(BASE[Cod.Establecimiento],$AK$2,BASE[CODCIE104],EPV_PARALISIS_FLACIDA_AGUDA62[[#This Row],[CIE-10]]))</f>
        <v>0</v>
      </c>
      <c r="E9" s="3">
        <f>IF($AK$2="(Todas)",COUNTIF(BASE[CODCIE106],EPV_PARALISIS_FLACIDA_AGUDA62[[#This Row],[CIE-10]]),COUNTIFS(BASE[Cod.Establecimiento],$AK$2,BASE[CODCIE106],EPV_PARALISIS_FLACIDA_AGUDA62[[#This Row],[CIE-10]]))</f>
        <v>0</v>
      </c>
      <c r="F9" s="3">
        <f>IF($AK$2="(Todas)",COUNTIF(BASE[CODCIE108],EPV_PARALISIS_FLACIDA_AGUDA62[[#This Row],[CIE-10]]),COUNTIFS(BASE[Cod.Establecimiento],$AK$2,BASE[CODCIE108],EPV_PARALISIS_FLACIDA_AGUDA62[[#This Row],[CIE-10]]))</f>
        <v>0</v>
      </c>
      <c r="G9" s="3">
        <f>IF($AK$2="(Todas)",COUNTIF(BASE[CODCIE1010],EPV_PARALISIS_FLACIDA_AGUDA62[[#This Row],[CIE-10]]),COUNTIFS(BASE[Cod.Establecimiento],$AK$2,BASE[CODCIE1010],EPV_PARALISIS_FLACIDA_AGUDA62[[#This Row],[CIE-10]]))</f>
        <v>0</v>
      </c>
      <c r="H9" s="9">
        <f>SUM(EPV_PARALISIS_FLACIDA_AGUDA62[[#This Row],[D1]:[D6]])</f>
        <v>0</v>
      </c>
      <c r="S9" t="s">
        <v>93</v>
      </c>
      <c r="T9" s="3" t="s">
        <v>94</v>
      </c>
      <c r="U9" s="3" t="s">
        <v>95</v>
      </c>
      <c r="V9" s="3" t="s">
        <v>96</v>
      </c>
      <c r="W9" s="3" t="s">
        <v>97</v>
      </c>
      <c r="X9" s="3" t="s">
        <v>98</v>
      </c>
      <c r="Y9" s="3" t="s">
        <v>99</v>
      </c>
      <c r="Z9" s="8" t="s">
        <v>100</v>
      </c>
      <c r="AB9" t="s">
        <v>93</v>
      </c>
      <c r="AC9" s="3" t="s">
        <v>94</v>
      </c>
      <c r="AD9" s="3" t="s">
        <v>95</v>
      </c>
      <c r="AE9" s="3" t="s">
        <v>96</v>
      </c>
      <c r="AF9" s="3" t="s">
        <v>97</v>
      </c>
      <c r="AG9" s="3" t="s">
        <v>98</v>
      </c>
      <c r="AH9" s="3" t="s">
        <v>99</v>
      </c>
      <c r="AI9" s="8" t="s">
        <v>100</v>
      </c>
      <c r="AJ9" s="142"/>
      <c r="AK9" s="142"/>
      <c r="AL9" s="70"/>
      <c r="AM9" s="70"/>
      <c r="AN9" s="70"/>
      <c r="AO9" s="70"/>
    </row>
    <row r="10" spans="1:41" ht="15" customHeight="1">
      <c r="A10" s="4" t="s">
        <v>333</v>
      </c>
      <c r="B10" s="3">
        <f>IF($AK$2="(Todas)",COUNTIF(BASE[CODCIE10],EPV_PARALISIS_FLACIDA_AGUDA62[[#This Row],[CIE-10]]),COUNTIFS(BASE[Cod.Establecimiento],$AK$2,BASE[CODCIE10],EPV_PARALISIS_FLACIDA_AGUDA62[[#This Row],[CIE-10]]))</f>
        <v>0</v>
      </c>
      <c r="C10" s="3">
        <f>IF($AK$2="(Todas)",COUNTIF(BASE[CODCIE102],EPV_PARALISIS_FLACIDA_AGUDA62[[#This Row],[CIE-10]]),COUNTIFS(BASE[Cod.Establecimiento],$AK$2,BASE[CODCIE102],EPV_PARALISIS_FLACIDA_AGUDA62[[#This Row],[CIE-10]]))</f>
        <v>0</v>
      </c>
      <c r="D10" s="3">
        <f>IF($AK$2="(Todas)",COUNTIF(BASE[CODCIE104],EPV_PARALISIS_FLACIDA_AGUDA62[[#This Row],[CIE-10]]),COUNTIFS(BASE[Cod.Establecimiento],$AK$2,BASE[CODCIE104],EPV_PARALISIS_FLACIDA_AGUDA62[[#This Row],[CIE-10]]))</f>
        <v>0</v>
      </c>
      <c r="E10" s="3">
        <f>IF($AK$2="(Todas)",COUNTIF(BASE[CODCIE106],EPV_PARALISIS_FLACIDA_AGUDA62[[#This Row],[CIE-10]]),COUNTIFS(BASE[Cod.Establecimiento],$AK$2,BASE[CODCIE106],EPV_PARALISIS_FLACIDA_AGUDA62[[#This Row],[CIE-10]]))</f>
        <v>0</v>
      </c>
      <c r="F10" s="3">
        <f>IF($AK$2="(Todas)",COUNTIF(BASE[CODCIE108],EPV_PARALISIS_FLACIDA_AGUDA62[[#This Row],[CIE-10]]),COUNTIFS(BASE[Cod.Establecimiento],$AK$2,BASE[CODCIE108],EPV_PARALISIS_FLACIDA_AGUDA62[[#This Row],[CIE-10]]))</f>
        <v>0</v>
      </c>
      <c r="G10" s="3">
        <f>IF($AK$2="(Todas)",COUNTIF(BASE[CODCIE1010],EPV_PARALISIS_FLACIDA_AGUDA62[[#This Row],[CIE-10]]),COUNTIFS(BASE[Cod.Establecimiento],$AK$2,BASE[CODCIE1010],EPV_PARALISIS_FLACIDA_AGUDA62[[#This Row],[CIE-10]]))</f>
        <v>0</v>
      </c>
      <c r="H10" s="9">
        <f>SUM(EPV_PARALISIS_FLACIDA_AGUDA62[[#This Row],[D1]:[D6]])</f>
        <v>0</v>
      </c>
      <c r="J10" s="2"/>
      <c r="K10" s="2"/>
      <c r="L10" s="2"/>
      <c r="M10" s="2"/>
      <c r="N10" s="2"/>
      <c r="O10" s="2"/>
      <c r="P10" s="2"/>
      <c r="S10" s="4" t="s">
        <v>334</v>
      </c>
      <c r="T10" s="3">
        <f>IF($AK$2="(Todas)",COUNTIF(BASE[CODCIE10],EPV_SARAMPION6466[[#This Row],[CIE-10]]),COUNTIFS(BASE[Cod.Establecimiento],$AK$2,BASE[CODCIE10],EPV_SARAMPION6466[[#This Row],[CIE-10]]))</f>
        <v>0</v>
      </c>
      <c r="U10" s="3">
        <f>IF($AK$2="(Todas)",COUNTIF(BASE[CODCIE102],EPV_SARAMPION6466[[#This Row],[CIE-10]]),COUNTIFS(BASE[Cod.Establecimiento],$AK$2,BASE[CODCIE102],EPV_SARAMPION6466[[#This Row],[CIE-10]]))</f>
        <v>0</v>
      </c>
      <c r="V10" s="3">
        <f>IF($AK$2="(Todas)",COUNTIF(BASE[CODCIE104],EPV_SARAMPION6466[[#This Row],[CIE-10]]),COUNTIFS(BASE[Cod.Establecimiento],$AK$2,BASE[CODCIE104],EPV_SARAMPION6466[[#This Row],[CIE-10]]))</f>
        <v>0</v>
      </c>
      <c r="W10" s="3">
        <f>IF($AK$2="(Todas)",COUNTIF(BASE[CODCIE106],EPV_SARAMPION6466[[#This Row],[CIE-10]]),COUNTIFS(BASE[Cod.Establecimiento],$AK$2,BASE[CODCIE106],EPV_SARAMPION6466[[#This Row],[CIE-10]]))</f>
        <v>0</v>
      </c>
      <c r="X10" s="3">
        <f>IF($AK$2="(Todas)",COUNTIF(BASE[CODCIE108],EPV_SARAMPION6466[[#This Row],[CIE-10]]),COUNTIFS(BASE[Cod.Establecimiento],$AK$2,BASE[CODCIE108],EPV_SARAMPION6466[[#This Row],[CIE-10]]))</f>
        <v>0</v>
      </c>
      <c r="Y10" s="3">
        <f>IF($AK$2="(Todas)",COUNTIF(BASE[CODCIE1010],EPV_SARAMPION6466[[#This Row],[CIE-10]]),COUNTIFS(BASE[Cod.Establecimiento],$AK$2,BASE[CODCIE1010],EPV_SARAMPION6466[[#This Row],[CIE-10]]))</f>
        <v>0</v>
      </c>
      <c r="Z10" s="9">
        <f>SUM(EPV_SARAMPION6466[[#This Row],[D1]:[D6]])</f>
        <v>0</v>
      </c>
      <c r="AB10" s="4" t="s">
        <v>352</v>
      </c>
      <c r="AC10" s="3">
        <f>IF($AK$2="(Todas)",COUNTIF(BASE[CODCIE10],EPV_SARAMPION646667[[#This Row],[CIE-10]]),COUNTIFS(BASE[Cod.Establecimiento],$AK$2,BASE[CODCIE10],EPV_SARAMPION646667[[#This Row],[CIE-10]]))</f>
        <v>0</v>
      </c>
      <c r="AD10" s="3">
        <f>IF($AK$2="(Todas)",COUNTIF(BASE[CODCIE102],EPV_SARAMPION646667[[#This Row],[CIE-10]]),COUNTIFS(BASE[Cod.Establecimiento],$AK$2,BASE[CODCIE102],EPV_SARAMPION646667[[#This Row],[CIE-10]]))</f>
        <v>0</v>
      </c>
      <c r="AE10" s="3">
        <f>IF($AK$2="(Todas)",COUNTIF(BASE[CODCIE104],EPV_SARAMPION646667[[#This Row],[CIE-10]]),COUNTIFS(BASE[Cod.Establecimiento],$AK$2,BASE[CODCIE104],EPV_SARAMPION646667[[#This Row],[CIE-10]]))</f>
        <v>0</v>
      </c>
      <c r="AF10" s="3">
        <f>IF($AK$2="(Todas)",COUNTIF(BASE[CODCIE106],EPV_SARAMPION646667[[#This Row],[CIE-10]]),COUNTIFS(BASE[Cod.Establecimiento],$AK$2,BASE[CODCIE106],EPV_SARAMPION646667[[#This Row],[CIE-10]]))</f>
        <v>0</v>
      </c>
      <c r="AG10" s="3">
        <f>IF($AK$2="(Todas)",COUNTIF(BASE[CODCIE108],EPV_SARAMPION646667[[#This Row],[CIE-10]]),COUNTIFS(BASE[Cod.Establecimiento],$AK$2,BASE[CODCIE108],EPV_SARAMPION646667[[#This Row],[CIE-10]]))</f>
        <v>0</v>
      </c>
      <c r="AH10" s="3">
        <f>IF($AK$2="(Todas)",COUNTIF(BASE[CODCIE1010],EPV_SARAMPION646667[[#This Row],[CIE-10]]),COUNTIFS(BASE[Cod.Establecimiento],$AK$2,BASE[CODCIE1010],EPV_SARAMPION646667[[#This Row],[CIE-10]]))</f>
        <v>0</v>
      </c>
      <c r="AI10" s="9">
        <f>SUM(EPV_SARAMPION646667[[#This Row],[D1]:[D6]])</f>
        <v>0</v>
      </c>
      <c r="AJ10" s="142"/>
      <c r="AK10" s="142"/>
      <c r="AL10" s="70"/>
      <c r="AM10" s="70"/>
      <c r="AN10" s="70"/>
      <c r="AO10" s="70"/>
    </row>
    <row r="11" spans="1:41" ht="15" customHeight="1">
      <c r="A11" s="4" t="s">
        <v>325</v>
      </c>
      <c r="B11" s="3">
        <f>IF($AK$2="(Todas)",COUNTIF(BASE[CODCIE10],EPV_PARALISIS_FLACIDA_AGUDA62[[#This Row],[CIE-10]]),COUNTIFS(BASE[Cod.Establecimiento],$AK$2,BASE[CODCIE10],EPV_PARALISIS_FLACIDA_AGUDA62[[#This Row],[CIE-10]]))</f>
        <v>0</v>
      </c>
      <c r="C11" s="3">
        <f>IF($AK$2="(Todas)",COUNTIF(BASE[CODCIE102],EPV_PARALISIS_FLACIDA_AGUDA62[[#This Row],[CIE-10]]),COUNTIFS(BASE[Cod.Establecimiento],$AK$2,BASE[CODCIE102],EPV_PARALISIS_FLACIDA_AGUDA62[[#This Row],[CIE-10]]))</f>
        <v>0</v>
      </c>
      <c r="D11" s="3">
        <f>IF($AK$2="(Todas)",COUNTIF(BASE[CODCIE104],EPV_PARALISIS_FLACIDA_AGUDA62[[#This Row],[CIE-10]]),COUNTIFS(BASE[Cod.Establecimiento],$AK$2,BASE[CODCIE104],EPV_PARALISIS_FLACIDA_AGUDA62[[#This Row],[CIE-10]]))</f>
        <v>0</v>
      </c>
      <c r="E11" s="3">
        <f>IF($AK$2="(Todas)",COUNTIF(BASE[CODCIE106],EPV_PARALISIS_FLACIDA_AGUDA62[[#This Row],[CIE-10]]),COUNTIFS(BASE[Cod.Establecimiento],$AK$2,BASE[CODCIE106],EPV_PARALISIS_FLACIDA_AGUDA62[[#This Row],[CIE-10]]))</f>
        <v>0</v>
      </c>
      <c r="F11" s="3">
        <f>IF($AK$2="(Todas)",COUNTIF(BASE[CODCIE108],EPV_PARALISIS_FLACIDA_AGUDA62[[#This Row],[CIE-10]]),COUNTIFS(BASE[Cod.Establecimiento],$AK$2,BASE[CODCIE108],EPV_PARALISIS_FLACIDA_AGUDA62[[#This Row],[CIE-10]]))</f>
        <v>0</v>
      </c>
      <c r="G11" s="3">
        <f>IF($AK$2="(Todas)",COUNTIF(BASE[CODCIE1010],EPV_PARALISIS_FLACIDA_AGUDA62[[#This Row],[CIE-10]]),COUNTIFS(BASE[Cod.Establecimiento],$AK$2,BASE[CODCIE1010],EPV_PARALISIS_FLACIDA_AGUDA62[[#This Row],[CIE-10]]))</f>
        <v>0</v>
      </c>
      <c r="H11" s="9">
        <f>SUM(EPV_PARALISIS_FLACIDA_AGUDA62[[#This Row],[D1]:[D6]])</f>
        <v>0</v>
      </c>
      <c r="J11" s="2"/>
      <c r="K11" s="2"/>
      <c r="L11" s="2"/>
      <c r="M11" s="2"/>
      <c r="N11" s="2"/>
      <c r="O11" s="2"/>
      <c r="P11" s="2"/>
      <c r="S11" s="2"/>
      <c r="T11" s="2"/>
      <c r="U11" s="2"/>
      <c r="V11" s="2"/>
      <c r="W11" s="2"/>
      <c r="X11" s="2"/>
      <c r="Y11" s="2"/>
      <c r="AB11" s="2"/>
      <c r="AC11" s="2"/>
      <c r="AD11" s="2"/>
      <c r="AE11" s="2"/>
      <c r="AF11" s="2"/>
      <c r="AG11" s="2"/>
      <c r="AH11" s="2"/>
      <c r="AJ11" s="142"/>
      <c r="AK11" s="142"/>
      <c r="AL11" s="70"/>
      <c r="AM11" s="70"/>
      <c r="AN11" s="70"/>
      <c r="AO11" s="70"/>
    </row>
    <row r="12" spans="1:41" ht="18" customHeight="1" thickBot="1">
      <c r="A12" s="32" t="s">
        <v>326</v>
      </c>
      <c r="B12" s="3">
        <f>IF($AK$2="(Todas)",COUNTIF(BASE[CODCIE10],EPV_PARALISIS_FLACIDA_AGUDA62[[#This Row],[CIE-10]]),COUNTIFS(BASE[Cod.Establecimiento],$AK$2,BASE[CODCIE10],EPV_PARALISIS_FLACIDA_AGUDA62[[#This Row],[CIE-10]]))</f>
        <v>0</v>
      </c>
      <c r="C12" s="3">
        <f>IF($AK$2="(Todas)",COUNTIF(BASE[CODCIE102],EPV_PARALISIS_FLACIDA_AGUDA62[[#This Row],[CIE-10]]),COUNTIFS(BASE[Cod.Establecimiento],$AK$2,BASE[CODCIE102],EPV_PARALISIS_FLACIDA_AGUDA62[[#This Row],[CIE-10]]))</f>
        <v>0</v>
      </c>
      <c r="D12" s="3">
        <f>IF($AK$2="(Todas)",COUNTIF(BASE[CODCIE104],EPV_PARALISIS_FLACIDA_AGUDA62[[#This Row],[CIE-10]]),COUNTIFS(BASE[Cod.Establecimiento],$AK$2,BASE[CODCIE104],EPV_PARALISIS_FLACIDA_AGUDA62[[#This Row],[CIE-10]]))</f>
        <v>0</v>
      </c>
      <c r="E12" s="3">
        <f>IF($AK$2="(Todas)",COUNTIF(BASE[CODCIE106],EPV_PARALISIS_FLACIDA_AGUDA62[[#This Row],[CIE-10]]),COUNTIFS(BASE[Cod.Establecimiento],$AK$2,BASE[CODCIE106],EPV_PARALISIS_FLACIDA_AGUDA62[[#This Row],[CIE-10]]))</f>
        <v>0</v>
      </c>
      <c r="F12" s="3">
        <f>IF($AK$2="(Todas)",COUNTIF(BASE[CODCIE108],EPV_PARALISIS_FLACIDA_AGUDA62[[#This Row],[CIE-10]]),COUNTIFS(BASE[Cod.Establecimiento],$AK$2,BASE[CODCIE108],EPV_PARALISIS_FLACIDA_AGUDA62[[#This Row],[CIE-10]]))</f>
        <v>0</v>
      </c>
      <c r="G12" s="3">
        <f>IF($AK$2="(Todas)",COUNTIF(BASE[CODCIE1010],EPV_PARALISIS_FLACIDA_AGUDA62[[#This Row],[CIE-10]]),COUNTIFS(BASE[Cod.Establecimiento],$AK$2,BASE[CODCIE1010],EPV_PARALISIS_FLACIDA_AGUDA62[[#This Row],[CIE-10]]))</f>
        <v>0</v>
      </c>
      <c r="H12" s="67">
        <f>SUM(EPV_PARALISIS_FLACIDA_AGUDA62[[#This Row],[D1]:[D6]])</f>
        <v>0</v>
      </c>
      <c r="J12" s="80" t="s">
        <v>353</v>
      </c>
      <c r="K12" s="80"/>
      <c r="L12" s="80"/>
      <c r="M12" s="80"/>
      <c r="N12" s="80"/>
      <c r="O12" s="80"/>
      <c r="P12" s="80"/>
      <c r="Q12" s="80"/>
      <c r="S12" s="80" t="s">
        <v>355</v>
      </c>
      <c r="T12" s="80"/>
      <c r="U12" s="80"/>
      <c r="V12" s="80"/>
      <c r="W12" s="80"/>
      <c r="X12" s="80"/>
      <c r="Y12" s="80"/>
      <c r="Z12" s="80"/>
      <c r="AB12" s="80" t="s">
        <v>356</v>
      </c>
      <c r="AC12" s="80"/>
      <c r="AD12" s="80"/>
      <c r="AE12" s="80"/>
      <c r="AF12" s="80"/>
      <c r="AG12" s="80"/>
      <c r="AH12" s="80"/>
      <c r="AI12" s="80"/>
      <c r="AJ12" s="142"/>
      <c r="AK12" s="142"/>
      <c r="AL12" s="70"/>
      <c r="AM12" s="70"/>
      <c r="AN12" s="70"/>
      <c r="AO12" s="70"/>
    </row>
    <row r="13" spans="1:41" ht="15.75" customHeight="1" thickTop="1">
      <c r="A13" s="32" t="s">
        <v>327</v>
      </c>
      <c r="B13" s="3">
        <f>IF($AK$2="(Todas)",COUNTIF(BASE[CODCIE10],EPV_PARALISIS_FLACIDA_AGUDA62[[#This Row],[CIE-10]]),COUNTIFS(BASE[Cod.Establecimiento],$AK$2,BASE[CODCIE10],EPV_PARALISIS_FLACIDA_AGUDA62[[#This Row],[CIE-10]]))</f>
        <v>0</v>
      </c>
      <c r="C13" s="3">
        <f>IF($AK$2="(Todas)",COUNTIF(BASE[CODCIE102],EPV_PARALISIS_FLACIDA_AGUDA62[[#This Row],[CIE-10]]),COUNTIFS(BASE[Cod.Establecimiento],$AK$2,BASE[CODCIE102],EPV_PARALISIS_FLACIDA_AGUDA62[[#This Row],[CIE-10]]))</f>
        <v>0</v>
      </c>
      <c r="D13" s="3">
        <f>IF($AK$2="(Todas)",COUNTIF(BASE[CODCIE104],EPV_PARALISIS_FLACIDA_AGUDA62[[#This Row],[CIE-10]]),COUNTIFS(BASE[Cod.Establecimiento],$AK$2,BASE[CODCIE104],EPV_PARALISIS_FLACIDA_AGUDA62[[#This Row],[CIE-10]]))</f>
        <v>0</v>
      </c>
      <c r="E13" s="3">
        <f>IF($AK$2="(Todas)",COUNTIF(BASE[CODCIE106],EPV_PARALISIS_FLACIDA_AGUDA62[[#This Row],[CIE-10]]),COUNTIFS(BASE[Cod.Establecimiento],$AK$2,BASE[CODCIE106],EPV_PARALISIS_FLACIDA_AGUDA62[[#This Row],[CIE-10]]))</f>
        <v>0</v>
      </c>
      <c r="F13" s="3">
        <f>IF($AK$2="(Todas)",COUNTIF(BASE[CODCIE108],EPV_PARALISIS_FLACIDA_AGUDA62[[#This Row],[CIE-10]]),COUNTIFS(BASE[Cod.Establecimiento],$AK$2,BASE[CODCIE108],EPV_PARALISIS_FLACIDA_AGUDA62[[#This Row],[CIE-10]]))</f>
        <v>0</v>
      </c>
      <c r="G13" s="3">
        <f>IF($AK$2="(Todas)",COUNTIF(BASE[CODCIE1010],EPV_PARALISIS_FLACIDA_AGUDA62[[#This Row],[CIE-10]]),COUNTIFS(BASE[Cod.Establecimiento],$AK$2,BASE[CODCIE1010],EPV_PARALISIS_FLACIDA_AGUDA62[[#This Row],[CIE-10]]))</f>
        <v>0</v>
      </c>
      <c r="H13" s="67">
        <f>SUM(EPV_PARALISIS_FLACIDA_AGUDA62[[#This Row],[D1]:[D6]])</f>
        <v>0</v>
      </c>
      <c r="J13" s="6" t="str">
        <f>CONCATENATE("TOTAL: ",SUM(K13:P13))</f>
        <v>TOTAL: 0</v>
      </c>
      <c r="K13" s="5">
        <f>SUM(EPV_SARAMPION646669[D1])</f>
        <v>0</v>
      </c>
      <c r="L13" s="5">
        <f>SUM(EPV_SARAMPION646669[D2])</f>
        <v>0</v>
      </c>
      <c r="M13" s="5">
        <f>SUM(EPV_SARAMPION646669[D3])</f>
        <v>0</v>
      </c>
      <c r="N13" s="5">
        <f>SUM(EPV_SARAMPION646669[D4])</f>
        <v>0</v>
      </c>
      <c r="O13" s="5">
        <f>SUM(EPV_SARAMPION646669[D5])</f>
        <v>0</v>
      </c>
      <c r="P13" s="5">
        <f>SUM(EPV_SARAMPION646669[D6])</f>
        <v>0</v>
      </c>
      <c r="Q13" s="7"/>
      <c r="S13" s="6" t="str">
        <f>CONCATENATE("TOTAL: ",SUM(T13:Y13))</f>
        <v>TOTAL: 0</v>
      </c>
      <c r="T13" s="5">
        <f>SUM(EPV_SARAMPION646670[D1])</f>
        <v>0</v>
      </c>
      <c r="U13" s="5">
        <f>SUM(EPV_SARAMPION646670[D2])</f>
        <v>0</v>
      </c>
      <c r="V13" s="5">
        <f>SUM(EPV_SARAMPION646670[D3])</f>
        <v>0</v>
      </c>
      <c r="W13" s="5">
        <f>SUM(EPV_SARAMPION646670[D4])</f>
        <v>0</v>
      </c>
      <c r="X13" s="5">
        <f>SUM(EPV_SARAMPION646670[D5])</f>
        <v>0</v>
      </c>
      <c r="Y13" s="5">
        <f>SUM(EPV_SARAMPION646670[D6])</f>
        <v>0</v>
      </c>
      <c r="Z13" s="7"/>
      <c r="AB13" s="6" t="str">
        <f>CONCATENATE("TOTAL: ",SUM(AC13:AH13))</f>
        <v>TOTAL: 0</v>
      </c>
      <c r="AC13" s="5">
        <f>SUM(EPV_SARAMPION646671[D1])</f>
        <v>0</v>
      </c>
      <c r="AD13" s="5">
        <f>SUM(EPV_SARAMPION646671[D2])</f>
        <v>0</v>
      </c>
      <c r="AE13" s="5">
        <f>SUM(EPV_SARAMPION646671[D3])</f>
        <v>0</v>
      </c>
      <c r="AF13" s="5">
        <f>SUM(EPV_SARAMPION646671[D4])</f>
        <v>0</v>
      </c>
      <c r="AG13" s="5">
        <f>SUM(EPV_SARAMPION646671[D5])</f>
        <v>0</v>
      </c>
      <c r="AH13" s="5">
        <f>SUM(EPV_SARAMPION646671[D6])</f>
        <v>0</v>
      </c>
      <c r="AI13" s="7"/>
      <c r="AJ13" s="142"/>
      <c r="AK13" s="142"/>
      <c r="AL13" s="70"/>
      <c r="AM13" s="70"/>
      <c r="AN13" s="70"/>
      <c r="AO13" s="70"/>
    </row>
    <row r="14" spans="1:41" ht="15" customHeight="1">
      <c r="A14" s="32" t="s">
        <v>334</v>
      </c>
      <c r="B14" s="3">
        <f>IF($AK$2="(Todas)",COUNTIF(BASE[CODCIE10],EPV_PARALISIS_FLACIDA_AGUDA62[[#This Row],[CIE-10]]),COUNTIFS(BASE[Cod.Establecimiento],$AK$2,BASE[CODCIE10],EPV_PARALISIS_FLACIDA_AGUDA62[[#This Row],[CIE-10]]))</f>
        <v>0</v>
      </c>
      <c r="C14" s="3">
        <f>IF($AK$2="(Todas)",COUNTIF(BASE[CODCIE102],EPV_PARALISIS_FLACIDA_AGUDA62[[#This Row],[CIE-10]]),COUNTIFS(BASE[Cod.Establecimiento],$AK$2,BASE[CODCIE102],EPV_PARALISIS_FLACIDA_AGUDA62[[#This Row],[CIE-10]]))</f>
        <v>0</v>
      </c>
      <c r="D14" s="3">
        <f>IF($AK$2="(Todas)",COUNTIF(BASE[CODCIE104],EPV_PARALISIS_FLACIDA_AGUDA62[[#This Row],[CIE-10]]),COUNTIFS(BASE[Cod.Establecimiento],$AK$2,BASE[CODCIE104],EPV_PARALISIS_FLACIDA_AGUDA62[[#This Row],[CIE-10]]))</f>
        <v>0</v>
      </c>
      <c r="E14" s="3">
        <f>IF($AK$2="(Todas)",COUNTIF(BASE[CODCIE106],EPV_PARALISIS_FLACIDA_AGUDA62[[#This Row],[CIE-10]]),COUNTIFS(BASE[Cod.Establecimiento],$AK$2,BASE[CODCIE106],EPV_PARALISIS_FLACIDA_AGUDA62[[#This Row],[CIE-10]]))</f>
        <v>0</v>
      </c>
      <c r="F14" s="3">
        <f>IF($AK$2="(Todas)",COUNTIF(BASE[CODCIE108],EPV_PARALISIS_FLACIDA_AGUDA62[[#This Row],[CIE-10]]),COUNTIFS(BASE[Cod.Establecimiento],$AK$2,BASE[CODCIE108],EPV_PARALISIS_FLACIDA_AGUDA62[[#This Row],[CIE-10]]))</f>
        <v>0</v>
      </c>
      <c r="G14" s="3">
        <f>IF($AK$2="(Todas)",COUNTIF(BASE[CODCIE1010],EPV_PARALISIS_FLACIDA_AGUDA62[[#This Row],[CIE-10]]),COUNTIFS(BASE[Cod.Establecimiento],$AK$2,BASE[CODCIE1010],EPV_PARALISIS_FLACIDA_AGUDA62[[#This Row],[CIE-10]]))</f>
        <v>0</v>
      </c>
      <c r="H14" s="67">
        <f>SUM(EPV_PARALISIS_FLACIDA_AGUDA62[[#This Row],[D1]:[D6]])</f>
        <v>0</v>
      </c>
      <c r="J14" t="s">
        <v>93</v>
      </c>
      <c r="K14" s="3" t="s">
        <v>94</v>
      </c>
      <c r="L14" s="3" t="s">
        <v>95</v>
      </c>
      <c r="M14" s="3" t="s">
        <v>96</v>
      </c>
      <c r="N14" s="3" t="s">
        <v>97</v>
      </c>
      <c r="O14" s="3" t="s">
        <v>98</v>
      </c>
      <c r="P14" s="3" t="s">
        <v>99</v>
      </c>
      <c r="Q14" s="8" t="s">
        <v>100</v>
      </c>
      <c r="S14" t="s">
        <v>93</v>
      </c>
      <c r="T14" s="3" t="s">
        <v>94</v>
      </c>
      <c r="U14" s="3" t="s">
        <v>95</v>
      </c>
      <c r="V14" s="3" t="s">
        <v>96</v>
      </c>
      <c r="W14" s="3" t="s">
        <v>97</v>
      </c>
      <c r="X14" s="3" t="s">
        <v>98</v>
      </c>
      <c r="Y14" s="3" t="s">
        <v>99</v>
      </c>
      <c r="Z14" s="8" t="s">
        <v>100</v>
      </c>
      <c r="AB14" t="s">
        <v>93</v>
      </c>
      <c r="AC14" s="3" t="s">
        <v>94</v>
      </c>
      <c r="AD14" s="3" t="s">
        <v>95</v>
      </c>
      <c r="AE14" s="3" t="s">
        <v>96</v>
      </c>
      <c r="AF14" s="3" t="s">
        <v>97</v>
      </c>
      <c r="AG14" s="3" t="s">
        <v>98</v>
      </c>
      <c r="AH14" s="3" t="s">
        <v>99</v>
      </c>
      <c r="AI14" s="8" t="s">
        <v>100</v>
      </c>
      <c r="AJ14" s="142"/>
      <c r="AK14" s="142"/>
      <c r="AL14" s="70"/>
      <c r="AM14" s="70"/>
      <c r="AN14" s="70"/>
      <c r="AO14" s="70"/>
    </row>
    <row r="15" spans="1:41" ht="15" customHeight="1">
      <c r="A15" s="32" t="s">
        <v>335</v>
      </c>
      <c r="B15" s="3">
        <f>IF($AK$2="(Todas)",COUNTIF(BASE[CODCIE10],EPV_PARALISIS_FLACIDA_AGUDA62[[#This Row],[CIE-10]]),COUNTIFS(BASE[Cod.Establecimiento],$AK$2,BASE[CODCIE10],EPV_PARALISIS_FLACIDA_AGUDA62[[#This Row],[CIE-10]]))</f>
        <v>0</v>
      </c>
      <c r="C15" s="3">
        <f>IF($AK$2="(Todas)",COUNTIF(BASE[CODCIE102],EPV_PARALISIS_FLACIDA_AGUDA62[[#This Row],[CIE-10]]),COUNTIFS(BASE[Cod.Establecimiento],$AK$2,BASE[CODCIE102],EPV_PARALISIS_FLACIDA_AGUDA62[[#This Row],[CIE-10]]))</f>
        <v>0</v>
      </c>
      <c r="D15" s="3">
        <f>IF($AK$2="(Todas)",COUNTIF(BASE[CODCIE104],EPV_PARALISIS_FLACIDA_AGUDA62[[#This Row],[CIE-10]]),COUNTIFS(BASE[Cod.Establecimiento],$AK$2,BASE[CODCIE104],EPV_PARALISIS_FLACIDA_AGUDA62[[#This Row],[CIE-10]]))</f>
        <v>0</v>
      </c>
      <c r="E15" s="3">
        <f>IF($AK$2="(Todas)",COUNTIF(BASE[CODCIE106],EPV_PARALISIS_FLACIDA_AGUDA62[[#This Row],[CIE-10]]),COUNTIFS(BASE[Cod.Establecimiento],$AK$2,BASE[CODCIE106],EPV_PARALISIS_FLACIDA_AGUDA62[[#This Row],[CIE-10]]))</f>
        <v>0</v>
      </c>
      <c r="F15" s="3">
        <f>IF($AK$2="(Todas)",COUNTIF(BASE[CODCIE108],EPV_PARALISIS_FLACIDA_AGUDA62[[#This Row],[CIE-10]]),COUNTIFS(BASE[Cod.Establecimiento],$AK$2,BASE[CODCIE108],EPV_PARALISIS_FLACIDA_AGUDA62[[#This Row],[CIE-10]]))</f>
        <v>0</v>
      </c>
      <c r="G15" s="3">
        <f>IF($AK$2="(Todas)",COUNTIF(BASE[CODCIE1010],EPV_PARALISIS_FLACIDA_AGUDA62[[#This Row],[CIE-10]]),COUNTIFS(BASE[Cod.Establecimiento],$AK$2,BASE[CODCIE1010],EPV_PARALISIS_FLACIDA_AGUDA62[[#This Row],[CIE-10]]))</f>
        <v>0</v>
      </c>
      <c r="H15" s="67">
        <f>SUM(EPV_PARALISIS_FLACIDA_AGUDA62[[#This Row],[D1]:[D6]])</f>
        <v>0</v>
      </c>
      <c r="J15" s="4" t="s">
        <v>354</v>
      </c>
      <c r="K15" s="3">
        <f>IF($AK$2="(Todas)",COUNTIF(BASE[CODCIE10],EPV_SARAMPION646669[[#This Row],[CIE-10]]),COUNTIFS(BASE[Cod.Establecimiento],$AK$2,BASE[CODCIE10],EPV_SARAMPION646669[[#This Row],[CIE-10]]))</f>
        <v>0</v>
      </c>
      <c r="L15" s="3">
        <f>IF($AK$2="(Todas)",COUNTIF(BASE[CODCIE102],EPV_SARAMPION646669[[#This Row],[CIE-10]]),COUNTIFS(BASE[Cod.Establecimiento],$AK$2,BASE[CODCIE102],EPV_SARAMPION646669[[#This Row],[CIE-10]]))</f>
        <v>0</v>
      </c>
      <c r="M15" s="3">
        <f>IF($AK$2="(Todas)",COUNTIF(BASE[CODCIE104],EPV_SARAMPION646669[[#This Row],[CIE-10]]),COUNTIFS(BASE[Cod.Establecimiento],$AK$2,BASE[CODCIE104],EPV_SARAMPION646669[[#This Row],[CIE-10]]))</f>
        <v>0</v>
      </c>
      <c r="N15" s="3">
        <f>IF($AK$2="(Todas)",COUNTIF(BASE[CODCIE106],EPV_SARAMPION646669[[#This Row],[CIE-10]]),COUNTIFS(BASE[Cod.Establecimiento],$AK$2,BASE[CODCIE106],EPV_SARAMPION646669[[#This Row],[CIE-10]]))</f>
        <v>0</v>
      </c>
      <c r="O15" s="3">
        <f>IF($AK$2="(Todas)",COUNTIF(BASE[CODCIE108],EPV_SARAMPION646669[[#This Row],[CIE-10]]),COUNTIFS(BASE[Cod.Establecimiento],$AK$2,BASE[CODCIE108],EPV_SARAMPION646669[[#This Row],[CIE-10]]))</f>
        <v>0</v>
      </c>
      <c r="P15" s="3">
        <f>IF($AK$2="(Todas)",COUNTIF(BASE[CODCIE1010],EPV_SARAMPION646669[[#This Row],[CIE-10]]),COUNTIFS(BASE[Cod.Establecimiento],$AK$2,BASE[CODCIE1010],EPV_SARAMPION646669[[#This Row],[CIE-10]]))</f>
        <v>0</v>
      </c>
      <c r="Q15" s="9">
        <f>SUM(EPV_SARAMPION646669[[#This Row],[D1]:[D6]])</f>
        <v>0</v>
      </c>
      <c r="S15" s="4" t="s">
        <v>236</v>
      </c>
      <c r="T15" s="3">
        <f>IF($AK$2="(Todas)",COUNTIF(BASE[CODCIE10],EPV_SARAMPION646670[[#This Row],[CIE-10]]),COUNTIFS(BASE[Cod.Establecimiento],$AK$2,BASE[CODCIE10],EPV_SARAMPION646670[[#This Row],[CIE-10]]))</f>
        <v>0</v>
      </c>
      <c r="U15" s="3">
        <f>IF($AK$2="(Todas)",COUNTIF(BASE[CODCIE102],EPV_SARAMPION646670[[#This Row],[CIE-10]]),COUNTIFS(BASE[Cod.Establecimiento],$AK$2,BASE[CODCIE102],EPV_SARAMPION646670[[#This Row],[CIE-10]]))</f>
        <v>0</v>
      </c>
      <c r="V15" s="3">
        <f>IF($AK$2="(Todas)",COUNTIF(BASE[CODCIE104],EPV_SARAMPION646670[[#This Row],[CIE-10]]),COUNTIFS(BASE[Cod.Establecimiento],$AK$2,BASE[CODCIE104],EPV_SARAMPION646670[[#This Row],[CIE-10]]))</f>
        <v>0</v>
      </c>
      <c r="W15" s="3">
        <f>IF($AK$2="(Todas)",COUNTIF(BASE[CODCIE106],EPV_SARAMPION646670[[#This Row],[CIE-10]]),COUNTIFS(BASE[Cod.Establecimiento],$AK$2,BASE[CODCIE106],EPV_SARAMPION646670[[#This Row],[CIE-10]]))</f>
        <v>0</v>
      </c>
      <c r="X15" s="3">
        <f>IF($AK$2="(Todas)",COUNTIF(BASE[CODCIE108],EPV_SARAMPION646670[[#This Row],[CIE-10]]),COUNTIFS(BASE[Cod.Establecimiento],$AK$2,BASE[CODCIE108],EPV_SARAMPION646670[[#This Row],[CIE-10]]))</f>
        <v>0</v>
      </c>
      <c r="Y15" s="3">
        <f>IF($AK$2="(Todas)",COUNTIF(BASE[CODCIE1010],EPV_SARAMPION646670[[#This Row],[CIE-10]]),COUNTIFS(BASE[Cod.Establecimiento],$AK$2,BASE[CODCIE1010],EPV_SARAMPION646670[[#This Row],[CIE-10]]))</f>
        <v>0</v>
      </c>
      <c r="Z15" s="9">
        <f>SUM(EPV_SARAMPION646670[[#This Row],[D1]:[D6]])</f>
        <v>0</v>
      </c>
      <c r="AB15" s="4" t="s">
        <v>133</v>
      </c>
      <c r="AC15" s="3">
        <f>IF($AK$2="(Todas)",COUNTIF(BASE[CODCIE10],EPV_SARAMPION646671[[#This Row],[CIE-10]]),COUNTIFS(BASE[Cod.Establecimiento],$AK$2,BASE[CODCIE10],EPV_SARAMPION646671[[#This Row],[CIE-10]]))</f>
        <v>0</v>
      </c>
      <c r="AD15" s="3">
        <f>IF($AK$2="(Todas)",COUNTIF(BASE[CODCIE102],EPV_SARAMPION646671[[#This Row],[CIE-10]]),COUNTIFS(BASE[Cod.Establecimiento],$AK$2,BASE[CODCIE102],EPV_SARAMPION646671[[#This Row],[CIE-10]]))</f>
        <v>0</v>
      </c>
      <c r="AE15" s="3">
        <f>IF($AK$2="(Todas)",COUNTIF(BASE[CODCIE104],EPV_SARAMPION646671[[#This Row],[CIE-10]]),COUNTIFS(BASE[Cod.Establecimiento],$AK$2,BASE[CODCIE104],EPV_SARAMPION646671[[#This Row],[CIE-10]]))</f>
        <v>0</v>
      </c>
      <c r="AF15" s="3">
        <f>IF($AK$2="(Todas)",COUNTIF(BASE[CODCIE106],EPV_SARAMPION646671[[#This Row],[CIE-10]]),COUNTIFS(BASE[Cod.Establecimiento],$AK$2,BASE[CODCIE106],EPV_SARAMPION646671[[#This Row],[CIE-10]]))</f>
        <v>0</v>
      </c>
      <c r="AG15" s="3">
        <f>IF($AK$2="(Todas)",COUNTIF(BASE[CODCIE108],EPV_SARAMPION646671[[#This Row],[CIE-10]]),COUNTIFS(BASE[Cod.Establecimiento],$AK$2,BASE[CODCIE108],EPV_SARAMPION646671[[#This Row],[CIE-10]]))</f>
        <v>0</v>
      </c>
      <c r="AH15" s="3">
        <f>IF($AK$2="(Todas)",COUNTIF(BASE[CODCIE1010],EPV_SARAMPION646671[[#This Row],[CIE-10]]),COUNTIFS(BASE[Cod.Establecimiento],$AK$2,BASE[CODCIE1010],EPV_SARAMPION646671[[#This Row],[CIE-10]]))</f>
        <v>0</v>
      </c>
      <c r="AI15" s="9">
        <f>SUM(EPV_SARAMPION646671[[#This Row],[D1]:[D6]])</f>
        <v>0</v>
      </c>
      <c r="AJ15" s="142"/>
      <c r="AK15" s="142"/>
      <c r="AL15" s="70"/>
      <c r="AM15" s="70"/>
      <c r="AN15" s="70"/>
      <c r="AO15" s="70"/>
    </row>
    <row r="16" spans="1:41" ht="15" customHeight="1">
      <c r="A16" s="32" t="s">
        <v>336</v>
      </c>
      <c r="B16" s="3">
        <f>IF($AK$2="(Todas)",COUNTIF(BASE[CODCIE10],EPV_PARALISIS_FLACIDA_AGUDA62[[#This Row],[CIE-10]]),COUNTIFS(BASE[Cod.Establecimiento],$AK$2,BASE[CODCIE10],EPV_PARALISIS_FLACIDA_AGUDA62[[#This Row],[CIE-10]]))</f>
        <v>0</v>
      </c>
      <c r="C16" s="3">
        <f>IF($AK$2="(Todas)",COUNTIF(BASE[CODCIE102],EPV_PARALISIS_FLACIDA_AGUDA62[[#This Row],[CIE-10]]),COUNTIFS(BASE[Cod.Establecimiento],$AK$2,BASE[CODCIE102],EPV_PARALISIS_FLACIDA_AGUDA62[[#This Row],[CIE-10]]))</f>
        <v>0</v>
      </c>
      <c r="D16" s="3">
        <f>IF($AK$2="(Todas)",COUNTIF(BASE[CODCIE104],EPV_PARALISIS_FLACIDA_AGUDA62[[#This Row],[CIE-10]]),COUNTIFS(BASE[Cod.Establecimiento],$AK$2,BASE[CODCIE104],EPV_PARALISIS_FLACIDA_AGUDA62[[#This Row],[CIE-10]]))</f>
        <v>0</v>
      </c>
      <c r="E16" s="3">
        <f>IF($AK$2="(Todas)",COUNTIF(BASE[CODCIE106],EPV_PARALISIS_FLACIDA_AGUDA62[[#This Row],[CIE-10]]),COUNTIFS(BASE[Cod.Establecimiento],$AK$2,BASE[CODCIE106],EPV_PARALISIS_FLACIDA_AGUDA62[[#This Row],[CIE-10]]))</f>
        <v>0</v>
      </c>
      <c r="F16" s="3">
        <f>IF($AK$2="(Todas)",COUNTIF(BASE[CODCIE108],EPV_PARALISIS_FLACIDA_AGUDA62[[#This Row],[CIE-10]]),COUNTIFS(BASE[Cod.Establecimiento],$AK$2,BASE[CODCIE108],EPV_PARALISIS_FLACIDA_AGUDA62[[#This Row],[CIE-10]]))</f>
        <v>0</v>
      </c>
      <c r="G16" s="3">
        <f>IF($AK$2="(Todas)",COUNTIF(BASE[CODCIE1010],EPV_PARALISIS_FLACIDA_AGUDA62[[#This Row],[CIE-10]]),COUNTIFS(BASE[Cod.Establecimiento],$AK$2,BASE[CODCIE1010],EPV_PARALISIS_FLACIDA_AGUDA62[[#This Row],[CIE-10]]))</f>
        <v>0</v>
      </c>
      <c r="H16" s="67">
        <f>SUM(EPV_PARALISIS_FLACIDA_AGUDA62[[#This Row],[D1]:[D6]])</f>
        <v>0</v>
      </c>
      <c r="J16" s="2"/>
      <c r="K16" s="2"/>
      <c r="L16" s="2"/>
      <c r="M16" s="2"/>
      <c r="N16" s="2"/>
      <c r="O16" s="2"/>
      <c r="P16" s="2"/>
      <c r="AJ16" s="142"/>
      <c r="AK16" s="142"/>
      <c r="AL16" s="70"/>
      <c r="AM16" s="70"/>
      <c r="AN16" s="70"/>
      <c r="AO16" s="70"/>
    </row>
    <row r="17" spans="1:41" s="2" customFormat="1" ht="18" customHeight="1" thickBot="1">
      <c r="A17" s="32" t="s">
        <v>257</v>
      </c>
      <c r="B17" s="8">
        <f>IF($AK$2="(Todas)",COUNTIF(BASE[CODCIE10],EPV_PARALISIS_FLACIDA_AGUDA62[[#This Row],[CIE-10]]),COUNTIFS(BASE[Cod.Establecimiento],$AK$2,BASE[CODCIE10],EPV_PARALISIS_FLACIDA_AGUDA62[[#This Row],[CIE-10]]))</f>
        <v>0</v>
      </c>
      <c r="C17" s="8">
        <f>IF($AK$2="(Todas)",COUNTIF(BASE[CODCIE102],EPV_PARALISIS_FLACIDA_AGUDA62[[#This Row],[CIE-10]]),COUNTIFS(BASE[Cod.Establecimiento],$AK$2,BASE[CODCIE102],EPV_PARALISIS_FLACIDA_AGUDA62[[#This Row],[CIE-10]]))</f>
        <v>0</v>
      </c>
      <c r="D17" s="8">
        <f>IF($AK$2="(Todas)",COUNTIF(BASE[CODCIE104],EPV_PARALISIS_FLACIDA_AGUDA62[[#This Row],[CIE-10]]),COUNTIFS(BASE[Cod.Establecimiento],$AK$2,BASE[CODCIE104],EPV_PARALISIS_FLACIDA_AGUDA62[[#This Row],[CIE-10]]))</f>
        <v>0</v>
      </c>
      <c r="E17" s="8">
        <f>IF($AK$2="(Todas)",COUNTIF(BASE[CODCIE106],EPV_PARALISIS_FLACIDA_AGUDA62[[#This Row],[CIE-10]]),COUNTIFS(BASE[Cod.Establecimiento],$AK$2,BASE[CODCIE106],EPV_PARALISIS_FLACIDA_AGUDA62[[#This Row],[CIE-10]]))</f>
        <v>0</v>
      </c>
      <c r="F17" s="8">
        <f>IF($AK$2="(Todas)",COUNTIF(BASE[CODCIE108],EPV_PARALISIS_FLACIDA_AGUDA62[[#This Row],[CIE-10]]),COUNTIFS(BASE[Cod.Establecimiento],$AK$2,BASE[CODCIE108],EPV_PARALISIS_FLACIDA_AGUDA62[[#This Row],[CIE-10]]))</f>
        <v>0</v>
      </c>
      <c r="G17" s="8">
        <f>IF($AK$2="(Todas)",COUNTIF(BASE[CODCIE1010],EPV_PARALISIS_FLACIDA_AGUDA62[[#This Row],[CIE-10]]),COUNTIFS(BASE[Cod.Establecimiento],$AK$2,BASE[CODCIE1010],EPV_PARALISIS_FLACIDA_AGUDA62[[#This Row],[CIE-10]]))</f>
        <v>0</v>
      </c>
      <c r="H17" s="67">
        <f>SUM(EPV_PARALISIS_FLACIDA_AGUDA62[[#This Row],[D1]:[D6]])</f>
        <v>0</v>
      </c>
      <c r="J17" s="80" t="s">
        <v>357</v>
      </c>
      <c r="K17" s="80"/>
      <c r="L17" s="80"/>
      <c r="M17" s="80"/>
      <c r="N17" s="80"/>
      <c r="O17" s="80"/>
      <c r="P17" s="80"/>
      <c r="Q17" s="80"/>
      <c r="S17" s="80" t="s">
        <v>91</v>
      </c>
      <c r="T17" s="80"/>
      <c r="U17" s="80"/>
      <c r="V17" s="80"/>
      <c r="W17" s="80"/>
      <c r="X17" s="80"/>
      <c r="Y17" s="80"/>
      <c r="Z17" s="80"/>
      <c r="AB17" s="80" t="s">
        <v>363</v>
      </c>
      <c r="AC17" s="80"/>
      <c r="AD17" s="80"/>
      <c r="AE17" s="80"/>
      <c r="AF17" s="80"/>
      <c r="AG17" s="80"/>
      <c r="AH17" s="80"/>
      <c r="AI17" s="80"/>
      <c r="AJ17" s="142"/>
      <c r="AK17" s="142"/>
      <c r="AL17" s="70"/>
      <c r="AM17" s="70"/>
      <c r="AN17" s="70"/>
      <c r="AO17" s="70"/>
    </row>
    <row r="18" spans="1:41" s="2" customFormat="1" ht="15.75" customHeight="1" thickTop="1">
      <c r="A18" s="32" t="s">
        <v>337</v>
      </c>
      <c r="B18" s="8">
        <f>IF($AK$2="(Todas)",COUNTIF(BASE[CODCIE10],EPV_PARALISIS_FLACIDA_AGUDA62[[#This Row],[CIE-10]]),COUNTIFS(BASE[Cod.Establecimiento],$AK$2,BASE[CODCIE10],EPV_PARALISIS_FLACIDA_AGUDA62[[#This Row],[CIE-10]]))</f>
        <v>0</v>
      </c>
      <c r="C18" s="8">
        <f>IF($AK$2="(Todas)",COUNTIF(BASE[CODCIE102],EPV_PARALISIS_FLACIDA_AGUDA62[[#This Row],[CIE-10]]),COUNTIFS(BASE[Cod.Establecimiento],$AK$2,BASE[CODCIE102],EPV_PARALISIS_FLACIDA_AGUDA62[[#This Row],[CIE-10]]))</f>
        <v>0</v>
      </c>
      <c r="D18" s="8">
        <f>IF($AK$2="(Todas)",COUNTIF(BASE[CODCIE104],EPV_PARALISIS_FLACIDA_AGUDA62[[#This Row],[CIE-10]]),COUNTIFS(BASE[Cod.Establecimiento],$AK$2,BASE[CODCIE104],EPV_PARALISIS_FLACIDA_AGUDA62[[#This Row],[CIE-10]]))</f>
        <v>0</v>
      </c>
      <c r="E18" s="8">
        <f>IF($AK$2="(Todas)",COUNTIF(BASE[CODCIE106],EPV_PARALISIS_FLACIDA_AGUDA62[[#This Row],[CIE-10]]),COUNTIFS(BASE[Cod.Establecimiento],$AK$2,BASE[CODCIE106],EPV_PARALISIS_FLACIDA_AGUDA62[[#This Row],[CIE-10]]))</f>
        <v>0</v>
      </c>
      <c r="F18" s="8">
        <f>IF($AK$2="(Todas)",COUNTIF(BASE[CODCIE108],EPV_PARALISIS_FLACIDA_AGUDA62[[#This Row],[CIE-10]]),COUNTIFS(BASE[Cod.Establecimiento],$AK$2,BASE[CODCIE108],EPV_PARALISIS_FLACIDA_AGUDA62[[#This Row],[CIE-10]]))</f>
        <v>0</v>
      </c>
      <c r="G18" s="8">
        <f>IF($AK$2="(Todas)",COUNTIF(BASE[CODCIE1010],EPV_PARALISIS_FLACIDA_AGUDA62[[#This Row],[CIE-10]]),COUNTIFS(BASE[Cod.Establecimiento],$AK$2,BASE[CODCIE1010],EPV_PARALISIS_FLACIDA_AGUDA62[[#This Row],[CIE-10]]))</f>
        <v>0</v>
      </c>
      <c r="H18" s="67">
        <f>SUM(EPV_PARALISIS_FLACIDA_AGUDA62[[#This Row],[D1]:[D6]])</f>
        <v>0</v>
      </c>
      <c r="J18" s="6" t="str">
        <f>CONCATENATE("TOTAL: ",SUM(K18:P18))</f>
        <v>TOTAL: 0</v>
      </c>
      <c r="K18" s="5">
        <f>SUM(EPV_SARAMPION64666972[D1])</f>
        <v>0</v>
      </c>
      <c r="L18" s="5">
        <f>SUM(EPV_SARAMPION64666972[D2])</f>
        <v>0</v>
      </c>
      <c r="M18" s="5">
        <f>SUM(EPV_SARAMPION64666972[D3])</f>
        <v>0</v>
      </c>
      <c r="N18" s="5">
        <f>SUM(EPV_SARAMPION64666972[D4])</f>
        <v>0</v>
      </c>
      <c r="O18" s="5">
        <f>SUM(EPV_SARAMPION64666972[D5])</f>
        <v>0</v>
      </c>
      <c r="P18" s="5">
        <f>SUM(EPV_SARAMPION64666972[D6])</f>
        <v>0</v>
      </c>
      <c r="Q18" s="7"/>
      <c r="S18" s="6" t="str">
        <f>CONCATENATE("TOTAL: ",SUM(T18:Y18))</f>
        <v>TOTAL: 0</v>
      </c>
      <c r="T18" s="5">
        <f>SUM(EPV_SARAMPION6466697274[D1])</f>
        <v>0</v>
      </c>
      <c r="U18" s="5">
        <f>SUM(EPV_SARAMPION6466697274[D2])</f>
        <v>0</v>
      </c>
      <c r="V18" s="5">
        <f>SUM(EPV_SARAMPION6466697274[D3])</f>
        <v>0</v>
      </c>
      <c r="W18" s="5">
        <f>SUM(EPV_SARAMPION6466697274[D4])</f>
        <v>0</v>
      </c>
      <c r="X18" s="5">
        <f>SUM(EPV_SARAMPION6466697274[D5])</f>
        <v>0</v>
      </c>
      <c r="Y18" s="5">
        <f>SUM(EPV_SARAMPION6466697274[D6])</f>
        <v>0</v>
      </c>
      <c r="Z18" s="7"/>
      <c r="AB18" s="6" t="str">
        <f>CONCATENATE("TOTAL: ",SUM(AC18:AH18))</f>
        <v>TOTAL: 0</v>
      </c>
      <c r="AC18" s="5">
        <f>SUM(EPV_SARAMPION646669727475[D1])</f>
        <v>0</v>
      </c>
      <c r="AD18" s="5">
        <f>SUM(EPV_SARAMPION646669727475[D2])</f>
        <v>0</v>
      </c>
      <c r="AE18" s="5">
        <f>SUM(EPV_SARAMPION646669727475[D3])</f>
        <v>0</v>
      </c>
      <c r="AF18" s="5">
        <f>SUM(EPV_SARAMPION646669727475[D4])</f>
        <v>0</v>
      </c>
      <c r="AG18" s="5">
        <f>SUM(EPV_SARAMPION646669727475[D5])</f>
        <v>0</v>
      </c>
      <c r="AH18" s="5">
        <f>SUM(EPV_SARAMPION646669727475[D6])</f>
        <v>0</v>
      </c>
      <c r="AI18" s="7"/>
      <c r="AJ18" s="142"/>
      <c r="AK18" s="142"/>
      <c r="AL18" s="70"/>
      <c r="AM18" s="70"/>
      <c r="AN18" s="70"/>
      <c r="AO18" s="70"/>
    </row>
    <row r="19" spans="1:41" s="2" customFormat="1" ht="15" customHeight="1">
      <c r="A19" s="32" t="s">
        <v>338</v>
      </c>
      <c r="B19" s="8">
        <f>IF($AK$2="(Todas)",COUNTIF(BASE[CODCIE10],EPV_PARALISIS_FLACIDA_AGUDA62[[#This Row],[CIE-10]]),COUNTIFS(BASE[Cod.Establecimiento],$AK$2,BASE[CODCIE10],EPV_PARALISIS_FLACIDA_AGUDA62[[#This Row],[CIE-10]]))</f>
        <v>0</v>
      </c>
      <c r="C19" s="8">
        <f>IF($AK$2="(Todas)",COUNTIF(BASE[CODCIE102],EPV_PARALISIS_FLACIDA_AGUDA62[[#This Row],[CIE-10]]),COUNTIFS(BASE[Cod.Establecimiento],$AK$2,BASE[CODCIE102],EPV_PARALISIS_FLACIDA_AGUDA62[[#This Row],[CIE-10]]))</f>
        <v>0</v>
      </c>
      <c r="D19" s="8">
        <f>IF($AK$2="(Todas)",COUNTIF(BASE[CODCIE104],EPV_PARALISIS_FLACIDA_AGUDA62[[#This Row],[CIE-10]]),COUNTIFS(BASE[Cod.Establecimiento],$AK$2,BASE[CODCIE104],EPV_PARALISIS_FLACIDA_AGUDA62[[#This Row],[CIE-10]]))</f>
        <v>0</v>
      </c>
      <c r="E19" s="8">
        <f>IF($AK$2="(Todas)",COUNTIF(BASE[CODCIE106],EPV_PARALISIS_FLACIDA_AGUDA62[[#This Row],[CIE-10]]),COUNTIFS(BASE[Cod.Establecimiento],$AK$2,BASE[CODCIE106],EPV_PARALISIS_FLACIDA_AGUDA62[[#This Row],[CIE-10]]))</f>
        <v>0</v>
      </c>
      <c r="F19" s="8">
        <f>IF($AK$2="(Todas)",COUNTIF(BASE[CODCIE108],EPV_PARALISIS_FLACIDA_AGUDA62[[#This Row],[CIE-10]]),COUNTIFS(BASE[Cod.Establecimiento],$AK$2,BASE[CODCIE108],EPV_PARALISIS_FLACIDA_AGUDA62[[#This Row],[CIE-10]]))</f>
        <v>0</v>
      </c>
      <c r="G19" s="8">
        <f>IF($AK$2="(Todas)",COUNTIF(BASE[CODCIE1010],EPV_PARALISIS_FLACIDA_AGUDA62[[#This Row],[CIE-10]]),COUNTIFS(BASE[Cod.Establecimiento],$AK$2,BASE[CODCIE1010],EPV_PARALISIS_FLACIDA_AGUDA62[[#This Row],[CIE-10]]))</f>
        <v>0</v>
      </c>
      <c r="H19" s="67">
        <f>SUM(EPV_PARALISIS_FLACIDA_AGUDA62[[#This Row],[D1]:[D6]])</f>
        <v>0</v>
      </c>
      <c r="J19" t="s">
        <v>93</v>
      </c>
      <c r="K19" s="3" t="s">
        <v>94</v>
      </c>
      <c r="L19" s="3" t="s">
        <v>95</v>
      </c>
      <c r="M19" s="3" t="s">
        <v>96</v>
      </c>
      <c r="N19" s="3" t="s">
        <v>97</v>
      </c>
      <c r="O19" s="3" t="s">
        <v>98</v>
      </c>
      <c r="P19" s="3" t="s">
        <v>99</v>
      </c>
      <c r="Q19" s="8" t="s">
        <v>100</v>
      </c>
      <c r="S19" t="s">
        <v>93</v>
      </c>
      <c r="T19" s="3" t="s">
        <v>94</v>
      </c>
      <c r="U19" s="3" t="s">
        <v>95</v>
      </c>
      <c r="V19" s="3" t="s">
        <v>96</v>
      </c>
      <c r="W19" s="3" t="s">
        <v>97</v>
      </c>
      <c r="X19" s="3" t="s">
        <v>98</v>
      </c>
      <c r="Y19" s="3" t="s">
        <v>99</v>
      </c>
      <c r="Z19" s="8" t="s">
        <v>100</v>
      </c>
      <c r="AB19" t="s">
        <v>93</v>
      </c>
      <c r="AC19" s="3" t="s">
        <v>94</v>
      </c>
      <c r="AD19" s="3" t="s">
        <v>95</v>
      </c>
      <c r="AE19" s="3" t="s">
        <v>96</v>
      </c>
      <c r="AF19" s="3" t="s">
        <v>97</v>
      </c>
      <c r="AG19" s="3" t="s">
        <v>98</v>
      </c>
      <c r="AH19" s="3" t="s">
        <v>99</v>
      </c>
      <c r="AI19" s="8" t="s">
        <v>100</v>
      </c>
      <c r="AJ19" s="142"/>
      <c r="AK19" s="142"/>
      <c r="AL19" s="70"/>
      <c r="AM19" s="70"/>
      <c r="AN19" s="70"/>
      <c r="AO19" s="70"/>
    </row>
    <row r="20" spans="1:41" s="2" customFormat="1" ht="15" customHeight="1">
      <c r="A20" s="32" t="s">
        <v>339</v>
      </c>
      <c r="B20" s="8">
        <f>IF($AK$2="(Todas)",COUNTIF(BASE[CODCIE10],EPV_PARALISIS_FLACIDA_AGUDA62[[#This Row],[CIE-10]]),COUNTIFS(BASE[Cod.Establecimiento],$AK$2,BASE[CODCIE10],EPV_PARALISIS_FLACIDA_AGUDA62[[#This Row],[CIE-10]]))</f>
        <v>0</v>
      </c>
      <c r="C20" s="8">
        <f>IF($AK$2="(Todas)",COUNTIF(BASE[CODCIE102],EPV_PARALISIS_FLACIDA_AGUDA62[[#This Row],[CIE-10]]),COUNTIFS(BASE[Cod.Establecimiento],$AK$2,BASE[CODCIE102],EPV_PARALISIS_FLACIDA_AGUDA62[[#This Row],[CIE-10]]))</f>
        <v>0</v>
      </c>
      <c r="D20" s="8">
        <f>IF($AK$2="(Todas)",COUNTIF(BASE[CODCIE104],EPV_PARALISIS_FLACIDA_AGUDA62[[#This Row],[CIE-10]]),COUNTIFS(BASE[Cod.Establecimiento],$AK$2,BASE[CODCIE104],EPV_PARALISIS_FLACIDA_AGUDA62[[#This Row],[CIE-10]]))</f>
        <v>0</v>
      </c>
      <c r="E20" s="8">
        <f>IF($AK$2="(Todas)",COUNTIF(BASE[CODCIE106],EPV_PARALISIS_FLACIDA_AGUDA62[[#This Row],[CIE-10]]),COUNTIFS(BASE[Cod.Establecimiento],$AK$2,BASE[CODCIE106],EPV_PARALISIS_FLACIDA_AGUDA62[[#This Row],[CIE-10]]))</f>
        <v>0</v>
      </c>
      <c r="F20" s="8">
        <f>IF($AK$2="(Todas)",COUNTIF(BASE[CODCIE108],EPV_PARALISIS_FLACIDA_AGUDA62[[#This Row],[CIE-10]]),COUNTIFS(BASE[Cod.Establecimiento],$AK$2,BASE[CODCIE108],EPV_PARALISIS_FLACIDA_AGUDA62[[#This Row],[CIE-10]]))</f>
        <v>0</v>
      </c>
      <c r="G20" s="8">
        <f>IF($AK$2="(Todas)",COUNTIF(BASE[CODCIE1010],EPV_PARALISIS_FLACIDA_AGUDA62[[#This Row],[CIE-10]]),COUNTIFS(BASE[Cod.Establecimiento],$AK$2,BASE[CODCIE1010],EPV_PARALISIS_FLACIDA_AGUDA62[[#This Row],[CIE-10]]))</f>
        <v>0</v>
      </c>
      <c r="H20" s="67">
        <f>SUM(EPV_PARALISIS_FLACIDA_AGUDA62[[#This Row],[D1]:[D6]])</f>
        <v>0</v>
      </c>
      <c r="J20" s="4" t="s">
        <v>358</v>
      </c>
      <c r="K20" s="3">
        <f>IF($AK$2="(Todas)",COUNTIF(BASE[CODCIE10],EPV_SARAMPION64666972[[#This Row],[CIE-10]]),COUNTIFS(BASE[Cod.Establecimiento],$AK$2,BASE[CODCIE10],EPV_SARAMPION64666972[[#This Row],[CIE-10]]))</f>
        <v>0</v>
      </c>
      <c r="L20" s="3">
        <f>IF($AK$2="(Todas)",COUNTIF(BASE[CODCIE102],EPV_SARAMPION64666972[[#This Row],[CIE-10]]),COUNTIFS(BASE[Cod.Establecimiento],$AK$2,BASE[CODCIE102],EPV_SARAMPION64666972[[#This Row],[CIE-10]]))</f>
        <v>0</v>
      </c>
      <c r="M20" s="3">
        <f>IF($AK$2="(Todas)",COUNTIF(BASE[CODCIE104],EPV_SARAMPION64666972[[#This Row],[CIE-10]]),COUNTIFS(BASE[Cod.Establecimiento],$AK$2,BASE[CODCIE104],EPV_SARAMPION64666972[[#This Row],[CIE-10]]))</f>
        <v>0</v>
      </c>
      <c r="N20" s="3">
        <f>IF($AK$2="(Todas)",COUNTIF(BASE[CODCIE106],EPV_SARAMPION64666972[[#This Row],[CIE-10]]),COUNTIFS(BASE[Cod.Establecimiento],$AK$2,BASE[CODCIE106],EPV_SARAMPION64666972[[#This Row],[CIE-10]]))</f>
        <v>0</v>
      </c>
      <c r="O20" s="3">
        <f>IF($AK$2="(Todas)",COUNTIF(BASE[CODCIE108],EPV_SARAMPION64666972[[#This Row],[CIE-10]]),COUNTIFS(BASE[Cod.Establecimiento],$AK$2,BASE[CODCIE108],EPV_SARAMPION64666972[[#This Row],[CIE-10]]))</f>
        <v>0</v>
      </c>
      <c r="P20" s="3">
        <f>IF($AK$2="(Todas)",COUNTIF(BASE[CODCIE1010],EPV_SARAMPION64666972[[#This Row],[CIE-10]]),COUNTIFS(BASE[Cod.Establecimiento],$AK$2,BASE[CODCIE1010],EPV_SARAMPION64666972[[#This Row],[CIE-10]]))</f>
        <v>0</v>
      </c>
      <c r="Q20" s="9">
        <f>SUM(EPV_SARAMPION64666972[[#This Row],[D1]:[D6]])</f>
        <v>0</v>
      </c>
      <c r="S20" s="4" t="s">
        <v>362</v>
      </c>
      <c r="T20" s="3">
        <f>IF($AK$2="(Todas)",COUNTIF(BASE[CODCIE10],EPV_SARAMPION6466697274[[#This Row],[CIE-10]]),COUNTIFS(BASE[Cod.Establecimiento],$AK$2,BASE[CODCIE10],EPV_SARAMPION6466697274[[#This Row],[CIE-10]]))</f>
        <v>0</v>
      </c>
      <c r="U20" s="3">
        <f>IF($AK$2="(Todas)",COUNTIF(BASE[CODCIE102],EPV_SARAMPION6466697274[[#This Row],[CIE-10]]),COUNTIFS(BASE[Cod.Establecimiento],$AK$2,BASE[CODCIE102],EPV_SARAMPION6466697274[[#This Row],[CIE-10]]))</f>
        <v>0</v>
      </c>
      <c r="V20" s="3">
        <f>IF($AK$2="(Todas)",COUNTIF(BASE[CODCIE104],EPV_SARAMPION6466697274[[#This Row],[CIE-10]]),COUNTIFS(BASE[Cod.Establecimiento],$AK$2,BASE[CODCIE104],EPV_SARAMPION6466697274[[#This Row],[CIE-10]]))</f>
        <v>0</v>
      </c>
      <c r="W20" s="3">
        <f>IF($AK$2="(Todas)",COUNTIF(BASE[CODCIE106],EPV_SARAMPION6466697274[[#This Row],[CIE-10]]),COUNTIFS(BASE[Cod.Establecimiento],$AK$2,BASE[CODCIE106],EPV_SARAMPION6466697274[[#This Row],[CIE-10]]))</f>
        <v>0</v>
      </c>
      <c r="X20" s="3">
        <f>IF($AK$2="(Todas)",COUNTIF(BASE[CODCIE108],EPV_SARAMPION6466697274[[#This Row],[CIE-10]]),COUNTIFS(BASE[Cod.Establecimiento],$AK$2,BASE[CODCIE108],EPV_SARAMPION6466697274[[#This Row],[CIE-10]]))</f>
        <v>0</v>
      </c>
      <c r="Y20" s="3">
        <f>IF($AK$2="(Todas)",COUNTIF(BASE[CODCIE1010],EPV_SARAMPION6466697274[[#This Row],[CIE-10]]),COUNTIFS(BASE[Cod.Establecimiento],$AK$2,BASE[CODCIE1010],EPV_SARAMPION6466697274[[#This Row],[CIE-10]]))</f>
        <v>0</v>
      </c>
      <c r="Z20" s="9">
        <f>SUM(EPV_SARAMPION6466697274[[#This Row],[D1]:[D6]])</f>
        <v>0</v>
      </c>
      <c r="AB20" s="4" t="s">
        <v>364</v>
      </c>
      <c r="AC20" s="3">
        <f>IF($AK$2="(Todas)",COUNTIF(BASE[CODCIE10],EPV_SARAMPION646669727475[[#This Row],[CIE-10]]),COUNTIFS(BASE[Cod.Establecimiento],$AK$2,BASE[CODCIE10],EPV_SARAMPION646669727475[[#This Row],[CIE-10]]))</f>
        <v>0</v>
      </c>
      <c r="AD20" s="3">
        <f>IF($AK$2="(Todas)",COUNTIF(BASE[CODCIE102],EPV_SARAMPION646669727475[[#This Row],[CIE-10]]),COUNTIFS(BASE[Cod.Establecimiento],$AK$2,BASE[CODCIE102],EPV_SARAMPION646669727475[[#This Row],[CIE-10]]))</f>
        <v>0</v>
      </c>
      <c r="AE20" s="3">
        <f>IF($AK$2="(Todas)",COUNTIF(BASE[CODCIE104],EPV_SARAMPION646669727475[[#This Row],[CIE-10]]),COUNTIFS(BASE[Cod.Establecimiento],$AK$2,BASE[CODCIE104],EPV_SARAMPION646669727475[[#This Row],[CIE-10]]))</f>
        <v>0</v>
      </c>
      <c r="AF20" s="3">
        <f>IF($AK$2="(Todas)",COUNTIF(BASE[CODCIE106],EPV_SARAMPION646669727475[[#This Row],[CIE-10]]),COUNTIFS(BASE[Cod.Establecimiento],$AK$2,BASE[CODCIE106],EPV_SARAMPION646669727475[[#This Row],[CIE-10]]))</f>
        <v>0</v>
      </c>
      <c r="AG20" s="3">
        <f>IF($AK$2="(Todas)",COUNTIF(BASE[CODCIE108],EPV_SARAMPION646669727475[[#This Row],[CIE-10]]),COUNTIFS(BASE[Cod.Establecimiento],$AK$2,BASE[CODCIE108],EPV_SARAMPION646669727475[[#This Row],[CIE-10]]))</f>
        <v>0</v>
      </c>
      <c r="AH20" s="3">
        <f>IF($AK$2="(Todas)",COUNTIF(BASE[CODCIE1010],EPV_SARAMPION646669727475[[#This Row],[CIE-10]]),COUNTIFS(BASE[Cod.Establecimiento],$AK$2,BASE[CODCIE1010],EPV_SARAMPION646669727475[[#This Row],[CIE-10]]))</f>
        <v>0</v>
      </c>
      <c r="AI20" s="9">
        <f>SUM(EPV_SARAMPION646669727475[[#This Row],[D1]:[D6]])</f>
        <v>0</v>
      </c>
      <c r="AJ20" s="142"/>
      <c r="AK20" s="142"/>
      <c r="AL20" s="70"/>
      <c r="AM20" s="70"/>
      <c r="AN20" s="70"/>
      <c r="AO20" s="70"/>
    </row>
    <row r="21" spans="1:41" s="2" customFormat="1" ht="15" customHeight="1">
      <c r="A21" s="32" t="s">
        <v>340</v>
      </c>
      <c r="B21" s="8">
        <f>IF($AK$2="(Todas)",COUNTIF(BASE[CODCIE10],EPV_PARALISIS_FLACIDA_AGUDA62[[#This Row],[CIE-10]]),COUNTIFS(BASE[Cod.Establecimiento],$AK$2,BASE[CODCIE10],EPV_PARALISIS_FLACIDA_AGUDA62[[#This Row],[CIE-10]]))</f>
        <v>0</v>
      </c>
      <c r="C21" s="8">
        <f>IF($AK$2="(Todas)",COUNTIF(BASE[CODCIE102],EPV_PARALISIS_FLACIDA_AGUDA62[[#This Row],[CIE-10]]),COUNTIFS(BASE[Cod.Establecimiento],$AK$2,BASE[CODCIE102],EPV_PARALISIS_FLACIDA_AGUDA62[[#This Row],[CIE-10]]))</f>
        <v>0</v>
      </c>
      <c r="D21" s="8">
        <f>IF($AK$2="(Todas)",COUNTIF(BASE[CODCIE104],EPV_PARALISIS_FLACIDA_AGUDA62[[#This Row],[CIE-10]]),COUNTIFS(BASE[Cod.Establecimiento],$AK$2,BASE[CODCIE104],EPV_PARALISIS_FLACIDA_AGUDA62[[#This Row],[CIE-10]]))</f>
        <v>0</v>
      </c>
      <c r="E21" s="8">
        <f>IF($AK$2="(Todas)",COUNTIF(BASE[CODCIE106],EPV_PARALISIS_FLACIDA_AGUDA62[[#This Row],[CIE-10]]),COUNTIFS(BASE[Cod.Establecimiento],$AK$2,BASE[CODCIE106],EPV_PARALISIS_FLACIDA_AGUDA62[[#This Row],[CIE-10]]))</f>
        <v>0</v>
      </c>
      <c r="F21" s="8">
        <f>IF($AK$2="(Todas)",COUNTIF(BASE[CODCIE108],EPV_PARALISIS_FLACIDA_AGUDA62[[#This Row],[CIE-10]]),COUNTIFS(BASE[Cod.Establecimiento],$AK$2,BASE[CODCIE108],EPV_PARALISIS_FLACIDA_AGUDA62[[#This Row],[CIE-10]]))</f>
        <v>0</v>
      </c>
      <c r="G21" s="8">
        <f>IF($AK$2="(Todas)",COUNTIF(BASE[CODCIE1010],EPV_PARALISIS_FLACIDA_AGUDA62[[#This Row],[CIE-10]]),COUNTIFS(BASE[Cod.Establecimiento],$AK$2,BASE[CODCIE1010],EPV_PARALISIS_FLACIDA_AGUDA62[[#This Row],[CIE-10]]))</f>
        <v>0</v>
      </c>
      <c r="H21" s="67">
        <f>SUM(EPV_PARALISIS_FLACIDA_AGUDA62[[#This Row],[D1]:[D6]])</f>
        <v>0</v>
      </c>
      <c r="J21"/>
      <c r="K21"/>
      <c r="L21"/>
      <c r="M21"/>
      <c r="N21"/>
      <c r="O21"/>
      <c r="P21"/>
      <c r="AJ21" s="142"/>
      <c r="AK21" s="142"/>
      <c r="AL21" s="70"/>
      <c r="AM21" s="70"/>
      <c r="AN21" s="70"/>
      <c r="AO21" s="70"/>
    </row>
    <row r="22" spans="1:41" s="2" customFormat="1" ht="18" customHeight="1" thickBot="1">
      <c r="A22" s="32" t="s">
        <v>341</v>
      </c>
      <c r="B22" s="8">
        <f>IF($AK$2="(Todas)",COUNTIF(BASE[CODCIE10],EPV_PARALISIS_FLACIDA_AGUDA62[[#This Row],[CIE-10]]),COUNTIFS(BASE[Cod.Establecimiento],$AK$2,BASE[CODCIE10],EPV_PARALISIS_FLACIDA_AGUDA62[[#This Row],[CIE-10]]))</f>
        <v>0</v>
      </c>
      <c r="C22" s="8">
        <f>IF($AK$2="(Todas)",COUNTIF(BASE[CODCIE102],EPV_PARALISIS_FLACIDA_AGUDA62[[#This Row],[CIE-10]]),COUNTIFS(BASE[Cod.Establecimiento],$AK$2,BASE[CODCIE102],EPV_PARALISIS_FLACIDA_AGUDA62[[#This Row],[CIE-10]]))</f>
        <v>0</v>
      </c>
      <c r="D22" s="8">
        <f>IF($AK$2="(Todas)",COUNTIF(BASE[CODCIE104],EPV_PARALISIS_FLACIDA_AGUDA62[[#This Row],[CIE-10]]),COUNTIFS(BASE[Cod.Establecimiento],$AK$2,BASE[CODCIE104],EPV_PARALISIS_FLACIDA_AGUDA62[[#This Row],[CIE-10]]))</f>
        <v>0</v>
      </c>
      <c r="E22" s="8">
        <f>IF($AK$2="(Todas)",COUNTIF(BASE[CODCIE106],EPV_PARALISIS_FLACIDA_AGUDA62[[#This Row],[CIE-10]]),COUNTIFS(BASE[Cod.Establecimiento],$AK$2,BASE[CODCIE106],EPV_PARALISIS_FLACIDA_AGUDA62[[#This Row],[CIE-10]]))</f>
        <v>0</v>
      </c>
      <c r="F22" s="8">
        <f>IF($AK$2="(Todas)",COUNTIF(BASE[CODCIE108],EPV_PARALISIS_FLACIDA_AGUDA62[[#This Row],[CIE-10]]),COUNTIFS(BASE[Cod.Establecimiento],$AK$2,BASE[CODCIE108],EPV_PARALISIS_FLACIDA_AGUDA62[[#This Row],[CIE-10]]))</f>
        <v>0</v>
      </c>
      <c r="G22" s="8">
        <f>IF($AK$2="(Todas)",COUNTIF(BASE[CODCIE1010],EPV_PARALISIS_FLACIDA_AGUDA62[[#This Row],[CIE-10]]),COUNTIFS(BASE[Cod.Establecimiento],$AK$2,BASE[CODCIE1010],EPV_PARALISIS_FLACIDA_AGUDA62[[#This Row],[CIE-10]]))</f>
        <v>0</v>
      </c>
      <c r="H22" s="67">
        <f>SUM(EPV_PARALISIS_FLACIDA_AGUDA62[[#This Row],[D1]:[D6]])</f>
        <v>0</v>
      </c>
      <c r="J22" s="80" t="s">
        <v>360</v>
      </c>
      <c r="K22" s="80"/>
      <c r="L22" s="80"/>
      <c r="M22" s="80"/>
      <c r="N22" s="80"/>
      <c r="O22" s="80"/>
      <c r="P22" s="80"/>
      <c r="Q22" s="80"/>
      <c r="S22" s="80" t="s">
        <v>365</v>
      </c>
      <c r="T22" s="80"/>
      <c r="U22" s="80"/>
      <c r="V22" s="80"/>
      <c r="W22" s="80"/>
      <c r="X22" s="80"/>
      <c r="Y22" s="80"/>
      <c r="Z22" s="80"/>
      <c r="AB22" s="80" t="s">
        <v>369</v>
      </c>
      <c r="AC22" s="80"/>
      <c r="AD22" s="80"/>
      <c r="AE22" s="80"/>
      <c r="AF22" s="80"/>
      <c r="AG22" s="80"/>
      <c r="AH22" s="80"/>
      <c r="AI22" s="80"/>
      <c r="AJ22" s="142"/>
      <c r="AK22" s="142"/>
      <c r="AL22" s="70"/>
      <c r="AM22" s="70"/>
      <c r="AN22" s="70"/>
      <c r="AO22" s="70"/>
    </row>
    <row r="23" spans="1:41" s="2" customFormat="1" ht="15.75" customHeight="1" thickTop="1">
      <c r="A23" s="32" t="s">
        <v>342</v>
      </c>
      <c r="B23" s="8">
        <f>IF($AK$2="(Todas)",COUNTIF(BASE[CODCIE10],EPV_PARALISIS_FLACIDA_AGUDA62[[#This Row],[CIE-10]]),COUNTIFS(BASE[Cod.Establecimiento],$AK$2,BASE[CODCIE10],EPV_PARALISIS_FLACIDA_AGUDA62[[#This Row],[CIE-10]]))</f>
        <v>0</v>
      </c>
      <c r="C23" s="8">
        <f>IF($AK$2="(Todas)",COUNTIF(BASE[CODCIE102],EPV_PARALISIS_FLACIDA_AGUDA62[[#This Row],[CIE-10]]),COUNTIFS(BASE[Cod.Establecimiento],$AK$2,BASE[CODCIE102],EPV_PARALISIS_FLACIDA_AGUDA62[[#This Row],[CIE-10]]))</f>
        <v>0</v>
      </c>
      <c r="D23" s="8">
        <f>IF($AK$2="(Todas)",COUNTIF(BASE[CODCIE104],EPV_PARALISIS_FLACIDA_AGUDA62[[#This Row],[CIE-10]]),COUNTIFS(BASE[Cod.Establecimiento],$AK$2,BASE[CODCIE104],EPV_PARALISIS_FLACIDA_AGUDA62[[#This Row],[CIE-10]]))</f>
        <v>0</v>
      </c>
      <c r="E23" s="8">
        <f>IF($AK$2="(Todas)",COUNTIF(BASE[CODCIE106],EPV_PARALISIS_FLACIDA_AGUDA62[[#This Row],[CIE-10]]),COUNTIFS(BASE[Cod.Establecimiento],$AK$2,BASE[CODCIE106],EPV_PARALISIS_FLACIDA_AGUDA62[[#This Row],[CIE-10]]))</f>
        <v>0</v>
      </c>
      <c r="F23" s="8">
        <f>IF($AK$2="(Todas)",COUNTIF(BASE[CODCIE108],EPV_PARALISIS_FLACIDA_AGUDA62[[#This Row],[CIE-10]]),COUNTIFS(BASE[Cod.Establecimiento],$AK$2,BASE[CODCIE108],EPV_PARALISIS_FLACIDA_AGUDA62[[#This Row],[CIE-10]]))</f>
        <v>0</v>
      </c>
      <c r="G23" s="8">
        <f>IF($AK$2="(Todas)",COUNTIF(BASE[CODCIE1010],EPV_PARALISIS_FLACIDA_AGUDA62[[#This Row],[CIE-10]]),COUNTIFS(BASE[Cod.Establecimiento],$AK$2,BASE[CODCIE1010],EPV_PARALISIS_FLACIDA_AGUDA62[[#This Row],[CIE-10]]))</f>
        <v>0</v>
      </c>
      <c r="H23" s="67">
        <f>SUM(EPV_PARALISIS_FLACIDA_AGUDA62[[#This Row],[D1]:[D6]])</f>
        <v>0</v>
      </c>
      <c r="J23" s="6" t="str">
        <f>CONCATENATE("TOTAL: ",SUM(K23:P23))</f>
        <v>TOTAL: 0</v>
      </c>
      <c r="K23" s="5">
        <f>SUM(EPV_SARAMPION6466697273[D1])</f>
        <v>0</v>
      </c>
      <c r="L23" s="5">
        <f>SUM(EPV_SARAMPION6466697273[D2])</f>
        <v>0</v>
      </c>
      <c r="M23" s="5">
        <f>SUM(EPV_SARAMPION6466697273[D3])</f>
        <v>0</v>
      </c>
      <c r="N23" s="5">
        <f>SUM(EPV_SARAMPION6466697273[D4])</f>
        <v>0</v>
      </c>
      <c r="O23" s="5">
        <f>SUM(EPV_SARAMPION6466697273[D5])</f>
        <v>0</v>
      </c>
      <c r="P23" s="5">
        <f>SUM(EPV_SARAMPION6466697273[D6])</f>
        <v>0</v>
      </c>
      <c r="Q23" s="7"/>
      <c r="S23" s="6" t="str">
        <f>CONCATENATE("TOTAL: ",SUM(T23:Y23))</f>
        <v>TOTAL: 0</v>
      </c>
      <c r="T23" s="5">
        <f>SUM(EPV_SARAMPION646669727376[D1])</f>
        <v>0</v>
      </c>
      <c r="U23" s="5">
        <f>SUM(EPV_SARAMPION646669727376[D2])</f>
        <v>0</v>
      </c>
      <c r="V23" s="5">
        <f>SUM(EPV_SARAMPION646669727376[D3])</f>
        <v>0</v>
      </c>
      <c r="W23" s="5">
        <f>SUM(EPV_SARAMPION646669727376[D4])</f>
        <v>0</v>
      </c>
      <c r="X23" s="5">
        <f>SUM(EPV_SARAMPION646669727376[D5])</f>
        <v>0</v>
      </c>
      <c r="Y23" s="5">
        <f>SUM(EPV_SARAMPION646669727376[D6])</f>
        <v>0</v>
      </c>
      <c r="Z23" s="7"/>
      <c r="AB23" s="6" t="str">
        <f>CONCATENATE("TOTAL: ",SUM(AC23:AH23))</f>
        <v>TOTAL: 0</v>
      </c>
      <c r="AC23" s="5">
        <f>SUM(EPV_SARAMPION64666972737677[D1])</f>
        <v>0</v>
      </c>
      <c r="AD23" s="5">
        <f>SUM(EPV_SARAMPION64666972737677[D2])</f>
        <v>0</v>
      </c>
      <c r="AE23" s="5">
        <f>SUM(EPV_SARAMPION64666972737677[D3])</f>
        <v>0</v>
      </c>
      <c r="AF23" s="5">
        <f>SUM(EPV_SARAMPION64666972737677[D4])</f>
        <v>0</v>
      </c>
      <c r="AG23" s="5">
        <f>SUM(EPV_SARAMPION64666972737677[D5])</f>
        <v>0</v>
      </c>
      <c r="AH23" s="5">
        <f>SUM(EPV_SARAMPION64666972737677[D6])</f>
        <v>0</v>
      </c>
      <c r="AI23" s="7"/>
      <c r="AJ23" s="142"/>
      <c r="AK23" s="142"/>
      <c r="AL23" s="70"/>
      <c r="AM23" s="70"/>
      <c r="AN23" s="70"/>
      <c r="AO23" s="70"/>
    </row>
    <row r="24" spans="1:41" s="2" customFormat="1" ht="15" customHeight="1">
      <c r="A24" s="32" t="s">
        <v>343</v>
      </c>
      <c r="B24" s="8">
        <f>IF($AK$2="(Todas)",COUNTIF(BASE[CODCIE10],EPV_PARALISIS_FLACIDA_AGUDA62[[#This Row],[CIE-10]]),COUNTIFS(BASE[Cod.Establecimiento],$AK$2,BASE[CODCIE10],EPV_PARALISIS_FLACIDA_AGUDA62[[#This Row],[CIE-10]]))</f>
        <v>0</v>
      </c>
      <c r="C24" s="8">
        <f>IF($AK$2="(Todas)",COUNTIF(BASE[CODCIE102],EPV_PARALISIS_FLACIDA_AGUDA62[[#This Row],[CIE-10]]),COUNTIFS(BASE[Cod.Establecimiento],$AK$2,BASE[CODCIE102],EPV_PARALISIS_FLACIDA_AGUDA62[[#This Row],[CIE-10]]))</f>
        <v>0</v>
      </c>
      <c r="D24" s="8">
        <f>IF($AK$2="(Todas)",COUNTIF(BASE[CODCIE104],EPV_PARALISIS_FLACIDA_AGUDA62[[#This Row],[CIE-10]]),COUNTIFS(BASE[Cod.Establecimiento],$AK$2,BASE[CODCIE104],EPV_PARALISIS_FLACIDA_AGUDA62[[#This Row],[CIE-10]]))</f>
        <v>0</v>
      </c>
      <c r="E24" s="8">
        <f>IF($AK$2="(Todas)",COUNTIF(BASE[CODCIE106],EPV_PARALISIS_FLACIDA_AGUDA62[[#This Row],[CIE-10]]),COUNTIFS(BASE[Cod.Establecimiento],$AK$2,BASE[CODCIE106],EPV_PARALISIS_FLACIDA_AGUDA62[[#This Row],[CIE-10]]))</f>
        <v>0</v>
      </c>
      <c r="F24" s="8">
        <f>IF($AK$2="(Todas)",COUNTIF(BASE[CODCIE108],EPV_PARALISIS_FLACIDA_AGUDA62[[#This Row],[CIE-10]]),COUNTIFS(BASE[Cod.Establecimiento],$AK$2,BASE[CODCIE108],EPV_PARALISIS_FLACIDA_AGUDA62[[#This Row],[CIE-10]]))</f>
        <v>0</v>
      </c>
      <c r="G24" s="8">
        <f>IF($AK$2="(Todas)",COUNTIF(BASE[CODCIE1010],EPV_PARALISIS_FLACIDA_AGUDA62[[#This Row],[CIE-10]]),COUNTIFS(BASE[Cod.Establecimiento],$AK$2,BASE[CODCIE1010],EPV_PARALISIS_FLACIDA_AGUDA62[[#This Row],[CIE-10]]))</f>
        <v>0</v>
      </c>
      <c r="H24" s="67">
        <f>SUM(EPV_PARALISIS_FLACIDA_AGUDA62[[#This Row],[D1]:[D6]])</f>
        <v>0</v>
      </c>
      <c r="J24" t="s">
        <v>93</v>
      </c>
      <c r="K24" s="3" t="s">
        <v>94</v>
      </c>
      <c r="L24" s="3" t="s">
        <v>95</v>
      </c>
      <c r="M24" s="3" t="s">
        <v>96</v>
      </c>
      <c r="N24" s="3" t="s">
        <v>97</v>
      </c>
      <c r="O24" s="3" t="s">
        <v>98</v>
      </c>
      <c r="P24" s="3" t="s">
        <v>99</v>
      </c>
      <c r="Q24" s="8" t="s">
        <v>100</v>
      </c>
      <c r="S24" t="s">
        <v>93</v>
      </c>
      <c r="T24" s="3" t="s">
        <v>94</v>
      </c>
      <c r="U24" s="3" t="s">
        <v>95</v>
      </c>
      <c r="V24" s="3" t="s">
        <v>96</v>
      </c>
      <c r="W24" s="3" t="s">
        <v>97</v>
      </c>
      <c r="X24" s="3" t="s">
        <v>98</v>
      </c>
      <c r="Y24" s="3" t="s">
        <v>99</v>
      </c>
      <c r="Z24" s="8" t="s">
        <v>100</v>
      </c>
      <c r="AB24" t="s">
        <v>93</v>
      </c>
      <c r="AC24" s="3" t="s">
        <v>94</v>
      </c>
      <c r="AD24" s="3" t="s">
        <v>95</v>
      </c>
      <c r="AE24" s="3" t="s">
        <v>96</v>
      </c>
      <c r="AF24" s="3" t="s">
        <v>97</v>
      </c>
      <c r="AG24" s="3" t="s">
        <v>98</v>
      </c>
      <c r="AH24" s="3" t="s">
        <v>99</v>
      </c>
      <c r="AI24" s="8" t="s">
        <v>100</v>
      </c>
      <c r="AJ24" s="142"/>
      <c r="AK24" s="142"/>
      <c r="AL24" s="70"/>
      <c r="AM24" s="70"/>
      <c r="AN24" s="70"/>
      <c r="AO24" s="70"/>
    </row>
    <row r="25" spans="1:41" ht="15" customHeight="1">
      <c r="J25" s="4" t="s">
        <v>359</v>
      </c>
      <c r="K25" s="3">
        <f>IF($AK$2="(Todas)",COUNTIF(BASE[CODCIE10],EPV_SARAMPION6466697273[[#This Row],[CIE-10]]),COUNTIFS(BASE[Cod.Establecimiento],$AK$2,BASE[CODCIE10],EPV_SARAMPION6466697273[[#This Row],[CIE-10]]))</f>
        <v>0</v>
      </c>
      <c r="L25" s="3">
        <f>IF($AK$2="(Todas)",COUNTIF(BASE[CODCIE102],EPV_SARAMPION6466697273[[#This Row],[CIE-10]]),COUNTIFS(BASE[Cod.Establecimiento],$AK$2,BASE[CODCIE102],EPV_SARAMPION6466697273[[#This Row],[CIE-10]]))</f>
        <v>0</v>
      </c>
      <c r="M25" s="3">
        <f>IF($AK$2="(Todas)",COUNTIF(BASE[CODCIE104],EPV_SARAMPION6466697273[[#This Row],[CIE-10]]),COUNTIFS(BASE[Cod.Establecimiento],$AK$2,BASE[CODCIE104],EPV_SARAMPION6466697273[[#This Row],[CIE-10]]))</f>
        <v>0</v>
      </c>
      <c r="N25" s="3">
        <f>IF($AK$2="(Todas)",COUNTIF(BASE[CODCIE106],EPV_SARAMPION6466697273[[#This Row],[CIE-10]]),COUNTIFS(BASE[Cod.Establecimiento],$AK$2,BASE[CODCIE106],EPV_SARAMPION6466697273[[#This Row],[CIE-10]]))</f>
        <v>0</v>
      </c>
      <c r="O25" s="3">
        <f>IF($AK$2="(Todas)",COUNTIF(BASE[CODCIE108],EPV_SARAMPION6466697273[[#This Row],[CIE-10]]),COUNTIFS(BASE[Cod.Establecimiento],$AK$2,BASE[CODCIE108],EPV_SARAMPION6466697273[[#This Row],[CIE-10]]))</f>
        <v>0</v>
      </c>
      <c r="P25" s="3">
        <f>IF($AK$2="(Todas)",COUNTIF(BASE[CODCIE1010],EPV_SARAMPION6466697273[[#This Row],[CIE-10]]),COUNTIFS(BASE[Cod.Establecimiento],$AK$2,BASE[CODCIE1010],EPV_SARAMPION6466697273[[#This Row],[CIE-10]]))</f>
        <v>0</v>
      </c>
      <c r="Q25" s="9">
        <f>SUM(EPV_SARAMPION6466697273[[#This Row],[D1]:[D6]])</f>
        <v>0</v>
      </c>
      <c r="S25" s="4" t="s">
        <v>366</v>
      </c>
      <c r="T25" s="3">
        <f>IF($AK$2="(Todas)",COUNTIF(BASE[CODCIE10],EPV_SARAMPION646669727376[[#This Row],[CIE-10]]),COUNTIFS(BASE[Cod.Establecimiento],$AK$2,BASE[CODCIE10],EPV_SARAMPION646669727376[[#This Row],[CIE-10]]))</f>
        <v>0</v>
      </c>
      <c r="U25" s="3">
        <f>IF($AK$2="(Todas)",COUNTIF(BASE[CODCIE102],EPV_SARAMPION646669727376[[#This Row],[CIE-10]]),COUNTIFS(BASE[Cod.Establecimiento],$AK$2,BASE[CODCIE102],EPV_SARAMPION646669727376[[#This Row],[CIE-10]]))</f>
        <v>0</v>
      </c>
      <c r="V25" s="3">
        <f>IF($AK$2="(Todas)",COUNTIF(BASE[CODCIE104],EPV_SARAMPION646669727376[[#This Row],[CIE-10]]),COUNTIFS(BASE[Cod.Establecimiento],$AK$2,BASE[CODCIE104],EPV_SARAMPION646669727376[[#This Row],[CIE-10]]))</f>
        <v>0</v>
      </c>
      <c r="W25" s="3">
        <f>IF($AK$2="(Todas)",COUNTIF(BASE[CODCIE106],EPV_SARAMPION646669727376[[#This Row],[CIE-10]]),COUNTIFS(BASE[Cod.Establecimiento],$AK$2,BASE[CODCIE106],EPV_SARAMPION646669727376[[#This Row],[CIE-10]]))</f>
        <v>0</v>
      </c>
      <c r="X25" s="3">
        <f>IF($AK$2="(Todas)",COUNTIF(BASE[CODCIE108],EPV_SARAMPION646669727376[[#This Row],[CIE-10]]),COUNTIFS(BASE[Cod.Establecimiento],$AK$2,BASE[CODCIE108],EPV_SARAMPION646669727376[[#This Row],[CIE-10]]))</f>
        <v>0</v>
      </c>
      <c r="Y25" s="3">
        <f>IF($AK$2="(Todas)",COUNTIF(BASE[CODCIE1010],EPV_SARAMPION646669727376[[#This Row],[CIE-10]]),COUNTIFS(BASE[Cod.Establecimiento],$AK$2,BASE[CODCIE1010],EPV_SARAMPION646669727376[[#This Row],[CIE-10]]))</f>
        <v>0</v>
      </c>
      <c r="Z25" s="9">
        <f>SUM(EPV_SARAMPION646669727376[[#This Row],[D1]:[D6]])</f>
        <v>0</v>
      </c>
      <c r="AB25" s="4" t="s">
        <v>370</v>
      </c>
      <c r="AC25" s="3">
        <f>IF($AK$2="(Todas)",COUNTIF(BASE[CODCIE10],EPV_SARAMPION64666972737677[[#This Row],[CIE-10]]),COUNTIFS(BASE[Cod.Establecimiento],$AK$2,BASE[CODCIE10],EPV_SARAMPION64666972737677[[#This Row],[CIE-10]]))</f>
        <v>0</v>
      </c>
      <c r="AD25" s="3">
        <f>IF($AK$2="(Todas)",COUNTIF(BASE[CODCIE102],EPV_SARAMPION64666972737677[[#This Row],[CIE-10]]),COUNTIFS(BASE[Cod.Establecimiento],$AK$2,BASE[CODCIE102],EPV_SARAMPION64666972737677[[#This Row],[CIE-10]]))</f>
        <v>0</v>
      </c>
      <c r="AE25" s="3">
        <f>IF($AK$2="(Todas)",COUNTIF(BASE[CODCIE104],EPV_SARAMPION64666972737677[[#This Row],[CIE-10]]),COUNTIFS(BASE[Cod.Establecimiento],$AK$2,BASE[CODCIE104],EPV_SARAMPION64666972737677[[#This Row],[CIE-10]]))</f>
        <v>0</v>
      </c>
      <c r="AF25" s="3">
        <f>IF($AK$2="(Todas)",COUNTIF(BASE[CODCIE106],EPV_SARAMPION64666972737677[[#This Row],[CIE-10]]),COUNTIFS(BASE[Cod.Establecimiento],$AK$2,BASE[CODCIE106],EPV_SARAMPION64666972737677[[#This Row],[CIE-10]]))</f>
        <v>0</v>
      </c>
      <c r="AG25" s="3">
        <f>IF($AK$2="(Todas)",COUNTIF(BASE[CODCIE108],EPV_SARAMPION64666972737677[[#This Row],[CIE-10]]),COUNTIFS(BASE[Cod.Establecimiento],$AK$2,BASE[CODCIE108],EPV_SARAMPION64666972737677[[#This Row],[CIE-10]]))</f>
        <v>0</v>
      </c>
      <c r="AH25" s="3">
        <f>IF($AK$2="(Todas)",COUNTIF(BASE[CODCIE1010],EPV_SARAMPION64666972737677[[#This Row],[CIE-10]]),COUNTIFS(BASE[Cod.Establecimiento],$AK$2,BASE[CODCIE1010],EPV_SARAMPION64666972737677[[#This Row],[CIE-10]]))</f>
        <v>0</v>
      </c>
      <c r="AI25" s="9">
        <f>SUM(EPV_SARAMPION64666972737677[[#This Row],[D1]:[D6]])</f>
        <v>0</v>
      </c>
      <c r="AJ25" s="142"/>
      <c r="AK25" s="142"/>
      <c r="AL25" s="70"/>
      <c r="AM25" s="70"/>
      <c r="AN25" s="70"/>
      <c r="AO25" s="70"/>
    </row>
    <row r="26" spans="1:41" ht="15" customHeight="1">
      <c r="S26" s="32" t="s">
        <v>367</v>
      </c>
      <c r="T26" s="3">
        <f>IF($AK$2="(Todas)",COUNTIF(BASE[CODCIE10],EPV_SARAMPION646669727376[[#This Row],[CIE-10]]),COUNTIFS(BASE[Cod.Establecimiento],$AK$2,BASE[CODCIE10],EPV_SARAMPION646669727376[[#This Row],[CIE-10]]))</f>
        <v>0</v>
      </c>
      <c r="U26" s="3">
        <f>IF($AK$2="(Todas)",COUNTIF(BASE[CODCIE102],EPV_SARAMPION646669727376[[#This Row],[CIE-10]]),COUNTIFS(BASE[Cod.Establecimiento],$AK$2,BASE[CODCIE102],EPV_SARAMPION646669727376[[#This Row],[CIE-10]]))</f>
        <v>0</v>
      </c>
      <c r="V26" s="3">
        <f>IF($AK$2="(Todas)",COUNTIF(BASE[CODCIE104],EPV_SARAMPION646669727376[[#This Row],[CIE-10]]),COUNTIFS(BASE[Cod.Establecimiento],$AK$2,BASE[CODCIE104],EPV_SARAMPION646669727376[[#This Row],[CIE-10]]))</f>
        <v>0</v>
      </c>
      <c r="W26" s="3">
        <f>IF($AK$2="(Todas)",COUNTIF(BASE[CODCIE106],EPV_SARAMPION646669727376[[#This Row],[CIE-10]]),COUNTIFS(BASE[Cod.Establecimiento],$AK$2,BASE[CODCIE106],EPV_SARAMPION646669727376[[#This Row],[CIE-10]]))</f>
        <v>0</v>
      </c>
      <c r="X26" s="3">
        <f>IF($AK$2="(Todas)",COUNTIF(BASE[CODCIE108],EPV_SARAMPION646669727376[[#This Row],[CIE-10]]),COUNTIFS(BASE[Cod.Establecimiento],$AK$2,BASE[CODCIE108],EPV_SARAMPION646669727376[[#This Row],[CIE-10]]))</f>
        <v>0</v>
      </c>
      <c r="Y26" s="3">
        <f>IF($AK$2="(Todas)",COUNTIF(BASE[CODCIE1010],EPV_SARAMPION646669727376[[#This Row],[CIE-10]]),COUNTIFS(BASE[Cod.Establecimiento],$AK$2,BASE[CODCIE1010],EPV_SARAMPION646669727376[[#This Row],[CIE-10]]))</f>
        <v>0</v>
      </c>
      <c r="Z26" s="9">
        <f>SUM(EPV_SARAMPION646669727376[[#This Row],[D1]:[D6]])</f>
        <v>0</v>
      </c>
      <c r="AB26" s="32" t="s">
        <v>371</v>
      </c>
      <c r="AC26" s="3">
        <f>IF($AK$2="(Todas)",COUNTIF(BASE[CODCIE10],EPV_SARAMPION64666972737677[[#This Row],[CIE-10]]),COUNTIFS(BASE[Cod.Establecimiento],$AK$2,BASE[CODCIE10],EPV_SARAMPION64666972737677[[#This Row],[CIE-10]]))</f>
        <v>0</v>
      </c>
      <c r="AD26" s="3">
        <f>IF($AK$2="(Todas)",COUNTIF(BASE[CODCIE102],EPV_SARAMPION64666972737677[[#This Row],[CIE-10]]),COUNTIFS(BASE[Cod.Establecimiento],$AK$2,BASE[CODCIE102],EPV_SARAMPION64666972737677[[#This Row],[CIE-10]]))</f>
        <v>0</v>
      </c>
      <c r="AE26" s="3">
        <f>IF($AK$2="(Todas)",COUNTIF(BASE[CODCIE104],EPV_SARAMPION64666972737677[[#This Row],[CIE-10]]),COUNTIFS(BASE[Cod.Establecimiento],$AK$2,BASE[CODCIE104],EPV_SARAMPION64666972737677[[#This Row],[CIE-10]]))</f>
        <v>0</v>
      </c>
      <c r="AF26" s="3">
        <f>IF($AK$2="(Todas)",COUNTIF(BASE[CODCIE106],EPV_SARAMPION64666972737677[[#This Row],[CIE-10]]),COUNTIFS(BASE[Cod.Establecimiento],$AK$2,BASE[CODCIE106],EPV_SARAMPION64666972737677[[#This Row],[CIE-10]]))</f>
        <v>0</v>
      </c>
      <c r="AG26" s="3">
        <f>IF($AK$2="(Todas)",COUNTIF(BASE[CODCIE108],EPV_SARAMPION64666972737677[[#This Row],[CIE-10]]),COUNTIFS(BASE[Cod.Establecimiento],$AK$2,BASE[CODCIE108],EPV_SARAMPION64666972737677[[#This Row],[CIE-10]]))</f>
        <v>0</v>
      </c>
      <c r="AH26" s="3">
        <f>IF($AK$2="(Todas)",COUNTIF(BASE[CODCIE1010],EPV_SARAMPION64666972737677[[#This Row],[CIE-10]]),COUNTIFS(BASE[Cod.Establecimiento],$AK$2,BASE[CODCIE1010],EPV_SARAMPION64666972737677[[#This Row],[CIE-10]]))</f>
        <v>0</v>
      </c>
      <c r="AI26" s="9">
        <f>SUM(EPV_SARAMPION64666972737677[[#This Row],[D1]:[D6]])</f>
        <v>0</v>
      </c>
      <c r="AJ26" s="142"/>
      <c r="AK26" s="142"/>
      <c r="AL26" s="70"/>
      <c r="AM26" s="70"/>
      <c r="AN26" s="70"/>
      <c r="AO26" s="70"/>
    </row>
    <row r="27" spans="1:41" ht="15" customHeight="1" thickBot="1">
      <c r="A27" s="80" t="s">
        <v>377</v>
      </c>
      <c r="B27" s="80"/>
      <c r="C27" s="80"/>
      <c r="D27" s="80"/>
      <c r="E27" s="80"/>
      <c r="F27" s="80"/>
      <c r="G27" s="80"/>
      <c r="H27" s="80"/>
      <c r="J27" s="80" t="s">
        <v>376</v>
      </c>
      <c r="K27" s="80"/>
      <c r="L27" s="80"/>
      <c r="M27" s="80"/>
      <c r="N27" s="80"/>
      <c r="O27" s="80"/>
      <c r="P27" s="80"/>
      <c r="Q27" s="80"/>
      <c r="S27" s="32" t="s">
        <v>368</v>
      </c>
      <c r="T27" s="3">
        <f>IF($AK$2="(Todas)",COUNTIF(BASE[CODCIE10],EPV_SARAMPION646669727376[[#This Row],[CIE-10]]),COUNTIFS(BASE[Cod.Establecimiento],$AK$2,BASE[CODCIE10],EPV_SARAMPION646669727376[[#This Row],[CIE-10]]))</f>
        <v>0</v>
      </c>
      <c r="U27" s="3">
        <f>IF($AK$2="(Todas)",COUNTIF(BASE[CODCIE102],EPV_SARAMPION646669727376[[#This Row],[CIE-10]]),COUNTIFS(BASE[Cod.Establecimiento],$AK$2,BASE[CODCIE102],EPV_SARAMPION646669727376[[#This Row],[CIE-10]]))</f>
        <v>0</v>
      </c>
      <c r="V27" s="3">
        <f>IF($AK$2="(Todas)",COUNTIF(BASE[CODCIE104],EPV_SARAMPION646669727376[[#This Row],[CIE-10]]),COUNTIFS(BASE[Cod.Establecimiento],$AK$2,BASE[CODCIE104],EPV_SARAMPION646669727376[[#This Row],[CIE-10]]))</f>
        <v>0</v>
      </c>
      <c r="W27" s="3">
        <f>IF($AK$2="(Todas)",COUNTIF(BASE[CODCIE106],EPV_SARAMPION646669727376[[#This Row],[CIE-10]]),COUNTIFS(BASE[Cod.Establecimiento],$AK$2,BASE[CODCIE106],EPV_SARAMPION646669727376[[#This Row],[CIE-10]]))</f>
        <v>0</v>
      </c>
      <c r="X27" s="3">
        <f>IF($AK$2="(Todas)",COUNTIF(BASE[CODCIE108],EPV_SARAMPION646669727376[[#This Row],[CIE-10]]),COUNTIFS(BASE[Cod.Establecimiento],$AK$2,BASE[CODCIE108],EPV_SARAMPION646669727376[[#This Row],[CIE-10]]))</f>
        <v>0</v>
      </c>
      <c r="Y27" s="3">
        <f>IF($AK$2="(Todas)",COUNTIF(BASE[CODCIE1010],EPV_SARAMPION646669727376[[#This Row],[CIE-10]]),COUNTIFS(BASE[Cod.Establecimiento],$AK$2,BASE[CODCIE1010],EPV_SARAMPION646669727376[[#This Row],[CIE-10]]))</f>
        <v>0</v>
      </c>
      <c r="Z27" s="9">
        <f>SUM(EPV_SARAMPION646669727376[[#This Row],[D1]:[D6]])</f>
        <v>0</v>
      </c>
      <c r="AB27" s="32" t="s">
        <v>372</v>
      </c>
      <c r="AC27" s="3">
        <f>IF($AK$2="(Todas)",COUNTIF(BASE[CODCIE10],EPV_SARAMPION64666972737677[[#This Row],[CIE-10]]),COUNTIFS(BASE[Cod.Establecimiento],$AK$2,BASE[CODCIE10],EPV_SARAMPION64666972737677[[#This Row],[CIE-10]]))</f>
        <v>0</v>
      </c>
      <c r="AD27" s="3">
        <f>IF($AK$2="(Todas)",COUNTIF(BASE[CODCIE102],EPV_SARAMPION64666972737677[[#This Row],[CIE-10]]),COUNTIFS(BASE[Cod.Establecimiento],$AK$2,BASE[CODCIE102],EPV_SARAMPION64666972737677[[#This Row],[CIE-10]]))</f>
        <v>0</v>
      </c>
      <c r="AE27" s="3">
        <f>IF($AK$2="(Todas)",COUNTIF(BASE[CODCIE104],EPV_SARAMPION64666972737677[[#This Row],[CIE-10]]),COUNTIFS(BASE[Cod.Establecimiento],$AK$2,BASE[CODCIE104],EPV_SARAMPION64666972737677[[#This Row],[CIE-10]]))</f>
        <v>0</v>
      </c>
      <c r="AF27" s="3">
        <f>IF($AK$2="(Todas)",COUNTIF(BASE[CODCIE106],EPV_SARAMPION64666972737677[[#This Row],[CIE-10]]),COUNTIFS(BASE[Cod.Establecimiento],$AK$2,BASE[CODCIE106],EPV_SARAMPION64666972737677[[#This Row],[CIE-10]]))</f>
        <v>0</v>
      </c>
      <c r="AG27" s="3">
        <f>IF($AK$2="(Todas)",COUNTIF(BASE[CODCIE108],EPV_SARAMPION64666972737677[[#This Row],[CIE-10]]),COUNTIFS(BASE[Cod.Establecimiento],$AK$2,BASE[CODCIE108],EPV_SARAMPION64666972737677[[#This Row],[CIE-10]]))</f>
        <v>0</v>
      </c>
      <c r="AH27" s="3">
        <f>IF($AK$2="(Todas)",COUNTIF(BASE[CODCIE1010],EPV_SARAMPION64666972737677[[#This Row],[CIE-10]]),COUNTIFS(BASE[Cod.Establecimiento],$AK$2,BASE[CODCIE1010],EPV_SARAMPION64666972737677[[#This Row],[CIE-10]]))</f>
        <v>0</v>
      </c>
      <c r="AI27" s="9">
        <f>SUM(EPV_SARAMPION64666972737677[[#This Row],[D1]:[D6]])</f>
        <v>0</v>
      </c>
      <c r="AJ27" s="143" t="s">
        <v>779</v>
      </c>
      <c r="AK27" s="143"/>
      <c r="AL27" s="70"/>
      <c r="AM27" s="70"/>
      <c r="AN27" s="70"/>
      <c r="AO27" s="70"/>
    </row>
    <row r="28" spans="1:41" ht="15.75" customHeight="1" thickTop="1">
      <c r="A28" s="6" t="str">
        <f>CONCATENATE("TOTAL: ",SUM(B28:G28))</f>
        <v>TOTAL: 0</v>
      </c>
      <c r="B28" s="5">
        <f>SUM(EPV_SARAMPION64666972737880[D1])</f>
        <v>0</v>
      </c>
      <c r="C28" s="5">
        <f>SUM(EPV_SARAMPION64666972737880[D2])</f>
        <v>0</v>
      </c>
      <c r="D28" s="5">
        <f>SUM(EPV_SARAMPION64666972737880[D3])</f>
        <v>0</v>
      </c>
      <c r="E28" s="5">
        <f>SUM(EPV_SARAMPION64666972737880[D4])</f>
        <v>0</v>
      </c>
      <c r="F28" s="5">
        <f>SUM(EPV_SARAMPION64666972737880[D5])</f>
        <v>0</v>
      </c>
      <c r="G28" s="5">
        <f>SUM(EPV_SARAMPION64666972737880[D6])</f>
        <v>0</v>
      </c>
      <c r="H28" s="7"/>
      <c r="J28" s="6" t="str">
        <f>CONCATENATE("TOTAL: ",SUM(K28:P28))</f>
        <v>TOTAL: 0</v>
      </c>
      <c r="K28" s="5">
        <f>SUM(EPV_SARAMPION646669727378[D1])</f>
        <v>0</v>
      </c>
      <c r="L28" s="5">
        <f>SUM(EPV_SARAMPION646669727378[D2])</f>
        <v>0</v>
      </c>
      <c r="M28" s="5">
        <f>SUM(EPV_SARAMPION646669727378[D3])</f>
        <v>0</v>
      </c>
      <c r="N28" s="5">
        <f>SUM(EPV_SARAMPION646669727378[D4])</f>
        <v>0</v>
      </c>
      <c r="O28" s="5">
        <f>SUM(EPV_SARAMPION646669727378[D5])</f>
        <v>0</v>
      </c>
      <c r="P28" s="5">
        <f>SUM(EPV_SARAMPION646669727378[D6])</f>
        <v>0</v>
      </c>
      <c r="Q28" s="7"/>
      <c r="AB28" s="32" t="s">
        <v>373</v>
      </c>
      <c r="AC28" s="3">
        <f>IF($AK$2="(Todas)",COUNTIF(BASE[CODCIE10],EPV_SARAMPION64666972737677[[#This Row],[CIE-10]]),COUNTIFS(BASE[Cod.Establecimiento],$AK$2,BASE[CODCIE10],EPV_SARAMPION64666972737677[[#This Row],[CIE-10]]))</f>
        <v>0</v>
      </c>
      <c r="AD28" s="3">
        <f>IF($AK$2="(Todas)",COUNTIF(BASE[CODCIE102],EPV_SARAMPION64666972737677[[#This Row],[CIE-10]]),COUNTIFS(BASE[Cod.Establecimiento],$AK$2,BASE[CODCIE102],EPV_SARAMPION64666972737677[[#This Row],[CIE-10]]))</f>
        <v>0</v>
      </c>
      <c r="AE28" s="3">
        <f>IF($AK$2="(Todas)",COUNTIF(BASE[CODCIE104],EPV_SARAMPION64666972737677[[#This Row],[CIE-10]]),COUNTIFS(BASE[Cod.Establecimiento],$AK$2,BASE[CODCIE104],EPV_SARAMPION64666972737677[[#This Row],[CIE-10]]))</f>
        <v>0</v>
      </c>
      <c r="AF28" s="3">
        <f>IF($AK$2="(Todas)",COUNTIF(BASE[CODCIE106],EPV_SARAMPION64666972737677[[#This Row],[CIE-10]]),COUNTIFS(BASE[Cod.Establecimiento],$AK$2,BASE[CODCIE106],EPV_SARAMPION64666972737677[[#This Row],[CIE-10]]))</f>
        <v>0</v>
      </c>
      <c r="AG28" s="3">
        <f>IF($AK$2="(Todas)",COUNTIF(BASE[CODCIE108],EPV_SARAMPION64666972737677[[#This Row],[CIE-10]]),COUNTIFS(BASE[Cod.Establecimiento],$AK$2,BASE[CODCIE108],EPV_SARAMPION64666972737677[[#This Row],[CIE-10]]))</f>
        <v>0</v>
      </c>
      <c r="AH28" s="3">
        <f>IF($AK$2="(Todas)",COUNTIF(BASE[CODCIE1010],EPV_SARAMPION64666972737677[[#This Row],[CIE-10]]),COUNTIFS(BASE[Cod.Establecimiento],$AK$2,BASE[CODCIE1010],EPV_SARAMPION64666972737677[[#This Row],[CIE-10]]))</f>
        <v>0</v>
      </c>
      <c r="AI28" s="9">
        <f>SUM(EPV_SARAMPION64666972737677[[#This Row],[D1]:[D6]])</f>
        <v>0</v>
      </c>
      <c r="AJ28" s="143"/>
      <c r="AK28" s="143"/>
    </row>
    <row r="29" spans="1:41" ht="15" customHeight="1">
      <c r="A29" t="s">
        <v>93</v>
      </c>
      <c r="B29" s="3" t="s">
        <v>94</v>
      </c>
      <c r="C29" s="3" t="s">
        <v>95</v>
      </c>
      <c r="D29" s="3" t="s">
        <v>96</v>
      </c>
      <c r="E29" s="3" t="s">
        <v>97</v>
      </c>
      <c r="F29" s="3" t="s">
        <v>98</v>
      </c>
      <c r="G29" s="3" t="s">
        <v>99</v>
      </c>
      <c r="H29" s="8" t="s">
        <v>100</v>
      </c>
      <c r="J29" t="s">
        <v>93</v>
      </c>
      <c r="K29" s="3" t="s">
        <v>94</v>
      </c>
      <c r="L29" s="3" t="s">
        <v>95</v>
      </c>
      <c r="M29" s="3" t="s">
        <v>96</v>
      </c>
      <c r="N29" s="3" t="s">
        <v>97</v>
      </c>
      <c r="O29" s="3" t="s">
        <v>98</v>
      </c>
      <c r="P29" s="3" t="s">
        <v>99</v>
      </c>
      <c r="Q29" s="8" t="s">
        <v>100</v>
      </c>
      <c r="AB29" s="32" t="s">
        <v>374</v>
      </c>
      <c r="AC29" s="3">
        <f>IF($AK$2="(Todas)",COUNTIF(BASE[CODCIE10],EPV_SARAMPION64666972737677[[#This Row],[CIE-10]]),COUNTIFS(BASE[Cod.Establecimiento],$AK$2,BASE[CODCIE10],EPV_SARAMPION64666972737677[[#This Row],[CIE-10]]))</f>
        <v>0</v>
      </c>
      <c r="AD29" s="3">
        <f>IF($AK$2="(Todas)",COUNTIF(BASE[CODCIE102],EPV_SARAMPION64666972737677[[#This Row],[CIE-10]]),COUNTIFS(BASE[Cod.Establecimiento],$AK$2,BASE[CODCIE102],EPV_SARAMPION64666972737677[[#This Row],[CIE-10]]))</f>
        <v>0</v>
      </c>
      <c r="AE29" s="3">
        <f>IF($AK$2="(Todas)",COUNTIF(BASE[CODCIE104],EPV_SARAMPION64666972737677[[#This Row],[CIE-10]]),COUNTIFS(BASE[Cod.Establecimiento],$AK$2,BASE[CODCIE104],EPV_SARAMPION64666972737677[[#This Row],[CIE-10]]))</f>
        <v>0</v>
      </c>
      <c r="AF29" s="3">
        <f>IF($AK$2="(Todas)",COUNTIF(BASE[CODCIE106],EPV_SARAMPION64666972737677[[#This Row],[CIE-10]]),COUNTIFS(BASE[Cod.Establecimiento],$AK$2,BASE[CODCIE106],EPV_SARAMPION64666972737677[[#This Row],[CIE-10]]))</f>
        <v>0</v>
      </c>
      <c r="AG29" s="3">
        <f>IF($AK$2="(Todas)",COUNTIF(BASE[CODCIE108],EPV_SARAMPION64666972737677[[#This Row],[CIE-10]]),COUNTIFS(BASE[Cod.Establecimiento],$AK$2,BASE[CODCIE108],EPV_SARAMPION64666972737677[[#This Row],[CIE-10]]))</f>
        <v>0</v>
      </c>
      <c r="AH29" s="3">
        <f>IF($AK$2="(Todas)",COUNTIF(BASE[CODCIE1010],EPV_SARAMPION64666972737677[[#This Row],[CIE-10]]),COUNTIFS(BASE[Cod.Establecimiento],$AK$2,BASE[CODCIE1010],EPV_SARAMPION64666972737677[[#This Row],[CIE-10]]))</f>
        <v>0</v>
      </c>
      <c r="AI29" s="9">
        <f>SUM(EPV_SARAMPION64666972737677[[#This Row],[D1]:[D6]])</f>
        <v>0</v>
      </c>
      <c r="AJ29" s="143"/>
      <c r="AK29" s="143"/>
    </row>
    <row r="30" spans="1:41" ht="15" customHeight="1">
      <c r="A30" s="4" t="s">
        <v>257</v>
      </c>
      <c r="B30" s="3">
        <f>IF($AK$2="(Todas)",COUNTIF(BASE[CODCIE10],EPV_SARAMPION64666972737880[[#This Row],[CIE-10]]),COUNTIFS(BASE[Cod.Establecimiento],$AK$2,BASE[CODCIE10],EPV_SARAMPION64666972737880[[#This Row],[CIE-10]]))</f>
        <v>0</v>
      </c>
      <c r="C30" s="3">
        <f>IF($AK$2="(Todas)",COUNTIF(BASE[CODCIE102],EPV_SARAMPION64666972737880[[#This Row],[CIE-10]]),COUNTIFS(BASE[Cod.Establecimiento],$AK$2,BASE[CODCIE102],EPV_SARAMPION64666972737880[[#This Row],[CIE-10]]))</f>
        <v>0</v>
      </c>
      <c r="D30" s="3">
        <f>IF($AK$2="(Todas)",COUNTIF(BASE[CODCIE104],EPV_SARAMPION64666972737880[[#This Row],[CIE-10]]),COUNTIFS(BASE[Cod.Establecimiento],$AK$2,BASE[CODCIE104],EPV_SARAMPION64666972737880[[#This Row],[CIE-10]]))</f>
        <v>0</v>
      </c>
      <c r="E30" s="3">
        <f>IF($AK$2="(Todas)",COUNTIF(BASE[CODCIE106],EPV_SARAMPION64666972737880[[#This Row],[CIE-10]]),COUNTIFS(BASE[Cod.Establecimiento],$AK$2,BASE[CODCIE106],EPV_SARAMPION64666972737880[[#This Row],[CIE-10]]))</f>
        <v>0</v>
      </c>
      <c r="F30" s="3">
        <f>IF($AK$2="(Todas)",COUNTIF(BASE[CODCIE108],EPV_SARAMPION64666972737880[[#This Row],[CIE-10]]),COUNTIFS(BASE[Cod.Establecimiento],$AK$2,BASE[CODCIE108],EPV_SARAMPION64666972737880[[#This Row],[CIE-10]]))</f>
        <v>0</v>
      </c>
      <c r="G30" s="3">
        <f>IF($AK$2="(Todas)",COUNTIF(BASE[CODCIE1010],EPV_SARAMPION64666972737880[[#This Row],[CIE-10]]),COUNTIFS(BASE[Cod.Establecimiento],$AK$2,BASE[CODCIE1010],EPV_SARAMPION64666972737880[[#This Row],[CIE-10]]))</f>
        <v>0</v>
      </c>
      <c r="H30" s="9">
        <f>SUM(EPV_SARAMPION64666972737880[[#This Row],[D1]:[D6]])</f>
        <v>0</v>
      </c>
      <c r="J30" s="4" t="s">
        <v>375</v>
      </c>
      <c r="K30" s="3">
        <f>IF($AK$2="(Todas)",COUNTIF(BASE[CODCIE10],EPV_SARAMPION646669727378[[#This Row],[CIE-10]]),COUNTIFS(BASE[Cod.Establecimiento],$AK$2,BASE[CODCIE10],EPV_SARAMPION646669727378[[#This Row],[CIE-10]]))</f>
        <v>0</v>
      </c>
      <c r="L30" s="3">
        <f>IF($AK$2="(Todas)",COUNTIF(BASE[CODCIE102],EPV_SARAMPION646669727378[[#This Row],[CIE-10]]),COUNTIFS(BASE[Cod.Establecimiento],$AK$2,BASE[CODCIE102],EPV_SARAMPION646669727378[[#This Row],[CIE-10]]))</f>
        <v>0</v>
      </c>
      <c r="M30" s="3">
        <f>IF($AK$2="(Todas)",COUNTIF(BASE[CODCIE104],EPV_SARAMPION646669727378[[#This Row],[CIE-10]]),COUNTIFS(BASE[Cod.Establecimiento],$AK$2,BASE[CODCIE104],EPV_SARAMPION646669727378[[#This Row],[CIE-10]]))</f>
        <v>0</v>
      </c>
      <c r="N30" s="3">
        <f>IF($AK$2="(Todas)",COUNTIF(BASE[CODCIE106],EPV_SARAMPION646669727378[[#This Row],[CIE-10]]),COUNTIFS(BASE[Cod.Establecimiento],$AK$2,BASE[CODCIE106],EPV_SARAMPION646669727378[[#This Row],[CIE-10]]))</f>
        <v>0</v>
      </c>
      <c r="O30" s="3">
        <f>IF($AK$2="(Todas)",COUNTIF(BASE[CODCIE108],EPV_SARAMPION646669727378[[#This Row],[CIE-10]]),COUNTIFS(BASE[Cod.Establecimiento],$AK$2,BASE[CODCIE108],EPV_SARAMPION646669727378[[#This Row],[CIE-10]]))</f>
        <v>0</v>
      </c>
      <c r="P30" s="3">
        <f>IF($AK$2="(Todas)",COUNTIF(BASE[CODCIE1010],EPV_SARAMPION646669727378[[#This Row],[CIE-10]]),COUNTIFS(BASE[Cod.Establecimiento],$AK$2,BASE[CODCIE1010],EPV_SARAMPION646669727378[[#This Row],[CIE-10]]))</f>
        <v>0</v>
      </c>
      <c r="Q30" s="9">
        <f>SUM(EPV_SARAMPION646669727378[[#This Row],[D1]:[D6]])</f>
        <v>0</v>
      </c>
      <c r="AJ30" s="143"/>
      <c r="AK30" s="143"/>
    </row>
    <row r="31" spans="1:41" ht="18" customHeight="1" thickBot="1">
      <c r="S31" s="80" t="s">
        <v>383</v>
      </c>
      <c r="T31" s="80"/>
      <c r="U31" s="80"/>
      <c r="V31" s="80"/>
      <c r="W31" s="80"/>
      <c r="X31" s="80"/>
      <c r="Y31" s="80"/>
      <c r="Z31" s="80"/>
      <c r="AJ31" s="143"/>
      <c r="AK31" s="143"/>
    </row>
    <row r="32" spans="1:41" ht="18.75" customHeight="1" thickTop="1" thickBot="1">
      <c r="A32" s="80" t="s">
        <v>378</v>
      </c>
      <c r="B32" s="80"/>
      <c r="C32" s="80"/>
      <c r="D32" s="80"/>
      <c r="E32" s="80"/>
      <c r="F32" s="80"/>
      <c r="G32" s="80"/>
      <c r="H32" s="80"/>
      <c r="J32" s="80" t="s">
        <v>380</v>
      </c>
      <c r="K32" s="80"/>
      <c r="L32" s="80"/>
      <c r="M32" s="80"/>
      <c r="N32" s="80"/>
      <c r="O32" s="80"/>
      <c r="P32" s="80"/>
      <c r="Q32" s="80"/>
      <c r="S32" s="6" t="str">
        <f>CONCATENATE("TOTAL: ",SUM(T32:Y32))</f>
        <v>TOTAL: 0</v>
      </c>
      <c r="T32" s="5">
        <f>SUM(EPV_SARAMPION64666972737880818283[D1])</f>
        <v>0</v>
      </c>
      <c r="U32" s="5">
        <f>SUM(EPV_SARAMPION64666972737880818283[D2])</f>
        <v>0</v>
      </c>
      <c r="V32" s="5">
        <f>SUM(EPV_SARAMPION64666972737880818283[D3])</f>
        <v>0</v>
      </c>
      <c r="W32" s="5">
        <f>SUM(EPV_SARAMPION64666972737880818283[D4])</f>
        <v>0</v>
      </c>
      <c r="X32" s="5">
        <f>SUM(EPV_SARAMPION64666972737880818283[D5])</f>
        <v>0</v>
      </c>
      <c r="Y32" s="5">
        <f>SUM(EPV_SARAMPION64666972737880818283[D6])</f>
        <v>0</v>
      </c>
      <c r="Z32" s="7"/>
      <c r="AB32" s="80" t="s">
        <v>385</v>
      </c>
      <c r="AC32" s="80"/>
      <c r="AD32" s="80"/>
      <c r="AE32" s="80"/>
      <c r="AF32" s="80"/>
      <c r="AG32" s="80"/>
      <c r="AH32" s="80"/>
      <c r="AI32" s="80"/>
      <c r="AJ32" s="143"/>
      <c r="AK32" s="143"/>
    </row>
    <row r="33" spans="1:37" ht="15.75" customHeight="1" thickTop="1">
      <c r="A33" s="6" t="str">
        <f>CONCATENATE("TOTAL: ",SUM(B33:G33))</f>
        <v>TOTAL: 0</v>
      </c>
      <c r="B33" s="5">
        <f>SUM(EPV_SARAMPION6466697273788081[D1])</f>
        <v>0</v>
      </c>
      <c r="C33" s="5">
        <f>SUM(EPV_SARAMPION6466697273788081[D2])</f>
        <v>0</v>
      </c>
      <c r="D33" s="5">
        <f>SUM(EPV_SARAMPION6466697273788081[D3])</f>
        <v>0</v>
      </c>
      <c r="E33" s="5">
        <f>SUM(EPV_SARAMPION6466697273788081[D4])</f>
        <v>0</v>
      </c>
      <c r="F33" s="5">
        <f>SUM(EPV_SARAMPION6466697273788081[D5])</f>
        <v>0</v>
      </c>
      <c r="G33" s="5">
        <f>SUM(EPV_SARAMPION6466697273788081[D6])</f>
        <v>0</v>
      </c>
      <c r="H33" s="7"/>
      <c r="J33" s="6" t="str">
        <f>CONCATENATE("TOTAL: ",SUM(K33:P33))</f>
        <v>TOTAL: 0</v>
      </c>
      <c r="K33" s="5">
        <f>SUM(EPV_SARAMPION646669727378808182[D1])</f>
        <v>0</v>
      </c>
      <c r="L33" s="5">
        <f>SUM(EPV_SARAMPION646669727378808182[D2])</f>
        <v>0</v>
      </c>
      <c r="M33" s="5">
        <f>SUM(EPV_SARAMPION646669727378808182[D3])</f>
        <v>0</v>
      </c>
      <c r="N33" s="5">
        <f>SUM(EPV_SARAMPION646669727378808182[D4])</f>
        <v>0</v>
      </c>
      <c r="O33" s="5">
        <f>SUM(EPV_SARAMPION646669727378808182[D5])</f>
        <v>0</v>
      </c>
      <c r="P33" s="5">
        <f>SUM(EPV_SARAMPION646669727378808182[D6])</f>
        <v>0</v>
      </c>
      <c r="Q33" s="7"/>
      <c r="S33" t="s">
        <v>93</v>
      </c>
      <c r="T33" s="3" t="s">
        <v>94</v>
      </c>
      <c r="U33" s="3" t="s">
        <v>95</v>
      </c>
      <c r="V33" s="3" t="s">
        <v>96</v>
      </c>
      <c r="W33" s="3" t="s">
        <v>97</v>
      </c>
      <c r="X33" s="3" t="s">
        <v>98</v>
      </c>
      <c r="Y33" s="3" t="s">
        <v>99</v>
      </c>
      <c r="Z33" s="8" t="s">
        <v>100</v>
      </c>
      <c r="AB33" s="6" t="str">
        <f>CONCATENATE("TOTAL: ",SUM(AC33:AH33))</f>
        <v>TOTAL: 0</v>
      </c>
      <c r="AC33" s="5">
        <f>SUM(EPV_SARAMPION6466697273788081828384[D1])</f>
        <v>0</v>
      </c>
      <c r="AD33" s="5">
        <f>SUM(EPV_SARAMPION6466697273788081828384[D2])</f>
        <v>0</v>
      </c>
      <c r="AE33" s="5">
        <f>SUM(EPV_SARAMPION6466697273788081828384[D3])</f>
        <v>0</v>
      </c>
      <c r="AF33" s="5">
        <f>SUM(EPV_SARAMPION6466697273788081828384[D4])</f>
        <v>0</v>
      </c>
      <c r="AG33" s="5">
        <f>SUM(EPV_SARAMPION6466697273788081828384[D5])</f>
        <v>0</v>
      </c>
      <c r="AH33" s="5">
        <f>SUM(EPV_SARAMPION6466697273788081828384[D6])</f>
        <v>0</v>
      </c>
      <c r="AI33" s="7"/>
      <c r="AJ33" s="143"/>
      <c r="AK33" s="143"/>
    </row>
    <row r="34" spans="1:37" ht="15" customHeight="1">
      <c r="A34" t="s">
        <v>93</v>
      </c>
      <c r="B34" s="3" t="s">
        <v>94</v>
      </c>
      <c r="C34" s="3" t="s">
        <v>95</v>
      </c>
      <c r="D34" s="3" t="s">
        <v>96</v>
      </c>
      <c r="E34" s="3" t="s">
        <v>97</v>
      </c>
      <c r="F34" s="3" t="s">
        <v>98</v>
      </c>
      <c r="G34" s="3" t="s">
        <v>99</v>
      </c>
      <c r="H34" s="8" t="s">
        <v>100</v>
      </c>
      <c r="J34" t="s">
        <v>93</v>
      </c>
      <c r="K34" s="3" t="s">
        <v>94</v>
      </c>
      <c r="L34" s="3" t="s">
        <v>95</v>
      </c>
      <c r="M34" s="3" t="s">
        <v>96</v>
      </c>
      <c r="N34" s="3" t="s">
        <v>97</v>
      </c>
      <c r="O34" s="3" t="s">
        <v>98</v>
      </c>
      <c r="P34" s="3" t="s">
        <v>99</v>
      </c>
      <c r="Q34" s="8" t="s">
        <v>100</v>
      </c>
      <c r="S34" s="4" t="s">
        <v>382</v>
      </c>
      <c r="T34" s="3">
        <f>IF($AK$2="(Todas)",COUNTIF(BASE[CODCIE10],EPV_SARAMPION64666972737880818283[[#This Row],[CIE-10]]),COUNTIFS(BASE[Cod.Establecimiento],$AK$2,BASE[CODCIE10],EPV_SARAMPION64666972737880818283[[#This Row],[CIE-10]]))</f>
        <v>0</v>
      </c>
      <c r="U34" s="3">
        <f>IF($AK$2="(Todas)",COUNTIF(BASE[CODCIE102],EPV_SARAMPION64666972737880818283[[#This Row],[CIE-10]]),COUNTIFS(BASE[Cod.Establecimiento],$AK$2,BASE[CODCIE102],EPV_SARAMPION64666972737880818283[[#This Row],[CIE-10]]))</f>
        <v>0</v>
      </c>
      <c r="V34" s="3">
        <f>IF($AK$2="(Todas)",COUNTIF(BASE[CODCIE104],EPV_SARAMPION64666972737880818283[[#This Row],[CIE-10]]),COUNTIFS(BASE[Cod.Establecimiento],$AK$2,BASE[CODCIE104],EPV_SARAMPION64666972737880818283[[#This Row],[CIE-10]]))</f>
        <v>0</v>
      </c>
      <c r="W34" s="3">
        <f>IF($AK$2="(Todas)",COUNTIF(BASE[CODCIE106],EPV_SARAMPION64666972737880818283[[#This Row],[CIE-10]]),COUNTIFS(BASE[Cod.Establecimiento],$AK$2,BASE[CODCIE106],EPV_SARAMPION64666972737880818283[[#This Row],[CIE-10]]))</f>
        <v>0</v>
      </c>
      <c r="X34" s="3">
        <f>IF($AK$2="(Todas)",COUNTIF(BASE[CODCIE108],EPV_SARAMPION64666972737880818283[[#This Row],[CIE-10]]),COUNTIFS(BASE[Cod.Establecimiento],$AK$2,BASE[CODCIE108],EPV_SARAMPION64666972737880818283[[#This Row],[CIE-10]]))</f>
        <v>0</v>
      </c>
      <c r="Y34" s="3">
        <f>IF($AK$2="(Todas)",COUNTIF(BASE[CODCIE1010],EPV_SARAMPION64666972737880818283[[#This Row],[CIE-10]]),COUNTIFS(BASE[Cod.Establecimiento],$AK$2,BASE[CODCIE1010],EPV_SARAMPION64666972737880818283[[#This Row],[CIE-10]]))</f>
        <v>0</v>
      </c>
      <c r="Z34" s="9">
        <f>SUM(EPV_SARAMPION64666972737880818283[[#This Row],[D1]:[D6]])</f>
        <v>0</v>
      </c>
      <c r="AB34" t="s">
        <v>93</v>
      </c>
      <c r="AC34" s="3" t="s">
        <v>94</v>
      </c>
      <c r="AD34" s="3" t="s">
        <v>95</v>
      </c>
      <c r="AE34" s="3" t="s">
        <v>96</v>
      </c>
      <c r="AF34" s="3" t="s">
        <v>97</v>
      </c>
      <c r="AG34" s="3" t="s">
        <v>98</v>
      </c>
      <c r="AH34" s="3" t="s">
        <v>99</v>
      </c>
      <c r="AI34" s="8" t="s">
        <v>100</v>
      </c>
      <c r="AJ34" s="141" t="s">
        <v>615</v>
      </c>
      <c r="AK34" s="142"/>
    </row>
    <row r="35" spans="1:37" ht="15" customHeight="1">
      <c r="A35" s="4" t="s">
        <v>379</v>
      </c>
      <c r="B35" s="3">
        <f>IF($AK$2="(Todas)",COUNTIF(BASE[CODCIE10],EPV_SARAMPION6466697273788081[[#This Row],[CIE-10]]),COUNTIFS(BASE[Cod.Establecimiento],$AK$2,BASE[CODCIE10],EPV_SARAMPION6466697273788081[[#This Row],[CIE-10]]))</f>
        <v>0</v>
      </c>
      <c r="C35" s="3">
        <f>IF($AK$2="(Todas)",COUNTIF(BASE[CODCIE102],EPV_SARAMPION6466697273788081[[#This Row],[CIE-10]]),COUNTIFS(BASE[Cod.Establecimiento],$AK$2,BASE[CODCIE102],EPV_SARAMPION6466697273788081[[#This Row],[CIE-10]]))</f>
        <v>0</v>
      </c>
      <c r="D35" s="3">
        <f>IF($AK$2="(Todas)",COUNTIF(BASE[CODCIE104],EPV_SARAMPION6466697273788081[[#This Row],[CIE-10]]),COUNTIFS(BASE[Cod.Establecimiento],$AK$2,BASE[CODCIE104],EPV_SARAMPION6466697273788081[[#This Row],[CIE-10]]))</f>
        <v>0</v>
      </c>
      <c r="E35" s="3">
        <f>IF($AK$2="(Todas)",COUNTIF(BASE[CODCIE106],EPV_SARAMPION6466697273788081[[#This Row],[CIE-10]]),COUNTIFS(BASE[Cod.Establecimiento],$AK$2,BASE[CODCIE106],EPV_SARAMPION6466697273788081[[#This Row],[CIE-10]]))</f>
        <v>0</v>
      </c>
      <c r="F35" s="3">
        <f>IF($AK$2="(Todas)",COUNTIF(BASE[CODCIE108],EPV_SARAMPION6466697273788081[[#This Row],[CIE-10]]),COUNTIFS(BASE[Cod.Establecimiento],$AK$2,BASE[CODCIE108],EPV_SARAMPION6466697273788081[[#This Row],[CIE-10]]))</f>
        <v>0</v>
      </c>
      <c r="G35" s="3">
        <f>IF($AK$2="(Todas)",COUNTIF(BASE[CODCIE1010],EPV_SARAMPION6466697273788081[[#This Row],[CIE-10]]),COUNTIFS(BASE[Cod.Establecimiento],$AK$2,BASE[CODCIE1010],EPV_SARAMPION6466697273788081[[#This Row],[CIE-10]]))</f>
        <v>0</v>
      </c>
      <c r="H35" s="9">
        <f>SUM(EPV_SARAMPION6466697273788081[[#This Row],[D1]:[D6]])</f>
        <v>0</v>
      </c>
      <c r="J35" s="4" t="s">
        <v>381</v>
      </c>
      <c r="K35" s="3">
        <f>IF($AK$2="(Todas)",COUNTIF(BASE[CODCIE10],EPV_SARAMPION646669727378808182[[#This Row],[CIE-10]]),COUNTIFS(BASE[Cod.Establecimiento],$AK$2,BASE[CODCIE10],EPV_SARAMPION646669727378808182[[#This Row],[CIE-10]]))</f>
        <v>0</v>
      </c>
      <c r="L35" s="3">
        <f>IF($AK$2="(Todas)",COUNTIF(BASE[CODCIE102],EPV_SARAMPION646669727378808182[[#This Row],[CIE-10]]),COUNTIFS(BASE[Cod.Establecimiento],$AK$2,BASE[CODCIE102],EPV_SARAMPION646669727378808182[[#This Row],[CIE-10]]))</f>
        <v>0</v>
      </c>
      <c r="M35" s="3">
        <f>IF($AK$2="(Todas)",COUNTIF(BASE[CODCIE104],EPV_SARAMPION646669727378808182[[#This Row],[CIE-10]]),COUNTIFS(BASE[Cod.Establecimiento],$AK$2,BASE[CODCIE104],EPV_SARAMPION646669727378808182[[#This Row],[CIE-10]]))</f>
        <v>0</v>
      </c>
      <c r="N35" s="3">
        <f>IF($AK$2="(Todas)",COUNTIF(BASE[CODCIE106],EPV_SARAMPION646669727378808182[[#This Row],[CIE-10]]),COUNTIFS(BASE[Cod.Establecimiento],$AK$2,BASE[CODCIE106],EPV_SARAMPION646669727378808182[[#This Row],[CIE-10]]))</f>
        <v>0</v>
      </c>
      <c r="O35" s="3">
        <f>IF($AK$2="(Todas)",COUNTIF(BASE[CODCIE108],EPV_SARAMPION646669727378808182[[#This Row],[CIE-10]]),COUNTIFS(BASE[Cod.Establecimiento],$AK$2,BASE[CODCIE108],EPV_SARAMPION646669727378808182[[#This Row],[CIE-10]]))</f>
        <v>0</v>
      </c>
      <c r="P35" s="3">
        <f>IF($AK$2="(Todas)",COUNTIF(BASE[CODCIE1010],EPV_SARAMPION646669727378808182[[#This Row],[CIE-10]]),COUNTIFS(BASE[Cod.Establecimiento],$AK$2,BASE[CODCIE1010],EPV_SARAMPION646669727378808182[[#This Row],[CIE-10]]))</f>
        <v>0</v>
      </c>
      <c r="Q35" s="9">
        <f>SUM(EPV_SARAMPION646669727378808182[[#This Row],[D1]:[D6]])</f>
        <v>0</v>
      </c>
      <c r="S35" s="32" t="s">
        <v>384</v>
      </c>
      <c r="T35" s="3">
        <f>IF($AK$2="(Todas)",COUNTIF(BASE[CODCIE10],EPV_SARAMPION64666972737880818283[[#This Row],[CIE-10]]),COUNTIFS(BASE[Cod.Establecimiento],$AK$2,BASE[CODCIE10],EPV_SARAMPION64666972737880818283[[#This Row],[CIE-10]]))</f>
        <v>0</v>
      </c>
      <c r="U35" s="3">
        <f>IF($AK$2="(Todas)",COUNTIF(BASE[CODCIE102],EPV_SARAMPION64666972737880818283[[#This Row],[CIE-10]]),COUNTIFS(BASE[Cod.Establecimiento],$AK$2,BASE[CODCIE102],EPV_SARAMPION64666972737880818283[[#This Row],[CIE-10]]))</f>
        <v>0</v>
      </c>
      <c r="V35" s="3">
        <f>IF($AK$2="(Todas)",COUNTIF(BASE[CODCIE104],EPV_SARAMPION64666972737880818283[[#This Row],[CIE-10]]),COUNTIFS(BASE[Cod.Establecimiento],$AK$2,BASE[CODCIE104],EPV_SARAMPION64666972737880818283[[#This Row],[CIE-10]]))</f>
        <v>0</v>
      </c>
      <c r="W35" s="3">
        <f>IF($AK$2="(Todas)",COUNTIF(BASE[CODCIE106],EPV_SARAMPION64666972737880818283[[#This Row],[CIE-10]]),COUNTIFS(BASE[Cod.Establecimiento],$AK$2,BASE[CODCIE106],EPV_SARAMPION64666972737880818283[[#This Row],[CIE-10]]))</f>
        <v>0</v>
      </c>
      <c r="X35" s="3">
        <f>IF($AK$2="(Todas)",COUNTIF(BASE[CODCIE108],EPV_SARAMPION64666972737880818283[[#This Row],[CIE-10]]),COUNTIFS(BASE[Cod.Establecimiento],$AK$2,BASE[CODCIE108],EPV_SARAMPION64666972737880818283[[#This Row],[CIE-10]]))</f>
        <v>0</v>
      </c>
      <c r="Y35" s="3">
        <f>IF($AK$2="(Todas)",COUNTIF(BASE[CODCIE1010],EPV_SARAMPION64666972737880818283[[#This Row],[CIE-10]]),COUNTIFS(BASE[Cod.Establecimiento],$AK$2,BASE[CODCIE1010],EPV_SARAMPION64666972737880818283[[#This Row],[CIE-10]]))</f>
        <v>0</v>
      </c>
      <c r="Z35" s="9">
        <f>SUM(EPV_SARAMPION64666972737880818283[[#This Row],[D1]:[D6]])</f>
        <v>0</v>
      </c>
      <c r="AB35" s="4" t="s">
        <v>386</v>
      </c>
      <c r="AC35" s="3">
        <f>IF($AK$2="(Todas)",COUNTIF(BASE[CODCIE10],EPV_SARAMPION6466697273788081828384[[#This Row],[CIE-10]]),COUNTIFS(BASE[Cod.Establecimiento],$AK$2,BASE[CODCIE10],EPV_SARAMPION6466697273788081828384[[#This Row],[CIE-10]]))</f>
        <v>0</v>
      </c>
      <c r="AD35" s="3">
        <f>IF($AK$2="(Todas)",COUNTIF(BASE[CODCIE102],EPV_SARAMPION6466697273788081828384[[#This Row],[CIE-10]]),COUNTIFS(BASE[Cod.Establecimiento],$AK$2,BASE[CODCIE102],EPV_SARAMPION6466697273788081828384[[#This Row],[CIE-10]]))</f>
        <v>0</v>
      </c>
      <c r="AE35" s="3">
        <f>IF($AK$2="(Todas)",COUNTIF(BASE[CODCIE104],EPV_SARAMPION6466697273788081828384[[#This Row],[CIE-10]]),COUNTIFS(BASE[Cod.Establecimiento],$AK$2,BASE[CODCIE104],EPV_SARAMPION6466697273788081828384[[#This Row],[CIE-10]]))</f>
        <v>0</v>
      </c>
      <c r="AF35" s="3">
        <f>IF($AK$2="(Todas)",COUNTIF(BASE[CODCIE106],EPV_SARAMPION6466697273788081828384[[#This Row],[CIE-10]]),COUNTIFS(BASE[Cod.Establecimiento],$AK$2,BASE[CODCIE106],EPV_SARAMPION6466697273788081828384[[#This Row],[CIE-10]]))</f>
        <v>0</v>
      </c>
      <c r="AG35" s="3">
        <f>IF($AK$2="(Todas)",COUNTIF(BASE[CODCIE108],EPV_SARAMPION6466697273788081828384[[#This Row],[CIE-10]]),COUNTIFS(BASE[Cod.Establecimiento],$AK$2,BASE[CODCIE108],EPV_SARAMPION6466697273788081828384[[#This Row],[CIE-10]]))</f>
        <v>0</v>
      </c>
      <c r="AH35" s="3">
        <f>IF($AK$2="(Todas)",COUNTIF(BASE[CODCIE1010],EPV_SARAMPION6466697273788081828384[[#This Row],[CIE-10]]),COUNTIFS(BASE[Cod.Establecimiento],$AK$2,BASE[CODCIE1010],EPV_SARAMPION6466697273788081828384[[#This Row],[CIE-10]]))</f>
        <v>0</v>
      </c>
      <c r="AI35" s="9">
        <f>SUM(EPV_SARAMPION6466697273788081828384[[#This Row],[D1]:[D6]])</f>
        <v>0</v>
      </c>
      <c r="AJ35" s="142"/>
      <c r="AK35" s="142"/>
    </row>
    <row r="36" spans="1:37" ht="15" customHeight="1">
      <c r="AJ36" s="142"/>
      <c r="AK36" s="142"/>
    </row>
    <row r="37" spans="1:37" ht="18" customHeight="1" thickBot="1">
      <c r="A37" s="80" t="s">
        <v>387</v>
      </c>
      <c r="B37" s="80"/>
      <c r="C37" s="80"/>
      <c r="D37" s="80"/>
      <c r="E37" s="80"/>
      <c r="F37" s="80"/>
      <c r="G37" s="80"/>
      <c r="H37" s="80"/>
      <c r="J37" s="80" t="s">
        <v>389</v>
      </c>
      <c r="K37" s="80"/>
      <c r="L37" s="80"/>
      <c r="M37" s="80"/>
      <c r="N37" s="80"/>
      <c r="O37" s="80"/>
      <c r="P37" s="80"/>
      <c r="Q37" s="80"/>
      <c r="S37" s="144" t="s">
        <v>396</v>
      </c>
      <c r="T37" s="144"/>
      <c r="U37" s="144"/>
      <c r="V37" s="144"/>
      <c r="W37" s="144"/>
      <c r="X37" s="144"/>
      <c r="Y37" s="144"/>
      <c r="Z37" s="144"/>
      <c r="AB37" s="80" t="s">
        <v>393</v>
      </c>
      <c r="AC37" s="80"/>
      <c r="AD37" s="80"/>
      <c r="AE37" s="80"/>
      <c r="AF37" s="80"/>
      <c r="AG37" s="80"/>
      <c r="AH37" s="80"/>
      <c r="AI37" s="80"/>
    </row>
    <row r="38" spans="1:37" ht="15.75" customHeight="1" thickTop="1">
      <c r="A38" s="6" t="str">
        <f>CONCATENATE("TOTAL: ",SUM(B38:G38))</f>
        <v>TOTAL: 0</v>
      </c>
      <c r="B38" s="5">
        <f>SUM(EPV_SARAMPION646669727378808185[D1])</f>
        <v>0</v>
      </c>
      <c r="C38" s="5">
        <f>SUM(EPV_SARAMPION646669727378808185[D2])</f>
        <v>0</v>
      </c>
      <c r="D38" s="5">
        <f>SUM(EPV_SARAMPION646669727378808185[D3])</f>
        <v>0</v>
      </c>
      <c r="E38" s="5">
        <f>SUM(EPV_SARAMPION646669727378808185[D4])</f>
        <v>0</v>
      </c>
      <c r="F38" s="5">
        <f>SUM(EPV_SARAMPION646669727378808185[D5])</f>
        <v>0</v>
      </c>
      <c r="G38" s="5">
        <f>SUM(EPV_SARAMPION646669727378808185[D6])</f>
        <v>0</v>
      </c>
      <c r="H38" s="7"/>
      <c r="J38" s="6" t="str">
        <f>CONCATENATE("TOTAL: ",SUM(K38:P38))</f>
        <v>TOTAL: 0</v>
      </c>
      <c r="K38" s="5">
        <f>SUM(EPV_SARAMPION64666972737880818586[D1])</f>
        <v>0</v>
      </c>
      <c r="L38" s="5">
        <f>SUM(EPV_SARAMPION64666972737880818586[D2])</f>
        <v>0</v>
      </c>
      <c r="M38" s="5">
        <f>SUM(EPV_SARAMPION64666972737880818586[D3])</f>
        <v>0</v>
      </c>
      <c r="N38" s="5">
        <f>SUM(EPV_SARAMPION64666972737880818586[D4])</f>
        <v>0</v>
      </c>
      <c r="O38" s="5">
        <f>SUM(EPV_SARAMPION64666972737880818586[D5])</f>
        <v>0</v>
      </c>
      <c r="P38" s="5">
        <f>SUM(EPV_SARAMPION64666972737880818586[D6])</f>
        <v>0</v>
      </c>
      <c r="Q38" s="7"/>
      <c r="S38" s="6" t="str">
        <f>CONCATENATE("TOTAL: ",SUM(T38:Y38))</f>
        <v>TOTAL: 0</v>
      </c>
      <c r="T38" s="5">
        <f>SUM(EPV_SARAMPION6466697273788081858687[D1])</f>
        <v>0</v>
      </c>
      <c r="U38" s="5">
        <f>SUM(EPV_SARAMPION6466697273788081858687[D2])</f>
        <v>0</v>
      </c>
      <c r="V38" s="5">
        <f>SUM(EPV_SARAMPION6466697273788081858687[D3])</f>
        <v>0</v>
      </c>
      <c r="W38" s="5">
        <f>SUM(EPV_SARAMPION6466697273788081858687[D4])</f>
        <v>0</v>
      </c>
      <c r="X38" s="5">
        <f>SUM(EPV_SARAMPION6466697273788081858687[D5])</f>
        <v>0</v>
      </c>
      <c r="Y38" s="5">
        <f>SUM(EPV_SARAMPION6466697273788081858687[D6])</f>
        <v>0</v>
      </c>
      <c r="Z38" s="7"/>
      <c r="AB38" s="6" t="str">
        <f>CONCATENATE("TOTAL: ",SUM(AC38:AH38))</f>
        <v>TOTAL: 0</v>
      </c>
      <c r="AC38" s="5">
        <f>SUM(EPV_SARAMPION646669727378808185868788[D1])</f>
        <v>0</v>
      </c>
      <c r="AD38" s="5">
        <f>SUM(EPV_SARAMPION646669727378808185868788[D2])</f>
        <v>0</v>
      </c>
      <c r="AE38" s="5">
        <f>SUM(EPV_SARAMPION646669727378808185868788[D3])</f>
        <v>0</v>
      </c>
      <c r="AF38" s="5">
        <f>SUM(EPV_SARAMPION646669727378808185868788[D4])</f>
        <v>0</v>
      </c>
      <c r="AG38" s="5">
        <f>SUM(EPV_SARAMPION646669727378808185868788[D5])</f>
        <v>0</v>
      </c>
      <c r="AH38" s="5">
        <f>SUM(EPV_SARAMPION646669727378808185868788[D6])</f>
        <v>0</v>
      </c>
      <c r="AI38" s="7"/>
    </row>
    <row r="39" spans="1:37" ht="15" customHeight="1">
      <c r="A39" t="s">
        <v>93</v>
      </c>
      <c r="B39" s="3" t="s">
        <v>94</v>
      </c>
      <c r="C39" s="3" t="s">
        <v>95</v>
      </c>
      <c r="D39" s="3" t="s">
        <v>96</v>
      </c>
      <c r="E39" s="3" t="s">
        <v>97</v>
      </c>
      <c r="F39" s="3" t="s">
        <v>98</v>
      </c>
      <c r="G39" s="3" t="s">
        <v>99</v>
      </c>
      <c r="H39" s="8" t="s">
        <v>100</v>
      </c>
      <c r="J39" t="s">
        <v>93</v>
      </c>
      <c r="K39" s="3" t="s">
        <v>94</v>
      </c>
      <c r="L39" s="3" t="s">
        <v>95</v>
      </c>
      <c r="M39" s="3" t="s">
        <v>96</v>
      </c>
      <c r="N39" s="3" t="s">
        <v>97</v>
      </c>
      <c r="O39" s="3" t="s">
        <v>98</v>
      </c>
      <c r="P39" s="3" t="s">
        <v>99</v>
      </c>
      <c r="Q39" s="8" t="s">
        <v>100</v>
      </c>
      <c r="S39" t="s">
        <v>93</v>
      </c>
      <c r="T39" s="3" t="s">
        <v>94</v>
      </c>
      <c r="U39" s="3" t="s">
        <v>95</v>
      </c>
      <c r="V39" s="3" t="s">
        <v>96</v>
      </c>
      <c r="W39" s="3" t="s">
        <v>97</v>
      </c>
      <c r="X39" s="3" t="s">
        <v>98</v>
      </c>
      <c r="Y39" s="3" t="s">
        <v>99</v>
      </c>
      <c r="Z39" s="8" t="s">
        <v>100</v>
      </c>
      <c r="AB39" t="s">
        <v>93</v>
      </c>
      <c r="AC39" s="3" t="s">
        <v>94</v>
      </c>
      <c r="AD39" s="3" t="s">
        <v>95</v>
      </c>
      <c r="AE39" s="3" t="s">
        <v>96</v>
      </c>
      <c r="AF39" s="3" t="s">
        <v>97</v>
      </c>
      <c r="AG39" s="3" t="s">
        <v>98</v>
      </c>
      <c r="AH39" s="3" t="s">
        <v>99</v>
      </c>
      <c r="AI39" s="8" t="s">
        <v>100</v>
      </c>
    </row>
    <row r="40" spans="1:37" ht="19.5" customHeight="1">
      <c r="A40" s="4" t="s">
        <v>388</v>
      </c>
      <c r="B40" s="3">
        <f>IF($AK$2="(Todas)",COUNTIF(BASE[CODCIE10],EPV_SARAMPION646669727378808185[[#This Row],[CIE-10]]),COUNTIFS(BASE[Cod.Establecimiento],$AK$2,BASE[CODCIE10],EPV_SARAMPION646669727378808185[[#This Row],[CIE-10]]))</f>
        <v>0</v>
      </c>
      <c r="C40" s="3">
        <f>IF($AK$2="(Todas)",COUNTIF(BASE[CODCIE102],EPV_SARAMPION646669727378808185[[#This Row],[CIE-10]]),COUNTIFS(BASE[Cod.Establecimiento],$AK$2,BASE[CODCIE102],EPV_SARAMPION646669727378808185[[#This Row],[CIE-10]]))</f>
        <v>0</v>
      </c>
      <c r="D40" s="3">
        <f>IF($AK$2="(Todas)",COUNTIF(BASE[CODCIE104],EPV_SARAMPION646669727378808185[[#This Row],[CIE-10]]),COUNTIFS(BASE[Cod.Establecimiento],$AK$2,BASE[CODCIE104],EPV_SARAMPION646669727378808185[[#This Row],[CIE-10]]))</f>
        <v>0</v>
      </c>
      <c r="E40" s="3">
        <f>IF($AK$2="(Todas)",COUNTIF(BASE[CODCIE106],EPV_SARAMPION646669727378808185[[#This Row],[CIE-10]]),COUNTIFS(BASE[Cod.Establecimiento],$AK$2,BASE[CODCIE106],EPV_SARAMPION646669727378808185[[#This Row],[CIE-10]]))</f>
        <v>0</v>
      </c>
      <c r="F40" s="3">
        <f>IF($AK$2="(Todas)",COUNTIF(BASE[CODCIE108],EPV_SARAMPION646669727378808185[[#This Row],[CIE-10]]),COUNTIFS(BASE[Cod.Establecimiento],$AK$2,BASE[CODCIE108],EPV_SARAMPION646669727378808185[[#This Row],[CIE-10]]))</f>
        <v>0</v>
      </c>
      <c r="G40" s="3">
        <f>IF($AK$2="(Todas)",COUNTIF(BASE[CODCIE1010],EPV_SARAMPION646669727378808185[[#This Row],[CIE-10]]),COUNTIFS(BASE[Cod.Establecimiento],$AK$2,BASE[CODCIE1010],EPV_SARAMPION646669727378808185[[#This Row],[CIE-10]]))</f>
        <v>0</v>
      </c>
      <c r="H40" s="9">
        <f>SUM(EPV_SARAMPION646669727378808185[[#This Row],[D1]:[D6]])</f>
        <v>0</v>
      </c>
      <c r="J40" s="4" t="s">
        <v>390</v>
      </c>
      <c r="K40" s="3">
        <f>IF($AK$2="(Todas)",COUNTIF(BASE[CODCIE10],EPV_SARAMPION64666972737880818586[[#This Row],[CIE-10]]),COUNTIFS(BASE[Cod.Establecimiento],$AK$2,BASE[CODCIE10],EPV_SARAMPION64666972737880818586[[#This Row],[CIE-10]]))</f>
        <v>0</v>
      </c>
      <c r="L40" s="3">
        <f>IF($AK$2="(Todas)",COUNTIF(BASE[CODCIE102],EPV_SARAMPION64666972737880818586[[#This Row],[CIE-10]]),COUNTIFS(BASE[Cod.Establecimiento],$AK$2,BASE[CODCIE102],EPV_SARAMPION64666972737880818586[[#This Row],[CIE-10]]))</f>
        <v>0</v>
      </c>
      <c r="M40" s="3">
        <f>IF($AK$2="(Todas)",COUNTIF(BASE[CODCIE104],EPV_SARAMPION64666972737880818586[[#This Row],[CIE-10]]),COUNTIFS(BASE[Cod.Establecimiento],$AK$2,BASE[CODCIE104],EPV_SARAMPION64666972737880818586[[#This Row],[CIE-10]]))</f>
        <v>0</v>
      </c>
      <c r="N40" s="3">
        <f>IF($AK$2="(Todas)",COUNTIF(BASE[CODCIE106],EPV_SARAMPION64666972737880818586[[#This Row],[CIE-10]]),COUNTIFS(BASE[Cod.Establecimiento],$AK$2,BASE[CODCIE106],EPV_SARAMPION64666972737880818586[[#This Row],[CIE-10]]))</f>
        <v>0</v>
      </c>
      <c r="O40" s="3">
        <f>IF($AK$2="(Todas)",COUNTIF(BASE[CODCIE108],EPV_SARAMPION64666972737880818586[[#This Row],[CIE-10]]),COUNTIFS(BASE[Cod.Establecimiento],$AK$2,BASE[CODCIE108],EPV_SARAMPION64666972737880818586[[#This Row],[CIE-10]]))</f>
        <v>0</v>
      </c>
      <c r="P40" s="3">
        <f>IF($AK$2="(Todas)",COUNTIF(BASE[CODCIE1010],EPV_SARAMPION64666972737880818586[[#This Row],[CIE-10]]),COUNTIFS(BASE[Cod.Establecimiento],$AK$2,BASE[CODCIE1010],EPV_SARAMPION64666972737880818586[[#This Row],[CIE-10]]))</f>
        <v>0</v>
      </c>
      <c r="Q40" s="9">
        <f>SUM(EPV_SARAMPION64666972737880818586[[#This Row],[D1]:[D6]])</f>
        <v>0</v>
      </c>
      <c r="S40" s="4" t="s">
        <v>391</v>
      </c>
      <c r="T40" s="3">
        <f>IF($AK$2="(Todas)",COUNTIF(BASE[CODCIE10],EPV_SARAMPION6466697273788081858687[[#This Row],[CIE-10]]),COUNTIFS(BASE[Cod.Establecimiento],$AK$2,BASE[CODCIE10],EPV_SARAMPION6466697273788081858687[[#This Row],[CIE-10]]))</f>
        <v>0</v>
      </c>
      <c r="U40" s="3">
        <f>IF($AK$2="(Todas)",COUNTIF(BASE[CODCIE102],EPV_SARAMPION6466697273788081858687[[#This Row],[CIE-10]]),COUNTIFS(BASE[Cod.Establecimiento],$AK$2,BASE[CODCIE102],EPV_SARAMPION6466697273788081858687[[#This Row],[CIE-10]]))</f>
        <v>0</v>
      </c>
      <c r="V40" s="3">
        <f>IF($AK$2="(Todas)",COUNTIF(BASE[CODCIE104],EPV_SARAMPION6466697273788081858687[[#This Row],[CIE-10]]),COUNTIFS(BASE[Cod.Establecimiento],$AK$2,BASE[CODCIE104],EPV_SARAMPION6466697273788081858687[[#This Row],[CIE-10]]))</f>
        <v>0</v>
      </c>
      <c r="W40" s="3">
        <f>IF($AK$2="(Todas)",COUNTIF(BASE[CODCIE106],EPV_SARAMPION6466697273788081858687[[#This Row],[CIE-10]]),COUNTIFS(BASE[Cod.Establecimiento],$AK$2,BASE[CODCIE106],EPV_SARAMPION6466697273788081858687[[#This Row],[CIE-10]]))</f>
        <v>0</v>
      </c>
      <c r="X40" s="3">
        <f>IF($AK$2="(Todas)",COUNTIF(BASE[CODCIE108],EPV_SARAMPION6466697273788081858687[[#This Row],[CIE-10]]),COUNTIFS(BASE[Cod.Establecimiento],$AK$2,BASE[CODCIE108],EPV_SARAMPION6466697273788081858687[[#This Row],[CIE-10]]))</f>
        <v>0</v>
      </c>
      <c r="Y40" s="3">
        <f>IF($AK$2="(Todas)",COUNTIF(BASE[CODCIE1010],EPV_SARAMPION6466697273788081858687[[#This Row],[CIE-10]]),COUNTIFS(BASE[Cod.Establecimiento],$AK$2,BASE[CODCIE1010],EPV_SARAMPION6466697273788081858687[[#This Row],[CIE-10]]))</f>
        <v>0</v>
      </c>
      <c r="Z40" s="9">
        <f>SUM(EPV_SARAMPION6466697273788081858687[[#This Row],[D1]:[D6]])</f>
        <v>0</v>
      </c>
      <c r="AB40" s="4" t="s">
        <v>394</v>
      </c>
      <c r="AC40" s="3">
        <f>IF($AK$2="(Todas)",COUNTIF(BASE[CODCIE10],EPV_SARAMPION646669727378808185868788[[#This Row],[CIE-10]]),COUNTIFS(BASE[Cod.Establecimiento],$AK$2,BASE[CODCIE10],EPV_SARAMPION646669727378808185868788[[#This Row],[CIE-10]]))</f>
        <v>0</v>
      </c>
      <c r="AD40" s="3">
        <f>IF($AK$2="(Todas)",COUNTIF(BASE[CODCIE102],EPV_SARAMPION646669727378808185868788[[#This Row],[CIE-10]]),COUNTIFS(BASE[Cod.Establecimiento],$AK$2,BASE[CODCIE102],EPV_SARAMPION646669727378808185868788[[#This Row],[CIE-10]]))</f>
        <v>0</v>
      </c>
      <c r="AE40" s="3">
        <f>IF($AK$2="(Todas)",COUNTIF(BASE[CODCIE104],EPV_SARAMPION646669727378808185868788[[#This Row],[CIE-10]]),COUNTIFS(BASE[Cod.Establecimiento],$AK$2,BASE[CODCIE104],EPV_SARAMPION646669727378808185868788[[#This Row],[CIE-10]]))</f>
        <v>0</v>
      </c>
      <c r="AF40" s="3">
        <f>IF($AK$2="(Todas)",COUNTIF(BASE[CODCIE106],EPV_SARAMPION646669727378808185868788[[#This Row],[CIE-10]]),COUNTIFS(BASE[Cod.Establecimiento],$AK$2,BASE[CODCIE106],EPV_SARAMPION646669727378808185868788[[#This Row],[CIE-10]]))</f>
        <v>0</v>
      </c>
      <c r="AG40" s="3">
        <f>IF($AK$2="(Todas)",COUNTIF(BASE[CODCIE108],EPV_SARAMPION646669727378808185868788[[#This Row],[CIE-10]]),COUNTIFS(BASE[Cod.Establecimiento],$AK$2,BASE[CODCIE108],EPV_SARAMPION646669727378808185868788[[#This Row],[CIE-10]]))</f>
        <v>0</v>
      </c>
      <c r="AH40" s="3">
        <f>IF($AK$2="(Todas)",COUNTIF(BASE[CODCIE1010],EPV_SARAMPION646669727378808185868788[[#This Row],[CIE-10]]),COUNTIFS(BASE[Cod.Establecimiento],$AK$2,BASE[CODCIE1010],EPV_SARAMPION646669727378808185868788[[#This Row],[CIE-10]]))</f>
        <v>0</v>
      </c>
      <c r="AI40" s="9">
        <f>SUM(EPV_SARAMPION646669727378808185868788[[#This Row],[D1]:[D6]])</f>
        <v>0</v>
      </c>
    </row>
    <row r="41" spans="1:37" ht="19.5" customHeight="1">
      <c r="S41" s="4" t="s">
        <v>392</v>
      </c>
      <c r="T41" s="3">
        <f>IF($AK$2="(Todas)",COUNTIF(BASE[CODCIE10],EPV_SARAMPION6466697273788081858687[[#This Row],[CIE-10]]),COUNTIFS(BASE[Cod.Establecimiento],$AK$2,BASE[CODCIE10],EPV_SARAMPION6466697273788081858687[[#This Row],[CIE-10]]))</f>
        <v>0</v>
      </c>
      <c r="U41" s="3">
        <f>IF($AK$2="(Todas)",COUNTIF(BASE[CODCIE102],EPV_SARAMPION6466697273788081858687[[#This Row],[CIE-10]]),COUNTIFS(BASE[Cod.Establecimiento],$AK$2,BASE[CODCIE102],EPV_SARAMPION6466697273788081858687[[#This Row],[CIE-10]]))</f>
        <v>0</v>
      </c>
      <c r="V41" s="3">
        <f>IF($AK$2="(Todas)",COUNTIF(BASE[CODCIE104],EPV_SARAMPION6466697273788081858687[[#This Row],[CIE-10]]),COUNTIFS(BASE[Cod.Establecimiento],$AK$2,BASE[CODCIE104],EPV_SARAMPION6466697273788081858687[[#This Row],[CIE-10]]))</f>
        <v>0</v>
      </c>
      <c r="W41" s="3">
        <f>IF($AK$2="(Todas)",COUNTIF(BASE[CODCIE106],EPV_SARAMPION6466697273788081858687[[#This Row],[CIE-10]]),COUNTIFS(BASE[Cod.Establecimiento],$AK$2,BASE[CODCIE106],EPV_SARAMPION6466697273788081858687[[#This Row],[CIE-10]]))</f>
        <v>0</v>
      </c>
      <c r="X41" s="3">
        <f>IF($AK$2="(Todas)",COUNTIF(BASE[CODCIE108],EPV_SARAMPION6466697273788081858687[[#This Row],[CIE-10]]),COUNTIFS(BASE[Cod.Establecimiento],$AK$2,BASE[CODCIE108],EPV_SARAMPION6466697273788081858687[[#This Row],[CIE-10]]))</f>
        <v>0</v>
      </c>
      <c r="Y41" s="3">
        <f>IF($AK$2="(Todas)",COUNTIF(BASE[CODCIE1010],EPV_SARAMPION6466697273788081858687[[#This Row],[CIE-10]]),COUNTIFS(BASE[Cod.Establecimiento],$AK$2,BASE[CODCIE1010],EPV_SARAMPION6466697273788081858687[[#This Row],[CIE-10]]))</f>
        <v>0</v>
      </c>
      <c r="Z41" s="9">
        <f>SUM(EPV_SARAMPION6466697273788081858687[[#This Row],[D1]:[D6]])</f>
        <v>0</v>
      </c>
      <c r="AA41" s="68"/>
      <c r="AB41" s="4" t="s">
        <v>395</v>
      </c>
      <c r="AC41" s="3">
        <f>IF($AK$2="(Todas)",COUNTIF(BASE[CODCIE10],EPV_SARAMPION646669727378808185868788[[#This Row],[CIE-10]]),COUNTIFS(BASE[Cod.Establecimiento],$AK$2,BASE[CODCIE10],EPV_SARAMPION646669727378808185868788[[#This Row],[CIE-10]]))</f>
        <v>0</v>
      </c>
      <c r="AD41" s="3">
        <f>IF($AK$2="(Todas)",COUNTIF(BASE[CODCIE102],EPV_SARAMPION646669727378808185868788[[#This Row],[CIE-10]]),COUNTIFS(BASE[Cod.Establecimiento],$AK$2,BASE[CODCIE102],EPV_SARAMPION646669727378808185868788[[#This Row],[CIE-10]]))</f>
        <v>0</v>
      </c>
      <c r="AE41" s="3">
        <f>IF($AK$2="(Todas)",COUNTIF(BASE[CODCIE104],EPV_SARAMPION646669727378808185868788[[#This Row],[CIE-10]]),COUNTIFS(BASE[Cod.Establecimiento],$AK$2,BASE[CODCIE104],EPV_SARAMPION646669727378808185868788[[#This Row],[CIE-10]]))</f>
        <v>0</v>
      </c>
      <c r="AF41" s="3">
        <f>IF($AK$2="(Todas)",COUNTIF(BASE[CODCIE106],EPV_SARAMPION646669727378808185868788[[#This Row],[CIE-10]]),COUNTIFS(BASE[Cod.Establecimiento],$AK$2,BASE[CODCIE106],EPV_SARAMPION646669727378808185868788[[#This Row],[CIE-10]]))</f>
        <v>0</v>
      </c>
      <c r="AG41" s="3">
        <f>IF($AK$2="(Todas)",COUNTIF(BASE[CODCIE108],EPV_SARAMPION646669727378808185868788[[#This Row],[CIE-10]]),COUNTIFS(BASE[Cod.Establecimiento],$AK$2,BASE[CODCIE108],EPV_SARAMPION646669727378808185868788[[#This Row],[CIE-10]]))</f>
        <v>0</v>
      </c>
      <c r="AH41" s="3">
        <f>IF($AK$2="(Todas)",COUNTIF(BASE[CODCIE1010],EPV_SARAMPION646669727378808185868788[[#This Row],[CIE-10]]),COUNTIFS(BASE[Cod.Establecimiento],$AK$2,BASE[CODCIE1010],EPV_SARAMPION646669727378808185868788[[#This Row],[CIE-10]]))</f>
        <v>0</v>
      </c>
      <c r="AI41" s="9">
        <f>SUM(EPV_SARAMPION646669727378808185868788[[#This Row],[D1]:[D6]])</f>
        <v>0</v>
      </c>
    </row>
    <row r="42" spans="1:37" ht="15" customHeight="1"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68"/>
      <c r="AG42" s="68"/>
      <c r="AH42" s="68"/>
      <c r="AI42" s="68"/>
    </row>
    <row r="43" spans="1:37" ht="15" customHeight="1" thickBot="1">
      <c r="A43" s="80" t="s">
        <v>397</v>
      </c>
      <c r="B43" s="80"/>
      <c r="C43" s="80"/>
      <c r="D43" s="80"/>
      <c r="E43" s="80"/>
      <c r="F43" s="80"/>
      <c r="G43" s="80"/>
      <c r="H43" s="80"/>
      <c r="J43" s="80" t="s">
        <v>126</v>
      </c>
      <c r="K43" s="80"/>
      <c r="L43" s="80"/>
      <c r="M43" s="80"/>
      <c r="N43" s="80"/>
      <c r="O43" s="80"/>
      <c r="P43" s="80"/>
      <c r="Q43" s="80"/>
      <c r="S43" s="80" t="s">
        <v>398</v>
      </c>
      <c r="T43" s="80"/>
      <c r="U43" s="80"/>
      <c r="V43" s="80"/>
      <c r="W43" s="80"/>
      <c r="X43" s="80"/>
      <c r="Y43" s="80"/>
      <c r="Z43" s="80"/>
      <c r="AA43" s="68"/>
      <c r="AB43" s="80" t="s">
        <v>399</v>
      </c>
      <c r="AC43" s="80"/>
      <c r="AD43" s="80"/>
      <c r="AE43" s="80"/>
      <c r="AF43" s="80"/>
      <c r="AG43" s="80"/>
      <c r="AH43" s="80"/>
      <c r="AI43" s="80"/>
    </row>
    <row r="44" spans="1:37" ht="15" customHeight="1" thickTop="1">
      <c r="A44" s="6" t="str">
        <f>CONCATENATE("TOTAL: ",SUM(B44:G44))</f>
        <v>TOTAL: 0</v>
      </c>
      <c r="B44" s="5">
        <f>SUM(EPV_SARAMPION64666972737880818591[D1])</f>
        <v>0</v>
      </c>
      <c r="C44" s="5">
        <f>SUM(EPV_SARAMPION64666972737880818591[D2])</f>
        <v>0</v>
      </c>
      <c r="D44" s="5">
        <f>SUM(EPV_SARAMPION64666972737880818591[D3])</f>
        <v>0</v>
      </c>
      <c r="E44" s="5">
        <f>SUM(EPV_SARAMPION64666972737880818591[D4])</f>
        <v>0</v>
      </c>
      <c r="F44" s="5">
        <f>SUM(EPV_SARAMPION64666972737880818591[D5])</f>
        <v>0</v>
      </c>
      <c r="G44" s="5">
        <f>SUM(EPV_SARAMPION64666972737880818591[D6])</f>
        <v>0</v>
      </c>
      <c r="H44" s="7"/>
      <c r="J44" s="6" t="str">
        <f>CONCATENATE("TOTAL: ",SUM(K44:P44))</f>
        <v>TOTAL: 0</v>
      </c>
      <c r="K44" s="5">
        <f>SUM(EPV_SARAMPION64666972737880818592[D1])</f>
        <v>0</v>
      </c>
      <c r="L44" s="5">
        <f>SUM(EPV_SARAMPION64666972737880818592[D2])</f>
        <v>0</v>
      </c>
      <c r="M44" s="5">
        <f>SUM(EPV_SARAMPION64666972737880818592[D3])</f>
        <v>0</v>
      </c>
      <c r="N44" s="5">
        <f>SUM(EPV_SARAMPION64666972737880818592[D4])</f>
        <v>0</v>
      </c>
      <c r="O44" s="5">
        <f>SUM(EPV_SARAMPION64666972737880818592[D5])</f>
        <v>0</v>
      </c>
      <c r="P44" s="5">
        <f>SUM(EPV_SARAMPION64666972737880818592[D6])</f>
        <v>0</v>
      </c>
      <c r="Q44" s="7"/>
      <c r="S44" s="6" t="str">
        <f>CONCATENATE("TOTAL: ",SUM(T44:Y44))</f>
        <v>TOTAL: 0</v>
      </c>
      <c r="T44" s="5">
        <f>SUM(EPV_SARAMPION6466697273788081859294[D1])</f>
        <v>0</v>
      </c>
      <c r="U44" s="5">
        <f>SUM(EPV_SARAMPION6466697273788081859294[D2])</f>
        <v>0</v>
      </c>
      <c r="V44" s="5">
        <f>SUM(EPV_SARAMPION6466697273788081859294[D3])</f>
        <v>0</v>
      </c>
      <c r="W44" s="5">
        <f>SUM(EPV_SARAMPION6466697273788081859294[D4])</f>
        <v>0</v>
      </c>
      <c r="X44" s="5">
        <f>SUM(EPV_SARAMPION6466697273788081859294[D5])</f>
        <v>0</v>
      </c>
      <c r="Y44" s="5">
        <f>SUM(EPV_SARAMPION6466697273788081859294[D6])</f>
        <v>0</v>
      </c>
      <c r="Z44" s="7"/>
      <c r="AA44" s="68"/>
      <c r="AB44" s="6" t="str">
        <f>CONCATENATE("TOTAL: ",SUM(AC44:AH44))</f>
        <v>TOTAL: 0</v>
      </c>
      <c r="AC44" s="5">
        <f>SUM(EPV_SARAMPION646669727378808185929495[D1])</f>
        <v>0</v>
      </c>
      <c r="AD44" s="5">
        <f>SUM(EPV_SARAMPION646669727378808185929495[D2])</f>
        <v>0</v>
      </c>
      <c r="AE44" s="5">
        <f>SUM(EPV_SARAMPION646669727378808185929495[D3])</f>
        <v>0</v>
      </c>
      <c r="AF44" s="5">
        <f>SUM(EPV_SARAMPION646669727378808185929495[D4])</f>
        <v>0</v>
      </c>
      <c r="AG44" s="5">
        <f>SUM(EPV_SARAMPION646669727378808185929495[D5])</f>
        <v>0</v>
      </c>
      <c r="AH44" s="5">
        <f>SUM(EPV_SARAMPION646669727378808185929495[D6])</f>
        <v>0</v>
      </c>
      <c r="AI44" s="7"/>
    </row>
    <row r="45" spans="1:37" ht="15" customHeight="1">
      <c r="A45" t="s">
        <v>93</v>
      </c>
      <c r="B45" s="3" t="s">
        <v>94</v>
      </c>
      <c r="C45" s="3" t="s">
        <v>95</v>
      </c>
      <c r="D45" s="3" t="s">
        <v>96</v>
      </c>
      <c r="E45" s="3" t="s">
        <v>97</v>
      </c>
      <c r="F45" s="3" t="s">
        <v>98</v>
      </c>
      <c r="G45" s="3" t="s">
        <v>99</v>
      </c>
      <c r="H45" s="8" t="s">
        <v>100</v>
      </c>
      <c r="J45" t="s">
        <v>93</v>
      </c>
      <c r="K45" s="3" t="s">
        <v>94</v>
      </c>
      <c r="L45" s="3" t="s">
        <v>95</v>
      </c>
      <c r="M45" s="3" t="s">
        <v>96</v>
      </c>
      <c r="N45" s="3" t="s">
        <v>97</v>
      </c>
      <c r="O45" s="3" t="s">
        <v>98</v>
      </c>
      <c r="P45" s="3" t="s">
        <v>99</v>
      </c>
      <c r="Q45" s="8" t="s">
        <v>100</v>
      </c>
      <c r="S45" t="s">
        <v>93</v>
      </c>
      <c r="T45" s="3" t="s">
        <v>94</v>
      </c>
      <c r="U45" s="3" t="s">
        <v>95</v>
      </c>
      <c r="V45" s="3" t="s">
        <v>96</v>
      </c>
      <c r="W45" s="3" t="s">
        <v>97</v>
      </c>
      <c r="X45" s="3" t="s">
        <v>98</v>
      </c>
      <c r="Y45" s="3" t="s">
        <v>99</v>
      </c>
      <c r="Z45" s="8" t="s">
        <v>100</v>
      </c>
      <c r="AA45" s="68"/>
      <c r="AB45" t="s">
        <v>93</v>
      </c>
      <c r="AC45" s="3" t="s">
        <v>94</v>
      </c>
      <c r="AD45" s="3" t="s">
        <v>95</v>
      </c>
      <c r="AE45" s="3" t="s">
        <v>96</v>
      </c>
      <c r="AF45" s="3" t="s">
        <v>97</v>
      </c>
      <c r="AG45" s="3" t="s">
        <v>98</v>
      </c>
      <c r="AH45" s="3" t="s">
        <v>99</v>
      </c>
      <c r="AI45" s="8" t="s">
        <v>100</v>
      </c>
      <c r="AJ45" s="74"/>
      <c r="AK45" s="74"/>
    </row>
    <row r="46" spans="1:37" ht="15" customHeight="1">
      <c r="A46" s="4" t="s">
        <v>247</v>
      </c>
      <c r="B46" s="3">
        <f>IF($AK$2="(Todas)",COUNTIF(BASE[CODCIE10],EPV_SARAMPION64666972737880818591[[#This Row],[CIE-10]]),COUNTIFS(BASE[Cod.Establecimiento],$AK$2,BASE[CODCIE10],EPV_SARAMPION64666972737880818591[[#This Row],[CIE-10]]))</f>
        <v>0</v>
      </c>
      <c r="C46" s="3">
        <f>IF($AK$2="(Todas)",COUNTIF(BASE[CODCIE102],EPV_SARAMPION64666972737880818591[[#This Row],[CIE-10]]),COUNTIFS(BASE[Cod.Establecimiento],$AK$2,BASE[CODCIE102],EPV_SARAMPION64666972737880818591[[#This Row],[CIE-10]]))</f>
        <v>0</v>
      </c>
      <c r="D46" s="3">
        <f>IF($AK$2="(Todas)",COUNTIF(BASE[CODCIE104],EPV_SARAMPION64666972737880818591[[#This Row],[CIE-10]]),COUNTIFS(BASE[Cod.Establecimiento],$AK$2,BASE[CODCIE104],EPV_SARAMPION64666972737880818591[[#This Row],[CIE-10]]))</f>
        <v>0</v>
      </c>
      <c r="E46" s="3">
        <f>IF($AK$2="(Todas)",COUNTIF(BASE[CODCIE106],EPV_SARAMPION64666972737880818591[[#This Row],[CIE-10]]),COUNTIFS(BASE[Cod.Establecimiento],$AK$2,BASE[CODCIE106],EPV_SARAMPION64666972737880818591[[#This Row],[CIE-10]]))</f>
        <v>0</v>
      </c>
      <c r="F46" s="3">
        <f>IF($AK$2="(Todas)",COUNTIF(BASE[CODCIE108],EPV_SARAMPION64666972737880818591[[#This Row],[CIE-10]]),COUNTIFS(BASE[Cod.Establecimiento],$AK$2,BASE[CODCIE108],EPV_SARAMPION64666972737880818591[[#This Row],[CIE-10]]))</f>
        <v>0</v>
      </c>
      <c r="G46" s="3">
        <f>IF($AK$2="(Todas)",COUNTIF(BASE[CODCIE1010],EPV_SARAMPION64666972737880818591[[#This Row],[CIE-10]]),COUNTIFS(BASE[Cod.Establecimiento],$AK$2,BASE[CODCIE1010],EPV_SARAMPION64666972737880818591[[#This Row],[CIE-10]]))</f>
        <v>0</v>
      </c>
      <c r="H46" s="9">
        <f>SUM(EPV_SARAMPION64666972737880818591[[#This Row],[D1]:[D6]])</f>
        <v>0</v>
      </c>
      <c r="J46" s="4" t="s">
        <v>130</v>
      </c>
      <c r="K46" s="3">
        <f>IF($AK$2="(Todas)",COUNTIF(BASE[CODCIE10],EPV_SARAMPION64666972737880818592[[#This Row],[CIE-10]]),COUNTIFS(BASE[Cod.Establecimiento],$AK$2,BASE[CODCIE10],EPV_SARAMPION64666972737880818592[[#This Row],[CIE-10]]))</f>
        <v>0</v>
      </c>
      <c r="L46" s="3">
        <f>IF($AK$2="(Todas)",COUNTIF(BASE[CODCIE102],EPV_SARAMPION64666972737880818592[[#This Row],[CIE-10]]),COUNTIFS(BASE[Cod.Establecimiento],$AK$2,BASE[CODCIE102],EPV_SARAMPION64666972737880818592[[#This Row],[CIE-10]]))</f>
        <v>0</v>
      </c>
      <c r="M46" s="3">
        <f>IF($AK$2="(Todas)",COUNTIF(BASE[CODCIE104],EPV_SARAMPION64666972737880818592[[#This Row],[CIE-10]]),COUNTIFS(BASE[Cod.Establecimiento],$AK$2,BASE[CODCIE104],EPV_SARAMPION64666972737880818592[[#This Row],[CIE-10]]))</f>
        <v>0</v>
      </c>
      <c r="N46" s="3">
        <f>IF($AK$2="(Todas)",COUNTIF(BASE[CODCIE106],EPV_SARAMPION64666972737880818592[[#This Row],[CIE-10]]),COUNTIFS(BASE[Cod.Establecimiento],$AK$2,BASE[CODCIE106],EPV_SARAMPION64666972737880818592[[#This Row],[CIE-10]]))</f>
        <v>0</v>
      </c>
      <c r="O46" s="3">
        <f>IF($AK$2="(Todas)",COUNTIF(BASE[CODCIE108],EPV_SARAMPION64666972737880818592[[#This Row],[CIE-10]]),COUNTIFS(BASE[Cod.Establecimiento],$AK$2,BASE[CODCIE108],EPV_SARAMPION64666972737880818592[[#This Row],[CIE-10]]))</f>
        <v>0</v>
      </c>
      <c r="P46" s="3">
        <f>IF($AK$2="(Todas)",COUNTIF(BASE[CODCIE1010],EPV_SARAMPION64666972737880818592[[#This Row],[CIE-10]]),COUNTIFS(BASE[Cod.Establecimiento],$AK$2,BASE[CODCIE1010],EPV_SARAMPION64666972737880818592[[#This Row],[CIE-10]]))</f>
        <v>0</v>
      </c>
      <c r="Q46" s="9">
        <f>SUM(EPV_SARAMPION64666972737880818592[[#This Row],[D1]:[D6]])</f>
        <v>0</v>
      </c>
      <c r="S46" s="4" t="s">
        <v>240</v>
      </c>
      <c r="T46" s="3">
        <f>IF($AK$2="(Todas)",COUNTIF(BASE[CODCIE10],EPV_SARAMPION6466697273788081859294[[#This Row],[CIE-10]]),COUNTIFS(BASE[Cod.Establecimiento],$AK$2,BASE[CODCIE10],EPV_SARAMPION6466697273788081859294[[#This Row],[CIE-10]]))</f>
        <v>0</v>
      </c>
      <c r="U46" s="3">
        <f>IF($AK$2="(Todas)",COUNTIF(BASE[CODCIE102],EPV_SARAMPION6466697273788081859294[[#This Row],[CIE-10]]),COUNTIFS(BASE[Cod.Establecimiento],$AK$2,BASE[CODCIE102],EPV_SARAMPION6466697273788081859294[[#This Row],[CIE-10]]))</f>
        <v>0</v>
      </c>
      <c r="V46" s="3">
        <f>IF($AK$2="(Todas)",COUNTIF(BASE[CODCIE104],EPV_SARAMPION6466697273788081859294[[#This Row],[CIE-10]]),COUNTIFS(BASE[Cod.Establecimiento],$AK$2,BASE[CODCIE104],EPV_SARAMPION6466697273788081859294[[#This Row],[CIE-10]]))</f>
        <v>0</v>
      </c>
      <c r="W46" s="3">
        <f>IF($AK$2="(Todas)",COUNTIF(BASE[CODCIE106],EPV_SARAMPION6466697273788081859294[[#This Row],[CIE-10]]),COUNTIFS(BASE[Cod.Establecimiento],$AK$2,BASE[CODCIE106],EPV_SARAMPION6466697273788081859294[[#This Row],[CIE-10]]))</f>
        <v>0</v>
      </c>
      <c r="X46" s="3">
        <f>IF($AK$2="(Todas)",COUNTIF(BASE[CODCIE108],EPV_SARAMPION6466697273788081859294[[#This Row],[CIE-10]]),COUNTIFS(BASE[Cod.Establecimiento],$AK$2,BASE[CODCIE108],EPV_SARAMPION6466697273788081859294[[#This Row],[CIE-10]]))</f>
        <v>0</v>
      </c>
      <c r="Y46" s="3">
        <f>IF($AK$2="(Todas)",COUNTIF(BASE[CODCIE1010],EPV_SARAMPION6466697273788081859294[[#This Row],[CIE-10]]),COUNTIFS(BASE[Cod.Establecimiento],$AK$2,BASE[CODCIE1010],EPV_SARAMPION6466697273788081859294[[#This Row],[CIE-10]]))</f>
        <v>0</v>
      </c>
      <c r="Z46" s="9">
        <f>SUM(EPV_SARAMPION6466697273788081859294[[#This Row],[D1]:[D6]])</f>
        <v>0</v>
      </c>
      <c r="AA46" s="68"/>
      <c r="AB46" s="4" t="s">
        <v>115</v>
      </c>
      <c r="AC46" s="3">
        <f>IF($AK$2="(Todas)",COUNTIF(BASE[CODCIE10],EPV_SARAMPION646669727378808185929495[[#This Row],[CIE-10]]),COUNTIFS(BASE[Cod.Establecimiento],$AK$2,BASE[CODCIE10],EPV_SARAMPION646669727378808185929495[[#This Row],[CIE-10]]))</f>
        <v>0</v>
      </c>
      <c r="AD46" s="3">
        <f>IF($AK$2="(Todas)",COUNTIF(BASE[CODCIE102],EPV_SARAMPION646669727378808185929495[[#This Row],[CIE-10]]),COUNTIFS(BASE[Cod.Establecimiento],$AK$2,BASE[CODCIE102],EPV_SARAMPION646669727378808185929495[[#This Row],[CIE-10]]))</f>
        <v>0</v>
      </c>
      <c r="AE46" s="3">
        <f>IF($AK$2="(Todas)",COUNTIF(BASE[CODCIE104],EPV_SARAMPION646669727378808185929495[[#This Row],[CIE-10]]),COUNTIFS(BASE[Cod.Establecimiento],$AK$2,BASE[CODCIE104],EPV_SARAMPION646669727378808185929495[[#This Row],[CIE-10]]))</f>
        <v>0</v>
      </c>
      <c r="AF46" s="3">
        <f>IF($AK$2="(Todas)",COUNTIF(BASE[CODCIE106],EPV_SARAMPION646669727378808185929495[[#This Row],[CIE-10]]),COUNTIFS(BASE[Cod.Establecimiento],$AK$2,BASE[CODCIE106],EPV_SARAMPION646669727378808185929495[[#This Row],[CIE-10]]))</f>
        <v>0</v>
      </c>
      <c r="AG46" s="3">
        <f>IF($AK$2="(Todas)",COUNTIF(BASE[CODCIE108],EPV_SARAMPION646669727378808185929495[[#This Row],[CIE-10]]),COUNTIFS(BASE[Cod.Establecimiento],$AK$2,BASE[CODCIE108],EPV_SARAMPION646669727378808185929495[[#This Row],[CIE-10]]))</f>
        <v>0</v>
      </c>
      <c r="AH46" s="3">
        <f>IF($AK$2="(Todas)",COUNTIF(BASE[CODCIE1010],EPV_SARAMPION646669727378808185929495[[#This Row],[CIE-10]]),COUNTIFS(BASE[Cod.Establecimiento],$AK$2,BASE[CODCIE1010],EPV_SARAMPION646669727378808185929495[[#This Row],[CIE-10]]))</f>
        <v>0</v>
      </c>
      <c r="AI46" s="9">
        <f>SUM(EPV_SARAMPION646669727378808185929495[[#This Row],[D1]:[D6]])</f>
        <v>0</v>
      </c>
      <c r="AJ46" s="74"/>
      <c r="AK46" s="74"/>
    </row>
    <row r="47" spans="1:37" ht="15" customHeight="1">
      <c r="A47" s="32" t="s">
        <v>249</v>
      </c>
      <c r="B47" s="3">
        <f>IF($AK$2="(Todas)",COUNTIF(BASE[CODCIE10],EPV_SARAMPION64666972737880818591[[#This Row],[CIE-10]]),COUNTIFS(BASE[Cod.Establecimiento],$AK$2,BASE[CODCIE10],EPV_SARAMPION64666972737880818591[[#This Row],[CIE-10]]))</f>
        <v>0</v>
      </c>
      <c r="C47" s="3">
        <f>IF($AK$2="(Todas)",COUNTIF(BASE[CODCIE102],EPV_SARAMPION64666972737880818591[[#This Row],[CIE-10]]),COUNTIFS(BASE[Cod.Establecimiento],$AK$2,BASE[CODCIE102],EPV_SARAMPION64666972737880818591[[#This Row],[CIE-10]]))</f>
        <v>0</v>
      </c>
      <c r="D47" s="3">
        <f>IF($AK$2="(Todas)",COUNTIF(BASE[CODCIE104],EPV_SARAMPION64666972737880818591[[#This Row],[CIE-10]]),COUNTIFS(BASE[Cod.Establecimiento],$AK$2,BASE[CODCIE104],EPV_SARAMPION64666972737880818591[[#This Row],[CIE-10]]))</f>
        <v>0</v>
      </c>
      <c r="E47" s="3">
        <f>IF($AK$2="(Todas)",COUNTIF(BASE[CODCIE106],EPV_SARAMPION64666972737880818591[[#This Row],[CIE-10]]),COUNTIFS(BASE[Cod.Establecimiento],$AK$2,BASE[CODCIE106],EPV_SARAMPION64666972737880818591[[#This Row],[CIE-10]]))</f>
        <v>0</v>
      </c>
      <c r="F47" s="3">
        <f>IF($AK$2="(Todas)",COUNTIF(BASE[CODCIE108],EPV_SARAMPION64666972737880818591[[#This Row],[CIE-10]]),COUNTIFS(BASE[Cod.Establecimiento],$AK$2,BASE[CODCIE108],EPV_SARAMPION64666972737880818591[[#This Row],[CIE-10]]))</f>
        <v>0</v>
      </c>
      <c r="G47" s="3">
        <f>IF($AK$2="(Todas)",COUNTIF(BASE[CODCIE1010],EPV_SARAMPION64666972737880818591[[#This Row],[CIE-10]]),COUNTIFS(BASE[Cod.Establecimiento],$AK$2,BASE[CODCIE1010],EPV_SARAMPION64666972737880818591[[#This Row],[CIE-10]]))</f>
        <v>0</v>
      </c>
      <c r="H47" s="9">
        <f>SUM(EPV_SARAMPION64666972737880818591[[#This Row],[D1]:[D6]])</f>
        <v>0</v>
      </c>
    </row>
    <row r="48" spans="1:37" ht="15" customHeight="1" thickBot="1">
      <c r="A48" s="32" t="s">
        <v>250</v>
      </c>
      <c r="B48" s="3">
        <f>IF($AK$2="(Todas)",COUNTIF(BASE[CODCIE10],EPV_SARAMPION64666972737880818591[[#This Row],[CIE-10]]),COUNTIFS(BASE[Cod.Establecimiento],$AK$2,BASE[CODCIE10],EPV_SARAMPION64666972737880818591[[#This Row],[CIE-10]]))</f>
        <v>0</v>
      </c>
      <c r="C48" s="3">
        <f>IF($AK$2="(Todas)",COUNTIF(BASE[CODCIE102],EPV_SARAMPION64666972737880818591[[#This Row],[CIE-10]]),COUNTIFS(BASE[Cod.Establecimiento],$AK$2,BASE[CODCIE102],EPV_SARAMPION64666972737880818591[[#This Row],[CIE-10]]))</f>
        <v>0</v>
      </c>
      <c r="D48" s="3">
        <f>IF($AK$2="(Todas)",COUNTIF(BASE[CODCIE104],EPV_SARAMPION64666972737880818591[[#This Row],[CIE-10]]),COUNTIFS(BASE[Cod.Establecimiento],$AK$2,BASE[CODCIE104],EPV_SARAMPION64666972737880818591[[#This Row],[CIE-10]]))</f>
        <v>0</v>
      </c>
      <c r="E48" s="3">
        <f>IF($AK$2="(Todas)",COUNTIF(BASE[CODCIE106],EPV_SARAMPION64666972737880818591[[#This Row],[CIE-10]]),COUNTIFS(BASE[Cod.Establecimiento],$AK$2,BASE[CODCIE106],EPV_SARAMPION64666972737880818591[[#This Row],[CIE-10]]))</f>
        <v>0</v>
      </c>
      <c r="F48" s="3">
        <f>IF($AK$2="(Todas)",COUNTIF(BASE[CODCIE108],EPV_SARAMPION64666972737880818591[[#This Row],[CIE-10]]),COUNTIFS(BASE[Cod.Establecimiento],$AK$2,BASE[CODCIE108],EPV_SARAMPION64666972737880818591[[#This Row],[CIE-10]]))</f>
        <v>0</v>
      </c>
      <c r="G48" s="3">
        <f>IF($AK$2="(Todas)",COUNTIF(BASE[CODCIE1010],EPV_SARAMPION64666972737880818591[[#This Row],[CIE-10]]),COUNTIFS(BASE[Cod.Establecimiento],$AK$2,BASE[CODCIE1010],EPV_SARAMPION64666972737880818591[[#This Row],[CIE-10]]))</f>
        <v>0</v>
      </c>
      <c r="H48" s="9">
        <f>SUM(EPV_SARAMPION64666972737880818591[[#This Row],[D1]:[D6]])</f>
        <v>0</v>
      </c>
      <c r="J48" s="80" t="s">
        <v>400</v>
      </c>
      <c r="K48" s="80"/>
      <c r="L48" s="80"/>
      <c r="M48" s="80"/>
      <c r="N48" s="80"/>
      <c r="O48" s="80"/>
      <c r="P48" s="80"/>
      <c r="Q48" s="80"/>
      <c r="S48" s="80" t="s">
        <v>402</v>
      </c>
      <c r="T48" s="80"/>
      <c r="U48" s="80"/>
      <c r="V48" s="80"/>
      <c r="W48" s="80"/>
      <c r="X48" s="80"/>
      <c r="Y48" s="80"/>
      <c r="Z48" s="80"/>
      <c r="AB48" s="80" t="s">
        <v>404</v>
      </c>
      <c r="AC48" s="80"/>
      <c r="AD48" s="80"/>
      <c r="AE48" s="80"/>
      <c r="AF48" s="80"/>
      <c r="AG48" s="80"/>
      <c r="AH48" s="80"/>
      <c r="AI48" s="80"/>
    </row>
    <row r="49" spans="1:35" ht="15" customHeight="1" thickTop="1">
      <c r="A49" s="32" t="s">
        <v>251</v>
      </c>
      <c r="B49" s="3">
        <f>IF($AK$2="(Todas)",COUNTIF(BASE[CODCIE10],EPV_SARAMPION64666972737880818591[[#This Row],[CIE-10]]),COUNTIFS(BASE[Cod.Establecimiento],$AK$2,BASE[CODCIE10],EPV_SARAMPION64666972737880818591[[#This Row],[CIE-10]]))</f>
        <v>0</v>
      </c>
      <c r="C49" s="3">
        <f>IF($AK$2="(Todas)",COUNTIF(BASE[CODCIE102],EPV_SARAMPION64666972737880818591[[#This Row],[CIE-10]]),COUNTIFS(BASE[Cod.Establecimiento],$AK$2,BASE[CODCIE102],EPV_SARAMPION64666972737880818591[[#This Row],[CIE-10]]))</f>
        <v>0</v>
      </c>
      <c r="D49" s="3">
        <f>IF($AK$2="(Todas)",COUNTIF(BASE[CODCIE104],EPV_SARAMPION64666972737880818591[[#This Row],[CIE-10]]),COUNTIFS(BASE[Cod.Establecimiento],$AK$2,BASE[CODCIE104],EPV_SARAMPION64666972737880818591[[#This Row],[CIE-10]]))</f>
        <v>0</v>
      </c>
      <c r="E49" s="3">
        <f>IF($AK$2="(Todas)",COUNTIF(BASE[CODCIE106],EPV_SARAMPION64666972737880818591[[#This Row],[CIE-10]]),COUNTIFS(BASE[Cod.Establecimiento],$AK$2,BASE[CODCIE106],EPV_SARAMPION64666972737880818591[[#This Row],[CIE-10]]))</f>
        <v>0</v>
      </c>
      <c r="F49" s="3">
        <f>IF($AK$2="(Todas)",COUNTIF(BASE[CODCIE108],EPV_SARAMPION64666972737880818591[[#This Row],[CIE-10]]),COUNTIFS(BASE[Cod.Establecimiento],$AK$2,BASE[CODCIE108],EPV_SARAMPION64666972737880818591[[#This Row],[CIE-10]]))</f>
        <v>0</v>
      </c>
      <c r="G49" s="3">
        <f>IF($AK$2="(Todas)",COUNTIF(BASE[CODCIE1010],EPV_SARAMPION64666972737880818591[[#This Row],[CIE-10]]),COUNTIFS(BASE[Cod.Establecimiento],$AK$2,BASE[CODCIE1010],EPV_SARAMPION64666972737880818591[[#This Row],[CIE-10]]))</f>
        <v>0</v>
      </c>
      <c r="H49" s="9">
        <f>SUM(EPV_SARAMPION64666972737880818591[[#This Row],[D1]:[D6]])</f>
        <v>0</v>
      </c>
      <c r="J49" s="6" t="str">
        <f>CONCATENATE("TOTAL: ",SUM(K49:P49))</f>
        <v>TOTAL: 0</v>
      </c>
      <c r="K49" s="5">
        <f>SUM(EPV_SARAMPION6466697273788081859296[D1])</f>
        <v>0</v>
      </c>
      <c r="L49" s="5">
        <f>SUM(EPV_SARAMPION6466697273788081859296[D2])</f>
        <v>0</v>
      </c>
      <c r="M49" s="5">
        <f>SUM(EPV_SARAMPION6466697273788081859296[D3])</f>
        <v>0</v>
      </c>
      <c r="N49" s="5">
        <f>SUM(EPV_SARAMPION6466697273788081859296[D4])</f>
        <v>0</v>
      </c>
      <c r="O49" s="5">
        <f>SUM(EPV_SARAMPION6466697273788081859296[D5])</f>
        <v>0</v>
      </c>
      <c r="P49" s="5">
        <f>SUM(EPV_SARAMPION6466697273788081859296[D6])</f>
        <v>0</v>
      </c>
      <c r="Q49" s="7"/>
      <c r="S49" s="6" t="str">
        <f>CONCATENATE("TOTAL: ",SUM(T49:Y49))</f>
        <v>TOTAL: 0</v>
      </c>
      <c r="T49" s="5">
        <f>SUM(EPV_SARAMPION646669727378808185929697[D1])</f>
        <v>0</v>
      </c>
      <c r="U49" s="5">
        <f>SUM(EPV_SARAMPION646669727378808185929697[D2])</f>
        <v>0</v>
      </c>
      <c r="V49" s="5">
        <f>SUM(EPV_SARAMPION646669727378808185929697[D3])</f>
        <v>0</v>
      </c>
      <c r="W49" s="5">
        <f>SUM(EPV_SARAMPION646669727378808185929697[D4])</f>
        <v>0</v>
      </c>
      <c r="X49" s="5">
        <f>SUM(EPV_SARAMPION646669727378808185929697[D5])</f>
        <v>0</v>
      </c>
      <c r="Y49" s="5">
        <f>SUM(EPV_SARAMPION646669727378808185929697[D6])</f>
        <v>0</v>
      </c>
      <c r="Z49" s="7"/>
      <c r="AB49" s="6" t="str">
        <f>CONCATENATE("TOTAL: ",SUM(AC49:AH49))</f>
        <v>TOTAL: 0</v>
      </c>
      <c r="AC49" s="5">
        <f>SUM(EPV_SARAMPION64666972737880818592969798[D1])</f>
        <v>0</v>
      </c>
      <c r="AD49" s="5">
        <f>SUM(EPV_SARAMPION64666972737880818592969798[D2])</f>
        <v>0</v>
      </c>
      <c r="AE49" s="5">
        <f>SUM(EPV_SARAMPION64666972737880818592969798[D3])</f>
        <v>0</v>
      </c>
      <c r="AF49" s="5">
        <f>SUM(EPV_SARAMPION64666972737880818592969798[D4])</f>
        <v>0</v>
      </c>
      <c r="AG49" s="5">
        <f>SUM(EPV_SARAMPION64666972737880818592969798[D5])</f>
        <v>0</v>
      </c>
      <c r="AH49" s="5">
        <f>SUM(EPV_SARAMPION64666972737880818592969798[D6])</f>
        <v>0</v>
      </c>
      <c r="AI49" s="7"/>
    </row>
    <row r="50" spans="1:35" ht="15" customHeight="1">
      <c r="A50" s="32" t="s">
        <v>252</v>
      </c>
      <c r="B50" s="3">
        <f>IF($AK$2="(Todas)",COUNTIF(BASE[CODCIE10],EPV_SARAMPION64666972737880818591[[#This Row],[CIE-10]]),COUNTIFS(BASE[Cod.Establecimiento],$AK$2,BASE[CODCIE10],EPV_SARAMPION64666972737880818591[[#This Row],[CIE-10]]))</f>
        <v>0</v>
      </c>
      <c r="C50" s="3">
        <f>IF($AK$2="(Todas)",COUNTIF(BASE[CODCIE102],EPV_SARAMPION64666972737880818591[[#This Row],[CIE-10]]),COUNTIFS(BASE[Cod.Establecimiento],$AK$2,BASE[CODCIE102],EPV_SARAMPION64666972737880818591[[#This Row],[CIE-10]]))</f>
        <v>0</v>
      </c>
      <c r="D50" s="3">
        <f>IF($AK$2="(Todas)",COUNTIF(BASE[CODCIE104],EPV_SARAMPION64666972737880818591[[#This Row],[CIE-10]]),COUNTIFS(BASE[Cod.Establecimiento],$AK$2,BASE[CODCIE104],EPV_SARAMPION64666972737880818591[[#This Row],[CIE-10]]))</f>
        <v>0</v>
      </c>
      <c r="E50" s="3">
        <f>IF($AK$2="(Todas)",COUNTIF(BASE[CODCIE106],EPV_SARAMPION64666972737880818591[[#This Row],[CIE-10]]),COUNTIFS(BASE[Cod.Establecimiento],$AK$2,BASE[CODCIE106],EPV_SARAMPION64666972737880818591[[#This Row],[CIE-10]]))</f>
        <v>0</v>
      </c>
      <c r="F50" s="3">
        <f>IF($AK$2="(Todas)",COUNTIF(BASE[CODCIE108],EPV_SARAMPION64666972737880818591[[#This Row],[CIE-10]]),COUNTIFS(BASE[Cod.Establecimiento],$AK$2,BASE[CODCIE108],EPV_SARAMPION64666972737880818591[[#This Row],[CIE-10]]))</f>
        <v>0</v>
      </c>
      <c r="G50" s="3">
        <f>IF($AK$2="(Todas)",COUNTIF(BASE[CODCIE1010],EPV_SARAMPION64666972737880818591[[#This Row],[CIE-10]]),COUNTIFS(BASE[Cod.Establecimiento],$AK$2,BASE[CODCIE1010],EPV_SARAMPION64666972737880818591[[#This Row],[CIE-10]]))</f>
        <v>0</v>
      </c>
      <c r="H50" s="9">
        <f>SUM(EPV_SARAMPION64666972737880818591[[#This Row],[D1]:[D6]])</f>
        <v>0</v>
      </c>
      <c r="J50" t="s">
        <v>93</v>
      </c>
      <c r="K50" s="3" t="s">
        <v>94</v>
      </c>
      <c r="L50" s="3" t="s">
        <v>95</v>
      </c>
      <c r="M50" s="3" t="s">
        <v>96</v>
      </c>
      <c r="N50" s="3" t="s">
        <v>97</v>
      </c>
      <c r="O50" s="3" t="s">
        <v>98</v>
      </c>
      <c r="P50" s="3" t="s">
        <v>99</v>
      </c>
      <c r="Q50" s="8" t="s">
        <v>100</v>
      </c>
      <c r="S50" t="s">
        <v>93</v>
      </c>
      <c r="T50" s="3" t="s">
        <v>94</v>
      </c>
      <c r="U50" s="3" t="s">
        <v>95</v>
      </c>
      <c r="V50" s="3" t="s">
        <v>96</v>
      </c>
      <c r="W50" s="3" t="s">
        <v>97</v>
      </c>
      <c r="X50" s="3" t="s">
        <v>98</v>
      </c>
      <c r="Y50" s="3" t="s">
        <v>99</v>
      </c>
      <c r="Z50" s="8" t="s">
        <v>100</v>
      </c>
      <c r="AB50" t="s">
        <v>93</v>
      </c>
      <c r="AC50" s="3" t="s">
        <v>94</v>
      </c>
      <c r="AD50" s="3" t="s">
        <v>95</v>
      </c>
      <c r="AE50" s="3" t="s">
        <v>96</v>
      </c>
      <c r="AF50" s="3" t="s">
        <v>97</v>
      </c>
      <c r="AG50" s="3" t="s">
        <v>98</v>
      </c>
      <c r="AH50" s="3" t="s">
        <v>99</v>
      </c>
      <c r="AI50" s="8" t="s">
        <v>100</v>
      </c>
    </row>
    <row r="51" spans="1:35" ht="15" customHeight="1">
      <c r="J51" s="4" t="s">
        <v>401</v>
      </c>
      <c r="K51" s="3">
        <f>IF($AK$2="(Todas)",COUNTIF(BASE[CODCIE10],EPV_SARAMPION6466697273788081859296[[#This Row],[CIE-10]]),COUNTIFS(BASE[Cod.Establecimiento],$AK$2,BASE[CODCIE10],EPV_SARAMPION6466697273788081859296[[#This Row],[CIE-10]]))</f>
        <v>0</v>
      </c>
      <c r="L51" s="3">
        <f>IF($AK$2="(Todas)",COUNTIF(BASE[CODCIE102],EPV_SARAMPION6466697273788081859296[[#This Row],[CIE-10]]),COUNTIFS(BASE[Cod.Establecimiento],$AK$2,BASE[CODCIE102],EPV_SARAMPION6466697273788081859296[[#This Row],[CIE-10]]))</f>
        <v>0</v>
      </c>
      <c r="M51" s="3">
        <f>IF($AK$2="(Todas)",COUNTIF(BASE[CODCIE104],EPV_SARAMPION6466697273788081859296[[#This Row],[CIE-10]]),COUNTIFS(BASE[Cod.Establecimiento],$AK$2,BASE[CODCIE104],EPV_SARAMPION6466697273788081859296[[#This Row],[CIE-10]]))</f>
        <v>0</v>
      </c>
      <c r="N51" s="3">
        <f>IF($AK$2="(Todas)",COUNTIF(BASE[CODCIE106],EPV_SARAMPION6466697273788081859296[[#This Row],[CIE-10]]),COUNTIFS(BASE[Cod.Establecimiento],$AK$2,BASE[CODCIE106],EPV_SARAMPION6466697273788081859296[[#This Row],[CIE-10]]))</f>
        <v>0</v>
      </c>
      <c r="O51" s="3">
        <f>IF($AK$2="(Todas)",COUNTIF(BASE[CODCIE108],EPV_SARAMPION6466697273788081859296[[#This Row],[CIE-10]]),COUNTIFS(BASE[Cod.Establecimiento],$AK$2,BASE[CODCIE108],EPV_SARAMPION6466697273788081859296[[#This Row],[CIE-10]]))</f>
        <v>0</v>
      </c>
      <c r="P51" s="3">
        <f>IF($AK$2="(Todas)",COUNTIF(BASE[CODCIE1010],EPV_SARAMPION6466697273788081859296[[#This Row],[CIE-10]]),COUNTIFS(BASE[Cod.Establecimiento],$AK$2,BASE[CODCIE1010],EPV_SARAMPION6466697273788081859296[[#This Row],[CIE-10]]))</f>
        <v>0</v>
      </c>
      <c r="Q51" s="9">
        <f>SUM(EPV_SARAMPION6466697273788081859296[[#This Row],[D1]:[D6]])</f>
        <v>0</v>
      </c>
      <c r="S51" s="4" t="s">
        <v>403</v>
      </c>
      <c r="T51" s="3">
        <f>IF($AK$2="(Todas)",COUNTIF(BASE[CODCIE10],EPV_SARAMPION646669727378808185929697[[#This Row],[CIE-10]]),COUNTIFS(BASE[Cod.Establecimiento],$AK$2,BASE[CODCIE10],EPV_SARAMPION646669727378808185929697[[#This Row],[CIE-10]]))</f>
        <v>0</v>
      </c>
      <c r="U51" s="3">
        <f>IF($AK$2="(Todas)",COUNTIF(BASE[CODCIE102],EPV_SARAMPION646669727378808185929697[[#This Row],[CIE-10]]),COUNTIFS(BASE[Cod.Establecimiento],$AK$2,BASE[CODCIE102],EPV_SARAMPION646669727378808185929697[[#This Row],[CIE-10]]))</f>
        <v>0</v>
      </c>
      <c r="V51" s="3">
        <f>IF($AK$2="(Todas)",COUNTIF(BASE[CODCIE104],EPV_SARAMPION646669727378808185929697[[#This Row],[CIE-10]]),COUNTIFS(BASE[Cod.Establecimiento],$AK$2,BASE[CODCIE104],EPV_SARAMPION646669727378808185929697[[#This Row],[CIE-10]]))</f>
        <v>0</v>
      </c>
      <c r="W51" s="3">
        <f>IF($AK$2="(Todas)",COUNTIF(BASE[CODCIE106],EPV_SARAMPION646669727378808185929697[[#This Row],[CIE-10]]),COUNTIFS(BASE[Cod.Establecimiento],$AK$2,BASE[CODCIE106],EPV_SARAMPION646669727378808185929697[[#This Row],[CIE-10]]))</f>
        <v>0</v>
      </c>
      <c r="X51" s="3">
        <f>IF($AK$2="(Todas)",COUNTIF(BASE[CODCIE108],EPV_SARAMPION646669727378808185929697[[#This Row],[CIE-10]]),COUNTIFS(BASE[Cod.Establecimiento],$AK$2,BASE[CODCIE108],EPV_SARAMPION646669727378808185929697[[#This Row],[CIE-10]]))</f>
        <v>0</v>
      </c>
      <c r="Y51" s="3">
        <f>IF($AK$2="(Todas)",COUNTIF(BASE[CODCIE1010],EPV_SARAMPION646669727378808185929697[[#This Row],[CIE-10]]),COUNTIFS(BASE[Cod.Establecimiento],$AK$2,BASE[CODCIE1010],EPV_SARAMPION646669727378808185929697[[#This Row],[CIE-10]]))</f>
        <v>0</v>
      </c>
      <c r="Z51" s="9">
        <f>SUM(EPV_SARAMPION646669727378808185929697[[#This Row],[D1]:[D6]])</f>
        <v>0</v>
      </c>
      <c r="AB51" s="4" t="s">
        <v>405</v>
      </c>
      <c r="AC51" s="3">
        <f>IF($AK$2="(Todas)",COUNTIF(BASE[CODCIE10],EPV_SARAMPION64666972737880818592969798[[#This Row],[CIE-10]]),COUNTIFS(BASE[Cod.Establecimiento],$AK$2,BASE[CODCIE10],EPV_SARAMPION64666972737880818592969798[[#This Row],[CIE-10]]))</f>
        <v>0</v>
      </c>
      <c r="AD51" s="3">
        <f>IF($AK$2="(Todas)",COUNTIF(BASE[CODCIE102],EPV_SARAMPION64666972737880818592969798[[#This Row],[CIE-10]]),COUNTIFS(BASE[Cod.Establecimiento],$AK$2,BASE[CODCIE102],EPV_SARAMPION64666972737880818592969798[[#This Row],[CIE-10]]))</f>
        <v>0</v>
      </c>
      <c r="AE51" s="3">
        <f>IF($AK$2="(Todas)",COUNTIF(BASE[CODCIE104],EPV_SARAMPION64666972737880818592969798[[#This Row],[CIE-10]]),COUNTIFS(BASE[Cod.Establecimiento],$AK$2,BASE[CODCIE104],EPV_SARAMPION64666972737880818592969798[[#This Row],[CIE-10]]))</f>
        <v>0</v>
      </c>
      <c r="AF51" s="3">
        <f>IF($AK$2="(Todas)",COUNTIF(BASE[CODCIE106],EPV_SARAMPION64666972737880818592969798[[#This Row],[CIE-10]]),COUNTIFS(BASE[Cod.Establecimiento],$AK$2,BASE[CODCIE106],EPV_SARAMPION64666972737880818592969798[[#This Row],[CIE-10]]))</f>
        <v>0</v>
      </c>
      <c r="AG51" s="3">
        <f>IF($AK$2="(Todas)",COUNTIF(BASE[CODCIE108],EPV_SARAMPION64666972737880818592969798[[#This Row],[CIE-10]]),COUNTIFS(BASE[Cod.Establecimiento],$AK$2,BASE[CODCIE108],EPV_SARAMPION64666972737880818592969798[[#This Row],[CIE-10]]))</f>
        <v>0</v>
      </c>
      <c r="AH51" s="3">
        <f>IF($AK$2="(Todas)",COUNTIF(BASE[CODCIE1010],EPV_SARAMPION64666972737880818592969798[[#This Row],[CIE-10]]),COUNTIFS(BASE[Cod.Establecimiento],$AK$2,BASE[CODCIE1010],EPV_SARAMPION64666972737880818592969798[[#This Row],[CIE-10]]))</f>
        <v>0</v>
      </c>
      <c r="AI51" s="9">
        <f>SUM(EPV_SARAMPION64666972737880818592969798[[#This Row],[D1]:[D6]])</f>
        <v>0</v>
      </c>
    </row>
    <row r="52" spans="1:35" ht="15" customHeight="1"/>
    <row r="53" spans="1:35" ht="15" customHeight="1" thickBot="1">
      <c r="A53" s="80" t="s">
        <v>88</v>
      </c>
      <c r="B53" s="80"/>
      <c r="C53" s="80"/>
      <c r="D53" s="80"/>
      <c r="E53" s="80"/>
      <c r="F53" s="80"/>
      <c r="G53" s="80"/>
      <c r="H53" s="80"/>
      <c r="J53" s="80" t="s">
        <v>406</v>
      </c>
      <c r="K53" s="80"/>
      <c r="L53" s="80"/>
      <c r="M53" s="80"/>
      <c r="N53" s="80"/>
      <c r="O53" s="80"/>
      <c r="P53" s="80"/>
      <c r="Q53" s="80"/>
      <c r="S53" s="80" t="s">
        <v>90</v>
      </c>
      <c r="T53" s="80"/>
      <c r="U53" s="80"/>
      <c r="V53" s="80"/>
      <c r="W53" s="80"/>
      <c r="X53" s="80"/>
      <c r="Y53" s="80"/>
      <c r="Z53" s="80"/>
      <c r="AB53" s="80" t="s">
        <v>411</v>
      </c>
      <c r="AC53" s="80"/>
      <c r="AD53" s="80"/>
      <c r="AE53" s="80"/>
      <c r="AF53" s="80"/>
      <c r="AG53" s="80"/>
      <c r="AH53" s="80"/>
      <c r="AI53" s="80"/>
    </row>
    <row r="54" spans="1:35" ht="15" customHeight="1" thickTop="1">
      <c r="A54" s="6" t="str">
        <f>CONCATENATE("TOTAL: ",SUM(B54:G54))</f>
        <v>TOTAL: 0</v>
      </c>
      <c r="B54" s="5">
        <f>SUM(EPV_SARAMPION64666972737880818592969798100[D1])</f>
        <v>0</v>
      </c>
      <c r="C54" s="5">
        <f>SUM(EPV_SARAMPION64666972737880818592969798100[D2])</f>
        <v>0</v>
      </c>
      <c r="D54" s="5">
        <f>SUM(EPV_SARAMPION64666972737880818592969798100[D3])</f>
        <v>0</v>
      </c>
      <c r="E54" s="5">
        <f>SUM(EPV_SARAMPION64666972737880818592969798100[D4])</f>
        <v>0</v>
      </c>
      <c r="F54" s="5">
        <f>SUM(EPV_SARAMPION64666972737880818592969798100[D5])</f>
        <v>0</v>
      </c>
      <c r="G54" s="5">
        <f>SUM(EPV_SARAMPION64666972737880818592969798100[D6])</f>
        <v>0</v>
      </c>
      <c r="H54" s="7"/>
      <c r="J54" s="6" t="str">
        <f>CONCATENATE("TOTAL: ",SUM(K54:P54))</f>
        <v>TOTAL: 0</v>
      </c>
      <c r="K54" s="5">
        <f>SUM(EPV_SARAMPION6466697273788081859296979810068[D1])</f>
        <v>0</v>
      </c>
      <c r="L54" s="5">
        <f>SUM(EPV_SARAMPION6466697273788081859296979810068[D2])</f>
        <v>0</v>
      </c>
      <c r="M54" s="5">
        <f>SUM(EPV_SARAMPION6466697273788081859296979810068[D3])</f>
        <v>0</v>
      </c>
      <c r="N54" s="5">
        <f>SUM(EPV_SARAMPION6466697273788081859296979810068[D4])</f>
        <v>0</v>
      </c>
      <c r="O54" s="5">
        <f>SUM(EPV_SARAMPION6466697273788081859296979810068[D5])</f>
        <v>0</v>
      </c>
      <c r="P54" s="5">
        <f>SUM(EPV_SARAMPION6466697273788081859296979810068[D6])</f>
        <v>0</v>
      </c>
      <c r="Q54" s="7"/>
      <c r="S54" s="6" t="str">
        <f>CONCATENATE("TOTAL: ",SUM(T54:Y54))</f>
        <v>TOTAL: 0</v>
      </c>
      <c r="T54" s="5">
        <f>SUM(EPV_SARAMPION646669727378808185929697981006879[D1])</f>
        <v>0</v>
      </c>
      <c r="U54" s="5">
        <f>SUM(EPV_SARAMPION646669727378808185929697981006879[D2])</f>
        <v>0</v>
      </c>
      <c r="V54" s="5">
        <f>SUM(EPV_SARAMPION646669727378808185929697981006879[D3])</f>
        <v>0</v>
      </c>
      <c r="W54" s="5">
        <f>SUM(EPV_SARAMPION646669727378808185929697981006879[D4])</f>
        <v>0</v>
      </c>
      <c r="X54" s="5">
        <f>SUM(EPV_SARAMPION646669727378808185929697981006879[D5])</f>
        <v>0</v>
      </c>
      <c r="Y54" s="5">
        <f>SUM(EPV_SARAMPION646669727378808185929697981006879[D6])</f>
        <v>0</v>
      </c>
      <c r="Z54" s="7"/>
      <c r="AB54" s="6" t="str">
        <f>CONCATENATE("TOTAL: ",SUM(AC54:AH54))</f>
        <v>TOTAL: 0</v>
      </c>
      <c r="AC54" s="5">
        <f>SUM(EPV_SARAMPION64666972737880818592969798100687993[D1])</f>
        <v>0</v>
      </c>
      <c r="AD54" s="5">
        <f>SUM(EPV_SARAMPION64666972737880818592969798100687993[D2])</f>
        <v>0</v>
      </c>
      <c r="AE54" s="5">
        <f>SUM(EPV_SARAMPION64666972737880818592969798100687993[D3])</f>
        <v>0</v>
      </c>
      <c r="AF54" s="5">
        <f>SUM(EPV_SARAMPION64666972737880818592969798100687993[D4])</f>
        <v>0</v>
      </c>
      <c r="AG54" s="5">
        <f>SUM(EPV_SARAMPION64666972737880818592969798100687993[D5])</f>
        <v>0</v>
      </c>
      <c r="AH54" s="5">
        <f>SUM(EPV_SARAMPION64666972737880818592969798100687993[D6])</f>
        <v>0</v>
      </c>
      <c r="AI54" s="7"/>
    </row>
    <row r="55" spans="1:35" ht="15" customHeight="1">
      <c r="A55" t="s">
        <v>93</v>
      </c>
      <c r="B55" s="3" t="s">
        <v>94</v>
      </c>
      <c r="C55" s="3" t="s">
        <v>95</v>
      </c>
      <c r="D55" s="3" t="s">
        <v>96</v>
      </c>
      <c r="E55" s="3" t="s">
        <v>97</v>
      </c>
      <c r="F55" s="3" t="s">
        <v>98</v>
      </c>
      <c r="G55" s="3" t="s">
        <v>99</v>
      </c>
      <c r="H55" s="8" t="s">
        <v>100</v>
      </c>
      <c r="J55" t="s">
        <v>93</v>
      </c>
      <c r="K55" s="3" t="s">
        <v>94</v>
      </c>
      <c r="L55" s="3" t="s">
        <v>95</v>
      </c>
      <c r="M55" s="3" t="s">
        <v>96</v>
      </c>
      <c r="N55" s="3" t="s">
        <v>97</v>
      </c>
      <c r="O55" s="3" t="s">
        <v>98</v>
      </c>
      <c r="P55" s="3" t="s">
        <v>99</v>
      </c>
      <c r="Q55" s="8" t="s">
        <v>100</v>
      </c>
      <c r="S55" t="s">
        <v>93</v>
      </c>
      <c r="T55" s="3" t="s">
        <v>94</v>
      </c>
      <c r="U55" s="3" t="s">
        <v>95</v>
      </c>
      <c r="V55" s="3" t="s">
        <v>96</v>
      </c>
      <c r="W55" s="3" t="s">
        <v>97</v>
      </c>
      <c r="X55" s="3" t="s">
        <v>98</v>
      </c>
      <c r="Y55" s="3" t="s">
        <v>99</v>
      </c>
      <c r="Z55" s="8" t="s">
        <v>100</v>
      </c>
      <c r="AB55" t="s">
        <v>93</v>
      </c>
      <c r="AC55" s="3" t="s">
        <v>94</v>
      </c>
      <c r="AD55" s="3" t="s">
        <v>95</v>
      </c>
      <c r="AE55" s="3" t="s">
        <v>96</v>
      </c>
      <c r="AF55" s="3" t="s">
        <v>97</v>
      </c>
      <c r="AG55" s="3" t="s">
        <v>98</v>
      </c>
      <c r="AH55" s="3" t="s">
        <v>99</v>
      </c>
      <c r="AI55" s="8" t="s">
        <v>100</v>
      </c>
    </row>
    <row r="56" spans="1:35" ht="15" customHeight="1">
      <c r="A56" s="4" t="s">
        <v>120</v>
      </c>
      <c r="B56" s="3">
        <f>IF($AK$2="(Todas)",COUNTIF(BASE[CODCIE10],EPV_SARAMPION64666972737880818592969798100[[#This Row],[CIE-10]]),COUNTIFS(BASE[Cod.Establecimiento],$AK$2,BASE[CODCIE10],EPV_SARAMPION64666972737880818592969798100[[#This Row],[CIE-10]]))</f>
        <v>0</v>
      </c>
      <c r="C56" s="3">
        <f>IF($AK$2="(Todas)",COUNTIF(BASE[CODCIE102],EPV_SARAMPION64666972737880818592969798100[[#This Row],[CIE-10]]),COUNTIFS(BASE[Cod.Establecimiento],$AK$2,BASE[CODCIE102],EPV_SARAMPION64666972737880818592969798100[[#This Row],[CIE-10]]))</f>
        <v>0</v>
      </c>
      <c r="D56" s="3">
        <f>IF($AK$2="(Todas)",COUNTIF(BASE[CODCIE104],EPV_SARAMPION64666972737880818592969798100[[#This Row],[CIE-10]]),COUNTIFS(BASE[Cod.Establecimiento],$AK$2,BASE[CODCIE104],EPV_SARAMPION64666972737880818592969798100[[#This Row],[CIE-10]]))</f>
        <v>0</v>
      </c>
      <c r="E56" s="3">
        <f>IF($AK$2="(Todas)",COUNTIF(BASE[CODCIE106],EPV_SARAMPION64666972737880818592969798100[[#This Row],[CIE-10]]),COUNTIFS(BASE[Cod.Establecimiento],$AK$2,BASE[CODCIE106],EPV_SARAMPION64666972737880818592969798100[[#This Row],[CIE-10]]))</f>
        <v>0</v>
      </c>
      <c r="F56" s="3">
        <f>IF($AK$2="(Todas)",COUNTIF(BASE[CODCIE108],EPV_SARAMPION64666972737880818592969798100[[#This Row],[CIE-10]]),COUNTIFS(BASE[Cod.Establecimiento],$AK$2,BASE[CODCIE108],EPV_SARAMPION64666972737880818592969798100[[#This Row],[CIE-10]]))</f>
        <v>0</v>
      </c>
      <c r="G56" s="3">
        <f>IF($AK$2="(Todas)",COUNTIF(BASE[CODCIE1010],EPV_SARAMPION64666972737880818592969798100[[#This Row],[CIE-10]]),COUNTIFS(BASE[Cod.Establecimiento],$AK$2,BASE[CODCIE1010],EPV_SARAMPION64666972737880818592969798100[[#This Row],[CIE-10]]))</f>
        <v>0</v>
      </c>
      <c r="H56" s="9">
        <f>SUM(EPV_SARAMPION64666972737880818592969798100[[#This Row],[D1]:[D6]])</f>
        <v>0</v>
      </c>
      <c r="J56" s="4" t="s">
        <v>124</v>
      </c>
      <c r="K56" s="3">
        <f>IF($AK$2="(Todas)",COUNTIF(BASE[CODCIE10],EPV_SARAMPION6466697273788081859296979810068[[#This Row],[CIE-10]]),COUNTIFS(BASE[Cod.Establecimiento],$AK$2,BASE[CODCIE10],EPV_SARAMPION6466697273788081859296979810068[[#This Row],[CIE-10]]))</f>
        <v>0</v>
      </c>
      <c r="L56" s="3">
        <f>IF($AK$2="(Todas)",COUNTIF(BASE[CODCIE102],EPV_SARAMPION6466697273788081859296979810068[[#This Row],[CIE-10]]),COUNTIFS(BASE[Cod.Establecimiento],$AK$2,BASE[CODCIE102],EPV_SARAMPION6466697273788081859296979810068[[#This Row],[CIE-10]]))</f>
        <v>0</v>
      </c>
      <c r="M56" s="3">
        <f>IF($AK$2="(Todas)",COUNTIF(BASE[CODCIE104],EPV_SARAMPION6466697273788081859296979810068[[#This Row],[CIE-10]]),COUNTIFS(BASE[Cod.Establecimiento],$AK$2,BASE[CODCIE104],EPV_SARAMPION6466697273788081859296979810068[[#This Row],[CIE-10]]))</f>
        <v>0</v>
      </c>
      <c r="N56" s="3">
        <f>IF($AK$2="(Todas)",COUNTIF(BASE[CODCIE106],EPV_SARAMPION6466697273788081859296979810068[[#This Row],[CIE-10]]),COUNTIFS(BASE[Cod.Establecimiento],$AK$2,BASE[CODCIE106],EPV_SARAMPION6466697273788081859296979810068[[#This Row],[CIE-10]]))</f>
        <v>0</v>
      </c>
      <c r="O56" s="3">
        <f>IF($AK$2="(Todas)",COUNTIF(BASE[CODCIE108],EPV_SARAMPION6466697273788081859296979810068[[#This Row],[CIE-10]]),COUNTIFS(BASE[Cod.Establecimiento],$AK$2,BASE[CODCIE108],EPV_SARAMPION6466697273788081859296979810068[[#This Row],[CIE-10]]))</f>
        <v>0</v>
      </c>
      <c r="P56" s="3">
        <f>IF($AK$2="(Todas)",COUNTIF(BASE[CODCIE1010],EPV_SARAMPION6466697273788081859296979810068[[#This Row],[CIE-10]]),COUNTIFS(BASE[Cod.Establecimiento],$AK$2,BASE[CODCIE1010],EPV_SARAMPION6466697273788081859296979810068[[#This Row],[CIE-10]]))</f>
        <v>0</v>
      </c>
      <c r="Q56" s="9">
        <f>SUM(EPV_SARAMPION6466697273788081859296979810068[[#This Row],[D1]:[D6]])</f>
        <v>0</v>
      </c>
      <c r="S56" s="4" t="s">
        <v>121</v>
      </c>
      <c r="T56" s="3">
        <f>IF($AK$2="(Todas)",COUNTIF(BASE[CODCIE10],EPV_SARAMPION646669727378808185929697981006879[[#This Row],[CIE-10]]),COUNTIFS(BASE[Cod.Establecimiento],$AK$2,BASE[CODCIE10],EPV_SARAMPION646669727378808185929697981006879[[#This Row],[CIE-10]]))</f>
        <v>0</v>
      </c>
      <c r="U56" s="3">
        <f>IF($AK$2="(Todas)",COUNTIF(BASE[CODCIE102],EPV_SARAMPION646669727378808185929697981006879[[#This Row],[CIE-10]]),COUNTIFS(BASE[Cod.Establecimiento],$AK$2,BASE[CODCIE102],EPV_SARAMPION646669727378808185929697981006879[[#This Row],[CIE-10]]))</f>
        <v>0</v>
      </c>
      <c r="V56" s="3">
        <f>IF($AK$2="(Todas)",COUNTIF(BASE[CODCIE104],EPV_SARAMPION646669727378808185929697981006879[[#This Row],[CIE-10]]),COUNTIFS(BASE[Cod.Establecimiento],$AK$2,BASE[CODCIE104],EPV_SARAMPION646669727378808185929697981006879[[#This Row],[CIE-10]]))</f>
        <v>0</v>
      </c>
      <c r="W56" s="3">
        <f>IF($AK$2="(Todas)",COUNTIF(BASE[CODCIE106],EPV_SARAMPION646669727378808185929697981006879[[#This Row],[CIE-10]]),COUNTIFS(BASE[Cod.Establecimiento],$AK$2,BASE[CODCIE106],EPV_SARAMPION646669727378808185929697981006879[[#This Row],[CIE-10]]))</f>
        <v>0</v>
      </c>
      <c r="X56" s="3">
        <f>IF($AK$2="(Todas)",COUNTIF(BASE[CODCIE108],EPV_SARAMPION646669727378808185929697981006879[[#This Row],[CIE-10]]),COUNTIFS(BASE[Cod.Establecimiento],$AK$2,BASE[CODCIE108],EPV_SARAMPION646669727378808185929697981006879[[#This Row],[CIE-10]]))</f>
        <v>0</v>
      </c>
      <c r="Y56" s="3">
        <f>IF($AK$2="(Todas)",COUNTIF(BASE[CODCIE1010],EPV_SARAMPION646669727378808185929697981006879[[#This Row],[CIE-10]]),COUNTIFS(BASE[Cod.Establecimiento],$AK$2,BASE[CODCIE1010],EPV_SARAMPION646669727378808185929697981006879[[#This Row],[CIE-10]]))</f>
        <v>0</v>
      </c>
      <c r="Z56" s="9">
        <f>SUM(EPV_SARAMPION646669727378808185929697981006879[[#This Row],[D1]:[D6]])</f>
        <v>0</v>
      </c>
      <c r="AB56" s="4" t="s">
        <v>412</v>
      </c>
      <c r="AC56" s="3">
        <f>IF($AK$2="(Todas)",COUNTIF(BASE[CODCIE10],EPV_SARAMPION64666972737880818592969798100687993[[#This Row],[CIE-10]]),COUNTIFS(BASE[Cod.Establecimiento],$AK$2,BASE[CODCIE10],EPV_SARAMPION64666972737880818592969798100687993[[#This Row],[CIE-10]]))</f>
        <v>0</v>
      </c>
      <c r="AD56" s="3">
        <f>IF($AK$2="(Todas)",COUNTIF(BASE[CODCIE102],EPV_SARAMPION64666972737880818592969798100687993[[#This Row],[CIE-10]]),COUNTIFS(BASE[Cod.Establecimiento],$AK$2,BASE[CODCIE102],EPV_SARAMPION64666972737880818592969798100687993[[#This Row],[CIE-10]]))</f>
        <v>0</v>
      </c>
      <c r="AE56" s="3">
        <f>IF($AK$2="(Todas)",COUNTIF(BASE[CODCIE104],EPV_SARAMPION64666972737880818592969798100687993[[#This Row],[CIE-10]]),COUNTIFS(BASE[Cod.Establecimiento],$AK$2,BASE[CODCIE104],EPV_SARAMPION64666972737880818592969798100687993[[#This Row],[CIE-10]]))</f>
        <v>0</v>
      </c>
      <c r="AF56" s="3">
        <f>IF($AK$2="(Todas)",COUNTIF(BASE[CODCIE106],EPV_SARAMPION64666972737880818592969798100687993[[#This Row],[CIE-10]]),COUNTIFS(BASE[Cod.Establecimiento],$AK$2,BASE[CODCIE106],EPV_SARAMPION64666972737880818592969798100687993[[#This Row],[CIE-10]]))</f>
        <v>0</v>
      </c>
      <c r="AG56" s="3">
        <f>IF($AK$2="(Todas)",COUNTIF(BASE[CODCIE108],EPV_SARAMPION64666972737880818592969798100687993[[#This Row],[CIE-10]]),COUNTIFS(BASE[Cod.Establecimiento],$AK$2,BASE[CODCIE108],EPV_SARAMPION64666972737880818592969798100687993[[#This Row],[CIE-10]]))</f>
        <v>0</v>
      </c>
      <c r="AH56" s="3">
        <f>IF($AK$2="(Todas)",COUNTIF(BASE[CODCIE1010],EPV_SARAMPION64666972737880818592969798100687993[[#This Row],[CIE-10]]),COUNTIFS(BASE[Cod.Establecimiento],$AK$2,BASE[CODCIE1010],EPV_SARAMPION64666972737880818592969798100687993[[#This Row],[CIE-10]]))</f>
        <v>0</v>
      </c>
      <c r="AI56" s="9">
        <f>SUM(EPV_SARAMPION64666972737880818592969798100687993[[#This Row],[D1]:[D6]])</f>
        <v>0</v>
      </c>
    </row>
    <row r="57" spans="1:35" ht="15" customHeight="1"/>
    <row r="58" spans="1:35" ht="15" customHeight="1" thickBot="1">
      <c r="A58" s="80" t="s">
        <v>407</v>
      </c>
      <c r="B58" s="80"/>
      <c r="C58" s="80"/>
      <c r="D58" s="80"/>
      <c r="E58" s="80"/>
      <c r="F58" s="80"/>
      <c r="G58" s="80"/>
      <c r="H58" s="80"/>
      <c r="J58" s="80" t="s">
        <v>408</v>
      </c>
      <c r="K58" s="80"/>
      <c r="L58" s="80"/>
      <c r="M58" s="80"/>
      <c r="N58" s="80"/>
      <c r="O58" s="80"/>
      <c r="P58" s="80"/>
      <c r="Q58" s="80"/>
      <c r="S58" s="80" t="s">
        <v>128</v>
      </c>
      <c r="T58" s="80"/>
      <c r="U58" s="80"/>
      <c r="V58" s="80"/>
      <c r="W58" s="80"/>
      <c r="X58" s="80"/>
      <c r="Y58" s="80"/>
      <c r="Z58" s="80"/>
      <c r="AB58" s="80" t="s">
        <v>413</v>
      </c>
      <c r="AC58" s="80"/>
      <c r="AD58" s="80"/>
      <c r="AE58" s="80"/>
      <c r="AF58" s="80"/>
      <c r="AG58" s="80"/>
      <c r="AH58" s="80"/>
      <c r="AI58" s="80"/>
    </row>
    <row r="59" spans="1:35" ht="15" customHeight="1" thickTop="1">
      <c r="A59" s="6" t="str">
        <f>CONCATENATE("TOTAL: ",SUM(B59:G59))</f>
        <v>TOTAL: 0</v>
      </c>
      <c r="B59" s="5">
        <f>SUM(EPV_SARAMPION64666972737880818592969798100687989[D1])</f>
        <v>0</v>
      </c>
      <c r="C59" s="5">
        <f>SUM(EPV_SARAMPION64666972737880818592969798100687989[D2])</f>
        <v>0</v>
      </c>
      <c r="D59" s="5">
        <f>SUM(EPV_SARAMPION64666972737880818592969798100687989[D3])</f>
        <v>0</v>
      </c>
      <c r="E59" s="5">
        <f>SUM(EPV_SARAMPION64666972737880818592969798100687989[D4])</f>
        <v>0</v>
      </c>
      <c r="F59" s="5">
        <f>SUM(EPV_SARAMPION64666972737880818592969798100687989[D5])</f>
        <v>0</v>
      </c>
      <c r="G59" s="5">
        <f>SUM(EPV_SARAMPION64666972737880818592969798100687989[D6])</f>
        <v>0</v>
      </c>
      <c r="H59" s="7"/>
      <c r="J59" s="6" t="str">
        <f>CONCATENATE("TOTAL: ",SUM(K59:P59))</f>
        <v>TOTAL: 0</v>
      </c>
      <c r="K59" s="5">
        <f>SUM(EPV_SARAMPION646669727378808185929697981006890[D1])</f>
        <v>0</v>
      </c>
      <c r="L59" s="5">
        <f>SUM(EPV_SARAMPION646669727378808185929697981006890[D2])</f>
        <v>0</v>
      </c>
      <c r="M59" s="5">
        <f>SUM(EPV_SARAMPION646669727378808185929697981006890[D3])</f>
        <v>0</v>
      </c>
      <c r="N59" s="5">
        <f>SUM(EPV_SARAMPION646669727378808185929697981006890[D4])</f>
        <v>0</v>
      </c>
      <c r="O59" s="5">
        <f>SUM(EPV_SARAMPION646669727378808185929697981006890[D5])</f>
        <v>0</v>
      </c>
      <c r="P59" s="5">
        <f>SUM(EPV_SARAMPION646669727378808185929697981006890[D6])</f>
        <v>0</v>
      </c>
      <c r="Q59" s="7"/>
      <c r="S59" s="6" t="str">
        <f>CONCATENATE("TOTAL: ",SUM(T59:Y59))</f>
        <v>TOTAL: 0</v>
      </c>
      <c r="T59" s="5">
        <f>SUM(EPV_SARAMPION6466697273788081859296979810068799399[D1])</f>
        <v>0</v>
      </c>
      <c r="U59" s="5">
        <f>SUM(EPV_SARAMPION6466697273788081859296979810068799399[D2])</f>
        <v>0</v>
      </c>
      <c r="V59" s="5">
        <f>SUM(EPV_SARAMPION6466697273788081859296979810068799399[D3])</f>
        <v>0</v>
      </c>
      <c r="W59" s="5">
        <f>SUM(EPV_SARAMPION6466697273788081859296979810068799399[D4])</f>
        <v>0</v>
      </c>
      <c r="X59" s="5">
        <f>SUM(EPV_SARAMPION6466697273788081859296979810068799399[D5])</f>
        <v>0</v>
      </c>
      <c r="Y59" s="5">
        <f>SUM(EPV_SARAMPION6466697273788081859296979810068799399[D6])</f>
        <v>0</v>
      </c>
      <c r="Z59" s="7"/>
      <c r="AB59" s="6" t="str">
        <f>CONCATENATE("TOTAL: ",SUM(AC59:AH59))</f>
        <v>TOTAL: 0</v>
      </c>
      <c r="AC59" s="5">
        <f>SUM(EPV_SARAMPION6466697273788081859296979810068799399101[D1])</f>
        <v>0</v>
      </c>
      <c r="AD59" s="5">
        <f>SUM(EPV_SARAMPION6466697273788081859296979810068799399101[D2])</f>
        <v>0</v>
      </c>
      <c r="AE59" s="5">
        <f>SUM(EPV_SARAMPION6466697273788081859296979810068799399101[D3])</f>
        <v>0</v>
      </c>
      <c r="AF59" s="5">
        <f>SUM(EPV_SARAMPION6466697273788081859296979810068799399101[D4])</f>
        <v>0</v>
      </c>
      <c r="AG59" s="5">
        <f>SUM(EPV_SARAMPION6466697273788081859296979810068799399101[D5])</f>
        <v>0</v>
      </c>
      <c r="AH59" s="5">
        <f>SUM(EPV_SARAMPION6466697273788081859296979810068799399101[D6])</f>
        <v>0</v>
      </c>
      <c r="AI59" s="7"/>
    </row>
    <row r="60" spans="1:35" ht="15" customHeight="1">
      <c r="A60" t="s">
        <v>93</v>
      </c>
      <c r="B60" s="3" t="s">
        <v>94</v>
      </c>
      <c r="C60" s="3" t="s">
        <v>95</v>
      </c>
      <c r="D60" s="3" t="s">
        <v>96</v>
      </c>
      <c r="E60" s="3" t="s">
        <v>97</v>
      </c>
      <c r="F60" s="3" t="s">
        <v>98</v>
      </c>
      <c r="G60" s="3" t="s">
        <v>99</v>
      </c>
      <c r="H60" s="8" t="s">
        <v>100</v>
      </c>
      <c r="J60" t="s">
        <v>93</v>
      </c>
      <c r="K60" s="3" t="s">
        <v>94</v>
      </c>
      <c r="L60" s="3" t="s">
        <v>95</v>
      </c>
      <c r="M60" s="3" t="s">
        <v>96</v>
      </c>
      <c r="N60" s="3" t="s">
        <v>97</v>
      </c>
      <c r="O60" s="3" t="s">
        <v>98</v>
      </c>
      <c r="P60" s="3" t="s">
        <v>99</v>
      </c>
      <c r="Q60" s="8" t="s">
        <v>100</v>
      </c>
      <c r="S60" t="s">
        <v>93</v>
      </c>
      <c r="T60" s="3" t="s">
        <v>94</v>
      </c>
      <c r="U60" s="3" t="s">
        <v>95</v>
      </c>
      <c r="V60" s="3" t="s">
        <v>96</v>
      </c>
      <c r="W60" s="3" t="s">
        <v>97</v>
      </c>
      <c r="X60" s="3" t="s">
        <v>98</v>
      </c>
      <c r="Y60" s="3" t="s">
        <v>99</v>
      </c>
      <c r="Z60" s="8" t="s">
        <v>100</v>
      </c>
      <c r="AB60" t="s">
        <v>93</v>
      </c>
      <c r="AC60" s="3" t="s">
        <v>94</v>
      </c>
      <c r="AD60" s="3" t="s">
        <v>95</v>
      </c>
      <c r="AE60" s="3" t="s">
        <v>96</v>
      </c>
      <c r="AF60" s="3" t="s">
        <v>97</v>
      </c>
      <c r="AG60" s="3" t="s">
        <v>98</v>
      </c>
      <c r="AH60" s="3" t="s">
        <v>99</v>
      </c>
      <c r="AI60" s="8" t="s">
        <v>100</v>
      </c>
    </row>
    <row r="61" spans="1:35" ht="15" customHeight="1">
      <c r="A61" s="4" t="s">
        <v>262</v>
      </c>
      <c r="B61" s="3">
        <f>IF($AK$2="(Todas)",COUNTIF(BASE[CODCIE10],EPV_SARAMPION64666972737880818592969798100687989[[#This Row],[CIE-10]]),COUNTIFS(BASE[Cod.Establecimiento],$AK$2,BASE[CODCIE10],EPV_SARAMPION64666972737880818592969798100687989[[#This Row],[CIE-10]]))</f>
        <v>0</v>
      </c>
      <c r="C61" s="3">
        <f>IF($AK$2="(Todas)",COUNTIF(BASE[CODCIE102],EPV_SARAMPION64666972737880818592969798100687989[[#This Row],[CIE-10]]),COUNTIFS(BASE[Cod.Establecimiento],$AK$2,BASE[CODCIE102],EPV_SARAMPION64666972737880818592969798100687989[[#This Row],[CIE-10]]))</f>
        <v>0</v>
      </c>
      <c r="D61" s="3">
        <f>IF($AK$2="(Todas)",COUNTIF(BASE[CODCIE104],EPV_SARAMPION64666972737880818592969798100687989[[#This Row],[CIE-10]]),COUNTIFS(BASE[Cod.Establecimiento],$AK$2,BASE[CODCIE104],EPV_SARAMPION64666972737880818592969798100687989[[#This Row],[CIE-10]]))</f>
        <v>0</v>
      </c>
      <c r="E61" s="3">
        <f>IF($AK$2="(Todas)",COUNTIF(BASE[CODCIE106],EPV_SARAMPION64666972737880818592969798100687989[[#This Row],[CIE-10]]),COUNTIFS(BASE[Cod.Establecimiento],$AK$2,BASE[CODCIE106],EPV_SARAMPION64666972737880818592969798100687989[[#This Row],[CIE-10]]))</f>
        <v>0</v>
      </c>
      <c r="F61" s="3">
        <f>IF($AK$2="(Todas)",COUNTIF(BASE[CODCIE108],EPV_SARAMPION64666972737880818592969798100687989[[#This Row],[CIE-10]]),COUNTIFS(BASE[Cod.Establecimiento],$AK$2,BASE[CODCIE108],EPV_SARAMPION64666972737880818592969798100687989[[#This Row],[CIE-10]]))</f>
        <v>0</v>
      </c>
      <c r="G61" s="3">
        <f>IF($AK$2="(Todas)",COUNTIF(BASE[CODCIE1010],EPV_SARAMPION64666972737880818592969798100687989[[#This Row],[CIE-10]]),COUNTIFS(BASE[Cod.Establecimiento],$AK$2,BASE[CODCIE1010],EPV_SARAMPION64666972737880818592969798100687989[[#This Row],[CIE-10]]))</f>
        <v>0</v>
      </c>
      <c r="H61" s="9">
        <f>SUM(EPV_SARAMPION64666972737880818592969798100687989[[#This Row],[D1]:[D6]])</f>
        <v>0</v>
      </c>
      <c r="J61" s="4" t="s">
        <v>410</v>
      </c>
      <c r="K61" s="3">
        <f>IF($AK$2="(Todas)",COUNTIF(BASE[CODCIE10],EPV_SARAMPION646669727378808185929697981006890[[#This Row],[CIE-10]]),COUNTIFS(BASE[Cod.Establecimiento],$AK$2,BASE[CODCIE10],EPV_SARAMPION646669727378808185929697981006890[[#This Row],[CIE-10]]))</f>
        <v>0</v>
      </c>
      <c r="L61" s="3">
        <f>IF($AK$2="(Todas)",COUNTIF(BASE[CODCIE102],EPV_SARAMPION646669727378808185929697981006890[[#This Row],[CIE-10]]),COUNTIFS(BASE[Cod.Establecimiento],$AK$2,BASE[CODCIE102],EPV_SARAMPION646669727378808185929697981006890[[#This Row],[CIE-10]]))</f>
        <v>0</v>
      </c>
      <c r="M61" s="3">
        <f>IF($AK$2="(Todas)",COUNTIF(BASE[CODCIE104],EPV_SARAMPION646669727378808185929697981006890[[#This Row],[CIE-10]]),COUNTIFS(BASE[Cod.Establecimiento],$AK$2,BASE[CODCIE104],EPV_SARAMPION646669727378808185929697981006890[[#This Row],[CIE-10]]))</f>
        <v>0</v>
      </c>
      <c r="N61" s="3">
        <f>IF($AK$2="(Todas)",COUNTIF(BASE[CODCIE106],EPV_SARAMPION646669727378808185929697981006890[[#This Row],[CIE-10]]),COUNTIFS(BASE[Cod.Establecimiento],$AK$2,BASE[CODCIE106],EPV_SARAMPION646669727378808185929697981006890[[#This Row],[CIE-10]]))</f>
        <v>0</v>
      </c>
      <c r="O61" s="3">
        <f>IF($AK$2="(Todas)",COUNTIF(BASE[CODCIE108],EPV_SARAMPION646669727378808185929697981006890[[#This Row],[CIE-10]]),COUNTIFS(BASE[Cod.Establecimiento],$AK$2,BASE[CODCIE108],EPV_SARAMPION646669727378808185929697981006890[[#This Row],[CIE-10]]))</f>
        <v>0</v>
      </c>
      <c r="P61" s="3">
        <f>IF($AK$2="(Todas)",COUNTIF(BASE[CODCIE1010],EPV_SARAMPION646669727378808185929697981006890[[#This Row],[CIE-10]]),COUNTIFS(BASE[Cod.Establecimiento],$AK$2,BASE[CODCIE1010],EPV_SARAMPION646669727378808185929697981006890[[#This Row],[CIE-10]]))</f>
        <v>0</v>
      </c>
      <c r="Q61" s="9">
        <f>SUM(EPV_SARAMPION646669727378808185929697981006890[[#This Row],[D1]:[D6]])</f>
        <v>0</v>
      </c>
      <c r="S61" s="4" t="s">
        <v>132</v>
      </c>
      <c r="T61" s="3">
        <f>IF($AK$2="(Todas)",COUNTIF(BASE[CODCIE10],EPV_SARAMPION6466697273788081859296979810068799399[[#This Row],[CIE-10]]),COUNTIFS(BASE[Cod.Establecimiento],$AK$2,BASE[CODCIE10],EPV_SARAMPION6466697273788081859296979810068799399[[#This Row],[CIE-10]]))</f>
        <v>0</v>
      </c>
      <c r="U61" s="3">
        <f>IF($AK$2="(Todas)",COUNTIF(BASE[CODCIE102],EPV_SARAMPION6466697273788081859296979810068799399[[#This Row],[CIE-10]]),COUNTIFS(BASE[Cod.Establecimiento],$AK$2,BASE[CODCIE102],EPV_SARAMPION6466697273788081859296979810068799399[[#This Row],[CIE-10]]))</f>
        <v>0</v>
      </c>
      <c r="V61" s="3">
        <f>IF($AK$2="(Todas)",COUNTIF(BASE[CODCIE104],EPV_SARAMPION6466697273788081859296979810068799399[[#This Row],[CIE-10]]),COUNTIFS(BASE[Cod.Establecimiento],$AK$2,BASE[CODCIE104],EPV_SARAMPION6466697273788081859296979810068799399[[#This Row],[CIE-10]]))</f>
        <v>0</v>
      </c>
      <c r="W61" s="3">
        <f>IF($AK$2="(Todas)",COUNTIF(BASE[CODCIE106],EPV_SARAMPION6466697273788081859296979810068799399[[#This Row],[CIE-10]]),COUNTIFS(BASE[Cod.Establecimiento],$AK$2,BASE[CODCIE106],EPV_SARAMPION6466697273788081859296979810068799399[[#This Row],[CIE-10]]))</f>
        <v>0</v>
      </c>
      <c r="X61" s="3">
        <f>IF($AK$2="(Todas)",COUNTIF(BASE[CODCIE108],EPV_SARAMPION6466697273788081859296979810068799399[[#This Row],[CIE-10]]),COUNTIFS(BASE[Cod.Establecimiento],$AK$2,BASE[CODCIE108],EPV_SARAMPION6466697273788081859296979810068799399[[#This Row],[CIE-10]]))</f>
        <v>0</v>
      </c>
      <c r="Y61" s="3">
        <f>IF($AK$2="(Todas)",COUNTIF(BASE[CODCIE1010],EPV_SARAMPION6466697273788081859296979810068799399[[#This Row],[CIE-10]]),COUNTIFS(BASE[Cod.Establecimiento],$AK$2,BASE[CODCIE1010],EPV_SARAMPION6466697273788081859296979810068799399[[#This Row],[CIE-10]]))</f>
        <v>0</v>
      </c>
      <c r="Z61" s="9">
        <f>SUM(EPV_SARAMPION6466697273788081859296979810068799399[[#This Row],[D1]:[D6]])</f>
        <v>0</v>
      </c>
      <c r="AB61" s="4" t="s">
        <v>415</v>
      </c>
      <c r="AC61" s="3">
        <f>IF($AK$2="(Todas)",COUNTIF(BASE[CODCIE10],EPV_SARAMPION6466697273788081859296979810068799399101[[#This Row],[CIE-10]]),COUNTIFS(BASE[Cod.Establecimiento],$AK$2,BASE[CODCIE10],EPV_SARAMPION6466697273788081859296979810068799399101[[#This Row],[CIE-10]]))</f>
        <v>0</v>
      </c>
      <c r="AD61" s="3">
        <f>IF($AK$2="(Todas)",COUNTIF(BASE[CODCIE102],EPV_SARAMPION6466697273788081859296979810068799399101[[#This Row],[CIE-10]]),COUNTIFS(BASE[Cod.Establecimiento],$AK$2,BASE[CODCIE102],EPV_SARAMPION6466697273788081859296979810068799399101[[#This Row],[CIE-10]]))</f>
        <v>0</v>
      </c>
      <c r="AE61" s="3">
        <f>IF($AK$2="(Todas)",COUNTIF(BASE[CODCIE104],EPV_SARAMPION6466697273788081859296979810068799399101[[#This Row],[CIE-10]]),COUNTIFS(BASE[Cod.Establecimiento],$AK$2,BASE[CODCIE104],EPV_SARAMPION6466697273788081859296979810068799399101[[#This Row],[CIE-10]]))</f>
        <v>0</v>
      </c>
      <c r="AF61" s="3">
        <f>IF($AK$2="(Todas)",COUNTIF(BASE[CODCIE106],EPV_SARAMPION6466697273788081859296979810068799399101[[#This Row],[CIE-10]]),COUNTIFS(BASE[Cod.Establecimiento],$AK$2,BASE[CODCIE106],EPV_SARAMPION6466697273788081859296979810068799399101[[#This Row],[CIE-10]]))</f>
        <v>0</v>
      </c>
      <c r="AG61" s="3">
        <f>IF($AK$2="(Todas)",COUNTIF(BASE[CODCIE108],EPV_SARAMPION6466697273788081859296979810068799399101[[#This Row],[CIE-10]]),COUNTIFS(BASE[Cod.Establecimiento],$AK$2,BASE[CODCIE108],EPV_SARAMPION6466697273788081859296979810068799399101[[#This Row],[CIE-10]]))</f>
        <v>0</v>
      </c>
      <c r="AH61" s="3">
        <f>IF($AK$2="(Todas)",COUNTIF(BASE[CODCIE1010],EPV_SARAMPION6466697273788081859296979810068799399101[[#This Row],[CIE-10]]),COUNTIFS(BASE[Cod.Establecimiento],$AK$2,BASE[CODCIE1010],EPV_SARAMPION6466697273788081859296979810068799399101[[#This Row],[CIE-10]]))</f>
        <v>0</v>
      </c>
      <c r="AI61" s="9">
        <f>SUM(EPV_SARAMPION6466697273788081859296979810068799399101[[#This Row],[D1]:[D6]])</f>
        <v>0</v>
      </c>
    </row>
    <row r="62" spans="1:35" ht="15" customHeight="1">
      <c r="A62" s="32" t="s">
        <v>265</v>
      </c>
      <c r="B62" s="3">
        <f>IF($AK$2="(Todas)",COUNTIF(BASE[CODCIE10],EPV_SARAMPION64666972737880818592969798100687989[[#This Row],[CIE-10]]),COUNTIFS(BASE[Cod.Establecimiento],$AK$2,BASE[CODCIE10],EPV_SARAMPION64666972737880818592969798100687989[[#This Row],[CIE-10]]))</f>
        <v>0</v>
      </c>
      <c r="C62" s="3">
        <f>IF($AK$2="(Todas)",COUNTIF(BASE[CODCIE102],EPV_SARAMPION64666972737880818592969798100687989[[#This Row],[CIE-10]]),COUNTIFS(BASE[Cod.Establecimiento],$AK$2,BASE[CODCIE102],EPV_SARAMPION64666972737880818592969798100687989[[#This Row],[CIE-10]]))</f>
        <v>0</v>
      </c>
      <c r="D62" s="3">
        <f>IF($AK$2="(Todas)",COUNTIF(BASE[CODCIE104],EPV_SARAMPION64666972737880818592969798100687989[[#This Row],[CIE-10]]),COUNTIFS(BASE[Cod.Establecimiento],$AK$2,BASE[CODCIE104],EPV_SARAMPION64666972737880818592969798100687989[[#This Row],[CIE-10]]))</f>
        <v>0</v>
      </c>
      <c r="E62" s="3">
        <f>IF($AK$2="(Todas)",COUNTIF(BASE[CODCIE106],EPV_SARAMPION64666972737880818592969798100687989[[#This Row],[CIE-10]]),COUNTIFS(BASE[Cod.Establecimiento],$AK$2,BASE[CODCIE106],EPV_SARAMPION64666972737880818592969798100687989[[#This Row],[CIE-10]]))</f>
        <v>0</v>
      </c>
      <c r="F62" s="3">
        <f>IF($AK$2="(Todas)",COUNTIF(BASE[CODCIE108],EPV_SARAMPION64666972737880818592969798100687989[[#This Row],[CIE-10]]),COUNTIFS(BASE[Cod.Establecimiento],$AK$2,BASE[CODCIE108],EPV_SARAMPION64666972737880818592969798100687989[[#This Row],[CIE-10]]))</f>
        <v>0</v>
      </c>
      <c r="G62" s="3">
        <f>IF($AK$2="(Todas)",COUNTIF(BASE[CODCIE1010],EPV_SARAMPION64666972737880818592969798100687989[[#This Row],[CIE-10]]),COUNTIFS(BASE[Cod.Establecimiento],$AK$2,BASE[CODCIE1010],EPV_SARAMPION64666972737880818592969798100687989[[#This Row],[CIE-10]]))</f>
        <v>0</v>
      </c>
      <c r="H62" s="9">
        <f>SUM(EPV_SARAMPION64666972737880818592969798100687989[[#This Row],[D1]:[D6]])</f>
        <v>0</v>
      </c>
      <c r="J62" s="32" t="s">
        <v>409</v>
      </c>
      <c r="K62" s="3">
        <f>IF($AK$2="(Todas)",COUNTIF(BASE[CODCIE10],EPV_SARAMPION646669727378808185929697981006890[[#This Row],[CIE-10]]),COUNTIFS(BASE[Cod.Establecimiento],$AK$2,BASE[CODCIE10],EPV_SARAMPION646669727378808185929697981006890[[#This Row],[CIE-10]]))</f>
        <v>0</v>
      </c>
      <c r="L62" s="3">
        <f>IF($AK$2="(Todas)",COUNTIF(BASE[CODCIE102],EPV_SARAMPION646669727378808185929697981006890[[#This Row],[CIE-10]]),COUNTIFS(BASE[Cod.Establecimiento],$AK$2,BASE[CODCIE102],EPV_SARAMPION646669727378808185929697981006890[[#This Row],[CIE-10]]))</f>
        <v>0</v>
      </c>
      <c r="M62" s="3">
        <f>IF($AK$2="(Todas)",COUNTIF(BASE[CODCIE104],EPV_SARAMPION646669727378808185929697981006890[[#This Row],[CIE-10]]),COUNTIFS(BASE[Cod.Establecimiento],$AK$2,BASE[CODCIE104],EPV_SARAMPION646669727378808185929697981006890[[#This Row],[CIE-10]]))</f>
        <v>0</v>
      </c>
      <c r="N62" s="3">
        <f>IF($AK$2="(Todas)",COUNTIF(BASE[CODCIE106],EPV_SARAMPION646669727378808185929697981006890[[#This Row],[CIE-10]]),COUNTIFS(BASE[Cod.Establecimiento],$AK$2,BASE[CODCIE106],EPV_SARAMPION646669727378808185929697981006890[[#This Row],[CIE-10]]))</f>
        <v>0</v>
      </c>
      <c r="O62" s="3">
        <f>IF($AK$2="(Todas)",COUNTIF(BASE[CODCIE108],EPV_SARAMPION646669727378808185929697981006890[[#This Row],[CIE-10]]),COUNTIFS(BASE[Cod.Establecimiento],$AK$2,BASE[CODCIE108],EPV_SARAMPION646669727378808185929697981006890[[#This Row],[CIE-10]]))</f>
        <v>0</v>
      </c>
      <c r="P62" s="3">
        <f>IF($AK$2="(Todas)",COUNTIF(BASE[CODCIE1010],EPV_SARAMPION646669727378808185929697981006890[[#This Row],[CIE-10]]),COUNTIFS(BASE[Cod.Establecimiento],$AK$2,BASE[CODCIE1010],EPV_SARAMPION646669727378808185929697981006890[[#This Row],[CIE-10]]))</f>
        <v>0</v>
      </c>
      <c r="Q62" s="9">
        <f>SUM(EPV_SARAMPION646669727378808185929697981006890[[#This Row],[D1]:[D6]])</f>
        <v>0</v>
      </c>
      <c r="AB62" s="32" t="s">
        <v>416</v>
      </c>
      <c r="AC62" s="3">
        <f>IF($AK$2="(Todas)",COUNTIF(BASE[CODCIE10],EPV_SARAMPION6466697273788081859296979810068799399101[[#This Row],[CIE-10]]),COUNTIFS(BASE[Cod.Establecimiento],$AK$2,BASE[CODCIE10],EPV_SARAMPION6466697273788081859296979810068799399101[[#This Row],[CIE-10]]))</f>
        <v>0</v>
      </c>
      <c r="AD62" s="3">
        <f>IF($AK$2="(Todas)",COUNTIF(BASE[CODCIE102],EPV_SARAMPION6466697273788081859296979810068799399101[[#This Row],[CIE-10]]),COUNTIFS(BASE[Cod.Establecimiento],$AK$2,BASE[CODCIE102],EPV_SARAMPION6466697273788081859296979810068799399101[[#This Row],[CIE-10]]))</f>
        <v>0</v>
      </c>
      <c r="AE62" s="3">
        <f>IF($AK$2="(Todas)",COUNTIF(BASE[CODCIE104],EPV_SARAMPION6466697273788081859296979810068799399101[[#This Row],[CIE-10]]),COUNTIFS(BASE[Cod.Establecimiento],$AK$2,BASE[CODCIE104],EPV_SARAMPION6466697273788081859296979810068799399101[[#This Row],[CIE-10]]))</f>
        <v>0</v>
      </c>
      <c r="AF62" s="3">
        <f>IF($AK$2="(Todas)",COUNTIF(BASE[CODCIE106],EPV_SARAMPION6466697273788081859296979810068799399101[[#This Row],[CIE-10]]),COUNTIFS(BASE[Cod.Establecimiento],$AK$2,BASE[CODCIE106],EPV_SARAMPION6466697273788081859296979810068799399101[[#This Row],[CIE-10]]))</f>
        <v>0</v>
      </c>
      <c r="AG62" s="3">
        <f>IF($AK$2="(Todas)",COUNTIF(BASE[CODCIE108],EPV_SARAMPION6466697273788081859296979810068799399101[[#This Row],[CIE-10]]),COUNTIFS(BASE[Cod.Establecimiento],$AK$2,BASE[CODCIE108],EPV_SARAMPION6466697273788081859296979810068799399101[[#This Row],[CIE-10]]))</f>
        <v>0</v>
      </c>
      <c r="AH62" s="3">
        <f>IF($AK$2="(Todas)",COUNTIF(BASE[CODCIE1010],EPV_SARAMPION6466697273788081859296979810068799399101[[#This Row],[CIE-10]]),COUNTIFS(BASE[Cod.Establecimiento],$AK$2,BASE[CODCIE1010],EPV_SARAMPION6466697273788081859296979810068799399101[[#This Row],[CIE-10]]))</f>
        <v>0</v>
      </c>
      <c r="AI62" s="9">
        <f>SUM(EPV_SARAMPION6466697273788081859296979810068799399101[[#This Row],[D1]:[D6]])</f>
        <v>0</v>
      </c>
    </row>
    <row r="63" spans="1:35" ht="15" customHeight="1">
      <c r="A63" s="32" t="s">
        <v>266</v>
      </c>
      <c r="B63" s="3">
        <f>IF($AK$2="(Todas)",COUNTIF(BASE[CODCIE10],EPV_SARAMPION64666972737880818592969798100687989[[#This Row],[CIE-10]]),COUNTIFS(BASE[Cod.Establecimiento],$AK$2,BASE[CODCIE10],EPV_SARAMPION64666972737880818592969798100687989[[#This Row],[CIE-10]]))</f>
        <v>0</v>
      </c>
      <c r="C63" s="3">
        <f>IF($AK$2="(Todas)",COUNTIF(BASE[CODCIE102],EPV_SARAMPION64666972737880818592969798100687989[[#This Row],[CIE-10]]),COUNTIFS(BASE[Cod.Establecimiento],$AK$2,BASE[CODCIE102],EPV_SARAMPION64666972737880818592969798100687989[[#This Row],[CIE-10]]))</f>
        <v>0</v>
      </c>
      <c r="D63" s="3">
        <f>IF($AK$2="(Todas)",COUNTIF(BASE[CODCIE104],EPV_SARAMPION64666972737880818592969798100687989[[#This Row],[CIE-10]]),COUNTIFS(BASE[Cod.Establecimiento],$AK$2,BASE[CODCIE104],EPV_SARAMPION64666972737880818592969798100687989[[#This Row],[CIE-10]]))</f>
        <v>0</v>
      </c>
      <c r="E63" s="3">
        <f>IF($AK$2="(Todas)",COUNTIF(BASE[CODCIE106],EPV_SARAMPION64666972737880818592969798100687989[[#This Row],[CIE-10]]),COUNTIFS(BASE[Cod.Establecimiento],$AK$2,BASE[CODCIE106],EPV_SARAMPION64666972737880818592969798100687989[[#This Row],[CIE-10]]))</f>
        <v>0</v>
      </c>
      <c r="F63" s="3">
        <f>IF($AK$2="(Todas)",COUNTIF(BASE[CODCIE108],EPV_SARAMPION64666972737880818592969798100687989[[#This Row],[CIE-10]]),COUNTIFS(BASE[Cod.Establecimiento],$AK$2,BASE[CODCIE108],EPV_SARAMPION64666972737880818592969798100687989[[#This Row],[CIE-10]]))</f>
        <v>0</v>
      </c>
      <c r="G63" s="3">
        <f>IF($AK$2="(Todas)",COUNTIF(BASE[CODCIE1010],EPV_SARAMPION64666972737880818592969798100687989[[#This Row],[CIE-10]]),COUNTIFS(BASE[Cod.Establecimiento],$AK$2,BASE[CODCIE1010],EPV_SARAMPION64666972737880818592969798100687989[[#This Row],[CIE-10]]))</f>
        <v>0</v>
      </c>
      <c r="H63" s="9">
        <f>SUM(EPV_SARAMPION64666972737880818592969798100687989[[#This Row],[D1]:[D6]])</f>
        <v>0</v>
      </c>
      <c r="J63" s="32" t="s">
        <v>414</v>
      </c>
      <c r="K63" s="3">
        <f>IF($AK$2="(Todas)",COUNTIF(BASE[CODCIE10],EPV_SARAMPION646669727378808185929697981006890[[#This Row],[CIE-10]]),COUNTIFS(BASE[Cod.Establecimiento],$AK$2,BASE[CODCIE10],EPV_SARAMPION646669727378808185929697981006890[[#This Row],[CIE-10]]))</f>
        <v>0</v>
      </c>
      <c r="L63" s="3">
        <f>IF($AK$2="(Todas)",COUNTIF(BASE[CODCIE102],EPV_SARAMPION646669727378808185929697981006890[[#This Row],[CIE-10]]),COUNTIFS(BASE[Cod.Establecimiento],$AK$2,BASE[CODCIE102],EPV_SARAMPION646669727378808185929697981006890[[#This Row],[CIE-10]]))</f>
        <v>0</v>
      </c>
      <c r="M63" s="3">
        <f>IF($AK$2="(Todas)",COUNTIF(BASE[CODCIE104],EPV_SARAMPION646669727378808185929697981006890[[#This Row],[CIE-10]]),COUNTIFS(BASE[Cod.Establecimiento],$AK$2,BASE[CODCIE104],EPV_SARAMPION646669727378808185929697981006890[[#This Row],[CIE-10]]))</f>
        <v>0</v>
      </c>
      <c r="N63" s="3">
        <f>IF($AK$2="(Todas)",COUNTIF(BASE[CODCIE106],EPV_SARAMPION646669727378808185929697981006890[[#This Row],[CIE-10]]),COUNTIFS(BASE[Cod.Establecimiento],$AK$2,BASE[CODCIE106],EPV_SARAMPION646669727378808185929697981006890[[#This Row],[CIE-10]]))</f>
        <v>0</v>
      </c>
      <c r="O63" s="3">
        <f>IF($AK$2="(Todas)",COUNTIF(BASE[CODCIE108],EPV_SARAMPION646669727378808185929697981006890[[#This Row],[CIE-10]]),COUNTIFS(BASE[Cod.Establecimiento],$AK$2,BASE[CODCIE108],EPV_SARAMPION646669727378808185929697981006890[[#This Row],[CIE-10]]))</f>
        <v>0</v>
      </c>
      <c r="P63" s="3">
        <f>IF($AK$2="(Todas)",COUNTIF(BASE[CODCIE1010],EPV_SARAMPION646669727378808185929697981006890[[#This Row],[CIE-10]]),COUNTIFS(BASE[Cod.Establecimiento],$AK$2,BASE[CODCIE1010],EPV_SARAMPION646669727378808185929697981006890[[#This Row],[CIE-10]]))</f>
        <v>0</v>
      </c>
      <c r="Q63" s="9">
        <f>SUM(EPV_SARAMPION646669727378808185929697981006890[[#This Row],[D1]:[D6]])</f>
        <v>0</v>
      </c>
      <c r="AB63" s="32" t="s">
        <v>417</v>
      </c>
      <c r="AC63" s="3">
        <f>IF($AK$2="(Todas)",COUNTIF(BASE[CODCIE10],EPV_SARAMPION6466697273788081859296979810068799399101[[#This Row],[CIE-10]]),COUNTIFS(BASE[Cod.Establecimiento],$AK$2,BASE[CODCIE10],EPV_SARAMPION6466697273788081859296979810068799399101[[#This Row],[CIE-10]]))</f>
        <v>0</v>
      </c>
      <c r="AD63" s="3">
        <f>IF($AK$2="(Todas)",COUNTIF(BASE[CODCIE102],EPV_SARAMPION6466697273788081859296979810068799399101[[#This Row],[CIE-10]]),COUNTIFS(BASE[Cod.Establecimiento],$AK$2,BASE[CODCIE102],EPV_SARAMPION6466697273788081859296979810068799399101[[#This Row],[CIE-10]]))</f>
        <v>0</v>
      </c>
      <c r="AE63" s="3">
        <f>IF($AK$2="(Todas)",COUNTIF(BASE[CODCIE104],EPV_SARAMPION6466697273788081859296979810068799399101[[#This Row],[CIE-10]]),COUNTIFS(BASE[Cod.Establecimiento],$AK$2,BASE[CODCIE104],EPV_SARAMPION6466697273788081859296979810068799399101[[#This Row],[CIE-10]]))</f>
        <v>0</v>
      </c>
      <c r="AF63" s="3">
        <f>IF($AK$2="(Todas)",COUNTIF(BASE[CODCIE106],EPV_SARAMPION6466697273788081859296979810068799399101[[#This Row],[CIE-10]]),COUNTIFS(BASE[Cod.Establecimiento],$AK$2,BASE[CODCIE106],EPV_SARAMPION6466697273788081859296979810068799399101[[#This Row],[CIE-10]]))</f>
        <v>0</v>
      </c>
      <c r="AG63" s="3">
        <f>IF($AK$2="(Todas)",COUNTIF(BASE[CODCIE108],EPV_SARAMPION6466697273788081859296979810068799399101[[#This Row],[CIE-10]]),COUNTIFS(BASE[Cod.Establecimiento],$AK$2,BASE[CODCIE108],EPV_SARAMPION6466697273788081859296979810068799399101[[#This Row],[CIE-10]]))</f>
        <v>0</v>
      </c>
      <c r="AH63" s="3">
        <f>IF($AK$2="(Todas)",COUNTIF(BASE[CODCIE1010],EPV_SARAMPION6466697273788081859296979810068799399101[[#This Row],[CIE-10]]),COUNTIFS(BASE[Cod.Establecimiento],$AK$2,BASE[CODCIE1010],EPV_SARAMPION6466697273788081859296979810068799399101[[#This Row],[CIE-10]]))</f>
        <v>0</v>
      </c>
      <c r="AI63" s="9">
        <f>SUM(EPV_SARAMPION6466697273788081859296979810068799399101[[#This Row],[D1]:[D6]])</f>
        <v>0</v>
      </c>
    </row>
    <row r="64" spans="1:35" ht="15" customHeight="1">
      <c r="AB64" s="32" t="s">
        <v>418</v>
      </c>
      <c r="AC64" s="3">
        <f>IF($AK$2="(Todas)",COUNTIF(BASE[CODCIE10],EPV_SARAMPION6466697273788081859296979810068799399101[[#This Row],[CIE-10]]),COUNTIFS(BASE[Cod.Establecimiento],$AK$2,BASE[CODCIE10],EPV_SARAMPION6466697273788081859296979810068799399101[[#This Row],[CIE-10]]))</f>
        <v>0</v>
      </c>
      <c r="AD64" s="3">
        <f>IF($AK$2="(Todas)",COUNTIF(BASE[CODCIE102],EPV_SARAMPION6466697273788081859296979810068799399101[[#This Row],[CIE-10]]),COUNTIFS(BASE[Cod.Establecimiento],$AK$2,BASE[CODCIE102],EPV_SARAMPION6466697273788081859296979810068799399101[[#This Row],[CIE-10]]))</f>
        <v>0</v>
      </c>
      <c r="AE64" s="3">
        <f>IF($AK$2="(Todas)",COUNTIF(BASE[CODCIE104],EPV_SARAMPION6466697273788081859296979810068799399101[[#This Row],[CIE-10]]),COUNTIFS(BASE[Cod.Establecimiento],$AK$2,BASE[CODCIE104],EPV_SARAMPION6466697273788081859296979810068799399101[[#This Row],[CIE-10]]))</f>
        <v>0</v>
      </c>
      <c r="AF64" s="3">
        <f>IF($AK$2="(Todas)",COUNTIF(BASE[CODCIE106],EPV_SARAMPION6466697273788081859296979810068799399101[[#This Row],[CIE-10]]),COUNTIFS(BASE[Cod.Establecimiento],$AK$2,BASE[CODCIE106],EPV_SARAMPION6466697273788081859296979810068799399101[[#This Row],[CIE-10]]))</f>
        <v>0</v>
      </c>
      <c r="AG64" s="3">
        <f>IF($AK$2="(Todas)",COUNTIF(BASE[CODCIE108],EPV_SARAMPION6466697273788081859296979810068799399101[[#This Row],[CIE-10]]),COUNTIFS(BASE[Cod.Establecimiento],$AK$2,BASE[CODCIE108],EPV_SARAMPION6466697273788081859296979810068799399101[[#This Row],[CIE-10]]))</f>
        <v>0</v>
      </c>
      <c r="AH64" s="3">
        <f>IF($AK$2="(Todas)",COUNTIF(BASE[CODCIE1010],EPV_SARAMPION6466697273788081859296979810068799399101[[#This Row],[CIE-10]]),COUNTIFS(BASE[Cod.Establecimiento],$AK$2,BASE[CODCIE1010],EPV_SARAMPION6466697273788081859296979810068799399101[[#This Row],[CIE-10]]))</f>
        <v>0</v>
      </c>
      <c r="AI64" s="9">
        <f>SUM(EPV_SARAMPION6466697273788081859296979810068799399101[[#This Row],[D1]:[D6]])</f>
        <v>0</v>
      </c>
    </row>
    <row r="65" spans="1:35" ht="18" thickBot="1">
      <c r="A65" s="80" t="s">
        <v>144</v>
      </c>
      <c r="B65" s="80"/>
      <c r="C65" s="80"/>
      <c r="D65" s="80"/>
      <c r="E65" s="80"/>
      <c r="F65" s="80"/>
      <c r="G65" s="80"/>
      <c r="H65" s="80"/>
      <c r="J65" s="80" t="s">
        <v>420</v>
      </c>
      <c r="K65" s="80"/>
      <c r="L65" s="80"/>
      <c r="M65" s="80"/>
      <c r="N65" s="80"/>
      <c r="O65" s="80"/>
      <c r="P65" s="80"/>
      <c r="Q65" s="80"/>
      <c r="AB65" s="32" t="s">
        <v>419</v>
      </c>
      <c r="AC65" s="3">
        <f>IF($AK$2="(Todas)",COUNTIF(BASE[CODCIE10],EPV_SARAMPION6466697273788081859296979810068799399101[[#This Row],[CIE-10]]),COUNTIFS(BASE[Cod.Establecimiento],$AK$2,BASE[CODCIE10],EPV_SARAMPION6466697273788081859296979810068799399101[[#This Row],[CIE-10]]))</f>
        <v>0</v>
      </c>
      <c r="AD65" s="3">
        <f>IF($AK$2="(Todas)",COUNTIF(BASE[CODCIE102],EPV_SARAMPION6466697273788081859296979810068799399101[[#This Row],[CIE-10]]),COUNTIFS(BASE[Cod.Establecimiento],$AK$2,BASE[CODCIE102],EPV_SARAMPION6466697273788081859296979810068799399101[[#This Row],[CIE-10]]))</f>
        <v>0</v>
      </c>
      <c r="AE65" s="3">
        <f>IF($AK$2="(Todas)",COUNTIF(BASE[CODCIE104],EPV_SARAMPION6466697273788081859296979810068799399101[[#This Row],[CIE-10]]),COUNTIFS(BASE[Cod.Establecimiento],$AK$2,BASE[CODCIE104],EPV_SARAMPION6466697273788081859296979810068799399101[[#This Row],[CIE-10]]))</f>
        <v>0</v>
      </c>
      <c r="AF65" s="3">
        <f>IF($AK$2="(Todas)",COUNTIF(BASE[CODCIE106],EPV_SARAMPION6466697273788081859296979810068799399101[[#This Row],[CIE-10]]),COUNTIFS(BASE[Cod.Establecimiento],$AK$2,BASE[CODCIE106],EPV_SARAMPION6466697273788081859296979810068799399101[[#This Row],[CIE-10]]))</f>
        <v>0</v>
      </c>
      <c r="AG65" s="3">
        <f>IF($AK$2="(Todas)",COUNTIF(BASE[CODCIE108],EPV_SARAMPION6466697273788081859296979810068799399101[[#This Row],[CIE-10]]),COUNTIFS(BASE[Cod.Establecimiento],$AK$2,BASE[CODCIE108],EPV_SARAMPION6466697273788081859296979810068799399101[[#This Row],[CIE-10]]))</f>
        <v>0</v>
      </c>
      <c r="AH65" s="3">
        <f>IF($AK$2="(Todas)",COUNTIF(BASE[CODCIE1010],EPV_SARAMPION6466697273788081859296979810068799399101[[#This Row],[CIE-10]]),COUNTIFS(BASE[Cod.Establecimiento],$AK$2,BASE[CODCIE1010],EPV_SARAMPION6466697273788081859296979810068799399101[[#This Row],[CIE-10]]))</f>
        <v>0</v>
      </c>
      <c r="AI65" s="9">
        <f>SUM(EPV_SARAMPION6466697273788081859296979810068799399101[[#This Row],[D1]:[D6]])</f>
        <v>0</v>
      </c>
    </row>
    <row r="66" spans="1:35" ht="15.75" thickTop="1">
      <c r="A66" s="6" t="str">
        <f>CONCATENATE("TOTAL: ",SUM(B66:G66))</f>
        <v>TOTAL: 0</v>
      </c>
      <c r="B66" s="5">
        <f>SUM(EPV_SARAMPION6466697273788081859296979810068799399102[D1])</f>
        <v>0</v>
      </c>
      <c r="C66" s="5">
        <f>SUM(EPV_SARAMPION6466697273788081859296979810068799399102[D2])</f>
        <v>0</v>
      </c>
      <c r="D66" s="5">
        <f>SUM(EPV_SARAMPION6466697273788081859296979810068799399102[D3])</f>
        <v>0</v>
      </c>
      <c r="E66" s="5">
        <f>SUM(EPV_SARAMPION6466697273788081859296979810068799399102[D4])</f>
        <v>0</v>
      </c>
      <c r="F66" s="5">
        <f>SUM(EPV_SARAMPION6466697273788081859296979810068799399102[D5])</f>
        <v>0</v>
      </c>
      <c r="G66" s="5">
        <f>SUM(EPV_SARAMPION6466697273788081859296979810068799399102[D6])</f>
        <v>0</v>
      </c>
      <c r="H66" s="7"/>
      <c r="J66" s="6" t="str">
        <f>CONCATENATE("TOTAL: ",SUM(K66:P66))</f>
        <v>TOTAL: 0</v>
      </c>
      <c r="K66" s="5">
        <f>SUM(EPV_SARAMPION6466697273788081859296979810068799399101104[D1])</f>
        <v>0</v>
      </c>
      <c r="L66" s="5">
        <f>SUM(EPV_SARAMPION6466697273788081859296979810068799399101104[D2])</f>
        <v>0</v>
      </c>
      <c r="M66" s="5">
        <f>SUM(EPV_SARAMPION6466697273788081859296979810068799399101104[D3])</f>
        <v>0</v>
      </c>
      <c r="N66" s="5">
        <f>SUM(EPV_SARAMPION6466697273788081859296979810068799399101104[D4])</f>
        <v>0</v>
      </c>
      <c r="O66" s="5">
        <f>SUM(EPV_SARAMPION6466697273788081859296979810068799399101104[D5])</f>
        <v>0</v>
      </c>
      <c r="P66" s="5">
        <f>SUM(EPV_SARAMPION6466697273788081859296979810068799399101104[D6])</f>
        <v>0</v>
      </c>
      <c r="Q66" s="7"/>
    </row>
    <row r="67" spans="1:35">
      <c r="A67" t="s">
        <v>93</v>
      </c>
      <c r="B67" s="3" t="s">
        <v>94</v>
      </c>
      <c r="C67" s="3" t="s">
        <v>95</v>
      </c>
      <c r="D67" s="3" t="s">
        <v>96</v>
      </c>
      <c r="E67" s="3" t="s">
        <v>97</v>
      </c>
      <c r="F67" s="3" t="s">
        <v>98</v>
      </c>
      <c r="G67" s="3" t="s">
        <v>99</v>
      </c>
      <c r="H67" s="8" t="s">
        <v>100</v>
      </c>
      <c r="J67" t="s">
        <v>93</v>
      </c>
      <c r="K67" s="3" t="s">
        <v>94</v>
      </c>
      <c r="L67" s="3" t="s">
        <v>95</v>
      </c>
      <c r="M67" s="3" t="s">
        <v>96</v>
      </c>
      <c r="N67" s="3" t="s">
        <v>97</v>
      </c>
      <c r="O67" s="3" t="s">
        <v>98</v>
      </c>
      <c r="P67" s="3" t="s">
        <v>99</v>
      </c>
      <c r="Q67" s="8" t="s">
        <v>100</v>
      </c>
    </row>
    <row r="68" spans="1:35">
      <c r="A68" s="4" t="s">
        <v>147</v>
      </c>
      <c r="B68" s="3">
        <f>IF($AK$2="(Todas)",COUNTIF(BASE[CODCIE10],EPV_SARAMPION6466697273788081859296979810068799399102[[#This Row],[CIE-10]]),COUNTIFS(BASE[Cod.Establecimiento],$AK$2,BASE[CODCIE10],EPV_SARAMPION6466697273788081859296979810068799399102[[#This Row],[CIE-10]]))</f>
        <v>0</v>
      </c>
      <c r="C68" s="3">
        <f>IF($AK$2="(Todas)",COUNTIF(BASE[CODCIE102],EPV_SARAMPION6466697273788081859296979810068799399102[[#This Row],[CIE-10]]),COUNTIFS(BASE[Cod.Establecimiento],$AK$2,BASE[CODCIE102],EPV_SARAMPION6466697273788081859296979810068799399102[[#This Row],[CIE-10]]))</f>
        <v>0</v>
      </c>
      <c r="D68" s="3">
        <f>IF($AK$2="(Todas)",COUNTIF(BASE[CODCIE104],EPV_SARAMPION6466697273788081859296979810068799399102[[#This Row],[CIE-10]]),COUNTIFS(BASE[Cod.Establecimiento],$AK$2,BASE[CODCIE104],EPV_SARAMPION6466697273788081859296979810068799399102[[#This Row],[CIE-10]]))</f>
        <v>0</v>
      </c>
      <c r="E68" s="3">
        <f>IF($AK$2="(Todas)",COUNTIF(BASE[CODCIE106],EPV_SARAMPION6466697273788081859296979810068799399102[[#This Row],[CIE-10]]),COUNTIFS(BASE[Cod.Establecimiento],$AK$2,BASE[CODCIE106],EPV_SARAMPION6466697273788081859296979810068799399102[[#This Row],[CIE-10]]))</f>
        <v>0</v>
      </c>
      <c r="F68" s="3">
        <f>IF($AK$2="(Todas)",COUNTIF(BASE[CODCIE108],EPV_SARAMPION6466697273788081859296979810068799399102[[#This Row],[CIE-10]]),COUNTIFS(BASE[Cod.Establecimiento],$AK$2,BASE[CODCIE108],EPV_SARAMPION6466697273788081859296979810068799399102[[#This Row],[CIE-10]]))</f>
        <v>0</v>
      </c>
      <c r="G68" s="3">
        <f>IF($AK$2="(Todas)",COUNTIF(BASE[CODCIE1010],EPV_SARAMPION6466697273788081859296979810068799399102[[#This Row],[CIE-10]]),COUNTIFS(BASE[Cod.Establecimiento],$AK$2,BASE[CODCIE1010],EPV_SARAMPION6466697273788081859296979810068799399102[[#This Row],[CIE-10]]))</f>
        <v>0</v>
      </c>
      <c r="H68" s="9">
        <f>SUM(EPV_SARAMPION6466697273788081859296979810068799399102[[#This Row],[D1]:[D6]])</f>
        <v>0</v>
      </c>
      <c r="J68" s="4" t="s">
        <v>421</v>
      </c>
      <c r="K68" s="3">
        <f>IF($AK$2="(Todas)",COUNTIF(BASE[CODCIE10],EPV_SARAMPION6466697273788081859296979810068799399101104[[#This Row],[CIE-10]]),COUNTIFS(BASE[Cod.Establecimiento],$AK$2,BASE[CODCIE10],EPV_SARAMPION6466697273788081859296979810068799399101104[[#This Row],[CIE-10]]))</f>
        <v>0</v>
      </c>
      <c r="L68" s="3">
        <f>IF($AK$2="(Todas)",COUNTIF(BASE[CODCIE102],EPV_SARAMPION6466697273788081859296979810068799399101104[[#This Row],[CIE-10]]),COUNTIFS(BASE[Cod.Establecimiento],$AK$2,BASE[CODCIE102],EPV_SARAMPION6466697273788081859296979810068799399101104[[#This Row],[CIE-10]]))</f>
        <v>0</v>
      </c>
      <c r="M68" s="3">
        <f>IF($AK$2="(Todas)",COUNTIF(BASE[CODCIE104],EPV_SARAMPION6466697273788081859296979810068799399101104[[#This Row],[CIE-10]]),COUNTIFS(BASE[Cod.Establecimiento],$AK$2,BASE[CODCIE104],EPV_SARAMPION6466697273788081859296979810068799399101104[[#This Row],[CIE-10]]))</f>
        <v>0</v>
      </c>
      <c r="N68" s="3">
        <f>IF($AK$2="(Todas)",COUNTIF(BASE[CODCIE106],EPV_SARAMPION6466697273788081859296979810068799399101104[[#This Row],[CIE-10]]),COUNTIFS(BASE[Cod.Establecimiento],$AK$2,BASE[CODCIE106],EPV_SARAMPION6466697273788081859296979810068799399101104[[#This Row],[CIE-10]]))</f>
        <v>0</v>
      </c>
      <c r="O68" s="3">
        <f>IF($AK$2="(Todas)",COUNTIF(BASE[CODCIE108],EPV_SARAMPION6466697273788081859296979810068799399101104[[#This Row],[CIE-10]]),COUNTIFS(BASE[Cod.Establecimiento],$AK$2,BASE[CODCIE108],EPV_SARAMPION6466697273788081859296979810068799399101104[[#This Row],[CIE-10]]))</f>
        <v>0</v>
      </c>
      <c r="P68" s="3">
        <f>IF($AK$2="(Todas)",COUNTIF(BASE[CODCIE1010],EPV_SARAMPION6466697273788081859296979810068799399101104[[#This Row],[CIE-10]]),COUNTIFS(BASE[Cod.Establecimiento],$AK$2,BASE[CODCIE1010],EPV_SARAMPION6466697273788081859296979810068799399101104[[#This Row],[CIE-10]]))</f>
        <v>0</v>
      </c>
      <c r="Q68" s="9">
        <f>SUM(EPV_SARAMPION6466697273788081859296979810068799399101104[[#This Row],[D1]:[D6]])</f>
        <v>0</v>
      </c>
    </row>
    <row r="69" spans="1:35">
      <c r="J69" s="32" t="s">
        <v>422</v>
      </c>
      <c r="K69" s="3">
        <f>IF($AK$2="(Todas)",COUNTIF(BASE[CODCIE10],EPV_SARAMPION6466697273788081859296979810068799399101104[[#This Row],[CIE-10]]),COUNTIFS(BASE[Cod.Establecimiento],$AK$2,BASE[CODCIE10],EPV_SARAMPION6466697273788081859296979810068799399101104[[#This Row],[CIE-10]]))</f>
        <v>0</v>
      </c>
      <c r="L69" s="3">
        <f>IF($AK$2="(Todas)",COUNTIF(BASE[CODCIE102],EPV_SARAMPION6466697273788081859296979810068799399101104[[#This Row],[CIE-10]]),COUNTIFS(BASE[Cod.Establecimiento],$AK$2,BASE[CODCIE102],EPV_SARAMPION6466697273788081859296979810068799399101104[[#This Row],[CIE-10]]))</f>
        <v>0</v>
      </c>
      <c r="M69" s="3">
        <f>IF($AK$2="(Todas)",COUNTIF(BASE[CODCIE104],EPV_SARAMPION6466697273788081859296979810068799399101104[[#This Row],[CIE-10]]),COUNTIFS(BASE[Cod.Establecimiento],$AK$2,BASE[CODCIE104],EPV_SARAMPION6466697273788081859296979810068799399101104[[#This Row],[CIE-10]]))</f>
        <v>0</v>
      </c>
      <c r="N69" s="3">
        <f>IF($AK$2="(Todas)",COUNTIF(BASE[CODCIE106],EPV_SARAMPION6466697273788081859296979810068799399101104[[#This Row],[CIE-10]]),COUNTIFS(BASE[Cod.Establecimiento],$AK$2,BASE[CODCIE106],EPV_SARAMPION6466697273788081859296979810068799399101104[[#This Row],[CIE-10]]))</f>
        <v>0</v>
      </c>
      <c r="O69" s="3">
        <f>IF($AK$2="(Todas)",COUNTIF(BASE[CODCIE108],EPV_SARAMPION6466697273788081859296979810068799399101104[[#This Row],[CIE-10]]),COUNTIFS(BASE[Cod.Establecimiento],$AK$2,BASE[CODCIE108],EPV_SARAMPION6466697273788081859296979810068799399101104[[#This Row],[CIE-10]]))</f>
        <v>0</v>
      </c>
      <c r="P69" s="3">
        <f>IF($AK$2="(Todas)",COUNTIF(BASE[CODCIE1010],EPV_SARAMPION6466697273788081859296979810068799399101104[[#This Row],[CIE-10]]),COUNTIFS(BASE[Cod.Establecimiento],$AK$2,BASE[CODCIE1010],EPV_SARAMPION6466697273788081859296979810068799399101104[[#This Row],[CIE-10]]))</f>
        <v>0</v>
      </c>
      <c r="Q69" s="9">
        <f>SUM(EPV_SARAMPION6466697273788081859296979810068799399101104[[#This Row],[D1]:[D6]])</f>
        <v>0</v>
      </c>
    </row>
    <row r="70" spans="1:35">
      <c r="J70" s="32" t="s">
        <v>423</v>
      </c>
      <c r="K70" s="3">
        <f>IF($AK$2="(Todas)",COUNTIF(BASE[CODCIE10],EPV_SARAMPION6466697273788081859296979810068799399101104[[#This Row],[CIE-10]]),COUNTIFS(BASE[Cod.Establecimiento],$AK$2,BASE[CODCIE10],EPV_SARAMPION6466697273788081859296979810068799399101104[[#This Row],[CIE-10]]))</f>
        <v>0</v>
      </c>
      <c r="L70" s="3">
        <f>IF($AK$2="(Todas)",COUNTIF(BASE[CODCIE102],EPV_SARAMPION6466697273788081859296979810068799399101104[[#This Row],[CIE-10]]),COUNTIFS(BASE[Cod.Establecimiento],$AK$2,BASE[CODCIE102],EPV_SARAMPION6466697273788081859296979810068799399101104[[#This Row],[CIE-10]]))</f>
        <v>0</v>
      </c>
      <c r="M70" s="3">
        <f>IF($AK$2="(Todas)",COUNTIF(BASE[CODCIE104],EPV_SARAMPION6466697273788081859296979810068799399101104[[#This Row],[CIE-10]]),COUNTIFS(BASE[Cod.Establecimiento],$AK$2,BASE[CODCIE104],EPV_SARAMPION6466697273788081859296979810068799399101104[[#This Row],[CIE-10]]))</f>
        <v>0</v>
      </c>
      <c r="N70" s="3">
        <f>IF($AK$2="(Todas)",COUNTIF(BASE[CODCIE106],EPV_SARAMPION6466697273788081859296979810068799399101104[[#This Row],[CIE-10]]),COUNTIFS(BASE[Cod.Establecimiento],$AK$2,BASE[CODCIE106],EPV_SARAMPION6466697273788081859296979810068799399101104[[#This Row],[CIE-10]]))</f>
        <v>0</v>
      </c>
      <c r="O70" s="3">
        <f>IF($AK$2="(Todas)",COUNTIF(BASE[CODCIE108],EPV_SARAMPION6466697273788081859296979810068799399101104[[#This Row],[CIE-10]]),COUNTIFS(BASE[Cod.Establecimiento],$AK$2,BASE[CODCIE108],EPV_SARAMPION6466697273788081859296979810068799399101104[[#This Row],[CIE-10]]))</f>
        <v>0</v>
      </c>
      <c r="P70" s="3">
        <f>IF($AK$2="(Todas)",COUNTIF(BASE[CODCIE1010],EPV_SARAMPION6466697273788081859296979810068799399101104[[#This Row],[CIE-10]]),COUNTIFS(BASE[Cod.Establecimiento],$AK$2,BASE[CODCIE1010],EPV_SARAMPION6466697273788081859296979810068799399101104[[#This Row],[CIE-10]]))</f>
        <v>0</v>
      </c>
      <c r="Q70" s="9">
        <f>SUM(EPV_SARAMPION6466697273788081859296979810068799399101104[[#This Row],[D1]:[D6]])</f>
        <v>0</v>
      </c>
    </row>
    <row r="71" spans="1:35">
      <c r="J71" s="32" t="s">
        <v>424</v>
      </c>
      <c r="K71" s="3">
        <f>IF($AK$2="(Todas)",COUNTIF(BASE[CODCIE10],EPV_SARAMPION6466697273788081859296979810068799399101104[[#This Row],[CIE-10]]),COUNTIFS(BASE[Cod.Establecimiento],$AK$2,BASE[CODCIE10],EPV_SARAMPION6466697273788081859296979810068799399101104[[#This Row],[CIE-10]]))</f>
        <v>0</v>
      </c>
      <c r="L71" s="3">
        <f>IF($AK$2="(Todas)",COUNTIF(BASE[CODCIE102],EPV_SARAMPION6466697273788081859296979810068799399101104[[#This Row],[CIE-10]]),COUNTIFS(BASE[Cod.Establecimiento],$AK$2,BASE[CODCIE102],EPV_SARAMPION6466697273788081859296979810068799399101104[[#This Row],[CIE-10]]))</f>
        <v>0</v>
      </c>
      <c r="M71" s="3">
        <f>IF($AK$2="(Todas)",COUNTIF(BASE[CODCIE104],EPV_SARAMPION6466697273788081859296979810068799399101104[[#This Row],[CIE-10]]),COUNTIFS(BASE[Cod.Establecimiento],$AK$2,BASE[CODCIE104],EPV_SARAMPION6466697273788081859296979810068799399101104[[#This Row],[CIE-10]]))</f>
        <v>0</v>
      </c>
      <c r="N71" s="3">
        <f>IF($AK$2="(Todas)",COUNTIF(BASE[CODCIE106],EPV_SARAMPION6466697273788081859296979810068799399101104[[#This Row],[CIE-10]]),COUNTIFS(BASE[Cod.Establecimiento],$AK$2,BASE[CODCIE106],EPV_SARAMPION6466697273788081859296979810068799399101104[[#This Row],[CIE-10]]))</f>
        <v>0</v>
      </c>
      <c r="O71" s="3">
        <f>IF($AK$2="(Todas)",COUNTIF(BASE[CODCIE108],EPV_SARAMPION6466697273788081859296979810068799399101104[[#This Row],[CIE-10]]),COUNTIFS(BASE[Cod.Establecimiento],$AK$2,BASE[CODCIE108],EPV_SARAMPION6466697273788081859296979810068799399101104[[#This Row],[CIE-10]]))</f>
        <v>0</v>
      </c>
      <c r="P71" s="3">
        <f>IF($AK$2="(Todas)",COUNTIF(BASE[CODCIE1010],EPV_SARAMPION6466697273788081859296979810068799399101104[[#This Row],[CIE-10]]),COUNTIFS(BASE[Cod.Establecimiento],$AK$2,BASE[CODCIE1010],EPV_SARAMPION6466697273788081859296979810068799399101104[[#This Row],[CIE-10]]))</f>
        <v>0</v>
      </c>
      <c r="Q71" s="9">
        <f>SUM(EPV_SARAMPION6466697273788081859296979810068799399101104[[#This Row],[D1]:[D6]])</f>
        <v>0</v>
      </c>
    </row>
    <row r="72" spans="1:35">
      <c r="J72" s="32" t="s">
        <v>425</v>
      </c>
      <c r="K72" s="3">
        <f>IF($AK$2="(Todas)",COUNTIF(BASE[CODCIE10],EPV_SARAMPION6466697273788081859296979810068799399101104[[#This Row],[CIE-10]]),COUNTIFS(BASE[Cod.Establecimiento],$AK$2,BASE[CODCIE10],EPV_SARAMPION6466697273788081859296979810068799399101104[[#This Row],[CIE-10]]))</f>
        <v>0</v>
      </c>
      <c r="L72" s="3">
        <f>IF($AK$2="(Todas)",COUNTIF(BASE[CODCIE102],EPV_SARAMPION6466697273788081859296979810068799399101104[[#This Row],[CIE-10]]),COUNTIFS(BASE[Cod.Establecimiento],$AK$2,BASE[CODCIE102],EPV_SARAMPION6466697273788081859296979810068799399101104[[#This Row],[CIE-10]]))</f>
        <v>0</v>
      </c>
      <c r="M72" s="3">
        <f>IF($AK$2="(Todas)",COUNTIF(BASE[CODCIE104],EPV_SARAMPION6466697273788081859296979810068799399101104[[#This Row],[CIE-10]]),COUNTIFS(BASE[Cod.Establecimiento],$AK$2,BASE[CODCIE104],EPV_SARAMPION6466697273788081859296979810068799399101104[[#This Row],[CIE-10]]))</f>
        <v>0</v>
      </c>
      <c r="N72" s="3">
        <f>IF($AK$2="(Todas)",COUNTIF(BASE[CODCIE106],EPV_SARAMPION6466697273788081859296979810068799399101104[[#This Row],[CIE-10]]),COUNTIFS(BASE[Cod.Establecimiento],$AK$2,BASE[CODCIE106],EPV_SARAMPION6466697273788081859296979810068799399101104[[#This Row],[CIE-10]]))</f>
        <v>0</v>
      </c>
      <c r="O72" s="3">
        <f>IF($AK$2="(Todas)",COUNTIF(BASE[CODCIE108],EPV_SARAMPION6466697273788081859296979810068799399101104[[#This Row],[CIE-10]]),COUNTIFS(BASE[Cod.Establecimiento],$AK$2,BASE[CODCIE108],EPV_SARAMPION6466697273788081859296979810068799399101104[[#This Row],[CIE-10]]))</f>
        <v>0</v>
      </c>
      <c r="P72" s="3">
        <f>IF($AK$2="(Todas)",COUNTIF(BASE[CODCIE1010],EPV_SARAMPION6466697273788081859296979810068799399101104[[#This Row],[CIE-10]]),COUNTIFS(BASE[Cod.Establecimiento],$AK$2,BASE[CODCIE1010],EPV_SARAMPION6466697273788081859296979810068799399101104[[#This Row],[CIE-10]]))</f>
        <v>0</v>
      </c>
      <c r="Q72" s="9">
        <f>SUM(EPV_SARAMPION6466697273788081859296979810068799399101104[[#This Row],[D1]:[D6]])</f>
        <v>0</v>
      </c>
    </row>
  </sheetData>
  <mergeCells count="48">
    <mergeCell ref="J17:Q17"/>
    <mergeCell ref="AJ1:AK1"/>
    <mergeCell ref="A2:H2"/>
    <mergeCell ref="AB2:AI2"/>
    <mergeCell ref="J2:Q2"/>
    <mergeCell ref="S2:Z2"/>
    <mergeCell ref="F1:K1"/>
    <mergeCell ref="S17:Z17"/>
    <mergeCell ref="AB17:AI17"/>
    <mergeCell ref="S7:Z7"/>
    <mergeCell ref="AB7:AI7"/>
    <mergeCell ref="J12:Q12"/>
    <mergeCell ref="S12:Z12"/>
    <mergeCell ref="AB12:AI12"/>
    <mergeCell ref="AJ3:AK3"/>
    <mergeCell ref="A37:H37"/>
    <mergeCell ref="J27:Q27"/>
    <mergeCell ref="A27:H27"/>
    <mergeCell ref="A32:H32"/>
    <mergeCell ref="J32:Q32"/>
    <mergeCell ref="J37:Q37"/>
    <mergeCell ref="AB37:AI37"/>
    <mergeCell ref="S31:Z31"/>
    <mergeCell ref="AB32:AI32"/>
    <mergeCell ref="J22:Q22"/>
    <mergeCell ref="S22:Z22"/>
    <mergeCell ref="AB22:AI22"/>
    <mergeCell ref="J48:Q48"/>
    <mergeCell ref="S43:Z43"/>
    <mergeCell ref="J53:Q53"/>
    <mergeCell ref="S53:Z53"/>
    <mergeCell ref="S37:Z37"/>
    <mergeCell ref="AJ34:AK36"/>
    <mergeCell ref="AJ5:AK26"/>
    <mergeCell ref="AJ27:AK33"/>
    <mergeCell ref="A65:H65"/>
    <mergeCell ref="J65:Q65"/>
    <mergeCell ref="A58:H58"/>
    <mergeCell ref="J58:Q58"/>
    <mergeCell ref="AB53:AI53"/>
    <mergeCell ref="S58:Z58"/>
    <mergeCell ref="AB58:AI58"/>
    <mergeCell ref="AB43:AI43"/>
    <mergeCell ref="S48:Z48"/>
    <mergeCell ref="AB48:AI48"/>
    <mergeCell ref="A53:H53"/>
    <mergeCell ref="A43:H43"/>
    <mergeCell ref="J43:Q43"/>
  </mergeCells>
  <phoneticPr fontId="29" type="noConversion"/>
  <conditionalFormatting sqref="K5:Q8">
    <cfRule type="cellIs" dxfId="76" priority="12" operator="greaterThan">
      <formula>0</formula>
    </cfRule>
  </conditionalFormatting>
  <conditionalFormatting sqref="K56:Q56 T56:Z56 AC56:AI56 T61:Z61 B61:H63 K61:Q63 AC61:AI65 B68:H68 K68:Q72">
    <cfRule type="cellIs" dxfId="75" priority="1" operator="greaterThan">
      <formula>0</formula>
    </cfRule>
  </conditionalFormatting>
  <conditionalFormatting sqref="T5:Z5 AC5:AI5 T10:Z10 AC10:AI10 K15:Q15 T15:Z15 AC15:AI15 K20:Q20 T20:Z20 AC20:AI20 K25:Q25 T25:Z27 AC25:AI29 B30:H30 K30:Q30 T34:Z35 B35:H35 K35:Q35 AC35:AI35 B40:H40 K40:Q40 T40:Z41 AC40:AI41 K46:Q46 T46:Z46 AC46:AI46 B46:H50 K51:Q51 T51:Z51 AC51:AI51 B56:H56">
    <cfRule type="cellIs" dxfId="74" priority="11" operator="greaterThan">
      <formula>0</formula>
    </cfRule>
  </conditionalFormatting>
  <conditionalFormatting sqref="AJ3 B5:H24">
    <cfRule type="cellIs" dxfId="73" priority="13" operator="greaterThan">
      <formula>0</formula>
    </cfRule>
  </conditionalFormatting>
  <hyperlinks>
    <hyperlink ref="AJ34" r:id="rId2" xr:uid="{D56AA423-9D86-44A4-82C8-467C4BE38C96}"/>
  </hyperlinks>
  <pageMargins left="0.7" right="0.7" top="0.75" bottom="0.75" header="0.3" footer="0.3"/>
  <pageSetup orientation="portrait" r:id="rId3"/>
  <legacyDrawing r:id="rId4"/>
  <tableParts count="42"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34F5D-0A1D-4EA1-9988-FCA20D7941E8}">
  <dimension ref="A1:EG117"/>
  <sheetViews>
    <sheetView showGridLines="0" zoomScale="85" zoomScaleNormal="85" workbookViewId="0">
      <selection activeCell="A3" sqref="A3:B3"/>
    </sheetView>
  </sheetViews>
  <sheetFormatPr baseColWidth="10" defaultRowHeight="15"/>
  <cols>
    <col min="1" max="1" width="20.140625" bestFit="1" customWidth="1"/>
    <col min="2" max="2" width="10.7109375" bestFit="1" customWidth="1"/>
    <col min="3" max="3" width="1.7109375" customWidth="1"/>
    <col min="5" max="11" width="5.7109375" customWidth="1"/>
    <col min="12" max="12" width="1.7109375" customWidth="1"/>
    <col min="14" max="20" width="5.7109375" customWidth="1"/>
    <col min="21" max="21" width="1.7109375" customWidth="1"/>
    <col min="23" max="29" width="5.7109375" customWidth="1"/>
    <col min="30" max="30" width="1.7109375" customWidth="1"/>
    <col min="32" max="38" width="5.7109375" customWidth="1"/>
    <col min="39" max="39" width="1.7109375" customWidth="1"/>
    <col min="41" max="47" width="5.7109375" customWidth="1"/>
    <col min="48" max="48" width="1.7109375" customWidth="1"/>
    <col min="50" max="56" width="5.7109375" customWidth="1"/>
    <col min="57" max="57" width="1.7109375" customWidth="1"/>
    <col min="59" max="65" width="5.7109375" customWidth="1"/>
    <col min="66" max="66" width="1.7109375" customWidth="1"/>
    <col min="68" max="74" width="5.7109375" customWidth="1"/>
    <col min="75" max="75" width="1.7109375" customWidth="1"/>
    <col min="77" max="83" width="5.7109375" customWidth="1"/>
    <col min="84" max="84" width="1.7109375" customWidth="1"/>
    <col min="86" max="92" width="5.7109375" customWidth="1"/>
    <col min="93" max="93" width="1.7109375" customWidth="1"/>
    <col min="95" max="101" width="5.7109375" customWidth="1"/>
    <col min="102" max="102" width="1.7109375" customWidth="1"/>
    <col min="104" max="110" width="5.7109375" customWidth="1"/>
    <col min="111" max="111" width="1.7109375" customWidth="1"/>
    <col min="113" max="119" width="5.7109375" customWidth="1"/>
    <col min="120" max="120" width="1.7109375" customWidth="1"/>
    <col min="122" max="128" width="5.7109375" customWidth="1"/>
    <col min="129" max="129" width="1.7109375" customWidth="1"/>
    <col min="131" max="137" width="5.7109375" customWidth="1"/>
  </cols>
  <sheetData>
    <row r="1" spans="1:137" ht="20.25" thickBot="1">
      <c r="A1" s="78" t="s">
        <v>86</v>
      </c>
      <c r="B1" s="79"/>
      <c r="D1" s="152" t="s">
        <v>426</v>
      </c>
      <c r="E1" s="152"/>
      <c r="F1" s="152"/>
      <c r="G1" s="152"/>
      <c r="H1" s="152"/>
      <c r="I1" s="152"/>
      <c r="J1" s="152"/>
      <c r="K1" s="152"/>
      <c r="M1" s="152" t="s">
        <v>467</v>
      </c>
      <c r="N1" s="152"/>
      <c r="O1" s="152"/>
      <c r="P1" s="152"/>
      <c r="Q1" s="152"/>
      <c r="R1" s="152"/>
      <c r="S1" s="152"/>
      <c r="T1" s="152"/>
      <c r="V1" s="152" t="s">
        <v>469</v>
      </c>
      <c r="W1" s="152"/>
      <c r="X1" s="152"/>
      <c r="Y1" s="152"/>
      <c r="Z1" s="152"/>
      <c r="AA1" s="152"/>
      <c r="AB1" s="152"/>
      <c r="AC1" s="152"/>
      <c r="AE1" s="152" t="s">
        <v>472</v>
      </c>
      <c r="AF1" s="152"/>
      <c r="AG1" s="152"/>
      <c r="AH1" s="152"/>
      <c r="AI1" s="152"/>
      <c r="AJ1" s="152"/>
      <c r="AK1" s="152"/>
      <c r="AL1" s="152"/>
      <c r="AN1" s="152" t="s">
        <v>476</v>
      </c>
      <c r="AO1" s="152"/>
      <c r="AP1" s="152"/>
      <c r="AQ1" s="152"/>
      <c r="AR1" s="152"/>
      <c r="AS1" s="152"/>
      <c r="AT1" s="152"/>
      <c r="AU1" s="152"/>
      <c r="AW1" s="152" t="s">
        <v>479</v>
      </c>
      <c r="AX1" s="152"/>
      <c r="AY1" s="152"/>
      <c r="AZ1" s="152"/>
      <c r="BA1" s="152"/>
      <c r="BB1" s="152"/>
      <c r="BC1" s="152"/>
      <c r="BD1" s="152"/>
      <c r="BF1" s="152" t="s">
        <v>485</v>
      </c>
      <c r="BG1" s="152"/>
      <c r="BH1" s="152"/>
      <c r="BI1" s="152"/>
      <c r="BJ1" s="152"/>
      <c r="BK1" s="152"/>
      <c r="BL1" s="152"/>
      <c r="BM1" s="152"/>
      <c r="BO1" s="152" t="s">
        <v>489</v>
      </c>
      <c r="BP1" s="152"/>
      <c r="BQ1" s="152"/>
      <c r="BR1" s="152"/>
      <c r="BS1" s="152"/>
      <c r="BT1" s="152"/>
      <c r="BU1" s="152"/>
      <c r="BV1" s="152"/>
      <c r="BX1" s="152" t="s">
        <v>493</v>
      </c>
      <c r="BY1" s="152"/>
      <c r="BZ1" s="152"/>
      <c r="CA1" s="152"/>
      <c r="CB1" s="152"/>
      <c r="CC1" s="152"/>
      <c r="CD1" s="152"/>
      <c r="CE1" s="152"/>
      <c r="CG1" s="152" t="s">
        <v>497</v>
      </c>
      <c r="CH1" s="152"/>
      <c r="CI1" s="152"/>
      <c r="CJ1" s="152"/>
      <c r="CK1" s="152"/>
      <c r="CL1" s="152"/>
      <c r="CM1" s="152"/>
      <c r="CN1" s="152"/>
      <c r="CP1" s="152" t="s">
        <v>500</v>
      </c>
      <c r="CQ1" s="152"/>
      <c r="CR1" s="152"/>
      <c r="CS1" s="152"/>
      <c r="CT1" s="152"/>
      <c r="CU1" s="152"/>
      <c r="CV1" s="152"/>
      <c r="CW1" s="152"/>
      <c r="CY1" s="152" t="s">
        <v>504</v>
      </c>
      <c r="CZ1" s="152"/>
      <c r="DA1" s="152"/>
      <c r="DB1" s="152"/>
      <c r="DC1" s="152"/>
      <c r="DD1" s="152"/>
      <c r="DE1" s="152"/>
      <c r="DF1" s="152"/>
      <c r="DH1" s="152" t="s">
        <v>506</v>
      </c>
      <c r="DI1" s="152"/>
      <c r="DJ1" s="152"/>
      <c r="DK1" s="152"/>
      <c r="DL1" s="152"/>
      <c r="DM1" s="152"/>
      <c r="DN1" s="152"/>
      <c r="DO1" s="152"/>
      <c r="DQ1" s="152" t="s">
        <v>509</v>
      </c>
      <c r="DR1" s="152"/>
      <c r="DS1" s="152"/>
      <c r="DT1" s="152"/>
      <c r="DU1" s="152"/>
      <c r="DV1" s="152"/>
      <c r="DW1" s="152"/>
      <c r="DX1" s="152"/>
      <c r="DZ1" s="152" t="s">
        <v>512</v>
      </c>
      <c r="EA1" s="152"/>
      <c r="EB1" s="152"/>
      <c r="EC1" s="152"/>
      <c r="ED1" s="152"/>
      <c r="EE1" s="152"/>
      <c r="EF1" s="152"/>
      <c r="EG1" s="152"/>
    </row>
    <row r="2" spans="1:137" ht="15.75" thickTop="1">
      <c r="A2" s="1" t="s">
        <v>10</v>
      </c>
      <c r="B2" t="s">
        <v>92</v>
      </c>
      <c r="D2" s="151" t="s">
        <v>427</v>
      </c>
      <c r="E2" s="151"/>
      <c r="F2" s="151"/>
      <c r="G2" s="151"/>
      <c r="H2" s="151"/>
      <c r="I2" s="151"/>
      <c r="J2" s="151"/>
      <c r="K2" s="151"/>
      <c r="M2" s="151" t="s">
        <v>468</v>
      </c>
      <c r="N2" s="151"/>
      <c r="O2" s="151"/>
      <c r="P2" s="151"/>
      <c r="Q2" s="151"/>
      <c r="R2" s="151"/>
      <c r="S2" s="151"/>
      <c r="T2" s="151"/>
      <c r="V2" s="151" t="s">
        <v>470</v>
      </c>
      <c r="W2" s="151"/>
      <c r="X2" s="151"/>
      <c r="Y2" s="151"/>
      <c r="Z2" s="151"/>
      <c r="AA2" s="151"/>
      <c r="AB2" s="151"/>
      <c r="AC2" s="151"/>
      <c r="AE2" s="151" t="s">
        <v>473</v>
      </c>
      <c r="AF2" s="151"/>
      <c r="AG2" s="151"/>
      <c r="AH2" s="151"/>
      <c r="AI2" s="151"/>
      <c r="AJ2" s="151"/>
      <c r="AK2" s="151"/>
      <c r="AL2" s="151"/>
      <c r="AN2" s="151" t="s">
        <v>477</v>
      </c>
      <c r="AO2" s="151"/>
      <c r="AP2" s="151"/>
      <c r="AQ2" s="151"/>
      <c r="AR2" s="151"/>
      <c r="AS2" s="151"/>
      <c r="AT2" s="151"/>
      <c r="AU2" s="151"/>
      <c r="AW2" s="151" t="s">
        <v>480</v>
      </c>
      <c r="AX2" s="151"/>
      <c r="AY2" s="151"/>
      <c r="AZ2" s="151"/>
      <c r="BA2" s="151"/>
      <c r="BB2" s="151"/>
      <c r="BC2" s="151"/>
      <c r="BD2" s="151"/>
      <c r="BF2" s="151" t="s">
        <v>486</v>
      </c>
      <c r="BG2" s="151"/>
      <c r="BH2" s="151"/>
      <c r="BI2" s="151"/>
      <c r="BJ2" s="151"/>
      <c r="BK2" s="151"/>
      <c r="BL2" s="151"/>
      <c r="BM2" s="151"/>
      <c r="BO2" s="151" t="s">
        <v>490</v>
      </c>
      <c r="BP2" s="151"/>
      <c r="BQ2" s="151"/>
      <c r="BR2" s="151"/>
      <c r="BS2" s="151"/>
      <c r="BT2" s="151"/>
      <c r="BU2" s="151"/>
      <c r="BV2" s="151"/>
      <c r="BX2" s="154" t="s">
        <v>494</v>
      </c>
      <c r="BY2" s="155"/>
      <c r="BZ2" s="155"/>
      <c r="CA2" s="155"/>
      <c r="CB2" s="155"/>
      <c r="CC2" s="155"/>
      <c r="CD2" s="155"/>
      <c r="CE2" s="156"/>
      <c r="CG2" s="154" t="s">
        <v>498</v>
      </c>
      <c r="CH2" s="155"/>
      <c r="CI2" s="155"/>
      <c r="CJ2" s="155"/>
      <c r="CK2" s="155"/>
      <c r="CL2" s="155"/>
      <c r="CM2" s="155"/>
      <c r="CN2" s="156"/>
      <c r="CP2" s="154" t="s">
        <v>501</v>
      </c>
      <c r="CQ2" s="155"/>
      <c r="CR2" s="155"/>
      <c r="CS2" s="155"/>
      <c r="CT2" s="155"/>
      <c r="CU2" s="155"/>
      <c r="CV2" s="155"/>
      <c r="CW2" s="156"/>
      <c r="CY2" s="154" t="s">
        <v>505</v>
      </c>
      <c r="CZ2" s="155"/>
      <c r="DA2" s="155"/>
      <c r="DB2" s="155"/>
      <c r="DC2" s="155"/>
      <c r="DD2" s="155"/>
      <c r="DE2" s="155"/>
      <c r="DF2" s="156"/>
      <c r="DH2" s="154" t="s">
        <v>507</v>
      </c>
      <c r="DI2" s="155"/>
      <c r="DJ2" s="155"/>
      <c r="DK2" s="155"/>
      <c r="DL2" s="155"/>
      <c r="DM2" s="155"/>
      <c r="DN2" s="155"/>
      <c r="DO2" s="156"/>
      <c r="DQ2" s="154" t="s">
        <v>510</v>
      </c>
      <c r="DR2" s="155"/>
      <c r="DS2" s="155"/>
      <c r="DT2" s="155"/>
      <c r="DU2" s="155"/>
      <c r="DV2" s="155"/>
      <c r="DW2" s="155"/>
      <c r="DX2" s="156"/>
      <c r="DZ2" s="154" t="s">
        <v>513</v>
      </c>
      <c r="EA2" s="155"/>
      <c r="EB2" s="155"/>
      <c r="EC2" s="155"/>
      <c r="ED2" s="155"/>
      <c r="EE2" s="155"/>
      <c r="EF2" s="155"/>
      <c r="EG2" s="156"/>
    </row>
    <row r="3" spans="1:137">
      <c r="A3" s="79"/>
      <c r="B3" s="79"/>
      <c r="D3" s="150" t="s">
        <v>428</v>
      </c>
      <c r="E3" s="150"/>
      <c r="F3" s="150"/>
      <c r="G3" s="150"/>
      <c r="H3" s="150"/>
      <c r="I3" s="150"/>
      <c r="J3" s="150"/>
      <c r="K3" s="150"/>
      <c r="M3" s="150" t="s">
        <v>463</v>
      </c>
      <c r="N3" s="150"/>
      <c r="O3" s="150"/>
      <c r="P3" s="150"/>
      <c r="Q3" s="150"/>
      <c r="R3" s="150"/>
      <c r="S3" s="150"/>
      <c r="T3" s="150"/>
      <c r="V3" s="150" t="s">
        <v>471</v>
      </c>
      <c r="W3" s="150"/>
      <c r="X3" s="150"/>
      <c r="Y3" s="150"/>
      <c r="Z3" s="150"/>
      <c r="AA3" s="150"/>
      <c r="AB3" s="150"/>
      <c r="AC3" s="150"/>
      <c r="AE3" s="150" t="s">
        <v>474</v>
      </c>
      <c r="AF3" s="150"/>
      <c r="AG3" s="150"/>
      <c r="AH3" s="150"/>
      <c r="AI3" s="150"/>
      <c r="AJ3" s="150"/>
      <c r="AK3" s="150"/>
      <c r="AL3" s="150"/>
      <c r="AN3" s="150" t="s">
        <v>478</v>
      </c>
      <c r="AO3" s="150"/>
      <c r="AP3" s="150"/>
      <c r="AQ3" s="150"/>
      <c r="AR3" s="150"/>
      <c r="AS3" s="150"/>
      <c r="AT3" s="150"/>
      <c r="AU3" s="150"/>
      <c r="AW3" s="150" t="s">
        <v>481</v>
      </c>
      <c r="AX3" s="150"/>
      <c r="AY3" s="150"/>
      <c r="AZ3" s="150"/>
      <c r="BA3" s="150"/>
      <c r="BB3" s="150"/>
      <c r="BC3" s="150"/>
      <c r="BD3" s="150"/>
      <c r="BF3" s="150" t="s">
        <v>487</v>
      </c>
      <c r="BG3" s="150"/>
      <c r="BH3" s="150"/>
      <c r="BI3" s="150"/>
      <c r="BJ3" s="150"/>
      <c r="BK3" s="150"/>
      <c r="BL3" s="150"/>
      <c r="BM3" s="150"/>
      <c r="BO3" s="150" t="s">
        <v>491</v>
      </c>
      <c r="BP3" s="150"/>
      <c r="BQ3" s="150"/>
      <c r="BR3" s="150"/>
      <c r="BS3" s="150"/>
      <c r="BT3" s="150"/>
      <c r="BU3" s="150"/>
      <c r="BV3" s="150"/>
      <c r="BX3" s="146" t="s">
        <v>495</v>
      </c>
      <c r="BY3" s="147"/>
      <c r="BZ3" s="147"/>
      <c r="CA3" s="147"/>
      <c r="CB3" s="147"/>
      <c r="CC3" s="147"/>
      <c r="CD3" s="147"/>
      <c r="CE3" s="148"/>
      <c r="CG3" s="146" t="s">
        <v>499</v>
      </c>
      <c r="CH3" s="147"/>
      <c r="CI3" s="147"/>
      <c r="CJ3" s="147"/>
      <c r="CK3" s="147"/>
      <c r="CL3" s="147"/>
      <c r="CM3" s="147"/>
      <c r="CN3" s="148"/>
      <c r="CP3" s="146" t="s">
        <v>502</v>
      </c>
      <c r="CQ3" s="147"/>
      <c r="CR3" s="147"/>
      <c r="CS3" s="147"/>
      <c r="CT3" s="147"/>
      <c r="CU3" s="147"/>
      <c r="CV3" s="147"/>
      <c r="CW3" s="148"/>
      <c r="CY3" s="146" t="s">
        <v>505</v>
      </c>
      <c r="CZ3" s="147"/>
      <c r="DA3" s="147"/>
      <c r="DB3" s="147"/>
      <c r="DC3" s="147"/>
      <c r="DD3" s="147"/>
      <c r="DE3" s="147"/>
      <c r="DF3" s="148"/>
      <c r="DH3" s="146" t="s">
        <v>508</v>
      </c>
      <c r="DI3" s="147"/>
      <c r="DJ3" s="147"/>
      <c r="DK3" s="147"/>
      <c r="DL3" s="147"/>
      <c r="DM3" s="147"/>
      <c r="DN3" s="147"/>
      <c r="DO3" s="148"/>
      <c r="DQ3" s="146" t="s">
        <v>511</v>
      </c>
      <c r="DR3" s="147"/>
      <c r="DS3" s="147"/>
      <c r="DT3" s="147"/>
      <c r="DU3" s="147"/>
      <c r="DV3" s="147"/>
      <c r="DW3" s="147"/>
      <c r="DX3" s="148"/>
      <c r="DZ3" s="146" t="s">
        <v>145</v>
      </c>
      <c r="EA3" s="147"/>
      <c r="EB3" s="147"/>
      <c r="EC3" s="147"/>
      <c r="ED3" s="147"/>
      <c r="EE3" s="147"/>
      <c r="EF3" s="147"/>
      <c r="EG3" s="148"/>
    </row>
    <row r="4" spans="1:137">
      <c r="D4" t="s">
        <v>93</v>
      </c>
      <c r="E4" s="3" t="s">
        <v>94</v>
      </c>
      <c r="F4" s="3" t="s">
        <v>95</v>
      </c>
      <c r="G4" s="3" t="s">
        <v>96</v>
      </c>
      <c r="H4" s="3" t="s">
        <v>97</v>
      </c>
      <c r="I4" s="3" t="s">
        <v>98</v>
      </c>
      <c r="J4" s="3" t="s">
        <v>99</v>
      </c>
      <c r="K4" s="8" t="s">
        <v>100</v>
      </c>
      <c r="M4" t="s">
        <v>93</v>
      </c>
      <c r="N4" s="3" t="s">
        <v>94</v>
      </c>
      <c r="O4" s="3" t="s">
        <v>95</v>
      </c>
      <c r="P4" s="3" t="s">
        <v>96</v>
      </c>
      <c r="Q4" s="3" t="s">
        <v>97</v>
      </c>
      <c r="R4" s="3" t="s">
        <v>98</v>
      </c>
      <c r="S4" s="3" t="s">
        <v>99</v>
      </c>
      <c r="T4" s="8" t="s">
        <v>100</v>
      </c>
      <c r="V4" t="s">
        <v>93</v>
      </c>
      <c r="W4" s="3" t="s">
        <v>94</v>
      </c>
      <c r="X4" s="3" t="s">
        <v>95</v>
      </c>
      <c r="Y4" s="3" t="s">
        <v>96</v>
      </c>
      <c r="Z4" s="3" t="s">
        <v>97</v>
      </c>
      <c r="AA4" s="3" t="s">
        <v>98</v>
      </c>
      <c r="AB4" s="3" t="s">
        <v>99</v>
      </c>
      <c r="AC4" s="8" t="s">
        <v>100</v>
      </c>
      <c r="AE4" t="s">
        <v>93</v>
      </c>
      <c r="AF4" s="3" t="s">
        <v>94</v>
      </c>
      <c r="AG4" s="3" t="s">
        <v>95</v>
      </c>
      <c r="AH4" s="3" t="s">
        <v>96</v>
      </c>
      <c r="AI4" s="3" t="s">
        <v>97</v>
      </c>
      <c r="AJ4" s="3" t="s">
        <v>98</v>
      </c>
      <c r="AK4" s="3" t="s">
        <v>99</v>
      </c>
      <c r="AL4" s="8" t="s">
        <v>100</v>
      </c>
      <c r="AN4" t="s">
        <v>93</v>
      </c>
      <c r="AO4" s="3" t="s">
        <v>94</v>
      </c>
      <c r="AP4" s="3" t="s">
        <v>95</v>
      </c>
      <c r="AQ4" s="3" t="s">
        <v>96</v>
      </c>
      <c r="AR4" s="3" t="s">
        <v>97</v>
      </c>
      <c r="AS4" s="3" t="s">
        <v>98</v>
      </c>
      <c r="AT4" s="3" t="s">
        <v>99</v>
      </c>
      <c r="AU4" s="8" t="s">
        <v>100</v>
      </c>
      <c r="AW4" t="s">
        <v>93</v>
      </c>
      <c r="AX4" s="3" t="s">
        <v>94</v>
      </c>
      <c r="AY4" s="3" t="s">
        <v>95</v>
      </c>
      <c r="AZ4" s="3" t="s">
        <v>96</v>
      </c>
      <c r="BA4" s="3" t="s">
        <v>97</v>
      </c>
      <c r="BB4" s="3" t="s">
        <v>98</v>
      </c>
      <c r="BC4" s="3" t="s">
        <v>99</v>
      </c>
      <c r="BD4" s="8" t="s">
        <v>100</v>
      </c>
      <c r="BF4" t="s">
        <v>93</v>
      </c>
      <c r="BG4" s="3" t="s">
        <v>94</v>
      </c>
      <c r="BH4" s="3" t="s">
        <v>95</v>
      </c>
      <c r="BI4" s="3" t="s">
        <v>96</v>
      </c>
      <c r="BJ4" s="3" t="s">
        <v>97</v>
      </c>
      <c r="BK4" s="3" t="s">
        <v>98</v>
      </c>
      <c r="BL4" s="3" t="s">
        <v>99</v>
      </c>
      <c r="BM4" s="8" t="s">
        <v>100</v>
      </c>
      <c r="BO4" t="s">
        <v>93</v>
      </c>
      <c r="BP4" s="3" t="s">
        <v>94</v>
      </c>
      <c r="BQ4" s="3" t="s">
        <v>95</v>
      </c>
      <c r="BR4" s="3" t="s">
        <v>96</v>
      </c>
      <c r="BS4" s="3" t="s">
        <v>97</v>
      </c>
      <c r="BT4" s="3" t="s">
        <v>98</v>
      </c>
      <c r="BU4" s="3" t="s">
        <v>99</v>
      </c>
      <c r="BV4" s="8" t="s">
        <v>100</v>
      </c>
      <c r="BX4" t="s">
        <v>93</v>
      </c>
      <c r="BY4" s="3" t="s">
        <v>94</v>
      </c>
      <c r="BZ4" s="3" t="s">
        <v>95</v>
      </c>
      <c r="CA4" s="3" t="s">
        <v>96</v>
      </c>
      <c r="CB4" s="3" t="s">
        <v>97</v>
      </c>
      <c r="CC4" s="3" t="s">
        <v>98</v>
      </c>
      <c r="CD4" s="3" t="s">
        <v>99</v>
      </c>
      <c r="CE4" s="8" t="s">
        <v>100</v>
      </c>
      <c r="CG4" t="s">
        <v>93</v>
      </c>
      <c r="CH4" s="3" t="s">
        <v>94</v>
      </c>
      <c r="CI4" s="3" t="s">
        <v>95</v>
      </c>
      <c r="CJ4" s="3" t="s">
        <v>96</v>
      </c>
      <c r="CK4" s="3" t="s">
        <v>97</v>
      </c>
      <c r="CL4" s="3" t="s">
        <v>98</v>
      </c>
      <c r="CM4" s="3" t="s">
        <v>99</v>
      </c>
      <c r="CN4" s="8" t="s">
        <v>100</v>
      </c>
      <c r="CP4" t="s">
        <v>93</v>
      </c>
      <c r="CQ4" s="3" t="s">
        <v>94</v>
      </c>
      <c r="CR4" s="3" t="s">
        <v>95</v>
      </c>
      <c r="CS4" s="3" t="s">
        <v>96</v>
      </c>
      <c r="CT4" s="3" t="s">
        <v>97</v>
      </c>
      <c r="CU4" s="3" t="s">
        <v>98</v>
      </c>
      <c r="CV4" s="3" t="s">
        <v>99</v>
      </c>
      <c r="CW4" s="8" t="s">
        <v>100</v>
      </c>
      <c r="CY4" t="s">
        <v>93</v>
      </c>
      <c r="CZ4" s="3" t="s">
        <v>94</v>
      </c>
      <c r="DA4" s="3" t="s">
        <v>95</v>
      </c>
      <c r="DB4" s="3" t="s">
        <v>96</v>
      </c>
      <c r="DC4" s="3" t="s">
        <v>97</v>
      </c>
      <c r="DD4" s="3" t="s">
        <v>98</v>
      </c>
      <c r="DE4" s="3" t="s">
        <v>99</v>
      </c>
      <c r="DF4" s="8" t="s">
        <v>100</v>
      </c>
      <c r="DH4" t="s">
        <v>93</v>
      </c>
      <c r="DI4" s="3" t="s">
        <v>94</v>
      </c>
      <c r="DJ4" s="3" t="s">
        <v>95</v>
      </c>
      <c r="DK4" s="3" t="s">
        <v>96</v>
      </c>
      <c r="DL4" s="3" t="s">
        <v>97</v>
      </c>
      <c r="DM4" s="3" t="s">
        <v>98</v>
      </c>
      <c r="DN4" s="3" t="s">
        <v>99</v>
      </c>
      <c r="DO4" s="8" t="s">
        <v>100</v>
      </c>
      <c r="DQ4" t="s">
        <v>93</v>
      </c>
      <c r="DR4" s="3" t="s">
        <v>94</v>
      </c>
      <c r="DS4" s="3" t="s">
        <v>95</v>
      </c>
      <c r="DT4" s="3" t="s">
        <v>96</v>
      </c>
      <c r="DU4" s="3" t="s">
        <v>97</v>
      </c>
      <c r="DV4" s="3" t="s">
        <v>98</v>
      </c>
      <c r="DW4" s="3" t="s">
        <v>99</v>
      </c>
      <c r="DX4" s="8" t="s">
        <v>100</v>
      </c>
      <c r="DZ4" t="s">
        <v>93</v>
      </c>
      <c r="EA4" s="3" t="s">
        <v>94</v>
      </c>
      <c r="EB4" s="3" t="s">
        <v>95</v>
      </c>
      <c r="EC4" s="3" t="s">
        <v>96</v>
      </c>
      <c r="ED4" s="3" t="s">
        <v>97</v>
      </c>
      <c r="EE4" s="3" t="s">
        <v>98</v>
      </c>
      <c r="EF4" s="3" t="s">
        <v>99</v>
      </c>
      <c r="EG4" s="8" t="s">
        <v>100</v>
      </c>
    </row>
    <row r="5" spans="1:137">
      <c r="A5" s="142" t="s">
        <v>142</v>
      </c>
      <c r="B5" s="142"/>
      <c r="D5" s="4" t="s">
        <v>271</v>
      </c>
      <c r="E5" s="3">
        <f>IF($B$2="(Todas)",COUNTIF(BASE[CODCIE10],GUIA_NACIONAL_2022_1[[#This Row],[CIE-10]]),COUNTIFS(BASE[Cod.Establecimiento],$B$2,BASE[CODCIE10],GUIA_NACIONAL_2022_1[[#This Row],[CIE-10]]))</f>
        <v>0</v>
      </c>
      <c r="F5" s="3">
        <f>IF($B$2="(Todas)",COUNTIF(BASE[CODCIE102],GUIA_NACIONAL_2022_1[[#This Row],[CIE-10]]),COUNTIFS(BASE[Cod.Establecimiento],$B$2,BASE[CODCIE102],GUIA_NACIONAL_2022_1[[#This Row],[CIE-10]]))</f>
        <v>0</v>
      </c>
      <c r="G5" s="3">
        <f>IF($B$2="(Todas)",COUNTIF(BASE[CODCIE104],GUIA_NACIONAL_2022_1[[#This Row],[CIE-10]]),COUNTIFS(BASE[Cod.Establecimiento],$B$2,BASE[CODCIE104],GUIA_NACIONAL_2022_1[[#This Row],[CIE-10]]))</f>
        <v>0</v>
      </c>
      <c r="H5" s="3">
        <f>IF($B$2="(Todas)",COUNTIF(BASE[CODCIE106],GUIA_NACIONAL_2022_1[[#This Row],[CIE-10]]),COUNTIFS(BASE[Cod.Establecimiento],$B$2,BASE[CODCIE106],GUIA_NACIONAL_2022_1[[#This Row],[CIE-10]]))</f>
        <v>0</v>
      </c>
      <c r="I5" s="3">
        <f>IF($B$2="(Todas)",COUNTIF(BASE[CODCIE108],GUIA_NACIONAL_2022_1[[#This Row],[CIE-10]]),COUNTIFS(BASE[Cod.Establecimiento],$B$2,BASE[CODCIE108],GUIA_NACIONAL_2022_1[[#This Row],[CIE-10]]))</f>
        <v>0</v>
      </c>
      <c r="J5" s="3">
        <f>IF($B$2="(Todas)",COUNTIF(BASE[CODCIE1010],GUIA_NACIONAL_2022_1[[#This Row],[CIE-10]]),COUNTIFS(BASE[Cod.Establecimiento],$B$2,BASE[CODCIE1010],GUIA_NACIONAL_2022_1[[#This Row],[CIE-10]]))</f>
        <v>0</v>
      </c>
      <c r="K5" s="9">
        <f>SUM(GUIA_NACIONAL_2022_1[[#This Row],[D1]:[D6]])</f>
        <v>0</v>
      </c>
      <c r="M5" s="4" t="s">
        <v>464</v>
      </c>
      <c r="N5" s="3">
        <f>IF($B$2="(Todas)",COUNTIF(BASE[CODCIE10],GUIA_NACIONAL_2022_1106[[#This Row],[CIE-10]]),COUNTIFS(BASE[Cod.Establecimiento],$B$2,BASE[CODCIE10],GUIA_NACIONAL_2022_1106[[#This Row],[CIE-10]]))</f>
        <v>0</v>
      </c>
      <c r="O5" s="3">
        <f>IF($B$2="(Todas)",COUNTIF(BASE[CODCIE102],GUIA_NACIONAL_2022_1106[[#This Row],[CIE-10]]),COUNTIFS(BASE[Cod.Establecimiento],$B$2,BASE[CODCIE102],GUIA_NACIONAL_2022_1106[[#This Row],[CIE-10]]))</f>
        <v>0</v>
      </c>
      <c r="P5" s="3">
        <f>IF($B$2="(Todas)",COUNTIF(BASE[CODCIE104],GUIA_NACIONAL_2022_1106[[#This Row],[CIE-10]]),COUNTIFS(BASE[Cod.Establecimiento],$B$2,BASE[CODCIE104],GUIA_NACIONAL_2022_1106[[#This Row],[CIE-10]]))</f>
        <v>0</v>
      </c>
      <c r="Q5" s="3">
        <f>IF($B$2="(Todas)",COUNTIF(BASE[CODCIE106],GUIA_NACIONAL_2022_1106[[#This Row],[CIE-10]]),COUNTIFS(BASE[Cod.Establecimiento],$B$2,BASE[CODCIE106],GUIA_NACIONAL_2022_1106[[#This Row],[CIE-10]]))</f>
        <v>0</v>
      </c>
      <c r="R5" s="3">
        <f>IF($B$2="(Todas)",COUNTIF(BASE[CODCIE108],GUIA_NACIONAL_2022_1106[[#This Row],[CIE-10]]),COUNTIFS(BASE[Cod.Establecimiento],$B$2,BASE[CODCIE108],GUIA_NACIONAL_2022_1106[[#This Row],[CIE-10]]))</f>
        <v>0</v>
      </c>
      <c r="S5" s="3">
        <f>IF($B$2="(Todas)",COUNTIF(BASE[CODCIE1010],GUIA_NACIONAL_2022_1106[[#This Row],[CIE-10]]),COUNTIFS(BASE[Cod.Establecimiento],$B$2,BASE[CODCIE1010],GUIA_NACIONAL_2022_1106[[#This Row],[CIE-10]]))</f>
        <v>0</v>
      </c>
      <c r="T5" s="9">
        <f>SUM(GUIA_NACIONAL_2022_1106[[#This Row],[D1]:[D6]])</f>
        <v>0</v>
      </c>
      <c r="V5" s="4" t="s">
        <v>129</v>
      </c>
      <c r="W5" s="3">
        <f>IF($B$2="(Todas)",COUNTIF(BASE[CODCIE10],GUIA_NACIONAL_2022_1106128[[#This Row],[CIE-10]]),COUNTIFS(BASE[Cod.Establecimiento],$B$2,BASE[CODCIE10],GUIA_NACIONAL_2022_1106128[[#This Row],[CIE-10]]))</f>
        <v>0</v>
      </c>
      <c r="X5" s="3">
        <f>IF($B$2="(Todas)",COUNTIF(BASE[CODCIE102],GUIA_NACIONAL_2022_1106128[[#This Row],[CIE-10]]),COUNTIFS(BASE[Cod.Establecimiento],$B$2,BASE[CODCIE102],GUIA_NACIONAL_2022_1106128[[#This Row],[CIE-10]]))</f>
        <v>0</v>
      </c>
      <c r="Y5" s="3">
        <f>IF($B$2="(Todas)",COUNTIF(BASE[CODCIE104],GUIA_NACIONAL_2022_1106128[[#This Row],[CIE-10]]),COUNTIFS(BASE[Cod.Establecimiento],$B$2,BASE[CODCIE104],GUIA_NACIONAL_2022_1106128[[#This Row],[CIE-10]]))</f>
        <v>0</v>
      </c>
      <c r="Z5" s="3">
        <f>IF($B$2="(Todas)",COUNTIF(BASE[CODCIE106],GUIA_NACIONAL_2022_1106128[[#This Row],[CIE-10]]),COUNTIFS(BASE[Cod.Establecimiento],$B$2,BASE[CODCIE106],GUIA_NACIONAL_2022_1106128[[#This Row],[CIE-10]]))</f>
        <v>0</v>
      </c>
      <c r="AA5" s="3">
        <f>IF($B$2="(Todas)",COUNTIF(BASE[CODCIE108],GUIA_NACIONAL_2022_1106128[[#This Row],[CIE-10]]),COUNTIFS(BASE[Cod.Establecimiento],$B$2,BASE[CODCIE108],GUIA_NACIONAL_2022_1106128[[#This Row],[CIE-10]]))</f>
        <v>0</v>
      </c>
      <c r="AB5" s="3">
        <f>IF($B$2="(Todas)",COUNTIF(BASE[CODCIE1010],GUIA_NACIONAL_2022_1106128[[#This Row],[CIE-10]]),COUNTIFS(BASE[Cod.Establecimiento],$B$2,BASE[CODCIE1010],GUIA_NACIONAL_2022_1106128[[#This Row],[CIE-10]]))</f>
        <v>0</v>
      </c>
      <c r="AC5" s="9">
        <f>SUM(GUIA_NACIONAL_2022_1106128[[#This Row],[D1]:[D6]])</f>
        <v>0</v>
      </c>
      <c r="AE5" s="4" t="s">
        <v>475</v>
      </c>
      <c r="AF5" s="3">
        <f>IF($B$2="(Todas)",COUNTIF(BASE[CODCIE10],GUIA_NACIONAL_2022_1106128105[[#This Row],[CIE-10]]),COUNTIFS(BASE[Cod.Establecimiento],$B$2,BASE[CODCIE10],GUIA_NACIONAL_2022_1106128105[[#This Row],[CIE-10]]))</f>
        <v>0</v>
      </c>
      <c r="AG5" s="3">
        <f>IF($B$2="(Todas)",COUNTIF(BASE[CODCIE102],GUIA_NACIONAL_2022_1106128105[[#This Row],[CIE-10]]),COUNTIFS(BASE[Cod.Establecimiento],$B$2,BASE[CODCIE102],GUIA_NACIONAL_2022_1106128105[[#This Row],[CIE-10]]))</f>
        <v>0</v>
      </c>
      <c r="AH5" s="3">
        <f>IF($B$2="(Todas)",COUNTIF(BASE[CODCIE104],GUIA_NACIONAL_2022_1106128105[[#This Row],[CIE-10]]),COUNTIFS(BASE[Cod.Establecimiento],$B$2,BASE[CODCIE104],GUIA_NACIONAL_2022_1106128105[[#This Row],[CIE-10]]))</f>
        <v>0</v>
      </c>
      <c r="AI5" s="3">
        <f>IF($B$2="(Todas)",COUNTIF(BASE[CODCIE106],GUIA_NACIONAL_2022_1106128105[[#This Row],[CIE-10]]),COUNTIFS(BASE[Cod.Establecimiento],$B$2,BASE[CODCIE106],GUIA_NACIONAL_2022_1106128105[[#This Row],[CIE-10]]))</f>
        <v>0</v>
      </c>
      <c r="AJ5" s="3">
        <f>IF($B$2="(Todas)",COUNTIF(BASE[CODCIE108],GUIA_NACIONAL_2022_1106128105[[#This Row],[CIE-10]]),COUNTIFS(BASE[Cod.Establecimiento],$B$2,BASE[CODCIE108],GUIA_NACIONAL_2022_1106128105[[#This Row],[CIE-10]]))</f>
        <v>0</v>
      </c>
      <c r="AK5" s="3">
        <f>IF($B$2="(Todas)",COUNTIF(BASE[CODCIE1010],GUIA_NACIONAL_2022_1106128105[[#This Row],[CIE-10]]),COUNTIFS(BASE[Cod.Establecimiento],$B$2,BASE[CODCIE1010],GUIA_NACIONAL_2022_1106128105[[#This Row],[CIE-10]]))</f>
        <v>0</v>
      </c>
      <c r="AL5" s="9">
        <f>SUM(GUIA_NACIONAL_2022_1106128105[[#This Row],[D1]:[D6]])</f>
        <v>0</v>
      </c>
      <c r="AN5" s="4" t="s">
        <v>335</v>
      </c>
      <c r="AO5" s="3">
        <f>IF($B$2="(Todas)",COUNTIF(BASE[CODCIE10],GUIA_NACIONAL_2022_1106128105107[[#This Row],[CIE-10]]),COUNTIFS(BASE[Cod.Establecimiento],$B$2,BASE[CODCIE10],GUIA_NACIONAL_2022_1106128105107[[#This Row],[CIE-10]]))</f>
        <v>0</v>
      </c>
      <c r="AP5" s="3">
        <f>IF($B$2="(Todas)",COUNTIF(BASE[CODCIE102],GUIA_NACIONAL_2022_1106128105107[[#This Row],[CIE-10]]),COUNTIFS(BASE[Cod.Establecimiento],$B$2,BASE[CODCIE102],GUIA_NACIONAL_2022_1106128105107[[#This Row],[CIE-10]]))</f>
        <v>0</v>
      </c>
      <c r="AQ5" s="3">
        <f>IF($B$2="(Todas)",COUNTIF(BASE[CODCIE104],GUIA_NACIONAL_2022_1106128105107[[#This Row],[CIE-10]]),COUNTIFS(BASE[Cod.Establecimiento],$B$2,BASE[CODCIE104],GUIA_NACIONAL_2022_1106128105107[[#This Row],[CIE-10]]))</f>
        <v>0</v>
      </c>
      <c r="AR5" s="3">
        <f>IF($B$2="(Todas)",COUNTIF(BASE[CODCIE106],GUIA_NACIONAL_2022_1106128105107[[#This Row],[CIE-10]]),COUNTIFS(BASE[Cod.Establecimiento],$B$2,BASE[CODCIE106],GUIA_NACIONAL_2022_1106128105107[[#This Row],[CIE-10]]))</f>
        <v>0</v>
      </c>
      <c r="AS5" s="3">
        <f>IF($B$2="(Todas)",COUNTIF(BASE[CODCIE108],GUIA_NACIONAL_2022_1106128105107[[#This Row],[CIE-10]]),COUNTIFS(BASE[Cod.Establecimiento],$B$2,BASE[CODCIE108],GUIA_NACIONAL_2022_1106128105107[[#This Row],[CIE-10]]))</f>
        <v>0</v>
      </c>
      <c r="AT5" s="3">
        <f>IF($B$2="(Todas)",COUNTIF(BASE[CODCIE1010],GUIA_NACIONAL_2022_1106128105107[[#This Row],[CIE-10]]),COUNTIFS(BASE[Cod.Establecimiento],$B$2,BASE[CODCIE1010],GUIA_NACIONAL_2022_1106128105107[[#This Row],[CIE-10]]))</f>
        <v>0</v>
      </c>
      <c r="AU5" s="9">
        <f>SUM(GUIA_NACIONAL_2022_1106128105107[[#This Row],[D1]:[D6]])</f>
        <v>0</v>
      </c>
      <c r="AW5" s="4" t="s">
        <v>482</v>
      </c>
      <c r="AX5" s="3">
        <f>IF($B$2="(Todas)",COUNTIF(BASE[CODCIE10],GUIA_NACIONAL_2022_1106128105107110[[#This Row],[CIE-10]]),COUNTIFS(BASE[Cod.Establecimiento],$B$2,BASE[CODCIE10],GUIA_NACIONAL_2022_1106128105107110[[#This Row],[CIE-10]]))</f>
        <v>0</v>
      </c>
      <c r="AY5" s="3">
        <f>IF($B$2="(Todas)",COUNTIF(BASE[CODCIE102],GUIA_NACIONAL_2022_1106128105107110[[#This Row],[CIE-10]]),COUNTIFS(BASE[Cod.Establecimiento],$B$2,BASE[CODCIE102],GUIA_NACIONAL_2022_1106128105107110[[#This Row],[CIE-10]]))</f>
        <v>0</v>
      </c>
      <c r="AZ5" s="3">
        <f>IF($B$2="(Todas)",COUNTIF(BASE[CODCIE104],GUIA_NACIONAL_2022_1106128105107110[[#This Row],[CIE-10]]),COUNTIFS(BASE[Cod.Establecimiento],$B$2,BASE[CODCIE104],GUIA_NACIONAL_2022_1106128105107110[[#This Row],[CIE-10]]))</f>
        <v>0</v>
      </c>
      <c r="BA5" s="3">
        <f>IF($B$2="(Todas)",COUNTIF(BASE[CODCIE106],GUIA_NACIONAL_2022_1106128105107110[[#This Row],[CIE-10]]),COUNTIFS(BASE[Cod.Establecimiento],$B$2,BASE[CODCIE106],GUIA_NACIONAL_2022_1106128105107110[[#This Row],[CIE-10]]))</f>
        <v>0</v>
      </c>
      <c r="BB5" s="3">
        <f>IF($B$2="(Todas)",COUNTIF(BASE[CODCIE108],GUIA_NACIONAL_2022_1106128105107110[[#This Row],[CIE-10]]),COUNTIFS(BASE[Cod.Establecimiento],$B$2,BASE[CODCIE108],GUIA_NACIONAL_2022_1106128105107110[[#This Row],[CIE-10]]))</f>
        <v>0</v>
      </c>
      <c r="BC5" s="3">
        <f>IF($B$2="(Todas)",COUNTIF(BASE[CODCIE1010],GUIA_NACIONAL_2022_1106128105107110[[#This Row],[CIE-10]]),COUNTIFS(BASE[Cod.Establecimiento],$B$2,BASE[CODCIE1010],GUIA_NACIONAL_2022_1106128105107110[[#This Row],[CIE-10]]))</f>
        <v>0</v>
      </c>
      <c r="BD5" s="9">
        <f>SUM(GUIA_NACIONAL_2022_1106128105107110[[#This Row],[D1]:[D6]])</f>
        <v>0</v>
      </c>
      <c r="BF5" s="4" t="s">
        <v>488</v>
      </c>
      <c r="BG5" s="3">
        <f>IF($B$2="(Todas)",COUNTIF(BASE[CODCIE10],GUIA_NACIONAL_2022_1106128105107111[[#This Row],[CIE-10]]),COUNTIFS(BASE[Cod.Establecimiento],$B$2,BASE[CODCIE10],GUIA_NACIONAL_2022_1106128105107111[[#This Row],[CIE-10]]))</f>
        <v>0</v>
      </c>
      <c r="BH5" s="3">
        <f>IF($B$2="(Todas)",COUNTIF(BASE[CODCIE102],GUIA_NACIONAL_2022_1106128105107111[[#This Row],[CIE-10]]),COUNTIFS(BASE[Cod.Establecimiento],$B$2,BASE[CODCIE102],GUIA_NACIONAL_2022_1106128105107111[[#This Row],[CIE-10]]))</f>
        <v>0</v>
      </c>
      <c r="BI5" s="3">
        <f>IF($B$2="(Todas)",COUNTIF(BASE[CODCIE104],GUIA_NACIONAL_2022_1106128105107111[[#This Row],[CIE-10]]),COUNTIFS(BASE[Cod.Establecimiento],$B$2,BASE[CODCIE104],GUIA_NACIONAL_2022_1106128105107111[[#This Row],[CIE-10]]))</f>
        <v>0</v>
      </c>
      <c r="BJ5" s="3">
        <f>IF($B$2="(Todas)",COUNTIF(BASE[CODCIE106],GUIA_NACIONAL_2022_1106128105107111[[#This Row],[CIE-10]]),COUNTIFS(BASE[Cod.Establecimiento],$B$2,BASE[CODCIE106],GUIA_NACIONAL_2022_1106128105107111[[#This Row],[CIE-10]]))</f>
        <v>0</v>
      </c>
      <c r="BK5" s="3">
        <f>IF($B$2="(Todas)",COUNTIF(BASE[CODCIE108],GUIA_NACIONAL_2022_1106128105107111[[#This Row],[CIE-10]]),COUNTIFS(BASE[Cod.Establecimiento],$B$2,BASE[CODCIE108],GUIA_NACIONAL_2022_1106128105107111[[#This Row],[CIE-10]]))</f>
        <v>0</v>
      </c>
      <c r="BL5" s="3">
        <f>IF($B$2="(Todas)",COUNTIF(BASE[CODCIE1010],GUIA_NACIONAL_2022_1106128105107111[[#This Row],[CIE-10]]),COUNTIFS(BASE[Cod.Establecimiento],$B$2,BASE[CODCIE1010],GUIA_NACIONAL_2022_1106128105107111[[#This Row],[CIE-10]]))</f>
        <v>0</v>
      </c>
      <c r="BM5" s="9">
        <f>SUM(GUIA_NACIONAL_2022_1106128105107111[[#This Row],[D1]:[D6]])</f>
        <v>0</v>
      </c>
      <c r="BO5" s="4" t="s">
        <v>492</v>
      </c>
      <c r="BP5" s="3">
        <f>IF($B$2="(Todas)",COUNTIF(BASE[CODCIE10],GUIA_NACIONAL_2022_1106128105107111115[[#This Row],[CIE-10]]),COUNTIFS(BASE[Cod.Establecimiento],$B$2,BASE[CODCIE10],GUIA_NACIONAL_2022_1106128105107111115[[#This Row],[CIE-10]]))</f>
        <v>0</v>
      </c>
      <c r="BQ5" s="3">
        <f>IF($B$2="(Todas)",COUNTIF(BASE[CODCIE102],GUIA_NACIONAL_2022_1106128105107111115[[#This Row],[CIE-10]]),COUNTIFS(BASE[Cod.Establecimiento],$B$2,BASE[CODCIE102],GUIA_NACIONAL_2022_1106128105107111115[[#This Row],[CIE-10]]))</f>
        <v>0</v>
      </c>
      <c r="BR5" s="3">
        <f>IF($B$2="(Todas)",COUNTIF(BASE[CODCIE104],GUIA_NACIONAL_2022_1106128105107111115[[#This Row],[CIE-10]]),COUNTIFS(BASE[Cod.Establecimiento],$B$2,BASE[CODCIE104],GUIA_NACIONAL_2022_1106128105107111115[[#This Row],[CIE-10]]))</f>
        <v>0</v>
      </c>
      <c r="BS5" s="3">
        <f>IF($B$2="(Todas)",COUNTIF(BASE[CODCIE106],GUIA_NACIONAL_2022_1106128105107111115[[#This Row],[CIE-10]]),COUNTIFS(BASE[Cod.Establecimiento],$B$2,BASE[CODCIE106],GUIA_NACIONAL_2022_1106128105107111115[[#This Row],[CIE-10]]))</f>
        <v>0</v>
      </c>
      <c r="BT5" s="3">
        <f>IF($B$2="(Todas)",COUNTIF(BASE[CODCIE108],GUIA_NACIONAL_2022_1106128105107111115[[#This Row],[CIE-10]]),COUNTIFS(BASE[Cod.Establecimiento],$B$2,BASE[CODCIE108],GUIA_NACIONAL_2022_1106128105107111115[[#This Row],[CIE-10]]))</f>
        <v>0</v>
      </c>
      <c r="BU5" s="3">
        <f>IF($B$2="(Todas)",COUNTIF(BASE[CODCIE1010],GUIA_NACIONAL_2022_1106128105107111115[[#This Row],[CIE-10]]),COUNTIFS(BASE[Cod.Establecimiento],$B$2,BASE[CODCIE1010],GUIA_NACIONAL_2022_1106128105107111115[[#This Row],[CIE-10]]))</f>
        <v>0</v>
      </c>
      <c r="BV5" s="9">
        <f>SUM(GUIA_NACIONAL_2022_1106128105107111115[[#This Row],[D1]:[D6]])</f>
        <v>0</v>
      </c>
      <c r="BX5" s="4" t="s">
        <v>496</v>
      </c>
      <c r="BY5" s="3">
        <f>IF($B$2="(Todas)",COUNTIF(BASE[CODCIE10],GUIA_NACIONAL_2022_1106128105107111115129[[#This Row],[CIE-10]]),COUNTIFS(BASE[Cod.Establecimiento],$B$2,BASE[CODCIE10],GUIA_NACIONAL_2022_1106128105107111115129[[#This Row],[CIE-10]]))</f>
        <v>0</v>
      </c>
      <c r="BZ5" s="3">
        <f>IF($B$2="(Todas)",COUNTIF(BASE[CODCIE102],GUIA_NACIONAL_2022_1106128105107111115129[[#This Row],[CIE-10]]),COUNTIFS(BASE[Cod.Establecimiento],$B$2,BASE[CODCIE102],GUIA_NACIONAL_2022_1106128105107111115129[[#This Row],[CIE-10]]))</f>
        <v>0</v>
      </c>
      <c r="CA5" s="3">
        <f>IF($B$2="(Todas)",COUNTIF(BASE[CODCIE104],GUIA_NACIONAL_2022_1106128105107111115129[[#This Row],[CIE-10]]),COUNTIFS(BASE[Cod.Establecimiento],$B$2,BASE[CODCIE104],GUIA_NACIONAL_2022_1106128105107111115129[[#This Row],[CIE-10]]))</f>
        <v>0</v>
      </c>
      <c r="CB5" s="3">
        <f>IF($B$2="(Todas)",COUNTIF(BASE[CODCIE106],GUIA_NACIONAL_2022_1106128105107111115129[[#This Row],[CIE-10]]),COUNTIFS(BASE[Cod.Establecimiento],$B$2,BASE[CODCIE106],GUIA_NACIONAL_2022_1106128105107111115129[[#This Row],[CIE-10]]))</f>
        <v>0</v>
      </c>
      <c r="CC5" s="3">
        <f>IF($B$2="(Todas)",COUNTIF(BASE[CODCIE108],GUIA_NACIONAL_2022_1106128105107111115129[[#This Row],[CIE-10]]),COUNTIFS(BASE[Cod.Establecimiento],$B$2,BASE[CODCIE108],GUIA_NACIONAL_2022_1106128105107111115129[[#This Row],[CIE-10]]))</f>
        <v>0</v>
      </c>
      <c r="CD5" s="3">
        <f>IF($B$2="(Todas)",COUNTIF(BASE[CODCIE1010],GUIA_NACIONAL_2022_1106128105107111115129[[#This Row],[CIE-10]]),COUNTIFS(BASE[Cod.Establecimiento],$B$2,BASE[CODCIE1010],GUIA_NACIONAL_2022_1106128105107111115129[[#This Row],[CIE-10]]))</f>
        <v>0</v>
      </c>
      <c r="CE5" s="9">
        <f>SUM(GUIA_NACIONAL_2022_1106128105107111115129[[#This Row],[D1]:[D6]])</f>
        <v>0</v>
      </c>
      <c r="CG5" s="4" t="s">
        <v>715</v>
      </c>
      <c r="CH5" s="3">
        <f>IF($B$2="(Todas)",COUNTIF(BASE[CODCIE10],GUIA_NACIONAL_2022_1106128105107111115129130[[#This Row],[CIE-10]]),COUNTIFS(BASE[Cod.Establecimiento],$B$2,BASE[CODCIE10],GUIA_NACIONAL_2022_1106128105107111115129130[[#This Row],[CIE-10]]))</f>
        <v>0</v>
      </c>
      <c r="CI5" s="3">
        <f>IF($B$2="(Todas)",COUNTIF(BASE[CODCIE102],GUIA_NACIONAL_2022_1106128105107111115129130[[#This Row],[CIE-10]]),COUNTIFS(BASE[Cod.Establecimiento],$B$2,BASE[CODCIE102],GUIA_NACIONAL_2022_1106128105107111115129130[[#This Row],[CIE-10]]))</f>
        <v>0</v>
      </c>
      <c r="CJ5" s="3">
        <f>IF($B$2="(Todas)",COUNTIF(BASE[CODCIE104],GUIA_NACIONAL_2022_1106128105107111115129130[[#This Row],[CIE-10]]),COUNTIFS(BASE[Cod.Establecimiento],$B$2,BASE[CODCIE104],GUIA_NACIONAL_2022_1106128105107111115129130[[#This Row],[CIE-10]]))</f>
        <v>0</v>
      </c>
      <c r="CK5" s="3">
        <f>IF($B$2="(Todas)",COUNTIF(BASE[CODCIE106],GUIA_NACIONAL_2022_1106128105107111115129130[[#This Row],[CIE-10]]),COUNTIFS(BASE[Cod.Establecimiento],$B$2,BASE[CODCIE106],GUIA_NACIONAL_2022_1106128105107111115129130[[#This Row],[CIE-10]]))</f>
        <v>0</v>
      </c>
      <c r="CL5" s="3">
        <f>IF($B$2="(Todas)",COUNTIF(BASE[CODCIE108],GUIA_NACIONAL_2022_1106128105107111115129130[[#This Row],[CIE-10]]),COUNTIFS(BASE[Cod.Establecimiento],$B$2,BASE[CODCIE108],GUIA_NACIONAL_2022_1106128105107111115129130[[#This Row],[CIE-10]]))</f>
        <v>0</v>
      </c>
      <c r="CM5" s="3">
        <f>IF($B$2="(Todas)",COUNTIF(BASE[CODCIE1010],GUIA_NACIONAL_2022_1106128105107111115129130[[#This Row],[CIE-10]]),COUNTIFS(BASE[Cod.Establecimiento],$B$2,BASE[CODCIE1010],GUIA_NACIONAL_2022_1106128105107111115129130[[#This Row],[CIE-10]]))</f>
        <v>0</v>
      </c>
      <c r="CN5" s="9">
        <f>SUM(GUIA_NACIONAL_2022_1106128105107111115129130[[#This Row],[D1]:[D6]])</f>
        <v>0</v>
      </c>
      <c r="CP5" s="4" t="s">
        <v>503</v>
      </c>
      <c r="CQ5" s="3">
        <f>IF($B$2="(Todas)",COUNTIF(BASE[CODCIE10],GUIA_NACIONAL_2022_1106128105107111115129130131[[#This Row],[CIE-10]]),COUNTIFS(BASE[Cod.Establecimiento],$B$2,BASE[CODCIE10],GUIA_NACIONAL_2022_1106128105107111115129130131[[#This Row],[CIE-10]]))</f>
        <v>0</v>
      </c>
      <c r="CR5" s="3">
        <f>IF($B$2="(Todas)",COUNTIF(BASE[CODCIE102],GUIA_NACIONAL_2022_1106128105107111115129130131[[#This Row],[CIE-10]]),COUNTIFS(BASE[Cod.Establecimiento],$B$2,BASE[CODCIE102],GUIA_NACIONAL_2022_1106128105107111115129130131[[#This Row],[CIE-10]]))</f>
        <v>0</v>
      </c>
      <c r="CS5" s="3">
        <f>IF($B$2="(Todas)",COUNTIF(BASE[CODCIE104],GUIA_NACIONAL_2022_1106128105107111115129130131[[#This Row],[CIE-10]]),COUNTIFS(BASE[Cod.Establecimiento],$B$2,BASE[CODCIE104],GUIA_NACIONAL_2022_1106128105107111115129130131[[#This Row],[CIE-10]]))</f>
        <v>0</v>
      </c>
      <c r="CT5" s="3">
        <f>IF($B$2="(Todas)",COUNTIF(BASE[CODCIE106],GUIA_NACIONAL_2022_1106128105107111115129130131[[#This Row],[CIE-10]]),COUNTIFS(BASE[Cod.Establecimiento],$B$2,BASE[CODCIE106],GUIA_NACIONAL_2022_1106128105107111115129130131[[#This Row],[CIE-10]]))</f>
        <v>0</v>
      </c>
      <c r="CU5" s="3">
        <f>IF($B$2="(Todas)",COUNTIF(BASE[CODCIE108],GUIA_NACIONAL_2022_1106128105107111115129130131[[#This Row],[CIE-10]]),COUNTIFS(BASE[Cod.Establecimiento],$B$2,BASE[CODCIE108],GUIA_NACIONAL_2022_1106128105107111115129130131[[#This Row],[CIE-10]]))</f>
        <v>0</v>
      </c>
      <c r="CV5" s="3">
        <f>IF($B$2="(Todas)",COUNTIF(BASE[CODCIE1010],GUIA_NACIONAL_2022_1106128105107111115129130131[[#This Row],[CIE-10]]),COUNTIFS(BASE[Cod.Establecimiento],$B$2,BASE[CODCIE1010],GUIA_NACIONAL_2022_1106128105107111115129130131[[#This Row],[CIE-10]]))</f>
        <v>0</v>
      </c>
      <c r="CW5" s="9">
        <f>SUM(GUIA_NACIONAL_2022_1106128105107111115129130131[[#This Row],[D1]:[D6]])</f>
        <v>0</v>
      </c>
      <c r="CY5" s="4"/>
      <c r="CZ5" s="3">
        <f>IF($B$2="(Todas)",COUNTIF(BASE[CODCIE10],GUIA_NACIONAL_2022_1106128105107111115129130131132[[#This Row],[CIE-10]]),COUNTIFS(BASE[Cod.Establecimiento],$B$2,BASE[CODCIE10],GUIA_NACIONAL_2022_1106128105107111115129130131132[[#This Row],[CIE-10]]))</f>
        <v>0</v>
      </c>
      <c r="DA5" s="3">
        <f>IF($B$2="(Todas)",COUNTIF(BASE[CODCIE102],GUIA_NACIONAL_2022_1106128105107111115129130131132[[#This Row],[CIE-10]]),COUNTIFS(BASE[Cod.Establecimiento],$B$2,BASE[CODCIE102],GUIA_NACIONAL_2022_1106128105107111115129130131132[[#This Row],[CIE-10]]))</f>
        <v>0</v>
      </c>
      <c r="DB5" s="3">
        <f>IF($B$2="(Todas)",COUNTIF(BASE[CODCIE104],GUIA_NACIONAL_2022_1106128105107111115129130131132[[#This Row],[CIE-10]]),COUNTIFS(BASE[Cod.Establecimiento],$B$2,BASE[CODCIE104],GUIA_NACIONAL_2022_1106128105107111115129130131132[[#This Row],[CIE-10]]))</f>
        <v>0</v>
      </c>
      <c r="DC5" s="3">
        <f>IF($B$2="(Todas)",COUNTIF(BASE[CODCIE106],GUIA_NACIONAL_2022_1106128105107111115129130131132[[#This Row],[CIE-10]]),COUNTIFS(BASE[Cod.Establecimiento],$B$2,BASE[CODCIE106],GUIA_NACIONAL_2022_1106128105107111115129130131132[[#This Row],[CIE-10]]))</f>
        <v>0</v>
      </c>
      <c r="DD5" s="3">
        <f>IF($B$2="(Todas)",COUNTIF(BASE[CODCIE108],GUIA_NACIONAL_2022_1106128105107111115129130131132[[#This Row],[CIE-10]]),COUNTIFS(BASE[Cod.Establecimiento],$B$2,BASE[CODCIE108],GUIA_NACIONAL_2022_1106128105107111115129130131132[[#This Row],[CIE-10]]))</f>
        <v>0</v>
      </c>
      <c r="DE5" s="3">
        <f>IF($B$2="(Todas)",COUNTIF(BASE[CODCIE1010],GUIA_NACIONAL_2022_1106128105107111115129130131132[[#This Row],[CIE-10]]),COUNTIFS(BASE[Cod.Establecimiento],$B$2,BASE[CODCIE1010],GUIA_NACIONAL_2022_1106128105107111115129130131132[[#This Row],[CIE-10]]))</f>
        <v>0</v>
      </c>
      <c r="DF5" s="9">
        <f>SUM(GUIA_NACIONAL_2022_1106128105107111115129130131132[[#This Row],[D1]:[D6]])</f>
        <v>0</v>
      </c>
      <c r="DH5" s="4" t="s">
        <v>364</v>
      </c>
      <c r="DI5" s="3">
        <f>IF($B$2="(Todas)",COUNTIF(BASE[CODCIE10],GUIA_NACIONAL_2022_1106128105107111115129130131132133[[#This Row],[CIE-10]]),COUNTIFS(BASE[Cod.Establecimiento],$B$2,BASE[CODCIE10],GUIA_NACIONAL_2022_1106128105107111115129130131132133[[#This Row],[CIE-10]]))</f>
        <v>0</v>
      </c>
      <c r="DJ5" s="3">
        <f>IF($B$2="(Todas)",COUNTIF(BASE[CODCIE102],GUIA_NACIONAL_2022_1106128105107111115129130131132133[[#This Row],[CIE-10]]),COUNTIFS(BASE[Cod.Establecimiento],$B$2,BASE[CODCIE102],GUIA_NACIONAL_2022_1106128105107111115129130131132133[[#This Row],[CIE-10]]))</f>
        <v>0</v>
      </c>
      <c r="DK5" s="3">
        <f>IF($B$2="(Todas)",COUNTIF(BASE[CODCIE104],GUIA_NACIONAL_2022_1106128105107111115129130131132133[[#This Row],[CIE-10]]),COUNTIFS(BASE[Cod.Establecimiento],$B$2,BASE[CODCIE104],GUIA_NACIONAL_2022_1106128105107111115129130131132133[[#This Row],[CIE-10]]))</f>
        <v>0</v>
      </c>
      <c r="DL5" s="3">
        <f>IF($B$2="(Todas)",COUNTIF(BASE[CODCIE106],GUIA_NACIONAL_2022_1106128105107111115129130131132133[[#This Row],[CIE-10]]),COUNTIFS(BASE[Cod.Establecimiento],$B$2,BASE[CODCIE106],GUIA_NACIONAL_2022_1106128105107111115129130131132133[[#This Row],[CIE-10]]))</f>
        <v>0</v>
      </c>
      <c r="DM5" s="3">
        <f>IF($B$2="(Todas)",COUNTIF(BASE[CODCIE108],GUIA_NACIONAL_2022_1106128105107111115129130131132133[[#This Row],[CIE-10]]),COUNTIFS(BASE[Cod.Establecimiento],$B$2,BASE[CODCIE108],GUIA_NACIONAL_2022_1106128105107111115129130131132133[[#This Row],[CIE-10]]))</f>
        <v>0</v>
      </c>
      <c r="DN5" s="3">
        <f>IF($B$2="(Todas)",COUNTIF(BASE[CODCIE1010],GUIA_NACIONAL_2022_1106128105107111115129130131132133[[#This Row],[CIE-10]]),COUNTIFS(BASE[Cod.Establecimiento],$B$2,BASE[CODCIE1010],GUIA_NACIONAL_2022_1106128105107111115129130131132133[[#This Row],[CIE-10]]))</f>
        <v>0</v>
      </c>
      <c r="DO5" s="9">
        <f>SUM(GUIA_NACIONAL_2022_1106128105107111115129130131132133[[#This Row],[D1]:[D6]])</f>
        <v>0</v>
      </c>
      <c r="DQ5" s="4"/>
      <c r="DR5" s="3">
        <f>IF($B$2="(Todas)",COUNTIF(BASE[CODCIE10],GUIA_NACIONAL_2022_1106128105107111115129130131132133134[[#This Row],[CIE-10]]),COUNTIFS(BASE[Cod.Establecimiento],$B$2,BASE[CODCIE10],GUIA_NACIONAL_2022_1106128105107111115129130131132133134[[#This Row],[CIE-10]]))</f>
        <v>0</v>
      </c>
      <c r="DS5" s="3">
        <f>IF($B$2="(Todas)",COUNTIF(BASE[CODCIE102],GUIA_NACIONAL_2022_1106128105107111115129130131132133134[[#This Row],[CIE-10]]),COUNTIFS(BASE[Cod.Establecimiento],$B$2,BASE[CODCIE102],GUIA_NACIONAL_2022_1106128105107111115129130131132133134[[#This Row],[CIE-10]]))</f>
        <v>0</v>
      </c>
      <c r="DT5" s="3">
        <f>IF($B$2="(Todas)",COUNTIF(BASE[CODCIE104],GUIA_NACIONAL_2022_1106128105107111115129130131132133134[[#This Row],[CIE-10]]),COUNTIFS(BASE[Cod.Establecimiento],$B$2,BASE[CODCIE104],GUIA_NACIONAL_2022_1106128105107111115129130131132133134[[#This Row],[CIE-10]]))</f>
        <v>0</v>
      </c>
      <c r="DU5" s="3">
        <f>IF($B$2="(Todas)",COUNTIF(BASE[CODCIE106],GUIA_NACIONAL_2022_1106128105107111115129130131132133134[[#This Row],[CIE-10]]),COUNTIFS(BASE[Cod.Establecimiento],$B$2,BASE[CODCIE106],GUIA_NACIONAL_2022_1106128105107111115129130131132133134[[#This Row],[CIE-10]]))</f>
        <v>0</v>
      </c>
      <c r="DV5" s="3">
        <f>IF($B$2="(Todas)",COUNTIF(BASE[CODCIE108],GUIA_NACIONAL_2022_1106128105107111115129130131132133134[[#This Row],[CIE-10]]),COUNTIFS(BASE[Cod.Establecimiento],$B$2,BASE[CODCIE108],GUIA_NACIONAL_2022_1106128105107111115129130131132133134[[#This Row],[CIE-10]]))</f>
        <v>0</v>
      </c>
      <c r="DW5" s="3">
        <f>IF($B$2="(Todas)",COUNTIF(BASE[CODCIE1010],GUIA_NACIONAL_2022_1106128105107111115129130131132133134[[#This Row],[CIE-10]]),COUNTIFS(BASE[Cod.Establecimiento],$B$2,BASE[CODCIE1010],GUIA_NACIONAL_2022_1106128105107111115129130131132133134[[#This Row],[CIE-10]]))</f>
        <v>0</v>
      </c>
      <c r="DX5" s="9">
        <f>SUM(GUIA_NACIONAL_2022_1106128105107111115129130131132133134[[#This Row],[D1]:[D6]])</f>
        <v>0</v>
      </c>
      <c r="DZ5" s="4"/>
      <c r="EA5" s="3">
        <f>IF($B$2="(Todas)",COUNTIF(BASE[CODCIE10],GUIA_NACIONAL_2022_1106128105107111115129130131132133134135[[#This Row],[CIE-10]]),COUNTIFS(BASE[Cod.Establecimiento],$B$2,BASE[CODCIE10],GUIA_NACIONAL_2022_1106128105107111115129130131132133134135[[#This Row],[CIE-10]]))</f>
        <v>0</v>
      </c>
      <c r="EB5" s="3">
        <f>IF($B$2="(Todas)",COUNTIF(BASE[CODCIE102],GUIA_NACIONAL_2022_1106128105107111115129130131132133134135[[#This Row],[CIE-10]]),COUNTIFS(BASE[Cod.Establecimiento],$B$2,BASE[CODCIE102],GUIA_NACIONAL_2022_1106128105107111115129130131132133134135[[#This Row],[CIE-10]]))</f>
        <v>0</v>
      </c>
      <c r="EC5" s="3">
        <f>IF($B$2="(Todas)",COUNTIF(BASE[CODCIE104],GUIA_NACIONAL_2022_1106128105107111115129130131132133134135[[#This Row],[CIE-10]]),COUNTIFS(BASE[Cod.Establecimiento],$B$2,BASE[CODCIE104],GUIA_NACIONAL_2022_1106128105107111115129130131132133134135[[#This Row],[CIE-10]]))</f>
        <v>0</v>
      </c>
      <c r="ED5" s="3">
        <f>IF($B$2="(Todas)",COUNTIF(BASE[CODCIE106],GUIA_NACIONAL_2022_1106128105107111115129130131132133134135[[#This Row],[CIE-10]]),COUNTIFS(BASE[Cod.Establecimiento],$B$2,BASE[CODCIE106],GUIA_NACIONAL_2022_1106128105107111115129130131132133134135[[#This Row],[CIE-10]]))</f>
        <v>0</v>
      </c>
      <c r="EE5" s="3">
        <f>IF($B$2="(Todas)",COUNTIF(BASE[CODCIE108],GUIA_NACIONAL_2022_1106128105107111115129130131132133134135[[#This Row],[CIE-10]]),COUNTIFS(BASE[Cod.Establecimiento],$B$2,BASE[CODCIE108],GUIA_NACIONAL_2022_1106128105107111115129130131132133134135[[#This Row],[CIE-10]]))</f>
        <v>0</v>
      </c>
      <c r="EF5" s="3">
        <f>IF($B$2="(Todas)",COUNTIF(BASE[CODCIE1010],GUIA_NACIONAL_2022_1106128105107111115129130131132133134135[[#This Row],[CIE-10]]),COUNTIFS(BASE[Cod.Establecimiento],$B$2,BASE[CODCIE1010],GUIA_NACIONAL_2022_1106128105107111115129130131132133134135[[#This Row],[CIE-10]]))</f>
        <v>0</v>
      </c>
      <c r="EG5" s="9">
        <f>SUM(GUIA_NACIONAL_2022_1106128105107111115129130131132133134135[[#This Row],[D1]:[D6]])</f>
        <v>0</v>
      </c>
    </row>
    <row r="6" spans="1:137">
      <c r="A6" s="142"/>
      <c r="B6" s="142"/>
      <c r="D6" s="32" t="s">
        <v>429</v>
      </c>
      <c r="E6" s="3">
        <f>IF($B$2="(Todas)",COUNTIF(BASE[CODCIE10],GUIA_NACIONAL_2022_1[[#This Row],[CIE-10]]),COUNTIFS(BASE[Cod.Establecimiento],$B$2,BASE[CODCIE10],GUIA_NACIONAL_2022_1[[#This Row],[CIE-10]]))</f>
        <v>0</v>
      </c>
      <c r="F6" s="3">
        <f>IF($B$2="(Todas)",COUNTIF(BASE[CODCIE102],GUIA_NACIONAL_2022_1[[#This Row],[CIE-10]]),COUNTIFS(BASE[Cod.Establecimiento],$B$2,BASE[CODCIE102],GUIA_NACIONAL_2022_1[[#This Row],[CIE-10]]))</f>
        <v>0</v>
      </c>
      <c r="G6" s="3">
        <f>IF($B$2="(Todas)",COUNTIF(BASE[CODCIE104],GUIA_NACIONAL_2022_1[[#This Row],[CIE-10]]),COUNTIFS(BASE[Cod.Establecimiento],$B$2,BASE[CODCIE104],GUIA_NACIONAL_2022_1[[#This Row],[CIE-10]]))</f>
        <v>0</v>
      </c>
      <c r="H6" s="3">
        <f>IF($B$2="(Todas)",COUNTIF(BASE[CODCIE106],GUIA_NACIONAL_2022_1[[#This Row],[CIE-10]]),COUNTIFS(BASE[Cod.Establecimiento],$B$2,BASE[CODCIE106],GUIA_NACIONAL_2022_1[[#This Row],[CIE-10]]))</f>
        <v>0</v>
      </c>
      <c r="I6" s="3">
        <f>IF($B$2="(Todas)",COUNTIF(BASE[CODCIE108],GUIA_NACIONAL_2022_1[[#This Row],[CIE-10]]),COUNTIFS(BASE[Cod.Establecimiento],$B$2,BASE[CODCIE108],GUIA_NACIONAL_2022_1[[#This Row],[CIE-10]]))</f>
        <v>0</v>
      </c>
      <c r="J6" s="3">
        <f>IF($B$2="(Todas)",COUNTIF(BASE[CODCIE1010],GUIA_NACIONAL_2022_1[[#This Row],[CIE-10]]),COUNTIFS(BASE[Cod.Establecimiento],$B$2,BASE[CODCIE1010],GUIA_NACIONAL_2022_1[[#This Row],[CIE-10]]))</f>
        <v>0</v>
      </c>
      <c r="K6" s="9">
        <f>SUM(GUIA_NACIONAL_2022_1[[#This Row],[D1]:[D6]])</f>
        <v>0</v>
      </c>
      <c r="M6" s="32" t="s">
        <v>394</v>
      </c>
      <c r="N6" s="3">
        <f>IF($B$2="(Todas)",COUNTIF(BASE[CODCIE10],GUIA_NACIONAL_2022_1106[[#This Row],[CIE-10]]),COUNTIFS(BASE[Cod.Establecimiento],$B$2,BASE[CODCIE10],GUIA_NACIONAL_2022_1106[[#This Row],[CIE-10]]))</f>
        <v>0</v>
      </c>
      <c r="O6" s="3">
        <f>IF($B$2="(Todas)",COUNTIF(BASE[CODCIE102],GUIA_NACIONAL_2022_1106[[#This Row],[CIE-10]]),COUNTIFS(BASE[Cod.Establecimiento],$B$2,BASE[CODCIE102],GUIA_NACIONAL_2022_1106[[#This Row],[CIE-10]]))</f>
        <v>0</v>
      </c>
      <c r="P6" s="3">
        <f>IF($B$2="(Todas)",COUNTIF(BASE[CODCIE104],GUIA_NACIONAL_2022_1106[[#This Row],[CIE-10]]),COUNTIFS(BASE[Cod.Establecimiento],$B$2,BASE[CODCIE104],GUIA_NACIONAL_2022_1106[[#This Row],[CIE-10]]))</f>
        <v>0</v>
      </c>
      <c r="Q6" s="3">
        <f>IF($B$2="(Todas)",COUNTIF(BASE[CODCIE106],GUIA_NACIONAL_2022_1106[[#This Row],[CIE-10]]),COUNTIFS(BASE[Cod.Establecimiento],$B$2,BASE[CODCIE106],GUIA_NACIONAL_2022_1106[[#This Row],[CIE-10]]))</f>
        <v>0</v>
      </c>
      <c r="R6" s="3">
        <f>IF($B$2="(Todas)",COUNTIF(BASE[CODCIE108],GUIA_NACIONAL_2022_1106[[#This Row],[CIE-10]]),COUNTIFS(BASE[Cod.Establecimiento],$B$2,BASE[CODCIE108],GUIA_NACIONAL_2022_1106[[#This Row],[CIE-10]]))</f>
        <v>0</v>
      </c>
      <c r="S6" s="3">
        <f>IF($B$2="(Todas)",COUNTIF(BASE[CODCIE1010],GUIA_NACIONAL_2022_1106[[#This Row],[CIE-10]]),COUNTIFS(BASE[Cod.Establecimiento],$B$2,BASE[CODCIE1010],GUIA_NACIONAL_2022_1106[[#This Row],[CIE-10]]))</f>
        <v>0</v>
      </c>
      <c r="T6" s="9">
        <f>SUM(GUIA_NACIONAL_2022_1106[[#This Row],[D1]:[D6]])</f>
        <v>0</v>
      </c>
      <c r="V6" s="150" t="s">
        <v>530</v>
      </c>
      <c r="W6" s="150"/>
      <c r="X6" s="150"/>
      <c r="Y6" s="150"/>
      <c r="Z6" s="150"/>
      <c r="AA6" s="150"/>
      <c r="AB6" s="150"/>
      <c r="AC6" s="150"/>
      <c r="AE6" s="150" t="s">
        <v>556</v>
      </c>
      <c r="AF6" s="150"/>
      <c r="AG6" s="150"/>
      <c r="AH6" s="150"/>
      <c r="AI6" s="150"/>
      <c r="AJ6" s="150"/>
      <c r="AK6" s="150"/>
      <c r="AL6" s="150"/>
      <c r="AN6" s="151" t="s">
        <v>616</v>
      </c>
      <c r="AO6" s="151"/>
      <c r="AP6" s="151"/>
      <c r="AQ6" s="151"/>
      <c r="AR6" s="151"/>
      <c r="AS6" s="151"/>
      <c r="AT6" s="151"/>
      <c r="AU6" s="151"/>
      <c r="AW6" s="32" t="s">
        <v>483</v>
      </c>
      <c r="AX6" s="3">
        <f>IF($B$2="(Todas)",COUNTIF(BASE[CODCIE10],GUIA_NACIONAL_2022_1106128105107110[[#This Row],[CIE-10]]),COUNTIFS(BASE[Cod.Establecimiento],$B$2,BASE[CODCIE10],GUIA_NACIONAL_2022_1106128105107110[[#This Row],[CIE-10]]))</f>
        <v>0</v>
      </c>
      <c r="AY6" s="3">
        <f>IF($B$2="(Todas)",COUNTIF(BASE[CODCIE102],GUIA_NACIONAL_2022_1106128105107110[[#This Row],[CIE-10]]),COUNTIFS(BASE[Cod.Establecimiento],$B$2,BASE[CODCIE102],GUIA_NACIONAL_2022_1106128105107110[[#This Row],[CIE-10]]))</f>
        <v>0</v>
      </c>
      <c r="AZ6" s="3">
        <f>IF($B$2="(Todas)",COUNTIF(BASE[CODCIE104],GUIA_NACIONAL_2022_1106128105107110[[#This Row],[CIE-10]]),COUNTIFS(BASE[Cod.Establecimiento],$B$2,BASE[CODCIE104],GUIA_NACIONAL_2022_1106128105107110[[#This Row],[CIE-10]]))</f>
        <v>0</v>
      </c>
      <c r="BA6" s="3">
        <f>IF($B$2="(Todas)",COUNTIF(BASE[CODCIE106],GUIA_NACIONAL_2022_1106128105107110[[#This Row],[CIE-10]]),COUNTIFS(BASE[Cod.Establecimiento],$B$2,BASE[CODCIE106],GUIA_NACIONAL_2022_1106128105107110[[#This Row],[CIE-10]]))</f>
        <v>0</v>
      </c>
      <c r="BB6" s="3">
        <f>IF($B$2="(Todas)",COUNTIF(BASE[CODCIE108],GUIA_NACIONAL_2022_1106128105107110[[#This Row],[CIE-10]]),COUNTIFS(BASE[Cod.Establecimiento],$B$2,BASE[CODCIE108],GUIA_NACIONAL_2022_1106128105107110[[#This Row],[CIE-10]]))</f>
        <v>0</v>
      </c>
      <c r="BC6" s="3">
        <f>IF($B$2="(Todas)",COUNTIF(BASE[CODCIE1010],GUIA_NACIONAL_2022_1106128105107110[[#This Row],[CIE-10]]),COUNTIFS(BASE[Cod.Establecimiento],$B$2,BASE[CODCIE1010],GUIA_NACIONAL_2022_1106128105107110[[#This Row],[CIE-10]]))</f>
        <v>0</v>
      </c>
      <c r="BD6" s="9">
        <f>SUM(GUIA_NACIONAL_2022_1106128105107110[[#This Row],[D1]:[D6]])</f>
        <v>0</v>
      </c>
      <c r="BF6" s="149" t="s">
        <v>648</v>
      </c>
      <c r="BG6" s="150"/>
      <c r="BH6" s="150"/>
      <c r="BI6" s="150"/>
      <c r="BJ6" s="150"/>
      <c r="BK6" s="150"/>
      <c r="BL6" s="150"/>
      <c r="BM6" s="150"/>
      <c r="BO6" s="149" t="s">
        <v>689</v>
      </c>
      <c r="BP6" s="150"/>
      <c r="BQ6" s="150"/>
      <c r="BR6" s="150"/>
      <c r="BS6" s="150"/>
      <c r="BT6" s="150"/>
      <c r="BU6" s="150"/>
      <c r="BV6" s="150"/>
      <c r="BX6" s="146" t="s">
        <v>711</v>
      </c>
      <c r="BY6" s="147"/>
      <c r="BZ6" s="147"/>
      <c r="CA6" s="147"/>
      <c r="CB6" s="147"/>
      <c r="CC6" s="147"/>
      <c r="CD6" s="147"/>
      <c r="CE6" s="148"/>
      <c r="CG6" s="4" t="s">
        <v>716</v>
      </c>
      <c r="CH6" s="3">
        <f>IF($B$2="(Todas)",COUNTIF(BASE[CODCIE10],GUIA_NACIONAL_2022_1106128105107111115129130[[#This Row],[CIE-10]]),COUNTIFS(BASE[Cod.Establecimiento],$B$2,BASE[CODCIE10],GUIA_NACIONAL_2022_1106128105107111115129130[[#This Row],[CIE-10]]))</f>
        <v>0</v>
      </c>
      <c r="CI6" s="3">
        <f>IF($B$2="(Todas)",COUNTIF(BASE[CODCIE102],GUIA_NACIONAL_2022_1106128105107111115129130[[#This Row],[CIE-10]]),COUNTIFS(BASE[Cod.Establecimiento],$B$2,BASE[CODCIE102],GUIA_NACIONAL_2022_1106128105107111115129130[[#This Row],[CIE-10]]))</f>
        <v>0</v>
      </c>
      <c r="CJ6" s="3">
        <f>IF($B$2="(Todas)",COUNTIF(BASE[CODCIE104],GUIA_NACIONAL_2022_1106128105107111115129130[[#This Row],[CIE-10]]),COUNTIFS(BASE[Cod.Establecimiento],$B$2,BASE[CODCIE104],GUIA_NACIONAL_2022_1106128105107111115129130[[#This Row],[CIE-10]]))</f>
        <v>0</v>
      </c>
      <c r="CK6" s="3">
        <f>IF($B$2="(Todas)",COUNTIF(BASE[CODCIE106],GUIA_NACIONAL_2022_1106128105107111115129130[[#This Row],[CIE-10]]),COUNTIFS(BASE[Cod.Establecimiento],$B$2,BASE[CODCIE106],GUIA_NACIONAL_2022_1106128105107111115129130[[#This Row],[CIE-10]]))</f>
        <v>0</v>
      </c>
      <c r="CL6" s="3">
        <f>IF($B$2="(Todas)",COUNTIF(BASE[CODCIE108],GUIA_NACIONAL_2022_1106128105107111115129130[[#This Row],[CIE-10]]),COUNTIFS(BASE[Cod.Establecimiento],$B$2,BASE[CODCIE108],GUIA_NACIONAL_2022_1106128105107111115129130[[#This Row],[CIE-10]]))</f>
        <v>0</v>
      </c>
      <c r="CM6" s="3">
        <f>IF($B$2="(Todas)",COUNTIF(BASE[CODCIE1010],GUIA_NACIONAL_2022_1106128105107111115129130[[#This Row],[CIE-10]]),COUNTIFS(BASE[Cod.Establecimiento],$B$2,BASE[CODCIE1010],GUIA_NACIONAL_2022_1106128105107111115129130[[#This Row],[CIE-10]]))</f>
        <v>0</v>
      </c>
      <c r="CN6" s="9">
        <f>SUM(GUIA_NACIONAL_2022_1106128105107111115129130[[#This Row],[D1]:[D6]])</f>
        <v>0</v>
      </c>
      <c r="CP6" s="146" t="s">
        <v>759</v>
      </c>
      <c r="CQ6" s="147"/>
      <c r="CR6" s="147"/>
      <c r="CS6" s="147"/>
      <c r="CT6" s="147"/>
      <c r="CU6" s="147"/>
      <c r="CV6" s="147"/>
      <c r="CW6" s="148"/>
      <c r="DH6" s="146" t="s">
        <v>763</v>
      </c>
      <c r="DI6" s="147"/>
      <c r="DJ6" s="147"/>
      <c r="DK6" s="147"/>
      <c r="DL6" s="147"/>
      <c r="DM6" s="147"/>
      <c r="DN6" s="147"/>
      <c r="DO6" s="148"/>
    </row>
    <row r="7" spans="1:137" ht="15" customHeight="1">
      <c r="A7" s="142"/>
      <c r="B7" s="142"/>
      <c r="D7" s="32" t="s">
        <v>307</v>
      </c>
      <c r="E7" s="3">
        <f>IF($B$2="(Todas)",COUNTIF(BASE[CODCIE10],GUIA_NACIONAL_2022_1[[#This Row],[CIE-10]]),COUNTIFS(BASE[Cod.Establecimiento],$B$2,BASE[CODCIE10],GUIA_NACIONAL_2022_1[[#This Row],[CIE-10]]))</f>
        <v>0</v>
      </c>
      <c r="F7" s="3">
        <f>IF($B$2="(Todas)",COUNTIF(BASE[CODCIE102],GUIA_NACIONAL_2022_1[[#This Row],[CIE-10]]),COUNTIFS(BASE[Cod.Establecimiento],$B$2,BASE[CODCIE102],GUIA_NACIONAL_2022_1[[#This Row],[CIE-10]]))</f>
        <v>0</v>
      </c>
      <c r="G7" s="3">
        <f>IF($B$2="(Todas)",COUNTIF(BASE[CODCIE104],GUIA_NACIONAL_2022_1[[#This Row],[CIE-10]]),COUNTIFS(BASE[Cod.Establecimiento],$B$2,BASE[CODCIE104],GUIA_NACIONAL_2022_1[[#This Row],[CIE-10]]))</f>
        <v>0</v>
      </c>
      <c r="H7" s="3">
        <f>IF($B$2="(Todas)",COUNTIF(BASE[CODCIE106],GUIA_NACIONAL_2022_1[[#This Row],[CIE-10]]),COUNTIFS(BASE[Cod.Establecimiento],$B$2,BASE[CODCIE106],GUIA_NACIONAL_2022_1[[#This Row],[CIE-10]]))</f>
        <v>0</v>
      </c>
      <c r="I7" s="3">
        <f>IF($B$2="(Todas)",COUNTIF(BASE[CODCIE108],GUIA_NACIONAL_2022_1[[#This Row],[CIE-10]]),COUNTIFS(BASE[Cod.Establecimiento],$B$2,BASE[CODCIE108],GUIA_NACIONAL_2022_1[[#This Row],[CIE-10]]))</f>
        <v>0</v>
      </c>
      <c r="J7" s="3">
        <f>IF($B$2="(Todas)",COUNTIF(BASE[CODCIE1010],GUIA_NACIONAL_2022_1[[#This Row],[CIE-10]]),COUNTIFS(BASE[Cod.Establecimiento],$B$2,BASE[CODCIE1010],GUIA_NACIONAL_2022_1[[#This Row],[CIE-10]]))</f>
        <v>0</v>
      </c>
      <c r="K7" s="9">
        <f>SUM(GUIA_NACIONAL_2022_1[[#This Row],[D1]:[D6]])</f>
        <v>0</v>
      </c>
      <c r="M7" s="150" t="s">
        <v>466</v>
      </c>
      <c r="N7" s="150"/>
      <c r="O7" s="150"/>
      <c r="P7" s="150"/>
      <c r="Q7" s="150"/>
      <c r="R7" s="150"/>
      <c r="S7" s="150"/>
      <c r="T7" s="150"/>
      <c r="V7" t="s">
        <v>93</v>
      </c>
      <c r="W7" s="3" t="s">
        <v>94</v>
      </c>
      <c r="X7" s="3" t="s">
        <v>95</v>
      </c>
      <c r="Y7" s="3" t="s">
        <v>96</v>
      </c>
      <c r="Z7" s="3" t="s">
        <v>97</v>
      </c>
      <c r="AA7" s="3" t="s">
        <v>98</v>
      </c>
      <c r="AB7" s="3" t="s">
        <v>99</v>
      </c>
      <c r="AC7" s="8" t="s">
        <v>100</v>
      </c>
      <c r="AE7" t="s">
        <v>93</v>
      </c>
      <c r="AF7" s="3" t="s">
        <v>94</v>
      </c>
      <c r="AG7" s="3" t="s">
        <v>95</v>
      </c>
      <c r="AH7" s="3" t="s">
        <v>96</v>
      </c>
      <c r="AI7" s="3" t="s">
        <v>97</v>
      </c>
      <c r="AJ7" s="3" t="s">
        <v>98</v>
      </c>
      <c r="AK7" s="3" t="s">
        <v>99</v>
      </c>
      <c r="AL7" s="8" t="s">
        <v>100</v>
      </c>
      <c r="AN7" s="150" t="s">
        <v>617</v>
      </c>
      <c r="AO7" s="150"/>
      <c r="AP7" s="150"/>
      <c r="AQ7" s="150"/>
      <c r="AR7" s="150"/>
      <c r="AS7" s="150"/>
      <c r="AT7" s="150"/>
      <c r="AU7" s="150"/>
      <c r="AW7" s="32" t="s">
        <v>484</v>
      </c>
      <c r="AX7" s="3">
        <f>IF($B$2="(Todas)",COUNTIF(BASE[CODCIE10],GUIA_NACIONAL_2022_1106128105107110[[#This Row],[CIE-10]]),COUNTIFS(BASE[Cod.Establecimiento],$B$2,BASE[CODCIE10],GUIA_NACIONAL_2022_1106128105107110[[#This Row],[CIE-10]]))</f>
        <v>0</v>
      </c>
      <c r="AY7" s="3">
        <f>IF($B$2="(Todas)",COUNTIF(BASE[CODCIE102],GUIA_NACIONAL_2022_1106128105107110[[#This Row],[CIE-10]]),COUNTIFS(BASE[Cod.Establecimiento],$B$2,BASE[CODCIE102],GUIA_NACIONAL_2022_1106128105107110[[#This Row],[CIE-10]]))</f>
        <v>0</v>
      </c>
      <c r="AZ7" s="3">
        <f>IF($B$2="(Todas)",COUNTIF(BASE[CODCIE104],GUIA_NACIONAL_2022_1106128105107110[[#This Row],[CIE-10]]),COUNTIFS(BASE[Cod.Establecimiento],$B$2,BASE[CODCIE104],GUIA_NACIONAL_2022_1106128105107110[[#This Row],[CIE-10]]))</f>
        <v>0</v>
      </c>
      <c r="BA7" s="3">
        <f>IF($B$2="(Todas)",COUNTIF(BASE[CODCIE106],GUIA_NACIONAL_2022_1106128105107110[[#This Row],[CIE-10]]),COUNTIFS(BASE[Cod.Establecimiento],$B$2,BASE[CODCIE106],GUIA_NACIONAL_2022_1106128105107110[[#This Row],[CIE-10]]))</f>
        <v>0</v>
      </c>
      <c r="BB7" s="3">
        <f>IF($B$2="(Todas)",COUNTIF(BASE[CODCIE108],GUIA_NACIONAL_2022_1106128105107110[[#This Row],[CIE-10]]),COUNTIFS(BASE[Cod.Establecimiento],$B$2,BASE[CODCIE108],GUIA_NACIONAL_2022_1106128105107110[[#This Row],[CIE-10]]))</f>
        <v>0</v>
      </c>
      <c r="BC7" s="3">
        <f>IF($B$2="(Todas)",COUNTIF(BASE[CODCIE1010],GUIA_NACIONAL_2022_1106128105107110[[#This Row],[CIE-10]]),COUNTIFS(BASE[Cod.Establecimiento],$B$2,BASE[CODCIE1010],GUIA_NACIONAL_2022_1106128105107110[[#This Row],[CIE-10]]))</f>
        <v>0</v>
      </c>
      <c r="BD7" s="9">
        <f>SUM(GUIA_NACIONAL_2022_1106128105107110[[#This Row],[D1]:[D6]])</f>
        <v>0</v>
      </c>
      <c r="BF7" t="s">
        <v>93</v>
      </c>
      <c r="BG7" s="3" t="s">
        <v>94</v>
      </c>
      <c r="BH7" s="3" t="s">
        <v>95</v>
      </c>
      <c r="BI7" s="3" t="s">
        <v>96</v>
      </c>
      <c r="BJ7" s="3" t="s">
        <v>97</v>
      </c>
      <c r="BK7" s="3" t="s">
        <v>98</v>
      </c>
      <c r="BL7" s="3" t="s">
        <v>99</v>
      </c>
      <c r="BM7" s="8" t="s">
        <v>100</v>
      </c>
      <c r="BO7" t="s">
        <v>93</v>
      </c>
      <c r="BP7" s="3" t="s">
        <v>94</v>
      </c>
      <c r="BQ7" s="3" t="s">
        <v>95</v>
      </c>
      <c r="BR7" s="3" t="s">
        <v>96</v>
      </c>
      <c r="BS7" s="3" t="s">
        <v>97</v>
      </c>
      <c r="BT7" s="3" t="s">
        <v>98</v>
      </c>
      <c r="BU7" s="3" t="s">
        <v>99</v>
      </c>
      <c r="BV7" s="8" t="s">
        <v>100</v>
      </c>
      <c r="BX7" t="s">
        <v>93</v>
      </c>
      <c r="BY7" s="3" t="s">
        <v>94</v>
      </c>
      <c r="BZ7" s="3" t="s">
        <v>95</v>
      </c>
      <c r="CA7" s="3" t="s">
        <v>96</v>
      </c>
      <c r="CB7" s="3" t="s">
        <v>97</v>
      </c>
      <c r="CC7" s="3" t="s">
        <v>98</v>
      </c>
      <c r="CD7" s="3" t="s">
        <v>99</v>
      </c>
      <c r="CE7" s="8" t="s">
        <v>100</v>
      </c>
      <c r="CG7" s="4" t="s">
        <v>717</v>
      </c>
      <c r="CH7" s="3">
        <f>IF($B$2="(Todas)",COUNTIF(BASE[CODCIE10],GUIA_NACIONAL_2022_1106128105107111115129130[[#This Row],[CIE-10]]),COUNTIFS(BASE[Cod.Establecimiento],$B$2,BASE[CODCIE10],GUIA_NACIONAL_2022_1106128105107111115129130[[#This Row],[CIE-10]]))</f>
        <v>0</v>
      </c>
      <c r="CI7" s="3">
        <f>IF($B$2="(Todas)",COUNTIF(BASE[CODCIE102],GUIA_NACIONAL_2022_1106128105107111115129130[[#This Row],[CIE-10]]),COUNTIFS(BASE[Cod.Establecimiento],$B$2,BASE[CODCIE102],GUIA_NACIONAL_2022_1106128105107111115129130[[#This Row],[CIE-10]]))</f>
        <v>0</v>
      </c>
      <c r="CJ7" s="3">
        <f>IF($B$2="(Todas)",COUNTIF(BASE[CODCIE104],GUIA_NACIONAL_2022_1106128105107111115129130[[#This Row],[CIE-10]]),COUNTIFS(BASE[Cod.Establecimiento],$B$2,BASE[CODCIE104],GUIA_NACIONAL_2022_1106128105107111115129130[[#This Row],[CIE-10]]))</f>
        <v>0</v>
      </c>
      <c r="CK7" s="3">
        <f>IF($B$2="(Todas)",COUNTIF(BASE[CODCIE106],GUIA_NACIONAL_2022_1106128105107111115129130[[#This Row],[CIE-10]]),COUNTIFS(BASE[Cod.Establecimiento],$B$2,BASE[CODCIE106],GUIA_NACIONAL_2022_1106128105107111115129130[[#This Row],[CIE-10]]))</f>
        <v>0</v>
      </c>
      <c r="CL7" s="3">
        <f>IF($B$2="(Todas)",COUNTIF(BASE[CODCIE108],GUIA_NACIONAL_2022_1106128105107111115129130[[#This Row],[CIE-10]]),COUNTIFS(BASE[Cod.Establecimiento],$B$2,BASE[CODCIE108],GUIA_NACIONAL_2022_1106128105107111115129130[[#This Row],[CIE-10]]))</f>
        <v>0</v>
      </c>
      <c r="CM7" s="3">
        <f>IF($B$2="(Todas)",COUNTIF(BASE[CODCIE1010],GUIA_NACIONAL_2022_1106128105107111115129130[[#This Row],[CIE-10]]),COUNTIFS(BASE[Cod.Establecimiento],$B$2,BASE[CODCIE1010],GUIA_NACIONAL_2022_1106128105107111115129130[[#This Row],[CIE-10]]))</f>
        <v>0</v>
      </c>
      <c r="CN7" s="9">
        <f>SUM(GUIA_NACIONAL_2022_1106128105107111115129130[[#This Row],[D1]:[D6]])</f>
        <v>0</v>
      </c>
      <c r="CP7" t="s">
        <v>93</v>
      </c>
      <c r="CQ7" s="3" t="s">
        <v>94</v>
      </c>
      <c r="CR7" s="3" t="s">
        <v>95</v>
      </c>
      <c r="CS7" s="3" t="s">
        <v>96</v>
      </c>
      <c r="CT7" s="3" t="s">
        <v>97</v>
      </c>
      <c r="CU7" s="3" t="s">
        <v>98</v>
      </c>
      <c r="CV7" s="3" t="s">
        <v>99</v>
      </c>
      <c r="CW7" s="8" t="s">
        <v>100</v>
      </c>
      <c r="DH7" t="s">
        <v>93</v>
      </c>
      <c r="DI7" s="3" t="s">
        <v>94</v>
      </c>
      <c r="DJ7" s="3" t="s">
        <v>95</v>
      </c>
      <c r="DK7" s="3" t="s">
        <v>96</v>
      </c>
      <c r="DL7" s="3" t="s">
        <v>97</v>
      </c>
      <c r="DM7" s="3" t="s">
        <v>98</v>
      </c>
      <c r="DN7" s="3" t="s">
        <v>99</v>
      </c>
      <c r="DO7" s="8" t="s">
        <v>100</v>
      </c>
    </row>
    <row r="8" spans="1:137" ht="15" customHeight="1">
      <c r="A8" s="142"/>
      <c r="B8" s="142"/>
      <c r="D8" s="32" t="s">
        <v>309</v>
      </c>
      <c r="E8" s="3">
        <f>IF($B$2="(Todas)",COUNTIF(BASE[CODCIE10],GUIA_NACIONAL_2022_1[[#This Row],[CIE-10]]),COUNTIFS(BASE[Cod.Establecimiento],$B$2,BASE[CODCIE10],GUIA_NACIONAL_2022_1[[#This Row],[CIE-10]]))</f>
        <v>0</v>
      </c>
      <c r="F8" s="3">
        <f>IF($B$2="(Todas)",COUNTIF(BASE[CODCIE102],GUIA_NACIONAL_2022_1[[#This Row],[CIE-10]]),COUNTIFS(BASE[Cod.Establecimiento],$B$2,BASE[CODCIE102],GUIA_NACIONAL_2022_1[[#This Row],[CIE-10]]))</f>
        <v>0</v>
      </c>
      <c r="G8" s="3">
        <f>IF($B$2="(Todas)",COUNTIF(BASE[CODCIE104],GUIA_NACIONAL_2022_1[[#This Row],[CIE-10]]),COUNTIFS(BASE[Cod.Establecimiento],$B$2,BASE[CODCIE104],GUIA_NACIONAL_2022_1[[#This Row],[CIE-10]]))</f>
        <v>0</v>
      </c>
      <c r="H8" s="3">
        <f>IF($B$2="(Todas)",COUNTIF(BASE[CODCIE106],GUIA_NACIONAL_2022_1[[#This Row],[CIE-10]]),COUNTIFS(BASE[Cod.Establecimiento],$B$2,BASE[CODCIE106],GUIA_NACIONAL_2022_1[[#This Row],[CIE-10]]))</f>
        <v>0</v>
      </c>
      <c r="I8" s="3">
        <f>IF($B$2="(Todas)",COUNTIF(BASE[CODCIE108],GUIA_NACIONAL_2022_1[[#This Row],[CIE-10]]),COUNTIFS(BASE[Cod.Establecimiento],$B$2,BASE[CODCIE108],GUIA_NACIONAL_2022_1[[#This Row],[CIE-10]]))</f>
        <v>0</v>
      </c>
      <c r="J8" s="3">
        <f>IF($B$2="(Todas)",COUNTIF(BASE[CODCIE1010],GUIA_NACIONAL_2022_1[[#This Row],[CIE-10]]),COUNTIFS(BASE[Cod.Establecimiento],$B$2,BASE[CODCIE1010],GUIA_NACIONAL_2022_1[[#This Row],[CIE-10]]))</f>
        <v>0</v>
      </c>
      <c r="K8" s="9">
        <f>SUM(GUIA_NACIONAL_2022_1[[#This Row],[D1]:[D6]])</f>
        <v>0</v>
      </c>
      <c r="M8" t="s">
        <v>93</v>
      </c>
      <c r="N8" s="3" t="s">
        <v>94</v>
      </c>
      <c r="O8" s="3" t="s">
        <v>95</v>
      </c>
      <c r="P8" s="3" t="s">
        <v>96</v>
      </c>
      <c r="Q8" s="3" t="s">
        <v>97</v>
      </c>
      <c r="R8" s="3" t="s">
        <v>98</v>
      </c>
      <c r="S8" s="3" t="s">
        <v>99</v>
      </c>
      <c r="T8" s="8" t="s">
        <v>100</v>
      </c>
      <c r="V8" s="4" t="s">
        <v>129</v>
      </c>
      <c r="W8" s="3">
        <f>IF($B$2="(Todas)",COUNTIF(BASE[CODCIE10],GUIA_NACIONAL_2022_1106128143[[#This Row],[CIE-10]]),COUNTIFS(BASE[Cod.Establecimiento],$B$2,BASE[CODCIE10],GUIA_NACIONAL_2022_1106128143[[#This Row],[CIE-10]]))</f>
        <v>0</v>
      </c>
      <c r="X8" s="3">
        <f>IF($B$2="(Todas)",COUNTIF(BASE[CODCIE102],GUIA_NACIONAL_2022_1106128143[[#This Row],[CIE-10]]),COUNTIFS(BASE[Cod.Establecimiento],$B$2,BASE[CODCIE102],GUIA_NACIONAL_2022_1106128143[[#This Row],[CIE-10]]))</f>
        <v>0</v>
      </c>
      <c r="Y8" s="3">
        <f>IF($B$2="(Todas)",COUNTIF(BASE[CODCIE104],GUIA_NACIONAL_2022_1106128143[[#This Row],[CIE-10]]),COUNTIFS(BASE[Cod.Establecimiento],$B$2,BASE[CODCIE104],GUIA_NACIONAL_2022_1106128143[[#This Row],[CIE-10]]))</f>
        <v>0</v>
      </c>
      <c r="Z8" s="3">
        <f>IF($B$2="(Todas)",COUNTIF(BASE[CODCIE106],GUIA_NACIONAL_2022_1106128143[[#This Row],[CIE-10]]),COUNTIFS(BASE[Cod.Establecimiento],$B$2,BASE[CODCIE106],GUIA_NACIONAL_2022_1106128143[[#This Row],[CIE-10]]))</f>
        <v>0</v>
      </c>
      <c r="AA8" s="3">
        <f>IF($B$2="(Todas)",COUNTIF(BASE[CODCIE108],GUIA_NACIONAL_2022_1106128143[[#This Row],[CIE-10]]),COUNTIFS(BASE[Cod.Establecimiento],$B$2,BASE[CODCIE108],GUIA_NACIONAL_2022_1106128143[[#This Row],[CIE-10]]))</f>
        <v>0</v>
      </c>
      <c r="AB8" s="3">
        <f>IF($B$2="(Todas)",COUNTIF(BASE[CODCIE1010],GUIA_NACIONAL_2022_1106128143[[#This Row],[CIE-10]]),COUNTIFS(BASE[Cod.Establecimiento],$B$2,BASE[CODCIE1010],GUIA_NACIONAL_2022_1106128143[[#This Row],[CIE-10]]))</f>
        <v>0</v>
      </c>
      <c r="AC8" s="9">
        <f>SUM(GUIA_NACIONAL_2022_1106128143[[#This Row],[D1]:[D6]])</f>
        <v>0</v>
      </c>
      <c r="AE8" s="4" t="s">
        <v>557</v>
      </c>
      <c r="AF8" s="3">
        <f>IF($B$2="(Todas)",COUNTIF(BASE[CODCIE10],GUIA_NACIONAL_2022_1106128105167[[#This Row],[CIE-10]]),COUNTIFS(BASE[Cod.Establecimiento],$B$2,BASE[CODCIE10],GUIA_NACIONAL_2022_1106128105167[[#This Row],[CIE-10]]))</f>
        <v>0</v>
      </c>
      <c r="AG8" s="3">
        <f>IF($B$2="(Todas)",COUNTIF(BASE[CODCIE102],GUIA_NACIONAL_2022_1106128105167[[#This Row],[CIE-10]]),COUNTIFS(BASE[Cod.Establecimiento],$B$2,BASE[CODCIE102],GUIA_NACIONAL_2022_1106128105167[[#This Row],[CIE-10]]))</f>
        <v>0</v>
      </c>
      <c r="AH8" s="3">
        <f>IF($B$2="(Todas)",COUNTIF(BASE[CODCIE104],GUIA_NACIONAL_2022_1106128105167[[#This Row],[CIE-10]]),COUNTIFS(BASE[Cod.Establecimiento],$B$2,BASE[CODCIE104],GUIA_NACIONAL_2022_1106128105167[[#This Row],[CIE-10]]))</f>
        <v>0</v>
      </c>
      <c r="AI8" s="3">
        <f>IF($B$2="(Todas)",COUNTIF(BASE[CODCIE106],GUIA_NACIONAL_2022_1106128105167[[#This Row],[CIE-10]]),COUNTIFS(BASE[Cod.Establecimiento],$B$2,BASE[CODCIE106],GUIA_NACIONAL_2022_1106128105167[[#This Row],[CIE-10]]))</f>
        <v>0</v>
      </c>
      <c r="AJ8" s="3">
        <f>IF($B$2="(Todas)",COUNTIF(BASE[CODCIE108],GUIA_NACIONAL_2022_1106128105167[[#This Row],[CIE-10]]),COUNTIFS(BASE[Cod.Establecimiento],$B$2,BASE[CODCIE108],GUIA_NACIONAL_2022_1106128105167[[#This Row],[CIE-10]]))</f>
        <v>0</v>
      </c>
      <c r="AK8" s="3">
        <f>IF($B$2="(Todas)",COUNTIF(BASE[CODCIE1010],GUIA_NACIONAL_2022_1106128105167[[#This Row],[CIE-10]]),COUNTIFS(BASE[Cod.Establecimiento],$B$2,BASE[CODCIE1010],GUIA_NACIONAL_2022_1106128105167[[#This Row],[CIE-10]]))</f>
        <v>0</v>
      </c>
      <c r="AL8" s="9">
        <f>SUM(GUIA_NACIONAL_2022_1106128105167[[#This Row],[D1]:[D6]])</f>
        <v>0</v>
      </c>
      <c r="AN8" t="s">
        <v>93</v>
      </c>
      <c r="AO8" s="3" t="s">
        <v>94</v>
      </c>
      <c r="AP8" s="3" t="s">
        <v>95</v>
      </c>
      <c r="AQ8" s="3" t="s">
        <v>96</v>
      </c>
      <c r="AR8" s="3" t="s">
        <v>97</v>
      </c>
      <c r="AS8" s="3" t="s">
        <v>98</v>
      </c>
      <c r="AT8" s="3" t="s">
        <v>99</v>
      </c>
      <c r="AU8" s="8" t="s">
        <v>100</v>
      </c>
      <c r="AW8" s="150" t="s">
        <v>637</v>
      </c>
      <c r="AX8" s="150"/>
      <c r="AY8" s="150"/>
      <c r="AZ8" s="150"/>
      <c r="BA8" s="150"/>
      <c r="BB8" s="150"/>
      <c r="BC8" s="150"/>
      <c r="BD8" s="150"/>
      <c r="BF8" s="4" t="s">
        <v>379</v>
      </c>
      <c r="BG8" s="3">
        <f>IF($B$2="(Todas)",COUNTIF(BASE[CODCIE10],GUIA_NACIONAL_2022_1106128105107110207210[[#This Row],[CIE-10]]),COUNTIFS(BASE[Cod.Establecimiento],$B$2,BASE[CODCIE10],GUIA_NACIONAL_2022_1106128105107110207210[[#This Row],[CIE-10]]))</f>
        <v>0</v>
      </c>
      <c r="BH8" s="3">
        <f>IF($B$2="(Todas)",COUNTIF(BASE[CODCIE102],GUIA_NACIONAL_2022_1106128105107110207210[[#This Row],[CIE-10]]),COUNTIFS(BASE[Cod.Establecimiento],$B$2,BASE[CODCIE102],GUIA_NACIONAL_2022_1106128105107110207210[[#This Row],[CIE-10]]))</f>
        <v>0</v>
      </c>
      <c r="BI8" s="3">
        <f>IF($B$2="(Todas)",COUNTIF(BASE[CODCIE104],GUIA_NACIONAL_2022_1106128105107110207210[[#This Row],[CIE-10]]),COUNTIFS(BASE[Cod.Establecimiento],$B$2,BASE[CODCIE104],GUIA_NACIONAL_2022_1106128105107110207210[[#This Row],[CIE-10]]))</f>
        <v>0</v>
      </c>
      <c r="BJ8" s="3">
        <f>IF($B$2="(Todas)",COUNTIF(BASE[CODCIE106],GUIA_NACIONAL_2022_1106128105107110207210[[#This Row],[CIE-10]]),COUNTIFS(BASE[Cod.Establecimiento],$B$2,BASE[CODCIE106],GUIA_NACIONAL_2022_1106128105107110207210[[#This Row],[CIE-10]]))</f>
        <v>0</v>
      </c>
      <c r="BK8" s="3">
        <f>IF($B$2="(Todas)",COUNTIF(BASE[CODCIE108],GUIA_NACIONAL_2022_1106128105107110207210[[#This Row],[CIE-10]]),COUNTIFS(BASE[Cod.Establecimiento],$B$2,BASE[CODCIE108],GUIA_NACIONAL_2022_1106128105107110207210[[#This Row],[CIE-10]]))</f>
        <v>0</v>
      </c>
      <c r="BL8" s="3">
        <f>IF($B$2="(Todas)",COUNTIF(BASE[CODCIE1010],GUIA_NACIONAL_2022_1106128105107110207210[[#This Row],[CIE-10]]),COUNTIFS(BASE[Cod.Establecimiento],$B$2,BASE[CODCIE1010],GUIA_NACIONAL_2022_1106128105107110207210[[#This Row],[CIE-10]]))</f>
        <v>0</v>
      </c>
      <c r="BM8" s="9">
        <f>SUM(GUIA_NACIONAL_2022_1106128105107110207210[[#This Row],[D1]:[D6]])</f>
        <v>0</v>
      </c>
      <c r="BO8" s="4" t="s">
        <v>690</v>
      </c>
      <c r="BP8" s="3">
        <f>IF($B$2="(Todas)",COUNTIF(BASE[CODCIE10],GUIA_NACIONAL_2022_1106128105107110207210231[[#This Row],[CIE-10]]),COUNTIFS(BASE[Cod.Establecimiento],$B$2,BASE[CODCIE10],GUIA_NACIONAL_2022_1106128105107110207210231[[#This Row],[CIE-10]]))</f>
        <v>0</v>
      </c>
      <c r="BQ8" s="3">
        <f>IF($B$2="(Todas)",COUNTIF(BASE[CODCIE102],GUIA_NACIONAL_2022_1106128105107110207210231[[#This Row],[CIE-10]]),COUNTIFS(BASE[Cod.Establecimiento],$B$2,BASE[CODCIE102],GUIA_NACIONAL_2022_1106128105107110207210231[[#This Row],[CIE-10]]))</f>
        <v>0</v>
      </c>
      <c r="BR8" s="3">
        <f>IF($B$2="(Todas)",COUNTIF(BASE[CODCIE104],GUIA_NACIONAL_2022_1106128105107110207210231[[#This Row],[CIE-10]]),COUNTIFS(BASE[Cod.Establecimiento],$B$2,BASE[CODCIE104],GUIA_NACIONAL_2022_1106128105107110207210231[[#This Row],[CIE-10]]))</f>
        <v>0</v>
      </c>
      <c r="BS8" s="3">
        <f>IF($B$2="(Todas)",COUNTIF(BASE[CODCIE106],GUIA_NACIONAL_2022_1106128105107110207210231[[#This Row],[CIE-10]]),COUNTIFS(BASE[Cod.Establecimiento],$B$2,BASE[CODCIE106],GUIA_NACIONAL_2022_1106128105107110207210231[[#This Row],[CIE-10]]))</f>
        <v>0</v>
      </c>
      <c r="BT8" s="3">
        <f>IF($B$2="(Todas)",COUNTIF(BASE[CODCIE108],GUIA_NACIONAL_2022_1106128105107110207210231[[#This Row],[CIE-10]]),COUNTIFS(BASE[Cod.Establecimiento],$B$2,BASE[CODCIE108],GUIA_NACIONAL_2022_1106128105107110207210231[[#This Row],[CIE-10]]))</f>
        <v>0</v>
      </c>
      <c r="BU8" s="3">
        <f>IF($B$2="(Todas)",COUNTIF(BASE[CODCIE1010],GUIA_NACIONAL_2022_1106128105107110207210231[[#This Row],[CIE-10]]),COUNTIFS(BASE[Cod.Establecimiento],$B$2,BASE[CODCIE1010],GUIA_NACIONAL_2022_1106128105107110207210231[[#This Row],[CIE-10]]))</f>
        <v>0</v>
      </c>
      <c r="BV8" s="9">
        <f>SUM(GUIA_NACIONAL_2022_1106128105107110207210231[[#This Row],[D1]:[D6]])</f>
        <v>0</v>
      </c>
      <c r="BX8" s="4" t="s">
        <v>712</v>
      </c>
      <c r="BY8" s="3">
        <f>IF($B$2="(Todas)",COUNTIF(BASE[CODCIE10],GUIA_NACIONAL_2022_1106128105107111115129248[[#This Row],[CIE-10]]),COUNTIFS(BASE[Cod.Establecimiento],$B$2,BASE[CODCIE10],GUIA_NACIONAL_2022_1106128105107111115129248[[#This Row],[CIE-10]]))</f>
        <v>0</v>
      </c>
      <c r="BZ8" s="3">
        <f>IF($B$2="(Todas)",COUNTIF(BASE[CODCIE102],GUIA_NACIONAL_2022_1106128105107111115129248[[#This Row],[CIE-10]]),COUNTIFS(BASE[Cod.Establecimiento],$B$2,BASE[CODCIE102],GUIA_NACIONAL_2022_1106128105107111115129248[[#This Row],[CIE-10]]))</f>
        <v>0</v>
      </c>
      <c r="CA8" s="3">
        <f>IF($B$2="(Todas)",COUNTIF(BASE[CODCIE104],GUIA_NACIONAL_2022_1106128105107111115129248[[#This Row],[CIE-10]]),COUNTIFS(BASE[Cod.Establecimiento],$B$2,BASE[CODCIE104],GUIA_NACIONAL_2022_1106128105107111115129248[[#This Row],[CIE-10]]))</f>
        <v>0</v>
      </c>
      <c r="CB8" s="3">
        <f>IF($B$2="(Todas)",COUNTIF(BASE[CODCIE106],GUIA_NACIONAL_2022_1106128105107111115129248[[#This Row],[CIE-10]]),COUNTIFS(BASE[Cod.Establecimiento],$B$2,BASE[CODCIE106],GUIA_NACIONAL_2022_1106128105107111115129248[[#This Row],[CIE-10]]))</f>
        <v>0</v>
      </c>
      <c r="CC8" s="3">
        <f>IF($B$2="(Todas)",COUNTIF(BASE[CODCIE108],GUIA_NACIONAL_2022_1106128105107111115129248[[#This Row],[CIE-10]]),COUNTIFS(BASE[Cod.Establecimiento],$B$2,BASE[CODCIE108],GUIA_NACIONAL_2022_1106128105107111115129248[[#This Row],[CIE-10]]))</f>
        <v>0</v>
      </c>
      <c r="CD8" s="3">
        <f>IF($B$2="(Todas)",COUNTIF(BASE[CODCIE1010],GUIA_NACIONAL_2022_1106128105107111115129248[[#This Row],[CIE-10]]),COUNTIFS(BASE[Cod.Establecimiento],$B$2,BASE[CODCIE1010],GUIA_NACIONAL_2022_1106128105107111115129248[[#This Row],[CIE-10]]))</f>
        <v>0</v>
      </c>
      <c r="CE8" s="9">
        <f>SUM(GUIA_NACIONAL_2022_1106128105107111115129248[[#This Row],[D1]:[D6]])</f>
        <v>0</v>
      </c>
      <c r="CG8" s="4" t="s">
        <v>718</v>
      </c>
      <c r="CH8" s="3">
        <f>IF($B$2="(Todas)",COUNTIF(BASE[CODCIE10],GUIA_NACIONAL_2022_1106128105107111115129130[[#This Row],[CIE-10]]),COUNTIFS(BASE[Cod.Establecimiento],$B$2,BASE[CODCIE10],GUIA_NACIONAL_2022_1106128105107111115129130[[#This Row],[CIE-10]]))</f>
        <v>0</v>
      </c>
      <c r="CI8" s="3">
        <f>IF($B$2="(Todas)",COUNTIF(BASE[CODCIE102],GUIA_NACIONAL_2022_1106128105107111115129130[[#This Row],[CIE-10]]),COUNTIFS(BASE[Cod.Establecimiento],$B$2,BASE[CODCIE102],GUIA_NACIONAL_2022_1106128105107111115129130[[#This Row],[CIE-10]]))</f>
        <v>0</v>
      </c>
      <c r="CJ8" s="3">
        <f>IF($B$2="(Todas)",COUNTIF(BASE[CODCIE104],GUIA_NACIONAL_2022_1106128105107111115129130[[#This Row],[CIE-10]]),COUNTIFS(BASE[Cod.Establecimiento],$B$2,BASE[CODCIE104],GUIA_NACIONAL_2022_1106128105107111115129130[[#This Row],[CIE-10]]))</f>
        <v>0</v>
      </c>
      <c r="CK8" s="3">
        <f>IF($B$2="(Todas)",COUNTIF(BASE[CODCIE106],GUIA_NACIONAL_2022_1106128105107111115129130[[#This Row],[CIE-10]]),COUNTIFS(BASE[Cod.Establecimiento],$B$2,BASE[CODCIE106],GUIA_NACIONAL_2022_1106128105107111115129130[[#This Row],[CIE-10]]))</f>
        <v>0</v>
      </c>
      <c r="CL8" s="3">
        <f>IF($B$2="(Todas)",COUNTIF(BASE[CODCIE108],GUIA_NACIONAL_2022_1106128105107111115129130[[#This Row],[CIE-10]]),COUNTIFS(BASE[Cod.Establecimiento],$B$2,BASE[CODCIE108],GUIA_NACIONAL_2022_1106128105107111115129130[[#This Row],[CIE-10]]))</f>
        <v>0</v>
      </c>
      <c r="CM8" s="3">
        <f>IF($B$2="(Todas)",COUNTIF(BASE[CODCIE1010],GUIA_NACIONAL_2022_1106128105107111115129130[[#This Row],[CIE-10]]),COUNTIFS(BASE[Cod.Establecimiento],$B$2,BASE[CODCIE1010],GUIA_NACIONAL_2022_1106128105107111115129130[[#This Row],[CIE-10]]))</f>
        <v>0</v>
      </c>
      <c r="CN8" s="9">
        <f>SUM(GUIA_NACIONAL_2022_1106128105107111115129130[[#This Row],[D1]:[D6]])</f>
        <v>0</v>
      </c>
      <c r="CP8" s="4" t="s">
        <v>760</v>
      </c>
      <c r="CQ8" s="3">
        <f>IF($B$2="(Todas)",COUNTIF(BASE[CODCIE10],GUIA_NACIONAL_2022_1106128105107111115129130131254[[#This Row],[CIE-10]]),COUNTIFS(BASE[Cod.Establecimiento],$B$2,BASE[CODCIE10],GUIA_NACIONAL_2022_1106128105107111115129130131254[[#This Row],[CIE-10]]))</f>
        <v>0</v>
      </c>
      <c r="CR8" s="3">
        <f>IF($B$2="(Todas)",COUNTIF(BASE[CODCIE102],GUIA_NACIONAL_2022_1106128105107111115129130131254[[#This Row],[CIE-10]]),COUNTIFS(BASE[Cod.Establecimiento],$B$2,BASE[CODCIE102],GUIA_NACIONAL_2022_1106128105107111115129130131254[[#This Row],[CIE-10]]))</f>
        <v>0</v>
      </c>
      <c r="CS8" s="3">
        <f>IF($B$2="(Todas)",COUNTIF(BASE[CODCIE104],GUIA_NACIONAL_2022_1106128105107111115129130131254[[#This Row],[CIE-10]]),COUNTIFS(BASE[Cod.Establecimiento],$B$2,BASE[CODCIE104],GUIA_NACIONAL_2022_1106128105107111115129130131254[[#This Row],[CIE-10]]))</f>
        <v>0</v>
      </c>
      <c r="CT8" s="3">
        <f>IF($B$2="(Todas)",COUNTIF(BASE[CODCIE106],GUIA_NACIONAL_2022_1106128105107111115129130131254[[#This Row],[CIE-10]]),COUNTIFS(BASE[Cod.Establecimiento],$B$2,BASE[CODCIE106],GUIA_NACIONAL_2022_1106128105107111115129130131254[[#This Row],[CIE-10]]))</f>
        <v>0</v>
      </c>
      <c r="CU8" s="3">
        <f>IF($B$2="(Todas)",COUNTIF(BASE[CODCIE108],GUIA_NACIONAL_2022_1106128105107111115129130131254[[#This Row],[CIE-10]]),COUNTIFS(BASE[Cod.Establecimiento],$B$2,BASE[CODCIE108],GUIA_NACIONAL_2022_1106128105107111115129130131254[[#This Row],[CIE-10]]))</f>
        <v>0</v>
      </c>
      <c r="CV8" s="3">
        <f>IF($B$2="(Todas)",COUNTIF(BASE[CODCIE1010],GUIA_NACIONAL_2022_1106128105107111115129130131254[[#This Row],[CIE-10]]),COUNTIFS(BASE[Cod.Establecimiento],$B$2,BASE[CODCIE1010],GUIA_NACIONAL_2022_1106128105107111115129130131254[[#This Row],[CIE-10]]))</f>
        <v>0</v>
      </c>
      <c r="CW8" s="9">
        <f>SUM(GUIA_NACIONAL_2022_1106128105107111115129130131254[[#This Row],[D1]:[D6]])</f>
        <v>0</v>
      </c>
      <c r="DH8" s="4" t="s">
        <v>240</v>
      </c>
      <c r="DI8" s="3">
        <f>IF($B$2="(Todas)",COUNTIF(BASE[CODCIE10],GUIA_NACIONAL_2022_1106128105107111115129130131132133256[[#This Row],[CIE-10]]),COUNTIFS(BASE[Cod.Establecimiento],$B$2,BASE[CODCIE10],GUIA_NACIONAL_2022_1106128105107111115129130131132133256[[#This Row],[CIE-10]]))</f>
        <v>0</v>
      </c>
      <c r="DJ8" s="3">
        <f>IF($B$2="(Todas)",COUNTIF(BASE[CODCIE102],GUIA_NACIONAL_2022_1106128105107111115129130131132133256[[#This Row],[CIE-10]]),COUNTIFS(BASE[Cod.Establecimiento],$B$2,BASE[CODCIE102],GUIA_NACIONAL_2022_1106128105107111115129130131132133256[[#This Row],[CIE-10]]))</f>
        <v>0</v>
      </c>
      <c r="DK8" s="3">
        <f>IF($B$2="(Todas)",COUNTIF(BASE[CODCIE104],GUIA_NACIONAL_2022_1106128105107111115129130131132133256[[#This Row],[CIE-10]]),COUNTIFS(BASE[Cod.Establecimiento],$B$2,BASE[CODCIE104],GUIA_NACIONAL_2022_1106128105107111115129130131132133256[[#This Row],[CIE-10]]))</f>
        <v>0</v>
      </c>
      <c r="DL8" s="3">
        <f>IF($B$2="(Todas)",COUNTIF(BASE[CODCIE106],GUIA_NACIONAL_2022_1106128105107111115129130131132133256[[#This Row],[CIE-10]]),COUNTIFS(BASE[Cod.Establecimiento],$B$2,BASE[CODCIE106],GUIA_NACIONAL_2022_1106128105107111115129130131132133256[[#This Row],[CIE-10]]))</f>
        <v>0</v>
      </c>
      <c r="DM8" s="3">
        <f>IF($B$2="(Todas)",COUNTIF(BASE[CODCIE108],GUIA_NACIONAL_2022_1106128105107111115129130131132133256[[#This Row],[CIE-10]]),COUNTIFS(BASE[Cod.Establecimiento],$B$2,BASE[CODCIE108],GUIA_NACIONAL_2022_1106128105107111115129130131132133256[[#This Row],[CIE-10]]))</f>
        <v>0</v>
      </c>
      <c r="DN8" s="3">
        <f>IF($B$2="(Todas)",COUNTIF(BASE[CODCIE1010],GUIA_NACIONAL_2022_1106128105107111115129130131132133256[[#This Row],[CIE-10]]),COUNTIFS(BASE[Cod.Establecimiento],$B$2,BASE[CODCIE1010],GUIA_NACIONAL_2022_1106128105107111115129130131132133256[[#This Row],[CIE-10]]))</f>
        <v>0</v>
      </c>
      <c r="DO8" s="9">
        <f>SUM(GUIA_NACIONAL_2022_1106128105107111115129130131132133256[[#This Row],[D1]:[D6]])</f>
        <v>0</v>
      </c>
    </row>
    <row r="9" spans="1:137" ht="15" customHeight="1">
      <c r="A9" s="142"/>
      <c r="B9" s="142"/>
      <c r="D9" s="32" t="s">
        <v>430</v>
      </c>
      <c r="E9" s="3">
        <f>IF($B$2="(Todas)",COUNTIF(BASE[CODCIE10],GUIA_NACIONAL_2022_1[[#This Row],[CIE-10]]),COUNTIFS(BASE[Cod.Establecimiento],$B$2,BASE[CODCIE10],GUIA_NACIONAL_2022_1[[#This Row],[CIE-10]]))</f>
        <v>0</v>
      </c>
      <c r="F9" s="3">
        <f>IF($B$2="(Todas)",COUNTIF(BASE[CODCIE102],GUIA_NACIONAL_2022_1[[#This Row],[CIE-10]]),COUNTIFS(BASE[Cod.Establecimiento],$B$2,BASE[CODCIE102],GUIA_NACIONAL_2022_1[[#This Row],[CIE-10]]))</f>
        <v>0</v>
      </c>
      <c r="G9" s="3">
        <f>IF($B$2="(Todas)",COUNTIF(BASE[CODCIE104],GUIA_NACIONAL_2022_1[[#This Row],[CIE-10]]),COUNTIFS(BASE[Cod.Establecimiento],$B$2,BASE[CODCIE104],GUIA_NACIONAL_2022_1[[#This Row],[CIE-10]]))</f>
        <v>0</v>
      </c>
      <c r="H9" s="3">
        <f>IF($B$2="(Todas)",COUNTIF(BASE[CODCIE106],GUIA_NACIONAL_2022_1[[#This Row],[CIE-10]]),COUNTIFS(BASE[Cod.Establecimiento],$B$2,BASE[CODCIE106],GUIA_NACIONAL_2022_1[[#This Row],[CIE-10]]))</f>
        <v>0</v>
      </c>
      <c r="I9" s="3">
        <f>IF($B$2="(Todas)",COUNTIF(BASE[CODCIE108],GUIA_NACIONAL_2022_1[[#This Row],[CIE-10]]),COUNTIFS(BASE[Cod.Establecimiento],$B$2,BASE[CODCIE108],GUIA_NACIONAL_2022_1[[#This Row],[CIE-10]]))</f>
        <v>0</v>
      </c>
      <c r="J9" s="3">
        <f>IF($B$2="(Todas)",COUNTIF(BASE[CODCIE1010],GUIA_NACIONAL_2022_1[[#This Row],[CIE-10]]),COUNTIFS(BASE[Cod.Establecimiento],$B$2,BASE[CODCIE1010],GUIA_NACIONAL_2022_1[[#This Row],[CIE-10]]))</f>
        <v>0</v>
      </c>
      <c r="K9" s="9">
        <f>SUM(GUIA_NACIONAL_2022_1[[#This Row],[D1]:[D6]])</f>
        <v>0</v>
      </c>
      <c r="M9" s="4" t="s">
        <v>464</v>
      </c>
      <c r="N9" s="3">
        <f>IF($B$2="(Todas)",COUNTIF(BASE[CODCIE10],GUIA_NACIONAL_2022_1106127[[#This Row],[CIE-10]]),COUNTIFS(BASE[Cod.Establecimiento],$B$2,BASE[CODCIE10],GUIA_NACIONAL_2022_1106127[[#This Row],[CIE-10]]))</f>
        <v>0</v>
      </c>
      <c r="O9" s="3">
        <f>IF($B$2="(Todas)",COUNTIF(BASE[CODCIE102],GUIA_NACIONAL_2022_1106127[[#This Row],[CIE-10]]),COUNTIFS(BASE[Cod.Establecimiento],$B$2,BASE[CODCIE102],GUIA_NACIONAL_2022_1106127[[#This Row],[CIE-10]]))</f>
        <v>0</v>
      </c>
      <c r="P9" s="3">
        <f>IF($B$2="(Todas)",COUNTIF(BASE[CODCIE104],GUIA_NACIONAL_2022_1106127[[#This Row],[CIE-10]]),COUNTIFS(BASE[Cod.Establecimiento],$B$2,BASE[CODCIE104],GUIA_NACIONAL_2022_1106127[[#This Row],[CIE-10]]))</f>
        <v>0</v>
      </c>
      <c r="Q9" s="3">
        <f>IF($B$2="(Todas)",COUNTIF(BASE[CODCIE106],GUIA_NACIONAL_2022_1106127[[#This Row],[CIE-10]]),COUNTIFS(BASE[Cod.Establecimiento],$B$2,BASE[CODCIE106],GUIA_NACIONAL_2022_1106127[[#This Row],[CIE-10]]))</f>
        <v>0</v>
      </c>
      <c r="R9" s="3">
        <f>IF($B$2="(Todas)",COUNTIF(BASE[CODCIE108],GUIA_NACIONAL_2022_1106127[[#This Row],[CIE-10]]),COUNTIFS(BASE[Cod.Establecimiento],$B$2,BASE[CODCIE108],GUIA_NACIONAL_2022_1106127[[#This Row],[CIE-10]]))</f>
        <v>0</v>
      </c>
      <c r="S9" s="3">
        <f>IF($B$2="(Todas)",COUNTIF(BASE[CODCIE1010],GUIA_NACIONAL_2022_1106127[[#This Row],[CIE-10]]),COUNTIFS(BASE[Cod.Establecimiento],$B$2,BASE[CODCIE1010],GUIA_NACIONAL_2022_1106127[[#This Row],[CIE-10]]))</f>
        <v>0</v>
      </c>
      <c r="T9" s="9">
        <f>SUM(GUIA_NACIONAL_2022_1106127[[#This Row],[D1]:[D6]])</f>
        <v>0</v>
      </c>
      <c r="V9" s="150" t="s">
        <v>531</v>
      </c>
      <c r="W9" s="150"/>
      <c r="X9" s="150"/>
      <c r="Y9" s="150"/>
      <c r="Z9" s="150"/>
      <c r="AA9" s="150"/>
      <c r="AB9" s="150"/>
      <c r="AC9" s="150"/>
      <c r="AE9" s="32" t="s">
        <v>558</v>
      </c>
      <c r="AF9" s="3">
        <f>IF($B$2="(Todas)",COUNTIF(BASE[CODCIE10],GUIA_NACIONAL_2022_1106128105167[[#This Row],[CIE-10]]),COUNTIFS(BASE[Cod.Establecimiento],$B$2,BASE[CODCIE10],GUIA_NACIONAL_2022_1106128105167[[#This Row],[CIE-10]]))</f>
        <v>0</v>
      </c>
      <c r="AG9" s="3">
        <f>IF($B$2="(Todas)",COUNTIF(BASE[CODCIE102],GUIA_NACIONAL_2022_1106128105167[[#This Row],[CIE-10]]),COUNTIFS(BASE[Cod.Establecimiento],$B$2,BASE[CODCIE102],GUIA_NACIONAL_2022_1106128105167[[#This Row],[CIE-10]]))</f>
        <v>0</v>
      </c>
      <c r="AH9" s="3">
        <f>IF($B$2="(Todas)",COUNTIF(BASE[CODCIE104],GUIA_NACIONAL_2022_1106128105167[[#This Row],[CIE-10]]),COUNTIFS(BASE[Cod.Establecimiento],$B$2,BASE[CODCIE104],GUIA_NACIONAL_2022_1106128105167[[#This Row],[CIE-10]]))</f>
        <v>0</v>
      </c>
      <c r="AI9" s="3">
        <f>IF($B$2="(Todas)",COUNTIF(BASE[CODCIE106],GUIA_NACIONAL_2022_1106128105167[[#This Row],[CIE-10]]),COUNTIFS(BASE[Cod.Establecimiento],$B$2,BASE[CODCIE106],GUIA_NACIONAL_2022_1106128105167[[#This Row],[CIE-10]]))</f>
        <v>0</v>
      </c>
      <c r="AJ9" s="3">
        <f>IF($B$2="(Todas)",COUNTIF(BASE[CODCIE108],GUIA_NACIONAL_2022_1106128105167[[#This Row],[CIE-10]]),COUNTIFS(BASE[Cod.Establecimiento],$B$2,BASE[CODCIE108],GUIA_NACIONAL_2022_1106128105167[[#This Row],[CIE-10]]))</f>
        <v>0</v>
      </c>
      <c r="AK9" s="3">
        <f>IF($B$2="(Todas)",COUNTIF(BASE[CODCIE1010],GUIA_NACIONAL_2022_1106128105167[[#This Row],[CIE-10]]),COUNTIFS(BASE[Cod.Establecimiento],$B$2,BASE[CODCIE1010],GUIA_NACIONAL_2022_1106128105167[[#This Row],[CIE-10]]))</f>
        <v>0</v>
      </c>
      <c r="AL9" s="9">
        <f>SUM(GUIA_NACIONAL_2022_1106128105167[[#This Row],[D1]:[D6]])</f>
        <v>0</v>
      </c>
      <c r="AN9" s="4" t="s">
        <v>618</v>
      </c>
      <c r="AO9" s="3">
        <f>IF($B$2="(Todas)",COUNTIF(BASE[CODCIE10],GUIA_NACIONAL_2022_1106128105168162[[#This Row],[CIE-10]]),COUNTIFS(BASE[Cod.Establecimiento],$B$2,BASE[CODCIE10],GUIA_NACIONAL_2022_1106128105168162[[#This Row],[CIE-10]]))</f>
        <v>0</v>
      </c>
      <c r="AP9" s="3">
        <f>IF($B$2="(Todas)",COUNTIF(BASE[CODCIE102],GUIA_NACIONAL_2022_1106128105168162[[#This Row],[CIE-10]]),COUNTIFS(BASE[Cod.Establecimiento],$B$2,BASE[CODCIE102],GUIA_NACIONAL_2022_1106128105168162[[#This Row],[CIE-10]]))</f>
        <v>0</v>
      </c>
      <c r="AQ9" s="3">
        <f>IF($B$2="(Todas)",COUNTIF(BASE[CODCIE104],GUIA_NACIONAL_2022_1106128105168162[[#This Row],[CIE-10]]),COUNTIFS(BASE[Cod.Establecimiento],$B$2,BASE[CODCIE104],GUIA_NACIONAL_2022_1106128105168162[[#This Row],[CIE-10]]))</f>
        <v>0</v>
      </c>
      <c r="AR9" s="3">
        <f>IF($B$2="(Todas)",COUNTIF(BASE[CODCIE106],GUIA_NACIONAL_2022_1106128105168162[[#This Row],[CIE-10]]),COUNTIFS(BASE[Cod.Establecimiento],$B$2,BASE[CODCIE106],GUIA_NACIONAL_2022_1106128105168162[[#This Row],[CIE-10]]))</f>
        <v>0</v>
      </c>
      <c r="AS9" s="3">
        <f>IF($B$2="(Todas)",COUNTIF(BASE[CODCIE108],GUIA_NACIONAL_2022_1106128105168162[[#This Row],[CIE-10]]),COUNTIFS(BASE[Cod.Establecimiento],$B$2,BASE[CODCIE108],GUIA_NACIONAL_2022_1106128105168162[[#This Row],[CIE-10]]))</f>
        <v>0</v>
      </c>
      <c r="AT9" s="3">
        <f>IF($B$2="(Todas)",COUNTIF(BASE[CODCIE1010],GUIA_NACIONAL_2022_1106128105168162[[#This Row],[CIE-10]]),COUNTIFS(BASE[Cod.Establecimiento],$B$2,BASE[CODCIE1010],GUIA_NACIONAL_2022_1106128105168162[[#This Row],[CIE-10]]))</f>
        <v>0</v>
      </c>
      <c r="AU9" s="9">
        <f>SUM(GUIA_NACIONAL_2022_1106128105168162[[#This Row],[D1]:[D6]])</f>
        <v>0</v>
      </c>
      <c r="AW9" t="s">
        <v>93</v>
      </c>
      <c r="AX9" s="3" t="s">
        <v>94</v>
      </c>
      <c r="AY9" s="3" t="s">
        <v>95</v>
      </c>
      <c r="AZ9" s="3" t="s">
        <v>96</v>
      </c>
      <c r="BA9" s="3" t="s">
        <v>97</v>
      </c>
      <c r="BB9" s="3" t="s">
        <v>98</v>
      </c>
      <c r="BC9" s="3" t="s">
        <v>99</v>
      </c>
      <c r="BD9" s="8" t="s">
        <v>100</v>
      </c>
      <c r="BF9" s="149" t="s">
        <v>649</v>
      </c>
      <c r="BG9" s="150"/>
      <c r="BH9" s="150"/>
      <c r="BI9" s="150"/>
      <c r="BJ9" s="150"/>
      <c r="BK9" s="150"/>
      <c r="BL9" s="150"/>
      <c r="BM9" s="150"/>
      <c r="BO9" s="149" t="s">
        <v>691</v>
      </c>
      <c r="BP9" s="150"/>
      <c r="BQ9" s="150"/>
      <c r="BR9" s="150"/>
      <c r="BS9" s="150"/>
      <c r="BT9" s="150"/>
      <c r="BU9" s="150"/>
      <c r="BV9" s="150"/>
      <c r="BX9" s="146" t="s">
        <v>713</v>
      </c>
      <c r="BY9" s="147"/>
      <c r="BZ9" s="147"/>
      <c r="CA9" s="147"/>
      <c r="CB9" s="147"/>
      <c r="CC9" s="147"/>
      <c r="CD9" s="147"/>
      <c r="CE9" s="148"/>
      <c r="CG9" s="4" t="s">
        <v>719</v>
      </c>
      <c r="CH9" s="3">
        <f>IF($B$2="(Todas)",COUNTIF(BASE[CODCIE10],GUIA_NACIONAL_2022_1106128105107111115129130[[#This Row],[CIE-10]]),COUNTIFS(BASE[Cod.Establecimiento],$B$2,BASE[CODCIE10],GUIA_NACIONAL_2022_1106128105107111115129130[[#This Row],[CIE-10]]))</f>
        <v>0</v>
      </c>
      <c r="CI9" s="3">
        <f>IF($B$2="(Todas)",COUNTIF(BASE[CODCIE102],GUIA_NACIONAL_2022_1106128105107111115129130[[#This Row],[CIE-10]]),COUNTIFS(BASE[Cod.Establecimiento],$B$2,BASE[CODCIE102],GUIA_NACIONAL_2022_1106128105107111115129130[[#This Row],[CIE-10]]))</f>
        <v>0</v>
      </c>
      <c r="CJ9" s="3">
        <f>IF($B$2="(Todas)",COUNTIF(BASE[CODCIE104],GUIA_NACIONAL_2022_1106128105107111115129130[[#This Row],[CIE-10]]),COUNTIFS(BASE[Cod.Establecimiento],$B$2,BASE[CODCIE104],GUIA_NACIONAL_2022_1106128105107111115129130[[#This Row],[CIE-10]]))</f>
        <v>0</v>
      </c>
      <c r="CK9" s="3">
        <f>IF($B$2="(Todas)",COUNTIF(BASE[CODCIE106],GUIA_NACIONAL_2022_1106128105107111115129130[[#This Row],[CIE-10]]),COUNTIFS(BASE[Cod.Establecimiento],$B$2,BASE[CODCIE106],GUIA_NACIONAL_2022_1106128105107111115129130[[#This Row],[CIE-10]]))</f>
        <v>0</v>
      </c>
      <c r="CL9" s="3">
        <f>IF($B$2="(Todas)",COUNTIF(BASE[CODCIE108],GUIA_NACIONAL_2022_1106128105107111115129130[[#This Row],[CIE-10]]),COUNTIFS(BASE[Cod.Establecimiento],$B$2,BASE[CODCIE108],GUIA_NACIONAL_2022_1106128105107111115129130[[#This Row],[CIE-10]]))</f>
        <v>0</v>
      </c>
      <c r="CM9" s="3">
        <f>IF($B$2="(Todas)",COUNTIF(BASE[CODCIE1010],GUIA_NACIONAL_2022_1106128105107111115129130[[#This Row],[CIE-10]]),COUNTIFS(BASE[Cod.Establecimiento],$B$2,BASE[CODCIE1010],GUIA_NACIONAL_2022_1106128105107111115129130[[#This Row],[CIE-10]]))</f>
        <v>0</v>
      </c>
      <c r="CN9" s="9">
        <f>SUM(GUIA_NACIONAL_2022_1106128105107111115129130[[#This Row],[D1]:[D6]])</f>
        <v>0</v>
      </c>
      <c r="CP9" s="146" t="s">
        <v>761</v>
      </c>
      <c r="CQ9" s="147"/>
      <c r="CR9" s="147"/>
      <c r="CS9" s="147"/>
      <c r="CT9" s="147"/>
      <c r="CU9" s="147"/>
      <c r="CV9" s="147"/>
      <c r="CW9" s="148"/>
      <c r="DH9" s="32" t="s">
        <v>764</v>
      </c>
      <c r="DI9" s="3">
        <f>IF($B$2="(Todas)",COUNTIF(BASE[CODCIE10],GUIA_NACIONAL_2022_1106128105107111115129130131132133256[[#This Row],[CIE-10]]),COUNTIFS(BASE[Cod.Establecimiento],$B$2,BASE[CODCIE10],GUIA_NACIONAL_2022_1106128105107111115129130131132133256[[#This Row],[CIE-10]]))</f>
        <v>0</v>
      </c>
      <c r="DJ9" s="3">
        <f>IF($B$2="(Todas)",COUNTIF(BASE[CODCIE102],GUIA_NACIONAL_2022_1106128105107111115129130131132133256[[#This Row],[CIE-10]]),COUNTIFS(BASE[Cod.Establecimiento],$B$2,BASE[CODCIE102],GUIA_NACIONAL_2022_1106128105107111115129130131132133256[[#This Row],[CIE-10]]))</f>
        <v>0</v>
      </c>
      <c r="DK9" s="3">
        <f>IF($B$2="(Todas)",COUNTIF(BASE[CODCIE104],GUIA_NACIONAL_2022_1106128105107111115129130131132133256[[#This Row],[CIE-10]]),COUNTIFS(BASE[Cod.Establecimiento],$B$2,BASE[CODCIE104],GUIA_NACIONAL_2022_1106128105107111115129130131132133256[[#This Row],[CIE-10]]))</f>
        <v>0</v>
      </c>
      <c r="DL9" s="3">
        <f>IF($B$2="(Todas)",COUNTIF(BASE[CODCIE106],GUIA_NACIONAL_2022_1106128105107111115129130131132133256[[#This Row],[CIE-10]]),COUNTIFS(BASE[Cod.Establecimiento],$B$2,BASE[CODCIE106],GUIA_NACIONAL_2022_1106128105107111115129130131132133256[[#This Row],[CIE-10]]))</f>
        <v>0</v>
      </c>
      <c r="DM9" s="3">
        <f>IF($B$2="(Todas)",COUNTIF(BASE[CODCIE108],GUIA_NACIONAL_2022_1106128105107111115129130131132133256[[#This Row],[CIE-10]]),COUNTIFS(BASE[Cod.Establecimiento],$B$2,BASE[CODCIE108],GUIA_NACIONAL_2022_1106128105107111115129130131132133256[[#This Row],[CIE-10]]))</f>
        <v>0</v>
      </c>
      <c r="DN9" s="3">
        <f>IF($B$2="(Todas)",COUNTIF(BASE[CODCIE1010],GUIA_NACIONAL_2022_1106128105107111115129130131132133256[[#This Row],[CIE-10]]),COUNTIFS(BASE[Cod.Establecimiento],$B$2,BASE[CODCIE1010],GUIA_NACIONAL_2022_1106128105107111115129130131132133256[[#This Row],[CIE-10]]))</f>
        <v>0</v>
      </c>
      <c r="DO9" s="9">
        <f>SUM(GUIA_NACIONAL_2022_1106128105107111115129130131132133256[[#This Row],[D1]:[D6]])</f>
        <v>0</v>
      </c>
    </row>
    <row r="10" spans="1:137" ht="15" customHeight="1">
      <c r="A10" s="142"/>
      <c r="B10" s="142"/>
      <c r="D10" s="32" t="s">
        <v>431</v>
      </c>
      <c r="E10" s="3">
        <f>IF($B$2="(Todas)",COUNTIF(BASE[CODCIE10],GUIA_NACIONAL_2022_1[[#This Row],[CIE-10]]),COUNTIFS(BASE[Cod.Establecimiento],$B$2,BASE[CODCIE10],GUIA_NACIONAL_2022_1[[#This Row],[CIE-10]]))</f>
        <v>0</v>
      </c>
      <c r="F10" s="3">
        <f>IF($B$2="(Todas)",COUNTIF(BASE[CODCIE102],GUIA_NACIONAL_2022_1[[#This Row],[CIE-10]]),COUNTIFS(BASE[Cod.Establecimiento],$B$2,BASE[CODCIE102],GUIA_NACIONAL_2022_1[[#This Row],[CIE-10]]))</f>
        <v>0</v>
      </c>
      <c r="G10" s="3">
        <f>IF($B$2="(Todas)",COUNTIF(BASE[CODCIE104],GUIA_NACIONAL_2022_1[[#This Row],[CIE-10]]),COUNTIFS(BASE[Cod.Establecimiento],$B$2,BASE[CODCIE104],GUIA_NACIONAL_2022_1[[#This Row],[CIE-10]]))</f>
        <v>0</v>
      </c>
      <c r="H10" s="3">
        <f>IF($B$2="(Todas)",COUNTIF(BASE[CODCIE106],GUIA_NACIONAL_2022_1[[#This Row],[CIE-10]]),COUNTIFS(BASE[Cod.Establecimiento],$B$2,BASE[CODCIE106],GUIA_NACIONAL_2022_1[[#This Row],[CIE-10]]))</f>
        <v>0</v>
      </c>
      <c r="I10" s="3">
        <f>IF($B$2="(Todas)",COUNTIF(BASE[CODCIE108],GUIA_NACIONAL_2022_1[[#This Row],[CIE-10]]),COUNTIFS(BASE[Cod.Establecimiento],$B$2,BASE[CODCIE108],GUIA_NACIONAL_2022_1[[#This Row],[CIE-10]]))</f>
        <v>0</v>
      </c>
      <c r="J10" s="3">
        <f>IF($B$2="(Todas)",COUNTIF(BASE[CODCIE1010],GUIA_NACIONAL_2022_1[[#This Row],[CIE-10]]),COUNTIFS(BASE[Cod.Establecimiento],$B$2,BASE[CODCIE1010],GUIA_NACIONAL_2022_1[[#This Row],[CIE-10]]))</f>
        <v>0</v>
      </c>
      <c r="K10" s="9">
        <f>SUM(GUIA_NACIONAL_2022_1[[#This Row],[D1]:[D6]])</f>
        <v>0</v>
      </c>
      <c r="M10" s="32" t="s">
        <v>465</v>
      </c>
      <c r="N10" s="3">
        <f>IF($B$2="(Todas)",COUNTIF(BASE[CODCIE10],GUIA_NACIONAL_2022_1106127[[#This Row],[CIE-10]]),COUNTIFS(BASE[Cod.Establecimiento],$B$2,BASE[CODCIE10],GUIA_NACIONAL_2022_1106127[[#This Row],[CIE-10]]))</f>
        <v>0</v>
      </c>
      <c r="O10" s="3">
        <f>IF($B$2="(Todas)",COUNTIF(BASE[CODCIE102],GUIA_NACIONAL_2022_1106127[[#This Row],[CIE-10]]),COUNTIFS(BASE[Cod.Establecimiento],$B$2,BASE[CODCIE102],GUIA_NACIONAL_2022_1106127[[#This Row],[CIE-10]]))</f>
        <v>0</v>
      </c>
      <c r="P10" s="3">
        <f>IF($B$2="(Todas)",COUNTIF(BASE[CODCIE104],GUIA_NACIONAL_2022_1106127[[#This Row],[CIE-10]]),COUNTIFS(BASE[Cod.Establecimiento],$B$2,BASE[CODCIE104],GUIA_NACIONAL_2022_1106127[[#This Row],[CIE-10]]))</f>
        <v>0</v>
      </c>
      <c r="Q10" s="3">
        <f>IF($B$2="(Todas)",COUNTIF(BASE[CODCIE106],GUIA_NACIONAL_2022_1106127[[#This Row],[CIE-10]]),COUNTIFS(BASE[Cod.Establecimiento],$B$2,BASE[CODCIE106],GUIA_NACIONAL_2022_1106127[[#This Row],[CIE-10]]))</f>
        <v>0</v>
      </c>
      <c r="R10" s="3">
        <f>IF($B$2="(Todas)",COUNTIF(BASE[CODCIE108],GUIA_NACIONAL_2022_1106127[[#This Row],[CIE-10]]),COUNTIFS(BASE[Cod.Establecimiento],$B$2,BASE[CODCIE108],GUIA_NACIONAL_2022_1106127[[#This Row],[CIE-10]]))</f>
        <v>0</v>
      </c>
      <c r="S10" s="3">
        <f>IF($B$2="(Todas)",COUNTIF(BASE[CODCIE1010],GUIA_NACIONAL_2022_1106127[[#This Row],[CIE-10]]),COUNTIFS(BASE[Cod.Establecimiento],$B$2,BASE[CODCIE1010],GUIA_NACIONAL_2022_1106127[[#This Row],[CIE-10]]))</f>
        <v>0</v>
      </c>
      <c r="T10" s="9">
        <f>SUM(GUIA_NACIONAL_2022_1106127[[#This Row],[D1]:[D6]])</f>
        <v>0</v>
      </c>
      <c r="V10" t="s">
        <v>93</v>
      </c>
      <c r="W10" s="3" t="s">
        <v>94</v>
      </c>
      <c r="X10" s="3" t="s">
        <v>95</v>
      </c>
      <c r="Y10" s="3" t="s">
        <v>96</v>
      </c>
      <c r="Z10" s="3" t="s">
        <v>97</v>
      </c>
      <c r="AA10" s="3" t="s">
        <v>98</v>
      </c>
      <c r="AB10" s="3" t="s">
        <v>99</v>
      </c>
      <c r="AC10" s="8" t="s">
        <v>100</v>
      </c>
      <c r="AE10" s="151" t="s">
        <v>559</v>
      </c>
      <c r="AF10" s="151"/>
      <c r="AG10" s="151"/>
      <c r="AH10" s="151"/>
      <c r="AI10" s="151"/>
      <c r="AJ10" s="151"/>
      <c r="AK10" s="151"/>
      <c r="AL10" s="151"/>
      <c r="AN10" s="150" t="s">
        <v>619</v>
      </c>
      <c r="AO10" s="150"/>
      <c r="AP10" s="150"/>
      <c r="AQ10" s="150"/>
      <c r="AR10" s="150"/>
      <c r="AS10" s="150"/>
      <c r="AT10" s="150"/>
      <c r="AU10" s="150"/>
      <c r="AW10" s="4" t="s">
        <v>638</v>
      </c>
      <c r="AX10" s="3">
        <f>IF($B$2="(Todas)",COUNTIF(BASE[CODCIE10],GUIA_NACIONAL_2022_1106128105107110207[[#This Row],[CIE-10]]),COUNTIFS(BASE[Cod.Establecimiento],$B$2,BASE[CODCIE10],GUIA_NACIONAL_2022_1106128105107110207[[#This Row],[CIE-10]]))</f>
        <v>0</v>
      </c>
      <c r="AY10" s="3">
        <f>IF($B$2="(Todas)",COUNTIF(BASE[CODCIE102],GUIA_NACIONAL_2022_1106128105107110207[[#This Row],[CIE-10]]),COUNTIFS(BASE[Cod.Establecimiento],$B$2,BASE[CODCIE102],GUIA_NACIONAL_2022_1106128105107110207[[#This Row],[CIE-10]]))</f>
        <v>0</v>
      </c>
      <c r="AZ10" s="3">
        <f>IF($B$2="(Todas)",COUNTIF(BASE[CODCIE104],GUIA_NACIONAL_2022_1106128105107110207[[#This Row],[CIE-10]]),COUNTIFS(BASE[Cod.Establecimiento],$B$2,BASE[CODCIE104],GUIA_NACIONAL_2022_1106128105107110207[[#This Row],[CIE-10]]))</f>
        <v>0</v>
      </c>
      <c r="BA10" s="3">
        <f>IF($B$2="(Todas)",COUNTIF(BASE[CODCIE106],GUIA_NACIONAL_2022_1106128105107110207[[#This Row],[CIE-10]]),COUNTIFS(BASE[Cod.Establecimiento],$B$2,BASE[CODCIE106],GUIA_NACIONAL_2022_1106128105107110207[[#This Row],[CIE-10]]))</f>
        <v>0</v>
      </c>
      <c r="BB10" s="3">
        <f>IF($B$2="(Todas)",COUNTIF(BASE[CODCIE108],GUIA_NACIONAL_2022_1106128105107110207[[#This Row],[CIE-10]]),COUNTIFS(BASE[Cod.Establecimiento],$B$2,BASE[CODCIE108],GUIA_NACIONAL_2022_1106128105107110207[[#This Row],[CIE-10]]))</f>
        <v>0</v>
      </c>
      <c r="BC10" s="3">
        <f>IF($B$2="(Todas)",COUNTIF(BASE[CODCIE1010],GUIA_NACIONAL_2022_1106128105107110207[[#This Row],[CIE-10]]),COUNTIFS(BASE[Cod.Establecimiento],$B$2,BASE[CODCIE1010],GUIA_NACIONAL_2022_1106128105107110207[[#This Row],[CIE-10]]))</f>
        <v>0</v>
      </c>
      <c r="BD10" s="9">
        <f>SUM(GUIA_NACIONAL_2022_1106128105107110207[[#This Row],[D1]:[D6]])</f>
        <v>0</v>
      </c>
      <c r="BF10" t="s">
        <v>93</v>
      </c>
      <c r="BG10" s="3" t="s">
        <v>94</v>
      </c>
      <c r="BH10" s="3" t="s">
        <v>95</v>
      </c>
      <c r="BI10" s="3" t="s">
        <v>96</v>
      </c>
      <c r="BJ10" s="3" t="s">
        <v>97</v>
      </c>
      <c r="BK10" s="3" t="s">
        <v>98</v>
      </c>
      <c r="BL10" s="3" t="s">
        <v>99</v>
      </c>
      <c r="BM10" s="8" t="s">
        <v>100</v>
      </c>
      <c r="BO10" t="s">
        <v>93</v>
      </c>
      <c r="BP10" s="3" t="s">
        <v>94</v>
      </c>
      <c r="BQ10" s="3" t="s">
        <v>95</v>
      </c>
      <c r="BR10" s="3" t="s">
        <v>96</v>
      </c>
      <c r="BS10" s="3" t="s">
        <v>97</v>
      </c>
      <c r="BT10" s="3" t="s">
        <v>98</v>
      </c>
      <c r="BU10" s="3" t="s">
        <v>99</v>
      </c>
      <c r="BV10" s="8" t="s">
        <v>100</v>
      </c>
      <c r="BX10" t="s">
        <v>93</v>
      </c>
      <c r="BY10" s="3" t="s">
        <v>94</v>
      </c>
      <c r="BZ10" s="3" t="s">
        <v>95</v>
      </c>
      <c r="CA10" s="3" t="s">
        <v>96</v>
      </c>
      <c r="CB10" s="3" t="s">
        <v>97</v>
      </c>
      <c r="CC10" s="3" t="s">
        <v>98</v>
      </c>
      <c r="CD10" s="3" t="s">
        <v>99</v>
      </c>
      <c r="CE10" s="8" t="s">
        <v>100</v>
      </c>
      <c r="CG10" s="4" t="s">
        <v>720</v>
      </c>
      <c r="CH10" s="3">
        <f>IF($B$2="(Todas)",COUNTIF(BASE[CODCIE10],GUIA_NACIONAL_2022_1106128105107111115129130[[#This Row],[CIE-10]]),COUNTIFS(BASE[Cod.Establecimiento],$B$2,BASE[CODCIE10],GUIA_NACIONAL_2022_1106128105107111115129130[[#This Row],[CIE-10]]))</f>
        <v>0</v>
      </c>
      <c r="CI10" s="3">
        <f>IF($B$2="(Todas)",COUNTIF(BASE[CODCIE102],GUIA_NACIONAL_2022_1106128105107111115129130[[#This Row],[CIE-10]]),COUNTIFS(BASE[Cod.Establecimiento],$B$2,BASE[CODCIE102],GUIA_NACIONAL_2022_1106128105107111115129130[[#This Row],[CIE-10]]))</f>
        <v>0</v>
      </c>
      <c r="CJ10" s="3">
        <f>IF($B$2="(Todas)",COUNTIF(BASE[CODCIE104],GUIA_NACIONAL_2022_1106128105107111115129130[[#This Row],[CIE-10]]),COUNTIFS(BASE[Cod.Establecimiento],$B$2,BASE[CODCIE104],GUIA_NACIONAL_2022_1106128105107111115129130[[#This Row],[CIE-10]]))</f>
        <v>0</v>
      </c>
      <c r="CK10" s="3">
        <f>IF($B$2="(Todas)",COUNTIF(BASE[CODCIE106],GUIA_NACIONAL_2022_1106128105107111115129130[[#This Row],[CIE-10]]),COUNTIFS(BASE[Cod.Establecimiento],$B$2,BASE[CODCIE106],GUIA_NACIONAL_2022_1106128105107111115129130[[#This Row],[CIE-10]]))</f>
        <v>0</v>
      </c>
      <c r="CL10" s="3">
        <f>IF($B$2="(Todas)",COUNTIF(BASE[CODCIE108],GUIA_NACIONAL_2022_1106128105107111115129130[[#This Row],[CIE-10]]),COUNTIFS(BASE[Cod.Establecimiento],$B$2,BASE[CODCIE108],GUIA_NACIONAL_2022_1106128105107111115129130[[#This Row],[CIE-10]]))</f>
        <v>0</v>
      </c>
      <c r="CM10" s="3">
        <f>IF($B$2="(Todas)",COUNTIF(BASE[CODCIE1010],GUIA_NACIONAL_2022_1106128105107111115129130[[#This Row],[CIE-10]]),COUNTIFS(BASE[Cod.Establecimiento],$B$2,BASE[CODCIE1010],GUIA_NACIONAL_2022_1106128105107111115129130[[#This Row],[CIE-10]]))</f>
        <v>0</v>
      </c>
      <c r="CN10" s="9">
        <f>SUM(GUIA_NACIONAL_2022_1106128105107111115129130[[#This Row],[D1]:[D6]])</f>
        <v>0</v>
      </c>
      <c r="CP10" t="s">
        <v>93</v>
      </c>
      <c r="CQ10" s="3" t="s">
        <v>94</v>
      </c>
      <c r="CR10" s="3" t="s">
        <v>95</v>
      </c>
      <c r="CS10" s="3" t="s">
        <v>96</v>
      </c>
      <c r="CT10" s="3" t="s">
        <v>97</v>
      </c>
      <c r="CU10" s="3" t="s">
        <v>98</v>
      </c>
      <c r="CV10" s="3" t="s">
        <v>99</v>
      </c>
      <c r="CW10" s="8" t="s">
        <v>100</v>
      </c>
      <c r="DH10" s="32" t="s">
        <v>765</v>
      </c>
      <c r="DI10" s="3">
        <f>IF($B$2="(Todas)",COUNTIF(BASE[CODCIE10],GUIA_NACIONAL_2022_1106128105107111115129130131132133256[[#This Row],[CIE-10]]),COUNTIFS(BASE[Cod.Establecimiento],$B$2,BASE[CODCIE10],GUIA_NACIONAL_2022_1106128105107111115129130131132133256[[#This Row],[CIE-10]]))</f>
        <v>0</v>
      </c>
      <c r="DJ10" s="3">
        <f>IF($B$2="(Todas)",COUNTIF(BASE[CODCIE102],GUIA_NACIONAL_2022_1106128105107111115129130131132133256[[#This Row],[CIE-10]]),COUNTIFS(BASE[Cod.Establecimiento],$B$2,BASE[CODCIE102],GUIA_NACIONAL_2022_1106128105107111115129130131132133256[[#This Row],[CIE-10]]))</f>
        <v>0</v>
      </c>
      <c r="DK10" s="3">
        <f>IF($B$2="(Todas)",COUNTIF(BASE[CODCIE104],GUIA_NACIONAL_2022_1106128105107111115129130131132133256[[#This Row],[CIE-10]]),COUNTIFS(BASE[Cod.Establecimiento],$B$2,BASE[CODCIE104],GUIA_NACIONAL_2022_1106128105107111115129130131132133256[[#This Row],[CIE-10]]))</f>
        <v>0</v>
      </c>
      <c r="DL10" s="3">
        <f>IF($B$2="(Todas)",COUNTIF(BASE[CODCIE106],GUIA_NACIONAL_2022_1106128105107111115129130131132133256[[#This Row],[CIE-10]]),COUNTIFS(BASE[Cod.Establecimiento],$B$2,BASE[CODCIE106],GUIA_NACIONAL_2022_1106128105107111115129130131132133256[[#This Row],[CIE-10]]))</f>
        <v>0</v>
      </c>
      <c r="DM10" s="3">
        <f>IF($B$2="(Todas)",COUNTIF(BASE[CODCIE108],GUIA_NACIONAL_2022_1106128105107111115129130131132133256[[#This Row],[CIE-10]]),COUNTIFS(BASE[Cod.Establecimiento],$B$2,BASE[CODCIE108],GUIA_NACIONAL_2022_1106128105107111115129130131132133256[[#This Row],[CIE-10]]))</f>
        <v>0</v>
      </c>
      <c r="DN10" s="3">
        <f>IF($B$2="(Todas)",COUNTIF(BASE[CODCIE1010],GUIA_NACIONAL_2022_1106128105107111115129130131132133256[[#This Row],[CIE-10]]),COUNTIFS(BASE[Cod.Establecimiento],$B$2,BASE[CODCIE1010],GUIA_NACIONAL_2022_1106128105107111115129130131132133256[[#This Row],[CIE-10]]))</f>
        <v>0</v>
      </c>
      <c r="DO10" s="9">
        <f>SUM(GUIA_NACIONAL_2022_1106128105107111115129130131132133256[[#This Row],[D1]:[D6]])</f>
        <v>0</v>
      </c>
    </row>
    <row r="11" spans="1:137" ht="15" customHeight="1">
      <c r="A11" s="142"/>
      <c r="B11" s="142"/>
      <c r="D11" s="150" t="s">
        <v>438</v>
      </c>
      <c r="E11" s="150"/>
      <c r="F11" s="150"/>
      <c r="G11" s="150"/>
      <c r="H11" s="150"/>
      <c r="I11" s="150"/>
      <c r="J11" s="150"/>
      <c r="K11" s="150"/>
      <c r="M11" s="149" t="s">
        <v>515</v>
      </c>
      <c r="N11" s="150"/>
      <c r="O11" s="150"/>
      <c r="P11" s="150"/>
      <c r="Q11" s="150"/>
      <c r="R11" s="150"/>
      <c r="S11" s="150"/>
      <c r="T11" s="150"/>
      <c r="V11" s="4" t="s">
        <v>133</v>
      </c>
      <c r="W11" s="3">
        <f>IF($B$2="(Todas)",COUNTIF(BASE[CODCIE10],GUIA_NACIONAL_2022_1106128143144[[#This Row],[CIE-10]]),COUNTIFS(BASE[Cod.Establecimiento],$B$2,BASE[CODCIE10],GUIA_NACIONAL_2022_1106128143144[[#This Row],[CIE-10]]))</f>
        <v>0</v>
      </c>
      <c r="X11" s="3">
        <f>IF($B$2="(Todas)",COUNTIF(BASE[CODCIE102],GUIA_NACIONAL_2022_1106128143144[[#This Row],[CIE-10]]),COUNTIFS(BASE[Cod.Establecimiento],$B$2,BASE[CODCIE102],GUIA_NACIONAL_2022_1106128143144[[#This Row],[CIE-10]]))</f>
        <v>0</v>
      </c>
      <c r="Y11" s="3">
        <f>IF($B$2="(Todas)",COUNTIF(BASE[CODCIE104],GUIA_NACIONAL_2022_1106128143144[[#This Row],[CIE-10]]),COUNTIFS(BASE[Cod.Establecimiento],$B$2,BASE[CODCIE104],GUIA_NACIONAL_2022_1106128143144[[#This Row],[CIE-10]]))</f>
        <v>0</v>
      </c>
      <c r="Z11" s="3">
        <f>IF($B$2="(Todas)",COUNTIF(BASE[CODCIE106],GUIA_NACIONAL_2022_1106128143144[[#This Row],[CIE-10]]),COUNTIFS(BASE[Cod.Establecimiento],$B$2,BASE[CODCIE106],GUIA_NACIONAL_2022_1106128143144[[#This Row],[CIE-10]]))</f>
        <v>0</v>
      </c>
      <c r="AA11" s="3">
        <f>IF($B$2="(Todas)",COUNTIF(BASE[CODCIE108],GUIA_NACIONAL_2022_1106128143144[[#This Row],[CIE-10]]),COUNTIFS(BASE[Cod.Establecimiento],$B$2,BASE[CODCIE108],GUIA_NACIONAL_2022_1106128143144[[#This Row],[CIE-10]]))</f>
        <v>0</v>
      </c>
      <c r="AB11" s="3">
        <f>IF($B$2="(Todas)",COUNTIF(BASE[CODCIE1010],GUIA_NACIONAL_2022_1106128143144[[#This Row],[CIE-10]]),COUNTIFS(BASE[Cod.Establecimiento],$B$2,BASE[CODCIE1010],GUIA_NACIONAL_2022_1106128143144[[#This Row],[CIE-10]]))</f>
        <v>0</v>
      </c>
      <c r="AC11" s="9">
        <f>SUM(GUIA_NACIONAL_2022_1106128143144[[#This Row],[D1]:[D6]])</f>
        <v>0</v>
      </c>
      <c r="AE11" s="150" t="s">
        <v>560</v>
      </c>
      <c r="AF11" s="150"/>
      <c r="AG11" s="150"/>
      <c r="AH11" s="150"/>
      <c r="AI11" s="150"/>
      <c r="AJ11" s="150"/>
      <c r="AK11" s="150"/>
      <c r="AL11" s="150"/>
      <c r="AN11" t="s">
        <v>93</v>
      </c>
      <c r="AO11" s="3" t="s">
        <v>94</v>
      </c>
      <c r="AP11" s="3" t="s">
        <v>95</v>
      </c>
      <c r="AQ11" s="3" t="s">
        <v>96</v>
      </c>
      <c r="AR11" s="3" t="s">
        <v>97</v>
      </c>
      <c r="AS11" s="3" t="s">
        <v>98</v>
      </c>
      <c r="AT11" s="3" t="s">
        <v>99</v>
      </c>
      <c r="AU11" s="8" t="s">
        <v>100</v>
      </c>
      <c r="AW11" s="150" t="s">
        <v>639</v>
      </c>
      <c r="AX11" s="150"/>
      <c r="AY11" s="150"/>
      <c r="AZ11" s="150"/>
      <c r="BA11" s="150"/>
      <c r="BB11" s="150"/>
      <c r="BC11" s="150"/>
      <c r="BD11" s="150"/>
      <c r="BF11" s="4" t="s">
        <v>650</v>
      </c>
      <c r="BG11" s="3">
        <f>IF($B$2="(Todas)",COUNTIF(BASE[CODCIE10],GUIA_NACIONAL_2022_1106128105107110207210211[[#This Row],[CIE-10]]),COUNTIFS(BASE[Cod.Establecimiento],$B$2,BASE[CODCIE10],GUIA_NACIONAL_2022_1106128105107110207210211[[#This Row],[CIE-10]]))</f>
        <v>0</v>
      </c>
      <c r="BH11" s="3">
        <f>IF($B$2="(Todas)",COUNTIF(BASE[CODCIE102],GUIA_NACIONAL_2022_1106128105107110207210211[[#This Row],[CIE-10]]),COUNTIFS(BASE[Cod.Establecimiento],$B$2,BASE[CODCIE102],GUIA_NACIONAL_2022_1106128105107110207210211[[#This Row],[CIE-10]]))</f>
        <v>0</v>
      </c>
      <c r="BI11" s="3">
        <f>IF($B$2="(Todas)",COUNTIF(BASE[CODCIE104],GUIA_NACIONAL_2022_1106128105107110207210211[[#This Row],[CIE-10]]),COUNTIFS(BASE[Cod.Establecimiento],$B$2,BASE[CODCIE104],GUIA_NACIONAL_2022_1106128105107110207210211[[#This Row],[CIE-10]]))</f>
        <v>0</v>
      </c>
      <c r="BJ11" s="3">
        <f>IF($B$2="(Todas)",COUNTIF(BASE[CODCIE106],GUIA_NACIONAL_2022_1106128105107110207210211[[#This Row],[CIE-10]]),COUNTIFS(BASE[Cod.Establecimiento],$B$2,BASE[CODCIE106],GUIA_NACIONAL_2022_1106128105107110207210211[[#This Row],[CIE-10]]))</f>
        <v>0</v>
      </c>
      <c r="BK11" s="3">
        <f>IF($B$2="(Todas)",COUNTIF(BASE[CODCIE108],GUIA_NACIONAL_2022_1106128105107110207210211[[#This Row],[CIE-10]]),COUNTIFS(BASE[Cod.Establecimiento],$B$2,BASE[CODCIE108],GUIA_NACIONAL_2022_1106128105107110207210211[[#This Row],[CIE-10]]))</f>
        <v>0</v>
      </c>
      <c r="BL11" s="3">
        <f>IF($B$2="(Todas)",COUNTIF(BASE[CODCIE1010],GUIA_NACIONAL_2022_1106128105107110207210211[[#This Row],[CIE-10]]),COUNTIFS(BASE[Cod.Establecimiento],$B$2,BASE[CODCIE1010],GUIA_NACIONAL_2022_1106128105107110207210211[[#This Row],[CIE-10]]))</f>
        <v>0</v>
      </c>
      <c r="BM11" s="9">
        <f>SUM(GUIA_NACIONAL_2022_1106128105107110207210211[[#This Row],[D1]:[D6]])</f>
        <v>0</v>
      </c>
      <c r="BO11" s="4" t="s">
        <v>692</v>
      </c>
      <c r="BP11" s="3">
        <f>IF($B$2="(Todas)",COUNTIF(BASE[CODCIE10],GUIA_NACIONAL_2022_1106128105107110207210231232[[#This Row],[CIE-10]]),COUNTIFS(BASE[Cod.Establecimiento],$B$2,BASE[CODCIE10],GUIA_NACIONAL_2022_1106128105107110207210231232[[#This Row],[CIE-10]]))</f>
        <v>0</v>
      </c>
      <c r="BQ11" s="3">
        <f>IF($B$2="(Todas)",COUNTIF(BASE[CODCIE102],GUIA_NACIONAL_2022_1106128105107110207210231232[[#This Row],[CIE-10]]),COUNTIFS(BASE[Cod.Establecimiento],$B$2,BASE[CODCIE102],GUIA_NACIONAL_2022_1106128105107110207210231232[[#This Row],[CIE-10]]))</f>
        <v>0</v>
      </c>
      <c r="BR11" s="3">
        <f>IF($B$2="(Todas)",COUNTIF(BASE[CODCIE104],GUIA_NACIONAL_2022_1106128105107110207210231232[[#This Row],[CIE-10]]),COUNTIFS(BASE[Cod.Establecimiento],$B$2,BASE[CODCIE104],GUIA_NACIONAL_2022_1106128105107110207210231232[[#This Row],[CIE-10]]))</f>
        <v>0</v>
      </c>
      <c r="BS11" s="3">
        <f>IF($B$2="(Todas)",COUNTIF(BASE[CODCIE106],GUIA_NACIONAL_2022_1106128105107110207210231232[[#This Row],[CIE-10]]),COUNTIFS(BASE[Cod.Establecimiento],$B$2,BASE[CODCIE106],GUIA_NACIONAL_2022_1106128105107110207210231232[[#This Row],[CIE-10]]))</f>
        <v>0</v>
      </c>
      <c r="BT11" s="3">
        <f>IF($B$2="(Todas)",COUNTIF(BASE[CODCIE108],GUIA_NACIONAL_2022_1106128105107110207210231232[[#This Row],[CIE-10]]),COUNTIFS(BASE[Cod.Establecimiento],$B$2,BASE[CODCIE108],GUIA_NACIONAL_2022_1106128105107110207210231232[[#This Row],[CIE-10]]))</f>
        <v>0</v>
      </c>
      <c r="BU11" s="3">
        <f>IF($B$2="(Todas)",COUNTIF(BASE[CODCIE1010],GUIA_NACIONAL_2022_1106128105107110207210231232[[#This Row],[CIE-10]]),COUNTIFS(BASE[Cod.Establecimiento],$B$2,BASE[CODCIE1010],GUIA_NACIONAL_2022_1106128105107110207210231232[[#This Row],[CIE-10]]))</f>
        <v>0</v>
      </c>
      <c r="BV11" s="9">
        <f>SUM(GUIA_NACIONAL_2022_1106128105107110207210231232[[#This Row],[D1]:[D6]])</f>
        <v>0</v>
      </c>
      <c r="BX11" s="4" t="s">
        <v>714</v>
      </c>
      <c r="BY11" s="3">
        <f>IF($B$2="(Todas)",COUNTIF(BASE[CODCIE10],GUIA_NACIONAL_2022_1106128105107111115129249[[#This Row],[CIE-10]]),COUNTIFS(BASE[Cod.Establecimiento],$B$2,BASE[CODCIE10],GUIA_NACIONAL_2022_1106128105107111115129249[[#This Row],[CIE-10]]))</f>
        <v>0</v>
      </c>
      <c r="BZ11" s="3">
        <f>IF($B$2="(Todas)",COUNTIF(BASE[CODCIE102],GUIA_NACIONAL_2022_1106128105107111115129249[[#This Row],[CIE-10]]),COUNTIFS(BASE[Cod.Establecimiento],$B$2,BASE[CODCIE102],GUIA_NACIONAL_2022_1106128105107111115129249[[#This Row],[CIE-10]]))</f>
        <v>0</v>
      </c>
      <c r="CA11" s="3">
        <f>IF($B$2="(Todas)",COUNTIF(BASE[CODCIE104],GUIA_NACIONAL_2022_1106128105107111115129249[[#This Row],[CIE-10]]),COUNTIFS(BASE[Cod.Establecimiento],$B$2,BASE[CODCIE104],GUIA_NACIONAL_2022_1106128105107111115129249[[#This Row],[CIE-10]]))</f>
        <v>0</v>
      </c>
      <c r="CB11" s="3">
        <f>IF($B$2="(Todas)",COUNTIF(BASE[CODCIE106],GUIA_NACIONAL_2022_1106128105107111115129249[[#This Row],[CIE-10]]),COUNTIFS(BASE[Cod.Establecimiento],$B$2,BASE[CODCIE106],GUIA_NACIONAL_2022_1106128105107111115129249[[#This Row],[CIE-10]]))</f>
        <v>0</v>
      </c>
      <c r="CC11" s="3">
        <f>IF($B$2="(Todas)",COUNTIF(BASE[CODCIE108],GUIA_NACIONAL_2022_1106128105107111115129249[[#This Row],[CIE-10]]),COUNTIFS(BASE[Cod.Establecimiento],$B$2,BASE[CODCIE108],GUIA_NACIONAL_2022_1106128105107111115129249[[#This Row],[CIE-10]]))</f>
        <v>0</v>
      </c>
      <c r="CD11" s="3">
        <f>IF($B$2="(Todas)",COUNTIF(BASE[CODCIE1010],GUIA_NACIONAL_2022_1106128105107111115129249[[#This Row],[CIE-10]]),COUNTIFS(BASE[Cod.Establecimiento],$B$2,BASE[CODCIE1010],GUIA_NACIONAL_2022_1106128105107111115129249[[#This Row],[CIE-10]]))</f>
        <v>0</v>
      </c>
      <c r="CE11" s="9">
        <f>SUM(GUIA_NACIONAL_2022_1106128105107111115129249[[#This Row],[D1]:[D6]])</f>
        <v>0</v>
      </c>
      <c r="CG11" s="4" t="s">
        <v>721</v>
      </c>
      <c r="CH11" s="3">
        <f>IF($B$2="(Todas)",COUNTIF(BASE[CODCIE10],GUIA_NACIONAL_2022_1106128105107111115129130[[#This Row],[CIE-10]]),COUNTIFS(BASE[Cod.Establecimiento],$B$2,BASE[CODCIE10],GUIA_NACIONAL_2022_1106128105107111115129130[[#This Row],[CIE-10]]))</f>
        <v>0</v>
      </c>
      <c r="CI11" s="3">
        <f>IF($B$2="(Todas)",COUNTIF(BASE[CODCIE102],GUIA_NACIONAL_2022_1106128105107111115129130[[#This Row],[CIE-10]]),COUNTIFS(BASE[Cod.Establecimiento],$B$2,BASE[CODCIE102],GUIA_NACIONAL_2022_1106128105107111115129130[[#This Row],[CIE-10]]))</f>
        <v>0</v>
      </c>
      <c r="CJ11" s="3">
        <f>IF($B$2="(Todas)",COUNTIF(BASE[CODCIE104],GUIA_NACIONAL_2022_1106128105107111115129130[[#This Row],[CIE-10]]),COUNTIFS(BASE[Cod.Establecimiento],$B$2,BASE[CODCIE104],GUIA_NACIONAL_2022_1106128105107111115129130[[#This Row],[CIE-10]]))</f>
        <v>0</v>
      </c>
      <c r="CK11" s="3">
        <f>IF($B$2="(Todas)",COUNTIF(BASE[CODCIE106],GUIA_NACIONAL_2022_1106128105107111115129130[[#This Row],[CIE-10]]),COUNTIFS(BASE[Cod.Establecimiento],$B$2,BASE[CODCIE106],GUIA_NACIONAL_2022_1106128105107111115129130[[#This Row],[CIE-10]]))</f>
        <v>0</v>
      </c>
      <c r="CL11" s="3">
        <f>IF($B$2="(Todas)",COUNTIF(BASE[CODCIE108],GUIA_NACIONAL_2022_1106128105107111115129130[[#This Row],[CIE-10]]),COUNTIFS(BASE[Cod.Establecimiento],$B$2,BASE[CODCIE108],GUIA_NACIONAL_2022_1106128105107111115129130[[#This Row],[CIE-10]]))</f>
        <v>0</v>
      </c>
      <c r="CM11" s="3">
        <f>IF($B$2="(Todas)",COUNTIF(BASE[CODCIE1010],GUIA_NACIONAL_2022_1106128105107111115129130[[#This Row],[CIE-10]]),COUNTIFS(BASE[Cod.Establecimiento],$B$2,BASE[CODCIE1010],GUIA_NACIONAL_2022_1106128105107111115129130[[#This Row],[CIE-10]]))</f>
        <v>0</v>
      </c>
      <c r="CN11" s="9">
        <f>SUM(GUIA_NACIONAL_2022_1106128105107111115129130[[#This Row],[D1]:[D6]])</f>
        <v>0</v>
      </c>
      <c r="CP11" s="4" t="s">
        <v>762</v>
      </c>
      <c r="CQ11" s="3">
        <f>IF($B$2="(Todas)",COUNTIF(BASE[CODCIE10],GUIA_NACIONAL_2022_1106128105107111115129130131255[[#This Row],[CIE-10]]),COUNTIFS(BASE[Cod.Establecimiento],$B$2,BASE[CODCIE10],GUIA_NACIONAL_2022_1106128105107111115129130131255[[#This Row],[CIE-10]]))</f>
        <v>0</v>
      </c>
      <c r="CR11" s="3">
        <f>IF($B$2="(Todas)",COUNTIF(BASE[CODCIE102],GUIA_NACIONAL_2022_1106128105107111115129130131255[[#This Row],[CIE-10]]),COUNTIFS(BASE[Cod.Establecimiento],$B$2,BASE[CODCIE102],GUIA_NACIONAL_2022_1106128105107111115129130131255[[#This Row],[CIE-10]]))</f>
        <v>0</v>
      </c>
      <c r="CS11" s="3">
        <f>IF($B$2="(Todas)",COUNTIF(BASE[CODCIE104],GUIA_NACIONAL_2022_1106128105107111115129130131255[[#This Row],[CIE-10]]),COUNTIFS(BASE[Cod.Establecimiento],$B$2,BASE[CODCIE104],GUIA_NACIONAL_2022_1106128105107111115129130131255[[#This Row],[CIE-10]]))</f>
        <v>0</v>
      </c>
      <c r="CT11" s="3">
        <f>IF($B$2="(Todas)",COUNTIF(BASE[CODCIE106],GUIA_NACIONAL_2022_1106128105107111115129130131255[[#This Row],[CIE-10]]),COUNTIFS(BASE[Cod.Establecimiento],$B$2,BASE[CODCIE106],GUIA_NACIONAL_2022_1106128105107111115129130131255[[#This Row],[CIE-10]]))</f>
        <v>0</v>
      </c>
      <c r="CU11" s="3">
        <f>IF($B$2="(Todas)",COUNTIF(BASE[CODCIE108],GUIA_NACIONAL_2022_1106128105107111115129130131255[[#This Row],[CIE-10]]),COUNTIFS(BASE[Cod.Establecimiento],$B$2,BASE[CODCIE108],GUIA_NACIONAL_2022_1106128105107111115129130131255[[#This Row],[CIE-10]]))</f>
        <v>0</v>
      </c>
      <c r="CV11" s="3">
        <f>IF($B$2="(Todas)",COUNTIF(BASE[CODCIE1010],GUIA_NACIONAL_2022_1106128105107111115129130131255[[#This Row],[CIE-10]]),COUNTIFS(BASE[Cod.Establecimiento],$B$2,BASE[CODCIE1010],GUIA_NACIONAL_2022_1106128105107111115129130131255[[#This Row],[CIE-10]]))</f>
        <v>0</v>
      </c>
      <c r="CW11" s="9">
        <f>SUM(GUIA_NACIONAL_2022_1106128105107111115129130131255[[#This Row],[D1]:[D6]])</f>
        <v>0</v>
      </c>
      <c r="DH11" s="32" t="s">
        <v>766</v>
      </c>
      <c r="DI11" s="3">
        <f>IF($B$2="(Todas)",COUNTIF(BASE[CODCIE10],GUIA_NACIONAL_2022_1106128105107111115129130131132133256[[#This Row],[CIE-10]]),COUNTIFS(BASE[Cod.Establecimiento],$B$2,BASE[CODCIE10],GUIA_NACIONAL_2022_1106128105107111115129130131132133256[[#This Row],[CIE-10]]))</f>
        <v>0</v>
      </c>
      <c r="DJ11" s="3">
        <f>IF($B$2="(Todas)",COUNTIF(BASE[CODCIE102],GUIA_NACIONAL_2022_1106128105107111115129130131132133256[[#This Row],[CIE-10]]),COUNTIFS(BASE[Cod.Establecimiento],$B$2,BASE[CODCIE102],GUIA_NACIONAL_2022_1106128105107111115129130131132133256[[#This Row],[CIE-10]]))</f>
        <v>0</v>
      </c>
      <c r="DK11" s="3">
        <f>IF($B$2="(Todas)",COUNTIF(BASE[CODCIE104],GUIA_NACIONAL_2022_1106128105107111115129130131132133256[[#This Row],[CIE-10]]),COUNTIFS(BASE[Cod.Establecimiento],$B$2,BASE[CODCIE104],GUIA_NACIONAL_2022_1106128105107111115129130131132133256[[#This Row],[CIE-10]]))</f>
        <v>0</v>
      </c>
      <c r="DL11" s="3">
        <f>IF($B$2="(Todas)",COUNTIF(BASE[CODCIE106],GUIA_NACIONAL_2022_1106128105107111115129130131132133256[[#This Row],[CIE-10]]),COUNTIFS(BASE[Cod.Establecimiento],$B$2,BASE[CODCIE106],GUIA_NACIONAL_2022_1106128105107111115129130131132133256[[#This Row],[CIE-10]]))</f>
        <v>0</v>
      </c>
      <c r="DM11" s="3">
        <f>IF($B$2="(Todas)",COUNTIF(BASE[CODCIE108],GUIA_NACIONAL_2022_1106128105107111115129130131132133256[[#This Row],[CIE-10]]),COUNTIFS(BASE[Cod.Establecimiento],$B$2,BASE[CODCIE108],GUIA_NACIONAL_2022_1106128105107111115129130131132133256[[#This Row],[CIE-10]]))</f>
        <v>0</v>
      </c>
      <c r="DN11" s="3">
        <f>IF($B$2="(Todas)",COUNTIF(BASE[CODCIE1010],GUIA_NACIONAL_2022_1106128105107111115129130131132133256[[#This Row],[CIE-10]]),COUNTIFS(BASE[Cod.Establecimiento],$B$2,BASE[CODCIE1010],GUIA_NACIONAL_2022_1106128105107111115129130131132133256[[#This Row],[CIE-10]]))</f>
        <v>0</v>
      </c>
      <c r="DO11" s="9">
        <f>SUM(GUIA_NACIONAL_2022_1106128105107111115129130131132133256[[#This Row],[D1]:[D6]])</f>
        <v>0</v>
      </c>
    </row>
    <row r="12" spans="1:137" ht="15" customHeight="1">
      <c r="A12" s="142"/>
      <c r="B12" s="142"/>
      <c r="D12" t="s">
        <v>93</v>
      </c>
      <c r="E12" s="3" t="s">
        <v>94</v>
      </c>
      <c r="F12" s="3" t="s">
        <v>95</v>
      </c>
      <c r="G12" s="3" t="s">
        <v>96</v>
      </c>
      <c r="H12" s="3" t="s">
        <v>97</v>
      </c>
      <c r="I12" s="3" t="s">
        <v>98</v>
      </c>
      <c r="J12" s="3" t="s">
        <v>99</v>
      </c>
      <c r="K12" s="8" t="s">
        <v>100</v>
      </c>
      <c r="M12" t="s">
        <v>93</v>
      </c>
      <c r="N12" s="3" t="s">
        <v>94</v>
      </c>
      <c r="O12" s="3" t="s">
        <v>95</v>
      </c>
      <c r="P12" s="3" t="s">
        <v>96</v>
      </c>
      <c r="Q12" s="3" t="s">
        <v>97</v>
      </c>
      <c r="R12" s="3" t="s">
        <v>98</v>
      </c>
      <c r="S12" s="3" t="s">
        <v>99</v>
      </c>
      <c r="T12" s="8" t="s">
        <v>100</v>
      </c>
      <c r="V12" s="32" t="s">
        <v>136</v>
      </c>
      <c r="W12" s="3">
        <f>IF($B$2="(Todas)",COUNTIF(BASE[CODCIE10],GUIA_NACIONAL_2022_1106128143144[[#This Row],[CIE-10]]),COUNTIFS(BASE[Cod.Establecimiento],$B$2,BASE[CODCIE10],GUIA_NACIONAL_2022_1106128143144[[#This Row],[CIE-10]]))</f>
        <v>0</v>
      </c>
      <c r="X12" s="3">
        <f>IF($B$2="(Todas)",COUNTIF(BASE[CODCIE102],GUIA_NACIONAL_2022_1106128143144[[#This Row],[CIE-10]]),COUNTIFS(BASE[Cod.Establecimiento],$B$2,BASE[CODCIE102],GUIA_NACIONAL_2022_1106128143144[[#This Row],[CIE-10]]))</f>
        <v>0</v>
      </c>
      <c r="Y12" s="3">
        <f>IF($B$2="(Todas)",COUNTIF(BASE[CODCIE104],GUIA_NACIONAL_2022_1106128143144[[#This Row],[CIE-10]]),COUNTIFS(BASE[Cod.Establecimiento],$B$2,BASE[CODCIE104],GUIA_NACIONAL_2022_1106128143144[[#This Row],[CIE-10]]))</f>
        <v>0</v>
      </c>
      <c r="Z12" s="3">
        <f>IF($B$2="(Todas)",COUNTIF(BASE[CODCIE106],GUIA_NACIONAL_2022_1106128143144[[#This Row],[CIE-10]]),COUNTIFS(BASE[Cod.Establecimiento],$B$2,BASE[CODCIE106],GUIA_NACIONAL_2022_1106128143144[[#This Row],[CIE-10]]))</f>
        <v>0</v>
      </c>
      <c r="AA12" s="3">
        <f>IF($B$2="(Todas)",COUNTIF(BASE[CODCIE108],GUIA_NACIONAL_2022_1106128143144[[#This Row],[CIE-10]]),COUNTIFS(BASE[Cod.Establecimiento],$B$2,BASE[CODCIE108],GUIA_NACIONAL_2022_1106128143144[[#This Row],[CIE-10]]))</f>
        <v>0</v>
      </c>
      <c r="AB12" s="3">
        <f>IF($B$2="(Todas)",COUNTIF(BASE[CODCIE1010],GUIA_NACIONAL_2022_1106128143144[[#This Row],[CIE-10]]),COUNTIFS(BASE[Cod.Establecimiento],$B$2,BASE[CODCIE1010],GUIA_NACIONAL_2022_1106128143144[[#This Row],[CIE-10]]))</f>
        <v>0</v>
      </c>
      <c r="AC12" s="9">
        <f>SUM(GUIA_NACIONAL_2022_1106128143144[[#This Row],[D1]:[D6]])</f>
        <v>0</v>
      </c>
      <c r="AE12" t="s">
        <v>93</v>
      </c>
      <c r="AF12" s="3" t="s">
        <v>94</v>
      </c>
      <c r="AG12" s="3" t="s">
        <v>95</v>
      </c>
      <c r="AH12" s="3" t="s">
        <v>96</v>
      </c>
      <c r="AI12" s="3" t="s">
        <v>97</v>
      </c>
      <c r="AJ12" s="3" t="s">
        <v>98</v>
      </c>
      <c r="AK12" s="3" t="s">
        <v>99</v>
      </c>
      <c r="AL12" s="8" t="s">
        <v>100</v>
      </c>
      <c r="AN12" s="4" t="s">
        <v>620</v>
      </c>
      <c r="AO12" s="3">
        <f>IF($B$2="(Todas)",COUNTIF(BASE[CODCIE10],GUIA_NACIONAL_2022_1106128105168162195[[#This Row],[CIE-10]]),COUNTIFS(BASE[Cod.Establecimiento],$B$2,BASE[CODCIE10],GUIA_NACIONAL_2022_1106128105168162195[[#This Row],[CIE-10]]))</f>
        <v>0</v>
      </c>
      <c r="AP12" s="3">
        <f>IF($B$2="(Todas)",COUNTIF(BASE[CODCIE102],GUIA_NACIONAL_2022_1106128105168162195[[#This Row],[CIE-10]]),COUNTIFS(BASE[Cod.Establecimiento],$B$2,BASE[CODCIE102],GUIA_NACIONAL_2022_1106128105168162195[[#This Row],[CIE-10]]))</f>
        <v>0</v>
      </c>
      <c r="AQ12" s="3">
        <f>IF($B$2="(Todas)",COUNTIF(BASE[CODCIE104],GUIA_NACIONAL_2022_1106128105168162195[[#This Row],[CIE-10]]),COUNTIFS(BASE[Cod.Establecimiento],$B$2,BASE[CODCIE104],GUIA_NACIONAL_2022_1106128105168162195[[#This Row],[CIE-10]]))</f>
        <v>0</v>
      </c>
      <c r="AR12" s="3">
        <f>IF($B$2="(Todas)",COUNTIF(BASE[CODCIE106],GUIA_NACIONAL_2022_1106128105168162195[[#This Row],[CIE-10]]),COUNTIFS(BASE[Cod.Establecimiento],$B$2,BASE[CODCIE106],GUIA_NACIONAL_2022_1106128105168162195[[#This Row],[CIE-10]]))</f>
        <v>0</v>
      </c>
      <c r="AS12" s="3">
        <f>IF($B$2="(Todas)",COUNTIF(BASE[CODCIE108],GUIA_NACIONAL_2022_1106128105168162195[[#This Row],[CIE-10]]),COUNTIFS(BASE[Cod.Establecimiento],$B$2,BASE[CODCIE108],GUIA_NACIONAL_2022_1106128105168162195[[#This Row],[CIE-10]]))</f>
        <v>0</v>
      </c>
      <c r="AT12" s="3">
        <f>IF($B$2="(Todas)",COUNTIF(BASE[CODCIE1010],GUIA_NACIONAL_2022_1106128105168162195[[#This Row],[CIE-10]]),COUNTIFS(BASE[Cod.Establecimiento],$B$2,BASE[CODCIE1010],GUIA_NACIONAL_2022_1106128105168162195[[#This Row],[CIE-10]]))</f>
        <v>0</v>
      </c>
      <c r="AU12" s="9">
        <f>SUM(GUIA_NACIONAL_2022_1106128105168162195[[#This Row],[D1]:[D6]])</f>
        <v>0</v>
      </c>
      <c r="AW12" t="s">
        <v>93</v>
      </c>
      <c r="AX12" s="3" t="s">
        <v>94</v>
      </c>
      <c r="AY12" s="3" t="s">
        <v>95</v>
      </c>
      <c r="AZ12" s="3" t="s">
        <v>96</v>
      </c>
      <c r="BA12" s="3" t="s">
        <v>97</v>
      </c>
      <c r="BB12" s="3" t="s">
        <v>98</v>
      </c>
      <c r="BC12" s="3" t="s">
        <v>99</v>
      </c>
      <c r="BD12" s="8" t="s">
        <v>100</v>
      </c>
      <c r="BF12" s="149" t="s">
        <v>651</v>
      </c>
      <c r="BG12" s="150"/>
      <c r="BH12" s="150"/>
      <c r="BI12" s="150"/>
      <c r="BJ12" s="150"/>
      <c r="BK12" s="150"/>
      <c r="BL12" s="150"/>
      <c r="BM12" s="150"/>
      <c r="BO12" s="151" t="s">
        <v>693</v>
      </c>
      <c r="BP12" s="151"/>
      <c r="BQ12" s="151"/>
      <c r="BR12" s="151"/>
      <c r="BS12" s="151"/>
      <c r="BT12" s="151"/>
      <c r="BU12" s="151"/>
      <c r="BV12" s="151"/>
      <c r="CG12" s="4" t="s">
        <v>722</v>
      </c>
      <c r="CH12" s="3">
        <f>IF($B$2="(Todas)",COUNTIF(BASE[CODCIE10],GUIA_NACIONAL_2022_1106128105107111115129130[[#This Row],[CIE-10]]),COUNTIFS(BASE[Cod.Establecimiento],$B$2,BASE[CODCIE10],GUIA_NACIONAL_2022_1106128105107111115129130[[#This Row],[CIE-10]]))</f>
        <v>0</v>
      </c>
      <c r="CI12" s="3">
        <f>IF($B$2="(Todas)",COUNTIF(BASE[CODCIE102],GUIA_NACIONAL_2022_1106128105107111115129130[[#This Row],[CIE-10]]),COUNTIFS(BASE[Cod.Establecimiento],$B$2,BASE[CODCIE102],GUIA_NACIONAL_2022_1106128105107111115129130[[#This Row],[CIE-10]]))</f>
        <v>0</v>
      </c>
      <c r="CJ12" s="3">
        <f>IF($B$2="(Todas)",COUNTIF(BASE[CODCIE104],GUIA_NACIONAL_2022_1106128105107111115129130[[#This Row],[CIE-10]]),COUNTIFS(BASE[Cod.Establecimiento],$B$2,BASE[CODCIE104],GUIA_NACIONAL_2022_1106128105107111115129130[[#This Row],[CIE-10]]))</f>
        <v>0</v>
      </c>
      <c r="CK12" s="3">
        <f>IF($B$2="(Todas)",COUNTIF(BASE[CODCIE106],GUIA_NACIONAL_2022_1106128105107111115129130[[#This Row],[CIE-10]]),COUNTIFS(BASE[Cod.Establecimiento],$B$2,BASE[CODCIE106],GUIA_NACIONAL_2022_1106128105107111115129130[[#This Row],[CIE-10]]))</f>
        <v>0</v>
      </c>
      <c r="CL12" s="3">
        <f>IF($B$2="(Todas)",COUNTIF(BASE[CODCIE108],GUIA_NACIONAL_2022_1106128105107111115129130[[#This Row],[CIE-10]]),COUNTIFS(BASE[Cod.Establecimiento],$B$2,BASE[CODCIE108],GUIA_NACIONAL_2022_1106128105107111115129130[[#This Row],[CIE-10]]))</f>
        <v>0</v>
      </c>
      <c r="CM12" s="3">
        <f>IF($B$2="(Todas)",COUNTIF(BASE[CODCIE1010],GUIA_NACIONAL_2022_1106128105107111115129130[[#This Row],[CIE-10]]),COUNTIFS(BASE[Cod.Establecimiento],$B$2,BASE[CODCIE1010],GUIA_NACIONAL_2022_1106128105107111115129130[[#This Row],[CIE-10]]))</f>
        <v>0</v>
      </c>
      <c r="CN12" s="9">
        <f>SUM(GUIA_NACIONAL_2022_1106128105107111115129130[[#This Row],[D1]:[D6]])</f>
        <v>0</v>
      </c>
      <c r="DH12" s="32" t="s">
        <v>767</v>
      </c>
      <c r="DI12" s="3">
        <f>IF($B$2="(Todas)",COUNTIF(BASE[CODCIE10],GUIA_NACIONAL_2022_1106128105107111115129130131132133256[[#This Row],[CIE-10]]),COUNTIFS(BASE[Cod.Establecimiento],$B$2,BASE[CODCIE10],GUIA_NACIONAL_2022_1106128105107111115129130131132133256[[#This Row],[CIE-10]]))</f>
        <v>0</v>
      </c>
      <c r="DJ12" s="3">
        <f>IF($B$2="(Todas)",COUNTIF(BASE[CODCIE102],GUIA_NACIONAL_2022_1106128105107111115129130131132133256[[#This Row],[CIE-10]]),COUNTIFS(BASE[Cod.Establecimiento],$B$2,BASE[CODCIE102],GUIA_NACIONAL_2022_1106128105107111115129130131132133256[[#This Row],[CIE-10]]))</f>
        <v>0</v>
      </c>
      <c r="DK12" s="3">
        <f>IF($B$2="(Todas)",COUNTIF(BASE[CODCIE104],GUIA_NACIONAL_2022_1106128105107111115129130131132133256[[#This Row],[CIE-10]]),COUNTIFS(BASE[Cod.Establecimiento],$B$2,BASE[CODCIE104],GUIA_NACIONAL_2022_1106128105107111115129130131132133256[[#This Row],[CIE-10]]))</f>
        <v>0</v>
      </c>
      <c r="DL12" s="3">
        <f>IF($B$2="(Todas)",COUNTIF(BASE[CODCIE106],GUIA_NACIONAL_2022_1106128105107111115129130131132133256[[#This Row],[CIE-10]]),COUNTIFS(BASE[Cod.Establecimiento],$B$2,BASE[CODCIE106],GUIA_NACIONAL_2022_1106128105107111115129130131132133256[[#This Row],[CIE-10]]))</f>
        <v>0</v>
      </c>
      <c r="DM12" s="3">
        <f>IF($B$2="(Todas)",COUNTIF(BASE[CODCIE108],GUIA_NACIONAL_2022_1106128105107111115129130131132133256[[#This Row],[CIE-10]]),COUNTIFS(BASE[Cod.Establecimiento],$B$2,BASE[CODCIE108],GUIA_NACIONAL_2022_1106128105107111115129130131132133256[[#This Row],[CIE-10]]))</f>
        <v>0</v>
      </c>
      <c r="DN12" s="3">
        <f>IF($B$2="(Todas)",COUNTIF(BASE[CODCIE1010],GUIA_NACIONAL_2022_1106128105107111115129130131132133256[[#This Row],[CIE-10]]),COUNTIFS(BASE[Cod.Establecimiento],$B$2,BASE[CODCIE1010],GUIA_NACIONAL_2022_1106128105107111115129130131132133256[[#This Row],[CIE-10]]))</f>
        <v>0</v>
      </c>
      <c r="DO12" s="9">
        <f>SUM(GUIA_NACIONAL_2022_1106128105107111115129130131132133256[[#This Row],[D1]:[D6]])</f>
        <v>0</v>
      </c>
    </row>
    <row r="13" spans="1:137" ht="15" customHeight="1">
      <c r="A13" s="142"/>
      <c r="B13" s="142"/>
      <c r="D13" s="4" t="s">
        <v>432</v>
      </c>
      <c r="E13" s="3">
        <f>IF($B$2="(Todas)",COUNTIF(BASE[CODCIE10],GUIA_NACIONAL_2022_1106108[[#This Row],[CIE-10]]),COUNTIFS(BASE[Cod.Establecimiento],$B$2,BASE[CODCIE10],GUIA_NACIONAL_2022_1106108[[#This Row],[CIE-10]]))</f>
        <v>0</v>
      </c>
      <c r="F13" s="3">
        <f>IF($B$2="(Todas)",COUNTIF(BASE[CODCIE102],GUIA_NACIONAL_2022_1106108[[#This Row],[CIE-10]]),COUNTIFS(BASE[Cod.Establecimiento],$B$2,BASE[CODCIE102],GUIA_NACIONAL_2022_1106108[[#This Row],[CIE-10]]))</f>
        <v>0</v>
      </c>
      <c r="G13" s="3">
        <f>IF($B$2="(Todas)",COUNTIF(BASE[CODCIE104],GUIA_NACIONAL_2022_1106108[[#This Row],[CIE-10]]),COUNTIFS(BASE[Cod.Establecimiento],$B$2,BASE[CODCIE104],GUIA_NACIONAL_2022_1106108[[#This Row],[CIE-10]]))</f>
        <v>0</v>
      </c>
      <c r="H13" s="3">
        <f>IF($B$2="(Todas)",COUNTIF(BASE[CODCIE106],GUIA_NACIONAL_2022_1106108[[#This Row],[CIE-10]]),COUNTIFS(BASE[Cod.Establecimiento],$B$2,BASE[CODCIE106],GUIA_NACIONAL_2022_1106108[[#This Row],[CIE-10]]))</f>
        <v>0</v>
      </c>
      <c r="I13" s="3">
        <f>IF($B$2="(Todas)",COUNTIF(BASE[CODCIE108],GUIA_NACIONAL_2022_1106108[[#This Row],[CIE-10]]),COUNTIFS(BASE[Cod.Establecimiento],$B$2,BASE[CODCIE108],GUIA_NACIONAL_2022_1106108[[#This Row],[CIE-10]]))</f>
        <v>0</v>
      </c>
      <c r="J13" s="3">
        <f>IF($B$2="(Todas)",COUNTIF(BASE[CODCIE1010],GUIA_NACIONAL_2022_1106108[[#This Row],[CIE-10]]),COUNTIFS(BASE[Cod.Establecimiento],$B$2,BASE[CODCIE1010],GUIA_NACIONAL_2022_1106108[[#This Row],[CIE-10]]))</f>
        <v>0</v>
      </c>
      <c r="K13" s="9">
        <f>SUM(GUIA_NACIONAL_2022_1106108[[#This Row],[D1]:[D6]])</f>
        <v>0</v>
      </c>
      <c r="M13" s="4" t="s">
        <v>514</v>
      </c>
      <c r="N13" s="3">
        <f>IF($B$2="(Todas)",COUNTIF(BASE[CODCIE10],GUIA_NACIONAL_2022_1106127136[[#This Row],[CIE-10]]),COUNTIFS(BASE[Cod.Establecimiento],$B$2,BASE[CODCIE10],GUIA_NACIONAL_2022_1106127136[[#This Row],[CIE-10]]))</f>
        <v>0</v>
      </c>
      <c r="O13" s="3">
        <f>IF($B$2="(Todas)",COUNTIF(BASE[CODCIE102],GUIA_NACIONAL_2022_1106127136[[#This Row],[CIE-10]]),COUNTIFS(BASE[Cod.Establecimiento],$B$2,BASE[CODCIE102],GUIA_NACIONAL_2022_1106127136[[#This Row],[CIE-10]]))</f>
        <v>0</v>
      </c>
      <c r="P13" s="3">
        <f>IF($B$2="(Todas)",COUNTIF(BASE[CODCIE104],GUIA_NACIONAL_2022_1106127136[[#This Row],[CIE-10]]),COUNTIFS(BASE[Cod.Establecimiento],$B$2,BASE[CODCIE104],GUIA_NACIONAL_2022_1106127136[[#This Row],[CIE-10]]))</f>
        <v>0</v>
      </c>
      <c r="Q13" s="3">
        <f>IF($B$2="(Todas)",COUNTIF(BASE[CODCIE106],GUIA_NACIONAL_2022_1106127136[[#This Row],[CIE-10]]),COUNTIFS(BASE[Cod.Establecimiento],$B$2,BASE[CODCIE106],GUIA_NACIONAL_2022_1106127136[[#This Row],[CIE-10]]))</f>
        <v>0</v>
      </c>
      <c r="R13" s="3">
        <f>IF($B$2="(Todas)",COUNTIF(BASE[CODCIE108],GUIA_NACIONAL_2022_1106127136[[#This Row],[CIE-10]]),COUNTIFS(BASE[Cod.Establecimiento],$B$2,BASE[CODCIE108],GUIA_NACIONAL_2022_1106127136[[#This Row],[CIE-10]]))</f>
        <v>0</v>
      </c>
      <c r="S13" s="3">
        <f>IF($B$2="(Todas)",COUNTIF(BASE[CODCIE1010],GUIA_NACIONAL_2022_1106127136[[#This Row],[CIE-10]]),COUNTIFS(BASE[Cod.Establecimiento],$B$2,BASE[CODCIE1010],GUIA_NACIONAL_2022_1106127136[[#This Row],[CIE-10]]))</f>
        <v>0</v>
      </c>
      <c r="T13" s="9">
        <f>SUM(GUIA_NACIONAL_2022_1106127136[[#This Row],[D1]:[D6]])</f>
        <v>0</v>
      </c>
      <c r="V13" s="32" t="s">
        <v>138</v>
      </c>
      <c r="W13" s="3">
        <f>IF($B$2="(Todas)",COUNTIF(BASE[CODCIE10],GUIA_NACIONAL_2022_1106128143144[[#This Row],[CIE-10]]),COUNTIFS(BASE[Cod.Establecimiento],$B$2,BASE[CODCIE10],GUIA_NACIONAL_2022_1106128143144[[#This Row],[CIE-10]]))</f>
        <v>0</v>
      </c>
      <c r="X13" s="3">
        <f>IF($B$2="(Todas)",COUNTIF(BASE[CODCIE102],GUIA_NACIONAL_2022_1106128143144[[#This Row],[CIE-10]]),COUNTIFS(BASE[Cod.Establecimiento],$B$2,BASE[CODCIE102],GUIA_NACIONAL_2022_1106128143144[[#This Row],[CIE-10]]))</f>
        <v>0</v>
      </c>
      <c r="Y13" s="3">
        <f>IF($B$2="(Todas)",COUNTIF(BASE[CODCIE104],GUIA_NACIONAL_2022_1106128143144[[#This Row],[CIE-10]]),COUNTIFS(BASE[Cod.Establecimiento],$B$2,BASE[CODCIE104],GUIA_NACIONAL_2022_1106128143144[[#This Row],[CIE-10]]))</f>
        <v>0</v>
      </c>
      <c r="Z13" s="3">
        <f>IF($B$2="(Todas)",COUNTIF(BASE[CODCIE106],GUIA_NACIONAL_2022_1106128143144[[#This Row],[CIE-10]]),COUNTIFS(BASE[Cod.Establecimiento],$B$2,BASE[CODCIE106],GUIA_NACIONAL_2022_1106128143144[[#This Row],[CIE-10]]))</f>
        <v>0</v>
      </c>
      <c r="AA13" s="3">
        <f>IF($B$2="(Todas)",COUNTIF(BASE[CODCIE108],GUIA_NACIONAL_2022_1106128143144[[#This Row],[CIE-10]]),COUNTIFS(BASE[Cod.Establecimiento],$B$2,BASE[CODCIE108],GUIA_NACIONAL_2022_1106128143144[[#This Row],[CIE-10]]))</f>
        <v>0</v>
      </c>
      <c r="AB13" s="3">
        <f>IF($B$2="(Todas)",COUNTIF(BASE[CODCIE1010],GUIA_NACIONAL_2022_1106128143144[[#This Row],[CIE-10]]),COUNTIFS(BASE[Cod.Establecimiento],$B$2,BASE[CODCIE1010],GUIA_NACIONAL_2022_1106128143144[[#This Row],[CIE-10]]))</f>
        <v>0</v>
      </c>
      <c r="AC13" s="9">
        <f>SUM(GUIA_NACIONAL_2022_1106128143144[[#This Row],[D1]:[D6]])</f>
        <v>0</v>
      </c>
      <c r="AE13" s="4" t="s">
        <v>354</v>
      </c>
      <c r="AF13" s="3">
        <f>IF($B$2="(Todas)",COUNTIF(BASE[CODCIE10],GUIA_NACIONAL_2022_1106128105168[[#This Row],[CIE-10]]),COUNTIFS(BASE[Cod.Establecimiento],$B$2,BASE[CODCIE10],GUIA_NACIONAL_2022_1106128105168[[#This Row],[CIE-10]]))</f>
        <v>0</v>
      </c>
      <c r="AG13" s="3">
        <f>IF($B$2="(Todas)",COUNTIF(BASE[CODCIE102],GUIA_NACIONAL_2022_1106128105168[[#This Row],[CIE-10]]),COUNTIFS(BASE[Cod.Establecimiento],$B$2,BASE[CODCIE102],GUIA_NACIONAL_2022_1106128105168[[#This Row],[CIE-10]]))</f>
        <v>0</v>
      </c>
      <c r="AH13" s="3">
        <f>IF($B$2="(Todas)",COUNTIF(BASE[CODCIE104],GUIA_NACIONAL_2022_1106128105168[[#This Row],[CIE-10]]),COUNTIFS(BASE[Cod.Establecimiento],$B$2,BASE[CODCIE104],GUIA_NACIONAL_2022_1106128105168[[#This Row],[CIE-10]]))</f>
        <v>0</v>
      </c>
      <c r="AI13" s="3">
        <f>IF($B$2="(Todas)",COUNTIF(BASE[CODCIE106],GUIA_NACIONAL_2022_1106128105168[[#This Row],[CIE-10]]),COUNTIFS(BASE[Cod.Establecimiento],$B$2,BASE[CODCIE106],GUIA_NACIONAL_2022_1106128105168[[#This Row],[CIE-10]]))</f>
        <v>0</v>
      </c>
      <c r="AJ13" s="3">
        <f>IF($B$2="(Todas)",COUNTIF(BASE[CODCIE108],GUIA_NACIONAL_2022_1106128105168[[#This Row],[CIE-10]]),COUNTIFS(BASE[Cod.Establecimiento],$B$2,BASE[CODCIE108],GUIA_NACIONAL_2022_1106128105168[[#This Row],[CIE-10]]))</f>
        <v>0</v>
      </c>
      <c r="AK13" s="3">
        <f>IF($B$2="(Todas)",COUNTIF(BASE[CODCIE1010],GUIA_NACIONAL_2022_1106128105168[[#This Row],[CIE-10]]),COUNTIFS(BASE[Cod.Establecimiento],$B$2,BASE[CODCIE1010],GUIA_NACIONAL_2022_1106128105168[[#This Row],[CIE-10]]))</f>
        <v>0</v>
      </c>
      <c r="AL13" s="9">
        <f>SUM(GUIA_NACIONAL_2022_1106128105168[[#This Row],[D1]:[D6]])</f>
        <v>0</v>
      </c>
      <c r="AN13" s="150" t="s">
        <v>623</v>
      </c>
      <c r="AO13" s="150"/>
      <c r="AP13" s="150"/>
      <c r="AQ13" s="150"/>
      <c r="AR13" s="150"/>
      <c r="AS13" s="150"/>
      <c r="AT13" s="150"/>
      <c r="AU13" s="150"/>
      <c r="AW13" s="4" t="s">
        <v>640</v>
      </c>
      <c r="AX13" s="3">
        <f>IF($B$2="(Todas)",COUNTIF(BASE[CODCIE10],GUIA_NACIONAL_2022_1106128105107110207208[[#This Row],[CIE-10]]),COUNTIFS(BASE[Cod.Establecimiento],$B$2,BASE[CODCIE10],GUIA_NACIONAL_2022_1106128105107110207208[[#This Row],[CIE-10]]))</f>
        <v>0</v>
      </c>
      <c r="AY13" s="3">
        <f>IF($B$2="(Todas)",COUNTIF(BASE[CODCIE102],GUIA_NACIONAL_2022_1106128105107110207208[[#This Row],[CIE-10]]),COUNTIFS(BASE[Cod.Establecimiento],$B$2,BASE[CODCIE102],GUIA_NACIONAL_2022_1106128105107110207208[[#This Row],[CIE-10]]))</f>
        <v>0</v>
      </c>
      <c r="AZ13" s="3">
        <f>IF($B$2="(Todas)",COUNTIF(BASE[CODCIE104],GUIA_NACIONAL_2022_1106128105107110207208[[#This Row],[CIE-10]]),COUNTIFS(BASE[Cod.Establecimiento],$B$2,BASE[CODCIE104],GUIA_NACIONAL_2022_1106128105107110207208[[#This Row],[CIE-10]]))</f>
        <v>0</v>
      </c>
      <c r="BA13" s="3">
        <f>IF($B$2="(Todas)",COUNTIF(BASE[CODCIE106],GUIA_NACIONAL_2022_1106128105107110207208[[#This Row],[CIE-10]]),COUNTIFS(BASE[Cod.Establecimiento],$B$2,BASE[CODCIE106],GUIA_NACIONAL_2022_1106128105107110207208[[#This Row],[CIE-10]]))</f>
        <v>0</v>
      </c>
      <c r="BB13" s="3">
        <f>IF($B$2="(Todas)",COUNTIF(BASE[CODCIE108],GUIA_NACIONAL_2022_1106128105107110207208[[#This Row],[CIE-10]]),COUNTIFS(BASE[Cod.Establecimiento],$B$2,BASE[CODCIE108],GUIA_NACIONAL_2022_1106128105107110207208[[#This Row],[CIE-10]]))</f>
        <v>0</v>
      </c>
      <c r="BC13" s="3">
        <f>IF($B$2="(Todas)",COUNTIF(BASE[CODCIE1010],GUIA_NACIONAL_2022_1106128105107110207208[[#This Row],[CIE-10]]),COUNTIFS(BASE[Cod.Establecimiento],$B$2,BASE[CODCIE1010],GUIA_NACIONAL_2022_1106128105107110207208[[#This Row],[CIE-10]]))</f>
        <v>0</v>
      </c>
      <c r="BD13" s="9">
        <f>SUM(GUIA_NACIONAL_2022_1106128105107110207208[[#This Row],[D1]:[D6]])</f>
        <v>0</v>
      </c>
      <c r="BF13" t="s">
        <v>93</v>
      </c>
      <c r="BG13" s="3" t="s">
        <v>94</v>
      </c>
      <c r="BH13" s="3" t="s">
        <v>95</v>
      </c>
      <c r="BI13" s="3" t="s">
        <v>96</v>
      </c>
      <c r="BJ13" s="3" t="s">
        <v>97</v>
      </c>
      <c r="BK13" s="3" t="s">
        <v>98</v>
      </c>
      <c r="BL13" s="3" t="s">
        <v>99</v>
      </c>
      <c r="BM13" s="8" t="s">
        <v>100</v>
      </c>
      <c r="BO13" s="149" t="s">
        <v>694</v>
      </c>
      <c r="BP13" s="150"/>
      <c r="BQ13" s="150"/>
      <c r="BR13" s="150"/>
      <c r="BS13" s="150"/>
      <c r="BT13" s="150"/>
      <c r="BU13" s="150"/>
      <c r="BV13" s="150"/>
      <c r="CG13" s="4" t="s">
        <v>723</v>
      </c>
      <c r="CH13" s="3">
        <f>IF($B$2="(Todas)",COUNTIF(BASE[CODCIE10],GUIA_NACIONAL_2022_1106128105107111115129130[[#This Row],[CIE-10]]),COUNTIFS(BASE[Cod.Establecimiento],$B$2,BASE[CODCIE10],GUIA_NACIONAL_2022_1106128105107111115129130[[#This Row],[CIE-10]]))</f>
        <v>0</v>
      </c>
      <c r="CI13" s="3">
        <f>IF($B$2="(Todas)",COUNTIF(BASE[CODCIE102],GUIA_NACIONAL_2022_1106128105107111115129130[[#This Row],[CIE-10]]),COUNTIFS(BASE[Cod.Establecimiento],$B$2,BASE[CODCIE102],GUIA_NACIONAL_2022_1106128105107111115129130[[#This Row],[CIE-10]]))</f>
        <v>0</v>
      </c>
      <c r="CJ13" s="3">
        <f>IF($B$2="(Todas)",COUNTIF(BASE[CODCIE104],GUIA_NACIONAL_2022_1106128105107111115129130[[#This Row],[CIE-10]]),COUNTIFS(BASE[Cod.Establecimiento],$B$2,BASE[CODCIE104],GUIA_NACIONAL_2022_1106128105107111115129130[[#This Row],[CIE-10]]))</f>
        <v>0</v>
      </c>
      <c r="CK13" s="3">
        <f>IF($B$2="(Todas)",COUNTIF(BASE[CODCIE106],GUIA_NACIONAL_2022_1106128105107111115129130[[#This Row],[CIE-10]]),COUNTIFS(BASE[Cod.Establecimiento],$B$2,BASE[CODCIE106],GUIA_NACIONAL_2022_1106128105107111115129130[[#This Row],[CIE-10]]))</f>
        <v>0</v>
      </c>
      <c r="CL13" s="3">
        <f>IF($B$2="(Todas)",COUNTIF(BASE[CODCIE108],GUIA_NACIONAL_2022_1106128105107111115129130[[#This Row],[CIE-10]]),COUNTIFS(BASE[Cod.Establecimiento],$B$2,BASE[CODCIE108],GUIA_NACIONAL_2022_1106128105107111115129130[[#This Row],[CIE-10]]))</f>
        <v>0</v>
      </c>
      <c r="CM13" s="3">
        <f>IF($B$2="(Todas)",COUNTIF(BASE[CODCIE1010],GUIA_NACIONAL_2022_1106128105107111115129130[[#This Row],[CIE-10]]),COUNTIFS(BASE[Cod.Establecimiento],$B$2,BASE[CODCIE1010],GUIA_NACIONAL_2022_1106128105107111115129130[[#This Row],[CIE-10]]))</f>
        <v>0</v>
      </c>
      <c r="CN13" s="9">
        <f>SUM(GUIA_NACIONAL_2022_1106128105107111115129130[[#This Row],[D1]:[D6]])</f>
        <v>0</v>
      </c>
      <c r="DH13" s="32" t="s">
        <v>768</v>
      </c>
      <c r="DI13" s="3">
        <f>IF($B$2="(Todas)",COUNTIF(BASE[CODCIE10],GUIA_NACIONAL_2022_1106128105107111115129130131132133256[[#This Row],[CIE-10]]),COUNTIFS(BASE[Cod.Establecimiento],$B$2,BASE[CODCIE10],GUIA_NACIONAL_2022_1106128105107111115129130131132133256[[#This Row],[CIE-10]]))</f>
        <v>0</v>
      </c>
      <c r="DJ13" s="3">
        <f>IF($B$2="(Todas)",COUNTIF(BASE[CODCIE102],GUIA_NACIONAL_2022_1106128105107111115129130131132133256[[#This Row],[CIE-10]]),COUNTIFS(BASE[Cod.Establecimiento],$B$2,BASE[CODCIE102],GUIA_NACIONAL_2022_1106128105107111115129130131132133256[[#This Row],[CIE-10]]))</f>
        <v>0</v>
      </c>
      <c r="DK13" s="3">
        <f>IF($B$2="(Todas)",COUNTIF(BASE[CODCIE104],GUIA_NACIONAL_2022_1106128105107111115129130131132133256[[#This Row],[CIE-10]]),COUNTIFS(BASE[Cod.Establecimiento],$B$2,BASE[CODCIE104],GUIA_NACIONAL_2022_1106128105107111115129130131132133256[[#This Row],[CIE-10]]))</f>
        <v>0</v>
      </c>
      <c r="DL13" s="3">
        <f>IF($B$2="(Todas)",COUNTIF(BASE[CODCIE106],GUIA_NACIONAL_2022_1106128105107111115129130131132133256[[#This Row],[CIE-10]]),COUNTIFS(BASE[Cod.Establecimiento],$B$2,BASE[CODCIE106],GUIA_NACIONAL_2022_1106128105107111115129130131132133256[[#This Row],[CIE-10]]))</f>
        <v>0</v>
      </c>
      <c r="DM13" s="3">
        <f>IF($B$2="(Todas)",COUNTIF(BASE[CODCIE108],GUIA_NACIONAL_2022_1106128105107111115129130131132133256[[#This Row],[CIE-10]]),COUNTIFS(BASE[Cod.Establecimiento],$B$2,BASE[CODCIE108],GUIA_NACIONAL_2022_1106128105107111115129130131132133256[[#This Row],[CIE-10]]))</f>
        <v>0</v>
      </c>
      <c r="DN13" s="3">
        <f>IF($B$2="(Todas)",COUNTIF(BASE[CODCIE1010],GUIA_NACIONAL_2022_1106128105107111115129130131132133256[[#This Row],[CIE-10]]),COUNTIFS(BASE[Cod.Establecimiento],$B$2,BASE[CODCIE1010],GUIA_NACIONAL_2022_1106128105107111115129130131132133256[[#This Row],[CIE-10]]))</f>
        <v>0</v>
      </c>
      <c r="DO13" s="9">
        <f>SUM(GUIA_NACIONAL_2022_1106128105107111115129130131132133256[[#This Row],[D1]:[D6]])</f>
        <v>0</v>
      </c>
    </row>
    <row r="14" spans="1:137" ht="15" customHeight="1">
      <c r="A14" s="142"/>
      <c r="B14" s="142"/>
      <c r="D14" s="32" t="s">
        <v>433</v>
      </c>
      <c r="E14" s="3">
        <f>IF($B$2="(Todas)",COUNTIF(BASE[CODCIE10],GUIA_NACIONAL_2022_1106108[[#This Row],[CIE-10]]),COUNTIFS(BASE[Cod.Establecimiento],$B$2,BASE[CODCIE10],GUIA_NACIONAL_2022_1106108[[#This Row],[CIE-10]]))</f>
        <v>0</v>
      </c>
      <c r="F14" s="3">
        <f>IF($B$2="(Todas)",COUNTIF(BASE[CODCIE102],GUIA_NACIONAL_2022_1106108[[#This Row],[CIE-10]]),COUNTIFS(BASE[Cod.Establecimiento],$B$2,BASE[CODCIE102],GUIA_NACIONAL_2022_1106108[[#This Row],[CIE-10]]))</f>
        <v>0</v>
      </c>
      <c r="G14" s="3">
        <f>IF($B$2="(Todas)",COUNTIF(BASE[CODCIE104],GUIA_NACIONAL_2022_1106108[[#This Row],[CIE-10]]),COUNTIFS(BASE[Cod.Establecimiento],$B$2,BASE[CODCIE104],GUIA_NACIONAL_2022_1106108[[#This Row],[CIE-10]]))</f>
        <v>0</v>
      </c>
      <c r="H14" s="3">
        <f>IF($B$2="(Todas)",COUNTIF(BASE[CODCIE106],GUIA_NACIONAL_2022_1106108[[#This Row],[CIE-10]]),COUNTIFS(BASE[Cod.Establecimiento],$B$2,BASE[CODCIE106],GUIA_NACIONAL_2022_1106108[[#This Row],[CIE-10]]))</f>
        <v>0</v>
      </c>
      <c r="I14" s="3">
        <f>IF($B$2="(Todas)",COUNTIF(BASE[CODCIE108],GUIA_NACIONAL_2022_1106108[[#This Row],[CIE-10]]),COUNTIFS(BASE[Cod.Establecimiento],$B$2,BASE[CODCIE108],GUIA_NACIONAL_2022_1106108[[#This Row],[CIE-10]]))</f>
        <v>0</v>
      </c>
      <c r="J14" s="3">
        <f>IF($B$2="(Todas)",COUNTIF(BASE[CODCIE1010],GUIA_NACIONAL_2022_1106108[[#This Row],[CIE-10]]),COUNTIFS(BASE[Cod.Establecimiento],$B$2,BASE[CODCIE1010],GUIA_NACIONAL_2022_1106108[[#This Row],[CIE-10]]))</f>
        <v>0</v>
      </c>
      <c r="K14" s="9">
        <f>SUM(GUIA_NACIONAL_2022_1106108[[#This Row],[D1]:[D6]])</f>
        <v>0</v>
      </c>
      <c r="M14" s="149" t="s">
        <v>516</v>
      </c>
      <c r="N14" s="150"/>
      <c r="O14" s="150"/>
      <c r="P14" s="150"/>
      <c r="Q14" s="150"/>
      <c r="R14" s="150"/>
      <c r="S14" s="150"/>
      <c r="T14" s="150"/>
      <c r="V14" s="151" t="s">
        <v>533</v>
      </c>
      <c r="W14" s="151"/>
      <c r="X14" s="151"/>
      <c r="Y14" s="151"/>
      <c r="Z14" s="151"/>
      <c r="AA14" s="151"/>
      <c r="AB14" s="151"/>
      <c r="AC14" s="151"/>
      <c r="AE14" s="151" t="s">
        <v>561</v>
      </c>
      <c r="AF14" s="151"/>
      <c r="AG14" s="151"/>
      <c r="AH14" s="151"/>
      <c r="AI14" s="151"/>
      <c r="AJ14" s="151"/>
      <c r="AK14" s="151"/>
      <c r="AL14" s="151"/>
      <c r="AN14" t="s">
        <v>93</v>
      </c>
      <c r="AO14" s="3" t="s">
        <v>94</v>
      </c>
      <c r="AP14" s="3" t="s">
        <v>95</v>
      </c>
      <c r="AQ14" s="3" t="s">
        <v>96</v>
      </c>
      <c r="AR14" s="3" t="s">
        <v>97</v>
      </c>
      <c r="AS14" s="3" t="s">
        <v>98</v>
      </c>
      <c r="AT14" s="3" t="s">
        <v>99</v>
      </c>
      <c r="AU14" s="8" t="s">
        <v>100</v>
      </c>
      <c r="AW14" s="4" t="s">
        <v>641</v>
      </c>
      <c r="AX14" s="3">
        <f>IF($B$2="(Todas)",COUNTIF(BASE[CODCIE10],GUIA_NACIONAL_2022_1106128105107110207208[[#This Row],[CIE-10]]),COUNTIFS(BASE[Cod.Establecimiento],$B$2,BASE[CODCIE10],GUIA_NACIONAL_2022_1106128105107110207208[[#This Row],[CIE-10]]))</f>
        <v>0</v>
      </c>
      <c r="AY14" s="3">
        <f>IF($B$2="(Todas)",COUNTIF(BASE[CODCIE102],GUIA_NACIONAL_2022_1106128105107110207208[[#This Row],[CIE-10]]),COUNTIFS(BASE[Cod.Establecimiento],$B$2,BASE[CODCIE102],GUIA_NACIONAL_2022_1106128105107110207208[[#This Row],[CIE-10]]))</f>
        <v>0</v>
      </c>
      <c r="AZ14" s="3">
        <f>IF($B$2="(Todas)",COUNTIF(BASE[CODCIE104],GUIA_NACIONAL_2022_1106128105107110207208[[#This Row],[CIE-10]]),COUNTIFS(BASE[Cod.Establecimiento],$B$2,BASE[CODCIE104],GUIA_NACIONAL_2022_1106128105107110207208[[#This Row],[CIE-10]]))</f>
        <v>0</v>
      </c>
      <c r="BA14" s="3">
        <f>IF($B$2="(Todas)",COUNTIF(BASE[CODCIE106],GUIA_NACIONAL_2022_1106128105107110207208[[#This Row],[CIE-10]]),COUNTIFS(BASE[Cod.Establecimiento],$B$2,BASE[CODCIE106],GUIA_NACIONAL_2022_1106128105107110207208[[#This Row],[CIE-10]]))</f>
        <v>0</v>
      </c>
      <c r="BB14" s="3">
        <f>IF($B$2="(Todas)",COUNTIF(BASE[CODCIE108],GUIA_NACIONAL_2022_1106128105107110207208[[#This Row],[CIE-10]]),COUNTIFS(BASE[Cod.Establecimiento],$B$2,BASE[CODCIE108],GUIA_NACIONAL_2022_1106128105107110207208[[#This Row],[CIE-10]]))</f>
        <v>0</v>
      </c>
      <c r="BC14" s="3">
        <f>IF($B$2="(Todas)",COUNTIF(BASE[CODCIE1010],GUIA_NACIONAL_2022_1106128105107110207208[[#This Row],[CIE-10]]),COUNTIFS(BASE[Cod.Establecimiento],$B$2,BASE[CODCIE1010],GUIA_NACIONAL_2022_1106128105107110207208[[#This Row],[CIE-10]]))</f>
        <v>0</v>
      </c>
      <c r="BD14" s="9">
        <f>SUM(GUIA_NACIONAL_2022_1106128105107110207208[[#This Row],[D1]:[D6]])</f>
        <v>0</v>
      </c>
      <c r="BF14" s="4" t="s">
        <v>652</v>
      </c>
      <c r="BG14" s="3">
        <f>IF($B$2="(Todas)",COUNTIF(BASE[CODCIE10],GUIA_NACIONAL_2022_1106128105107110207210211212[[#This Row],[CIE-10]]),COUNTIFS(BASE[Cod.Establecimiento],$B$2,BASE[CODCIE10],GUIA_NACIONAL_2022_1106128105107110207210211212[[#This Row],[CIE-10]]))</f>
        <v>0</v>
      </c>
      <c r="BH14" s="3">
        <f>IF($B$2="(Todas)",COUNTIF(BASE[CODCIE102],GUIA_NACIONAL_2022_1106128105107110207210211212[[#This Row],[CIE-10]]),COUNTIFS(BASE[Cod.Establecimiento],$B$2,BASE[CODCIE102],GUIA_NACIONAL_2022_1106128105107110207210211212[[#This Row],[CIE-10]]))</f>
        <v>0</v>
      </c>
      <c r="BI14" s="3">
        <f>IF($B$2="(Todas)",COUNTIF(BASE[CODCIE104],GUIA_NACIONAL_2022_1106128105107110207210211212[[#This Row],[CIE-10]]),COUNTIFS(BASE[Cod.Establecimiento],$B$2,BASE[CODCIE104],GUIA_NACIONAL_2022_1106128105107110207210211212[[#This Row],[CIE-10]]))</f>
        <v>0</v>
      </c>
      <c r="BJ14" s="3">
        <f>IF($B$2="(Todas)",COUNTIF(BASE[CODCIE106],GUIA_NACIONAL_2022_1106128105107110207210211212[[#This Row],[CIE-10]]),COUNTIFS(BASE[Cod.Establecimiento],$B$2,BASE[CODCIE106],GUIA_NACIONAL_2022_1106128105107110207210211212[[#This Row],[CIE-10]]))</f>
        <v>0</v>
      </c>
      <c r="BK14" s="3">
        <f>IF($B$2="(Todas)",COUNTIF(BASE[CODCIE108],GUIA_NACIONAL_2022_1106128105107110207210211212[[#This Row],[CIE-10]]),COUNTIFS(BASE[Cod.Establecimiento],$B$2,BASE[CODCIE108],GUIA_NACIONAL_2022_1106128105107110207210211212[[#This Row],[CIE-10]]))</f>
        <v>0</v>
      </c>
      <c r="BL14" s="3">
        <f>IF($B$2="(Todas)",COUNTIF(BASE[CODCIE1010],GUIA_NACIONAL_2022_1106128105107110207210211212[[#This Row],[CIE-10]]),COUNTIFS(BASE[Cod.Establecimiento],$B$2,BASE[CODCIE1010],GUIA_NACIONAL_2022_1106128105107110207210211212[[#This Row],[CIE-10]]))</f>
        <v>0</v>
      </c>
      <c r="BM14" s="9">
        <f>SUM(GUIA_NACIONAL_2022_1106128105107110207210211212[[#This Row],[D1]:[D6]])</f>
        <v>0</v>
      </c>
      <c r="BO14" t="s">
        <v>93</v>
      </c>
      <c r="BP14" s="3" t="s">
        <v>94</v>
      </c>
      <c r="BQ14" s="3" t="s">
        <v>95</v>
      </c>
      <c r="BR14" s="3" t="s">
        <v>96</v>
      </c>
      <c r="BS14" s="3" t="s">
        <v>97</v>
      </c>
      <c r="BT14" s="3" t="s">
        <v>98</v>
      </c>
      <c r="BU14" s="3" t="s">
        <v>99</v>
      </c>
      <c r="BV14" s="8" t="s">
        <v>100</v>
      </c>
      <c r="CG14" s="4" t="s">
        <v>724</v>
      </c>
      <c r="CH14" s="3">
        <f>IF($B$2="(Todas)",COUNTIF(BASE[CODCIE10],GUIA_NACIONAL_2022_1106128105107111115129130[[#This Row],[CIE-10]]),COUNTIFS(BASE[Cod.Establecimiento],$B$2,BASE[CODCIE10],GUIA_NACIONAL_2022_1106128105107111115129130[[#This Row],[CIE-10]]))</f>
        <v>0</v>
      </c>
      <c r="CI14" s="3">
        <f>IF($B$2="(Todas)",COUNTIF(BASE[CODCIE102],GUIA_NACIONAL_2022_1106128105107111115129130[[#This Row],[CIE-10]]),COUNTIFS(BASE[Cod.Establecimiento],$B$2,BASE[CODCIE102],GUIA_NACIONAL_2022_1106128105107111115129130[[#This Row],[CIE-10]]))</f>
        <v>0</v>
      </c>
      <c r="CJ14" s="3">
        <f>IF($B$2="(Todas)",COUNTIF(BASE[CODCIE104],GUIA_NACIONAL_2022_1106128105107111115129130[[#This Row],[CIE-10]]),COUNTIFS(BASE[Cod.Establecimiento],$B$2,BASE[CODCIE104],GUIA_NACIONAL_2022_1106128105107111115129130[[#This Row],[CIE-10]]))</f>
        <v>0</v>
      </c>
      <c r="CK14" s="3">
        <f>IF($B$2="(Todas)",COUNTIF(BASE[CODCIE106],GUIA_NACIONAL_2022_1106128105107111115129130[[#This Row],[CIE-10]]),COUNTIFS(BASE[Cod.Establecimiento],$B$2,BASE[CODCIE106],GUIA_NACIONAL_2022_1106128105107111115129130[[#This Row],[CIE-10]]))</f>
        <v>0</v>
      </c>
      <c r="CL14" s="3">
        <f>IF($B$2="(Todas)",COUNTIF(BASE[CODCIE108],GUIA_NACIONAL_2022_1106128105107111115129130[[#This Row],[CIE-10]]),COUNTIFS(BASE[Cod.Establecimiento],$B$2,BASE[CODCIE108],GUIA_NACIONAL_2022_1106128105107111115129130[[#This Row],[CIE-10]]))</f>
        <v>0</v>
      </c>
      <c r="CM14" s="3">
        <f>IF($B$2="(Todas)",COUNTIF(BASE[CODCIE1010],GUIA_NACIONAL_2022_1106128105107111115129130[[#This Row],[CIE-10]]),COUNTIFS(BASE[Cod.Establecimiento],$B$2,BASE[CODCIE1010],GUIA_NACIONAL_2022_1106128105107111115129130[[#This Row],[CIE-10]]))</f>
        <v>0</v>
      </c>
      <c r="CN14" s="9">
        <f>SUM(GUIA_NACIONAL_2022_1106128105107111115129130[[#This Row],[D1]:[D6]])</f>
        <v>0</v>
      </c>
      <c r="DH14" s="32" t="s">
        <v>769</v>
      </c>
      <c r="DI14" s="3">
        <f>IF($B$2="(Todas)",COUNTIF(BASE[CODCIE10],GUIA_NACIONAL_2022_1106128105107111115129130131132133256[[#This Row],[CIE-10]]),COUNTIFS(BASE[Cod.Establecimiento],$B$2,BASE[CODCIE10],GUIA_NACIONAL_2022_1106128105107111115129130131132133256[[#This Row],[CIE-10]]))</f>
        <v>0</v>
      </c>
      <c r="DJ14" s="3">
        <f>IF($B$2="(Todas)",COUNTIF(BASE[CODCIE102],GUIA_NACIONAL_2022_1106128105107111115129130131132133256[[#This Row],[CIE-10]]),COUNTIFS(BASE[Cod.Establecimiento],$B$2,BASE[CODCIE102],GUIA_NACIONAL_2022_1106128105107111115129130131132133256[[#This Row],[CIE-10]]))</f>
        <v>0</v>
      </c>
      <c r="DK14" s="3">
        <f>IF($B$2="(Todas)",COUNTIF(BASE[CODCIE104],GUIA_NACIONAL_2022_1106128105107111115129130131132133256[[#This Row],[CIE-10]]),COUNTIFS(BASE[Cod.Establecimiento],$B$2,BASE[CODCIE104],GUIA_NACIONAL_2022_1106128105107111115129130131132133256[[#This Row],[CIE-10]]))</f>
        <v>0</v>
      </c>
      <c r="DL14" s="3">
        <f>IF($B$2="(Todas)",COUNTIF(BASE[CODCIE106],GUIA_NACIONAL_2022_1106128105107111115129130131132133256[[#This Row],[CIE-10]]),COUNTIFS(BASE[Cod.Establecimiento],$B$2,BASE[CODCIE106],GUIA_NACIONAL_2022_1106128105107111115129130131132133256[[#This Row],[CIE-10]]))</f>
        <v>0</v>
      </c>
      <c r="DM14" s="3">
        <f>IF($B$2="(Todas)",COUNTIF(BASE[CODCIE108],GUIA_NACIONAL_2022_1106128105107111115129130131132133256[[#This Row],[CIE-10]]),COUNTIFS(BASE[Cod.Establecimiento],$B$2,BASE[CODCIE108],GUIA_NACIONAL_2022_1106128105107111115129130131132133256[[#This Row],[CIE-10]]))</f>
        <v>0</v>
      </c>
      <c r="DN14" s="3">
        <f>IF($B$2="(Todas)",COUNTIF(BASE[CODCIE1010],GUIA_NACIONAL_2022_1106128105107111115129130131132133256[[#This Row],[CIE-10]]),COUNTIFS(BASE[Cod.Establecimiento],$B$2,BASE[CODCIE1010],GUIA_NACIONAL_2022_1106128105107111115129130131132133256[[#This Row],[CIE-10]]))</f>
        <v>0</v>
      </c>
      <c r="DO14" s="9">
        <f>SUM(GUIA_NACIONAL_2022_1106128105107111115129130131132133256[[#This Row],[D1]:[D6]])</f>
        <v>0</v>
      </c>
    </row>
    <row r="15" spans="1:137" ht="15" customHeight="1">
      <c r="A15" s="142"/>
      <c r="B15" s="142"/>
      <c r="D15" s="32" t="s">
        <v>434</v>
      </c>
      <c r="E15" s="3">
        <f>IF($B$2="(Todas)",COUNTIF(BASE[CODCIE10],GUIA_NACIONAL_2022_1106108[[#This Row],[CIE-10]]),COUNTIFS(BASE[Cod.Establecimiento],$B$2,BASE[CODCIE10],GUIA_NACIONAL_2022_1106108[[#This Row],[CIE-10]]))</f>
        <v>0</v>
      </c>
      <c r="F15" s="3">
        <f>IF($B$2="(Todas)",COUNTIF(BASE[CODCIE102],GUIA_NACIONAL_2022_1106108[[#This Row],[CIE-10]]),COUNTIFS(BASE[Cod.Establecimiento],$B$2,BASE[CODCIE102],GUIA_NACIONAL_2022_1106108[[#This Row],[CIE-10]]))</f>
        <v>0</v>
      </c>
      <c r="G15" s="3">
        <f>IF($B$2="(Todas)",COUNTIF(BASE[CODCIE104],GUIA_NACIONAL_2022_1106108[[#This Row],[CIE-10]]),COUNTIFS(BASE[Cod.Establecimiento],$B$2,BASE[CODCIE104],GUIA_NACIONAL_2022_1106108[[#This Row],[CIE-10]]))</f>
        <v>0</v>
      </c>
      <c r="H15" s="3">
        <f>IF($B$2="(Todas)",COUNTIF(BASE[CODCIE106],GUIA_NACIONAL_2022_1106108[[#This Row],[CIE-10]]),COUNTIFS(BASE[Cod.Establecimiento],$B$2,BASE[CODCIE106],GUIA_NACIONAL_2022_1106108[[#This Row],[CIE-10]]))</f>
        <v>0</v>
      </c>
      <c r="I15" s="3">
        <f>IF($B$2="(Todas)",COUNTIF(BASE[CODCIE108],GUIA_NACIONAL_2022_1106108[[#This Row],[CIE-10]]),COUNTIFS(BASE[Cod.Establecimiento],$B$2,BASE[CODCIE108],GUIA_NACIONAL_2022_1106108[[#This Row],[CIE-10]]))</f>
        <v>0</v>
      </c>
      <c r="J15" s="3">
        <f>IF($B$2="(Todas)",COUNTIF(BASE[CODCIE1010],GUIA_NACIONAL_2022_1106108[[#This Row],[CIE-10]]),COUNTIFS(BASE[Cod.Establecimiento],$B$2,BASE[CODCIE1010],GUIA_NACIONAL_2022_1106108[[#This Row],[CIE-10]]))</f>
        <v>0</v>
      </c>
      <c r="K15" s="9">
        <f>SUM(GUIA_NACIONAL_2022_1106108[[#This Row],[D1]:[D6]])</f>
        <v>0</v>
      </c>
      <c r="M15" t="s">
        <v>93</v>
      </c>
      <c r="N15" s="3" t="s">
        <v>94</v>
      </c>
      <c r="O15" s="3" t="s">
        <v>95</v>
      </c>
      <c r="P15" s="3" t="s">
        <v>96</v>
      </c>
      <c r="Q15" s="3" t="s">
        <v>97</v>
      </c>
      <c r="R15" s="3" t="s">
        <v>98</v>
      </c>
      <c r="S15" s="3" t="s">
        <v>99</v>
      </c>
      <c r="T15" s="8" t="s">
        <v>100</v>
      </c>
      <c r="V15" s="149" t="s">
        <v>532</v>
      </c>
      <c r="W15" s="150"/>
      <c r="X15" s="150"/>
      <c r="Y15" s="150"/>
      <c r="Z15" s="150"/>
      <c r="AA15" s="150"/>
      <c r="AB15" s="150"/>
      <c r="AC15" s="150"/>
      <c r="AE15" s="150" t="s">
        <v>562</v>
      </c>
      <c r="AF15" s="150"/>
      <c r="AG15" s="150"/>
      <c r="AH15" s="150"/>
      <c r="AI15" s="150"/>
      <c r="AJ15" s="150"/>
      <c r="AK15" s="150"/>
      <c r="AL15" s="150"/>
      <c r="AN15" s="4" t="s">
        <v>621</v>
      </c>
      <c r="AO15" s="3">
        <f>IF($B$2="(Todas)",COUNTIF(BASE[CODCIE10],GUIA_NACIONAL_2022_1106128105168162195196[[#This Row],[CIE-10]]),COUNTIFS(BASE[Cod.Establecimiento],$B$2,BASE[CODCIE10],GUIA_NACIONAL_2022_1106128105168162195196[[#This Row],[CIE-10]]))</f>
        <v>0</v>
      </c>
      <c r="AP15" s="3">
        <f>IF($B$2="(Todas)",COUNTIF(BASE[CODCIE102],GUIA_NACIONAL_2022_1106128105168162195196[[#This Row],[CIE-10]]),COUNTIFS(BASE[Cod.Establecimiento],$B$2,BASE[CODCIE102],GUIA_NACIONAL_2022_1106128105168162195196[[#This Row],[CIE-10]]))</f>
        <v>0</v>
      </c>
      <c r="AQ15" s="3">
        <f>IF($B$2="(Todas)",COUNTIF(BASE[CODCIE104],GUIA_NACIONAL_2022_1106128105168162195196[[#This Row],[CIE-10]]),COUNTIFS(BASE[Cod.Establecimiento],$B$2,BASE[CODCIE104],GUIA_NACIONAL_2022_1106128105168162195196[[#This Row],[CIE-10]]))</f>
        <v>0</v>
      </c>
      <c r="AR15" s="3">
        <f>IF($B$2="(Todas)",COUNTIF(BASE[CODCIE106],GUIA_NACIONAL_2022_1106128105168162195196[[#This Row],[CIE-10]]),COUNTIFS(BASE[Cod.Establecimiento],$B$2,BASE[CODCIE106],GUIA_NACIONAL_2022_1106128105168162195196[[#This Row],[CIE-10]]))</f>
        <v>0</v>
      </c>
      <c r="AS15" s="3">
        <f>IF($B$2="(Todas)",COUNTIF(BASE[CODCIE108],GUIA_NACIONAL_2022_1106128105168162195196[[#This Row],[CIE-10]]),COUNTIFS(BASE[Cod.Establecimiento],$B$2,BASE[CODCIE108],GUIA_NACIONAL_2022_1106128105168162195196[[#This Row],[CIE-10]]))</f>
        <v>0</v>
      </c>
      <c r="AT15" s="3">
        <f>IF($B$2="(Todas)",COUNTIF(BASE[CODCIE1010],GUIA_NACIONAL_2022_1106128105168162195196[[#This Row],[CIE-10]]),COUNTIFS(BASE[Cod.Establecimiento],$B$2,BASE[CODCIE1010],GUIA_NACIONAL_2022_1106128105168162195196[[#This Row],[CIE-10]]))</f>
        <v>0</v>
      </c>
      <c r="AU15" s="9">
        <f>SUM(GUIA_NACIONAL_2022_1106128105168162195196[[#This Row],[D1]:[D6]])</f>
        <v>0</v>
      </c>
      <c r="AW15" s="4" t="s">
        <v>642</v>
      </c>
      <c r="AX15" s="3">
        <f>IF($B$2="(Todas)",COUNTIF(BASE[CODCIE10],GUIA_NACIONAL_2022_1106128105107110207208[[#This Row],[CIE-10]]),COUNTIFS(BASE[Cod.Establecimiento],$B$2,BASE[CODCIE10],GUIA_NACIONAL_2022_1106128105107110207208[[#This Row],[CIE-10]]))</f>
        <v>0</v>
      </c>
      <c r="AY15" s="3">
        <f>IF($B$2="(Todas)",COUNTIF(BASE[CODCIE102],GUIA_NACIONAL_2022_1106128105107110207208[[#This Row],[CIE-10]]),COUNTIFS(BASE[Cod.Establecimiento],$B$2,BASE[CODCIE102],GUIA_NACIONAL_2022_1106128105107110207208[[#This Row],[CIE-10]]))</f>
        <v>0</v>
      </c>
      <c r="AZ15" s="3">
        <f>IF($B$2="(Todas)",COUNTIF(BASE[CODCIE104],GUIA_NACIONAL_2022_1106128105107110207208[[#This Row],[CIE-10]]),COUNTIFS(BASE[Cod.Establecimiento],$B$2,BASE[CODCIE104],GUIA_NACIONAL_2022_1106128105107110207208[[#This Row],[CIE-10]]))</f>
        <v>0</v>
      </c>
      <c r="BA15" s="3">
        <f>IF($B$2="(Todas)",COUNTIF(BASE[CODCIE106],GUIA_NACIONAL_2022_1106128105107110207208[[#This Row],[CIE-10]]),COUNTIFS(BASE[Cod.Establecimiento],$B$2,BASE[CODCIE106],GUIA_NACIONAL_2022_1106128105107110207208[[#This Row],[CIE-10]]))</f>
        <v>0</v>
      </c>
      <c r="BB15" s="3">
        <f>IF($B$2="(Todas)",COUNTIF(BASE[CODCIE108],GUIA_NACIONAL_2022_1106128105107110207208[[#This Row],[CIE-10]]),COUNTIFS(BASE[Cod.Establecimiento],$B$2,BASE[CODCIE108],GUIA_NACIONAL_2022_1106128105107110207208[[#This Row],[CIE-10]]))</f>
        <v>0</v>
      </c>
      <c r="BC15" s="3">
        <f>IF($B$2="(Todas)",COUNTIF(BASE[CODCIE1010],GUIA_NACIONAL_2022_1106128105107110207208[[#This Row],[CIE-10]]),COUNTIFS(BASE[Cod.Establecimiento],$B$2,BASE[CODCIE1010],GUIA_NACIONAL_2022_1106128105107110207208[[#This Row],[CIE-10]]))</f>
        <v>0</v>
      </c>
      <c r="BD15" s="9">
        <f>SUM(GUIA_NACIONAL_2022_1106128105107110207208[[#This Row],[D1]:[D6]])</f>
        <v>0</v>
      </c>
      <c r="BF15" s="151" t="s">
        <v>653</v>
      </c>
      <c r="BG15" s="151"/>
      <c r="BH15" s="151"/>
      <c r="BI15" s="151"/>
      <c r="BJ15" s="151"/>
      <c r="BK15" s="151"/>
      <c r="BL15" s="151"/>
      <c r="BM15" s="151"/>
      <c r="BO15" s="4" t="s">
        <v>236</v>
      </c>
      <c r="BP15" s="3">
        <f>IF($B$2="(Todas)",COUNTIF(BASE[CODCIE10],GUIA_NACIONAL_2022_1106128105107110207210231232234[[#This Row],[CIE-10]]),COUNTIFS(BASE[Cod.Establecimiento],$B$2,BASE[CODCIE10],GUIA_NACIONAL_2022_1106128105107110207210231232234[[#This Row],[CIE-10]]))</f>
        <v>0</v>
      </c>
      <c r="BQ15" s="3">
        <f>IF($B$2="(Todas)",COUNTIF(BASE[CODCIE102],GUIA_NACIONAL_2022_1106128105107110207210231232234[[#This Row],[CIE-10]]),COUNTIFS(BASE[Cod.Establecimiento],$B$2,BASE[CODCIE102],GUIA_NACIONAL_2022_1106128105107110207210231232234[[#This Row],[CIE-10]]))</f>
        <v>0</v>
      </c>
      <c r="BR15" s="3">
        <f>IF($B$2="(Todas)",COUNTIF(BASE[CODCIE104],GUIA_NACIONAL_2022_1106128105107110207210231232234[[#This Row],[CIE-10]]),COUNTIFS(BASE[Cod.Establecimiento],$B$2,BASE[CODCIE104],GUIA_NACIONAL_2022_1106128105107110207210231232234[[#This Row],[CIE-10]]))</f>
        <v>0</v>
      </c>
      <c r="BS15" s="3">
        <f>IF($B$2="(Todas)",COUNTIF(BASE[CODCIE106],GUIA_NACIONAL_2022_1106128105107110207210231232234[[#This Row],[CIE-10]]),COUNTIFS(BASE[Cod.Establecimiento],$B$2,BASE[CODCIE106],GUIA_NACIONAL_2022_1106128105107110207210231232234[[#This Row],[CIE-10]]))</f>
        <v>0</v>
      </c>
      <c r="BT15" s="3">
        <f>IF($B$2="(Todas)",COUNTIF(BASE[CODCIE108],GUIA_NACIONAL_2022_1106128105107110207210231232234[[#This Row],[CIE-10]]),COUNTIFS(BASE[Cod.Establecimiento],$B$2,BASE[CODCIE108],GUIA_NACIONAL_2022_1106128105107110207210231232234[[#This Row],[CIE-10]]))</f>
        <v>0</v>
      </c>
      <c r="BU15" s="3">
        <f>IF($B$2="(Todas)",COUNTIF(BASE[CODCIE1010],GUIA_NACIONAL_2022_1106128105107110207210231232234[[#This Row],[CIE-10]]),COUNTIFS(BASE[Cod.Establecimiento],$B$2,BASE[CODCIE1010],GUIA_NACIONAL_2022_1106128105107110207210231232234[[#This Row],[CIE-10]]))</f>
        <v>0</v>
      </c>
      <c r="BV15" s="9">
        <f>SUM(GUIA_NACIONAL_2022_1106128105107110207210231232234[[#This Row],[D1]:[D6]])</f>
        <v>0</v>
      </c>
      <c r="CG15" s="4" t="s">
        <v>725</v>
      </c>
      <c r="CH15" s="3">
        <f>IF($B$2="(Todas)",COUNTIF(BASE[CODCIE10],GUIA_NACIONAL_2022_1106128105107111115129130[[#This Row],[CIE-10]]),COUNTIFS(BASE[Cod.Establecimiento],$B$2,BASE[CODCIE10],GUIA_NACIONAL_2022_1106128105107111115129130[[#This Row],[CIE-10]]))</f>
        <v>0</v>
      </c>
      <c r="CI15" s="3">
        <f>IF($B$2="(Todas)",COUNTIF(BASE[CODCIE102],GUIA_NACIONAL_2022_1106128105107111115129130[[#This Row],[CIE-10]]),COUNTIFS(BASE[Cod.Establecimiento],$B$2,BASE[CODCIE102],GUIA_NACIONAL_2022_1106128105107111115129130[[#This Row],[CIE-10]]))</f>
        <v>0</v>
      </c>
      <c r="CJ15" s="3">
        <f>IF($B$2="(Todas)",COUNTIF(BASE[CODCIE104],GUIA_NACIONAL_2022_1106128105107111115129130[[#This Row],[CIE-10]]),COUNTIFS(BASE[Cod.Establecimiento],$B$2,BASE[CODCIE104],GUIA_NACIONAL_2022_1106128105107111115129130[[#This Row],[CIE-10]]))</f>
        <v>0</v>
      </c>
      <c r="CK15" s="3">
        <f>IF($B$2="(Todas)",COUNTIF(BASE[CODCIE106],GUIA_NACIONAL_2022_1106128105107111115129130[[#This Row],[CIE-10]]),COUNTIFS(BASE[Cod.Establecimiento],$B$2,BASE[CODCIE106],GUIA_NACIONAL_2022_1106128105107111115129130[[#This Row],[CIE-10]]))</f>
        <v>0</v>
      </c>
      <c r="CL15" s="3">
        <f>IF($B$2="(Todas)",COUNTIF(BASE[CODCIE108],GUIA_NACIONAL_2022_1106128105107111115129130[[#This Row],[CIE-10]]),COUNTIFS(BASE[Cod.Establecimiento],$B$2,BASE[CODCIE108],GUIA_NACIONAL_2022_1106128105107111115129130[[#This Row],[CIE-10]]))</f>
        <v>0</v>
      </c>
      <c r="CM15" s="3">
        <f>IF($B$2="(Todas)",COUNTIF(BASE[CODCIE1010],GUIA_NACIONAL_2022_1106128105107111115129130[[#This Row],[CIE-10]]),COUNTIFS(BASE[Cod.Establecimiento],$B$2,BASE[CODCIE1010],GUIA_NACIONAL_2022_1106128105107111115129130[[#This Row],[CIE-10]]))</f>
        <v>0</v>
      </c>
      <c r="CN15" s="9">
        <f>SUM(GUIA_NACIONAL_2022_1106128105107111115129130[[#This Row],[D1]:[D6]])</f>
        <v>0</v>
      </c>
      <c r="DH15" s="32" t="s">
        <v>770</v>
      </c>
      <c r="DI15" s="3">
        <f>IF($B$2="(Todas)",COUNTIF(BASE[CODCIE10],GUIA_NACIONAL_2022_1106128105107111115129130131132133256[[#This Row],[CIE-10]]),COUNTIFS(BASE[Cod.Establecimiento],$B$2,BASE[CODCIE10],GUIA_NACIONAL_2022_1106128105107111115129130131132133256[[#This Row],[CIE-10]]))</f>
        <v>0</v>
      </c>
      <c r="DJ15" s="3">
        <f>IF($B$2="(Todas)",COUNTIF(BASE[CODCIE102],GUIA_NACIONAL_2022_1106128105107111115129130131132133256[[#This Row],[CIE-10]]),COUNTIFS(BASE[Cod.Establecimiento],$B$2,BASE[CODCIE102],GUIA_NACIONAL_2022_1106128105107111115129130131132133256[[#This Row],[CIE-10]]))</f>
        <v>0</v>
      </c>
      <c r="DK15" s="3">
        <f>IF($B$2="(Todas)",COUNTIF(BASE[CODCIE104],GUIA_NACIONAL_2022_1106128105107111115129130131132133256[[#This Row],[CIE-10]]),COUNTIFS(BASE[Cod.Establecimiento],$B$2,BASE[CODCIE104],GUIA_NACIONAL_2022_1106128105107111115129130131132133256[[#This Row],[CIE-10]]))</f>
        <v>0</v>
      </c>
      <c r="DL15" s="3">
        <f>IF($B$2="(Todas)",COUNTIF(BASE[CODCIE106],GUIA_NACIONAL_2022_1106128105107111115129130131132133256[[#This Row],[CIE-10]]),COUNTIFS(BASE[Cod.Establecimiento],$B$2,BASE[CODCIE106],GUIA_NACIONAL_2022_1106128105107111115129130131132133256[[#This Row],[CIE-10]]))</f>
        <v>0</v>
      </c>
      <c r="DM15" s="3">
        <f>IF($B$2="(Todas)",COUNTIF(BASE[CODCIE108],GUIA_NACIONAL_2022_1106128105107111115129130131132133256[[#This Row],[CIE-10]]),COUNTIFS(BASE[Cod.Establecimiento],$B$2,BASE[CODCIE108],GUIA_NACIONAL_2022_1106128105107111115129130131132133256[[#This Row],[CIE-10]]))</f>
        <v>0</v>
      </c>
      <c r="DN15" s="3">
        <f>IF($B$2="(Todas)",COUNTIF(BASE[CODCIE1010],GUIA_NACIONAL_2022_1106128105107111115129130131132133256[[#This Row],[CIE-10]]),COUNTIFS(BASE[Cod.Establecimiento],$B$2,BASE[CODCIE1010],GUIA_NACIONAL_2022_1106128105107111115129130131132133256[[#This Row],[CIE-10]]))</f>
        <v>0</v>
      </c>
      <c r="DO15" s="9">
        <f>SUM(GUIA_NACIONAL_2022_1106128105107111115129130131132133256[[#This Row],[D1]:[D6]])</f>
        <v>0</v>
      </c>
    </row>
    <row r="16" spans="1:137" ht="15" customHeight="1">
      <c r="A16" s="142"/>
      <c r="B16" s="142"/>
      <c r="D16" s="32" t="s">
        <v>313</v>
      </c>
      <c r="E16" s="3">
        <f>IF($B$2="(Todas)",COUNTIF(BASE[CODCIE10],GUIA_NACIONAL_2022_1106108[[#This Row],[CIE-10]]),COUNTIFS(BASE[Cod.Establecimiento],$B$2,BASE[CODCIE10],GUIA_NACIONAL_2022_1106108[[#This Row],[CIE-10]]))</f>
        <v>0</v>
      </c>
      <c r="F16" s="3">
        <f>IF($B$2="(Todas)",COUNTIF(BASE[CODCIE102],GUIA_NACIONAL_2022_1106108[[#This Row],[CIE-10]]),COUNTIFS(BASE[Cod.Establecimiento],$B$2,BASE[CODCIE102],GUIA_NACIONAL_2022_1106108[[#This Row],[CIE-10]]))</f>
        <v>0</v>
      </c>
      <c r="G16" s="3">
        <f>IF($B$2="(Todas)",COUNTIF(BASE[CODCIE104],GUIA_NACIONAL_2022_1106108[[#This Row],[CIE-10]]),COUNTIFS(BASE[Cod.Establecimiento],$B$2,BASE[CODCIE104],GUIA_NACIONAL_2022_1106108[[#This Row],[CIE-10]]))</f>
        <v>0</v>
      </c>
      <c r="H16" s="3">
        <f>IF($B$2="(Todas)",COUNTIF(BASE[CODCIE106],GUIA_NACIONAL_2022_1106108[[#This Row],[CIE-10]]),COUNTIFS(BASE[Cod.Establecimiento],$B$2,BASE[CODCIE106],GUIA_NACIONAL_2022_1106108[[#This Row],[CIE-10]]))</f>
        <v>0</v>
      </c>
      <c r="I16" s="3">
        <f>IF($B$2="(Todas)",COUNTIF(BASE[CODCIE108],GUIA_NACIONAL_2022_1106108[[#This Row],[CIE-10]]),COUNTIFS(BASE[Cod.Establecimiento],$B$2,BASE[CODCIE108],GUIA_NACIONAL_2022_1106108[[#This Row],[CIE-10]]))</f>
        <v>0</v>
      </c>
      <c r="J16" s="3">
        <f>IF($B$2="(Todas)",COUNTIF(BASE[CODCIE1010],GUIA_NACIONAL_2022_1106108[[#This Row],[CIE-10]]),COUNTIFS(BASE[Cod.Establecimiento],$B$2,BASE[CODCIE1010],GUIA_NACIONAL_2022_1106108[[#This Row],[CIE-10]]))</f>
        <v>0</v>
      </c>
      <c r="K16" s="9">
        <f>SUM(GUIA_NACIONAL_2022_1106108[[#This Row],[D1]:[D6]])</f>
        <v>0</v>
      </c>
      <c r="M16" s="4" t="s">
        <v>517</v>
      </c>
      <c r="N16" s="3">
        <f>IF($B$2="(Todas)",COUNTIF(BASE[CODCIE10],GUIA_NACIONAL_2022_1106127136137[[#This Row],[CIE-10]]),COUNTIFS(BASE[Cod.Establecimiento],$B$2,BASE[CODCIE10],GUIA_NACIONAL_2022_1106127136137[[#This Row],[CIE-10]]))</f>
        <v>0</v>
      </c>
      <c r="O16" s="3">
        <f>IF($B$2="(Todas)",COUNTIF(BASE[CODCIE102],GUIA_NACIONAL_2022_1106127136137[[#This Row],[CIE-10]]),COUNTIFS(BASE[Cod.Establecimiento],$B$2,BASE[CODCIE102],GUIA_NACIONAL_2022_1106127136137[[#This Row],[CIE-10]]))</f>
        <v>0</v>
      </c>
      <c r="P16" s="3">
        <f>IF($B$2="(Todas)",COUNTIF(BASE[CODCIE104],GUIA_NACIONAL_2022_1106127136137[[#This Row],[CIE-10]]),COUNTIFS(BASE[Cod.Establecimiento],$B$2,BASE[CODCIE104],GUIA_NACIONAL_2022_1106127136137[[#This Row],[CIE-10]]))</f>
        <v>0</v>
      </c>
      <c r="Q16" s="3">
        <f>IF($B$2="(Todas)",COUNTIF(BASE[CODCIE106],GUIA_NACIONAL_2022_1106127136137[[#This Row],[CIE-10]]),COUNTIFS(BASE[Cod.Establecimiento],$B$2,BASE[CODCIE106],GUIA_NACIONAL_2022_1106127136137[[#This Row],[CIE-10]]))</f>
        <v>0</v>
      </c>
      <c r="R16" s="3">
        <f>IF($B$2="(Todas)",COUNTIF(BASE[CODCIE108],GUIA_NACIONAL_2022_1106127136137[[#This Row],[CIE-10]]),COUNTIFS(BASE[Cod.Establecimiento],$B$2,BASE[CODCIE108],GUIA_NACIONAL_2022_1106127136137[[#This Row],[CIE-10]]))</f>
        <v>0</v>
      </c>
      <c r="S16" s="3">
        <f>IF($B$2="(Todas)",COUNTIF(BASE[CODCIE1010],GUIA_NACIONAL_2022_1106127136137[[#This Row],[CIE-10]]),COUNTIFS(BASE[Cod.Establecimiento],$B$2,BASE[CODCIE1010],GUIA_NACIONAL_2022_1106127136137[[#This Row],[CIE-10]]))</f>
        <v>0</v>
      </c>
      <c r="T16" s="9">
        <f>SUM(GUIA_NACIONAL_2022_1106127136137[[#This Row],[D1]:[D6]])</f>
        <v>0</v>
      </c>
      <c r="V16" t="s">
        <v>93</v>
      </c>
      <c r="W16" s="3" t="s">
        <v>94</v>
      </c>
      <c r="X16" s="3" t="s">
        <v>95</v>
      </c>
      <c r="Y16" s="3" t="s">
        <v>96</v>
      </c>
      <c r="Z16" s="3" t="s">
        <v>97</v>
      </c>
      <c r="AA16" s="3" t="s">
        <v>98</v>
      </c>
      <c r="AB16" s="3" t="s">
        <v>99</v>
      </c>
      <c r="AC16" s="8" t="s">
        <v>100</v>
      </c>
      <c r="AE16" t="s">
        <v>93</v>
      </c>
      <c r="AF16" s="3" t="s">
        <v>94</v>
      </c>
      <c r="AG16" s="3" t="s">
        <v>95</v>
      </c>
      <c r="AH16" s="3" t="s">
        <v>96</v>
      </c>
      <c r="AI16" s="3" t="s">
        <v>97</v>
      </c>
      <c r="AJ16" s="3" t="s">
        <v>98</v>
      </c>
      <c r="AK16" s="3" t="s">
        <v>99</v>
      </c>
      <c r="AL16" s="8" t="s">
        <v>100</v>
      </c>
      <c r="AN16" s="32" t="s">
        <v>622</v>
      </c>
      <c r="AO16" s="3">
        <f>IF($B$2="(Todas)",COUNTIF(BASE[CODCIE10],GUIA_NACIONAL_2022_1106128105168162195196[[#This Row],[CIE-10]]),COUNTIFS(BASE[Cod.Establecimiento],$B$2,BASE[CODCIE10],GUIA_NACIONAL_2022_1106128105168162195196[[#This Row],[CIE-10]]))</f>
        <v>0</v>
      </c>
      <c r="AP16" s="3">
        <f>IF($B$2="(Todas)",COUNTIF(BASE[CODCIE102],GUIA_NACIONAL_2022_1106128105168162195196[[#This Row],[CIE-10]]),COUNTIFS(BASE[Cod.Establecimiento],$B$2,BASE[CODCIE102],GUIA_NACIONAL_2022_1106128105168162195196[[#This Row],[CIE-10]]))</f>
        <v>0</v>
      </c>
      <c r="AQ16" s="3">
        <f>IF($B$2="(Todas)",COUNTIF(BASE[CODCIE104],GUIA_NACIONAL_2022_1106128105168162195196[[#This Row],[CIE-10]]),COUNTIFS(BASE[Cod.Establecimiento],$B$2,BASE[CODCIE104],GUIA_NACIONAL_2022_1106128105168162195196[[#This Row],[CIE-10]]))</f>
        <v>0</v>
      </c>
      <c r="AR16" s="3">
        <f>IF($B$2="(Todas)",COUNTIF(BASE[CODCIE106],GUIA_NACIONAL_2022_1106128105168162195196[[#This Row],[CIE-10]]),COUNTIFS(BASE[Cod.Establecimiento],$B$2,BASE[CODCIE106],GUIA_NACIONAL_2022_1106128105168162195196[[#This Row],[CIE-10]]))</f>
        <v>0</v>
      </c>
      <c r="AS16" s="3">
        <f>IF($B$2="(Todas)",COUNTIF(BASE[CODCIE108],GUIA_NACIONAL_2022_1106128105168162195196[[#This Row],[CIE-10]]),COUNTIFS(BASE[Cod.Establecimiento],$B$2,BASE[CODCIE108],GUIA_NACIONAL_2022_1106128105168162195196[[#This Row],[CIE-10]]))</f>
        <v>0</v>
      </c>
      <c r="AT16" s="3">
        <f>IF($B$2="(Todas)",COUNTIF(BASE[CODCIE1010],GUIA_NACIONAL_2022_1106128105168162195196[[#This Row],[CIE-10]]),COUNTIFS(BASE[Cod.Establecimiento],$B$2,BASE[CODCIE1010],GUIA_NACIONAL_2022_1106128105168162195196[[#This Row],[CIE-10]]))</f>
        <v>0</v>
      </c>
      <c r="AU16" s="9">
        <f>SUM(GUIA_NACIONAL_2022_1106128105168162195196[[#This Row],[D1]:[D6]])</f>
        <v>0</v>
      </c>
      <c r="AW16" s="4" t="s">
        <v>643</v>
      </c>
      <c r="AX16" s="3">
        <f>IF($B$2="(Todas)",COUNTIF(BASE[CODCIE10],GUIA_NACIONAL_2022_1106128105107110207208[[#This Row],[CIE-10]]),COUNTIFS(BASE[Cod.Establecimiento],$B$2,BASE[CODCIE10],GUIA_NACIONAL_2022_1106128105107110207208[[#This Row],[CIE-10]]))</f>
        <v>0</v>
      </c>
      <c r="AY16" s="3">
        <f>IF($B$2="(Todas)",COUNTIF(BASE[CODCIE102],GUIA_NACIONAL_2022_1106128105107110207208[[#This Row],[CIE-10]]),COUNTIFS(BASE[Cod.Establecimiento],$B$2,BASE[CODCIE102],GUIA_NACIONAL_2022_1106128105107110207208[[#This Row],[CIE-10]]))</f>
        <v>0</v>
      </c>
      <c r="AZ16" s="3">
        <f>IF($B$2="(Todas)",COUNTIF(BASE[CODCIE104],GUIA_NACIONAL_2022_1106128105107110207208[[#This Row],[CIE-10]]),COUNTIFS(BASE[Cod.Establecimiento],$B$2,BASE[CODCIE104],GUIA_NACIONAL_2022_1106128105107110207208[[#This Row],[CIE-10]]))</f>
        <v>0</v>
      </c>
      <c r="BA16" s="3">
        <f>IF($B$2="(Todas)",COUNTIF(BASE[CODCIE106],GUIA_NACIONAL_2022_1106128105107110207208[[#This Row],[CIE-10]]),COUNTIFS(BASE[Cod.Establecimiento],$B$2,BASE[CODCIE106],GUIA_NACIONAL_2022_1106128105107110207208[[#This Row],[CIE-10]]))</f>
        <v>0</v>
      </c>
      <c r="BB16" s="3">
        <f>IF($B$2="(Todas)",COUNTIF(BASE[CODCIE108],GUIA_NACIONAL_2022_1106128105107110207208[[#This Row],[CIE-10]]),COUNTIFS(BASE[Cod.Establecimiento],$B$2,BASE[CODCIE108],GUIA_NACIONAL_2022_1106128105107110207208[[#This Row],[CIE-10]]))</f>
        <v>0</v>
      </c>
      <c r="BC16" s="3">
        <f>IF($B$2="(Todas)",COUNTIF(BASE[CODCIE1010],GUIA_NACIONAL_2022_1106128105107110207208[[#This Row],[CIE-10]]),COUNTIFS(BASE[Cod.Establecimiento],$B$2,BASE[CODCIE1010],GUIA_NACIONAL_2022_1106128105107110207208[[#This Row],[CIE-10]]))</f>
        <v>0</v>
      </c>
      <c r="BD16" s="9">
        <f>SUM(GUIA_NACIONAL_2022_1106128105107110207208[[#This Row],[D1]:[D6]])</f>
        <v>0</v>
      </c>
      <c r="BF16" s="150" t="s">
        <v>654</v>
      </c>
      <c r="BG16" s="150"/>
      <c r="BH16" s="150"/>
      <c r="BI16" s="150"/>
      <c r="BJ16" s="150"/>
      <c r="BK16" s="150"/>
      <c r="BL16" s="150"/>
      <c r="BM16" s="150"/>
      <c r="BO16" s="4" t="s">
        <v>331</v>
      </c>
      <c r="BP16" s="3">
        <f>IF($B$2="(Todas)",COUNTIF(BASE[CODCIE10],GUIA_NACIONAL_2022_1106128105107110207210231232234[[#This Row],[CIE-10]]),COUNTIFS(BASE[Cod.Establecimiento],$B$2,BASE[CODCIE10],GUIA_NACIONAL_2022_1106128105107110207210231232234[[#This Row],[CIE-10]]))</f>
        <v>0</v>
      </c>
      <c r="BQ16" s="3">
        <f>IF($B$2="(Todas)",COUNTIF(BASE[CODCIE102],GUIA_NACIONAL_2022_1106128105107110207210231232234[[#This Row],[CIE-10]]),COUNTIFS(BASE[Cod.Establecimiento],$B$2,BASE[CODCIE102],GUIA_NACIONAL_2022_1106128105107110207210231232234[[#This Row],[CIE-10]]))</f>
        <v>0</v>
      </c>
      <c r="BR16" s="3">
        <f>IF($B$2="(Todas)",COUNTIF(BASE[CODCIE104],GUIA_NACIONAL_2022_1106128105107110207210231232234[[#This Row],[CIE-10]]),COUNTIFS(BASE[Cod.Establecimiento],$B$2,BASE[CODCIE104],GUIA_NACIONAL_2022_1106128105107110207210231232234[[#This Row],[CIE-10]]))</f>
        <v>0</v>
      </c>
      <c r="BS16" s="3">
        <f>IF($B$2="(Todas)",COUNTIF(BASE[CODCIE106],GUIA_NACIONAL_2022_1106128105107110207210231232234[[#This Row],[CIE-10]]),COUNTIFS(BASE[Cod.Establecimiento],$B$2,BASE[CODCIE106],GUIA_NACIONAL_2022_1106128105107110207210231232234[[#This Row],[CIE-10]]))</f>
        <v>0</v>
      </c>
      <c r="BT16" s="3">
        <f>IF($B$2="(Todas)",COUNTIF(BASE[CODCIE108],GUIA_NACIONAL_2022_1106128105107110207210231232234[[#This Row],[CIE-10]]),COUNTIFS(BASE[Cod.Establecimiento],$B$2,BASE[CODCIE108],GUIA_NACIONAL_2022_1106128105107110207210231232234[[#This Row],[CIE-10]]))</f>
        <v>0</v>
      </c>
      <c r="BU16" s="3">
        <f>IF($B$2="(Todas)",COUNTIF(BASE[CODCIE1010],GUIA_NACIONAL_2022_1106128105107110207210231232234[[#This Row],[CIE-10]]),COUNTIFS(BASE[Cod.Establecimiento],$B$2,BASE[CODCIE1010],GUIA_NACIONAL_2022_1106128105107110207210231232234[[#This Row],[CIE-10]]))</f>
        <v>0</v>
      </c>
      <c r="BV16" s="9">
        <f>SUM(GUIA_NACIONAL_2022_1106128105107110207210231232234[[#This Row],[D1]:[D6]])</f>
        <v>0</v>
      </c>
      <c r="CG16" s="4" t="s">
        <v>726</v>
      </c>
      <c r="CH16" s="3">
        <f>IF($B$2="(Todas)",COUNTIF(BASE[CODCIE10],GUIA_NACIONAL_2022_1106128105107111115129130[[#This Row],[CIE-10]]),COUNTIFS(BASE[Cod.Establecimiento],$B$2,BASE[CODCIE10],GUIA_NACIONAL_2022_1106128105107111115129130[[#This Row],[CIE-10]]))</f>
        <v>0</v>
      </c>
      <c r="CI16" s="3">
        <f>IF($B$2="(Todas)",COUNTIF(BASE[CODCIE102],GUIA_NACIONAL_2022_1106128105107111115129130[[#This Row],[CIE-10]]),COUNTIFS(BASE[Cod.Establecimiento],$B$2,BASE[CODCIE102],GUIA_NACIONAL_2022_1106128105107111115129130[[#This Row],[CIE-10]]))</f>
        <v>0</v>
      </c>
      <c r="CJ16" s="3">
        <f>IF($B$2="(Todas)",COUNTIF(BASE[CODCIE104],GUIA_NACIONAL_2022_1106128105107111115129130[[#This Row],[CIE-10]]),COUNTIFS(BASE[Cod.Establecimiento],$B$2,BASE[CODCIE104],GUIA_NACIONAL_2022_1106128105107111115129130[[#This Row],[CIE-10]]))</f>
        <v>0</v>
      </c>
      <c r="CK16" s="3">
        <f>IF($B$2="(Todas)",COUNTIF(BASE[CODCIE106],GUIA_NACIONAL_2022_1106128105107111115129130[[#This Row],[CIE-10]]),COUNTIFS(BASE[Cod.Establecimiento],$B$2,BASE[CODCIE106],GUIA_NACIONAL_2022_1106128105107111115129130[[#This Row],[CIE-10]]))</f>
        <v>0</v>
      </c>
      <c r="CL16" s="3">
        <f>IF($B$2="(Todas)",COUNTIF(BASE[CODCIE108],GUIA_NACIONAL_2022_1106128105107111115129130[[#This Row],[CIE-10]]),COUNTIFS(BASE[Cod.Establecimiento],$B$2,BASE[CODCIE108],GUIA_NACIONAL_2022_1106128105107111115129130[[#This Row],[CIE-10]]))</f>
        <v>0</v>
      </c>
      <c r="CM16" s="3">
        <f>IF($B$2="(Todas)",COUNTIF(BASE[CODCIE1010],GUIA_NACIONAL_2022_1106128105107111115129130[[#This Row],[CIE-10]]),COUNTIFS(BASE[Cod.Establecimiento],$B$2,BASE[CODCIE1010],GUIA_NACIONAL_2022_1106128105107111115129130[[#This Row],[CIE-10]]))</f>
        <v>0</v>
      </c>
      <c r="CN16" s="9">
        <f>SUM(GUIA_NACIONAL_2022_1106128105107111115129130[[#This Row],[D1]:[D6]])</f>
        <v>0</v>
      </c>
      <c r="DH16" s="32" t="s">
        <v>771</v>
      </c>
      <c r="DI16" s="3">
        <f>IF($B$2="(Todas)",COUNTIF(BASE[CODCIE10],GUIA_NACIONAL_2022_1106128105107111115129130131132133256[[#This Row],[CIE-10]]),COUNTIFS(BASE[Cod.Establecimiento],$B$2,BASE[CODCIE10],GUIA_NACIONAL_2022_1106128105107111115129130131132133256[[#This Row],[CIE-10]]))</f>
        <v>0</v>
      </c>
      <c r="DJ16" s="3">
        <f>IF($B$2="(Todas)",COUNTIF(BASE[CODCIE102],GUIA_NACIONAL_2022_1106128105107111115129130131132133256[[#This Row],[CIE-10]]),COUNTIFS(BASE[Cod.Establecimiento],$B$2,BASE[CODCIE102],GUIA_NACIONAL_2022_1106128105107111115129130131132133256[[#This Row],[CIE-10]]))</f>
        <v>0</v>
      </c>
      <c r="DK16" s="3">
        <f>IF($B$2="(Todas)",COUNTIF(BASE[CODCIE104],GUIA_NACIONAL_2022_1106128105107111115129130131132133256[[#This Row],[CIE-10]]),COUNTIFS(BASE[Cod.Establecimiento],$B$2,BASE[CODCIE104],GUIA_NACIONAL_2022_1106128105107111115129130131132133256[[#This Row],[CIE-10]]))</f>
        <v>0</v>
      </c>
      <c r="DL16" s="3">
        <f>IF($B$2="(Todas)",COUNTIF(BASE[CODCIE106],GUIA_NACIONAL_2022_1106128105107111115129130131132133256[[#This Row],[CIE-10]]),COUNTIFS(BASE[Cod.Establecimiento],$B$2,BASE[CODCIE106],GUIA_NACIONAL_2022_1106128105107111115129130131132133256[[#This Row],[CIE-10]]))</f>
        <v>0</v>
      </c>
      <c r="DM16" s="3">
        <f>IF($B$2="(Todas)",COUNTIF(BASE[CODCIE108],GUIA_NACIONAL_2022_1106128105107111115129130131132133256[[#This Row],[CIE-10]]),COUNTIFS(BASE[Cod.Establecimiento],$B$2,BASE[CODCIE108],GUIA_NACIONAL_2022_1106128105107111115129130131132133256[[#This Row],[CIE-10]]))</f>
        <v>0</v>
      </c>
      <c r="DN16" s="3">
        <f>IF($B$2="(Todas)",COUNTIF(BASE[CODCIE1010],GUIA_NACIONAL_2022_1106128105107111115129130131132133256[[#This Row],[CIE-10]]),COUNTIFS(BASE[Cod.Establecimiento],$B$2,BASE[CODCIE1010],GUIA_NACIONAL_2022_1106128105107111115129130131132133256[[#This Row],[CIE-10]]))</f>
        <v>0</v>
      </c>
      <c r="DO16" s="9">
        <f>SUM(GUIA_NACIONAL_2022_1106128105107111115129130131132133256[[#This Row],[D1]:[D6]])</f>
        <v>0</v>
      </c>
    </row>
    <row r="17" spans="1:119" ht="15" customHeight="1">
      <c r="A17" s="142"/>
      <c r="B17" s="142"/>
      <c r="D17" s="32" t="s">
        <v>314</v>
      </c>
      <c r="E17" s="3">
        <f>IF($B$2="(Todas)",COUNTIF(BASE[CODCIE10],GUIA_NACIONAL_2022_1106108[[#This Row],[CIE-10]]),COUNTIFS(BASE[Cod.Establecimiento],$B$2,BASE[CODCIE10],GUIA_NACIONAL_2022_1106108[[#This Row],[CIE-10]]))</f>
        <v>0</v>
      </c>
      <c r="F17" s="3">
        <f>IF($B$2="(Todas)",COUNTIF(BASE[CODCIE102],GUIA_NACIONAL_2022_1106108[[#This Row],[CIE-10]]),COUNTIFS(BASE[Cod.Establecimiento],$B$2,BASE[CODCIE102],GUIA_NACIONAL_2022_1106108[[#This Row],[CIE-10]]))</f>
        <v>0</v>
      </c>
      <c r="G17" s="3">
        <f>IF($B$2="(Todas)",COUNTIF(BASE[CODCIE104],GUIA_NACIONAL_2022_1106108[[#This Row],[CIE-10]]),COUNTIFS(BASE[Cod.Establecimiento],$B$2,BASE[CODCIE104],GUIA_NACIONAL_2022_1106108[[#This Row],[CIE-10]]))</f>
        <v>0</v>
      </c>
      <c r="H17" s="3">
        <f>IF($B$2="(Todas)",COUNTIF(BASE[CODCIE106],GUIA_NACIONAL_2022_1106108[[#This Row],[CIE-10]]),COUNTIFS(BASE[Cod.Establecimiento],$B$2,BASE[CODCIE106],GUIA_NACIONAL_2022_1106108[[#This Row],[CIE-10]]))</f>
        <v>0</v>
      </c>
      <c r="I17" s="3">
        <f>IF($B$2="(Todas)",COUNTIF(BASE[CODCIE108],GUIA_NACIONAL_2022_1106108[[#This Row],[CIE-10]]),COUNTIFS(BASE[Cod.Establecimiento],$B$2,BASE[CODCIE108],GUIA_NACIONAL_2022_1106108[[#This Row],[CIE-10]]))</f>
        <v>0</v>
      </c>
      <c r="J17" s="3">
        <f>IF($B$2="(Todas)",COUNTIF(BASE[CODCIE1010],GUIA_NACIONAL_2022_1106108[[#This Row],[CIE-10]]),COUNTIFS(BASE[Cod.Establecimiento],$B$2,BASE[CODCIE1010],GUIA_NACIONAL_2022_1106108[[#This Row],[CIE-10]]))</f>
        <v>0</v>
      </c>
      <c r="K17" s="9">
        <f>SUM(GUIA_NACIONAL_2022_1106108[[#This Row],[D1]:[D6]])</f>
        <v>0</v>
      </c>
      <c r="M17" s="149" t="s">
        <v>518</v>
      </c>
      <c r="N17" s="150"/>
      <c r="O17" s="150"/>
      <c r="P17" s="150"/>
      <c r="Q17" s="150"/>
      <c r="R17" s="150"/>
      <c r="S17" s="150"/>
      <c r="T17" s="150"/>
      <c r="V17" s="4"/>
      <c r="W17" s="3">
        <f>IF($B$2="(Todas)",COUNTIF(BASE[CODCIE10],GUIA_NACIONAL_2022_1106128143146[[#This Row],[CIE-10]]),COUNTIFS(BASE[Cod.Establecimiento],$B$2,BASE[CODCIE10],GUIA_NACIONAL_2022_1106128143146[[#This Row],[CIE-10]]))</f>
        <v>0</v>
      </c>
      <c r="X17" s="3">
        <f>IF($B$2="(Todas)",COUNTIF(BASE[CODCIE102],GUIA_NACIONAL_2022_1106128143146[[#This Row],[CIE-10]]),COUNTIFS(BASE[Cod.Establecimiento],$B$2,BASE[CODCIE102],GUIA_NACIONAL_2022_1106128143146[[#This Row],[CIE-10]]))</f>
        <v>0</v>
      </c>
      <c r="Y17" s="3">
        <f>IF($B$2="(Todas)",COUNTIF(BASE[CODCIE104],GUIA_NACIONAL_2022_1106128143146[[#This Row],[CIE-10]]),COUNTIFS(BASE[Cod.Establecimiento],$B$2,BASE[CODCIE104],GUIA_NACIONAL_2022_1106128143146[[#This Row],[CIE-10]]))</f>
        <v>0</v>
      </c>
      <c r="Z17" s="3">
        <f>IF($B$2="(Todas)",COUNTIF(BASE[CODCIE106],GUIA_NACIONAL_2022_1106128143146[[#This Row],[CIE-10]]),COUNTIFS(BASE[Cod.Establecimiento],$B$2,BASE[CODCIE106],GUIA_NACIONAL_2022_1106128143146[[#This Row],[CIE-10]]))</f>
        <v>0</v>
      </c>
      <c r="AA17" s="3">
        <f>IF($B$2="(Todas)",COUNTIF(BASE[CODCIE108],GUIA_NACIONAL_2022_1106128143146[[#This Row],[CIE-10]]),COUNTIFS(BASE[Cod.Establecimiento],$B$2,BASE[CODCIE108],GUIA_NACIONAL_2022_1106128143146[[#This Row],[CIE-10]]))</f>
        <v>0</v>
      </c>
      <c r="AB17" s="3">
        <f>IF($B$2="(Todas)",COUNTIF(BASE[CODCIE1010],GUIA_NACIONAL_2022_1106128143146[[#This Row],[CIE-10]]),COUNTIFS(BASE[Cod.Establecimiento],$B$2,BASE[CODCIE1010],GUIA_NACIONAL_2022_1106128143146[[#This Row],[CIE-10]]))</f>
        <v>0</v>
      </c>
      <c r="AC17" s="9">
        <f>SUM(GUIA_NACIONAL_2022_1106128143146[[#This Row],[D1]:[D6]])</f>
        <v>0</v>
      </c>
      <c r="AE17" s="4" t="s">
        <v>563</v>
      </c>
      <c r="AF17" s="3">
        <f>IF($B$2="(Todas)",COUNTIF(BASE[CODCIE10],GUIA_NACIONAL_2022_1106128105168169[[#This Row],[CIE-10]]),COUNTIFS(BASE[Cod.Establecimiento],$B$2,BASE[CODCIE10],GUIA_NACIONAL_2022_1106128105168169[[#This Row],[CIE-10]]))</f>
        <v>0</v>
      </c>
      <c r="AG17" s="3">
        <f>IF($B$2="(Todas)",COUNTIF(BASE[CODCIE102],GUIA_NACIONAL_2022_1106128105168169[[#This Row],[CIE-10]]),COUNTIFS(BASE[Cod.Establecimiento],$B$2,BASE[CODCIE102],GUIA_NACIONAL_2022_1106128105168169[[#This Row],[CIE-10]]))</f>
        <v>0</v>
      </c>
      <c r="AH17" s="3">
        <f>IF($B$2="(Todas)",COUNTIF(BASE[CODCIE104],GUIA_NACIONAL_2022_1106128105168169[[#This Row],[CIE-10]]),COUNTIFS(BASE[Cod.Establecimiento],$B$2,BASE[CODCIE104],GUIA_NACIONAL_2022_1106128105168169[[#This Row],[CIE-10]]))</f>
        <v>0</v>
      </c>
      <c r="AI17" s="3">
        <f>IF($B$2="(Todas)",COUNTIF(BASE[CODCIE106],GUIA_NACIONAL_2022_1106128105168169[[#This Row],[CIE-10]]),COUNTIFS(BASE[Cod.Establecimiento],$B$2,BASE[CODCIE106],GUIA_NACIONAL_2022_1106128105168169[[#This Row],[CIE-10]]))</f>
        <v>0</v>
      </c>
      <c r="AJ17" s="3">
        <f>IF($B$2="(Todas)",COUNTIF(BASE[CODCIE108],GUIA_NACIONAL_2022_1106128105168169[[#This Row],[CIE-10]]),COUNTIFS(BASE[Cod.Establecimiento],$B$2,BASE[CODCIE108],GUIA_NACIONAL_2022_1106128105168169[[#This Row],[CIE-10]]))</f>
        <v>0</v>
      </c>
      <c r="AK17" s="3">
        <f>IF($B$2="(Todas)",COUNTIF(BASE[CODCIE1010],GUIA_NACIONAL_2022_1106128105168169[[#This Row],[CIE-10]]),COUNTIFS(BASE[Cod.Establecimiento],$B$2,BASE[CODCIE1010],GUIA_NACIONAL_2022_1106128105168169[[#This Row],[CIE-10]]))</f>
        <v>0</v>
      </c>
      <c r="AL17" s="9">
        <f>SUM(GUIA_NACIONAL_2022_1106128105168169[[#This Row],[D1]:[D6]])</f>
        <v>0</v>
      </c>
      <c r="AN17" s="32" t="s">
        <v>618</v>
      </c>
      <c r="AO17" s="3">
        <f>IF($B$2="(Todas)",COUNTIF(BASE[CODCIE10],GUIA_NACIONAL_2022_1106128105168162195196[[#This Row],[CIE-10]]),COUNTIFS(BASE[Cod.Establecimiento],$B$2,BASE[CODCIE10],GUIA_NACIONAL_2022_1106128105168162195196[[#This Row],[CIE-10]]))</f>
        <v>0</v>
      </c>
      <c r="AP17" s="3">
        <f>IF($B$2="(Todas)",COUNTIF(BASE[CODCIE102],GUIA_NACIONAL_2022_1106128105168162195196[[#This Row],[CIE-10]]),COUNTIFS(BASE[Cod.Establecimiento],$B$2,BASE[CODCIE102],GUIA_NACIONAL_2022_1106128105168162195196[[#This Row],[CIE-10]]))</f>
        <v>0</v>
      </c>
      <c r="AQ17" s="3">
        <f>IF($B$2="(Todas)",COUNTIF(BASE[CODCIE104],GUIA_NACIONAL_2022_1106128105168162195196[[#This Row],[CIE-10]]),COUNTIFS(BASE[Cod.Establecimiento],$B$2,BASE[CODCIE104],GUIA_NACIONAL_2022_1106128105168162195196[[#This Row],[CIE-10]]))</f>
        <v>0</v>
      </c>
      <c r="AR17" s="3">
        <f>IF($B$2="(Todas)",COUNTIF(BASE[CODCIE106],GUIA_NACIONAL_2022_1106128105168162195196[[#This Row],[CIE-10]]),COUNTIFS(BASE[Cod.Establecimiento],$B$2,BASE[CODCIE106],GUIA_NACIONAL_2022_1106128105168162195196[[#This Row],[CIE-10]]))</f>
        <v>0</v>
      </c>
      <c r="AS17" s="3">
        <f>IF($B$2="(Todas)",COUNTIF(BASE[CODCIE108],GUIA_NACIONAL_2022_1106128105168162195196[[#This Row],[CIE-10]]),COUNTIFS(BASE[Cod.Establecimiento],$B$2,BASE[CODCIE108],GUIA_NACIONAL_2022_1106128105168162195196[[#This Row],[CIE-10]]))</f>
        <v>0</v>
      </c>
      <c r="AT17" s="3">
        <f>IF($B$2="(Todas)",COUNTIF(BASE[CODCIE1010],GUIA_NACIONAL_2022_1106128105168162195196[[#This Row],[CIE-10]]),COUNTIFS(BASE[Cod.Establecimiento],$B$2,BASE[CODCIE1010],GUIA_NACIONAL_2022_1106128105168162195196[[#This Row],[CIE-10]]))</f>
        <v>0</v>
      </c>
      <c r="AU17" s="9">
        <f>SUM(GUIA_NACIONAL_2022_1106128105168162195196[[#This Row],[D1]:[D6]])</f>
        <v>0</v>
      </c>
      <c r="AW17" s="4" t="s">
        <v>644</v>
      </c>
      <c r="AX17" s="3">
        <f>IF($B$2="(Todas)",COUNTIF(BASE[CODCIE10],GUIA_NACIONAL_2022_1106128105107110207208[[#This Row],[CIE-10]]),COUNTIFS(BASE[Cod.Establecimiento],$B$2,BASE[CODCIE10],GUIA_NACIONAL_2022_1106128105107110207208[[#This Row],[CIE-10]]))</f>
        <v>0</v>
      </c>
      <c r="AY17" s="3">
        <f>IF($B$2="(Todas)",COUNTIF(BASE[CODCIE102],GUIA_NACIONAL_2022_1106128105107110207208[[#This Row],[CIE-10]]),COUNTIFS(BASE[Cod.Establecimiento],$B$2,BASE[CODCIE102],GUIA_NACIONAL_2022_1106128105107110207208[[#This Row],[CIE-10]]))</f>
        <v>0</v>
      </c>
      <c r="AZ17" s="3">
        <f>IF($B$2="(Todas)",COUNTIF(BASE[CODCIE104],GUIA_NACIONAL_2022_1106128105107110207208[[#This Row],[CIE-10]]),COUNTIFS(BASE[Cod.Establecimiento],$B$2,BASE[CODCIE104],GUIA_NACIONAL_2022_1106128105107110207208[[#This Row],[CIE-10]]))</f>
        <v>0</v>
      </c>
      <c r="BA17" s="3">
        <f>IF($B$2="(Todas)",COUNTIF(BASE[CODCIE106],GUIA_NACIONAL_2022_1106128105107110207208[[#This Row],[CIE-10]]),COUNTIFS(BASE[Cod.Establecimiento],$B$2,BASE[CODCIE106],GUIA_NACIONAL_2022_1106128105107110207208[[#This Row],[CIE-10]]))</f>
        <v>0</v>
      </c>
      <c r="BB17" s="3">
        <f>IF($B$2="(Todas)",COUNTIF(BASE[CODCIE108],GUIA_NACIONAL_2022_1106128105107110207208[[#This Row],[CIE-10]]),COUNTIFS(BASE[Cod.Establecimiento],$B$2,BASE[CODCIE108],GUIA_NACIONAL_2022_1106128105107110207208[[#This Row],[CIE-10]]))</f>
        <v>0</v>
      </c>
      <c r="BC17" s="3">
        <f>IF($B$2="(Todas)",COUNTIF(BASE[CODCIE1010],GUIA_NACIONAL_2022_1106128105107110207208[[#This Row],[CIE-10]]),COUNTIFS(BASE[Cod.Establecimiento],$B$2,BASE[CODCIE1010],GUIA_NACIONAL_2022_1106128105107110207208[[#This Row],[CIE-10]]))</f>
        <v>0</v>
      </c>
      <c r="BD17" s="9">
        <f>SUM(GUIA_NACIONAL_2022_1106128105107110207208[[#This Row],[D1]:[D6]])</f>
        <v>0</v>
      </c>
      <c r="BF17" t="s">
        <v>93</v>
      </c>
      <c r="BG17" s="3" t="s">
        <v>94</v>
      </c>
      <c r="BH17" s="3" t="s">
        <v>95</v>
      </c>
      <c r="BI17" s="3" t="s">
        <v>96</v>
      </c>
      <c r="BJ17" s="3" t="s">
        <v>97</v>
      </c>
      <c r="BK17" s="3" t="s">
        <v>98</v>
      </c>
      <c r="BL17" s="3" t="s">
        <v>99</v>
      </c>
      <c r="BM17" s="8" t="s">
        <v>100</v>
      </c>
      <c r="BO17" s="4" t="s">
        <v>332</v>
      </c>
      <c r="BP17" s="3">
        <f>IF($B$2="(Todas)",COUNTIF(BASE[CODCIE10],GUIA_NACIONAL_2022_1106128105107110207210231232234[[#This Row],[CIE-10]]),COUNTIFS(BASE[Cod.Establecimiento],$B$2,BASE[CODCIE10],GUIA_NACIONAL_2022_1106128105107110207210231232234[[#This Row],[CIE-10]]))</f>
        <v>0</v>
      </c>
      <c r="BQ17" s="3">
        <f>IF($B$2="(Todas)",COUNTIF(BASE[CODCIE102],GUIA_NACIONAL_2022_1106128105107110207210231232234[[#This Row],[CIE-10]]),COUNTIFS(BASE[Cod.Establecimiento],$B$2,BASE[CODCIE102],GUIA_NACIONAL_2022_1106128105107110207210231232234[[#This Row],[CIE-10]]))</f>
        <v>0</v>
      </c>
      <c r="BR17" s="3">
        <f>IF($B$2="(Todas)",COUNTIF(BASE[CODCIE104],GUIA_NACIONAL_2022_1106128105107110207210231232234[[#This Row],[CIE-10]]),COUNTIFS(BASE[Cod.Establecimiento],$B$2,BASE[CODCIE104],GUIA_NACIONAL_2022_1106128105107110207210231232234[[#This Row],[CIE-10]]))</f>
        <v>0</v>
      </c>
      <c r="BS17" s="3">
        <f>IF($B$2="(Todas)",COUNTIF(BASE[CODCIE106],GUIA_NACIONAL_2022_1106128105107110207210231232234[[#This Row],[CIE-10]]),COUNTIFS(BASE[Cod.Establecimiento],$B$2,BASE[CODCIE106],GUIA_NACIONAL_2022_1106128105107110207210231232234[[#This Row],[CIE-10]]))</f>
        <v>0</v>
      </c>
      <c r="BT17" s="3">
        <f>IF($B$2="(Todas)",COUNTIF(BASE[CODCIE108],GUIA_NACIONAL_2022_1106128105107110207210231232234[[#This Row],[CIE-10]]),COUNTIFS(BASE[Cod.Establecimiento],$B$2,BASE[CODCIE108],GUIA_NACIONAL_2022_1106128105107110207210231232234[[#This Row],[CIE-10]]))</f>
        <v>0</v>
      </c>
      <c r="BU17" s="3">
        <f>IF($B$2="(Todas)",COUNTIF(BASE[CODCIE1010],GUIA_NACIONAL_2022_1106128105107110207210231232234[[#This Row],[CIE-10]]),COUNTIFS(BASE[Cod.Establecimiento],$B$2,BASE[CODCIE1010],GUIA_NACIONAL_2022_1106128105107110207210231232234[[#This Row],[CIE-10]]))</f>
        <v>0</v>
      </c>
      <c r="BV17" s="9">
        <f>SUM(GUIA_NACIONAL_2022_1106128105107110207210231232234[[#This Row],[D1]:[D6]])</f>
        <v>0</v>
      </c>
      <c r="CG17" s="4" t="s">
        <v>727</v>
      </c>
      <c r="CH17" s="3">
        <f>IF($B$2="(Todas)",COUNTIF(BASE[CODCIE10],GUIA_NACIONAL_2022_1106128105107111115129130[[#This Row],[CIE-10]]),COUNTIFS(BASE[Cod.Establecimiento],$B$2,BASE[CODCIE10],GUIA_NACIONAL_2022_1106128105107111115129130[[#This Row],[CIE-10]]))</f>
        <v>0</v>
      </c>
      <c r="CI17" s="3">
        <f>IF($B$2="(Todas)",COUNTIF(BASE[CODCIE102],GUIA_NACIONAL_2022_1106128105107111115129130[[#This Row],[CIE-10]]),COUNTIFS(BASE[Cod.Establecimiento],$B$2,BASE[CODCIE102],GUIA_NACIONAL_2022_1106128105107111115129130[[#This Row],[CIE-10]]))</f>
        <v>0</v>
      </c>
      <c r="CJ17" s="3">
        <f>IF($B$2="(Todas)",COUNTIF(BASE[CODCIE104],GUIA_NACIONAL_2022_1106128105107111115129130[[#This Row],[CIE-10]]),COUNTIFS(BASE[Cod.Establecimiento],$B$2,BASE[CODCIE104],GUIA_NACIONAL_2022_1106128105107111115129130[[#This Row],[CIE-10]]))</f>
        <v>0</v>
      </c>
      <c r="CK17" s="3">
        <f>IF($B$2="(Todas)",COUNTIF(BASE[CODCIE106],GUIA_NACIONAL_2022_1106128105107111115129130[[#This Row],[CIE-10]]),COUNTIFS(BASE[Cod.Establecimiento],$B$2,BASE[CODCIE106],GUIA_NACIONAL_2022_1106128105107111115129130[[#This Row],[CIE-10]]))</f>
        <v>0</v>
      </c>
      <c r="CL17" s="3">
        <f>IF($B$2="(Todas)",COUNTIF(BASE[CODCIE108],GUIA_NACIONAL_2022_1106128105107111115129130[[#This Row],[CIE-10]]),COUNTIFS(BASE[Cod.Establecimiento],$B$2,BASE[CODCIE108],GUIA_NACIONAL_2022_1106128105107111115129130[[#This Row],[CIE-10]]))</f>
        <v>0</v>
      </c>
      <c r="CM17" s="3">
        <f>IF($B$2="(Todas)",COUNTIF(BASE[CODCIE1010],GUIA_NACIONAL_2022_1106128105107111115129130[[#This Row],[CIE-10]]),COUNTIFS(BASE[Cod.Establecimiento],$B$2,BASE[CODCIE1010],GUIA_NACIONAL_2022_1106128105107111115129130[[#This Row],[CIE-10]]))</f>
        <v>0</v>
      </c>
      <c r="CN17" s="9">
        <f>SUM(GUIA_NACIONAL_2022_1106128105107111115129130[[#This Row],[D1]:[D6]])</f>
        <v>0</v>
      </c>
      <c r="DH17" s="32" t="s">
        <v>772</v>
      </c>
      <c r="DI17" s="3">
        <f>IF($B$2="(Todas)",COUNTIF(BASE[CODCIE10],GUIA_NACIONAL_2022_1106128105107111115129130131132133256[[#This Row],[CIE-10]]),COUNTIFS(BASE[Cod.Establecimiento],$B$2,BASE[CODCIE10],GUIA_NACIONAL_2022_1106128105107111115129130131132133256[[#This Row],[CIE-10]]))</f>
        <v>0</v>
      </c>
      <c r="DJ17" s="3">
        <f>IF($B$2="(Todas)",COUNTIF(BASE[CODCIE102],GUIA_NACIONAL_2022_1106128105107111115129130131132133256[[#This Row],[CIE-10]]),COUNTIFS(BASE[Cod.Establecimiento],$B$2,BASE[CODCIE102],GUIA_NACIONAL_2022_1106128105107111115129130131132133256[[#This Row],[CIE-10]]))</f>
        <v>0</v>
      </c>
      <c r="DK17" s="3">
        <f>IF($B$2="(Todas)",COUNTIF(BASE[CODCIE104],GUIA_NACIONAL_2022_1106128105107111115129130131132133256[[#This Row],[CIE-10]]),COUNTIFS(BASE[Cod.Establecimiento],$B$2,BASE[CODCIE104],GUIA_NACIONAL_2022_1106128105107111115129130131132133256[[#This Row],[CIE-10]]))</f>
        <v>0</v>
      </c>
      <c r="DL17" s="3">
        <f>IF($B$2="(Todas)",COUNTIF(BASE[CODCIE106],GUIA_NACIONAL_2022_1106128105107111115129130131132133256[[#This Row],[CIE-10]]),COUNTIFS(BASE[Cod.Establecimiento],$B$2,BASE[CODCIE106],GUIA_NACIONAL_2022_1106128105107111115129130131132133256[[#This Row],[CIE-10]]))</f>
        <v>0</v>
      </c>
      <c r="DM17" s="3">
        <f>IF($B$2="(Todas)",COUNTIF(BASE[CODCIE108],GUIA_NACIONAL_2022_1106128105107111115129130131132133256[[#This Row],[CIE-10]]),COUNTIFS(BASE[Cod.Establecimiento],$B$2,BASE[CODCIE108],GUIA_NACIONAL_2022_1106128105107111115129130131132133256[[#This Row],[CIE-10]]))</f>
        <v>0</v>
      </c>
      <c r="DN17" s="3">
        <f>IF($B$2="(Todas)",COUNTIF(BASE[CODCIE1010],GUIA_NACIONAL_2022_1106128105107111115129130131132133256[[#This Row],[CIE-10]]),COUNTIFS(BASE[Cod.Establecimiento],$B$2,BASE[CODCIE1010],GUIA_NACIONAL_2022_1106128105107111115129130131132133256[[#This Row],[CIE-10]]))</f>
        <v>0</v>
      </c>
      <c r="DO17" s="9">
        <f>SUM(GUIA_NACIONAL_2022_1106128105107111115129130131132133256[[#This Row],[D1]:[D6]])</f>
        <v>0</v>
      </c>
    </row>
    <row r="18" spans="1:119" ht="15" customHeight="1">
      <c r="A18" s="142"/>
      <c r="B18" s="142"/>
      <c r="D18" s="32" t="s">
        <v>315</v>
      </c>
      <c r="E18" s="3">
        <f>IF($B$2="(Todas)",COUNTIF(BASE[CODCIE10],GUIA_NACIONAL_2022_1106108[[#This Row],[CIE-10]]),COUNTIFS(BASE[Cod.Establecimiento],$B$2,BASE[CODCIE10],GUIA_NACIONAL_2022_1106108[[#This Row],[CIE-10]]))</f>
        <v>0</v>
      </c>
      <c r="F18" s="3">
        <f>IF($B$2="(Todas)",COUNTIF(BASE[CODCIE102],GUIA_NACIONAL_2022_1106108[[#This Row],[CIE-10]]),COUNTIFS(BASE[Cod.Establecimiento],$B$2,BASE[CODCIE102],GUIA_NACIONAL_2022_1106108[[#This Row],[CIE-10]]))</f>
        <v>0</v>
      </c>
      <c r="G18" s="3">
        <f>IF($B$2="(Todas)",COUNTIF(BASE[CODCIE104],GUIA_NACIONAL_2022_1106108[[#This Row],[CIE-10]]),COUNTIFS(BASE[Cod.Establecimiento],$B$2,BASE[CODCIE104],GUIA_NACIONAL_2022_1106108[[#This Row],[CIE-10]]))</f>
        <v>0</v>
      </c>
      <c r="H18" s="3">
        <f>IF($B$2="(Todas)",COUNTIF(BASE[CODCIE106],GUIA_NACIONAL_2022_1106108[[#This Row],[CIE-10]]),COUNTIFS(BASE[Cod.Establecimiento],$B$2,BASE[CODCIE106],GUIA_NACIONAL_2022_1106108[[#This Row],[CIE-10]]))</f>
        <v>0</v>
      </c>
      <c r="I18" s="3">
        <f>IF($B$2="(Todas)",COUNTIF(BASE[CODCIE108],GUIA_NACIONAL_2022_1106108[[#This Row],[CIE-10]]),COUNTIFS(BASE[Cod.Establecimiento],$B$2,BASE[CODCIE108],GUIA_NACIONAL_2022_1106108[[#This Row],[CIE-10]]))</f>
        <v>0</v>
      </c>
      <c r="J18" s="3">
        <f>IF($B$2="(Todas)",COUNTIF(BASE[CODCIE1010],GUIA_NACIONAL_2022_1106108[[#This Row],[CIE-10]]),COUNTIFS(BASE[Cod.Establecimiento],$B$2,BASE[CODCIE1010],GUIA_NACIONAL_2022_1106108[[#This Row],[CIE-10]]))</f>
        <v>0</v>
      </c>
      <c r="K18" s="9">
        <f>SUM(GUIA_NACIONAL_2022_1106108[[#This Row],[D1]:[D6]])</f>
        <v>0</v>
      </c>
      <c r="M18" t="s">
        <v>93</v>
      </c>
      <c r="N18" s="3" t="s">
        <v>94</v>
      </c>
      <c r="O18" s="3" t="s">
        <v>95</v>
      </c>
      <c r="P18" s="3" t="s">
        <v>96</v>
      </c>
      <c r="Q18" s="3" t="s">
        <v>97</v>
      </c>
      <c r="R18" s="3" t="s">
        <v>98</v>
      </c>
      <c r="S18" s="3" t="s">
        <v>99</v>
      </c>
      <c r="T18" s="8" t="s">
        <v>100</v>
      </c>
      <c r="V18" s="149" t="s">
        <v>534</v>
      </c>
      <c r="W18" s="150"/>
      <c r="X18" s="150"/>
      <c r="Y18" s="150"/>
      <c r="Z18" s="150"/>
      <c r="AA18" s="150"/>
      <c r="AB18" s="150"/>
      <c r="AC18" s="150"/>
      <c r="AE18" s="150" t="s">
        <v>564</v>
      </c>
      <c r="AF18" s="150"/>
      <c r="AG18" s="150"/>
      <c r="AH18" s="150"/>
      <c r="AI18" s="150"/>
      <c r="AJ18" s="150"/>
      <c r="AK18" s="150"/>
      <c r="AL18" s="150"/>
      <c r="AN18" s="151" t="s">
        <v>624</v>
      </c>
      <c r="AO18" s="151"/>
      <c r="AP18" s="151"/>
      <c r="AQ18" s="151"/>
      <c r="AR18" s="151"/>
      <c r="AS18" s="151"/>
      <c r="AT18" s="151"/>
      <c r="AU18" s="151"/>
      <c r="AW18" s="4" t="s">
        <v>645</v>
      </c>
      <c r="AX18" s="3">
        <f>IF($B$2="(Todas)",COUNTIF(BASE[CODCIE10],GUIA_NACIONAL_2022_1106128105107110207208[[#This Row],[CIE-10]]),COUNTIFS(BASE[Cod.Establecimiento],$B$2,BASE[CODCIE10],GUIA_NACIONAL_2022_1106128105107110207208[[#This Row],[CIE-10]]))</f>
        <v>0</v>
      </c>
      <c r="AY18" s="3">
        <f>IF($B$2="(Todas)",COUNTIF(BASE[CODCIE102],GUIA_NACIONAL_2022_1106128105107110207208[[#This Row],[CIE-10]]),COUNTIFS(BASE[Cod.Establecimiento],$B$2,BASE[CODCIE102],GUIA_NACIONAL_2022_1106128105107110207208[[#This Row],[CIE-10]]))</f>
        <v>0</v>
      </c>
      <c r="AZ18" s="3">
        <f>IF($B$2="(Todas)",COUNTIF(BASE[CODCIE104],GUIA_NACIONAL_2022_1106128105107110207208[[#This Row],[CIE-10]]),COUNTIFS(BASE[Cod.Establecimiento],$B$2,BASE[CODCIE104],GUIA_NACIONAL_2022_1106128105107110207208[[#This Row],[CIE-10]]))</f>
        <v>0</v>
      </c>
      <c r="BA18" s="3">
        <f>IF($B$2="(Todas)",COUNTIF(BASE[CODCIE106],GUIA_NACIONAL_2022_1106128105107110207208[[#This Row],[CIE-10]]),COUNTIFS(BASE[Cod.Establecimiento],$B$2,BASE[CODCIE106],GUIA_NACIONAL_2022_1106128105107110207208[[#This Row],[CIE-10]]))</f>
        <v>0</v>
      </c>
      <c r="BB18" s="3">
        <f>IF($B$2="(Todas)",COUNTIF(BASE[CODCIE108],GUIA_NACIONAL_2022_1106128105107110207208[[#This Row],[CIE-10]]),COUNTIFS(BASE[Cod.Establecimiento],$B$2,BASE[CODCIE108],GUIA_NACIONAL_2022_1106128105107110207208[[#This Row],[CIE-10]]))</f>
        <v>0</v>
      </c>
      <c r="BC18" s="3">
        <f>IF($B$2="(Todas)",COUNTIF(BASE[CODCIE1010],GUIA_NACIONAL_2022_1106128105107110207208[[#This Row],[CIE-10]]),COUNTIFS(BASE[Cod.Establecimiento],$B$2,BASE[CODCIE1010],GUIA_NACIONAL_2022_1106128105107110207208[[#This Row],[CIE-10]]))</f>
        <v>0</v>
      </c>
      <c r="BD18" s="9">
        <f>SUM(GUIA_NACIONAL_2022_1106128105107110207208[[#This Row],[D1]:[D6]])</f>
        <v>0</v>
      </c>
      <c r="BF18" s="4" t="s">
        <v>381</v>
      </c>
      <c r="BG18" s="3">
        <f>IF($B$2="(Todas)",COUNTIF(BASE[CODCIE10],GUIA_NACIONAL_2022_1106128105107110207214[[#This Row],[CIE-10]]),COUNTIFS(BASE[Cod.Establecimiento],$B$2,BASE[CODCIE10],GUIA_NACIONAL_2022_1106128105107110207214[[#This Row],[CIE-10]]))</f>
        <v>0</v>
      </c>
      <c r="BH18" s="3">
        <f>IF($B$2="(Todas)",COUNTIF(BASE[CODCIE102],GUIA_NACIONAL_2022_1106128105107110207214[[#This Row],[CIE-10]]),COUNTIFS(BASE[Cod.Establecimiento],$B$2,BASE[CODCIE102],GUIA_NACIONAL_2022_1106128105107110207214[[#This Row],[CIE-10]]))</f>
        <v>0</v>
      </c>
      <c r="BI18" s="3">
        <f>IF($B$2="(Todas)",COUNTIF(BASE[CODCIE104],GUIA_NACIONAL_2022_1106128105107110207214[[#This Row],[CIE-10]]),COUNTIFS(BASE[Cod.Establecimiento],$B$2,BASE[CODCIE104],GUIA_NACIONAL_2022_1106128105107110207214[[#This Row],[CIE-10]]))</f>
        <v>0</v>
      </c>
      <c r="BJ18" s="3">
        <f>IF($B$2="(Todas)",COUNTIF(BASE[CODCIE106],GUIA_NACIONAL_2022_1106128105107110207214[[#This Row],[CIE-10]]),COUNTIFS(BASE[Cod.Establecimiento],$B$2,BASE[CODCIE106],GUIA_NACIONAL_2022_1106128105107110207214[[#This Row],[CIE-10]]))</f>
        <v>0</v>
      </c>
      <c r="BK18" s="3">
        <f>IF($B$2="(Todas)",COUNTIF(BASE[CODCIE108],GUIA_NACIONAL_2022_1106128105107110207214[[#This Row],[CIE-10]]),COUNTIFS(BASE[Cod.Establecimiento],$B$2,BASE[CODCIE108],GUIA_NACIONAL_2022_1106128105107110207214[[#This Row],[CIE-10]]))</f>
        <v>0</v>
      </c>
      <c r="BL18" s="3">
        <f>IF($B$2="(Todas)",COUNTIF(BASE[CODCIE1010],GUIA_NACIONAL_2022_1106128105107110207214[[#This Row],[CIE-10]]),COUNTIFS(BASE[Cod.Establecimiento],$B$2,BASE[CODCIE1010],GUIA_NACIONAL_2022_1106128105107110207214[[#This Row],[CIE-10]]))</f>
        <v>0</v>
      </c>
      <c r="BM18" s="9">
        <f>SUM(GUIA_NACIONAL_2022_1106128105107110207214[[#This Row],[D1]:[D6]])</f>
        <v>0</v>
      </c>
      <c r="BO18" s="4" t="s">
        <v>323</v>
      </c>
      <c r="BP18" s="3">
        <f>IF($B$2="(Todas)",COUNTIF(BASE[CODCIE10],GUIA_NACIONAL_2022_1106128105107110207210231232234[[#This Row],[CIE-10]]),COUNTIFS(BASE[Cod.Establecimiento],$B$2,BASE[CODCIE10],GUIA_NACIONAL_2022_1106128105107110207210231232234[[#This Row],[CIE-10]]))</f>
        <v>0</v>
      </c>
      <c r="BQ18" s="3">
        <f>IF($B$2="(Todas)",COUNTIF(BASE[CODCIE102],GUIA_NACIONAL_2022_1106128105107110207210231232234[[#This Row],[CIE-10]]),COUNTIFS(BASE[Cod.Establecimiento],$B$2,BASE[CODCIE102],GUIA_NACIONAL_2022_1106128105107110207210231232234[[#This Row],[CIE-10]]))</f>
        <v>0</v>
      </c>
      <c r="BR18" s="3">
        <f>IF($B$2="(Todas)",COUNTIF(BASE[CODCIE104],GUIA_NACIONAL_2022_1106128105107110207210231232234[[#This Row],[CIE-10]]),COUNTIFS(BASE[Cod.Establecimiento],$B$2,BASE[CODCIE104],GUIA_NACIONAL_2022_1106128105107110207210231232234[[#This Row],[CIE-10]]))</f>
        <v>0</v>
      </c>
      <c r="BS18" s="3">
        <f>IF($B$2="(Todas)",COUNTIF(BASE[CODCIE106],GUIA_NACIONAL_2022_1106128105107110207210231232234[[#This Row],[CIE-10]]),COUNTIFS(BASE[Cod.Establecimiento],$B$2,BASE[CODCIE106],GUIA_NACIONAL_2022_1106128105107110207210231232234[[#This Row],[CIE-10]]))</f>
        <v>0</v>
      </c>
      <c r="BT18" s="3">
        <f>IF($B$2="(Todas)",COUNTIF(BASE[CODCIE108],GUIA_NACIONAL_2022_1106128105107110207210231232234[[#This Row],[CIE-10]]),COUNTIFS(BASE[Cod.Establecimiento],$B$2,BASE[CODCIE108],GUIA_NACIONAL_2022_1106128105107110207210231232234[[#This Row],[CIE-10]]))</f>
        <v>0</v>
      </c>
      <c r="BU18" s="3">
        <f>IF($B$2="(Todas)",COUNTIF(BASE[CODCIE1010],GUIA_NACIONAL_2022_1106128105107110207210231232234[[#This Row],[CIE-10]]),COUNTIFS(BASE[Cod.Establecimiento],$B$2,BASE[CODCIE1010],GUIA_NACIONAL_2022_1106128105107110207210231232234[[#This Row],[CIE-10]]))</f>
        <v>0</v>
      </c>
      <c r="BV18" s="9">
        <f>SUM(GUIA_NACIONAL_2022_1106128105107110207210231232234[[#This Row],[D1]:[D6]])</f>
        <v>0</v>
      </c>
      <c r="CG18" s="4" t="s">
        <v>729</v>
      </c>
      <c r="CH18" s="3">
        <f>IF($B$2="(Todas)",COUNTIF(BASE[CODCIE10],GUIA_NACIONAL_2022_1106128105107111115129130[[#This Row],[CIE-10]]),COUNTIFS(BASE[Cod.Establecimiento],$B$2,BASE[CODCIE10],GUIA_NACIONAL_2022_1106128105107111115129130[[#This Row],[CIE-10]]))</f>
        <v>0</v>
      </c>
      <c r="CI18" s="3">
        <f>IF($B$2="(Todas)",COUNTIF(BASE[CODCIE102],GUIA_NACIONAL_2022_1106128105107111115129130[[#This Row],[CIE-10]]),COUNTIFS(BASE[Cod.Establecimiento],$B$2,BASE[CODCIE102],GUIA_NACIONAL_2022_1106128105107111115129130[[#This Row],[CIE-10]]))</f>
        <v>0</v>
      </c>
      <c r="CJ18" s="3">
        <f>IF($B$2="(Todas)",COUNTIF(BASE[CODCIE104],GUIA_NACIONAL_2022_1106128105107111115129130[[#This Row],[CIE-10]]),COUNTIFS(BASE[Cod.Establecimiento],$B$2,BASE[CODCIE104],GUIA_NACIONAL_2022_1106128105107111115129130[[#This Row],[CIE-10]]))</f>
        <v>0</v>
      </c>
      <c r="CK18" s="3">
        <f>IF($B$2="(Todas)",COUNTIF(BASE[CODCIE106],GUIA_NACIONAL_2022_1106128105107111115129130[[#This Row],[CIE-10]]),COUNTIFS(BASE[Cod.Establecimiento],$B$2,BASE[CODCIE106],GUIA_NACIONAL_2022_1106128105107111115129130[[#This Row],[CIE-10]]))</f>
        <v>0</v>
      </c>
      <c r="CL18" s="3">
        <f>IF($B$2="(Todas)",COUNTIF(BASE[CODCIE108],GUIA_NACIONAL_2022_1106128105107111115129130[[#This Row],[CIE-10]]),COUNTIFS(BASE[Cod.Establecimiento],$B$2,BASE[CODCIE108],GUIA_NACIONAL_2022_1106128105107111115129130[[#This Row],[CIE-10]]))</f>
        <v>0</v>
      </c>
      <c r="CM18" s="3">
        <f>IF($B$2="(Todas)",COUNTIF(BASE[CODCIE1010],GUIA_NACIONAL_2022_1106128105107111115129130[[#This Row],[CIE-10]]),COUNTIFS(BASE[Cod.Establecimiento],$B$2,BASE[CODCIE1010],GUIA_NACIONAL_2022_1106128105107111115129130[[#This Row],[CIE-10]]))</f>
        <v>0</v>
      </c>
      <c r="CN18" s="9">
        <f>SUM(GUIA_NACIONAL_2022_1106128105107111115129130[[#This Row],[D1]:[D6]])</f>
        <v>0</v>
      </c>
      <c r="DH18" s="32" t="s">
        <v>773</v>
      </c>
      <c r="DI18" s="3">
        <f>IF($B$2="(Todas)",COUNTIF(BASE[CODCIE10],GUIA_NACIONAL_2022_1106128105107111115129130131132133256[[#This Row],[CIE-10]]),COUNTIFS(BASE[Cod.Establecimiento],$B$2,BASE[CODCIE10],GUIA_NACIONAL_2022_1106128105107111115129130131132133256[[#This Row],[CIE-10]]))</f>
        <v>0</v>
      </c>
      <c r="DJ18" s="3">
        <f>IF($B$2="(Todas)",COUNTIF(BASE[CODCIE102],GUIA_NACIONAL_2022_1106128105107111115129130131132133256[[#This Row],[CIE-10]]),COUNTIFS(BASE[Cod.Establecimiento],$B$2,BASE[CODCIE102],GUIA_NACIONAL_2022_1106128105107111115129130131132133256[[#This Row],[CIE-10]]))</f>
        <v>0</v>
      </c>
      <c r="DK18" s="3">
        <f>IF($B$2="(Todas)",COUNTIF(BASE[CODCIE104],GUIA_NACIONAL_2022_1106128105107111115129130131132133256[[#This Row],[CIE-10]]),COUNTIFS(BASE[Cod.Establecimiento],$B$2,BASE[CODCIE104],GUIA_NACIONAL_2022_1106128105107111115129130131132133256[[#This Row],[CIE-10]]))</f>
        <v>0</v>
      </c>
      <c r="DL18" s="3">
        <f>IF($B$2="(Todas)",COUNTIF(BASE[CODCIE106],GUIA_NACIONAL_2022_1106128105107111115129130131132133256[[#This Row],[CIE-10]]),COUNTIFS(BASE[Cod.Establecimiento],$B$2,BASE[CODCIE106],GUIA_NACIONAL_2022_1106128105107111115129130131132133256[[#This Row],[CIE-10]]))</f>
        <v>0</v>
      </c>
      <c r="DM18" s="3">
        <f>IF($B$2="(Todas)",COUNTIF(BASE[CODCIE108],GUIA_NACIONAL_2022_1106128105107111115129130131132133256[[#This Row],[CIE-10]]),COUNTIFS(BASE[Cod.Establecimiento],$B$2,BASE[CODCIE108],GUIA_NACIONAL_2022_1106128105107111115129130131132133256[[#This Row],[CIE-10]]))</f>
        <v>0</v>
      </c>
      <c r="DN18" s="3">
        <f>IF($B$2="(Todas)",COUNTIF(BASE[CODCIE1010],GUIA_NACIONAL_2022_1106128105107111115129130131132133256[[#This Row],[CIE-10]]),COUNTIFS(BASE[Cod.Establecimiento],$B$2,BASE[CODCIE1010],GUIA_NACIONAL_2022_1106128105107111115129130131132133256[[#This Row],[CIE-10]]))</f>
        <v>0</v>
      </c>
      <c r="DO18" s="9">
        <f>SUM(GUIA_NACIONAL_2022_1106128105107111115129130131132133256[[#This Row],[D1]:[D6]])</f>
        <v>0</v>
      </c>
    </row>
    <row r="19" spans="1:119" ht="15" customHeight="1">
      <c r="A19" s="142"/>
      <c r="B19" s="142"/>
      <c r="D19" s="32" t="s">
        <v>316</v>
      </c>
      <c r="E19" s="3">
        <f>IF($B$2="(Todas)",COUNTIF(BASE[CODCIE10],GUIA_NACIONAL_2022_1106108[[#This Row],[CIE-10]]),COUNTIFS(BASE[Cod.Establecimiento],$B$2,BASE[CODCIE10],GUIA_NACIONAL_2022_1106108[[#This Row],[CIE-10]]))</f>
        <v>0</v>
      </c>
      <c r="F19" s="3">
        <f>IF($B$2="(Todas)",COUNTIF(BASE[CODCIE102],GUIA_NACIONAL_2022_1106108[[#This Row],[CIE-10]]),COUNTIFS(BASE[Cod.Establecimiento],$B$2,BASE[CODCIE102],GUIA_NACIONAL_2022_1106108[[#This Row],[CIE-10]]))</f>
        <v>0</v>
      </c>
      <c r="G19" s="3">
        <f>IF($B$2="(Todas)",COUNTIF(BASE[CODCIE104],GUIA_NACIONAL_2022_1106108[[#This Row],[CIE-10]]),COUNTIFS(BASE[Cod.Establecimiento],$B$2,BASE[CODCIE104],GUIA_NACIONAL_2022_1106108[[#This Row],[CIE-10]]))</f>
        <v>0</v>
      </c>
      <c r="H19" s="3">
        <f>IF($B$2="(Todas)",COUNTIF(BASE[CODCIE106],GUIA_NACIONAL_2022_1106108[[#This Row],[CIE-10]]),COUNTIFS(BASE[Cod.Establecimiento],$B$2,BASE[CODCIE106],GUIA_NACIONAL_2022_1106108[[#This Row],[CIE-10]]))</f>
        <v>0</v>
      </c>
      <c r="I19" s="3">
        <f>IF($B$2="(Todas)",COUNTIF(BASE[CODCIE108],GUIA_NACIONAL_2022_1106108[[#This Row],[CIE-10]]),COUNTIFS(BASE[Cod.Establecimiento],$B$2,BASE[CODCIE108],GUIA_NACIONAL_2022_1106108[[#This Row],[CIE-10]]))</f>
        <v>0</v>
      </c>
      <c r="J19" s="3">
        <f>IF($B$2="(Todas)",COUNTIF(BASE[CODCIE1010],GUIA_NACIONAL_2022_1106108[[#This Row],[CIE-10]]),COUNTIFS(BASE[Cod.Establecimiento],$B$2,BASE[CODCIE1010],GUIA_NACIONAL_2022_1106108[[#This Row],[CIE-10]]))</f>
        <v>0</v>
      </c>
      <c r="K19" s="9">
        <f>SUM(GUIA_NACIONAL_2022_1106108[[#This Row],[D1]:[D6]])</f>
        <v>0</v>
      </c>
      <c r="M19" s="4" t="s">
        <v>391</v>
      </c>
      <c r="N19" s="3">
        <f>IF($B$2="(Todas)",COUNTIF(BASE[CODCIE10],GUIA_NACIONAL_2022_1106127136137138[[#This Row],[CIE-10]]),COUNTIFS(BASE[Cod.Establecimiento],$B$2,BASE[CODCIE10],GUIA_NACIONAL_2022_1106127136137138[[#This Row],[CIE-10]]))</f>
        <v>0</v>
      </c>
      <c r="O19" s="3">
        <f>IF($B$2="(Todas)",COUNTIF(BASE[CODCIE102],GUIA_NACIONAL_2022_1106127136137138[[#This Row],[CIE-10]]),COUNTIFS(BASE[Cod.Establecimiento],$B$2,BASE[CODCIE102],GUIA_NACIONAL_2022_1106127136137138[[#This Row],[CIE-10]]))</f>
        <v>0</v>
      </c>
      <c r="P19" s="3">
        <f>IF($B$2="(Todas)",COUNTIF(BASE[CODCIE104],GUIA_NACIONAL_2022_1106127136137138[[#This Row],[CIE-10]]),COUNTIFS(BASE[Cod.Establecimiento],$B$2,BASE[CODCIE104],GUIA_NACIONAL_2022_1106127136137138[[#This Row],[CIE-10]]))</f>
        <v>0</v>
      </c>
      <c r="Q19" s="3">
        <f>IF($B$2="(Todas)",COUNTIF(BASE[CODCIE106],GUIA_NACIONAL_2022_1106127136137138[[#This Row],[CIE-10]]),COUNTIFS(BASE[Cod.Establecimiento],$B$2,BASE[CODCIE106],GUIA_NACIONAL_2022_1106127136137138[[#This Row],[CIE-10]]))</f>
        <v>0</v>
      </c>
      <c r="R19" s="3">
        <f>IF($B$2="(Todas)",COUNTIF(BASE[CODCIE108],GUIA_NACIONAL_2022_1106127136137138[[#This Row],[CIE-10]]),COUNTIFS(BASE[Cod.Establecimiento],$B$2,BASE[CODCIE108],GUIA_NACIONAL_2022_1106127136137138[[#This Row],[CIE-10]]))</f>
        <v>0</v>
      </c>
      <c r="S19" s="3">
        <f>IF($B$2="(Todas)",COUNTIF(BASE[CODCIE1010],GUIA_NACIONAL_2022_1106127136137138[[#This Row],[CIE-10]]),COUNTIFS(BASE[Cod.Establecimiento],$B$2,BASE[CODCIE1010],GUIA_NACIONAL_2022_1106127136137138[[#This Row],[CIE-10]]))</f>
        <v>0</v>
      </c>
      <c r="T19" s="9">
        <f>SUM(GUIA_NACIONAL_2022_1106127136137138[[#This Row],[D1]:[D6]])</f>
        <v>0</v>
      </c>
      <c r="V19" t="s">
        <v>93</v>
      </c>
      <c r="W19" s="3" t="s">
        <v>94</v>
      </c>
      <c r="X19" s="3" t="s">
        <v>95</v>
      </c>
      <c r="Y19" s="3" t="s">
        <v>96</v>
      </c>
      <c r="Z19" s="3" t="s">
        <v>97</v>
      </c>
      <c r="AA19" s="3" t="s">
        <v>98</v>
      </c>
      <c r="AB19" s="3" t="s">
        <v>99</v>
      </c>
      <c r="AC19" s="8" t="s">
        <v>100</v>
      </c>
      <c r="AE19" t="s">
        <v>93</v>
      </c>
      <c r="AF19" s="3" t="s">
        <v>94</v>
      </c>
      <c r="AG19" s="3" t="s">
        <v>95</v>
      </c>
      <c r="AH19" s="3" t="s">
        <v>96</v>
      </c>
      <c r="AI19" s="3" t="s">
        <v>97</v>
      </c>
      <c r="AJ19" s="3" t="s">
        <v>98</v>
      </c>
      <c r="AK19" s="3" t="s">
        <v>99</v>
      </c>
      <c r="AL19" s="8" t="s">
        <v>100</v>
      </c>
      <c r="AN19" s="150" t="s">
        <v>556</v>
      </c>
      <c r="AO19" s="150"/>
      <c r="AP19" s="150"/>
      <c r="AQ19" s="150"/>
      <c r="AR19" s="150"/>
      <c r="AS19" s="150"/>
      <c r="AT19" s="150"/>
      <c r="AU19" s="150"/>
      <c r="AW19" s="150" t="s">
        <v>646</v>
      </c>
      <c r="AX19" s="150"/>
      <c r="AY19" s="150"/>
      <c r="AZ19" s="150"/>
      <c r="BA19" s="150"/>
      <c r="BB19" s="150"/>
      <c r="BC19" s="150"/>
      <c r="BD19" s="150"/>
      <c r="BF19" s="150" t="s">
        <v>655</v>
      </c>
      <c r="BG19" s="150"/>
      <c r="BH19" s="150"/>
      <c r="BI19" s="150"/>
      <c r="BJ19" s="150"/>
      <c r="BK19" s="150"/>
      <c r="BL19" s="150"/>
      <c r="BM19" s="150"/>
      <c r="BO19" s="4" t="s">
        <v>324</v>
      </c>
      <c r="BP19" s="3">
        <f>IF($B$2="(Todas)",COUNTIF(BASE[CODCIE10],GUIA_NACIONAL_2022_1106128105107110207210231232234[[#This Row],[CIE-10]]),COUNTIFS(BASE[Cod.Establecimiento],$B$2,BASE[CODCIE10],GUIA_NACIONAL_2022_1106128105107110207210231232234[[#This Row],[CIE-10]]))</f>
        <v>0</v>
      </c>
      <c r="BQ19" s="3">
        <f>IF($B$2="(Todas)",COUNTIF(BASE[CODCIE102],GUIA_NACIONAL_2022_1106128105107110207210231232234[[#This Row],[CIE-10]]),COUNTIFS(BASE[Cod.Establecimiento],$B$2,BASE[CODCIE102],GUIA_NACIONAL_2022_1106128105107110207210231232234[[#This Row],[CIE-10]]))</f>
        <v>0</v>
      </c>
      <c r="BR19" s="3">
        <f>IF($B$2="(Todas)",COUNTIF(BASE[CODCIE104],GUIA_NACIONAL_2022_1106128105107110207210231232234[[#This Row],[CIE-10]]),COUNTIFS(BASE[Cod.Establecimiento],$B$2,BASE[CODCIE104],GUIA_NACIONAL_2022_1106128105107110207210231232234[[#This Row],[CIE-10]]))</f>
        <v>0</v>
      </c>
      <c r="BS19" s="3">
        <f>IF($B$2="(Todas)",COUNTIF(BASE[CODCIE106],GUIA_NACIONAL_2022_1106128105107110207210231232234[[#This Row],[CIE-10]]),COUNTIFS(BASE[Cod.Establecimiento],$B$2,BASE[CODCIE106],GUIA_NACIONAL_2022_1106128105107110207210231232234[[#This Row],[CIE-10]]))</f>
        <v>0</v>
      </c>
      <c r="BT19" s="3">
        <f>IF($B$2="(Todas)",COUNTIF(BASE[CODCIE108],GUIA_NACIONAL_2022_1106128105107110207210231232234[[#This Row],[CIE-10]]),COUNTIFS(BASE[Cod.Establecimiento],$B$2,BASE[CODCIE108],GUIA_NACIONAL_2022_1106128105107110207210231232234[[#This Row],[CIE-10]]))</f>
        <v>0</v>
      </c>
      <c r="BU19" s="3">
        <f>IF($B$2="(Todas)",COUNTIF(BASE[CODCIE1010],GUIA_NACIONAL_2022_1106128105107110207210231232234[[#This Row],[CIE-10]]),COUNTIFS(BASE[Cod.Establecimiento],$B$2,BASE[CODCIE1010],GUIA_NACIONAL_2022_1106128105107110207210231232234[[#This Row],[CIE-10]]))</f>
        <v>0</v>
      </c>
      <c r="BV19" s="9">
        <f>SUM(GUIA_NACIONAL_2022_1106128105107110207210231232234[[#This Row],[D1]:[D6]])</f>
        <v>0</v>
      </c>
      <c r="CG19" s="4" t="s">
        <v>728</v>
      </c>
      <c r="CH19" s="3">
        <f>IF($B$2="(Todas)",COUNTIF(BASE[CODCIE10],GUIA_NACIONAL_2022_1106128105107111115129130[[#This Row],[CIE-10]]),COUNTIFS(BASE[Cod.Establecimiento],$B$2,BASE[CODCIE10],GUIA_NACIONAL_2022_1106128105107111115129130[[#This Row],[CIE-10]]))</f>
        <v>0</v>
      </c>
      <c r="CI19" s="3">
        <f>IF($B$2="(Todas)",COUNTIF(BASE[CODCIE102],GUIA_NACIONAL_2022_1106128105107111115129130[[#This Row],[CIE-10]]),COUNTIFS(BASE[Cod.Establecimiento],$B$2,BASE[CODCIE102],GUIA_NACIONAL_2022_1106128105107111115129130[[#This Row],[CIE-10]]))</f>
        <v>0</v>
      </c>
      <c r="CJ19" s="3">
        <f>IF($B$2="(Todas)",COUNTIF(BASE[CODCIE104],GUIA_NACIONAL_2022_1106128105107111115129130[[#This Row],[CIE-10]]),COUNTIFS(BASE[Cod.Establecimiento],$B$2,BASE[CODCIE104],GUIA_NACIONAL_2022_1106128105107111115129130[[#This Row],[CIE-10]]))</f>
        <v>0</v>
      </c>
      <c r="CK19" s="3">
        <f>IF($B$2="(Todas)",COUNTIF(BASE[CODCIE106],GUIA_NACIONAL_2022_1106128105107111115129130[[#This Row],[CIE-10]]),COUNTIFS(BASE[Cod.Establecimiento],$B$2,BASE[CODCIE106],GUIA_NACIONAL_2022_1106128105107111115129130[[#This Row],[CIE-10]]))</f>
        <v>0</v>
      </c>
      <c r="CL19" s="3">
        <f>IF($B$2="(Todas)",COUNTIF(BASE[CODCIE108],GUIA_NACIONAL_2022_1106128105107111115129130[[#This Row],[CIE-10]]),COUNTIFS(BASE[Cod.Establecimiento],$B$2,BASE[CODCIE108],GUIA_NACIONAL_2022_1106128105107111115129130[[#This Row],[CIE-10]]))</f>
        <v>0</v>
      </c>
      <c r="CM19" s="3">
        <f>IF($B$2="(Todas)",COUNTIF(BASE[CODCIE1010],GUIA_NACIONAL_2022_1106128105107111115129130[[#This Row],[CIE-10]]),COUNTIFS(BASE[Cod.Establecimiento],$B$2,BASE[CODCIE1010],GUIA_NACIONAL_2022_1106128105107111115129130[[#This Row],[CIE-10]]))</f>
        <v>0</v>
      </c>
      <c r="CN19" s="9">
        <f>SUM(GUIA_NACIONAL_2022_1106128105107111115129130[[#This Row],[D1]:[D6]])</f>
        <v>0</v>
      </c>
      <c r="DH19" s="149" t="s">
        <v>774</v>
      </c>
      <c r="DI19" s="150"/>
      <c r="DJ19" s="150"/>
      <c r="DK19" s="150"/>
      <c r="DL19" s="150"/>
      <c r="DM19" s="150"/>
      <c r="DN19" s="150"/>
      <c r="DO19" s="150"/>
    </row>
    <row r="20" spans="1:119" ht="15" customHeight="1">
      <c r="A20" s="142"/>
      <c r="B20" s="142"/>
      <c r="D20" s="32" t="s">
        <v>317</v>
      </c>
      <c r="E20" s="3">
        <f>IF($B$2="(Todas)",COUNTIF(BASE[CODCIE10],GUIA_NACIONAL_2022_1106108[[#This Row],[CIE-10]]),COUNTIFS(BASE[Cod.Establecimiento],$B$2,BASE[CODCIE10],GUIA_NACIONAL_2022_1106108[[#This Row],[CIE-10]]))</f>
        <v>0</v>
      </c>
      <c r="F20" s="3">
        <f>IF($B$2="(Todas)",COUNTIF(BASE[CODCIE102],GUIA_NACIONAL_2022_1106108[[#This Row],[CIE-10]]),COUNTIFS(BASE[Cod.Establecimiento],$B$2,BASE[CODCIE102],GUIA_NACIONAL_2022_1106108[[#This Row],[CIE-10]]))</f>
        <v>0</v>
      </c>
      <c r="G20" s="3">
        <f>IF($B$2="(Todas)",COUNTIF(BASE[CODCIE104],GUIA_NACIONAL_2022_1106108[[#This Row],[CIE-10]]),COUNTIFS(BASE[Cod.Establecimiento],$B$2,BASE[CODCIE104],GUIA_NACIONAL_2022_1106108[[#This Row],[CIE-10]]))</f>
        <v>0</v>
      </c>
      <c r="H20" s="3">
        <f>IF($B$2="(Todas)",COUNTIF(BASE[CODCIE106],GUIA_NACIONAL_2022_1106108[[#This Row],[CIE-10]]),COUNTIFS(BASE[Cod.Establecimiento],$B$2,BASE[CODCIE106],GUIA_NACIONAL_2022_1106108[[#This Row],[CIE-10]]))</f>
        <v>0</v>
      </c>
      <c r="I20" s="3">
        <f>IF($B$2="(Todas)",COUNTIF(BASE[CODCIE108],GUIA_NACIONAL_2022_1106108[[#This Row],[CIE-10]]),COUNTIFS(BASE[Cod.Establecimiento],$B$2,BASE[CODCIE108],GUIA_NACIONAL_2022_1106108[[#This Row],[CIE-10]]))</f>
        <v>0</v>
      </c>
      <c r="J20" s="3">
        <f>IF($B$2="(Todas)",COUNTIF(BASE[CODCIE1010],GUIA_NACIONAL_2022_1106108[[#This Row],[CIE-10]]),COUNTIFS(BASE[Cod.Establecimiento],$B$2,BASE[CODCIE1010],GUIA_NACIONAL_2022_1106108[[#This Row],[CIE-10]]))</f>
        <v>0</v>
      </c>
      <c r="K20" s="9">
        <f>SUM(GUIA_NACIONAL_2022_1106108[[#This Row],[D1]:[D6]])</f>
        <v>0</v>
      </c>
      <c r="M20" s="149" t="s">
        <v>519</v>
      </c>
      <c r="N20" s="150"/>
      <c r="O20" s="150"/>
      <c r="P20" s="150"/>
      <c r="Q20" s="150"/>
      <c r="R20" s="150"/>
      <c r="S20" s="150"/>
      <c r="T20" s="150"/>
      <c r="V20" s="4" t="s">
        <v>305</v>
      </c>
      <c r="W20" s="3">
        <f>IF($B$2="(Todas)",COUNTIF(BASE[CODCIE10],GUIA_NACIONAL_2022_1106128143146147[[#This Row],[CIE-10]]),COUNTIFS(BASE[Cod.Establecimiento],$B$2,BASE[CODCIE10],GUIA_NACIONAL_2022_1106128143146147[[#This Row],[CIE-10]]))</f>
        <v>0</v>
      </c>
      <c r="X20" s="3">
        <f>IF($B$2="(Todas)",COUNTIF(BASE[CODCIE102],GUIA_NACIONAL_2022_1106128143146147[[#This Row],[CIE-10]]),COUNTIFS(BASE[Cod.Establecimiento],$B$2,BASE[CODCIE102],GUIA_NACIONAL_2022_1106128143146147[[#This Row],[CIE-10]]))</f>
        <v>0</v>
      </c>
      <c r="Y20" s="3">
        <f>IF($B$2="(Todas)",COUNTIF(BASE[CODCIE104],GUIA_NACIONAL_2022_1106128143146147[[#This Row],[CIE-10]]),COUNTIFS(BASE[Cod.Establecimiento],$B$2,BASE[CODCIE104],GUIA_NACIONAL_2022_1106128143146147[[#This Row],[CIE-10]]))</f>
        <v>0</v>
      </c>
      <c r="Z20" s="3">
        <f>IF($B$2="(Todas)",COUNTIF(BASE[CODCIE106],GUIA_NACIONAL_2022_1106128143146147[[#This Row],[CIE-10]]),COUNTIFS(BASE[Cod.Establecimiento],$B$2,BASE[CODCIE106],GUIA_NACIONAL_2022_1106128143146147[[#This Row],[CIE-10]]))</f>
        <v>0</v>
      </c>
      <c r="AA20" s="3">
        <f>IF($B$2="(Todas)",COUNTIF(BASE[CODCIE108],GUIA_NACIONAL_2022_1106128143146147[[#This Row],[CIE-10]]),COUNTIFS(BASE[Cod.Establecimiento],$B$2,BASE[CODCIE108],GUIA_NACIONAL_2022_1106128143146147[[#This Row],[CIE-10]]))</f>
        <v>0</v>
      </c>
      <c r="AB20" s="3">
        <f>IF($B$2="(Todas)",COUNTIF(BASE[CODCIE1010],GUIA_NACIONAL_2022_1106128143146147[[#This Row],[CIE-10]]),COUNTIFS(BASE[Cod.Establecimiento],$B$2,BASE[CODCIE1010],GUIA_NACIONAL_2022_1106128143146147[[#This Row],[CIE-10]]))</f>
        <v>0</v>
      </c>
      <c r="AC20" s="9">
        <f>SUM(GUIA_NACIONAL_2022_1106128143146147[[#This Row],[D1]:[D6]])</f>
        <v>0</v>
      </c>
      <c r="AE20" s="4" t="s">
        <v>565</v>
      </c>
      <c r="AF20" s="3">
        <f>IF($B$2="(Todas)",COUNTIF(BASE[CODCIE10],GUIA_NACIONAL_2022_1106128105168169170[[#This Row],[CIE-10]]),COUNTIFS(BASE[Cod.Establecimiento],$B$2,BASE[CODCIE10],GUIA_NACIONAL_2022_1106128105168169170[[#This Row],[CIE-10]]))</f>
        <v>0</v>
      </c>
      <c r="AG20" s="3">
        <f>IF($B$2="(Todas)",COUNTIF(BASE[CODCIE102],GUIA_NACIONAL_2022_1106128105168169170[[#This Row],[CIE-10]]),COUNTIFS(BASE[Cod.Establecimiento],$B$2,BASE[CODCIE102],GUIA_NACIONAL_2022_1106128105168169170[[#This Row],[CIE-10]]))</f>
        <v>0</v>
      </c>
      <c r="AH20" s="3">
        <f>IF($B$2="(Todas)",COUNTIF(BASE[CODCIE104],GUIA_NACIONAL_2022_1106128105168169170[[#This Row],[CIE-10]]),COUNTIFS(BASE[Cod.Establecimiento],$B$2,BASE[CODCIE104],GUIA_NACIONAL_2022_1106128105168169170[[#This Row],[CIE-10]]))</f>
        <v>0</v>
      </c>
      <c r="AI20" s="3">
        <f>IF($B$2="(Todas)",COUNTIF(BASE[CODCIE106],GUIA_NACIONAL_2022_1106128105168169170[[#This Row],[CIE-10]]),COUNTIFS(BASE[Cod.Establecimiento],$B$2,BASE[CODCIE106],GUIA_NACIONAL_2022_1106128105168169170[[#This Row],[CIE-10]]))</f>
        <v>0</v>
      </c>
      <c r="AJ20" s="3">
        <f>IF($B$2="(Todas)",COUNTIF(BASE[CODCIE108],GUIA_NACIONAL_2022_1106128105168169170[[#This Row],[CIE-10]]),COUNTIFS(BASE[Cod.Establecimiento],$B$2,BASE[CODCIE108],GUIA_NACIONAL_2022_1106128105168169170[[#This Row],[CIE-10]]))</f>
        <v>0</v>
      </c>
      <c r="AK20" s="3">
        <f>IF($B$2="(Todas)",COUNTIF(BASE[CODCIE1010],GUIA_NACIONAL_2022_1106128105168169170[[#This Row],[CIE-10]]),COUNTIFS(BASE[Cod.Establecimiento],$B$2,BASE[CODCIE1010],GUIA_NACIONAL_2022_1106128105168169170[[#This Row],[CIE-10]]))</f>
        <v>0</v>
      </c>
      <c r="AL20" s="9">
        <f>SUM(GUIA_NACIONAL_2022_1106128105168169170[[#This Row],[D1]:[D6]])</f>
        <v>0</v>
      </c>
      <c r="AN20" t="s">
        <v>93</v>
      </c>
      <c r="AO20" s="3" t="s">
        <v>94</v>
      </c>
      <c r="AP20" s="3" t="s">
        <v>95</v>
      </c>
      <c r="AQ20" s="3" t="s">
        <v>96</v>
      </c>
      <c r="AR20" s="3" t="s">
        <v>97</v>
      </c>
      <c r="AS20" s="3" t="s">
        <v>98</v>
      </c>
      <c r="AT20" s="3" t="s">
        <v>99</v>
      </c>
      <c r="AU20" s="8" t="s">
        <v>100</v>
      </c>
      <c r="AW20" t="s">
        <v>93</v>
      </c>
      <c r="AX20" s="3" t="s">
        <v>94</v>
      </c>
      <c r="AY20" s="3" t="s">
        <v>95</v>
      </c>
      <c r="AZ20" s="3" t="s">
        <v>96</v>
      </c>
      <c r="BA20" s="3" t="s">
        <v>97</v>
      </c>
      <c r="BB20" s="3" t="s">
        <v>98</v>
      </c>
      <c r="BC20" s="3" t="s">
        <v>99</v>
      </c>
      <c r="BD20" s="8" t="s">
        <v>100</v>
      </c>
      <c r="BF20" t="s">
        <v>93</v>
      </c>
      <c r="BG20" s="3" t="s">
        <v>94</v>
      </c>
      <c r="BH20" s="3" t="s">
        <v>95</v>
      </c>
      <c r="BI20" s="3" t="s">
        <v>96</v>
      </c>
      <c r="BJ20" s="3" t="s">
        <v>97</v>
      </c>
      <c r="BK20" s="3" t="s">
        <v>98</v>
      </c>
      <c r="BL20" s="3" t="s">
        <v>99</v>
      </c>
      <c r="BM20" s="8" t="s">
        <v>100</v>
      </c>
      <c r="BO20" s="4" t="s">
        <v>261</v>
      </c>
      <c r="BP20" s="3">
        <f>IF($B$2="(Todas)",COUNTIF(BASE[CODCIE10],GUIA_NACIONAL_2022_1106128105107110207210231232234[[#This Row],[CIE-10]]),COUNTIFS(BASE[Cod.Establecimiento],$B$2,BASE[CODCIE10],GUIA_NACIONAL_2022_1106128105107110207210231232234[[#This Row],[CIE-10]]))</f>
        <v>0</v>
      </c>
      <c r="BQ20" s="3">
        <f>IF($B$2="(Todas)",COUNTIF(BASE[CODCIE102],GUIA_NACIONAL_2022_1106128105107110207210231232234[[#This Row],[CIE-10]]),COUNTIFS(BASE[Cod.Establecimiento],$B$2,BASE[CODCIE102],GUIA_NACIONAL_2022_1106128105107110207210231232234[[#This Row],[CIE-10]]))</f>
        <v>0</v>
      </c>
      <c r="BR20" s="3">
        <f>IF($B$2="(Todas)",COUNTIF(BASE[CODCIE104],GUIA_NACIONAL_2022_1106128105107110207210231232234[[#This Row],[CIE-10]]),COUNTIFS(BASE[Cod.Establecimiento],$B$2,BASE[CODCIE104],GUIA_NACIONAL_2022_1106128105107110207210231232234[[#This Row],[CIE-10]]))</f>
        <v>0</v>
      </c>
      <c r="BS20" s="3">
        <f>IF($B$2="(Todas)",COUNTIF(BASE[CODCIE106],GUIA_NACIONAL_2022_1106128105107110207210231232234[[#This Row],[CIE-10]]),COUNTIFS(BASE[Cod.Establecimiento],$B$2,BASE[CODCIE106],GUIA_NACIONAL_2022_1106128105107110207210231232234[[#This Row],[CIE-10]]))</f>
        <v>0</v>
      </c>
      <c r="BT20" s="3">
        <f>IF($B$2="(Todas)",COUNTIF(BASE[CODCIE108],GUIA_NACIONAL_2022_1106128105107110207210231232234[[#This Row],[CIE-10]]),COUNTIFS(BASE[Cod.Establecimiento],$B$2,BASE[CODCIE108],GUIA_NACIONAL_2022_1106128105107110207210231232234[[#This Row],[CIE-10]]))</f>
        <v>0</v>
      </c>
      <c r="BU20" s="3">
        <f>IF($B$2="(Todas)",COUNTIF(BASE[CODCIE1010],GUIA_NACIONAL_2022_1106128105107110207210231232234[[#This Row],[CIE-10]]),COUNTIFS(BASE[Cod.Establecimiento],$B$2,BASE[CODCIE1010],GUIA_NACIONAL_2022_1106128105107110207210231232234[[#This Row],[CIE-10]]))</f>
        <v>0</v>
      </c>
      <c r="BV20" s="9">
        <f>SUM(GUIA_NACIONAL_2022_1106128105107110207210231232234[[#This Row],[D1]:[D6]])</f>
        <v>0</v>
      </c>
      <c r="CG20" s="146" t="s">
        <v>730</v>
      </c>
      <c r="CH20" s="147"/>
      <c r="CI20" s="147"/>
      <c r="CJ20" s="147"/>
      <c r="CK20" s="147"/>
      <c r="CL20" s="147"/>
      <c r="CM20" s="147"/>
      <c r="CN20" s="148"/>
      <c r="DH20" t="s">
        <v>93</v>
      </c>
      <c r="DI20" s="3" t="s">
        <v>94</v>
      </c>
      <c r="DJ20" s="3" t="s">
        <v>95</v>
      </c>
      <c r="DK20" s="3" t="s">
        <v>96</v>
      </c>
      <c r="DL20" s="3" t="s">
        <v>97</v>
      </c>
      <c r="DM20" s="3" t="s">
        <v>98</v>
      </c>
      <c r="DN20" s="3" t="s">
        <v>99</v>
      </c>
      <c r="DO20" s="8" t="s">
        <v>100</v>
      </c>
    </row>
    <row r="21" spans="1:119" ht="15" customHeight="1">
      <c r="A21" s="142"/>
      <c r="B21" s="142"/>
      <c r="D21" s="32" t="s">
        <v>318</v>
      </c>
      <c r="E21" s="3">
        <f>IF($B$2="(Todas)",COUNTIF(BASE[CODCIE10],GUIA_NACIONAL_2022_1106108[[#This Row],[CIE-10]]),COUNTIFS(BASE[Cod.Establecimiento],$B$2,BASE[CODCIE10],GUIA_NACIONAL_2022_1106108[[#This Row],[CIE-10]]))</f>
        <v>0</v>
      </c>
      <c r="F21" s="3">
        <f>IF($B$2="(Todas)",COUNTIF(BASE[CODCIE102],GUIA_NACIONAL_2022_1106108[[#This Row],[CIE-10]]),COUNTIFS(BASE[Cod.Establecimiento],$B$2,BASE[CODCIE102],GUIA_NACIONAL_2022_1106108[[#This Row],[CIE-10]]))</f>
        <v>0</v>
      </c>
      <c r="G21" s="3">
        <f>IF($B$2="(Todas)",COUNTIF(BASE[CODCIE104],GUIA_NACIONAL_2022_1106108[[#This Row],[CIE-10]]),COUNTIFS(BASE[Cod.Establecimiento],$B$2,BASE[CODCIE104],GUIA_NACIONAL_2022_1106108[[#This Row],[CIE-10]]))</f>
        <v>0</v>
      </c>
      <c r="H21" s="3">
        <f>IF($B$2="(Todas)",COUNTIF(BASE[CODCIE106],GUIA_NACIONAL_2022_1106108[[#This Row],[CIE-10]]),COUNTIFS(BASE[Cod.Establecimiento],$B$2,BASE[CODCIE106],GUIA_NACIONAL_2022_1106108[[#This Row],[CIE-10]]))</f>
        <v>0</v>
      </c>
      <c r="I21" s="3">
        <f>IF($B$2="(Todas)",COUNTIF(BASE[CODCIE108],GUIA_NACIONAL_2022_1106108[[#This Row],[CIE-10]]),COUNTIFS(BASE[Cod.Establecimiento],$B$2,BASE[CODCIE108],GUIA_NACIONAL_2022_1106108[[#This Row],[CIE-10]]))</f>
        <v>0</v>
      </c>
      <c r="J21" s="3">
        <f>IF($B$2="(Todas)",COUNTIF(BASE[CODCIE1010],GUIA_NACIONAL_2022_1106108[[#This Row],[CIE-10]]),COUNTIFS(BASE[Cod.Establecimiento],$B$2,BASE[CODCIE1010],GUIA_NACIONAL_2022_1106108[[#This Row],[CIE-10]]))</f>
        <v>0</v>
      </c>
      <c r="K21" s="9">
        <f>SUM(GUIA_NACIONAL_2022_1106108[[#This Row],[D1]:[D6]])</f>
        <v>0</v>
      </c>
      <c r="M21" t="s">
        <v>93</v>
      </c>
      <c r="N21" s="3" t="s">
        <v>94</v>
      </c>
      <c r="O21" s="3" t="s">
        <v>95</v>
      </c>
      <c r="P21" s="3" t="s">
        <v>96</v>
      </c>
      <c r="Q21" s="3" t="s">
        <v>97</v>
      </c>
      <c r="R21" s="3" t="s">
        <v>98</v>
      </c>
      <c r="S21" s="3" t="s">
        <v>99</v>
      </c>
      <c r="T21" s="8" t="s">
        <v>100</v>
      </c>
      <c r="V21" s="32" t="s">
        <v>306</v>
      </c>
      <c r="W21" s="3">
        <f>IF($B$2="(Todas)",COUNTIF(BASE[CODCIE10],GUIA_NACIONAL_2022_1106128143146147[[#This Row],[CIE-10]]),COUNTIFS(BASE[Cod.Establecimiento],$B$2,BASE[CODCIE10],GUIA_NACIONAL_2022_1106128143146147[[#This Row],[CIE-10]]))</f>
        <v>0</v>
      </c>
      <c r="X21" s="3">
        <f>IF($B$2="(Todas)",COUNTIF(BASE[CODCIE102],GUIA_NACIONAL_2022_1106128143146147[[#This Row],[CIE-10]]),COUNTIFS(BASE[Cod.Establecimiento],$B$2,BASE[CODCIE102],GUIA_NACIONAL_2022_1106128143146147[[#This Row],[CIE-10]]))</f>
        <v>0</v>
      </c>
      <c r="Y21" s="3">
        <f>IF($B$2="(Todas)",COUNTIF(BASE[CODCIE104],GUIA_NACIONAL_2022_1106128143146147[[#This Row],[CIE-10]]),COUNTIFS(BASE[Cod.Establecimiento],$B$2,BASE[CODCIE104],GUIA_NACIONAL_2022_1106128143146147[[#This Row],[CIE-10]]))</f>
        <v>0</v>
      </c>
      <c r="Z21" s="3">
        <f>IF($B$2="(Todas)",COUNTIF(BASE[CODCIE106],GUIA_NACIONAL_2022_1106128143146147[[#This Row],[CIE-10]]),COUNTIFS(BASE[Cod.Establecimiento],$B$2,BASE[CODCIE106],GUIA_NACIONAL_2022_1106128143146147[[#This Row],[CIE-10]]))</f>
        <v>0</v>
      </c>
      <c r="AA21" s="3">
        <f>IF($B$2="(Todas)",COUNTIF(BASE[CODCIE108],GUIA_NACIONAL_2022_1106128143146147[[#This Row],[CIE-10]]),COUNTIFS(BASE[Cod.Establecimiento],$B$2,BASE[CODCIE108],GUIA_NACIONAL_2022_1106128143146147[[#This Row],[CIE-10]]))</f>
        <v>0</v>
      </c>
      <c r="AB21" s="3">
        <f>IF($B$2="(Todas)",COUNTIF(BASE[CODCIE1010],GUIA_NACIONAL_2022_1106128143146147[[#This Row],[CIE-10]]),COUNTIFS(BASE[Cod.Establecimiento],$B$2,BASE[CODCIE1010],GUIA_NACIONAL_2022_1106128143146147[[#This Row],[CIE-10]]))</f>
        <v>0</v>
      </c>
      <c r="AC21" s="9">
        <f>SUM(GUIA_NACIONAL_2022_1106128143146147[[#This Row],[D1]:[D6]])</f>
        <v>0</v>
      </c>
      <c r="AE21" s="150" t="s">
        <v>566</v>
      </c>
      <c r="AF21" s="150"/>
      <c r="AG21" s="150"/>
      <c r="AH21" s="150"/>
      <c r="AI21" s="150"/>
      <c r="AJ21" s="150"/>
      <c r="AK21" s="150"/>
      <c r="AL21" s="150"/>
      <c r="AN21" s="4" t="s">
        <v>557</v>
      </c>
      <c r="AO21" s="3">
        <f>IF($B$2="(Todas)",COUNTIF(BASE[CODCIE10],GUIA_NACIONAL_2022_1106128105168162197[[#This Row],[CIE-10]]),COUNTIFS(BASE[Cod.Establecimiento],$B$2,BASE[CODCIE10],GUIA_NACIONAL_2022_1106128105168162197[[#This Row],[CIE-10]]))</f>
        <v>0</v>
      </c>
      <c r="AP21" s="3">
        <f>IF($B$2="(Todas)",COUNTIF(BASE[CODCIE102],GUIA_NACIONAL_2022_1106128105168162197[[#This Row],[CIE-10]]),COUNTIFS(BASE[Cod.Establecimiento],$B$2,BASE[CODCIE102],GUIA_NACIONAL_2022_1106128105168162197[[#This Row],[CIE-10]]))</f>
        <v>0</v>
      </c>
      <c r="AQ21" s="3">
        <f>IF($B$2="(Todas)",COUNTIF(BASE[CODCIE104],GUIA_NACIONAL_2022_1106128105168162197[[#This Row],[CIE-10]]),COUNTIFS(BASE[Cod.Establecimiento],$B$2,BASE[CODCIE104],GUIA_NACIONAL_2022_1106128105168162197[[#This Row],[CIE-10]]))</f>
        <v>0</v>
      </c>
      <c r="AR21" s="3">
        <f>IF($B$2="(Todas)",COUNTIF(BASE[CODCIE106],GUIA_NACIONAL_2022_1106128105168162197[[#This Row],[CIE-10]]),COUNTIFS(BASE[Cod.Establecimiento],$B$2,BASE[CODCIE106],GUIA_NACIONAL_2022_1106128105168162197[[#This Row],[CIE-10]]))</f>
        <v>0</v>
      </c>
      <c r="AS21" s="3">
        <f>IF($B$2="(Todas)",COUNTIF(BASE[CODCIE108],GUIA_NACIONAL_2022_1106128105168162197[[#This Row],[CIE-10]]),COUNTIFS(BASE[Cod.Establecimiento],$B$2,BASE[CODCIE108],GUIA_NACIONAL_2022_1106128105168162197[[#This Row],[CIE-10]]))</f>
        <v>0</v>
      </c>
      <c r="AT21" s="3">
        <f>IF($B$2="(Todas)",COUNTIF(BASE[CODCIE1010],GUIA_NACIONAL_2022_1106128105168162197[[#This Row],[CIE-10]]),COUNTIFS(BASE[Cod.Establecimiento],$B$2,BASE[CODCIE1010],GUIA_NACIONAL_2022_1106128105168162197[[#This Row],[CIE-10]]))</f>
        <v>0</v>
      </c>
      <c r="AU21" s="9">
        <f>SUM(GUIA_NACIONAL_2022_1106128105168162197[[#This Row],[D1]:[D6]])</f>
        <v>0</v>
      </c>
      <c r="AW21" s="4" t="s">
        <v>647</v>
      </c>
      <c r="AX21" s="3">
        <f>IF($B$2="(Todas)",COUNTIF(BASE[CODCIE10],GUIA_NACIONAL_2022_1106128105107110207209[[#This Row],[CIE-10]]),COUNTIFS(BASE[Cod.Establecimiento],$B$2,BASE[CODCIE10],GUIA_NACIONAL_2022_1106128105107110207209[[#This Row],[CIE-10]]))</f>
        <v>0</v>
      </c>
      <c r="AY21" s="3">
        <f>IF($B$2="(Todas)",COUNTIF(BASE[CODCIE102],GUIA_NACIONAL_2022_1106128105107110207209[[#This Row],[CIE-10]]),COUNTIFS(BASE[Cod.Establecimiento],$B$2,BASE[CODCIE102],GUIA_NACIONAL_2022_1106128105107110207209[[#This Row],[CIE-10]]))</f>
        <v>0</v>
      </c>
      <c r="AZ21" s="3">
        <f>IF($B$2="(Todas)",COUNTIF(BASE[CODCIE104],GUIA_NACIONAL_2022_1106128105107110207209[[#This Row],[CIE-10]]),COUNTIFS(BASE[Cod.Establecimiento],$B$2,BASE[CODCIE104],GUIA_NACIONAL_2022_1106128105107110207209[[#This Row],[CIE-10]]))</f>
        <v>0</v>
      </c>
      <c r="BA21" s="3">
        <f>IF($B$2="(Todas)",COUNTIF(BASE[CODCIE106],GUIA_NACIONAL_2022_1106128105107110207209[[#This Row],[CIE-10]]),COUNTIFS(BASE[Cod.Establecimiento],$B$2,BASE[CODCIE106],GUIA_NACIONAL_2022_1106128105107110207209[[#This Row],[CIE-10]]))</f>
        <v>0</v>
      </c>
      <c r="BB21" s="3">
        <f>IF($B$2="(Todas)",COUNTIF(BASE[CODCIE108],GUIA_NACIONAL_2022_1106128105107110207209[[#This Row],[CIE-10]]),COUNTIFS(BASE[Cod.Establecimiento],$B$2,BASE[CODCIE108],GUIA_NACIONAL_2022_1106128105107110207209[[#This Row],[CIE-10]]))</f>
        <v>0</v>
      </c>
      <c r="BC21" s="3">
        <f>IF($B$2="(Todas)",COUNTIF(BASE[CODCIE1010],GUIA_NACIONAL_2022_1106128105107110207209[[#This Row],[CIE-10]]),COUNTIFS(BASE[Cod.Establecimiento],$B$2,BASE[CODCIE1010],GUIA_NACIONAL_2022_1106128105107110207209[[#This Row],[CIE-10]]))</f>
        <v>0</v>
      </c>
      <c r="BD21" s="9">
        <f>SUM(GUIA_NACIONAL_2022_1106128105107110207209[[#This Row],[D1]:[D6]])</f>
        <v>0</v>
      </c>
      <c r="BF21" s="4" t="s">
        <v>656</v>
      </c>
      <c r="BG21" s="3">
        <f>IF($B$2="(Todas)",COUNTIF(BASE[CODCIE10],GUIA_NACIONAL_2022_1106128105107110207214215[[#This Row],[CIE-10]]),COUNTIFS(BASE[Cod.Establecimiento],$B$2,BASE[CODCIE10],GUIA_NACIONAL_2022_1106128105107110207214215[[#This Row],[CIE-10]]))</f>
        <v>0</v>
      </c>
      <c r="BH21" s="3">
        <f>IF($B$2="(Todas)",COUNTIF(BASE[CODCIE102],GUIA_NACIONAL_2022_1106128105107110207214215[[#This Row],[CIE-10]]),COUNTIFS(BASE[Cod.Establecimiento],$B$2,BASE[CODCIE102],GUIA_NACIONAL_2022_1106128105107110207214215[[#This Row],[CIE-10]]))</f>
        <v>0</v>
      </c>
      <c r="BI21" s="3">
        <f>IF($B$2="(Todas)",COUNTIF(BASE[CODCIE104],GUIA_NACIONAL_2022_1106128105107110207214215[[#This Row],[CIE-10]]),COUNTIFS(BASE[Cod.Establecimiento],$B$2,BASE[CODCIE104],GUIA_NACIONAL_2022_1106128105107110207214215[[#This Row],[CIE-10]]))</f>
        <v>0</v>
      </c>
      <c r="BJ21" s="3">
        <f>IF($B$2="(Todas)",COUNTIF(BASE[CODCIE106],GUIA_NACIONAL_2022_1106128105107110207214215[[#This Row],[CIE-10]]),COUNTIFS(BASE[Cod.Establecimiento],$B$2,BASE[CODCIE106],GUIA_NACIONAL_2022_1106128105107110207214215[[#This Row],[CIE-10]]))</f>
        <v>0</v>
      </c>
      <c r="BK21" s="3">
        <f>IF($B$2="(Todas)",COUNTIF(BASE[CODCIE108],GUIA_NACIONAL_2022_1106128105107110207214215[[#This Row],[CIE-10]]),COUNTIFS(BASE[Cod.Establecimiento],$B$2,BASE[CODCIE108],GUIA_NACIONAL_2022_1106128105107110207214215[[#This Row],[CIE-10]]))</f>
        <v>0</v>
      </c>
      <c r="BL21" s="3">
        <f>IF($B$2="(Todas)",COUNTIF(BASE[CODCIE1010],GUIA_NACIONAL_2022_1106128105107110207214215[[#This Row],[CIE-10]]),COUNTIFS(BASE[Cod.Establecimiento],$B$2,BASE[CODCIE1010],GUIA_NACIONAL_2022_1106128105107110207214215[[#This Row],[CIE-10]]))</f>
        <v>0</v>
      </c>
      <c r="BM21" s="9">
        <f>SUM(GUIA_NACIONAL_2022_1106128105107110207214215[[#This Row],[D1]:[D6]])</f>
        <v>0</v>
      </c>
      <c r="BO21" s="4" t="s">
        <v>333</v>
      </c>
      <c r="BP21" s="3">
        <f>IF($B$2="(Todas)",COUNTIF(BASE[CODCIE10],GUIA_NACIONAL_2022_1106128105107110207210231232234[[#This Row],[CIE-10]]),COUNTIFS(BASE[Cod.Establecimiento],$B$2,BASE[CODCIE10],GUIA_NACIONAL_2022_1106128105107110207210231232234[[#This Row],[CIE-10]]))</f>
        <v>0</v>
      </c>
      <c r="BQ21" s="3">
        <f>IF($B$2="(Todas)",COUNTIF(BASE[CODCIE102],GUIA_NACIONAL_2022_1106128105107110207210231232234[[#This Row],[CIE-10]]),COUNTIFS(BASE[Cod.Establecimiento],$B$2,BASE[CODCIE102],GUIA_NACIONAL_2022_1106128105107110207210231232234[[#This Row],[CIE-10]]))</f>
        <v>0</v>
      </c>
      <c r="BR21" s="3">
        <f>IF($B$2="(Todas)",COUNTIF(BASE[CODCIE104],GUIA_NACIONAL_2022_1106128105107110207210231232234[[#This Row],[CIE-10]]),COUNTIFS(BASE[Cod.Establecimiento],$B$2,BASE[CODCIE104],GUIA_NACIONAL_2022_1106128105107110207210231232234[[#This Row],[CIE-10]]))</f>
        <v>0</v>
      </c>
      <c r="BS21" s="3">
        <f>IF($B$2="(Todas)",COUNTIF(BASE[CODCIE106],GUIA_NACIONAL_2022_1106128105107110207210231232234[[#This Row],[CIE-10]]),COUNTIFS(BASE[Cod.Establecimiento],$B$2,BASE[CODCIE106],GUIA_NACIONAL_2022_1106128105107110207210231232234[[#This Row],[CIE-10]]))</f>
        <v>0</v>
      </c>
      <c r="BT21" s="3">
        <f>IF($B$2="(Todas)",COUNTIF(BASE[CODCIE108],GUIA_NACIONAL_2022_1106128105107110207210231232234[[#This Row],[CIE-10]]),COUNTIFS(BASE[Cod.Establecimiento],$B$2,BASE[CODCIE108],GUIA_NACIONAL_2022_1106128105107110207210231232234[[#This Row],[CIE-10]]))</f>
        <v>0</v>
      </c>
      <c r="BU21" s="3">
        <f>IF($B$2="(Todas)",COUNTIF(BASE[CODCIE1010],GUIA_NACIONAL_2022_1106128105107110207210231232234[[#This Row],[CIE-10]]),COUNTIFS(BASE[Cod.Establecimiento],$B$2,BASE[CODCIE1010],GUIA_NACIONAL_2022_1106128105107110207210231232234[[#This Row],[CIE-10]]))</f>
        <v>0</v>
      </c>
      <c r="BV21" s="9">
        <f>SUM(GUIA_NACIONAL_2022_1106128105107110207210231232234[[#This Row],[D1]:[D6]])</f>
        <v>0</v>
      </c>
      <c r="CG21" t="s">
        <v>93</v>
      </c>
      <c r="CH21" s="3" t="s">
        <v>94</v>
      </c>
      <c r="CI21" s="3" t="s">
        <v>95</v>
      </c>
      <c r="CJ21" s="3" t="s">
        <v>96</v>
      </c>
      <c r="CK21" s="3" t="s">
        <v>97</v>
      </c>
      <c r="CL21" s="3" t="s">
        <v>98</v>
      </c>
      <c r="CM21" s="3" t="s">
        <v>99</v>
      </c>
      <c r="CN21" s="8" t="s">
        <v>100</v>
      </c>
      <c r="DH21" s="4" t="s">
        <v>775</v>
      </c>
      <c r="DI21" s="3">
        <f>IF($B$2="(Todas)",COUNTIF(BASE[CODCIE10],GUIA_NACIONAL_2022_1106128105107110207210231257[[#This Row],[CIE-10]]),COUNTIFS(BASE[Cod.Establecimiento],$B$2,BASE[CODCIE10],GUIA_NACIONAL_2022_1106128105107110207210231257[[#This Row],[CIE-10]]))</f>
        <v>0</v>
      </c>
      <c r="DJ21" s="3">
        <f>IF($B$2="(Todas)",COUNTIF(BASE[CODCIE102],GUIA_NACIONAL_2022_1106128105107110207210231257[[#This Row],[CIE-10]]),COUNTIFS(BASE[Cod.Establecimiento],$B$2,BASE[CODCIE102],GUIA_NACIONAL_2022_1106128105107110207210231257[[#This Row],[CIE-10]]))</f>
        <v>0</v>
      </c>
      <c r="DK21" s="3">
        <f>IF($B$2="(Todas)",COUNTIF(BASE[CODCIE104],GUIA_NACIONAL_2022_1106128105107110207210231257[[#This Row],[CIE-10]]),COUNTIFS(BASE[Cod.Establecimiento],$B$2,BASE[CODCIE104],GUIA_NACIONAL_2022_1106128105107110207210231257[[#This Row],[CIE-10]]))</f>
        <v>0</v>
      </c>
      <c r="DL21" s="3">
        <f>IF($B$2="(Todas)",COUNTIF(BASE[CODCIE106],GUIA_NACIONAL_2022_1106128105107110207210231257[[#This Row],[CIE-10]]),COUNTIFS(BASE[Cod.Establecimiento],$B$2,BASE[CODCIE106],GUIA_NACIONAL_2022_1106128105107110207210231257[[#This Row],[CIE-10]]))</f>
        <v>0</v>
      </c>
      <c r="DM21" s="3">
        <f>IF($B$2="(Todas)",COUNTIF(BASE[CODCIE108],GUIA_NACIONAL_2022_1106128105107110207210231257[[#This Row],[CIE-10]]),COUNTIFS(BASE[Cod.Establecimiento],$B$2,BASE[CODCIE108],GUIA_NACIONAL_2022_1106128105107110207210231257[[#This Row],[CIE-10]]))</f>
        <v>0</v>
      </c>
      <c r="DN21" s="3">
        <f>IF($B$2="(Todas)",COUNTIF(BASE[CODCIE1010],GUIA_NACIONAL_2022_1106128105107110207210231257[[#This Row],[CIE-10]]),COUNTIFS(BASE[Cod.Establecimiento],$B$2,BASE[CODCIE1010],GUIA_NACIONAL_2022_1106128105107110207210231257[[#This Row],[CIE-10]]))</f>
        <v>0</v>
      </c>
      <c r="DO21" s="9">
        <f>SUM(GUIA_NACIONAL_2022_1106128105107110207210231257[[#This Row],[D1]:[D6]])</f>
        <v>0</v>
      </c>
    </row>
    <row r="22" spans="1:119" ht="15" customHeight="1">
      <c r="A22" s="142"/>
      <c r="B22" s="142"/>
      <c r="D22" s="32" t="s">
        <v>319</v>
      </c>
      <c r="E22" s="3">
        <f>IF($B$2="(Todas)",COUNTIF(BASE[CODCIE10],GUIA_NACIONAL_2022_1106108[[#This Row],[CIE-10]]),COUNTIFS(BASE[Cod.Establecimiento],$B$2,BASE[CODCIE10],GUIA_NACIONAL_2022_1106108[[#This Row],[CIE-10]]))</f>
        <v>0</v>
      </c>
      <c r="F22" s="3">
        <f>IF($B$2="(Todas)",COUNTIF(BASE[CODCIE102],GUIA_NACIONAL_2022_1106108[[#This Row],[CIE-10]]),COUNTIFS(BASE[Cod.Establecimiento],$B$2,BASE[CODCIE102],GUIA_NACIONAL_2022_1106108[[#This Row],[CIE-10]]))</f>
        <v>0</v>
      </c>
      <c r="G22" s="3">
        <f>IF($B$2="(Todas)",COUNTIF(BASE[CODCIE104],GUIA_NACIONAL_2022_1106108[[#This Row],[CIE-10]]),COUNTIFS(BASE[Cod.Establecimiento],$B$2,BASE[CODCIE104],GUIA_NACIONAL_2022_1106108[[#This Row],[CIE-10]]))</f>
        <v>0</v>
      </c>
      <c r="H22" s="3">
        <f>IF($B$2="(Todas)",COUNTIF(BASE[CODCIE106],GUIA_NACIONAL_2022_1106108[[#This Row],[CIE-10]]),COUNTIFS(BASE[Cod.Establecimiento],$B$2,BASE[CODCIE106],GUIA_NACIONAL_2022_1106108[[#This Row],[CIE-10]]))</f>
        <v>0</v>
      </c>
      <c r="I22" s="3">
        <f>IF($B$2="(Todas)",COUNTIF(BASE[CODCIE108],GUIA_NACIONAL_2022_1106108[[#This Row],[CIE-10]]),COUNTIFS(BASE[Cod.Establecimiento],$B$2,BASE[CODCIE108],GUIA_NACIONAL_2022_1106108[[#This Row],[CIE-10]]))</f>
        <v>0</v>
      </c>
      <c r="J22" s="3">
        <f>IF($B$2="(Todas)",COUNTIF(BASE[CODCIE1010],GUIA_NACIONAL_2022_1106108[[#This Row],[CIE-10]]),COUNTIFS(BASE[Cod.Establecimiento],$B$2,BASE[CODCIE1010],GUIA_NACIONAL_2022_1106108[[#This Row],[CIE-10]]))</f>
        <v>0</v>
      </c>
      <c r="K22" s="9">
        <f>SUM(GUIA_NACIONAL_2022_1106108[[#This Row],[D1]:[D6]])</f>
        <v>0</v>
      </c>
      <c r="M22" s="4" t="s">
        <v>520</v>
      </c>
      <c r="N22" s="3">
        <f>IF($B$2="(Todas)",COUNTIF(BASE[CODCIE10],GUIA_NACIONAL_2022_1106127136137138139[[#This Row],[CIE-10]]),COUNTIFS(BASE[Cod.Establecimiento],$B$2,BASE[CODCIE10],GUIA_NACIONAL_2022_1106127136137138139[[#This Row],[CIE-10]]))</f>
        <v>0</v>
      </c>
      <c r="O22" s="3">
        <f>IF($B$2="(Todas)",COUNTIF(BASE[CODCIE102],GUIA_NACIONAL_2022_1106127136137138139[[#This Row],[CIE-10]]),COUNTIFS(BASE[Cod.Establecimiento],$B$2,BASE[CODCIE102],GUIA_NACIONAL_2022_1106127136137138139[[#This Row],[CIE-10]]))</f>
        <v>0</v>
      </c>
      <c r="P22" s="3">
        <f>IF($B$2="(Todas)",COUNTIF(BASE[CODCIE104],GUIA_NACIONAL_2022_1106127136137138139[[#This Row],[CIE-10]]),COUNTIFS(BASE[Cod.Establecimiento],$B$2,BASE[CODCIE104],GUIA_NACIONAL_2022_1106127136137138139[[#This Row],[CIE-10]]))</f>
        <v>0</v>
      </c>
      <c r="Q22" s="3">
        <f>IF($B$2="(Todas)",COUNTIF(BASE[CODCIE106],GUIA_NACIONAL_2022_1106127136137138139[[#This Row],[CIE-10]]),COUNTIFS(BASE[Cod.Establecimiento],$B$2,BASE[CODCIE106],GUIA_NACIONAL_2022_1106127136137138139[[#This Row],[CIE-10]]))</f>
        <v>0</v>
      </c>
      <c r="R22" s="3">
        <f>IF($B$2="(Todas)",COUNTIF(BASE[CODCIE108],GUIA_NACIONAL_2022_1106127136137138139[[#This Row],[CIE-10]]),COUNTIFS(BASE[Cod.Establecimiento],$B$2,BASE[CODCIE108],GUIA_NACIONAL_2022_1106127136137138139[[#This Row],[CIE-10]]))</f>
        <v>0</v>
      </c>
      <c r="S22" s="3">
        <f>IF($B$2="(Todas)",COUNTIF(BASE[CODCIE1010],GUIA_NACIONAL_2022_1106127136137138139[[#This Row],[CIE-10]]),COUNTIFS(BASE[Cod.Establecimiento],$B$2,BASE[CODCIE1010],GUIA_NACIONAL_2022_1106127136137138139[[#This Row],[CIE-10]]))</f>
        <v>0</v>
      </c>
      <c r="T22" s="9">
        <f>SUM(GUIA_NACIONAL_2022_1106127136137138139[[#This Row],[D1]:[D6]])</f>
        <v>0</v>
      </c>
      <c r="V22" s="32" t="s">
        <v>307</v>
      </c>
      <c r="W22" s="3">
        <f>IF($B$2="(Todas)",COUNTIF(BASE[CODCIE10],GUIA_NACIONAL_2022_1106128143146147[[#This Row],[CIE-10]]),COUNTIFS(BASE[Cod.Establecimiento],$B$2,BASE[CODCIE10],GUIA_NACIONAL_2022_1106128143146147[[#This Row],[CIE-10]]))</f>
        <v>0</v>
      </c>
      <c r="X22" s="3">
        <f>IF($B$2="(Todas)",COUNTIF(BASE[CODCIE102],GUIA_NACIONAL_2022_1106128143146147[[#This Row],[CIE-10]]),COUNTIFS(BASE[Cod.Establecimiento],$B$2,BASE[CODCIE102],GUIA_NACIONAL_2022_1106128143146147[[#This Row],[CIE-10]]))</f>
        <v>0</v>
      </c>
      <c r="Y22" s="3">
        <f>IF($B$2="(Todas)",COUNTIF(BASE[CODCIE104],GUIA_NACIONAL_2022_1106128143146147[[#This Row],[CIE-10]]),COUNTIFS(BASE[Cod.Establecimiento],$B$2,BASE[CODCIE104],GUIA_NACIONAL_2022_1106128143146147[[#This Row],[CIE-10]]))</f>
        <v>0</v>
      </c>
      <c r="Z22" s="3">
        <f>IF($B$2="(Todas)",COUNTIF(BASE[CODCIE106],GUIA_NACIONAL_2022_1106128143146147[[#This Row],[CIE-10]]),COUNTIFS(BASE[Cod.Establecimiento],$B$2,BASE[CODCIE106],GUIA_NACIONAL_2022_1106128143146147[[#This Row],[CIE-10]]))</f>
        <v>0</v>
      </c>
      <c r="AA22" s="3">
        <f>IF($B$2="(Todas)",COUNTIF(BASE[CODCIE108],GUIA_NACIONAL_2022_1106128143146147[[#This Row],[CIE-10]]),COUNTIFS(BASE[Cod.Establecimiento],$B$2,BASE[CODCIE108],GUIA_NACIONAL_2022_1106128143146147[[#This Row],[CIE-10]]))</f>
        <v>0</v>
      </c>
      <c r="AB22" s="3">
        <f>IF($B$2="(Todas)",COUNTIF(BASE[CODCIE1010],GUIA_NACIONAL_2022_1106128143146147[[#This Row],[CIE-10]]),COUNTIFS(BASE[Cod.Establecimiento],$B$2,BASE[CODCIE1010],GUIA_NACIONAL_2022_1106128143146147[[#This Row],[CIE-10]]))</f>
        <v>0</v>
      </c>
      <c r="AC22" s="9">
        <f>SUM(GUIA_NACIONAL_2022_1106128143146147[[#This Row],[D1]:[D6]])</f>
        <v>0</v>
      </c>
      <c r="AE22" t="s">
        <v>93</v>
      </c>
      <c r="AF22" s="3" t="s">
        <v>94</v>
      </c>
      <c r="AG22" s="3" t="s">
        <v>95</v>
      </c>
      <c r="AH22" s="3" t="s">
        <v>96</v>
      </c>
      <c r="AI22" s="3" t="s">
        <v>97</v>
      </c>
      <c r="AJ22" s="3" t="s">
        <v>98</v>
      </c>
      <c r="AK22" s="3" t="s">
        <v>99</v>
      </c>
      <c r="AL22" s="8" t="s">
        <v>100</v>
      </c>
      <c r="AN22" s="32" t="s">
        <v>558</v>
      </c>
      <c r="AO22" s="3">
        <f>IF($B$2="(Todas)",COUNTIF(BASE[CODCIE10],GUIA_NACIONAL_2022_1106128105168162197[[#This Row],[CIE-10]]),COUNTIFS(BASE[Cod.Establecimiento],$B$2,BASE[CODCIE10],GUIA_NACIONAL_2022_1106128105168162197[[#This Row],[CIE-10]]))</f>
        <v>0</v>
      </c>
      <c r="AP22" s="3">
        <f>IF($B$2="(Todas)",COUNTIF(BASE[CODCIE102],GUIA_NACIONAL_2022_1106128105168162197[[#This Row],[CIE-10]]),COUNTIFS(BASE[Cod.Establecimiento],$B$2,BASE[CODCIE102],GUIA_NACIONAL_2022_1106128105168162197[[#This Row],[CIE-10]]))</f>
        <v>0</v>
      </c>
      <c r="AQ22" s="3">
        <f>IF($B$2="(Todas)",COUNTIF(BASE[CODCIE104],GUIA_NACIONAL_2022_1106128105168162197[[#This Row],[CIE-10]]),COUNTIFS(BASE[Cod.Establecimiento],$B$2,BASE[CODCIE104],GUIA_NACIONAL_2022_1106128105168162197[[#This Row],[CIE-10]]))</f>
        <v>0</v>
      </c>
      <c r="AR22" s="3">
        <f>IF($B$2="(Todas)",COUNTIF(BASE[CODCIE106],GUIA_NACIONAL_2022_1106128105168162197[[#This Row],[CIE-10]]),COUNTIFS(BASE[Cod.Establecimiento],$B$2,BASE[CODCIE106],GUIA_NACIONAL_2022_1106128105168162197[[#This Row],[CIE-10]]))</f>
        <v>0</v>
      </c>
      <c r="AS22" s="3">
        <f>IF($B$2="(Todas)",COUNTIF(BASE[CODCIE108],GUIA_NACIONAL_2022_1106128105168162197[[#This Row],[CIE-10]]),COUNTIFS(BASE[Cod.Establecimiento],$B$2,BASE[CODCIE108],GUIA_NACIONAL_2022_1106128105168162197[[#This Row],[CIE-10]]))</f>
        <v>0</v>
      </c>
      <c r="AT22" s="3">
        <f>IF($B$2="(Todas)",COUNTIF(BASE[CODCIE1010],GUIA_NACIONAL_2022_1106128105168162197[[#This Row],[CIE-10]]),COUNTIFS(BASE[Cod.Establecimiento],$B$2,BASE[CODCIE1010],GUIA_NACIONAL_2022_1106128105168162197[[#This Row],[CIE-10]]))</f>
        <v>0</v>
      </c>
      <c r="AU22" s="9">
        <f>SUM(GUIA_NACIONAL_2022_1106128105168162197[[#This Row],[D1]:[D6]])</f>
        <v>0</v>
      </c>
      <c r="BF22" s="151" t="s">
        <v>657</v>
      </c>
      <c r="BG22" s="151"/>
      <c r="BH22" s="151"/>
      <c r="BI22" s="151"/>
      <c r="BJ22" s="151"/>
      <c r="BK22" s="151"/>
      <c r="BL22" s="151"/>
      <c r="BM22" s="151"/>
      <c r="BO22" s="4" t="s">
        <v>325</v>
      </c>
      <c r="BP22" s="3">
        <f>IF($B$2="(Todas)",COUNTIF(BASE[CODCIE10],GUIA_NACIONAL_2022_1106128105107110207210231232234[[#This Row],[CIE-10]]),COUNTIFS(BASE[Cod.Establecimiento],$B$2,BASE[CODCIE10],GUIA_NACIONAL_2022_1106128105107110207210231232234[[#This Row],[CIE-10]]))</f>
        <v>0</v>
      </c>
      <c r="BQ22" s="3">
        <f>IF($B$2="(Todas)",COUNTIF(BASE[CODCIE102],GUIA_NACIONAL_2022_1106128105107110207210231232234[[#This Row],[CIE-10]]),COUNTIFS(BASE[Cod.Establecimiento],$B$2,BASE[CODCIE102],GUIA_NACIONAL_2022_1106128105107110207210231232234[[#This Row],[CIE-10]]))</f>
        <v>0</v>
      </c>
      <c r="BR22" s="3">
        <f>IF($B$2="(Todas)",COUNTIF(BASE[CODCIE104],GUIA_NACIONAL_2022_1106128105107110207210231232234[[#This Row],[CIE-10]]),COUNTIFS(BASE[Cod.Establecimiento],$B$2,BASE[CODCIE104],GUIA_NACIONAL_2022_1106128105107110207210231232234[[#This Row],[CIE-10]]))</f>
        <v>0</v>
      </c>
      <c r="BS22" s="3">
        <f>IF($B$2="(Todas)",COUNTIF(BASE[CODCIE106],GUIA_NACIONAL_2022_1106128105107110207210231232234[[#This Row],[CIE-10]]),COUNTIFS(BASE[Cod.Establecimiento],$B$2,BASE[CODCIE106],GUIA_NACIONAL_2022_1106128105107110207210231232234[[#This Row],[CIE-10]]))</f>
        <v>0</v>
      </c>
      <c r="BT22" s="3">
        <f>IF($B$2="(Todas)",COUNTIF(BASE[CODCIE108],GUIA_NACIONAL_2022_1106128105107110207210231232234[[#This Row],[CIE-10]]),COUNTIFS(BASE[Cod.Establecimiento],$B$2,BASE[CODCIE108],GUIA_NACIONAL_2022_1106128105107110207210231232234[[#This Row],[CIE-10]]))</f>
        <v>0</v>
      </c>
      <c r="BU22" s="3">
        <f>IF($B$2="(Todas)",COUNTIF(BASE[CODCIE1010],GUIA_NACIONAL_2022_1106128105107110207210231232234[[#This Row],[CIE-10]]),COUNTIFS(BASE[Cod.Establecimiento],$B$2,BASE[CODCIE1010],GUIA_NACIONAL_2022_1106128105107110207210231232234[[#This Row],[CIE-10]]))</f>
        <v>0</v>
      </c>
      <c r="BV22" s="9">
        <f>SUM(GUIA_NACIONAL_2022_1106128105107110207210231232234[[#This Row],[D1]:[D6]])</f>
        <v>0</v>
      </c>
      <c r="CG22" s="4" t="s">
        <v>344</v>
      </c>
      <c r="CH22" s="3">
        <f>IF($B$2="(Todas)",COUNTIF(BASE[CODCIE10],GUIA_NACIONAL_2022_1106128105107111115129130250[[#This Row],[CIE-10]]),COUNTIFS(BASE[Cod.Establecimiento],$B$2,BASE[CODCIE10],GUIA_NACIONAL_2022_1106128105107111115129130250[[#This Row],[CIE-10]]))</f>
        <v>0</v>
      </c>
      <c r="CI22" s="3">
        <f>IF($B$2="(Todas)",COUNTIF(BASE[CODCIE102],GUIA_NACIONAL_2022_1106128105107111115129130250[[#This Row],[CIE-10]]),COUNTIFS(BASE[Cod.Establecimiento],$B$2,BASE[CODCIE102],GUIA_NACIONAL_2022_1106128105107111115129130250[[#This Row],[CIE-10]]))</f>
        <v>0</v>
      </c>
      <c r="CJ22" s="3">
        <f>IF($B$2="(Todas)",COUNTIF(BASE[CODCIE104],GUIA_NACIONAL_2022_1106128105107111115129130250[[#This Row],[CIE-10]]),COUNTIFS(BASE[Cod.Establecimiento],$B$2,BASE[CODCIE104],GUIA_NACIONAL_2022_1106128105107111115129130250[[#This Row],[CIE-10]]))</f>
        <v>0</v>
      </c>
      <c r="CK22" s="3">
        <f>IF($B$2="(Todas)",COUNTIF(BASE[CODCIE106],GUIA_NACIONAL_2022_1106128105107111115129130250[[#This Row],[CIE-10]]),COUNTIFS(BASE[Cod.Establecimiento],$B$2,BASE[CODCIE106],GUIA_NACIONAL_2022_1106128105107111115129130250[[#This Row],[CIE-10]]))</f>
        <v>0</v>
      </c>
      <c r="CL22" s="3">
        <f>IF($B$2="(Todas)",COUNTIF(BASE[CODCIE108],GUIA_NACIONAL_2022_1106128105107111115129130250[[#This Row],[CIE-10]]),COUNTIFS(BASE[Cod.Establecimiento],$B$2,BASE[CODCIE108],GUIA_NACIONAL_2022_1106128105107111115129130250[[#This Row],[CIE-10]]))</f>
        <v>0</v>
      </c>
      <c r="CM22" s="3">
        <f>IF($B$2="(Todas)",COUNTIF(BASE[CODCIE1010],GUIA_NACIONAL_2022_1106128105107111115129130250[[#This Row],[CIE-10]]),COUNTIFS(BASE[Cod.Establecimiento],$B$2,BASE[CODCIE1010],GUIA_NACIONAL_2022_1106128105107111115129130250[[#This Row],[CIE-10]]))</f>
        <v>0</v>
      </c>
      <c r="CN22" s="9">
        <f>SUM(GUIA_NACIONAL_2022_1106128105107111115129130250[[#This Row],[D1]:[D6]])</f>
        <v>0</v>
      </c>
      <c r="DH22" s="146" t="s">
        <v>776</v>
      </c>
      <c r="DI22" s="147"/>
      <c r="DJ22" s="147"/>
      <c r="DK22" s="147"/>
      <c r="DL22" s="147"/>
      <c r="DM22" s="147"/>
      <c r="DN22" s="147"/>
      <c r="DO22" s="148"/>
    </row>
    <row r="23" spans="1:119" ht="15" customHeight="1">
      <c r="A23" s="142"/>
      <c r="B23" s="142"/>
      <c r="D23" s="32" t="s">
        <v>435</v>
      </c>
      <c r="E23" s="3">
        <f>IF($B$2="(Todas)",COUNTIF(BASE[CODCIE10],GUIA_NACIONAL_2022_1106108[[#This Row],[CIE-10]]),COUNTIFS(BASE[Cod.Establecimiento],$B$2,BASE[CODCIE10],GUIA_NACIONAL_2022_1106108[[#This Row],[CIE-10]]))</f>
        <v>0</v>
      </c>
      <c r="F23" s="3">
        <f>IF($B$2="(Todas)",COUNTIF(BASE[CODCIE102],GUIA_NACIONAL_2022_1106108[[#This Row],[CIE-10]]),COUNTIFS(BASE[Cod.Establecimiento],$B$2,BASE[CODCIE102],GUIA_NACIONAL_2022_1106108[[#This Row],[CIE-10]]))</f>
        <v>0</v>
      </c>
      <c r="G23" s="3">
        <f>IF($B$2="(Todas)",COUNTIF(BASE[CODCIE104],GUIA_NACIONAL_2022_1106108[[#This Row],[CIE-10]]),COUNTIFS(BASE[Cod.Establecimiento],$B$2,BASE[CODCIE104],GUIA_NACIONAL_2022_1106108[[#This Row],[CIE-10]]))</f>
        <v>0</v>
      </c>
      <c r="H23" s="3">
        <f>IF($B$2="(Todas)",COUNTIF(BASE[CODCIE106],GUIA_NACIONAL_2022_1106108[[#This Row],[CIE-10]]),COUNTIFS(BASE[Cod.Establecimiento],$B$2,BASE[CODCIE106],GUIA_NACIONAL_2022_1106108[[#This Row],[CIE-10]]))</f>
        <v>0</v>
      </c>
      <c r="I23" s="3">
        <f>IF($B$2="(Todas)",COUNTIF(BASE[CODCIE108],GUIA_NACIONAL_2022_1106108[[#This Row],[CIE-10]]),COUNTIFS(BASE[Cod.Establecimiento],$B$2,BASE[CODCIE108],GUIA_NACIONAL_2022_1106108[[#This Row],[CIE-10]]))</f>
        <v>0</v>
      </c>
      <c r="J23" s="3">
        <f>IF($B$2="(Todas)",COUNTIF(BASE[CODCIE1010],GUIA_NACIONAL_2022_1106108[[#This Row],[CIE-10]]),COUNTIFS(BASE[Cod.Establecimiento],$B$2,BASE[CODCIE1010],GUIA_NACIONAL_2022_1106108[[#This Row],[CIE-10]]))</f>
        <v>0</v>
      </c>
      <c r="K23" s="9">
        <f>SUM(GUIA_NACIONAL_2022_1106108[[#This Row],[D1]:[D6]])</f>
        <v>0</v>
      </c>
      <c r="M23" s="149" t="s">
        <v>523</v>
      </c>
      <c r="N23" s="150"/>
      <c r="O23" s="150"/>
      <c r="P23" s="150"/>
      <c r="Q23" s="150"/>
      <c r="R23" s="150"/>
      <c r="S23" s="150"/>
      <c r="T23" s="150"/>
      <c r="V23" s="149" t="s">
        <v>535</v>
      </c>
      <c r="W23" s="150"/>
      <c r="X23" s="150"/>
      <c r="Y23" s="150"/>
      <c r="Z23" s="150"/>
      <c r="AA23" s="150"/>
      <c r="AB23" s="150"/>
      <c r="AC23" s="150"/>
      <c r="AE23" s="4" t="s">
        <v>567</v>
      </c>
      <c r="AF23" s="3">
        <f>IF($B$2="(Todas)",COUNTIF(BASE[CODCIE10],GUIA_NACIONAL_2022_1106128105168169170171[[#This Row],[CIE-10]]),COUNTIFS(BASE[Cod.Establecimiento],$B$2,BASE[CODCIE10],GUIA_NACIONAL_2022_1106128105168169170171[[#This Row],[CIE-10]]))</f>
        <v>0</v>
      </c>
      <c r="AG23" s="3">
        <f>IF($B$2="(Todas)",COUNTIF(BASE[CODCIE102],GUIA_NACIONAL_2022_1106128105168169170171[[#This Row],[CIE-10]]),COUNTIFS(BASE[Cod.Establecimiento],$B$2,BASE[CODCIE102],GUIA_NACIONAL_2022_1106128105168169170171[[#This Row],[CIE-10]]))</f>
        <v>0</v>
      </c>
      <c r="AH23" s="3">
        <f>IF($B$2="(Todas)",COUNTIF(BASE[CODCIE104],GUIA_NACIONAL_2022_1106128105168169170171[[#This Row],[CIE-10]]),COUNTIFS(BASE[Cod.Establecimiento],$B$2,BASE[CODCIE104],GUIA_NACIONAL_2022_1106128105168169170171[[#This Row],[CIE-10]]))</f>
        <v>0</v>
      </c>
      <c r="AI23" s="3">
        <f>IF($B$2="(Todas)",COUNTIF(BASE[CODCIE106],GUIA_NACIONAL_2022_1106128105168169170171[[#This Row],[CIE-10]]),COUNTIFS(BASE[Cod.Establecimiento],$B$2,BASE[CODCIE106],GUIA_NACIONAL_2022_1106128105168169170171[[#This Row],[CIE-10]]))</f>
        <v>0</v>
      </c>
      <c r="AJ23" s="3">
        <f>IF($B$2="(Todas)",COUNTIF(BASE[CODCIE108],GUIA_NACIONAL_2022_1106128105168169170171[[#This Row],[CIE-10]]),COUNTIFS(BASE[Cod.Establecimiento],$B$2,BASE[CODCIE108],GUIA_NACIONAL_2022_1106128105168169170171[[#This Row],[CIE-10]]))</f>
        <v>0</v>
      </c>
      <c r="AK23" s="3">
        <f>IF($B$2="(Todas)",COUNTIF(BASE[CODCIE1010],GUIA_NACIONAL_2022_1106128105168169170171[[#This Row],[CIE-10]]),COUNTIFS(BASE[Cod.Establecimiento],$B$2,BASE[CODCIE1010],GUIA_NACIONAL_2022_1106128105168169170171[[#This Row],[CIE-10]]))</f>
        <v>0</v>
      </c>
      <c r="AL23" s="9">
        <f>SUM(GUIA_NACIONAL_2022_1106128105168169170171[[#This Row],[D1]:[D6]])</f>
        <v>0</v>
      </c>
      <c r="AN23" s="150" t="s">
        <v>625</v>
      </c>
      <c r="AO23" s="150"/>
      <c r="AP23" s="150"/>
      <c r="AQ23" s="150"/>
      <c r="AR23" s="150"/>
      <c r="AS23" s="150"/>
      <c r="AT23" s="150"/>
      <c r="AU23" s="150"/>
      <c r="BF23" s="150" t="s">
        <v>660</v>
      </c>
      <c r="BG23" s="150"/>
      <c r="BH23" s="150"/>
      <c r="BI23" s="150"/>
      <c r="BJ23" s="150"/>
      <c r="BK23" s="150"/>
      <c r="BL23" s="150"/>
      <c r="BM23" s="150"/>
      <c r="BO23" s="4" t="s">
        <v>326</v>
      </c>
      <c r="BP23" s="3">
        <f>IF($B$2="(Todas)",COUNTIF(BASE[CODCIE10],GUIA_NACIONAL_2022_1106128105107110207210231232234[[#This Row],[CIE-10]]),COUNTIFS(BASE[Cod.Establecimiento],$B$2,BASE[CODCIE10],GUIA_NACIONAL_2022_1106128105107110207210231232234[[#This Row],[CIE-10]]))</f>
        <v>0</v>
      </c>
      <c r="BQ23" s="3">
        <f>IF($B$2="(Todas)",COUNTIF(BASE[CODCIE102],GUIA_NACIONAL_2022_1106128105107110207210231232234[[#This Row],[CIE-10]]),COUNTIFS(BASE[Cod.Establecimiento],$B$2,BASE[CODCIE102],GUIA_NACIONAL_2022_1106128105107110207210231232234[[#This Row],[CIE-10]]))</f>
        <v>0</v>
      </c>
      <c r="BR23" s="3">
        <f>IF($B$2="(Todas)",COUNTIF(BASE[CODCIE104],GUIA_NACIONAL_2022_1106128105107110207210231232234[[#This Row],[CIE-10]]),COUNTIFS(BASE[Cod.Establecimiento],$B$2,BASE[CODCIE104],GUIA_NACIONAL_2022_1106128105107110207210231232234[[#This Row],[CIE-10]]))</f>
        <v>0</v>
      </c>
      <c r="BS23" s="3">
        <f>IF($B$2="(Todas)",COUNTIF(BASE[CODCIE106],GUIA_NACIONAL_2022_1106128105107110207210231232234[[#This Row],[CIE-10]]),COUNTIFS(BASE[Cod.Establecimiento],$B$2,BASE[CODCIE106],GUIA_NACIONAL_2022_1106128105107110207210231232234[[#This Row],[CIE-10]]))</f>
        <v>0</v>
      </c>
      <c r="BT23" s="3">
        <f>IF($B$2="(Todas)",COUNTIF(BASE[CODCIE108],GUIA_NACIONAL_2022_1106128105107110207210231232234[[#This Row],[CIE-10]]),COUNTIFS(BASE[Cod.Establecimiento],$B$2,BASE[CODCIE108],GUIA_NACIONAL_2022_1106128105107110207210231232234[[#This Row],[CIE-10]]))</f>
        <v>0</v>
      </c>
      <c r="BU23" s="3">
        <f>IF($B$2="(Todas)",COUNTIF(BASE[CODCIE1010],GUIA_NACIONAL_2022_1106128105107110207210231232234[[#This Row],[CIE-10]]),COUNTIFS(BASE[Cod.Establecimiento],$B$2,BASE[CODCIE1010],GUIA_NACIONAL_2022_1106128105107110207210231232234[[#This Row],[CIE-10]]))</f>
        <v>0</v>
      </c>
      <c r="BV23" s="9">
        <f>SUM(GUIA_NACIONAL_2022_1106128105107110207210231232234[[#This Row],[D1]:[D6]])</f>
        <v>0</v>
      </c>
      <c r="CG23" s="4" t="s">
        <v>733</v>
      </c>
      <c r="CH23" s="3">
        <f>IF($B$2="(Todas)",COUNTIF(BASE[CODCIE10],GUIA_NACIONAL_2022_1106128105107111115129130250[[#This Row],[CIE-10]]),COUNTIFS(BASE[Cod.Establecimiento],$B$2,BASE[CODCIE10],GUIA_NACIONAL_2022_1106128105107111115129130250[[#This Row],[CIE-10]]))</f>
        <v>0</v>
      </c>
      <c r="CI23" s="3">
        <f>IF($B$2="(Todas)",COUNTIF(BASE[CODCIE102],GUIA_NACIONAL_2022_1106128105107111115129130250[[#This Row],[CIE-10]]),COUNTIFS(BASE[Cod.Establecimiento],$B$2,BASE[CODCIE102],GUIA_NACIONAL_2022_1106128105107111115129130250[[#This Row],[CIE-10]]))</f>
        <v>0</v>
      </c>
      <c r="CJ23" s="3">
        <f>IF($B$2="(Todas)",COUNTIF(BASE[CODCIE104],GUIA_NACIONAL_2022_1106128105107111115129130250[[#This Row],[CIE-10]]),COUNTIFS(BASE[Cod.Establecimiento],$B$2,BASE[CODCIE104],GUIA_NACIONAL_2022_1106128105107111115129130250[[#This Row],[CIE-10]]))</f>
        <v>0</v>
      </c>
      <c r="CK23" s="3">
        <f>IF($B$2="(Todas)",COUNTIF(BASE[CODCIE106],GUIA_NACIONAL_2022_1106128105107111115129130250[[#This Row],[CIE-10]]),COUNTIFS(BASE[Cod.Establecimiento],$B$2,BASE[CODCIE106],GUIA_NACIONAL_2022_1106128105107111115129130250[[#This Row],[CIE-10]]))</f>
        <v>0</v>
      </c>
      <c r="CL23" s="3">
        <f>IF($B$2="(Todas)",COUNTIF(BASE[CODCIE108],GUIA_NACIONAL_2022_1106128105107111115129130250[[#This Row],[CIE-10]]),COUNTIFS(BASE[Cod.Establecimiento],$B$2,BASE[CODCIE108],GUIA_NACIONAL_2022_1106128105107111115129130250[[#This Row],[CIE-10]]))</f>
        <v>0</v>
      </c>
      <c r="CM23" s="3">
        <f>IF($B$2="(Todas)",COUNTIF(BASE[CODCIE1010],GUIA_NACIONAL_2022_1106128105107111115129130250[[#This Row],[CIE-10]]),COUNTIFS(BASE[Cod.Establecimiento],$B$2,BASE[CODCIE1010],GUIA_NACIONAL_2022_1106128105107111115129130250[[#This Row],[CIE-10]]))</f>
        <v>0</v>
      </c>
      <c r="CN23" s="9">
        <f>SUM(GUIA_NACIONAL_2022_1106128105107111115129130250[[#This Row],[D1]:[D6]])</f>
        <v>0</v>
      </c>
      <c r="DH23" t="s">
        <v>93</v>
      </c>
      <c r="DI23" s="3" t="s">
        <v>94</v>
      </c>
      <c r="DJ23" s="3" t="s">
        <v>95</v>
      </c>
      <c r="DK23" s="3" t="s">
        <v>96</v>
      </c>
      <c r="DL23" s="3" t="s">
        <v>97</v>
      </c>
      <c r="DM23" s="3" t="s">
        <v>98</v>
      </c>
      <c r="DN23" s="3" t="s">
        <v>99</v>
      </c>
      <c r="DO23" s="8" t="s">
        <v>100</v>
      </c>
    </row>
    <row r="24" spans="1:119" ht="15" customHeight="1">
      <c r="A24" s="142"/>
      <c r="B24" s="142"/>
      <c r="D24" s="32" t="s">
        <v>310</v>
      </c>
      <c r="E24" s="3">
        <f>IF($B$2="(Todas)",COUNTIF(BASE[CODCIE10],GUIA_NACIONAL_2022_1106108[[#This Row],[CIE-10]]),COUNTIFS(BASE[Cod.Establecimiento],$B$2,BASE[CODCIE10],GUIA_NACIONAL_2022_1106108[[#This Row],[CIE-10]]))</f>
        <v>0</v>
      </c>
      <c r="F24" s="3">
        <f>IF($B$2="(Todas)",COUNTIF(BASE[CODCIE102],GUIA_NACIONAL_2022_1106108[[#This Row],[CIE-10]]),COUNTIFS(BASE[Cod.Establecimiento],$B$2,BASE[CODCIE102],GUIA_NACIONAL_2022_1106108[[#This Row],[CIE-10]]))</f>
        <v>0</v>
      </c>
      <c r="G24" s="3">
        <f>IF($B$2="(Todas)",COUNTIF(BASE[CODCIE104],GUIA_NACIONAL_2022_1106108[[#This Row],[CIE-10]]),COUNTIFS(BASE[Cod.Establecimiento],$B$2,BASE[CODCIE104],GUIA_NACIONAL_2022_1106108[[#This Row],[CIE-10]]))</f>
        <v>0</v>
      </c>
      <c r="H24" s="3">
        <f>IF($B$2="(Todas)",COUNTIF(BASE[CODCIE106],GUIA_NACIONAL_2022_1106108[[#This Row],[CIE-10]]),COUNTIFS(BASE[Cod.Establecimiento],$B$2,BASE[CODCIE106],GUIA_NACIONAL_2022_1106108[[#This Row],[CIE-10]]))</f>
        <v>0</v>
      </c>
      <c r="I24" s="3">
        <f>IF($B$2="(Todas)",COUNTIF(BASE[CODCIE108],GUIA_NACIONAL_2022_1106108[[#This Row],[CIE-10]]),COUNTIFS(BASE[Cod.Establecimiento],$B$2,BASE[CODCIE108],GUIA_NACIONAL_2022_1106108[[#This Row],[CIE-10]]))</f>
        <v>0</v>
      </c>
      <c r="J24" s="3">
        <f>IF($B$2="(Todas)",COUNTIF(BASE[CODCIE1010],GUIA_NACIONAL_2022_1106108[[#This Row],[CIE-10]]),COUNTIFS(BASE[Cod.Establecimiento],$B$2,BASE[CODCIE1010],GUIA_NACIONAL_2022_1106108[[#This Row],[CIE-10]]))</f>
        <v>0</v>
      </c>
      <c r="K24" s="9">
        <f>SUM(GUIA_NACIONAL_2022_1106108[[#This Row],[D1]:[D6]])</f>
        <v>0</v>
      </c>
      <c r="M24" t="s">
        <v>93</v>
      </c>
      <c r="N24" s="3" t="s">
        <v>94</v>
      </c>
      <c r="O24" s="3" t="s">
        <v>95</v>
      </c>
      <c r="P24" s="3" t="s">
        <v>96</v>
      </c>
      <c r="Q24" s="3" t="s">
        <v>97</v>
      </c>
      <c r="R24" s="3" t="s">
        <v>98</v>
      </c>
      <c r="S24" s="3" t="s">
        <v>99</v>
      </c>
      <c r="T24" s="8" t="s">
        <v>100</v>
      </c>
      <c r="V24" t="s">
        <v>93</v>
      </c>
      <c r="W24" s="3" t="s">
        <v>94</v>
      </c>
      <c r="X24" s="3" t="s">
        <v>95</v>
      </c>
      <c r="Y24" s="3" t="s">
        <v>96</v>
      </c>
      <c r="Z24" s="3" t="s">
        <v>97</v>
      </c>
      <c r="AA24" s="3" t="s">
        <v>98</v>
      </c>
      <c r="AB24" s="3" t="s">
        <v>99</v>
      </c>
      <c r="AC24" s="8" t="s">
        <v>100</v>
      </c>
      <c r="AE24" s="150" t="s">
        <v>569</v>
      </c>
      <c r="AF24" s="150"/>
      <c r="AG24" s="150"/>
      <c r="AH24" s="150"/>
      <c r="AI24" s="150"/>
      <c r="AJ24" s="150"/>
      <c r="AK24" s="150"/>
      <c r="AL24" s="150"/>
      <c r="AN24" t="s">
        <v>93</v>
      </c>
      <c r="AO24" s="3" t="s">
        <v>94</v>
      </c>
      <c r="AP24" s="3" t="s">
        <v>95</v>
      </c>
      <c r="AQ24" s="3" t="s">
        <v>96</v>
      </c>
      <c r="AR24" s="3" t="s">
        <v>97</v>
      </c>
      <c r="AS24" s="3" t="s">
        <v>98</v>
      </c>
      <c r="AT24" s="3" t="s">
        <v>99</v>
      </c>
      <c r="AU24" s="8" t="s">
        <v>100</v>
      </c>
      <c r="BF24" t="s">
        <v>93</v>
      </c>
      <c r="BG24" s="3" t="s">
        <v>94</v>
      </c>
      <c r="BH24" s="3" t="s">
        <v>95</v>
      </c>
      <c r="BI24" s="3" t="s">
        <v>96</v>
      </c>
      <c r="BJ24" s="3" t="s">
        <v>97</v>
      </c>
      <c r="BK24" s="3" t="s">
        <v>98</v>
      </c>
      <c r="BL24" s="3" t="s">
        <v>99</v>
      </c>
      <c r="BM24" s="8" t="s">
        <v>100</v>
      </c>
      <c r="BO24" s="4" t="s">
        <v>327</v>
      </c>
      <c r="BP24" s="3">
        <f>IF($B$2="(Todas)",COUNTIF(BASE[CODCIE10],GUIA_NACIONAL_2022_1106128105107110207210231232234[[#This Row],[CIE-10]]),COUNTIFS(BASE[Cod.Establecimiento],$B$2,BASE[CODCIE10],GUIA_NACIONAL_2022_1106128105107110207210231232234[[#This Row],[CIE-10]]))</f>
        <v>0</v>
      </c>
      <c r="BQ24" s="3">
        <f>IF($B$2="(Todas)",COUNTIF(BASE[CODCIE102],GUIA_NACIONAL_2022_1106128105107110207210231232234[[#This Row],[CIE-10]]),COUNTIFS(BASE[Cod.Establecimiento],$B$2,BASE[CODCIE102],GUIA_NACIONAL_2022_1106128105107110207210231232234[[#This Row],[CIE-10]]))</f>
        <v>0</v>
      </c>
      <c r="BR24" s="3">
        <f>IF($B$2="(Todas)",COUNTIF(BASE[CODCIE104],GUIA_NACIONAL_2022_1106128105107110207210231232234[[#This Row],[CIE-10]]),COUNTIFS(BASE[Cod.Establecimiento],$B$2,BASE[CODCIE104],GUIA_NACIONAL_2022_1106128105107110207210231232234[[#This Row],[CIE-10]]))</f>
        <v>0</v>
      </c>
      <c r="BS24" s="3">
        <f>IF($B$2="(Todas)",COUNTIF(BASE[CODCIE106],GUIA_NACIONAL_2022_1106128105107110207210231232234[[#This Row],[CIE-10]]),COUNTIFS(BASE[Cod.Establecimiento],$B$2,BASE[CODCIE106],GUIA_NACIONAL_2022_1106128105107110207210231232234[[#This Row],[CIE-10]]))</f>
        <v>0</v>
      </c>
      <c r="BT24" s="3">
        <f>IF($B$2="(Todas)",COUNTIF(BASE[CODCIE108],GUIA_NACIONAL_2022_1106128105107110207210231232234[[#This Row],[CIE-10]]),COUNTIFS(BASE[Cod.Establecimiento],$B$2,BASE[CODCIE108],GUIA_NACIONAL_2022_1106128105107110207210231232234[[#This Row],[CIE-10]]))</f>
        <v>0</v>
      </c>
      <c r="BU24" s="3">
        <f>IF($B$2="(Todas)",COUNTIF(BASE[CODCIE1010],GUIA_NACIONAL_2022_1106128105107110207210231232234[[#This Row],[CIE-10]]),COUNTIFS(BASE[Cod.Establecimiento],$B$2,BASE[CODCIE1010],GUIA_NACIONAL_2022_1106128105107110207210231232234[[#This Row],[CIE-10]]))</f>
        <v>0</v>
      </c>
      <c r="BV24" s="9">
        <f>SUM(GUIA_NACIONAL_2022_1106128105107110207210231232234[[#This Row],[D1]:[D6]])</f>
        <v>0</v>
      </c>
      <c r="CG24" s="4" t="s">
        <v>734</v>
      </c>
      <c r="CH24" s="3">
        <f>IF($B$2="(Todas)",COUNTIF(BASE[CODCIE10],GUIA_NACIONAL_2022_1106128105107111115129130250[[#This Row],[CIE-10]]),COUNTIFS(BASE[Cod.Establecimiento],$B$2,BASE[CODCIE10],GUIA_NACIONAL_2022_1106128105107111115129130250[[#This Row],[CIE-10]]))</f>
        <v>0</v>
      </c>
      <c r="CI24" s="3">
        <f>IF($B$2="(Todas)",COUNTIF(BASE[CODCIE102],GUIA_NACIONAL_2022_1106128105107111115129130250[[#This Row],[CIE-10]]),COUNTIFS(BASE[Cod.Establecimiento],$B$2,BASE[CODCIE102],GUIA_NACIONAL_2022_1106128105107111115129130250[[#This Row],[CIE-10]]))</f>
        <v>0</v>
      </c>
      <c r="CJ24" s="3">
        <f>IF($B$2="(Todas)",COUNTIF(BASE[CODCIE104],GUIA_NACIONAL_2022_1106128105107111115129130250[[#This Row],[CIE-10]]),COUNTIFS(BASE[Cod.Establecimiento],$B$2,BASE[CODCIE104],GUIA_NACIONAL_2022_1106128105107111115129130250[[#This Row],[CIE-10]]))</f>
        <v>0</v>
      </c>
      <c r="CK24" s="3">
        <f>IF($B$2="(Todas)",COUNTIF(BASE[CODCIE106],GUIA_NACIONAL_2022_1106128105107111115129130250[[#This Row],[CIE-10]]),COUNTIFS(BASE[Cod.Establecimiento],$B$2,BASE[CODCIE106],GUIA_NACIONAL_2022_1106128105107111115129130250[[#This Row],[CIE-10]]))</f>
        <v>0</v>
      </c>
      <c r="CL24" s="3">
        <f>IF($B$2="(Todas)",COUNTIF(BASE[CODCIE108],GUIA_NACIONAL_2022_1106128105107111115129130250[[#This Row],[CIE-10]]),COUNTIFS(BASE[Cod.Establecimiento],$B$2,BASE[CODCIE108],GUIA_NACIONAL_2022_1106128105107111115129130250[[#This Row],[CIE-10]]))</f>
        <v>0</v>
      </c>
      <c r="CM24" s="3">
        <f>IF($B$2="(Todas)",COUNTIF(BASE[CODCIE1010],GUIA_NACIONAL_2022_1106128105107111115129130250[[#This Row],[CIE-10]]),COUNTIFS(BASE[Cod.Establecimiento],$B$2,BASE[CODCIE1010],GUIA_NACIONAL_2022_1106128105107111115129130250[[#This Row],[CIE-10]]))</f>
        <v>0</v>
      </c>
      <c r="CN24" s="9">
        <f>SUM(GUIA_NACIONAL_2022_1106128105107111115129130250[[#This Row],[D1]:[D6]])</f>
        <v>0</v>
      </c>
      <c r="DH24" s="4" t="s">
        <v>777</v>
      </c>
      <c r="DI24" s="3">
        <f>IF($B$2="(Todas)",COUNTIF(BASE[CODCIE10],GUIA_NACIONAL_2022_1106128105107111115129130131132133256258[[#This Row],[CIE-10]]),COUNTIFS(BASE[Cod.Establecimiento],$B$2,BASE[CODCIE10],GUIA_NACIONAL_2022_1106128105107111115129130131132133256258[[#This Row],[CIE-10]]))</f>
        <v>0</v>
      </c>
      <c r="DJ24" s="3">
        <f>IF($B$2="(Todas)",COUNTIF(BASE[CODCIE102],GUIA_NACIONAL_2022_1106128105107111115129130131132133256258[[#This Row],[CIE-10]]),COUNTIFS(BASE[Cod.Establecimiento],$B$2,BASE[CODCIE102],GUIA_NACIONAL_2022_1106128105107111115129130131132133256258[[#This Row],[CIE-10]]))</f>
        <v>0</v>
      </c>
      <c r="DK24" s="3">
        <f>IF($B$2="(Todas)",COUNTIF(BASE[CODCIE104],GUIA_NACIONAL_2022_1106128105107111115129130131132133256258[[#This Row],[CIE-10]]),COUNTIFS(BASE[Cod.Establecimiento],$B$2,BASE[CODCIE104],GUIA_NACIONAL_2022_1106128105107111115129130131132133256258[[#This Row],[CIE-10]]))</f>
        <v>0</v>
      </c>
      <c r="DL24" s="3">
        <f>IF($B$2="(Todas)",COUNTIF(BASE[CODCIE106],GUIA_NACIONAL_2022_1106128105107111115129130131132133256258[[#This Row],[CIE-10]]),COUNTIFS(BASE[Cod.Establecimiento],$B$2,BASE[CODCIE106],GUIA_NACIONAL_2022_1106128105107111115129130131132133256258[[#This Row],[CIE-10]]))</f>
        <v>0</v>
      </c>
      <c r="DM24" s="3">
        <f>IF($B$2="(Todas)",COUNTIF(BASE[CODCIE108],GUIA_NACIONAL_2022_1106128105107111115129130131132133256258[[#This Row],[CIE-10]]),COUNTIFS(BASE[Cod.Establecimiento],$B$2,BASE[CODCIE108],GUIA_NACIONAL_2022_1106128105107111115129130131132133256258[[#This Row],[CIE-10]]))</f>
        <v>0</v>
      </c>
      <c r="DN24" s="3">
        <f>IF($B$2="(Todas)",COUNTIF(BASE[CODCIE1010],GUIA_NACIONAL_2022_1106128105107111115129130131132133256258[[#This Row],[CIE-10]]),COUNTIFS(BASE[Cod.Establecimiento],$B$2,BASE[CODCIE1010],GUIA_NACIONAL_2022_1106128105107111115129130131132133256258[[#This Row],[CIE-10]]))</f>
        <v>0</v>
      </c>
      <c r="DO24" s="9">
        <f>SUM(GUIA_NACIONAL_2022_1106128105107111115129130131132133256258[[#This Row],[D1]:[D6]])</f>
        <v>0</v>
      </c>
    </row>
    <row r="25" spans="1:119" ht="15" customHeight="1">
      <c r="A25" s="142"/>
      <c r="B25" s="142"/>
      <c r="D25" s="32" t="s">
        <v>311</v>
      </c>
      <c r="E25" s="3">
        <f>IF($B$2="(Todas)",COUNTIF(BASE[CODCIE10],GUIA_NACIONAL_2022_1106108[[#This Row],[CIE-10]]),COUNTIFS(BASE[Cod.Establecimiento],$B$2,BASE[CODCIE10],GUIA_NACIONAL_2022_1106108[[#This Row],[CIE-10]]))</f>
        <v>0</v>
      </c>
      <c r="F25" s="3">
        <f>IF($B$2="(Todas)",COUNTIF(BASE[CODCIE102],GUIA_NACIONAL_2022_1106108[[#This Row],[CIE-10]]),COUNTIFS(BASE[Cod.Establecimiento],$B$2,BASE[CODCIE102],GUIA_NACIONAL_2022_1106108[[#This Row],[CIE-10]]))</f>
        <v>0</v>
      </c>
      <c r="G25" s="3">
        <f>IF($B$2="(Todas)",COUNTIF(BASE[CODCIE104],GUIA_NACIONAL_2022_1106108[[#This Row],[CIE-10]]),COUNTIFS(BASE[Cod.Establecimiento],$B$2,BASE[CODCIE104],GUIA_NACIONAL_2022_1106108[[#This Row],[CIE-10]]))</f>
        <v>0</v>
      </c>
      <c r="H25" s="3">
        <f>IF($B$2="(Todas)",COUNTIF(BASE[CODCIE106],GUIA_NACIONAL_2022_1106108[[#This Row],[CIE-10]]),COUNTIFS(BASE[Cod.Establecimiento],$B$2,BASE[CODCIE106],GUIA_NACIONAL_2022_1106108[[#This Row],[CIE-10]]))</f>
        <v>0</v>
      </c>
      <c r="I25" s="3">
        <f>IF($B$2="(Todas)",COUNTIF(BASE[CODCIE108],GUIA_NACIONAL_2022_1106108[[#This Row],[CIE-10]]),COUNTIFS(BASE[Cod.Establecimiento],$B$2,BASE[CODCIE108],GUIA_NACIONAL_2022_1106108[[#This Row],[CIE-10]]))</f>
        <v>0</v>
      </c>
      <c r="J25" s="3">
        <f>IF($B$2="(Todas)",COUNTIF(BASE[CODCIE1010],GUIA_NACIONAL_2022_1106108[[#This Row],[CIE-10]]),COUNTIFS(BASE[Cod.Establecimiento],$B$2,BASE[CODCIE1010],GUIA_NACIONAL_2022_1106108[[#This Row],[CIE-10]]))</f>
        <v>0</v>
      </c>
      <c r="K25" s="9">
        <f>SUM(GUIA_NACIONAL_2022_1106108[[#This Row],[D1]:[D6]])</f>
        <v>0</v>
      </c>
      <c r="M25" s="4" t="s">
        <v>521</v>
      </c>
      <c r="N25" s="3">
        <f>IF($B$2="(Todas)",COUNTIF(BASE[CODCIE10],GUIA_NACIONAL_2022_1106127136137138139140[[#This Row],[CIE-10]]),COUNTIFS(BASE[Cod.Establecimiento],$B$2,BASE[CODCIE10],GUIA_NACIONAL_2022_1106127136137138139140[[#This Row],[CIE-10]]))</f>
        <v>0</v>
      </c>
      <c r="O25" s="3">
        <f>IF($B$2="(Todas)",COUNTIF(BASE[CODCIE102],GUIA_NACIONAL_2022_1106127136137138139140[[#This Row],[CIE-10]]),COUNTIFS(BASE[Cod.Establecimiento],$B$2,BASE[CODCIE102],GUIA_NACIONAL_2022_1106127136137138139140[[#This Row],[CIE-10]]))</f>
        <v>0</v>
      </c>
      <c r="P25" s="3">
        <f>IF($B$2="(Todas)",COUNTIF(BASE[CODCIE104],GUIA_NACIONAL_2022_1106127136137138139140[[#This Row],[CIE-10]]),COUNTIFS(BASE[Cod.Establecimiento],$B$2,BASE[CODCIE104],GUIA_NACIONAL_2022_1106127136137138139140[[#This Row],[CIE-10]]))</f>
        <v>0</v>
      </c>
      <c r="Q25" s="3">
        <f>IF($B$2="(Todas)",COUNTIF(BASE[CODCIE106],GUIA_NACIONAL_2022_1106127136137138139140[[#This Row],[CIE-10]]),COUNTIFS(BASE[Cod.Establecimiento],$B$2,BASE[CODCIE106],GUIA_NACIONAL_2022_1106127136137138139140[[#This Row],[CIE-10]]))</f>
        <v>0</v>
      </c>
      <c r="R25" s="3">
        <f>IF($B$2="(Todas)",COUNTIF(BASE[CODCIE108],GUIA_NACIONAL_2022_1106127136137138139140[[#This Row],[CIE-10]]),COUNTIFS(BASE[Cod.Establecimiento],$B$2,BASE[CODCIE108],GUIA_NACIONAL_2022_1106127136137138139140[[#This Row],[CIE-10]]))</f>
        <v>0</v>
      </c>
      <c r="S25" s="3">
        <f>IF($B$2="(Todas)",COUNTIF(BASE[CODCIE1010],GUIA_NACIONAL_2022_1106127136137138139140[[#This Row],[CIE-10]]),COUNTIFS(BASE[Cod.Establecimiento],$B$2,BASE[CODCIE1010],GUIA_NACIONAL_2022_1106127136137138139140[[#This Row],[CIE-10]]))</f>
        <v>0</v>
      </c>
      <c r="T25" s="9">
        <f>SUM(GUIA_NACIONAL_2022_1106127136137138139140[[#This Row],[D1]:[D6]])</f>
        <v>0</v>
      </c>
      <c r="V25" s="4" t="s">
        <v>108</v>
      </c>
      <c r="W25" s="3">
        <f>IF($B$2="(Todas)",COUNTIF(BASE[CODCIE10],GUIA_NACIONAL_2022_1106128143146147148[[#This Row],[CIE-10]]),COUNTIFS(BASE[Cod.Establecimiento],$B$2,BASE[CODCIE10],GUIA_NACIONAL_2022_1106128143146147148[[#This Row],[CIE-10]]))</f>
        <v>0</v>
      </c>
      <c r="X25" s="3">
        <f>IF($B$2="(Todas)",COUNTIF(BASE[CODCIE102],GUIA_NACIONAL_2022_1106128143146147148[[#This Row],[CIE-10]]),COUNTIFS(BASE[Cod.Establecimiento],$B$2,BASE[CODCIE102],GUIA_NACIONAL_2022_1106128143146147148[[#This Row],[CIE-10]]))</f>
        <v>0</v>
      </c>
      <c r="Y25" s="3">
        <f>IF($B$2="(Todas)",COUNTIF(BASE[CODCIE104],GUIA_NACIONAL_2022_1106128143146147148[[#This Row],[CIE-10]]),COUNTIFS(BASE[Cod.Establecimiento],$B$2,BASE[CODCIE104],GUIA_NACIONAL_2022_1106128143146147148[[#This Row],[CIE-10]]))</f>
        <v>0</v>
      </c>
      <c r="Z25" s="3">
        <f>IF($B$2="(Todas)",COUNTIF(BASE[CODCIE106],GUIA_NACIONAL_2022_1106128143146147148[[#This Row],[CIE-10]]),COUNTIFS(BASE[Cod.Establecimiento],$B$2,BASE[CODCIE106],GUIA_NACIONAL_2022_1106128143146147148[[#This Row],[CIE-10]]))</f>
        <v>0</v>
      </c>
      <c r="AA25" s="3">
        <f>IF($B$2="(Todas)",COUNTIF(BASE[CODCIE108],GUIA_NACIONAL_2022_1106128143146147148[[#This Row],[CIE-10]]),COUNTIFS(BASE[Cod.Establecimiento],$B$2,BASE[CODCIE108],GUIA_NACIONAL_2022_1106128143146147148[[#This Row],[CIE-10]]))</f>
        <v>0</v>
      </c>
      <c r="AB25" s="3">
        <f>IF($B$2="(Todas)",COUNTIF(BASE[CODCIE1010],GUIA_NACIONAL_2022_1106128143146147148[[#This Row],[CIE-10]]),COUNTIFS(BASE[Cod.Establecimiento],$B$2,BASE[CODCIE1010],GUIA_NACIONAL_2022_1106128143146147148[[#This Row],[CIE-10]]))</f>
        <v>0</v>
      </c>
      <c r="AC25" s="9">
        <f>SUM(GUIA_NACIONAL_2022_1106128143146147148[[#This Row],[D1]:[D6]])</f>
        <v>0</v>
      </c>
      <c r="AE25" t="s">
        <v>93</v>
      </c>
      <c r="AF25" s="3" t="s">
        <v>94</v>
      </c>
      <c r="AG25" s="3" t="s">
        <v>95</v>
      </c>
      <c r="AH25" s="3" t="s">
        <v>96</v>
      </c>
      <c r="AI25" s="3" t="s">
        <v>97</v>
      </c>
      <c r="AJ25" s="3" t="s">
        <v>98</v>
      </c>
      <c r="AK25" s="3" t="s">
        <v>99</v>
      </c>
      <c r="AL25" s="8" t="s">
        <v>100</v>
      </c>
      <c r="AN25" s="4" t="s">
        <v>375</v>
      </c>
      <c r="AO25" s="3">
        <f>IF($B$2="(Todas)",COUNTIF(BASE[CODCIE10],GUIA_NACIONAL_2022_1106128105168162195198[[#This Row],[CIE-10]]),COUNTIFS(BASE[Cod.Establecimiento],$B$2,BASE[CODCIE10],GUIA_NACIONAL_2022_1106128105168162195198[[#This Row],[CIE-10]]))</f>
        <v>0</v>
      </c>
      <c r="AP25" s="3">
        <f>IF($B$2="(Todas)",COUNTIF(BASE[CODCIE102],GUIA_NACIONAL_2022_1106128105168162195198[[#This Row],[CIE-10]]),COUNTIFS(BASE[Cod.Establecimiento],$B$2,BASE[CODCIE102],GUIA_NACIONAL_2022_1106128105168162195198[[#This Row],[CIE-10]]))</f>
        <v>0</v>
      </c>
      <c r="AQ25" s="3">
        <f>IF($B$2="(Todas)",COUNTIF(BASE[CODCIE104],GUIA_NACIONAL_2022_1106128105168162195198[[#This Row],[CIE-10]]),COUNTIFS(BASE[Cod.Establecimiento],$B$2,BASE[CODCIE104],GUIA_NACIONAL_2022_1106128105168162195198[[#This Row],[CIE-10]]))</f>
        <v>0</v>
      </c>
      <c r="AR25" s="3">
        <f>IF($B$2="(Todas)",COUNTIF(BASE[CODCIE106],GUIA_NACIONAL_2022_1106128105168162195198[[#This Row],[CIE-10]]),COUNTIFS(BASE[Cod.Establecimiento],$B$2,BASE[CODCIE106],GUIA_NACIONAL_2022_1106128105168162195198[[#This Row],[CIE-10]]))</f>
        <v>0</v>
      </c>
      <c r="AS25" s="3">
        <f>IF($B$2="(Todas)",COUNTIF(BASE[CODCIE108],GUIA_NACIONAL_2022_1106128105168162195198[[#This Row],[CIE-10]]),COUNTIFS(BASE[Cod.Establecimiento],$B$2,BASE[CODCIE108],GUIA_NACIONAL_2022_1106128105168162195198[[#This Row],[CIE-10]]))</f>
        <v>0</v>
      </c>
      <c r="AT25" s="3">
        <f>IF($B$2="(Todas)",COUNTIF(BASE[CODCIE1010],GUIA_NACIONAL_2022_1106128105168162195198[[#This Row],[CIE-10]]),COUNTIFS(BASE[Cod.Establecimiento],$B$2,BASE[CODCIE1010],GUIA_NACIONAL_2022_1106128105168162195198[[#This Row],[CIE-10]]))</f>
        <v>0</v>
      </c>
      <c r="AU25" s="9">
        <f>SUM(GUIA_NACIONAL_2022_1106128105168162195198[[#This Row],[D1]:[D6]])</f>
        <v>0</v>
      </c>
      <c r="BF25" s="4" t="s">
        <v>658</v>
      </c>
      <c r="BG25" s="3">
        <f>IF($B$2="(Todas)",COUNTIF(BASE[CODCIE10],GUIA_NACIONAL_2022_1106128105107110207214216[[#This Row],[CIE-10]]),COUNTIFS(BASE[Cod.Establecimiento],$B$2,BASE[CODCIE10],GUIA_NACIONAL_2022_1106128105107110207214216[[#This Row],[CIE-10]]))</f>
        <v>0</v>
      </c>
      <c r="BH25" s="3">
        <f>IF($B$2="(Todas)",COUNTIF(BASE[CODCIE102],GUIA_NACIONAL_2022_1106128105107110207214216[[#This Row],[CIE-10]]),COUNTIFS(BASE[Cod.Establecimiento],$B$2,BASE[CODCIE102],GUIA_NACIONAL_2022_1106128105107110207214216[[#This Row],[CIE-10]]))</f>
        <v>0</v>
      </c>
      <c r="BI25" s="3">
        <f>IF($B$2="(Todas)",COUNTIF(BASE[CODCIE104],GUIA_NACIONAL_2022_1106128105107110207214216[[#This Row],[CIE-10]]),COUNTIFS(BASE[Cod.Establecimiento],$B$2,BASE[CODCIE104],GUIA_NACIONAL_2022_1106128105107110207214216[[#This Row],[CIE-10]]))</f>
        <v>0</v>
      </c>
      <c r="BJ25" s="3">
        <f>IF($B$2="(Todas)",COUNTIF(BASE[CODCIE106],GUIA_NACIONAL_2022_1106128105107110207214216[[#This Row],[CIE-10]]),COUNTIFS(BASE[Cod.Establecimiento],$B$2,BASE[CODCIE106],GUIA_NACIONAL_2022_1106128105107110207214216[[#This Row],[CIE-10]]))</f>
        <v>0</v>
      </c>
      <c r="BK25" s="3">
        <f>IF($B$2="(Todas)",COUNTIF(BASE[CODCIE108],GUIA_NACIONAL_2022_1106128105107110207214216[[#This Row],[CIE-10]]),COUNTIFS(BASE[Cod.Establecimiento],$B$2,BASE[CODCIE108],GUIA_NACIONAL_2022_1106128105107110207214216[[#This Row],[CIE-10]]))</f>
        <v>0</v>
      </c>
      <c r="BL25" s="3">
        <f>IF($B$2="(Todas)",COUNTIF(BASE[CODCIE1010],GUIA_NACIONAL_2022_1106128105107110207214216[[#This Row],[CIE-10]]),COUNTIFS(BASE[Cod.Establecimiento],$B$2,BASE[CODCIE1010],GUIA_NACIONAL_2022_1106128105107110207214216[[#This Row],[CIE-10]]))</f>
        <v>0</v>
      </c>
      <c r="BM25" s="9">
        <f>SUM(GUIA_NACIONAL_2022_1106128105107110207214216[[#This Row],[D1]:[D6]])</f>
        <v>0</v>
      </c>
      <c r="BO25" s="149" t="s">
        <v>695</v>
      </c>
      <c r="BP25" s="150"/>
      <c r="BQ25" s="150"/>
      <c r="BR25" s="150"/>
      <c r="BS25" s="150"/>
      <c r="BT25" s="150"/>
      <c r="BU25" s="150"/>
      <c r="BV25" s="150"/>
      <c r="CG25" s="4" t="s">
        <v>735</v>
      </c>
      <c r="CH25" s="3">
        <f>IF($B$2="(Todas)",COUNTIF(BASE[CODCIE10],GUIA_NACIONAL_2022_1106128105107111115129130250[[#This Row],[CIE-10]]),COUNTIFS(BASE[Cod.Establecimiento],$B$2,BASE[CODCIE10],GUIA_NACIONAL_2022_1106128105107111115129130250[[#This Row],[CIE-10]]))</f>
        <v>0</v>
      </c>
      <c r="CI25" s="3">
        <f>IF($B$2="(Todas)",COUNTIF(BASE[CODCIE102],GUIA_NACIONAL_2022_1106128105107111115129130250[[#This Row],[CIE-10]]),COUNTIFS(BASE[Cod.Establecimiento],$B$2,BASE[CODCIE102],GUIA_NACIONAL_2022_1106128105107111115129130250[[#This Row],[CIE-10]]))</f>
        <v>0</v>
      </c>
      <c r="CJ25" s="3">
        <f>IF($B$2="(Todas)",COUNTIF(BASE[CODCIE104],GUIA_NACIONAL_2022_1106128105107111115129130250[[#This Row],[CIE-10]]),COUNTIFS(BASE[Cod.Establecimiento],$B$2,BASE[CODCIE104],GUIA_NACIONAL_2022_1106128105107111115129130250[[#This Row],[CIE-10]]))</f>
        <v>0</v>
      </c>
      <c r="CK25" s="3">
        <f>IF($B$2="(Todas)",COUNTIF(BASE[CODCIE106],GUIA_NACIONAL_2022_1106128105107111115129130250[[#This Row],[CIE-10]]),COUNTIFS(BASE[Cod.Establecimiento],$B$2,BASE[CODCIE106],GUIA_NACIONAL_2022_1106128105107111115129130250[[#This Row],[CIE-10]]))</f>
        <v>0</v>
      </c>
      <c r="CL25" s="3">
        <f>IF($B$2="(Todas)",COUNTIF(BASE[CODCIE108],GUIA_NACIONAL_2022_1106128105107111115129130250[[#This Row],[CIE-10]]),COUNTIFS(BASE[Cod.Establecimiento],$B$2,BASE[CODCIE108],GUIA_NACIONAL_2022_1106128105107111115129130250[[#This Row],[CIE-10]]))</f>
        <v>0</v>
      </c>
      <c r="CM25" s="3">
        <f>IF($B$2="(Todas)",COUNTIF(BASE[CODCIE1010],GUIA_NACIONAL_2022_1106128105107111115129130250[[#This Row],[CIE-10]]),COUNTIFS(BASE[Cod.Establecimiento],$B$2,BASE[CODCIE1010],GUIA_NACIONAL_2022_1106128105107111115129130250[[#This Row],[CIE-10]]))</f>
        <v>0</v>
      </c>
      <c r="CN25" s="9">
        <f>SUM(GUIA_NACIONAL_2022_1106128105107111115129130250[[#This Row],[D1]:[D6]])</f>
        <v>0</v>
      </c>
    </row>
    <row r="26" spans="1:119" ht="15" customHeight="1">
      <c r="A26" s="142"/>
      <c r="B26" s="142"/>
      <c r="D26" s="32" t="s">
        <v>312</v>
      </c>
      <c r="E26" s="3">
        <f>IF($B$2="(Todas)",COUNTIF(BASE[CODCIE10],GUIA_NACIONAL_2022_1106108[[#This Row],[CIE-10]]),COUNTIFS(BASE[Cod.Establecimiento],$B$2,BASE[CODCIE10],GUIA_NACIONAL_2022_1106108[[#This Row],[CIE-10]]))</f>
        <v>0</v>
      </c>
      <c r="F26" s="3">
        <f>IF($B$2="(Todas)",COUNTIF(BASE[CODCIE102],GUIA_NACIONAL_2022_1106108[[#This Row],[CIE-10]]),COUNTIFS(BASE[Cod.Establecimiento],$B$2,BASE[CODCIE102],GUIA_NACIONAL_2022_1106108[[#This Row],[CIE-10]]))</f>
        <v>0</v>
      </c>
      <c r="G26" s="3">
        <f>IF($B$2="(Todas)",COUNTIF(BASE[CODCIE104],GUIA_NACIONAL_2022_1106108[[#This Row],[CIE-10]]),COUNTIFS(BASE[Cod.Establecimiento],$B$2,BASE[CODCIE104],GUIA_NACIONAL_2022_1106108[[#This Row],[CIE-10]]))</f>
        <v>0</v>
      </c>
      <c r="H26" s="3">
        <f>IF($B$2="(Todas)",COUNTIF(BASE[CODCIE106],GUIA_NACIONAL_2022_1106108[[#This Row],[CIE-10]]),COUNTIFS(BASE[Cod.Establecimiento],$B$2,BASE[CODCIE106],GUIA_NACIONAL_2022_1106108[[#This Row],[CIE-10]]))</f>
        <v>0</v>
      </c>
      <c r="I26" s="3">
        <f>IF($B$2="(Todas)",COUNTIF(BASE[CODCIE108],GUIA_NACIONAL_2022_1106108[[#This Row],[CIE-10]]),COUNTIFS(BASE[Cod.Establecimiento],$B$2,BASE[CODCIE108],GUIA_NACIONAL_2022_1106108[[#This Row],[CIE-10]]))</f>
        <v>0</v>
      </c>
      <c r="J26" s="3">
        <f>IF($B$2="(Todas)",COUNTIF(BASE[CODCIE1010],GUIA_NACIONAL_2022_1106108[[#This Row],[CIE-10]]),COUNTIFS(BASE[Cod.Establecimiento],$B$2,BASE[CODCIE1010],GUIA_NACIONAL_2022_1106108[[#This Row],[CIE-10]]))</f>
        <v>0</v>
      </c>
      <c r="K26" s="9">
        <f>SUM(GUIA_NACIONAL_2022_1106108[[#This Row],[D1]:[D6]])</f>
        <v>0</v>
      </c>
      <c r="M26" s="32" t="s">
        <v>522</v>
      </c>
      <c r="N26" s="3">
        <f>IF($B$2="(Todas)",COUNTIF(BASE[CODCIE10],GUIA_NACIONAL_2022_1106127136137138139140[[#This Row],[CIE-10]]),COUNTIFS(BASE[Cod.Establecimiento],$B$2,BASE[CODCIE10],GUIA_NACIONAL_2022_1106127136137138139140[[#This Row],[CIE-10]]))</f>
        <v>0</v>
      </c>
      <c r="O26" s="3">
        <f>IF($B$2="(Todas)",COUNTIF(BASE[CODCIE102],GUIA_NACIONAL_2022_1106127136137138139140[[#This Row],[CIE-10]]),COUNTIFS(BASE[Cod.Establecimiento],$B$2,BASE[CODCIE102],GUIA_NACIONAL_2022_1106127136137138139140[[#This Row],[CIE-10]]))</f>
        <v>0</v>
      </c>
      <c r="P26" s="3">
        <f>IF($B$2="(Todas)",COUNTIF(BASE[CODCIE104],GUIA_NACIONAL_2022_1106127136137138139140[[#This Row],[CIE-10]]),COUNTIFS(BASE[Cod.Establecimiento],$B$2,BASE[CODCIE104],GUIA_NACIONAL_2022_1106127136137138139140[[#This Row],[CIE-10]]))</f>
        <v>0</v>
      </c>
      <c r="Q26" s="3">
        <f>IF($B$2="(Todas)",COUNTIF(BASE[CODCIE106],GUIA_NACIONAL_2022_1106127136137138139140[[#This Row],[CIE-10]]),COUNTIFS(BASE[Cod.Establecimiento],$B$2,BASE[CODCIE106],GUIA_NACIONAL_2022_1106127136137138139140[[#This Row],[CIE-10]]))</f>
        <v>0</v>
      </c>
      <c r="R26" s="3">
        <f>IF($B$2="(Todas)",COUNTIF(BASE[CODCIE108],GUIA_NACIONAL_2022_1106127136137138139140[[#This Row],[CIE-10]]),COUNTIFS(BASE[Cod.Establecimiento],$B$2,BASE[CODCIE108],GUIA_NACIONAL_2022_1106127136137138139140[[#This Row],[CIE-10]]))</f>
        <v>0</v>
      </c>
      <c r="S26" s="3">
        <f>IF($B$2="(Todas)",COUNTIF(BASE[CODCIE1010],GUIA_NACIONAL_2022_1106127136137138139140[[#This Row],[CIE-10]]),COUNTIFS(BASE[Cod.Establecimiento],$B$2,BASE[CODCIE1010],GUIA_NACIONAL_2022_1106127136137138139140[[#This Row],[CIE-10]]))</f>
        <v>0</v>
      </c>
      <c r="T26" s="9">
        <f>SUM(GUIA_NACIONAL_2022_1106127136137138139140[[#This Row],[D1]:[D6]])</f>
        <v>0</v>
      </c>
      <c r="V26" s="32" t="s">
        <v>111</v>
      </c>
      <c r="W26" s="3">
        <f>IF($B$2="(Todas)",COUNTIF(BASE[CODCIE10],GUIA_NACIONAL_2022_1106128143146147148[[#This Row],[CIE-10]]),COUNTIFS(BASE[Cod.Establecimiento],$B$2,BASE[CODCIE10],GUIA_NACIONAL_2022_1106128143146147148[[#This Row],[CIE-10]]))</f>
        <v>0</v>
      </c>
      <c r="X26" s="3">
        <f>IF($B$2="(Todas)",COUNTIF(BASE[CODCIE102],GUIA_NACIONAL_2022_1106128143146147148[[#This Row],[CIE-10]]),COUNTIFS(BASE[Cod.Establecimiento],$B$2,BASE[CODCIE102],GUIA_NACIONAL_2022_1106128143146147148[[#This Row],[CIE-10]]))</f>
        <v>0</v>
      </c>
      <c r="Y26" s="3">
        <f>IF($B$2="(Todas)",COUNTIF(BASE[CODCIE104],GUIA_NACIONAL_2022_1106128143146147148[[#This Row],[CIE-10]]),COUNTIFS(BASE[Cod.Establecimiento],$B$2,BASE[CODCIE104],GUIA_NACIONAL_2022_1106128143146147148[[#This Row],[CIE-10]]))</f>
        <v>0</v>
      </c>
      <c r="Z26" s="3">
        <f>IF($B$2="(Todas)",COUNTIF(BASE[CODCIE106],GUIA_NACIONAL_2022_1106128143146147148[[#This Row],[CIE-10]]),COUNTIFS(BASE[Cod.Establecimiento],$B$2,BASE[CODCIE106],GUIA_NACIONAL_2022_1106128143146147148[[#This Row],[CIE-10]]))</f>
        <v>0</v>
      </c>
      <c r="AA26" s="3">
        <f>IF($B$2="(Todas)",COUNTIF(BASE[CODCIE108],GUIA_NACIONAL_2022_1106128143146147148[[#This Row],[CIE-10]]),COUNTIFS(BASE[Cod.Establecimiento],$B$2,BASE[CODCIE108],GUIA_NACIONAL_2022_1106128143146147148[[#This Row],[CIE-10]]))</f>
        <v>0</v>
      </c>
      <c r="AB26" s="3">
        <f>IF($B$2="(Todas)",COUNTIF(BASE[CODCIE1010],GUIA_NACIONAL_2022_1106128143146147148[[#This Row],[CIE-10]]),COUNTIFS(BASE[Cod.Establecimiento],$B$2,BASE[CODCIE1010],GUIA_NACIONAL_2022_1106128143146147148[[#This Row],[CIE-10]]))</f>
        <v>0</v>
      </c>
      <c r="AC26" s="9">
        <f>SUM(GUIA_NACIONAL_2022_1106128143146147148[[#This Row],[D1]:[D6]])</f>
        <v>0</v>
      </c>
      <c r="AE26" s="4" t="s">
        <v>568</v>
      </c>
      <c r="AF26" s="3">
        <f>IF($B$2="(Todas)",COUNTIF(BASE[CODCIE10],GUIA_NACIONAL_2022_1106128105168169170171172[[#This Row],[CIE-10]]),COUNTIFS(BASE[Cod.Establecimiento],$B$2,BASE[CODCIE10],GUIA_NACIONAL_2022_1106128105168169170171172[[#This Row],[CIE-10]]))</f>
        <v>0</v>
      </c>
      <c r="AG26" s="3">
        <f>IF($B$2="(Todas)",COUNTIF(BASE[CODCIE102],GUIA_NACIONAL_2022_1106128105168169170171172[[#This Row],[CIE-10]]),COUNTIFS(BASE[Cod.Establecimiento],$B$2,BASE[CODCIE102],GUIA_NACIONAL_2022_1106128105168169170171172[[#This Row],[CIE-10]]))</f>
        <v>0</v>
      </c>
      <c r="AH26" s="3">
        <f>IF($B$2="(Todas)",COUNTIF(BASE[CODCIE104],GUIA_NACIONAL_2022_1106128105168169170171172[[#This Row],[CIE-10]]),COUNTIFS(BASE[Cod.Establecimiento],$B$2,BASE[CODCIE104],GUIA_NACIONAL_2022_1106128105168169170171172[[#This Row],[CIE-10]]))</f>
        <v>0</v>
      </c>
      <c r="AI26" s="3">
        <f>IF($B$2="(Todas)",COUNTIF(BASE[CODCIE106],GUIA_NACIONAL_2022_1106128105168169170171172[[#This Row],[CIE-10]]),COUNTIFS(BASE[Cod.Establecimiento],$B$2,BASE[CODCIE106],GUIA_NACIONAL_2022_1106128105168169170171172[[#This Row],[CIE-10]]))</f>
        <v>0</v>
      </c>
      <c r="AJ26" s="3">
        <f>IF($B$2="(Todas)",COUNTIF(BASE[CODCIE108],GUIA_NACIONAL_2022_1106128105168169170171172[[#This Row],[CIE-10]]),COUNTIFS(BASE[Cod.Establecimiento],$B$2,BASE[CODCIE108],GUIA_NACIONAL_2022_1106128105168169170171172[[#This Row],[CIE-10]]))</f>
        <v>0</v>
      </c>
      <c r="AK26" s="3">
        <f>IF($B$2="(Todas)",COUNTIF(BASE[CODCIE1010],GUIA_NACIONAL_2022_1106128105168169170171172[[#This Row],[CIE-10]]),COUNTIFS(BASE[Cod.Establecimiento],$B$2,BASE[CODCIE1010],GUIA_NACIONAL_2022_1106128105168169170171172[[#This Row],[CIE-10]]))</f>
        <v>0</v>
      </c>
      <c r="AL26" s="9">
        <f>SUM(GUIA_NACIONAL_2022_1106128105168169170171172[[#This Row],[D1]:[D6]])</f>
        <v>0</v>
      </c>
      <c r="AN26" s="151" t="s">
        <v>626</v>
      </c>
      <c r="AO26" s="151"/>
      <c r="AP26" s="151"/>
      <c r="AQ26" s="151"/>
      <c r="AR26" s="151"/>
      <c r="AS26" s="151"/>
      <c r="AT26" s="151"/>
      <c r="AU26" s="151"/>
      <c r="BF26" s="150" t="s">
        <v>659</v>
      </c>
      <c r="BG26" s="150"/>
      <c r="BH26" s="150"/>
      <c r="BI26" s="150"/>
      <c r="BJ26" s="150"/>
      <c r="BK26" s="150"/>
      <c r="BL26" s="150"/>
      <c r="BM26" s="150"/>
      <c r="BO26" t="s">
        <v>93</v>
      </c>
      <c r="BP26" s="3" t="s">
        <v>94</v>
      </c>
      <c r="BQ26" s="3" t="s">
        <v>95</v>
      </c>
      <c r="BR26" s="3" t="s">
        <v>96</v>
      </c>
      <c r="BS26" s="3" t="s">
        <v>97</v>
      </c>
      <c r="BT26" s="3" t="s">
        <v>98</v>
      </c>
      <c r="BU26" s="3" t="s">
        <v>99</v>
      </c>
      <c r="BV26" s="8" t="s">
        <v>100</v>
      </c>
      <c r="CG26" s="4" t="s">
        <v>736</v>
      </c>
      <c r="CH26" s="3">
        <f>IF($B$2="(Todas)",COUNTIF(BASE[CODCIE10],GUIA_NACIONAL_2022_1106128105107111115129130250[[#This Row],[CIE-10]]),COUNTIFS(BASE[Cod.Establecimiento],$B$2,BASE[CODCIE10],GUIA_NACIONAL_2022_1106128105107111115129130250[[#This Row],[CIE-10]]))</f>
        <v>0</v>
      </c>
      <c r="CI26" s="3">
        <f>IF($B$2="(Todas)",COUNTIF(BASE[CODCIE102],GUIA_NACIONAL_2022_1106128105107111115129130250[[#This Row],[CIE-10]]),COUNTIFS(BASE[Cod.Establecimiento],$B$2,BASE[CODCIE102],GUIA_NACIONAL_2022_1106128105107111115129130250[[#This Row],[CIE-10]]))</f>
        <v>0</v>
      </c>
      <c r="CJ26" s="3">
        <f>IF($B$2="(Todas)",COUNTIF(BASE[CODCIE104],GUIA_NACIONAL_2022_1106128105107111115129130250[[#This Row],[CIE-10]]),COUNTIFS(BASE[Cod.Establecimiento],$B$2,BASE[CODCIE104],GUIA_NACIONAL_2022_1106128105107111115129130250[[#This Row],[CIE-10]]))</f>
        <v>0</v>
      </c>
      <c r="CK26" s="3">
        <f>IF($B$2="(Todas)",COUNTIF(BASE[CODCIE106],GUIA_NACIONAL_2022_1106128105107111115129130250[[#This Row],[CIE-10]]),COUNTIFS(BASE[Cod.Establecimiento],$B$2,BASE[CODCIE106],GUIA_NACIONAL_2022_1106128105107111115129130250[[#This Row],[CIE-10]]))</f>
        <v>0</v>
      </c>
      <c r="CL26" s="3">
        <f>IF($B$2="(Todas)",COUNTIF(BASE[CODCIE108],GUIA_NACIONAL_2022_1106128105107111115129130250[[#This Row],[CIE-10]]),COUNTIFS(BASE[Cod.Establecimiento],$B$2,BASE[CODCIE108],GUIA_NACIONAL_2022_1106128105107111115129130250[[#This Row],[CIE-10]]))</f>
        <v>0</v>
      </c>
      <c r="CM26" s="3">
        <f>IF($B$2="(Todas)",COUNTIF(BASE[CODCIE1010],GUIA_NACIONAL_2022_1106128105107111115129130250[[#This Row],[CIE-10]]),COUNTIFS(BASE[Cod.Establecimiento],$B$2,BASE[CODCIE1010],GUIA_NACIONAL_2022_1106128105107111115129130250[[#This Row],[CIE-10]]))</f>
        <v>0</v>
      </c>
      <c r="CN26" s="9">
        <f>SUM(GUIA_NACIONAL_2022_1106128105107111115129130250[[#This Row],[D1]:[D6]])</f>
        <v>0</v>
      </c>
    </row>
    <row r="27" spans="1:119" ht="15" customHeight="1">
      <c r="A27" s="70"/>
      <c r="B27" s="70"/>
      <c r="D27" s="32" t="s">
        <v>436</v>
      </c>
      <c r="E27" s="3">
        <f>IF($B$2="(Todas)",COUNTIF(BASE[CODCIE10],GUIA_NACIONAL_2022_1106108[[#This Row],[CIE-10]]),COUNTIFS(BASE[Cod.Establecimiento],$B$2,BASE[CODCIE10],GUIA_NACIONAL_2022_1106108[[#This Row],[CIE-10]]))</f>
        <v>0</v>
      </c>
      <c r="F27" s="3">
        <f>IF($B$2="(Todas)",COUNTIF(BASE[CODCIE102],GUIA_NACIONAL_2022_1106108[[#This Row],[CIE-10]]),COUNTIFS(BASE[Cod.Establecimiento],$B$2,BASE[CODCIE102],GUIA_NACIONAL_2022_1106108[[#This Row],[CIE-10]]))</f>
        <v>0</v>
      </c>
      <c r="G27" s="3">
        <f>IF($B$2="(Todas)",COUNTIF(BASE[CODCIE104],GUIA_NACIONAL_2022_1106108[[#This Row],[CIE-10]]),COUNTIFS(BASE[Cod.Establecimiento],$B$2,BASE[CODCIE104],GUIA_NACIONAL_2022_1106108[[#This Row],[CIE-10]]))</f>
        <v>0</v>
      </c>
      <c r="H27" s="3">
        <f>IF($B$2="(Todas)",COUNTIF(BASE[CODCIE106],GUIA_NACIONAL_2022_1106108[[#This Row],[CIE-10]]),COUNTIFS(BASE[Cod.Establecimiento],$B$2,BASE[CODCIE106],GUIA_NACIONAL_2022_1106108[[#This Row],[CIE-10]]))</f>
        <v>0</v>
      </c>
      <c r="I27" s="3">
        <f>IF($B$2="(Todas)",COUNTIF(BASE[CODCIE108],GUIA_NACIONAL_2022_1106108[[#This Row],[CIE-10]]),COUNTIFS(BASE[Cod.Establecimiento],$B$2,BASE[CODCIE108],GUIA_NACIONAL_2022_1106108[[#This Row],[CIE-10]]))</f>
        <v>0</v>
      </c>
      <c r="J27" s="3">
        <f>IF($B$2="(Todas)",COUNTIF(BASE[CODCIE1010],GUIA_NACIONAL_2022_1106108[[#This Row],[CIE-10]]),COUNTIFS(BASE[Cod.Establecimiento],$B$2,BASE[CODCIE1010],GUIA_NACIONAL_2022_1106108[[#This Row],[CIE-10]]))</f>
        <v>0</v>
      </c>
      <c r="K27" s="9">
        <f>SUM(GUIA_NACIONAL_2022_1106108[[#This Row],[D1]:[D6]])</f>
        <v>0</v>
      </c>
      <c r="M27" s="32" t="s">
        <v>394</v>
      </c>
      <c r="N27" s="3">
        <f>IF($B$2="(Todas)",COUNTIF(BASE[CODCIE10],GUIA_NACIONAL_2022_1106127136137138139140[[#This Row],[CIE-10]]),COUNTIFS(BASE[Cod.Establecimiento],$B$2,BASE[CODCIE10],GUIA_NACIONAL_2022_1106127136137138139140[[#This Row],[CIE-10]]))</f>
        <v>0</v>
      </c>
      <c r="O27" s="3">
        <f>IF($B$2="(Todas)",COUNTIF(BASE[CODCIE102],GUIA_NACIONAL_2022_1106127136137138139140[[#This Row],[CIE-10]]),COUNTIFS(BASE[Cod.Establecimiento],$B$2,BASE[CODCIE102],GUIA_NACIONAL_2022_1106127136137138139140[[#This Row],[CIE-10]]))</f>
        <v>0</v>
      </c>
      <c r="P27" s="3">
        <f>IF($B$2="(Todas)",COUNTIF(BASE[CODCIE104],GUIA_NACIONAL_2022_1106127136137138139140[[#This Row],[CIE-10]]),COUNTIFS(BASE[Cod.Establecimiento],$B$2,BASE[CODCIE104],GUIA_NACIONAL_2022_1106127136137138139140[[#This Row],[CIE-10]]))</f>
        <v>0</v>
      </c>
      <c r="Q27" s="3">
        <f>IF($B$2="(Todas)",COUNTIF(BASE[CODCIE106],GUIA_NACIONAL_2022_1106127136137138139140[[#This Row],[CIE-10]]),COUNTIFS(BASE[Cod.Establecimiento],$B$2,BASE[CODCIE106],GUIA_NACIONAL_2022_1106127136137138139140[[#This Row],[CIE-10]]))</f>
        <v>0</v>
      </c>
      <c r="R27" s="3">
        <f>IF($B$2="(Todas)",COUNTIF(BASE[CODCIE108],GUIA_NACIONAL_2022_1106127136137138139140[[#This Row],[CIE-10]]),COUNTIFS(BASE[Cod.Establecimiento],$B$2,BASE[CODCIE108],GUIA_NACIONAL_2022_1106127136137138139140[[#This Row],[CIE-10]]))</f>
        <v>0</v>
      </c>
      <c r="S27" s="3">
        <f>IF($B$2="(Todas)",COUNTIF(BASE[CODCIE1010],GUIA_NACIONAL_2022_1106127136137138139140[[#This Row],[CIE-10]]),COUNTIFS(BASE[Cod.Establecimiento],$B$2,BASE[CODCIE1010],GUIA_NACIONAL_2022_1106127136137138139140[[#This Row],[CIE-10]]))</f>
        <v>0</v>
      </c>
      <c r="T27" s="9">
        <f>SUM(GUIA_NACIONAL_2022_1106127136137138139140[[#This Row],[D1]:[D6]])</f>
        <v>0</v>
      </c>
      <c r="V27" s="32" t="s">
        <v>114</v>
      </c>
      <c r="W27" s="3">
        <f>IF($B$2="(Todas)",COUNTIF(BASE[CODCIE10],GUIA_NACIONAL_2022_1106128143146147148[[#This Row],[CIE-10]]),COUNTIFS(BASE[Cod.Establecimiento],$B$2,BASE[CODCIE10],GUIA_NACIONAL_2022_1106128143146147148[[#This Row],[CIE-10]]))</f>
        <v>0</v>
      </c>
      <c r="X27" s="3">
        <f>IF($B$2="(Todas)",COUNTIF(BASE[CODCIE102],GUIA_NACIONAL_2022_1106128143146147148[[#This Row],[CIE-10]]),COUNTIFS(BASE[Cod.Establecimiento],$B$2,BASE[CODCIE102],GUIA_NACIONAL_2022_1106128143146147148[[#This Row],[CIE-10]]))</f>
        <v>0</v>
      </c>
      <c r="Y27" s="3">
        <f>IF($B$2="(Todas)",COUNTIF(BASE[CODCIE104],GUIA_NACIONAL_2022_1106128143146147148[[#This Row],[CIE-10]]),COUNTIFS(BASE[Cod.Establecimiento],$B$2,BASE[CODCIE104],GUIA_NACIONAL_2022_1106128143146147148[[#This Row],[CIE-10]]))</f>
        <v>0</v>
      </c>
      <c r="Z27" s="3">
        <f>IF($B$2="(Todas)",COUNTIF(BASE[CODCIE106],GUIA_NACIONAL_2022_1106128143146147148[[#This Row],[CIE-10]]),COUNTIFS(BASE[Cod.Establecimiento],$B$2,BASE[CODCIE106],GUIA_NACIONAL_2022_1106128143146147148[[#This Row],[CIE-10]]))</f>
        <v>0</v>
      </c>
      <c r="AA27" s="3">
        <f>IF($B$2="(Todas)",COUNTIF(BASE[CODCIE108],GUIA_NACIONAL_2022_1106128143146147148[[#This Row],[CIE-10]]),COUNTIFS(BASE[Cod.Establecimiento],$B$2,BASE[CODCIE108],GUIA_NACIONAL_2022_1106128143146147148[[#This Row],[CIE-10]]))</f>
        <v>0</v>
      </c>
      <c r="AB27" s="3">
        <f>IF($B$2="(Todas)",COUNTIF(BASE[CODCIE1010],GUIA_NACIONAL_2022_1106128143146147148[[#This Row],[CIE-10]]),COUNTIFS(BASE[Cod.Establecimiento],$B$2,BASE[CODCIE1010],GUIA_NACIONAL_2022_1106128143146147148[[#This Row],[CIE-10]]))</f>
        <v>0</v>
      </c>
      <c r="AC27" s="9">
        <f>SUM(GUIA_NACIONAL_2022_1106128143146147148[[#This Row],[D1]:[D6]])</f>
        <v>0</v>
      </c>
      <c r="AE27" s="151" t="s">
        <v>172</v>
      </c>
      <c r="AF27" s="151"/>
      <c r="AG27" s="151"/>
      <c r="AH27" s="151"/>
      <c r="AI27" s="151"/>
      <c r="AJ27" s="151"/>
      <c r="AK27" s="151"/>
      <c r="AL27" s="151"/>
      <c r="AN27" s="150" t="s">
        <v>556</v>
      </c>
      <c r="AO27" s="150"/>
      <c r="AP27" s="150"/>
      <c r="AQ27" s="150"/>
      <c r="AR27" s="150"/>
      <c r="AS27" s="150"/>
      <c r="AT27" s="150"/>
      <c r="AU27" s="150"/>
      <c r="BF27" t="s">
        <v>93</v>
      </c>
      <c r="BG27" s="3" t="s">
        <v>94</v>
      </c>
      <c r="BH27" s="3" t="s">
        <v>95</v>
      </c>
      <c r="BI27" s="3" t="s">
        <v>96</v>
      </c>
      <c r="BJ27" s="3" t="s">
        <v>97</v>
      </c>
      <c r="BK27" s="3" t="s">
        <v>98</v>
      </c>
      <c r="BL27" s="3" t="s">
        <v>99</v>
      </c>
      <c r="BM27" s="8" t="s">
        <v>100</v>
      </c>
      <c r="BO27" s="4" t="s">
        <v>405</v>
      </c>
      <c r="BP27" s="3">
        <f>IF($B$2="(Todas)",COUNTIF(BASE[CODCIE10],GUIA_NACIONAL_2022_1106128105107110207210231232234235[[#This Row],[CIE-10]]),COUNTIFS(BASE[Cod.Establecimiento],$B$2,BASE[CODCIE10],GUIA_NACIONAL_2022_1106128105107110207210231232234235[[#This Row],[CIE-10]]))</f>
        <v>0</v>
      </c>
      <c r="BQ27" s="3">
        <f>IF($B$2="(Todas)",COUNTIF(BASE[CODCIE102],GUIA_NACIONAL_2022_1106128105107110207210231232234235[[#This Row],[CIE-10]]),COUNTIFS(BASE[Cod.Establecimiento],$B$2,BASE[CODCIE102],GUIA_NACIONAL_2022_1106128105107110207210231232234235[[#This Row],[CIE-10]]))</f>
        <v>0</v>
      </c>
      <c r="BR27" s="3">
        <f>IF($B$2="(Todas)",COUNTIF(BASE[CODCIE104],GUIA_NACIONAL_2022_1106128105107110207210231232234235[[#This Row],[CIE-10]]),COUNTIFS(BASE[Cod.Establecimiento],$B$2,BASE[CODCIE104],GUIA_NACIONAL_2022_1106128105107110207210231232234235[[#This Row],[CIE-10]]))</f>
        <v>0</v>
      </c>
      <c r="BS27" s="3">
        <f>IF($B$2="(Todas)",COUNTIF(BASE[CODCIE106],GUIA_NACIONAL_2022_1106128105107110207210231232234235[[#This Row],[CIE-10]]),COUNTIFS(BASE[Cod.Establecimiento],$B$2,BASE[CODCIE106],GUIA_NACIONAL_2022_1106128105107110207210231232234235[[#This Row],[CIE-10]]))</f>
        <v>0</v>
      </c>
      <c r="BT27" s="3">
        <f>IF($B$2="(Todas)",COUNTIF(BASE[CODCIE108],GUIA_NACIONAL_2022_1106128105107110207210231232234235[[#This Row],[CIE-10]]),COUNTIFS(BASE[Cod.Establecimiento],$B$2,BASE[CODCIE108],GUIA_NACIONAL_2022_1106128105107110207210231232234235[[#This Row],[CIE-10]]))</f>
        <v>0</v>
      </c>
      <c r="BU27" s="3">
        <f>IF($B$2="(Todas)",COUNTIF(BASE[CODCIE1010],GUIA_NACIONAL_2022_1106128105107110207210231232234235[[#This Row],[CIE-10]]),COUNTIFS(BASE[Cod.Establecimiento],$B$2,BASE[CODCIE1010],GUIA_NACIONAL_2022_1106128105107110207210231232234235[[#This Row],[CIE-10]]))</f>
        <v>0</v>
      </c>
      <c r="BV27" s="9">
        <f>SUM(GUIA_NACIONAL_2022_1106128105107110207210231232234235[[#This Row],[D1]:[D6]])</f>
        <v>0</v>
      </c>
      <c r="CG27" s="4" t="s">
        <v>345</v>
      </c>
      <c r="CH27" s="3">
        <f>IF($B$2="(Todas)",COUNTIF(BASE[CODCIE10],GUIA_NACIONAL_2022_1106128105107111115129130250[[#This Row],[CIE-10]]),COUNTIFS(BASE[Cod.Establecimiento],$B$2,BASE[CODCIE10],GUIA_NACIONAL_2022_1106128105107111115129130250[[#This Row],[CIE-10]]))</f>
        <v>0</v>
      </c>
      <c r="CI27" s="3">
        <f>IF($B$2="(Todas)",COUNTIF(BASE[CODCIE102],GUIA_NACIONAL_2022_1106128105107111115129130250[[#This Row],[CIE-10]]),COUNTIFS(BASE[Cod.Establecimiento],$B$2,BASE[CODCIE102],GUIA_NACIONAL_2022_1106128105107111115129130250[[#This Row],[CIE-10]]))</f>
        <v>0</v>
      </c>
      <c r="CJ27" s="3">
        <f>IF($B$2="(Todas)",COUNTIF(BASE[CODCIE104],GUIA_NACIONAL_2022_1106128105107111115129130250[[#This Row],[CIE-10]]),COUNTIFS(BASE[Cod.Establecimiento],$B$2,BASE[CODCIE104],GUIA_NACIONAL_2022_1106128105107111115129130250[[#This Row],[CIE-10]]))</f>
        <v>0</v>
      </c>
      <c r="CK27" s="3">
        <f>IF($B$2="(Todas)",COUNTIF(BASE[CODCIE106],GUIA_NACIONAL_2022_1106128105107111115129130250[[#This Row],[CIE-10]]),COUNTIFS(BASE[Cod.Establecimiento],$B$2,BASE[CODCIE106],GUIA_NACIONAL_2022_1106128105107111115129130250[[#This Row],[CIE-10]]))</f>
        <v>0</v>
      </c>
      <c r="CL27" s="3">
        <f>IF($B$2="(Todas)",COUNTIF(BASE[CODCIE108],GUIA_NACIONAL_2022_1106128105107111115129130250[[#This Row],[CIE-10]]),COUNTIFS(BASE[Cod.Establecimiento],$B$2,BASE[CODCIE108],GUIA_NACIONAL_2022_1106128105107111115129130250[[#This Row],[CIE-10]]))</f>
        <v>0</v>
      </c>
      <c r="CM27" s="3">
        <f>IF($B$2="(Todas)",COUNTIF(BASE[CODCIE1010],GUIA_NACIONAL_2022_1106128105107111115129130250[[#This Row],[CIE-10]]),COUNTIFS(BASE[Cod.Establecimiento],$B$2,BASE[CODCIE1010],GUIA_NACIONAL_2022_1106128105107111115129130250[[#This Row],[CIE-10]]))</f>
        <v>0</v>
      </c>
      <c r="CN27" s="9">
        <f>SUM(GUIA_NACIONAL_2022_1106128105107111115129130250[[#This Row],[D1]:[D6]])</f>
        <v>0</v>
      </c>
    </row>
    <row r="28" spans="1:119" ht="15" customHeight="1">
      <c r="A28" s="142" t="s">
        <v>778</v>
      </c>
      <c r="B28" s="142"/>
      <c r="D28" s="150" t="s">
        <v>437</v>
      </c>
      <c r="E28" s="150"/>
      <c r="F28" s="150"/>
      <c r="G28" s="150"/>
      <c r="H28" s="150"/>
      <c r="I28" s="150"/>
      <c r="J28" s="150"/>
      <c r="K28" s="150"/>
      <c r="M28" s="149" t="s">
        <v>524</v>
      </c>
      <c r="N28" s="150"/>
      <c r="O28" s="150"/>
      <c r="P28" s="150"/>
      <c r="Q28" s="150"/>
      <c r="R28" s="150"/>
      <c r="S28" s="150"/>
      <c r="T28" s="150"/>
      <c r="V28" s="32" t="s">
        <v>117</v>
      </c>
      <c r="W28" s="3">
        <f>IF($B$2="(Todas)",COUNTIF(BASE[CODCIE10],GUIA_NACIONAL_2022_1106128143146147148[[#This Row],[CIE-10]]),COUNTIFS(BASE[Cod.Establecimiento],$B$2,BASE[CODCIE10],GUIA_NACIONAL_2022_1106128143146147148[[#This Row],[CIE-10]]))</f>
        <v>0</v>
      </c>
      <c r="X28" s="3">
        <f>IF($B$2="(Todas)",COUNTIF(BASE[CODCIE102],GUIA_NACIONAL_2022_1106128143146147148[[#This Row],[CIE-10]]),COUNTIFS(BASE[Cod.Establecimiento],$B$2,BASE[CODCIE102],GUIA_NACIONAL_2022_1106128143146147148[[#This Row],[CIE-10]]))</f>
        <v>0</v>
      </c>
      <c r="Y28" s="3">
        <f>IF($B$2="(Todas)",COUNTIF(BASE[CODCIE104],GUIA_NACIONAL_2022_1106128143146147148[[#This Row],[CIE-10]]),COUNTIFS(BASE[Cod.Establecimiento],$B$2,BASE[CODCIE104],GUIA_NACIONAL_2022_1106128143146147148[[#This Row],[CIE-10]]))</f>
        <v>0</v>
      </c>
      <c r="Z28" s="3">
        <f>IF($B$2="(Todas)",COUNTIF(BASE[CODCIE106],GUIA_NACIONAL_2022_1106128143146147148[[#This Row],[CIE-10]]),COUNTIFS(BASE[Cod.Establecimiento],$B$2,BASE[CODCIE106],GUIA_NACIONAL_2022_1106128143146147148[[#This Row],[CIE-10]]))</f>
        <v>0</v>
      </c>
      <c r="AA28" s="3">
        <f>IF($B$2="(Todas)",COUNTIF(BASE[CODCIE108],GUIA_NACIONAL_2022_1106128143146147148[[#This Row],[CIE-10]]),COUNTIFS(BASE[Cod.Establecimiento],$B$2,BASE[CODCIE108],GUIA_NACIONAL_2022_1106128143146147148[[#This Row],[CIE-10]]))</f>
        <v>0</v>
      </c>
      <c r="AB28" s="3">
        <f>IF($B$2="(Todas)",COUNTIF(BASE[CODCIE1010],GUIA_NACIONAL_2022_1106128143146147148[[#This Row],[CIE-10]]),COUNTIFS(BASE[Cod.Establecimiento],$B$2,BASE[CODCIE1010],GUIA_NACIONAL_2022_1106128143146147148[[#This Row],[CIE-10]]))</f>
        <v>0</v>
      </c>
      <c r="AC28" s="9">
        <f>SUM(GUIA_NACIONAL_2022_1106128143146147148[[#This Row],[D1]:[D6]])</f>
        <v>0</v>
      </c>
      <c r="AE28" s="149" t="s">
        <v>571</v>
      </c>
      <c r="AF28" s="150"/>
      <c r="AG28" s="150"/>
      <c r="AH28" s="150"/>
      <c r="AI28" s="150"/>
      <c r="AJ28" s="150"/>
      <c r="AK28" s="150"/>
      <c r="AL28" s="150"/>
      <c r="AN28" t="s">
        <v>93</v>
      </c>
      <c r="AO28" s="3" t="s">
        <v>94</v>
      </c>
      <c r="AP28" s="3" t="s">
        <v>95</v>
      </c>
      <c r="AQ28" s="3" t="s">
        <v>96</v>
      </c>
      <c r="AR28" s="3" t="s">
        <v>97</v>
      </c>
      <c r="AS28" s="3" t="s">
        <v>98</v>
      </c>
      <c r="AT28" s="3" t="s">
        <v>99</v>
      </c>
      <c r="AU28" s="8" t="s">
        <v>100</v>
      </c>
      <c r="BF28" s="4" t="s">
        <v>661</v>
      </c>
      <c r="BG28" s="3">
        <f>IF($B$2="(Todas)",COUNTIF(BASE[CODCIE10],GUIA_NACIONAL_2022_1106128105107110207214216217[[#This Row],[CIE-10]]),COUNTIFS(BASE[Cod.Establecimiento],$B$2,BASE[CODCIE10],GUIA_NACIONAL_2022_1106128105107110207214216217[[#This Row],[CIE-10]]))</f>
        <v>0</v>
      </c>
      <c r="BH28" s="3">
        <f>IF($B$2="(Todas)",COUNTIF(BASE[CODCIE102],GUIA_NACIONAL_2022_1106128105107110207214216217[[#This Row],[CIE-10]]),COUNTIFS(BASE[Cod.Establecimiento],$B$2,BASE[CODCIE102],GUIA_NACIONAL_2022_1106128105107110207214216217[[#This Row],[CIE-10]]))</f>
        <v>0</v>
      </c>
      <c r="BI28" s="3">
        <f>IF($B$2="(Todas)",COUNTIF(BASE[CODCIE104],GUIA_NACIONAL_2022_1106128105107110207214216217[[#This Row],[CIE-10]]),COUNTIFS(BASE[Cod.Establecimiento],$B$2,BASE[CODCIE104],GUIA_NACIONAL_2022_1106128105107110207214216217[[#This Row],[CIE-10]]))</f>
        <v>0</v>
      </c>
      <c r="BJ28" s="3">
        <f>IF($B$2="(Todas)",COUNTIF(BASE[CODCIE106],GUIA_NACIONAL_2022_1106128105107110207214216217[[#This Row],[CIE-10]]),COUNTIFS(BASE[Cod.Establecimiento],$B$2,BASE[CODCIE106],GUIA_NACIONAL_2022_1106128105107110207214216217[[#This Row],[CIE-10]]))</f>
        <v>0</v>
      </c>
      <c r="BK28" s="3">
        <f>IF($B$2="(Todas)",COUNTIF(BASE[CODCIE108],GUIA_NACIONAL_2022_1106128105107110207214216217[[#This Row],[CIE-10]]),COUNTIFS(BASE[Cod.Establecimiento],$B$2,BASE[CODCIE108],GUIA_NACIONAL_2022_1106128105107110207214216217[[#This Row],[CIE-10]]))</f>
        <v>0</v>
      </c>
      <c r="BL28" s="3">
        <f>IF($B$2="(Todas)",COUNTIF(BASE[CODCIE1010],GUIA_NACIONAL_2022_1106128105107110207214216217[[#This Row],[CIE-10]]),COUNTIFS(BASE[Cod.Establecimiento],$B$2,BASE[CODCIE1010],GUIA_NACIONAL_2022_1106128105107110207214216217[[#This Row],[CIE-10]]))</f>
        <v>0</v>
      </c>
      <c r="BM28" s="9">
        <f>SUM(GUIA_NACIONAL_2022_1106128105107110207214216217[[#This Row],[D1]:[D6]])</f>
        <v>0</v>
      </c>
      <c r="BO28" s="4" t="s">
        <v>236</v>
      </c>
      <c r="BP28" s="3">
        <f>IF($B$2="(Todas)",COUNTIF(BASE[CODCIE10],GUIA_NACIONAL_2022_1106128105107110207210231232234235[[#This Row],[CIE-10]]),COUNTIFS(BASE[Cod.Establecimiento],$B$2,BASE[CODCIE10],GUIA_NACIONAL_2022_1106128105107110207210231232234235[[#This Row],[CIE-10]]))</f>
        <v>0</v>
      </c>
      <c r="BQ28" s="3">
        <f>IF($B$2="(Todas)",COUNTIF(BASE[CODCIE102],GUIA_NACIONAL_2022_1106128105107110207210231232234235[[#This Row],[CIE-10]]),COUNTIFS(BASE[Cod.Establecimiento],$B$2,BASE[CODCIE102],GUIA_NACIONAL_2022_1106128105107110207210231232234235[[#This Row],[CIE-10]]))</f>
        <v>0</v>
      </c>
      <c r="BR28" s="3">
        <f>IF($B$2="(Todas)",COUNTIF(BASE[CODCIE104],GUIA_NACIONAL_2022_1106128105107110207210231232234235[[#This Row],[CIE-10]]),COUNTIFS(BASE[Cod.Establecimiento],$B$2,BASE[CODCIE104],GUIA_NACIONAL_2022_1106128105107110207210231232234235[[#This Row],[CIE-10]]))</f>
        <v>0</v>
      </c>
      <c r="BS28" s="3">
        <f>IF($B$2="(Todas)",COUNTIF(BASE[CODCIE106],GUIA_NACIONAL_2022_1106128105107110207210231232234235[[#This Row],[CIE-10]]),COUNTIFS(BASE[Cod.Establecimiento],$B$2,BASE[CODCIE106],GUIA_NACIONAL_2022_1106128105107110207210231232234235[[#This Row],[CIE-10]]))</f>
        <v>0</v>
      </c>
      <c r="BT28" s="3">
        <f>IF($B$2="(Todas)",COUNTIF(BASE[CODCIE108],GUIA_NACIONAL_2022_1106128105107110207210231232234235[[#This Row],[CIE-10]]),COUNTIFS(BASE[Cod.Establecimiento],$B$2,BASE[CODCIE108],GUIA_NACIONAL_2022_1106128105107110207210231232234235[[#This Row],[CIE-10]]))</f>
        <v>0</v>
      </c>
      <c r="BU28" s="3">
        <f>IF($B$2="(Todas)",COUNTIF(BASE[CODCIE1010],GUIA_NACIONAL_2022_1106128105107110207210231232234235[[#This Row],[CIE-10]]),COUNTIFS(BASE[Cod.Establecimiento],$B$2,BASE[CODCIE1010],GUIA_NACIONAL_2022_1106128105107110207210231232234235[[#This Row],[CIE-10]]))</f>
        <v>0</v>
      </c>
      <c r="BV28" s="9">
        <f>SUM(GUIA_NACIONAL_2022_1106128105107110207210231232234235[[#This Row],[D1]:[D6]])</f>
        <v>0</v>
      </c>
      <c r="CG28" s="4" t="s">
        <v>737</v>
      </c>
      <c r="CH28" s="3">
        <f>IF($B$2="(Todas)",COUNTIF(BASE[CODCIE10],GUIA_NACIONAL_2022_1106128105107111115129130250[[#This Row],[CIE-10]]),COUNTIFS(BASE[Cod.Establecimiento],$B$2,BASE[CODCIE10],GUIA_NACIONAL_2022_1106128105107111115129130250[[#This Row],[CIE-10]]))</f>
        <v>0</v>
      </c>
      <c r="CI28" s="3">
        <f>IF($B$2="(Todas)",COUNTIF(BASE[CODCIE102],GUIA_NACIONAL_2022_1106128105107111115129130250[[#This Row],[CIE-10]]),COUNTIFS(BASE[Cod.Establecimiento],$B$2,BASE[CODCIE102],GUIA_NACIONAL_2022_1106128105107111115129130250[[#This Row],[CIE-10]]))</f>
        <v>0</v>
      </c>
      <c r="CJ28" s="3">
        <f>IF($B$2="(Todas)",COUNTIF(BASE[CODCIE104],GUIA_NACIONAL_2022_1106128105107111115129130250[[#This Row],[CIE-10]]),COUNTIFS(BASE[Cod.Establecimiento],$B$2,BASE[CODCIE104],GUIA_NACIONAL_2022_1106128105107111115129130250[[#This Row],[CIE-10]]))</f>
        <v>0</v>
      </c>
      <c r="CK28" s="3">
        <f>IF($B$2="(Todas)",COUNTIF(BASE[CODCIE106],GUIA_NACIONAL_2022_1106128105107111115129130250[[#This Row],[CIE-10]]),COUNTIFS(BASE[Cod.Establecimiento],$B$2,BASE[CODCIE106],GUIA_NACIONAL_2022_1106128105107111115129130250[[#This Row],[CIE-10]]))</f>
        <v>0</v>
      </c>
      <c r="CL28" s="3">
        <f>IF($B$2="(Todas)",COUNTIF(BASE[CODCIE108],GUIA_NACIONAL_2022_1106128105107111115129130250[[#This Row],[CIE-10]]),COUNTIFS(BASE[Cod.Establecimiento],$B$2,BASE[CODCIE108],GUIA_NACIONAL_2022_1106128105107111115129130250[[#This Row],[CIE-10]]))</f>
        <v>0</v>
      </c>
      <c r="CM28" s="3">
        <f>IF($B$2="(Todas)",COUNTIF(BASE[CODCIE1010],GUIA_NACIONAL_2022_1106128105107111115129130250[[#This Row],[CIE-10]]),COUNTIFS(BASE[Cod.Establecimiento],$B$2,BASE[CODCIE1010],GUIA_NACIONAL_2022_1106128105107111115129130250[[#This Row],[CIE-10]]))</f>
        <v>0</v>
      </c>
      <c r="CN28" s="9">
        <f>SUM(GUIA_NACIONAL_2022_1106128105107111115129130250[[#This Row],[D1]:[D6]])</f>
        <v>0</v>
      </c>
    </row>
    <row r="29" spans="1:119" ht="15" customHeight="1">
      <c r="A29" s="142"/>
      <c r="B29" s="142"/>
      <c r="D29" t="s">
        <v>93</v>
      </c>
      <c r="E29" s="3" t="s">
        <v>94</v>
      </c>
      <c r="F29" s="3" t="s">
        <v>95</v>
      </c>
      <c r="G29" s="3" t="s">
        <v>96</v>
      </c>
      <c r="H29" s="3" t="s">
        <v>97</v>
      </c>
      <c r="I29" s="3" t="s">
        <v>98</v>
      </c>
      <c r="J29" s="3" t="s">
        <v>99</v>
      </c>
      <c r="K29" s="8" t="s">
        <v>100</v>
      </c>
      <c r="M29" t="s">
        <v>93</v>
      </c>
      <c r="N29" s="3" t="s">
        <v>94</v>
      </c>
      <c r="O29" s="3" t="s">
        <v>95</v>
      </c>
      <c r="P29" s="3" t="s">
        <v>96</v>
      </c>
      <c r="Q29" s="3" t="s">
        <v>97</v>
      </c>
      <c r="R29" s="3" t="s">
        <v>98</v>
      </c>
      <c r="S29" s="3" t="s">
        <v>99</v>
      </c>
      <c r="T29" s="8" t="s">
        <v>100</v>
      </c>
      <c r="V29" s="32" t="s">
        <v>119</v>
      </c>
      <c r="W29" s="3">
        <f>IF($B$2="(Todas)",COUNTIF(BASE[CODCIE10],GUIA_NACIONAL_2022_1106128143146147148[[#This Row],[CIE-10]]),COUNTIFS(BASE[Cod.Establecimiento],$B$2,BASE[CODCIE10],GUIA_NACIONAL_2022_1106128143146147148[[#This Row],[CIE-10]]))</f>
        <v>0</v>
      </c>
      <c r="X29" s="3">
        <f>IF($B$2="(Todas)",COUNTIF(BASE[CODCIE102],GUIA_NACIONAL_2022_1106128143146147148[[#This Row],[CIE-10]]),COUNTIFS(BASE[Cod.Establecimiento],$B$2,BASE[CODCIE102],GUIA_NACIONAL_2022_1106128143146147148[[#This Row],[CIE-10]]))</f>
        <v>0</v>
      </c>
      <c r="Y29" s="3">
        <f>IF($B$2="(Todas)",COUNTIF(BASE[CODCIE104],GUIA_NACIONAL_2022_1106128143146147148[[#This Row],[CIE-10]]),COUNTIFS(BASE[Cod.Establecimiento],$B$2,BASE[CODCIE104],GUIA_NACIONAL_2022_1106128143146147148[[#This Row],[CIE-10]]))</f>
        <v>0</v>
      </c>
      <c r="Z29" s="3">
        <f>IF($B$2="(Todas)",COUNTIF(BASE[CODCIE106],GUIA_NACIONAL_2022_1106128143146147148[[#This Row],[CIE-10]]),COUNTIFS(BASE[Cod.Establecimiento],$B$2,BASE[CODCIE106],GUIA_NACIONAL_2022_1106128143146147148[[#This Row],[CIE-10]]))</f>
        <v>0</v>
      </c>
      <c r="AA29" s="3">
        <f>IF($B$2="(Todas)",COUNTIF(BASE[CODCIE108],GUIA_NACIONAL_2022_1106128143146147148[[#This Row],[CIE-10]]),COUNTIFS(BASE[Cod.Establecimiento],$B$2,BASE[CODCIE108],GUIA_NACIONAL_2022_1106128143146147148[[#This Row],[CIE-10]]))</f>
        <v>0</v>
      </c>
      <c r="AB29" s="3">
        <f>IF($B$2="(Todas)",COUNTIF(BASE[CODCIE1010],GUIA_NACIONAL_2022_1106128143146147148[[#This Row],[CIE-10]]),COUNTIFS(BASE[Cod.Establecimiento],$B$2,BASE[CODCIE1010],GUIA_NACIONAL_2022_1106128143146147148[[#This Row],[CIE-10]]))</f>
        <v>0</v>
      </c>
      <c r="AC29" s="9">
        <f>SUM(GUIA_NACIONAL_2022_1106128143146147148[[#This Row],[D1]:[D6]])</f>
        <v>0</v>
      </c>
      <c r="AE29" t="s">
        <v>93</v>
      </c>
      <c r="AF29" s="3" t="s">
        <v>94</v>
      </c>
      <c r="AG29" s="3" t="s">
        <v>95</v>
      </c>
      <c r="AH29" s="3" t="s">
        <v>96</v>
      </c>
      <c r="AI29" s="3" t="s">
        <v>97</v>
      </c>
      <c r="AJ29" s="3" t="s">
        <v>98</v>
      </c>
      <c r="AK29" s="3" t="s">
        <v>99</v>
      </c>
      <c r="AL29" s="8" t="s">
        <v>100</v>
      </c>
      <c r="AN29" s="4" t="s">
        <v>557</v>
      </c>
      <c r="AO29" s="3">
        <f>IF($B$2="(Todas)",COUNTIF(BASE[CODCIE10],GUIA_NACIONAL_2022_1106128105168162197200[[#This Row],[CIE-10]]),COUNTIFS(BASE[Cod.Establecimiento],$B$2,BASE[CODCIE10],GUIA_NACIONAL_2022_1106128105168162197200[[#This Row],[CIE-10]]))</f>
        <v>0</v>
      </c>
      <c r="AP29" s="3">
        <f>IF($B$2="(Todas)",COUNTIF(BASE[CODCIE102],GUIA_NACIONAL_2022_1106128105168162197200[[#This Row],[CIE-10]]),COUNTIFS(BASE[Cod.Establecimiento],$B$2,BASE[CODCIE102],GUIA_NACIONAL_2022_1106128105168162197200[[#This Row],[CIE-10]]))</f>
        <v>0</v>
      </c>
      <c r="AQ29" s="3">
        <f>IF($B$2="(Todas)",COUNTIF(BASE[CODCIE104],GUIA_NACIONAL_2022_1106128105168162197200[[#This Row],[CIE-10]]),COUNTIFS(BASE[Cod.Establecimiento],$B$2,BASE[CODCIE104],GUIA_NACIONAL_2022_1106128105168162197200[[#This Row],[CIE-10]]))</f>
        <v>0</v>
      </c>
      <c r="AR29" s="3">
        <f>IF($B$2="(Todas)",COUNTIF(BASE[CODCIE106],GUIA_NACIONAL_2022_1106128105168162197200[[#This Row],[CIE-10]]),COUNTIFS(BASE[Cod.Establecimiento],$B$2,BASE[CODCIE106],GUIA_NACIONAL_2022_1106128105168162197200[[#This Row],[CIE-10]]))</f>
        <v>0</v>
      </c>
      <c r="AS29" s="3">
        <f>IF($B$2="(Todas)",COUNTIF(BASE[CODCIE108],GUIA_NACIONAL_2022_1106128105168162197200[[#This Row],[CIE-10]]),COUNTIFS(BASE[Cod.Establecimiento],$B$2,BASE[CODCIE108],GUIA_NACIONAL_2022_1106128105168162197200[[#This Row],[CIE-10]]))</f>
        <v>0</v>
      </c>
      <c r="AT29" s="3">
        <f>IF($B$2="(Todas)",COUNTIF(BASE[CODCIE1010],GUIA_NACIONAL_2022_1106128105168162197200[[#This Row],[CIE-10]]),COUNTIFS(BASE[Cod.Establecimiento],$B$2,BASE[CODCIE1010],GUIA_NACIONAL_2022_1106128105168162197200[[#This Row],[CIE-10]]))</f>
        <v>0</v>
      </c>
      <c r="AU29" s="9">
        <f>SUM(GUIA_NACIONAL_2022_1106128105168162197200[[#This Row],[D1]:[D6]])</f>
        <v>0</v>
      </c>
      <c r="BF29" s="150" t="s">
        <v>665</v>
      </c>
      <c r="BG29" s="150"/>
      <c r="BH29" s="150"/>
      <c r="BI29" s="150"/>
      <c r="BJ29" s="150"/>
      <c r="BK29" s="150"/>
      <c r="BL29" s="150"/>
      <c r="BM29" s="150"/>
      <c r="BO29" s="4" t="s">
        <v>331</v>
      </c>
      <c r="BP29" s="3">
        <f>IF($B$2="(Todas)",COUNTIF(BASE[CODCIE10],GUIA_NACIONAL_2022_1106128105107110207210231232234235[[#This Row],[CIE-10]]),COUNTIFS(BASE[Cod.Establecimiento],$B$2,BASE[CODCIE10],GUIA_NACIONAL_2022_1106128105107110207210231232234235[[#This Row],[CIE-10]]))</f>
        <v>0</v>
      </c>
      <c r="BQ29" s="3">
        <f>IF($B$2="(Todas)",COUNTIF(BASE[CODCIE102],GUIA_NACIONAL_2022_1106128105107110207210231232234235[[#This Row],[CIE-10]]),COUNTIFS(BASE[Cod.Establecimiento],$B$2,BASE[CODCIE102],GUIA_NACIONAL_2022_1106128105107110207210231232234235[[#This Row],[CIE-10]]))</f>
        <v>0</v>
      </c>
      <c r="BR29" s="3">
        <f>IF($B$2="(Todas)",COUNTIF(BASE[CODCIE104],GUIA_NACIONAL_2022_1106128105107110207210231232234235[[#This Row],[CIE-10]]),COUNTIFS(BASE[Cod.Establecimiento],$B$2,BASE[CODCIE104],GUIA_NACIONAL_2022_1106128105107110207210231232234235[[#This Row],[CIE-10]]))</f>
        <v>0</v>
      </c>
      <c r="BS29" s="3">
        <f>IF($B$2="(Todas)",COUNTIF(BASE[CODCIE106],GUIA_NACIONAL_2022_1106128105107110207210231232234235[[#This Row],[CIE-10]]),COUNTIFS(BASE[Cod.Establecimiento],$B$2,BASE[CODCIE106],GUIA_NACIONAL_2022_1106128105107110207210231232234235[[#This Row],[CIE-10]]))</f>
        <v>0</v>
      </c>
      <c r="BT29" s="3">
        <f>IF($B$2="(Todas)",COUNTIF(BASE[CODCIE108],GUIA_NACIONAL_2022_1106128105107110207210231232234235[[#This Row],[CIE-10]]),COUNTIFS(BASE[Cod.Establecimiento],$B$2,BASE[CODCIE108],GUIA_NACIONAL_2022_1106128105107110207210231232234235[[#This Row],[CIE-10]]))</f>
        <v>0</v>
      </c>
      <c r="BU29" s="3">
        <f>IF($B$2="(Todas)",COUNTIF(BASE[CODCIE1010],GUIA_NACIONAL_2022_1106128105107110207210231232234235[[#This Row],[CIE-10]]),COUNTIFS(BASE[Cod.Establecimiento],$B$2,BASE[CODCIE1010],GUIA_NACIONAL_2022_1106128105107110207210231232234235[[#This Row],[CIE-10]]))</f>
        <v>0</v>
      </c>
      <c r="BV29" s="9">
        <f>SUM(GUIA_NACIONAL_2022_1106128105107110207210231232234235[[#This Row],[D1]:[D6]])</f>
        <v>0</v>
      </c>
      <c r="CG29" s="146" t="s">
        <v>731</v>
      </c>
      <c r="CH29" s="147"/>
      <c r="CI29" s="147"/>
      <c r="CJ29" s="147"/>
      <c r="CK29" s="147"/>
      <c r="CL29" s="147"/>
      <c r="CM29" s="147"/>
      <c r="CN29" s="148"/>
    </row>
    <row r="30" spans="1:119" ht="15" customHeight="1">
      <c r="A30" s="142"/>
      <c r="B30" s="142"/>
      <c r="D30" s="4" t="s">
        <v>271</v>
      </c>
      <c r="E30" s="3">
        <f>IF($B$2="(Todas)",COUNTIF(BASE[CODCIE10],GUIA_NACIONAL_2022_1106109[[#This Row],[CIE-10]]),COUNTIFS(BASE[Cod.Establecimiento],$B$2,BASE[CODCIE10],GUIA_NACIONAL_2022_1106109[[#This Row],[CIE-10]]))</f>
        <v>0</v>
      </c>
      <c r="F30" s="3">
        <f>IF($B$2="(Todas)",COUNTIF(BASE[CODCIE102],GUIA_NACIONAL_2022_1106109[[#This Row],[CIE-10]]),COUNTIFS(BASE[Cod.Establecimiento],$B$2,BASE[CODCIE102],GUIA_NACIONAL_2022_1106109[[#This Row],[CIE-10]]))</f>
        <v>0</v>
      </c>
      <c r="G30" s="3">
        <f>IF($B$2="(Todas)",COUNTIF(BASE[CODCIE104],GUIA_NACIONAL_2022_1106109[[#This Row],[CIE-10]]),COUNTIFS(BASE[Cod.Establecimiento],$B$2,BASE[CODCIE104],GUIA_NACIONAL_2022_1106109[[#This Row],[CIE-10]]))</f>
        <v>0</v>
      </c>
      <c r="H30" s="3">
        <f>IF($B$2="(Todas)",COUNTIF(BASE[CODCIE106],GUIA_NACIONAL_2022_1106109[[#This Row],[CIE-10]]),COUNTIFS(BASE[Cod.Establecimiento],$B$2,BASE[CODCIE106],GUIA_NACIONAL_2022_1106109[[#This Row],[CIE-10]]))</f>
        <v>0</v>
      </c>
      <c r="I30" s="3">
        <f>IF($B$2="(Todas)",COUNTIF(BASE[CODCIE108],GUIA_NACIONAL_2022_1106109[[#This Row],[CIE-10]]),COUNTIFS(BASE[Cod.Establecimiento],$B$2,BASE[CODCIE108],GUIA_NACIONAL_2022_1106109[[#This Row],[CIE-10]]))</f>
        <v>0</v>
      </c>
      <c r="J30" s="3">
        <f>IF($B$2="(Todas)",COUNTIF(BASE[CODCIE1010],GUIA_NACIONAL_2022_1106109[[#This Row],[CIE-10]]),COUNTIFS(BASE[Cod.Establecimiento],$B$2,BASE[CODCIE1010],GUIA_NACIONAL_2022_1106109[[#This Row],[CIE-10]]))</f>
        <v>0</v>
      </c>
      <c r="K30" s="9">
        <f>SUM(GUIA_NACIONAL_2022_1106109[[#This Row],[D1]:[D6]])</f>
        <v>0</v>
      </c>
      <c r="M30" s="4" t="s">
        <v>525</v>
      </c>
      <c r="N30" s="3">
        <f>IF($B$2="(Todas)",COUNTIF(BASE[CODCIE10],GUIA_NACIONAL_2022_1106127136137138139140141[[#This Row],[CIE-10]]),COUNTIFS(BASE[Cod.Establecimiento],$B$2,BASE[CODCIE10],GUIA_NACIONAL_2022_1106127136137138139140141[[#This Row],[CIE-10]]))</f>
        <v>0</v>
      </c>
      <c r="O30" s="3">
        <f>IF($B$2="(Todas)",COUNTIF(BASE[CODCIE102],GUIA_NACIONAL_2022_1106127136137138139140141[[#This Row],[CIE-10]]),COUNTIFS(BASE[Cod.Establecimiento],$B$2,BASE[CODCIE102],GUIA_NACIONAL_2022_1106127136137138139140141[[#This Row],[CIE-10]]))</f>
        <v>0</v>
      </c>
      <c r="P30" s="3">
        <f>IF($B$2="(Todas)",COUNTIF(BASE[CODCIE104],GUIA_NACIONAL_2022_1106127136137138139140141[[#This Row],[CIE-10]]),COUNTIFS(BASE[Cod.Establecimiento],$B$2,BASE[CODCIE104],GUIA_NACIONAL_2022_1106127136137138139140141[[#This Row],[CIE-10]]))</f>
        <v>0</v>
      </c>
      <c r="Q30" s="3">
        <f>IF($B$2="(Todas)",COUNTIF(BASE[CODCIE106],GUIA_NACIONAL_2022_1106127136137138139140141[[#This Row],[CIE-10]]),COUNTIFS(BASE[Cod.Establecimiento],$B$2,BASE[CODCIE106],GUIA_NACIONAL_2022_1106127136137138139140141[[#This Row],[CIE-10]]))</f>
        <v>0</v>
      </c>
      <c r="R30" s="3">
        <f>IF($B$2="(Todas)",COUNTIF(BASE[CODCIE108],GUIA_NACIONAL_2022_1106127136137138139140141[[#This Row],[CIE-10]]),COUNTIFS(BASE[Cod.Establecimiento],$B$2,BASE[CODCIE108],GUIA_NACIONAL_2022_1106127136137138139140141[[#This Row],[CIE-10]]))</f>
        <v>0</v>
      </c>
      <c r="S30" s="3">
        <f>IF($B$2="(Todas)",COUNTIF(BASE[CODCIE1010],GUIA_NACIONAL_2022_1106127136137138139140141[[#This Row],[CIE-10]]),COUNTIFS(BASE[Cod.Establecimiento],$B$2,BASE[CODCIE1010],GUIA_NACIONAL_2022_1106127136137138139140141[[#This Row],[CIE-10]]))</f>
        <v>0</v>
      </c>
      <c r="T30" s="9">
        <f>SUM(GUIA_NACIONAL_2022_1106127136137138139140141[[#This Row],[D1]:[D6]])</f>
        <v>0</v>
      </c>
      <c r="V30" s="149" t="s">
        <v>536</v>
      </c>
      <c r="W30" s="150"/>
      <c r="X30" s="150"/>
      <c r="Y30" s="150"/>
      <c r="Z30" s="150"/>
      <c r="AA30" s="150"/>
      <c r="AB30" s="150"/>
      <c r="AC30" s="150"/>
      <c r="AE30" s="4" t="s">
        <v>570</v>
      </c>
      <c r="AF30" s="3">
        <f>IF($B$2="(Todas)",COUNTIF(BASE[CODCIE10],GUIA_NACIONAL_2022_1106128105168173[[#This Row],[CIE-10]]),COUNTIFS(BASE[Cod.Establecimiento],$B$2,BASE[CODCIE10],GUIA_NACIONAL_2022_1106128105168173[[#This Row],[CIE-10]]))</f>
        <v>0</v>
      </c>
      <c r="AG30" s="3">
        <f>IF($B$2="(Todas)",COUNTIF(BASE[CODCIE102],GUIA_NACIONAL_2022_1106128105168173[[#This Row],[CIE-10]]),COUNTIFS(BASE[Cod.Establecimiento],$B$2,BASE[CODCIE102],GUIA_NACIONAL_2022_1106128105168173[[#This Row],[CIE-10]]))</f>
        <v>0</v>
      </c>
      <c r="AH30" s="3">
        <f>IF($B$2="(Todas)",COUNTIF(BASE[CODCIE104],GUIA_NACIONAL_2022_1106128105168173[[#This Row],[CIE-10]]),COUNTIFS(BASE[Cod.Establecimiento],$B$2,BASE[CODCIE104],GUIA_NACIONAL_2022_1106128105168173[[#This Row],[CIE-10]]))</f>
        <v>0</v>
      </c>
      <c r="AI30" s="3">
        <f>IF($B$2="(Todas)",COUNTIF(BASE[CODCIE106],GUIA_NACIONAL_2022_1106128105168173[[#This Row],[CIE-10]]),COUNTIFS(BASE[Cod.Establecimiento],$B$2,BASE[CODCIE106],GUIA_NACIONAL_2022_1106128105168173[[#This Row],[CIE-10]]))</f>
        <v>0</v>
      </c>
      <c r="AJ30" s="3">
        <f>IF($B$2="(Todas)",COUNTIF(BASE[CODCIE108],GUIA_NACIONAL_2022_1106128105168173[[#This Row],[CIE-10]]),COUNTIFS(BASE[Cod.Establecimiento],$B$2,BASE[CODCIE108],GUIA_NACIONAL_2022_1106128105168173[[#This Row],[CIE-10]]))</f>
        <v>0</v>
      </c>
      <c r="AK30" s="3">
        <f>IF($B$2="(Todas)",COUNTIF(BASE[CODCIE1010],GUIA_NACIONAL_2022_1106128105168173[[#This Row],[CIE-10]]),COUNTIFS(BASE[Cod.Establecimiento],$B$2,BASE[CODCIE1010],GUIA_NACIONAL_2022_1106128105168173[[#This Row],[CIE-10]]))</f>
        <v>0</v>
      </c>
      <c r="AL30" s="9">
        <f>SUM(GUIA_NACIONAL_2022_1106128105168173[[#This Row],[D1]:[D6]])</f>
        <v>0</v>
      </c>
      <c r="AN30" s="32" t="s">
        <v>558</v>
      </c>
      <c r="AO30" s="3">
        <f>IF($B$2="(Todas)",COUNTIF(BASE[CODCIE10],GUIA_NACIONAL_2022_1106128105168162197200[[#This Row],[CIE-10]]),COUNTIFS(BASE[Cod.Establecimiento],$B$2,BASE[CODCIE10],GUIA_NACIONAL_2022_1106128105168162197200[[#This Row],[CIE-10]]))</f>
        <v>0</v>
      </c>
      <c r="AP30" s="3">
        <f>IF($B$2="(Todas)",COUNTIF(BASE[CODCIE102],GUIA_NACIONAL_2022_1106128105168162197200[[#This Row],[CIE-10]]),COUNTIFS(BASE[Cod.Establecimiento],$B$2,BASE[CODCIE102],GUIA_NACIONAL_2022_1106128105168162197200[[#This Row],[CIE-10]]))</f>
        <v>0</v>
      </c>
      <c r="AQ30" s="3">
        <f>IF($B$2="(Todas)",COUNTIF(BASE[CODCIE104],GUIA_NACIONAL_2022_1106128105168162197200[[#This Row],[CIE-10]]),COUNTIFS(BASE[Cod.Establecimiento],$B$2,BASE[CODCIE104],GUIA_NACIONAL_2022_1106128105168162197200[[#This Row],[CIE-10]]))</f>
        <v>0</v>
      </c>
      <c r="AR30" s="3">
        <f>IF($B$2="(Todas)",COUNTIF(BASE[CODCIE106],GUIA_NACIONAL_2022_1106128105168162197200[[#This Row],[CIE-10]]),COUNTIFS(BASE[Cod.Establecimiento],$B$2,BASE[CODCIE106],GUIA_NACIONAL_2022_1106128105168162197200[[#This Row],[CIE-10]]))</f>
        <v>0</v>
      </c>
      <c r="AS30" s="3">
        <f>IF($B$2="(Todas)",COUNTIF(BASE[CODCIE108],GUIA_NACIONAL_2022_1106128105168162197200[[#This Row],[CIE-10]]),COUNTIFS(BASE[Cod.Establecimiento],$B$2,BASE[CODCIE108],GUIA_NACIONAL_2022_1106128105168162197200[[#This Row],[CIE-10]]))</f>
        <v>0</v>
      </c>
      <c r="AT30" s="3">
        <f>IF($B$2="(Todas)",COUNTIF(BASE[CODCIE1010],GUIA_NACIONAL_2022_1106128105168162197200[[#This Row],[CIE-10]]),COUNTIFS(BASE[Cod.Establecimiento],$B$2,BASE[CODCIE1010],GUIA_NACIONAL_2022_1106128105168162197200[[#This Row],[CIE-10]]))</f>
        <v>0</v>
      </c>
      <c r="AU30" s="9">
        <f>SUM(GUIA_NACIONAL_2022_1106128105168162197200[[#This Row],[D1]:[D6]])</f>
        <v>0</v>
      </c>
      <c r="BF30" t="s">
        <v>93</v>
      </c>
      <c r="BG30" s="3" t="s">
        <v>94</v>
      </c>
      <c r="BH30" s="3" t="s">
        <v>95</v>
      </c>
      <c r="BI30" s="3" t="s">
        <v>96</v>
      </c>
      <c r="BJ30" s="3" t="s">
        <v>97</v>
      </c>
      <c r="BK30" s="3" t="s">
        <v>98</v>
      </c>
      <c r="BL30" s="3" t="s">
        <v>99</v>
      </c>
      <c r="BM30" s="8" t="s">
        <v>100</v>
      </c>
      <c r="BO30" s="4" t="s">
        <v>332</v>
      </c>
      <c r="BP30" s="3">
        <f>IF($B$2="(Todas)",COUNTIF(BASE[CODCIE10],GUIA_NACIONAL_2022_1106128105107110207210231232234235[[#This Row],[CIE-10]]),COUNTIFS(BASE[Cod.Establecimiento],$B$2,BASE[CODCIE10],GUIA_NACIONAL_2022_1106128105107110207210231232234235[[#This Row],[CIE-10]]))</f>
        <v>0</v>
      </c>
      <c r="BQ30" s="3">
        <f>IF($B$2="(Todas)",COUNTIF(BASE[CODCIE102],GUIA_NACIONAL_2022_1106128105107110207210231232234235[[#This Row],[CIE-10]]),COUNTIFS(BASE[Cod.Establecimiento],$B$2,BASE[CODCIE102],GUIA_NACIONAL_2022_1106128105107110207210231232234235[[#This Row],[CIE-10]]))</f>
        <v>0</v>
      </c>
      <c r="BR30" s="3">
        <f>IF($B$2="(Todas)",COUNTIF(BASE[CODCIE104],GUIA_NACIONAL_2022_1106128105107110207210231232234235[[#This Row],[CIE-10]]),COUNTIFS(BASE[Cod.Establecimiento],$B$2,BASE[CODCIE104],GUIA_NACIONAL_2022_1106128105107110207210231232234235[[#This Row],[CIE-10]]))</f>
        <v>0</v>
      </c>
      <c r="BS30" s="3">
        <f>IF($B$2="(Todas)",COUNTIF(BASE[CODCIE106],GUIA_NACIONAL_2022_1106128105107110207210231232234235[[#This Row],[CIE-10]]),COUNTIFS(BASE[Cod.Establecimiento],$B$2,BASE[CODCIE106],GUIA_NACIONAL_2022_1106128105107110207210231232234235[[#This Row],[CIE-10]]))</f>
        <v>0</v>
      </c>
      <c r="BT30" s="3">
        <f>IF($B$2="(Todas)",COUNTIF(BASE[CODCIE108],GUIA_NACIONAL_2022_1106128105107110207210231232234235[[#This Row],[CIE-10]]),COUNTIFS(BASE[Cod.Establecimiento],$B$2,BASE[CODCIE108],GUIA_NACIONAL_2022_1106128105107110207210231232234235[[#This Row],[CIE-10]]))</f>
        <v>0</v>
      </c>
      <c r="BU30" s="3">
        <f>IF($B$2="(Todas)",COUNTIF(BASE[CODCIE1010],GUIA_NACIONAL_2022_1106128105107110207210231232234235[[#This Row],[CIE-10]]),COUNTIFS(BASE[Cod.Establecimiento],$B$2,BASE[CODCIE1010],GUIA_NACIONAL_2022_1106128105107110207210231232234235[[#This Row],[CIE-10]]))</f>
        <v>0</v>
      </c>
      <c r="BV30" s="9">
        <f>SUM(GUIA_NACIONAL_2022_1106128105107110207210231232234235[[#This Row],[D1]:[D6]])</f>
        <v>0</v>
      </c>
      <c r="CG30" t="s">
        <v>93</v>
      </c>
      <c r="CH30" s="3" t="s">
        <v>94</v>
      </c>
      <c r="CI30" s="3" t="s">
        <v>95</v>
      </c>
      <c r="CJ30" s="3" t="s">
        <v>96</v>
      </c>
      <c r="CK30" s="3" t="s">
        <v>97</v>
      </c>
      <c r="CL30" s="3" t="s">
        <v>98</v>
      </c>
      <c r="CM30" s="3" t="s">
        <v>99</v>
      </c>
      <c r="CN30" s="8" t="s">
        <v>100</v>
      </c>
    </row>
    <row r="31" spans="1:119" ht="15" customHeight="1">
      <c r="A31" s="142"/>
      <c r="B31" s="142"/>
      <c r="D31" s="32" t="s">
        <v>429</v>
      </c>
      <c r="E31" s="3">
        <f>IF($B$2="(Todas)",COUNTIF(BASE[CODCIE10],GUIA_NACIONAL_2022_1106109[[#This Row],[CIE-10]]),COUNTIFS(BASE[Cod.Establecimiento],$B$2,BASE[CODCIE10],GUIA_NACIONAL_2022_1106109[[#This Row],[CIE-10]]))</f>
        <v>0</v>
      </c>
      <c r="F31" s="3">
        <f>IF($B$2="(Todas)",COUNTIF(BASE[CODCIE102],GUIA_NACIONAL_2022_1106109[[#This Row],[CIE-10]]),COUNTIFS(BASE[Cod.Establecimiento],$B$2,BASE[CODCIE102],GUIA_NACIONAL_2022_1106109[[#This Row],[CIE-10]]))</f>
        <v>0</v>
      </c>
      <c r="G31" s="3">
        <f>IF($B$2="(Todas)",COUNTIF(BASE[CODCIE104],GUIA_NACIONAL_2022_1106109[[#This Row],[CIE-10]]),COUNTIFS(BASE[Cod.Establecimiento],$B$2,BASE[CODCIE104],GUIA_NACIONAL_2022_1106109[[#This Row],[CIE-10]]))</f>
        <v>0</v>
      </c>
      <c r="H31" s="3">
        <f>IF($B$2="(Todas)",COUNTIF(BASE[CODCIE106],GUIA_NACIONAL_2022_1106109[[#This Row],[CIE-10]]),COUNTIFS(BASE[Cod.Establecimiento],$B$2,BASE[CODCIE106],GUIA_NACIONAL_2022_1106109[[#This Row],[CIE-10]]))</f>
        <v>0</v>
      </c>
      <c r="I31" s="3">
        <f>IF($B$2="(Todas)",COUNTIF(BASE[CODCIE108],GUIA_NACIONAL_2022_1106109[[#This Row],[CIE-10]]),COUNTIFS(BASE[Cod.Establecimiento],$B$2,BASE[CODCIE108],GUIA_NACIONAL_2022_1106109[[#This Row],[CIE-10]]))</f>
        <v>0</v>
      </c>
      <c r="J31" s="3">
        <f>IF($B$2="(Todas)",COUNTIF(BASE[CODCIE1010],GUIA_NACIONAL_2022_1106109[[#This Row],[CIE-10]]),COUNTIFS(BASE[Cod.Establecimiento],$B$2,BASE[CODCIE1010],GUIA_NACIONAL_2022_1106109[[#This Row],[CIE-10]]))</f>
        <v>0</v>
      </c>
      <c r="K31" s="9">
        <f>SUM(GUIA_NACIONAL_2022_1106109[[#This Row],[D1]:[D6]])</f>
        <v>0</v>
      </c>
      <c r="M31" s="32" t="s">
        <v>526</v>
      </c>
      <c r="N31" s="3">
        <f>IF($B$2="(Todas)",COUNTIF(BASE[CODCIE10],GUIA_NACIONAL_2022_1106127136137138139140141[[#This Row],[CIE-10]]),COUNTIFS(BASE[Cod.Establecimiento],$B$2,BASE[CODCIE10],GUIA_NACIONAL_2022_1106127136137138139140141[[#This Row],[CIE-10]]))</f>
        <v>0</v>
      </c>
      <c r="O31" s="3">
        <f>IF($B$2="(Todas)",COUNTIF(BASE[CODCIE102],GUIA_NACIONAL_2022_1106127136137138139140141[[#This Row],[CIE-10]]),COUNTIFS(BASE[Cod.Establecimiento],$B$2,BASE[CODCIE102],GUIA_NACIONAL_2022_1106127136137138139140141[[#This Row],[CIE-10]]))</f>
        <v>0</v>
      </c>
      <c r="P31" s="3">
        <f>IF($B$2="(Todas)",COUNTIF(BASE[CODCIE104],GUIA_NACIONAL_2022_1106127136137138139140141[[#This Row],[CIE-10]]),COUNTIFS(BASE[Cod.Establecimiento],$B$2,BASE[CODCIE104],GUIA_NACIONAL_2022_1106127136137138139140141[[#This Row],[CIE-10]]))</f>
        <v>0</v>
      </c>
      <c r="Q31" s="3">
        <f>IF($B$2="(Todas)",COUNTIF(BASE[CODCIE106],GUIA_NACIONAL_2022_1106127136137138139140141[[#This Row],[CIE-10]]),COUNTIFS(BASE[Cod.Establecimiento],$B$2,BASE[CODCIE106],GUIA_NACIONAL_2022_1106127136137138139140141[[#This Row],[CIE-10]]))</f>
        <v>0</v>
      </c>
      <c r="R31" s="3">
        <f>IF($B$2="(Todas)",COUNTIF(BASE[CODCIE108],GUIA_NACIONAL_2022_1106127136137138139140141[[#This Row],[CIE-10]]),COUNTIFS(BASE[Cod.Establecimiento],$B$2,BASE[CODCIE108],GUIA_NACIONAL_2022_1106127136137138139140141[[#This Row],[CIE-10]]))</f>
        <v>0</v>
      </c>
      <c r="S31" s="3">
        <f>IF($B$2="(Todas)",COUNTIF(BASE[CODCIE1010],GUIA_NACIONAL_2022_1106127136137138139140141[[#This Row],[CIE-10]]),COUNTIFS(BASE[Cod.Establecimiento],$B$2,BASE[CODCIE1010],GUIA_NACIONAL_2022_1106127136137138139140141[[#This Row],[CIE-10]]))</f>
        <v>0</v>
      </c>
      <c r="T31" s="9">
        <f>SUM(GUIA_NACIONAL_2022_1106127136137138139140141[[#This Row],[D1]:[D6]])</f>
        <v>0</v>
      </c>
      <c r="V31" t="s">
        <v>93</v>
      </c>
      <c r="W31" s="3" t="s">
        <v>94</v>
      </c>
      <c r="X31" s="3" t="s">
        <v>95</v>
      </c>
      <c r="Y31" s="3" t="s">
        <v>96</v>
      </c>
      <c r="Z31" s="3" t="s">
        <v>97</v>
      </c>
      <c r="AA31" s="3" t="s">
        <v>98</v>
      </c>
      <c r="AB31" s="3" t="s">
        <v>99</v>
      </c>
      <c r="AC31" s="8" t="s">
        <v>100</v>
      </c>
      <c r="AE31" s="150" t="s">
        <v>572</v>
      </c>
      <c r="AF31" s="150"/>
      <c r="AG31" s="150"/>
      <c r="AH31" s="150"/>
      <c r="AI31" s="150"/>
      <c r="AJ31" s="150"/>
      <c r="AK31" s="150"/>
      <c r="AL31" s="150"/>
      <c r="AN31" s="150" t="s">
        <v>627</v>
      </c>
      <c r="AO31" s="150"/>
      <c r="AP31" s="150"/>
      <c r="AQ31" s="150"/>
      <c r="AR31" s="150"/>
      <c r="AS31" s="150"/>
      <c r="AT31" s="150"/>
      <c r="AU31" s="150"/>
      <c r="BF31" s="4" t="s">
        <v>662</v>
      </c>
      <c r="BG31" s="3">
        <f>IF($B$2="(Todas)",COUNTIF(BASE[CODCIE10],GUIA_NACIONAL_2022_1106128105107110207214216217218[[#This Row],[CIE-10]]),COUNTIFS(BASE[Cod.Establecimiento],$B$2,BASE[CODCIE10],GUIA_NACIONAL_2022_1106128105107110207214216217218[[#This Row],[CIE-10]]))</f>
        <v>0</v>
      </c>
      <c r="BH31" s="3">
        <f>IF($B$2="(Todas)",COUNTIF(BASE[CODCIE102],GUIA_NACIONAL_2022_1106128105107110207214216217218[[#This Row],[CIE-10]]),COUNTIFS(BASE[Cod.Establecimiento],$B$2,BASE[CODCIE102],GUIA_NACIONAL_2022_1106128105107110207214216217218[[#This Row],[CIE-10]]))</f>
        <v>0</v>
      </c>
      <c r="BI31" s="3">
        <f>IF($B$2="(Todas)",COUNTIF(BASE[CODCIE104],GUIA_NACIONAL_2022_1106128105107110207214216217218[[#This Row],[CIE-10]]),COUNTIFS(BASE[Cod.Establecimiento],$B$2,BASE[CODCIE104],GUIA_NACIONAL_2022_1106128105107110207214216217218[[#This Row],[CIE-10]]))</f>
        <v>0</v>
      </c>
      <c r="BJ31" s="3">
        <f>IF($B$2="(Todas)",COUNTIF(BASE[CODCIE106],GUIA_NACIONAL_2022_1106128105107110207214216217218[[#This Row],[CIE-10]]),COUNTIFS(BASE[Cod.Establecimiento],$B$2,BASE[CODCIE106],GUIA_NACIONAL_2022_1106128105107110207214216217218[[#This Row],[CIE-10]]))</f>
        <v>0</v>
      </c>
      <c r="BK31" s="3">
        <f>IF($B$2="(Todas)",COUNTIF(BASE[CODCIE108],GUIA_NACIONAL_2022_1106128105107110207214216217218[[#This Row],[CIE-10]]),COUNTIFS(BASE[Cod.Establecimiento],$B$2,BASE[CODCIE108],GUIA_NACIONAL_2022_1106128105107110207214216217218[[#This Row],[CIE-10]]))</f>
        <v>0</v>
      </c>
      <c r="BL31" s="3">
        <f>IF($B$2="(Todas)",COUNTIF(BASE[CODCIE1010],GUIA_NACIONAL_2022_1106128105107110207214216217218[[#This Row],[CIE-10]]),COUNTIFS(BASE[Cod.Establecimiento],$B$2,BASE[CODCIE1010],GUIA_NACIONAL_2022_1106128105107110207214216217218[[#This Row],[CIE-10]]))</f>
        <v>0</v>
      </c>
      <c r="BM31" s="9">
        <f>SUM(GUIA_NACIONAL_2022_1106128105107110207214216217218[[#This Row],[D1]:[D6]])</f>
        <v>0</v>
      </c>
      <c r="BO31" s="4" t="s">
        <v>323</v>
      </c>
      <c r="BP31" s="3">
        <f>IF($B$2="(Todas)",COUNTIF(BASE[CODCIE10],GUIA_NACIONAL_2022_1106128105107110207210231232234235[[#This Row],[CIE-10]]),COUNTIFS(BASE[Cod.Establecimiento],$B$2,BASE[CODCIE10],GUIA_NACIONAL_2022_1106128105107110207210231232234235[[#This Row],[CIE-10]]))</f>
        <v>0</v>
      </c>
      <c r="BQ31" s="3">
        <f>IF($B$2="(Todas)",COUNTIF(BASE[CODCIE102],GUIA_NACIONAL_2022_1106128105107110207210231232234235[[#This Row],[CIE-10]]),COUNTIFS(BASE[Cod.Establecimiento],$B$2,BASE[CODCIE102],GUIA_NACIONAL_2022_1106128105107110207210231232234235[[#This Row],[CIE-10]]))</f>
        <v>0</v>
      </c>
      <c r="BR31" s="3">
        <f>IF($B$2="(Todas)",COUNTIF(BASE[CODCIE104],GUIA_NACIONAL_2022_1106128105107110207210231232234235[[#This Row],[CIE-10]]),COUNTIFS(BASE[Cod.Establecimiento],$B$2,BASE[CODCIE104],GUIA_NACIONAL_2022_1106128105107110207210231232234235[[#This Row],[CIE-10]]))</f>
        <v>0</v>
      </c>
      <c r="BS31" s="3">
        <f>IF($B$2="(Todas)",COUNTIF(BASE[CODCIE106],GUIA_NACIONAL_2022_1106128105107110207210231232234235[[#This Row],[CIE-10]]),COUNTIFS(BASE[Cod.Establecimiento],$B$2,BASE[CODCIE106],GUIA_NACIONAL_2022_1106128105107110207210231232234235[[#This Row],[CIE-10]]))</f>
        <v>0</v>
      </c>
      <c r="BT31" s="3">
        <f>IF($B$2="(Todas)",COUNTIF(BASE[CODCIE108],GUIA_NACIONAL_2022_1106128105107110207210231232234235[[#This Row],[CIE-10]]),COUNTIFS(BASE[Cod.Establecimiento],$B$2,BASE[CODCIE108],GUIA_NACIONAL_2022_1106128105107110207210231232234235[[#This Row],[CIE-10]]))</f>
        <v>0</v>
      </c>
      <c r="BU31" s="3">
        <f>IF($B$2="(Todas)",COUNTIF(BASE[CODCIE1010],GUIA_NACIONAL_2022_1106128105107110207210231232234235[[#This Row],[CIE-10]]),COUNTIFS(BASE[Cod.Establecimiento],$B$2,BASE[CODCIE1010],GUIA_NACIONAL_2022_1106128105107110207210231232234235[[#This Row],[CIE-10]]))</f>
        <v>0</v>
      </c>
      <c r="BV31" s="9">
        <f>SUM(GUIA_NACIONAL_2022_1106128105107110207210231232234235[[#This Row],[D1]:[D6]])</f>
        <v>0</v>
      </c>
      <c r="CG31" s="4" t="s">
        <v>732</v>
      </c>
      <c r="CH31" s="3">
        <f>IF($B$2="(Todas)",COUNTIF(BASE[CODCIE10],GUIA_NACIONAL_2022_1106128105107111115129130250251[[#This Row],[CIE-10]]),COUNTIFS(BASE[Cod.Establecimiento],$B$2,BASE[CODCIE10],GUIA_NACIONAL_2022_1106128105107111115129130250251[[#This Row],[CIE-10]]))</f>
        <v>0</v>
      </c>
      <c r="CI31" s="3">
        <f>IF($B$2="(Todas)",COUNTIF(BASE[CODCIE102],GUIA_NACIONAL_2022_1106128105107111115129130250251[[#This Row],[CIE-10]]),COUNTIFS(BASE[Cod.Establecimiento],$B$2,BASE[CODCIE102],GUIA_NACIONAL_2022_1106128105107111115129130250251[[#This Row],[CIE-10]]))</f>
        <v>0</v>
      </c>
      <c r="CJ31" s="3">
        <f>IF($B$2="(Todas)",COUNTIF(BASE[CODCIE104],GUIA_NACIONAL_2022_1106128105107111115129130250251[[#This Row],[CIE-10]]),COUNTIFS(BASE[Cod.Establecimiento],$B$2,BASE[CODCIE104],GUIA_NACIONAL_2022_1106128105107111115129130250251[[#This Row],[CIE-10]]))</f>
        <v>0</v>
      </c>
      <c r="CK31" s="3">
        <f>IF($B$2="(Todas)",COUNTIF(BASE[CODCIE106],GUIA_NACIONAL_2022_1106128105107111115129130250251[[#This Row],[CIE-10]]),COUNTIFS(BASE[Cod.Establecimiento],$B$2,BASE[CODCIE106],GUIA_NACIONAL_2022_1106128105107111115129130250251[[#This Row],[CIE-10]]))</f>
        <v>0</v>
      </c>
      <c r="CL31" s="3">
        <f>IF($B$2="(Todas)",COUNTIF(BASE[CODCIE108],GUIA_NACIONAL_2022_1106128105107111115129130250251[[#This Row],[CIE-10]]),COUNTIFS(BASE[Cod.Establecimiento],$B$2,BASE[CODCIE108],GUIA_NACIONAL_2022_1106128105107111115129130250251[[#This Row],[CIE-10]]))</f>
        <v>0</v>
      </c>
      <c r="CM31" s="3">
        <f>IF($B$2="(Todas)",COUNTIF(BASE[CODCIE1010],GUIA_NACIONAL_2022_1106128105107111115129130250251[[#This Row],[CIE-10]]),COUNTIFS(BASE[Cod.Establecimiento],$B$2,BASE[CODCIE1010],GUIA_NACIONAL_2022_1106128105107111115129130250251[[#This Row],[CIE-10]]))</f>
        <v>0</v>
      </c>
      <c r="CN31" s="9">
        <f>SUM(GUIA_NACIONAL_2022_1106128105107111115129130250251[[#This Row],[D1]:[D6]])</f>
        <v>0</v>
      </c>
    </row>
    <row r="32" spans="1:119" ht="15" customHeight="1">
      <c r="A32" s="142"/>
      <c r="B32" s="142"/>
      <c r="D32" s="32" t="s">
        <v>307</v>
      </c>
      <c r="E32" s="3">
        <f>IF($B$2="(Todas)",COUNTIF(BASE[CODCIE10],GUIA_NACIONAL_2022_1106109[[#This Row],[CIE-10]]),COUNTIFS(BASE[Cod.Establecimiento],$B$2,BASE[CODCIE10],GUIA_NACIONAL_2022_1106109[[#This Row],[CIE-10]]))</f>
        <v>0</v>
      </c>
      <c r="F32" s="3">
        <f>IF($B$2="(Todas)",COUNTIF(BASE[CODCIE102],GUIA_NACIONAL_2022_1106109[[#This Row],[CIE-10]]),COUNTIFS(BASE[Cod.Establecimiento],$B$2,BASE[CODCIE102],GUIA_NACIONAL_2022_1106109[[#This Row],[CIE-10]]))</f>
        <v>0</v>
      </c>
      <c r="G32" s="3">
        <f>IF($B$2="(Todas)",COUNTIF(BASE[CODCIE104],GUIA_NACIONAL_2022_1106109[[#This Row],[CIE-10]]),COUNTIFS(BASE[Cod.Establecimiento],$B$2,BASE[CODCIE104],GUIA_NACIONAL_2022_1106109[[#This Row],[CIE-10]]))</f>
        <v>0</v>
      </c>
      <c r="H32" s="3">
        <f>IF($B$2="(Todas)",COUNTIF(BASE[CODCIE106],GUIA_NACIONAL_2022_1106109[[#This Row],[CIE-10]]),COUNTIFS(BASE[Cod.Establecimiento],$B$2,BASE[CODCIE106],GUIA_NACIONAL_2022_1106109[[#This Row],[CIE-10]]))</f>
        <v>0</v>
      </c>
      <c r="I32" s="3">
        <f>IF($B$2="(Todas)",COUNTIF(BASE[CODCIE108],GUIA_NACIONAL_2022_1106109[[#This Row],[CIE-10]]),COUNTIFS(BASE[Cod.Establecimiento],$B$2,BASE[CODCIE108],GUIA_NACIONAL_2022_1106109[[#This Row],[CIE-10]]))</f>
        <v>0</v>
      </c>
      <c r="J32" s="3">
        <f>IF($B$2="(Todas)",COUNTIF(BASE[CODCIE1010],GUIA_NACIONAL_2022_1106109[[#This Row],[CIE-10]]),COUNTIFS(BASE[Cod.Establecimiento],$B$2,BASE[CODCIE1010],GUIA_NACIONAL_2022_1106109[[#This Row],[CIE-10]]))</f>
        <v>0</v>
      </c>
      <c r="K32" s="9">
        <f>SUM(GUIA_NACIONAL_2022_1106109[[#This Row],[D1]:[D6]])</f>
        <v>0</v>
      </c>
      <c r="M32" s="32" t="s">
        <v>527</v>
      </c>
      <c r="N32" s="3">
        <f>IF($B$2="(Todas)",COUNTIF(BASE[CODCIE10],GUIA_NACIONAL_2022_1106127136137138139140141[[#This Row],[CIE-10]]),COUNTIFS(BASE[Cod.Establecimiento],$B$2,BASE[CODCIE10],GUIA_NACIONAL_2022_1106127136137138139140141[[#This Row],[CIE-10]]))</f>
        <v>0</v>
      </c>
      <c r="O32" s="3">
        <f>IF($B$2="(Todas)",COUNTIF(BASE[CODCIE102],GUIA_NACIONAL_2022_1106127136137138139140141[[#This Row],[CIE-10]]),COUNTIFS(BASE[Cod.Establecimiento],$B$2,BASE[CODCIE102],GUIA_NACIONAL_2022_1106127136137138139140141[[#This Row],[CIE-10]]))</f>
        <v>0</v>
      </c>
      <c r="P32" s="3">
        <f>IF($B$2="(Todas)",COUNTIF(BASE[CODCIE104],GUIA_NACIONAL_2022_1106127136137138139140141[[#This Row],[CIE-10]]),COUNTIFS(BASE[Cod.Establecimiento],$B$2,BASE[CODCIE104],GUIA_NACIONAL_2022_1106127136137138139140141[[#This Row],[CIE-10]]))</f>
        <v>0</v>
      </c>
      <c r="Q32" s="3">
        <f>IF($B$2="(Todas)",COUNTIF(BASE[CODCIE106],GUIA_NACIONAL_2022_1106127136137138139140141[[#This Row],[CIE-10]]),COUNTIFS(BASE[Cod.Establecimiento],$B$2,BASE[CODCIE106],GUIA_NACIONAL_2022_1106127136137138139140141[[#This Row],[CIE-10]]))</f>
        <v>0</v>
      </c>
      <c r="R32" s="3">
        <f>IF($B$2="(Todas)",COUNTIF(BASE[CODCIE108],GUIA_NACIONAL_2022_1106127136137138139140141[[#This Row],[CIE-10]]),COUNTIFS(BASE[Cod.Establecimiento],$B$2,BASE[CODCIE108],GUIA_NACIONAL_2022_1106127136137138139140141[[#This Row],[CIE-10]]))</f>
        <v>0</v>
      </c>
      <c r="S32" s="3">
        <f>IF($B$2="(Todas)",COUNTIF(BASE[CODCIE1010],GUIA_NACIONAL_2022_1106127136137138139140141[[#This Row],[CIE-10]]),COUNTIFS(BASE[Cod.Establecimiento],$B$2,BASE[CODCIE1010],GUIA_NACIONAL_2022_1106127136137138139140141[[#This Row],[CIE-10]]))</f>
        <v>0</v>
      </c>
      <c r="T32" s="9">
        <f>SUM(GUIA_NACIONAL_2022_1106127136137138139140141[[#This Row],[D1]:[D6]])</f>
        <v>0</v>
      </c>
      <c r="V32" s="4" t="s">
        <v>122</v>
      </c>
      <c r="W32" s="3">
        <f>IF($B$2="(Todas)",COUNTIF(BASE[CODCIE10],GUIA_NACIONAL_2022_1106128143146149[[#This Row],[CIE-10]]),COUNTIFS(BASE[Cod.Establecimiento],$B$2,BASE[CODCIE10],GUIA_NACIONAL_2022_1106128143146149[[#This Row],[CIE-10]]))</f>
        <v>0</v>
      </c>
      <c r="X32" s="3">
        <f>IF($B$2="(Todas)",COUNTIF(BASE[CODCIE102],GUIA_NACIONAL_2022_1106128143146149[[#This Row],[CIE-10]]),COUNTIFS(BASE[Cod.Establecimiento],$B$2,BASE[CODCIE102],GUIA_NACIONAL_2022_1106128143146149[[#This Row],[CIE-10]]))</f>
        <v>0</v>
      </c>
      <c r="Y32" s="3">
        <f>IF($B$2="(Todas)",COUNTIF(BASE[CODCIE104],GUIA_NACIONAL_2022_1106128143146149[[#This Row],[CIE-10]]),COUNTIFS(BASE[Cod.Establecimiento],$B$2,BASE[CODCIE104],GUIA_NACIONAL_2022_1106128143146149[[#This Row],[CIE-10]]))</f>
        <v>0</v>
      </c>
      <c r="Z32" s="3">
        <f>IF($B$2="(Todas)",COUNTIF(BASE[CODCIE106],GUIA_NACIONAL_2022_1106128143146149[[#This Row],[CIE-10]]),COUNTIFS(BASE[Cod.Establecimiento],$B$2,BASE[CODCIE106],GUIA_NACIONAL_2022_1106128143146149[[#This Row],[CIE-10]]))</f>
        <v>0</v>
      </c>
      <c r="AA32" s="3">
        <f>IF($B$2="(Todas)",COUNTIF(BASE[CODCIE108],GUIA_NACIONAL_2022_1106128143146149[[#This Row],[CIE-10]]),COUNTIFS(BASE[Cod.Establecimiento],$B$2,BASE[CODCIE108],GUIA_NACIONAL_2022_1106128143146149[[#This Row],[CIE-10]]))</f>
        <v>0</v>
      </c>
      <c r="AB32" s="3">
        <f>IF($B$2="(Todas)",COUNTIF(BASE[CODCIE1010],GUIA_NACIONAL_2022_1106128143146149[[#This Row],[CIE-10]]),COUNTIFS(BASE[Cod.Establecimiento],$B$2,BASE[CODCIE1010],GUIA_NACIONAL_2022_1106128143146149[[#This Row],[CIE-10]]))</f>
        <v>0</v>
      </c>
      <c r="AC32" s="9">
        <f>SUM(GUIA_NACIONAL_2022_1106128143146149[[#This Row],[D1]:[D6]])</f>
        <v>0</v>
      </c>
      <c r="AE32" t="s">
        <v>93</v>
      </c>
      <c r="AF32" s="3" t="s">
        <v>94</v>
      </c>
      <c r="AG32" s="3" t="s">
        <v>95</v>
      </c>
      <c r="AH32" s="3" t="s">
        <v>96</v>
      </c>
      <c r="AI32" s="3" t="s">
        <v>97</v>
      </c>
      <c r="AJ32" s="3" t="s">
        <v>98</v>
      </c>
      <c r="AK32" s="3" t="s">
        <v>99</v>
      </c>
      <c r="AL32" s="8" t="s">
        <v>100</v>
      </c>
      <c r="AN32" t="s">
        <v>93</v>
      </c>
      <c r="AO32" s="3" t="s">
        <v>94</v>
      </c>
      <c r="AP32" s="3" t="s">
        <v>95</v>
      </c>
      <c r="AQ32" s="3" t="s">
        <v>96</v>
      </c>
      <c r="AR32" s="3" t="s">
        <v>97</v>
      </c>
      <c r="AS32" s="3" t="s">
        <v>98</v>
      </c>
      <c r="AT32" s="3" t="s">
        <v>99</v>
      </c>
      <c r="AU32" s="8" t="s">
        <v>100</v>
      </c>
      <c r="BF32" s="4" t="s">
        <v>663</v>
      </c>
      <c r="BG32" s="3">
        <f>IF($B$2="(Todas)",COUNTIF(BASE[CODCIE10],GUIA_NACIONAL_2022_1106128105107110207214216217218[[#This Row],[CIE-10]]),COUNTIFS(BASE[Cod.Establecimiento],$B$2,BASE[CODCIE10],GUIA_NACIONAL_2022_1106128105107110207214216217218[[#This Row],[CIE-10]]))</f>
        <v>0</v>
      </c>
      <c r="BH32" s="3">
        <f>IF($B$2="(Todas)",COUNTIF(BASE[CODCIE102],GUIA_NACIONAL_2022_1106128105107110207214216217218[[#This Row],[CIE-10]]),COUNTIFS(BASE[Cod.Establecimiento],$B$2,BASE[CODCIE102],GUIA_NACIONAL_2022_1106128105107110207214216217218[[#This Row],[CIE-10]]))</f>
        <v>0</v>
      </c>
      <c r="BI32" s="3">
        <f>IF($B$2="(Todas)",COUNTIF(BASE[CODCIE104],GUIA_NACIONAL_2022_1106128105107110207214216217218[[#This Row],[CIE-10]]),COUNTIFS(BASE[Cod.Establecimiento],$B$2,BASE[CODCIE104],GUIA_NACIONAL_2022_1106128105107110207214216217218[[#This Row],[CIE-10]]))</f>
        <v>0</v>
      </c>
      <c r="BJ32" s="3">
        <f>IF($B$2="(Todas)",COUNTIF(BASE[CODCIE106],GUIA_NACIONAL_2022_1106128105107110207214216217218[[#This Row],[CIE-10]]),COUNTIFS(BASE[Cod.Establecimiento],$B$2,BASE[CODCIE106],GUIA_NACIONAL_2022_1106128105107110207214216217218[[#This Row],[CIE-10]]))</f>
        <v>0</v>
      </c>
      <c r="BK32" s="3">
        <f>IF($B$2="(Todas)",COUNTIF(BASE[CODCIE108],GUIA_NACIONAL_2022_1106128105107110207214216217218[[#This Row],[CIE-10]]),COUNTIFS(BASE[Cod.Establecimiento],$B$2,BASE[CODCIE108],GUIA_NACIONAL_2022_1106128105107110207214216217218[[#This Row],[CIE-10]]))</f>
        <v>0</v>
      </c>
      <c r="BL32" s="3">
        <f>IF($B$2="(Todas)",COUNTIF(BASE[CODCIE1010],GUIA_NACIONAL_2022_1106128105107110207214216217218[[#This Row],[CIE-10]]),COUNTIFS(BASE[Cod.Establecimiento],$B$2,BASE[CODCIE1010],GUIA_NACIONAL_2022_1106128105107110207214216217218[[#This Row],[CIE-10]]))</f>
        <v>0</v>
      </c>
      <c r="BM32" s="9">
        <f>SUM(GUIA_NACIONAL_2022_1106128105107110207214216217218[[#This Row],[D1]:[D6]])</f>
        <v>0</v>
      </c>
      <c r="BO32" s="4" t="s">
        <v>324</v>
      </c>
      <c r="BP32" s="3">
        <f>IF($B$2="(Todas)",COUNTIF(BASE[CODCIE10],GUIA_NACIONAL_2022_1106128105107110207210231232234235[[#This Row],[CIE-10]]),COUNTIFS(BASE[Cod.Establecimiento],$B$2,BASE[CODCIE10],GUIA_NACIONAL_2022_1106128105107110207210231232234235[[#This Row],[CIE-10]]))</f>
        <v>0</v>
      </c>
      <c r="BQ32" s="3">
        <f>IF($B$2="(Todas)",COUNTIF(BASE[CODCIE102],GUIA_NACIONAL_2022_1106128105107110207210231232234235[[#This Row],[CIE-10]]),COUNTIFS(BASE[Cod.Establecimiento],$B$2,BASE[CODCIE102],GUIA_NACIONAL_2022_1106128105107110207210231232234235[[#This Row],[CIE-10]]))</f>
        <v>0</v>
      </c>
      <c r="BR32" s="3">
        <f>IF($B$2="(Todas)",COUNTIF(BASE[CODCIE104],GUIA_NACIONAL_2022_1106128105107110207210231232234235[[#This Row],[CIE-10]]),COUNTIFS(BASE[Cod.Establecimiento],$B$2,BASE[CODCIE104],GUIA_NACIONAL_2022_1106128105107110207210231232234235[[#This Row],[CIE-10]]))</f>
        <v>0</v>
      </c>
      <c r="BS32" s="3">
        <f>IF($B$2="(Todas)",COUNTIF(BASE[CODCIE106],GUIA_NACIONAL_2022_1106128105107110207210231232234235[[#This Row],[CIE-10]]),COUNTIFS(BASE[Cod.Establecimiento],$B$2,BASE[CODCIE106],GUIA_NACIONAL_2022_1106128105107110207210231232234235[[#This Row],[CIE-10]]))</f>
        <v>0</v>
      </c>
      <c r="BT32" s="3">
        <f>IF($B$2="(Todas)",COUNTIF(BASE[CODCIE108],GUIA_NACIONAL_2022_1106128105107110207210231232234235[[#This Row],[CIE-10]]),COUNTIFS(BASE[Cod.Establecimiento],$B$2,BASE[CODCIE108],GUIA_NACIONAL_2022_1106128105107110207210231232234235[[#This Row],[CIE-10]]))</f>
        <v>0</v>
      </c>
      <c r="BU32" s="3">
        <f>IF($B$2="(Todas)",COUNTIF(BASE[CODCIE1010],GUIA_NACIONAL_2022_1106128105107110207210231232234235[[#This Row],[CIE-10]]),COUNTIFS(BASE[Cod.Establecimiento],$B$2,BASE[CODCIE1010],GUIA_NACIONAL_2022_1106128105107110207210231232234235[[#This Row],[CIE-10]]))</f>
        <v>0</v>
      </c>
      <c r="BV32" s="9">
        <f>SUM(GUIA_NACIONAL_2022_1106128105107110207210231232234235[[#This Row],[D1]:[D6]])</f>
        <v>0</v>
      </c>
      <c r="CG32" s="146" t="s">
        <v>738</v>
      </c>
      <c r="CH32" s="147"/>
      <c r="CI32" s="147"/>
      <c r="CJ32" s="147"/>
      <c r="CK32" s="147"/>
      <c r="CL32" s="147"/>
      <c r="CM32" s="147"/>
      <c r="CN32" s="148"/>
    </row>
    <row r="33" spans="1:92" ht="15" customHeight="1">
      <c r="A33" s="142"/>
      <c r="B33" s="142"/>
      <c r="D33" s="32" t="s">
        <v>309</v>
      </c>
      <c r="E33" s="3">
        <f>IF($B$2="(Todas)",COUNTIF(BASE[CODCIE10],GUIA_NACIONAL_2022_1106109[[#This Row],[CIE-10]]),COUNTIFS(BASE[Cod.Establecimiento],$B$2,BASE[CODCIE10],GUIA_NACIONAL_2022_1106109[[#This Row],[CIE-10]]))</f>
        <v>0</v>
      </c>
      <c r="F33" s="3">
        <f>IF($B$2="(Todas)",COUNTIF(BASE[CODCIE102],GUIA_NACIONAL_2022_1106109[[#This Row],[CIE-10]]),COUNTIFS(BASE[Cod.Establecimiento],$B$2,BASE[CODCIE102],GUIA_NACIONAL_2022_1106109[[#This Row],[CIE-10]]))</f>
        <v>0</v>
      </c>
      <c r="G33" s="3">
        <f>IF($B$2="(Todas)",COUNTIF(BASE[CODCIE104],GUIA_NACIONAL_2022_1106109[[#This Row],[CIE-10]]),COUNTIFS(BASE[Cod.Establecimiento],$B$2,BASE[CODCIE104],GUIA_NACIONAL_2022_1106109[[#This Row],[CIE-10]]))</f>
        <v>0</v>
      </c>
      <c r="H33" s="3">
        <f>IF($B$2="(Todas)",COUNTIF(BASE[CODCIE106],GUIA_NACIONAL_2022_1106109[[#This Row],[CIE-10]]),COUNTIFS(BASE[Cod.Establecimiento],$B$2,BASE[CODCIE106],GUIA_NACIONAL_2022_1106109[[#This Row],[CIE-10]]))</f>
        <v>0</v>
      </c>
      <c r="I33" s="3">
        <f>IF($B$2="(Todas)",COUNTIF(BASE[CODCIE108],GUIA_NACIONAL_2022_1106109[[#This Row],[CIE-10]]),COUNTIFS(BASE[Cod.Establecimiento],$B$2,BASE[CODCIE108],GUIA_NACIONAL_2022_1106109[[#This Row],[CIE-10]]))</f>
        <v>0</v>
      </c>
      <c r="J33" s="3">
        <f>IF($B$2="(Todas)",COUNTIF(BASE[CODCIE1010],GUIA_NACIONAL_2022_1106109[[#This Row],[CIE-10]]),COUNTIFS(BASE[Cod.Establecimiento],$B$2,BASE[CODCIE1010],GUIA_NACIONAL_2022_1106109[[#This Row],[CIE-10]]))</f>
        <v>0</v>
      </c>
      <c r="K33" s="9">
        <f>SUM(GUIA_NACIONAL_2022_1106109[[#This Row],[D1]:[D6]])</f>
        <v>0</v>
      </c>
      <c r="M33" s="32" t="s">
        <v>395</v>
      </c>
      <c r="N33" s="3">
        <f>IF($B$2="(Todas)",COUNTIF(BASE[CODCIE10],GUIA_NACIONAL_2022_1106127136137138139140141[[#This Row],[CIE-10]]),COUNTIFS(BASE[Cod.Establecimiento],$B$2,BASE[CODCIE10],GUIA_NACIONAL_2022_1106127136137138139140141[[#This Row],[CIE-10]]))</f>
        <v>0</v>
      </c>
      <c r="O33" s="3">
        <f>IF($B$2="(Todas)",COUNTIF(BASE[CODCIE102],GUIA_NACIONAL_2022_1106127136137138139140141[[#This Row],[CIE-10]]),COUNTIFS(BASE[Cod.Establecimiento],$B$2,BASE[CODCIE102],GUIA_NACIONAL_2022_1106127136137138139140141[[#This Row],[CIE-10]]))</f>
        <v>0</v>
      </c>
      <c r="P33" s="3">
        <f>IF($B$2="(Todas)",COUNTIF(BASE[CODCIE104],GUIA_NACIONAL_2022_1106127136137138139140141[[#This Row],[CIE-10]]),COUNTIFS(BASE[Cod.Establecimiento],$B$2,BASE[CODCIE104],GUIA_NACIONAL_2022_1106127136137138139140141[[#This Row],[CIE-10]]))</f>
        <v>0</v>
      </c>
      <c r="Q33" s="3">
        <f>IF($B$2="(Todas)",COUNTIF(BASE[CODCIE106],GUIA_NACIONAL_2022_1106127136137138139140141[[#This Row],[CIE-10]]),COUNTIFS(BASE[Cod.Establecimiento],$B$2,BASE[CODCIE106],GUIA_NACIONAL_2022_1106127136137138139140141[[#This Row],[CIE-10]]))</f>
        <v>0</v>
      </c>
      <c r="R33" s="3">
        <f>IF($B$2="(Todas)",COUNTIF(BASE[CODCIE108],GUIA_NACIONAL_2022_1106127136137138139140141[[#This Row],[CIE-10]]),COUNTIFS(BASE[Cod.Establecimiento],$B$2,BASE[CODCIE108],GUIA_NACIONAL_2022_1106127136137138139140141[[#This Row],[CIE-10]]))</f>
        <v>0</v>
      </c>
      <c r="S33" s="3">
        <f>IF($B$2="(Todas)",COUNTIF(BASE[CODCIE1010],GUIA_NACIONAL_2022_1106127136137138139140141[[#This Row],[CIE-10]]),COUNTIFS(BASE[Cod.Establecimiento],$B$2,BASE[CODCIE1010],GUIA_NACIONAL_2022_1106127136137138139140141[[#This Row],[CIE-10]]))</f>
        <v>0</v>
      </c>
      <c r="T33" s="9">
        <f>SUM(GUIA_NACIONAL_2022_1106127136137138139140141[[#This Row],[D1]:[D6]])</f>
        <v>0</v>
      </c>
      <c r="V33" s="151" t="s">
        <v>537</v>
      </c>
      <c r="W33" s="151"/>
      <c r="X33" s="151"/>
      <c r="Y33" s="151"/>
      <c r="Z33" s="151"/>
      <c r="AA33" s="151"/>
      <c r="AB33" s="151"/>
      <c r="AC33" s="151"/>
      <c r="AE33" s="4" t="s">
        <v>366</v>
      </c>
      <c r="AF33" s="3">
        <f>IF($B$2="(Todas)",COUNTIF(BASE[CODCIE10],GUIA_NACIONAL_2022_1106128105168169170174[[#This Row],[CIE-10]]),COUNTIFS(BASE[Cod.Establecimiento],$B$2,BASE[CODCIE10],GUIA_NACIONAL_2022_1106128105168169170174[[#This Row],[CIE-10]]))</f>
        <v>0</v>
      </c>
      <c r="AG33" s="3">
        <f>IF($B$2="(Todas)",COUNTIF(BASE[CODCIE102],GUIA_NACIONAL_2022_1106128105168169170174[[#This Row],[CIE-10]]),COUNTIFS(BASE[Cod.Establecimiento],$B$2,BASE[CODCIE102],GUIA_NACIONAL_2022_1106128105168169170174[[#This Row],[CIE-10]]))</f>
        <v>0</v>
      </c>
      <c r="AH33" s="3">
        <f>IF($B$2="(Todas)",COUNTIF(BASE[CODCIE104],GUIA_NACIONAL_2022_1106128105168169170174[[#This Row],[CIE-10]]),COUNTIFS(BASE[Cod.Establecimiento],$B$2,BASE[CODCIE104],GUIA_NACIONAL_2022_1106128105168169170174[[#This Row],[CIE-10]]))</f>
        <v>0</v>
      </c>
      <c r="AI33" s="3">
        <f>IF($B$2="(Todas)",COUNTIF(BASE[CODCIE106],GUIA_NACIONAL_2022_1106128105168169170174[[#This Row],[CIE-10]]),COUNTIFS(BASE[Cod.Establecimiento],$B$2,BASE[CODCIE106],GUIA_NACIONAL_2022_1106128105168169170174[[#This Row],[CIE-10]]))</f>
        <v>0</v>
      </c>
      <c r="AJ33" s="3">
        <f>IF($B$2="(Todas)",COUNTIF(BASE[CODCIE108],GUIA_NACIONAL_2022_1106128105168169170174[[#This Row],[CIE-10]]),COUNTIFS(BASE[Cod.Establecimiento],$B$2,BASE[CODCIE108],GUIA_NACIONAL_2022_1106128105168169170174[[#This Row],[CIE-10]]))</f>
        <v>0</v>
      </c>
      <c r="AK33" s="3">
        <f>IF($B$2="(Todas)",COUNTIF(BASE[CODCIE1010],GUIA_NACIONAL_2022_1106128105168169170174[[#This Row],[CIE-10]]),COUNTIFS(BASE[Cod.Establecimiento],$B$2,BASE[CODCIE1010],GUIA_NACIONAL_2022_1106128105168169170174[[#This Row],[CIE-10]]))</f>
        <v>0</v>
      </c>
      <c r="AL33" s="9">
        <f>SUM(GUIA_NACIONAL_2022_1106128105168169170174[[#This Row],[D1]:[D6]])</f>
        <v>0</v>
      </c>
      <c r="AN33" s="4" t="s">
        <v>570</v>
      </c>
      <c r="AO33" s="3">
        <f>IF($B$2="(Todas)",COUNTIF(BASE[CODCIE10],GUIA_NACIONAL_2022_1106128105168162197200201[[#This Row],[CIE-10]]),COUNTIFS(BASE[Cod.Establecimiento],$B$2,BASE[CODCIE10],GUIA_NACIONAL_2022_1106128105168162197200201[[#This Row],[CIE-10]]))</f>
        <v>0</v>
      </c>
      <c r="AP33" s="3">
        <f>IF($B$2="(Todas)",COUNTIF(BASE[CODCIE102],GUIA_NACIONAL_2022_1106128105168162197200201[[#This Row],[CIE-10]]),COUNTIFS(BASE[Cod.Establecimiento],$B$2,BASE[CODCIE102],GUIA_NACIONAL_2022_1106128105168162197200201[[#This Row],[CIE-10]]))</f>
        <v>0</v>
      </c>
      <c r="AQ33" s="3">
        <f>IF($B$2="(Todas)",COUNTIF(BASE[CODCIE104],GUIA_NACIONAL_2022_1106128105168162197200201[[#This Row],[CIE-10]]),COUNTIFS(BASE[Cod.Establecimiento],$B$2,BASE[CODCIE104],GUIA_NACIONAL_2022_1106128105168162197200201[[#This Row],[CIE-10]]))</f>
        <v>0</v>
      </c>
      <c r="AR33" s="3">
        <f>IF($B$2="(Todas)",COUNTIF(BASE[CODCIE106],GUIA_NACIONAL_2022_1106128105168162197200201[[#This Row],[CIE-10]]),COUNTIFS(BASE[Cod.Establecimiento],$B$2,BASE[CODCIE106],GUIA_NACIONAL_2022_1106128105168162197200201[[#This Row],[CIE-10]]))</f>
        <v>0</v>
      </c>
      <c r="AS33" s="3">
        <f>IF($B$2="(Todas)",COUNTIF(BASE[CODCIE108],GUIA_NACIONAL_2022_1106128105168162197200201[[#This Row],[CIE-10]]),COUNTIFS(BASE[Cod.Establecimiento],$B$2,BASE[CODCIE108],GUIA_NACIONAL_2022_1106128105168162197200201[[#This Row],[CIE-10]]))</f>
        <v>0</v>
      </c>
      <c r="AT33" s="3">
        <f>IF($B$2="(Todas)",COUNTIF(BASE[CODCIE1010],GUIA_NACIONAL_2022_1106128105168162197200201[[#This Row],[CIE-10]]),COUNTIFS(BASE[Cod.Establecimiento],$B$2,BASE[CODCIE1010],GUIA_NACIONAL_2022_1106128105168162197200201[[#This Row],[CIE-10]]))</f>
        <v>0</v>
      </c>
      <c r="AU33" s="9">
        <f>SUM(GUIA_NACIONAL_2022_1106128105168162197200201[[#This Row],[D1]:[D6]])</f>
        <v>0</v>
      </c>
      <c r="BF33" s="4" t="s">
        <v>664</v>
      </c>
      <c r="BG33" s="3">
        <f>IF($B$2="(Todas)",COUNTIF(BASE[CODCIE10],GUIA_NACIONAL_2022_1106128105107110207214216217218[[#This Row],[CIE-10]]),COUNTIFS(BASE[Cod.Establecimiento],$B$2,BASE[CODCIE10],GUIA_NACIONAL_2022_1106128105107110207214216217218[[#This Row],[CIE-10]]))</f>
        <v>0</v>
      </c>
      <c r="BH33" s="3">
        <f>IF($B$2="(Todas)",COUNTIF(BASE[CODCIE102],GUIA_NACIONAL_2022_1106128105107110207214216217218[[#This Row],[CIE-10]]),COUNTIFS(BASE[Cod.Establecimiento],$B$2,BASE[CODCIE102],GUIA_NACIONAL_2022_1106128105107110207214216217218[[#This Row],[CIE-10]]))</f>
        <v>0</v>
      </c>
      <c r="BI33" s="3">
        <f>IF($B$2="(Todas)",COUNTIF(BASE[CODCIE104],GUIA_NACIONAL_2022_1106128105107110207214216217218[[#This Row],[CIE-10]]),COUNTIFS(BASE[Cod.Establecimiento],$B$2,BASE[CODCIE104],GUIA_NACIONAL_2022_1106128105107110207214216217218[[#This Row],[CIE-10]]))</f>
        <v>0</v>
      </c>
      <c r="BJ33" s="3">
        <f>IF($B$2="(Todas)",COUNTIF(BASE[CODCIE106],GUIA_NACIONAL_2022_1106128105107110207214216217218[[#This Row],[CIE-10]]),COUNTIFS(BASE[Cod.Establecimiento],$B$2,BASE[CODCIE106],GUIA_NACIONAL_2022_1106128105107110207214216217218[[#This Row],[CIE-10]]))</f>
        <v>0</v>
      </c>
      <c r="BK33" s="3">
        <f>IF($B$2="(Todas)",COUNTIF(BASE[CODCIE108],GUIA_NACIONAL_2022_1106128105107110207214216217218[[#This Row],[CIE-10]]),COUNTIFS(BASE[Cod.Establecimiento],$B$2,BASE[CODCIE108],GUIA_NACIONAL_2022_1106128105107110207214216217218[[#This Row],[CIE-10]]))</f>
        <v>0</v>
      </c>
      <c r="BL33" s="3">
        <f>IF($B$2="(Todas)",COUNTIF(BASE[CODCIE1010],GUIA_NACIONAL_2022_1106128105107110207214216217218[[#This Row],[CIE-10]]),COUNTIFS(BASE[Cod.Establecimiento],$B$2,BASE[CODCIE1010],GUIA_NACIONAL_2022_1106128105107110207214216217218[[#This Row],[CIE-10]]))</f>
        <v>0</v>
      </c>
      <c r="BM33" s="9">
        <f>SUM(GUIA_NACIONAL_2022_1106128105107110207214216217218[[#This Row],[D1]:[D6]])</f>
        <v>0</v>
      </c>
      <c r="BO33" s="4" t="s">
        <v>261</v>
      </c>
      <c r="BP33" s="3">
        <f>IF($B$2="(Todas)",COUNTIF(BASE[CODCIE10],GUIA_NACIONAL_2022_1106128105107110207210231232234235[[#This Row],[CIE-10]]),COUNTIFS(BASE[Cod.Establecimiento],$B$2,BASE[CODCIE10],GUIA_NACIONAL_2022_1106128105107110207210231232234235[[#This Row],[CIE-10]]))</f>
        <v>0</v>
      </c>
      <c r="BQ33" s="3">
        <f>IF($B$2="(Todas)",COUNTIF(BASE[CODCIE102],GUIA_NACIONAL_2022_1106128105107110207210231232234235[[#This Row],[CIE-10]]),COUNTIFS(BASE[Cod.Establecimiento],$B$2,BASE[CODCIE102],GUIA_NACIONAL_2022_1106128105107110207210231232234235[[#This Row],[CIE-10]]))</f>
        <v>0</v>
      </c>
      <c r="BR33" s="3">
        <f>IF($B$2="(Todas)",COUNTIF(BASE[CODCIE104],GUIA_NACIONAL_2022_1106128105107110207210231232234235[[#This Row],[CIE-10]]),COUNTIFS(BASE[Cod.Establecimiento],$B$2,BASE[CODCIE104],GUIA_NACIONAL_2022_1106128105107110207210231232234235[[#This Row],[CIE-10]]))</f>
        <v>0</v>
      </c>
      <c r="BS33" s="3">
        <f>IF($B$2="(Todas)",COUNTIF(BASE[CODCIE106],GUIA_NACIONAL_2022_1106128105107110207210231232234235[[#This Row],[CIE-10]]),COUNTIFS(BASE[Cod.Establecimiento],$B$2,BASE[CODCIE106],GUIA_NACIONAL_2022_1106128105107110207210231232234235[[#This Row],[CIE-10]]))</f>
        <v>0</v>
      </c>
      <c r="BT33" s="3">
        <f>IF($B$2="(Todas)",COUNTIF(BASE[CODCIE108],GUIA_NACIONAL_2022_1106128105107110207210231232234235[[#This Row],[CIE-10]]),COUNTIFS(BASE[Cod.Establecimiento],$B$2,BASE[CODCIE108],GUIA_NACIONAL_2022_1106128105107110207210231232234235[[#This Row],[CIE-10]]))</f>
        <v>0</v>
      </c>
      <c r="BU33" s="3">
        <f>IF($B$2="(Todas)",COUNTIF(BASE[CODCIE1010],GUIA_NACIONAL_2022_1106128105107110207210231232234235[[#This Row],[CIE-10]]),COUNTIFS(BASE[Cod.Establecimiento],$B$2,BASE[CODCIE1010],GUIA_NACIONAL_2022_1106128105107110207210231232234235[[#This Row],[CIE-10]]))</f>
        <v>0</v>
      </c>
      <c r="BV33" s="9">
        <f>SUM(GUIA_NACIONAL_2022_1106128105107110207210231232234235[[#This Row],[D1]:[D6]])</f>
        <v>0</v>
      </c>
      <c r="CG33" t="s">
        <v>93</v>
      </c>
      <c r="CH33" s="3" t="s">
        <v>94</v>
      </c>
      <c r="CI33" s="3" t="s">
        <v>95</v>
      </c>
      <c r="CJ33" s="3" t="s">
        <v>96</v>
      </c>
      <c r="CK33" s="3" t="s">
        <v>97</v>
      </c>
      <c r="CL33" s="3" t="s">
        <v>98</v>
      </c>
      <c r="CM33" s="3" t="s">
        <v>99</v>
      </c>
      <c r="CN33" s="8" t="s">
        <v>100</v>
      </c>
    </row>
    <row r="34" spans="1:92" ht="15" customHeight="1">
      <c r="A34" s="142"/>
      <c r="B34" s="142"/>
      <c r="D34" s="32" t="s">
        <v>430</v>
      </c>
      <c r="E34" s="3">
        <f>IF($B$2="(Todas)",COUNTIF(BASE[CODCIE10],GUIA_NACIONAL_2022_1106109[[#This Row],[CIE-10]]),COUNTIFS(BASE[Cod.Establecimiento],$B$2,BASE[CODCIE10],GUIA_NACIONAL_2022_1106109[[#This Row],[CIE-10]]))</f>
        <v>0</v>
      </c>
      <c r="F34" s="3">
        <f>IF($B$2="(Todas)",COUNTIF(BASE[CODCIE102],GUIA_NACIONAL_2022_1106109[[#This Row],[CIE-10]]),COUNTIFS(BASE[Cod.Establecimiento],$B$2,BASE[CODCIE102],GUIA_NACIONAL_2022_1106109[[#This Row],[CIE-10]]))</f>
        <v>0</v>
      </c>
      <c r="G34" s="3">
        <f>IF($B$2="(Todas)",COUNTIF(BASE[CODCIE104],GUIA_NACIONAL_2022_1106109[[#This Row],[CIE-10]]),COUNTIFS(BASE[Cod.Establecimiento],$B$2,BASE[CODCIE104],GUIA_NACIONAL_2022_1106109[[#This Row],[CIE-10]]))</f>
        <v>0</v>
      </c>
      <c r="H34" s="3">
        <f>IF($B$2="(Todas)",COUNTIF(BASE[CODCIE106],GUIA_NACIONAL_2022_1106109[[#This Row],[CIE-10]]),COUNTIFS(BASE[Cod.Establecimiento],$B$2,BASE[CODCIE106],GUIA_NACIONAL_2022_1106109[[#This Row],[CIE-10]]))</f>
        <v>0</v>
      </c>
      <c r="I34" s="3">
        <f>IF($B$2="(Todas)",COUNTIF(BASE[CODCIE108],GUIA_NACIONAL_2022_1106109[[#This Row],[CIE-10]]),COUNTIFS(BASE[Cod.Establecimiento],$B$2,BASE[CODCIE108],GUIA_NACIONAL_2022_1106109[[#This Row],[CIE-10]]))</f>
        <v>0</v>
      </c>
      <c r="J34" s="3">
        <f>IF($B$2="(Todas)",COUNTIF(BASE[CODCIE1010],GUIA_NACIONAL_2022_1106109[[#This Row],[CIE-10]]),COUNTIFS(BASE[Cod.Establecimiento],$B$2,BASE[CODCIE1010],GUIA_NACIONAL_2022_1106109[[#This Row],[CIE-10]]))</f>
        <v>0</v>
      </c>
      <c r="K34" s="9">
        <f>SUM(GUIA_NACIONAL_2022_1106109[[#This Row],[D1]:[D6]])</f>
        <v>0</v>
      </c>
      <c r="M34" s="149" t="s">
        <v>528</v>
      </c>
      <c r="N34" s="150"/>
      <c r="O34" s="150"/>
      <c r="P34" s="150"/>
      <c r="Q34" s="150"/>
      <c r="R34" s="150"/>
      <c r="S34" s="150"/>
      <c r="T34" s="150"/>
      <c r="V34" s="149" t="s">
        <v>538</v>
      </c>
      <c r="W34" s="150"/>
      <c r="X34" s="150"/>
      <c r="Y34" s="150"/>
      <c r="Z34" s="150"/>
      <c r="AA34" s="150"/>
      <c r="AB34" s="150"/>
      <c r="AC34" s="150"/>
      <c r="AE34" s="32" t="s">
        <v>367</v>
      </c>
      <c r="AF34" s="3">
        <f>IF($B$2="(Todas)",COUNTIF(BASE[CODCIE10],GUIA_NACIONAL_2022_1106128105168169170174[[#This Row],[CIE-10]]),COUNTIFS(BASE[Cod.Establecimiento],$B$2,BASE[CODCIE10],GUIA_NACIONAL_2022_1106128105168169170174[[#This Row],[CIE-10]]))</f>
        <v>0</v>
      </c>
      <c r="AG34" s="3">
        <f>IF($B$2="(Todas)",COUNTIF(BASE[CODCIE102],GUIA_NACIONAL_2022_1106128105168169170174[[#This Row],[CIE-10]]),COUNTIFS(BASE[Cod.Establecimiento],$B$2,BASE[CODCIE102],GUIA_NACIONAL_2022_1106128105168169170174[[#This Row],[CIE-10]]))</f>
        <v>0</v>
      </c>
      <c r="AH34" s="3">
        <f>IF($B$2="(Todas)",COUNTIF(BASE[CODCIE104],GUIA_NACIONAL_2022_1106128105168169170174[[#This Row],[CIE-10]]),COUNTIFS(BASE[Cod.Establecimiento],$B$2,BASE[CODCIE104],GUIA_NACIONAL_2022_1106128105168169170174[[#This Row],[CIE-10]]))</f>
        <v>0</v>
      </c>
      <c r="AI34" s="3">
        <f>IF($B$2="(Todas)",COUNTIF(BASE[CODCIE106],GUIA_NACIONAL_2022_1106128105168169170174[[#This Row],[CIE-10]]),COUNTIFS(BASE[Cod.Establecimiento],$B$2,BASE[CODCIE106],GUIA_NACIONAL_2022_1106128105168169170174[[#This Row],[CIE-10]]))</f>
        <v>0</v>
      </c>
      <c r="AJ34" s="3">
        <f>IF($B$2="(Todas)",COUNTIF(BASE[CODCIE108],GUIA_NACIONAL_2022_1106128105168169170174[[#This Row],[CIE-10]]),COUNTIFS(BASE[Cod.Establecimiento],$B$2,BASE[CODCIE108],GUIA_NACIONAL_2022_1106128105168169170174[[#This Row],[CIE-10]]))</f>
        <v>0</v>
      </c>
      <c r="AK34" s="3">
        <f>IF($B$2="(Todas)",COUNTIF(BASE[CODCIE1010],GUIA_NACIONAL_2022_1106128105168169170174[[#This Row],[CIE-10]]),COUNTIFS(BASE[Cod.Establecimiento],$B$2,BASE[CODCIE1010],GUIA_NACIONAL_2022_1106128105168169170174[[#This Row],[CIE-10]]))</f>
        <v>0</v>
      </c>
      <c r="AL34" s="9">
        <f>SUM(GUIA_NACIONAL_2022_1106128105168169170174[[#This Row],[D1]:[D6]])</f>
        <v>0</v>
      </c>
      <c r="AN34" s="150" t="s">
        <v>625</v>
      </c>
      <c r="AO34" s="150"/>
      <c r="AP34" s="150"/>
      <c r="AQ34" s="150"/>
      <c r="AR34" s="150"/>
      <c r="AS34" s="150"/>
      <c r="AT34" s="150"/>
      <c r="AU34" s="150"/>
      <c r="BF34" s="149" t="s">
        <v>666</v>
      </c>
      <c r="BG34" s="150"/>
      <c r="BH34" s="150"/>
      <c r="BI34" s="150"/>
      <c r="BJ34" s="150"/>
      <c r="BK34" s="150"/>
      <c r="BL34" s="150"/>
      <c r="BM34" s="150"/>
      <c r="BO34" s="4" t="s">
        <v>333</v>
      </c>
      <c r="BP34" s="3">
        <f>IF($B$2="(Todas)",COUNTIF(BASE[CODCIE10],GUIA_NACIONAL_2022_1106128105107110207210231232234235[[#This Row],[CIE-10]]),COUNTIFS(BASE[Cod.Establecimiento],$B$2,BASE[CODCIE10],GUIA_NACIONAL_2022_1106128105107110207210231232234235[[#This Row],[CIE-10]]))</f>
        <v>0</v>
      </c>
      <c r="BQ34" s="3">
        <f>IF($B$2="(Todas)",COUNTIF(BASE[CODCIE102],GUIA_NACIONAL_2022_1106128105107110207210231232234235[[#This Row],[CIE-10]]),COUNTIFS(BASE[Cod.Establecimiento],$B$2,BASE[CODCIE102],GUIA_NACIONAL_2022_1106128105107110207210231232234235[[#This Row],[CIE-10]]))</f>
        <v>0</v>
      </c>
      <c r="BR34" s="3">
        <f>IF($B$2="(Todas)",COUNTIF(BASE[CODCIE104],GUIA_NACIONAL_2022_1106128105107110207210231232234235[[#This Row],[CIE-10]]),COUNTIFS(BASE[Cod.Establecimiento],$B$2,BASE[CODCIE104],GUIA_NACIONAL_2022_1106128105107110207210231232234235[[#This Row],[CIE-10]]))</f>
        <v>0</v>
      </c>
      <c r="BS34" s="3">
        <f>IF($B$2="(Todas)",COUNTIF(BASE[CODCIE106],GUIA_NACIONAL_2022_1106128105107110207210231232234235[[#This Row],[CIE-10]]),COUNTIFS(BASE[Cod.Establecimiento],$B$2,BASE[CODCIE106],GUIA_NACIONAL_2022_1106128105107110207210231232234235[[#This Row],[CIE-10]]))</f>
        <v>0</v>
      </c>
      <c r="BT34" s="3">
        <f>IF($B$2="(Todas)",COUNTIF(BASE[CODCIE108],GUIA_NACIONAL_2022_1106128105107110207210231232234235[[#This Row],[CIE-10]]),COUNTIFS(BASE[Cod.Establecimiento],$B$2,BASE[CODCIE108],GUIA_NACIONAL_2022_1106128105107110207210231232234235[[#This Row],[CIE-10]]))</f>
        <v>0</v>
      </c>
      <c r="BU34" s="3">
        <f>IF($B$2="(Todas)",COUNTIF(BASE[CODCIE1010],GUIA_NACIONAL_2022_1106128105107110207210231232234235[[#This Row],[CIE-10]]),COUNTIFS(BASE[Cod.Establecimiento],$B$2,BASE[CODCIE1010],GUIA_NACIONAL_2022_1106128105107110207210231232234235[[#This Row],[CIE-10]]))</f>
        <v>0</v>
      </c>
      <c r="BV34" s="9">
        <f>SUM(GUIA_NACIONAL_2022_1106128105107110207210231232234235[[#This Row],[D1]:[D6]])</f>
        <v>0</v>
      </c>
      <c r="CG34" s="4" t="s">
        <v>739</v>
      </c>
      <c r="CH34" s="3">
        <f>IF($B$2="(Todas)",COUNTIF(BASE[CODCIE10],GUIA_NACIONAL_2022_1106128105107111115129130250251252[[#This Row],[CIE-10]]),COUNTIFS(BASE[Cod.Establecimiento],$B$2,BASE[CODCIE10],GUIA_NACIONAL_2022_1106128105107111115129130250251252[[#This Row],[CIE-10]]))</f>
        <v>0</v>
      </c>
      <c r="CI34" s="3">
        <f>IF($B$2="(Todas)",COUNTIF(BASE[CODCIE102],GUIA_NACIONAL_2022_1106128105107111115129130250251252[[#This Row],[CIE-10]]),COUNTIFS(BASE[Cod.Establecimiento],$B$2,BASE[CODCIE102],GUIA_NACIONAL_2022_1106128105107111115129130250251252[[#This Row],[CIE-10]]))</f>
        <v>0</v>
      </c>
      <c r="CJ34" s="3">
        <f>IF($B$2="(Todas)",COUNTIF(BASE[CODCIE104],GUIA_NACIONAL_2022_1106128105107111115129130250251252[[#This Row],[CIE-10]]),COUNTIFS(BASE[Cod.Establecimiento],$B$2,BASE[CODCIE104],GUIA_NACIONAL_2022_1106128105107111115129130250251252[[#This Row],[CIE-10]]))</f>
        <v>0</v>
      </c>
      <c r="CK34" s="3">
        <f>IF($B$2="(Todas)",COUNTIF(BASE[CODCIE106],GUIA_NACIONAL_2022_1106128105107111115129130250251252[[#This Row],[CIE-10]]),COUNTIFS(BASE[Cod.Establecimiento],$B$2,BASE[CODCIE106],GUIA_NACIONAL_2022_1106128105107111115129130250251252[[#This Row],[CIE-10]]))</f>
        <v>0</v>
      </c>
      <c r="CL34" s="3">
        <f>IF($B$2="(Todas)",COUNTIF(BASE[CODCIE108],GUIA_NACIONAL_2022_1106128105107111115129130250251252[[#This Row],[CIE-10]]),COUNTIFS(BASE[Cod.Establecimiento],$B$2,BASE[CODCIE108],GUIA_NACIONAL_2022_1106128105107111115129130250251252[[#This Row],[CIE-10]]))</f>
        <v>0</v>
      </c>
      <c r="CM34" s="3">
        <f>IF($B$2="(Todas)",COUNTIF(BASE[CODCIE1010],GUIA_NACIONAL_2022_1106128105107111115129130250251252[[#This Row],[CIE-10]]),COUNTIFS(BASE[Cod.Establecimiento],$B$2,BASE[CODCIE1010],GUIA_NACIONAL_2022_1106128105107111115129130250251252[[#This Row],[CIE-10]]))</f>
        <v>0</v>
      </c>
      <c r="CN34" s="9">
        <f>SUM(GUIA_NACIONAL_2022_1106128105107111115129130250251252[[#This Row],[D1]:[D6]])</f>
        <v>0</v>
      </c>
    </row>
    <row r="35" spans="1:92" ht="15" customHeight="1">
      <c r="A35" s="141" t="s">
        <v>614</v>
      </c>
      <c r="B35" s="142"/>
      <c r="D35" s="32" t="s">
        <v>431</v>
      </c>
      <c r="E35" s="3">
        <f>IF($B$2="(Todas)",COUNTIF(BASE[CODCIE10],GUIA_NACIONAL_2022_1106109[[#This Row],[CIE-10]]),COUNTIFS(BASE[Cod.Establecimiento],$B$2,BASE[CODCIE10],GUIA_NACIONAL_2022_1106109[[#This Row],[CIE-10]]))</f>
        <v>0</v>
      </c>
      <c r="F35" s="3">
        <f>IF($B$2="(Todas)",COUNTIF(BASE[CODCIE102],GUIA_NACIONAL_2022_1106109[[#This Row],[CIE-10]]),COUNTIFS(BASE[Cod.Establecimiento],$B$2,BASE[CODCIE102],GUIA_NACIONAL_2022_1106109[[#This Row],[CIE-10]]))</f>
        <v>0</v>
      </c>
      <c r="G35" s="3">
        <f>IF($B$2="(Todas)",COUNTIF(BASE[CODCIE104],GUIA_NACIONAL_2022_1106109[[#This Row],[CIE-10]]),COUNTIFS(BASE[Cod.Establecimiento],$B$2,BASE[CODCIE104],GUIA_NACIONAL_2022_1106109[[#This Row],[CIE-10]]))</f>
        <v>0</v>
      </c>
      <c r="H35" s="3">
        <f>IF($B$2="(Todas)",COUNTIF(BASE[CODCIE106],GUIA_NACIONAL_2022_1106109[[#This Row],[CIE-10]]),COUNTIFS(BASE[Cod.Establecimiento],$B$2,BASE[CODCIE106],GUIA_NACIONAL_2022_1106109[[#This Row],[CIE-10]]))</f>
        <v>0</v>
      </c>
      <c r="I35" s="3">
        <f>IF($B$2="(Todas)",COUNTIF(BASE[CODCIE108],GUIA_NACIONAL_2022_1106109[[#This Row],[CIE-10]]),COUNTIFS(BASE[Cod.Establecimiento],$B$2,BASE[CODCIE108],GUIA_NACIONAL_2022_1106109[[#This Row],[CIE-10]]))</f>
        <v>0</v>
      </c>
      <c r="J35" s="3">
        <f>IF($B$2="(Todas)",COUNTIF(BASE[CODCIE1010],GUIA_NACIONAL_2022_1106109[[#This Row],[CIE-10]]),COUNTIFS(BASE[Cod.Establecimiento],$B$2,BASE[CODCIE1010],GUIA_NACIONAL_2022_1106109[[#This Row],[CIE-10]]))</f>
        <v>0</v>
      </c>
      <c r="K35" s="9">
        <f>SUM(GUIA_NACIONAL_2022_1106109[[#This Row],[D1]:[D6]])</f>
        <v>0</v>
      </c>
      <c r="M35" t="s">
        <v>93</v>
      </c>
      <c r="N35" s="3" t="s">
        <v>94</v>
      </c>
      <c r="O35" s="3" t="s">
        <v>95</v>
      </c>
      <c r="P35" s="3" t="s">
        <v>96</v>
      </c>
      <c r="Q35" s="3" t="s">
        <v>97</v>
      </c>
      <c r="R35" s="3" t="s">
        <v>98</v>
      </c>
      <c r="S35" s="3" t="s">
        <v>99</v>
      </c>
      <c r="T35" s="8" t="s">
        <v>100</v>
      </c>
      <c r="V35" t="s">
        <v>93</v>
      </c>
      <c r="W35" s="3" t="s">
        <v>94</v>
      </c>
      <c r="X35" s="3" t="s">
        <v>95</v>
      </c>
      <c r="Y35" s="3" t="s">
        <v>96</v>
      </c>
      <c r="Z35" s="3" t="s">
        <v>97</v>
      </c>
      <c r="AA35" s="3" t="s">
        <v>98</v>
      </c>
      <c r="AB35" s="3" t="s">
        <v>99</v>
      </c>
      <c r="AC35" s="8" t="s">
        <v>100</v>
      </c>
      <c r="AE35" s="32" t="s">
        <v>368</v>
      </c>
      <c r="AF35" s="3">
        <f>IF($B$2="(Todas)",COUNTIF(BASE[CODCIE10],GUIA_NACIONAL_2022_1106128105168169170174[[#This Row],[CIE-10]]),COUNTIFS(BASE[Cod.Establecimiento],$B$2,BASE[CODCIE10],GUIA_NACIONAL_2022_1106128105168169170174[[#This Row],[CIE-10]]))</f>
        <v>0</v>
      </c>
      <c r="AG35" s="3">
        <f>IF($B$2="(Todas)",COUNTIF(BASE[CODCIE102],GUIA_NACIONAL_2022_1106128105168169170174[[#This Row],[CIE-10]]),COUNTIFS(BASE[Cod.Establecimiento],$B$2,BASE[CODCIE102],GUIA_NACIONAL_2022_1106128105168169170174[[#This Row],[CIE-10]]))</f>
        <v>0</v>
      </c>
      <c r="AH35" s="3">
        <f>IF($B$2="(Todas)",COUNTIF(BASE[CODCIE104],GUIA_NACIONAL_2022_1106128105168169170174[[#This Row],[CIE-10]]),COUNTIFS(BASE[Cod.Establecimiento],$B$2,BASE[CODCIE104],GUIA_NACIONAL_2022_1106128105168169170174[[#This Row],[CIE-10]]))</f>
        <v>0</v>
      </c>
      <c r="AI35" s="3">
        <f>IF($B$2="(Todas)",COUNTIF(BASE[CODCIE106],GUIA_NACIONAL_2022_1106128105168169170174[[#This Row],[CIE-10]]),COUNTIFS(BASE[Cod.Establecimiento],$B$2,BASE[CODCIE106],GUIA_NACIONAL_2022_1106128105168169170174[[#This Row],[CIE-10]]))</f>
        <v>0</v>
      </c>
      <c r="AJ35" s="3">
        <f>IF($B$2="(Todas)",COUNTIF(BASE[CODCIE108],GUIA_NACIONAL_2022_1106128105168169170174[[#This Row],[CIE-10]]),COUNTIFS(BASE[Cod.Establecimiento],$B$2,BASE[CODCIE108],GUIA_NACIONAL_2022_1106128105168169170174[[#This Row],[CIE-10]]))</f>
        <v>0</v>
      </c>
      <c r="AK35" s="3">
        <f>IF($B$2="(Todas)",COUNTIF(BASE[CODCIE1010],GUIA_NACIONAL_2022_1106128105168169170174[[#This Row],[CIE-10]]),COUNTIFS(BASE[Cod.Establecimiento],$B$2,BASE[CODCIE1010],GUIA_NACIONAL_2022_1106128105168169170174[[#This Row],[CIE-10]]))</f>
        <v>0</v>
      </c>
      <c r="AL35" s="9">
        <f>SUM(GUIA_NACIONAL_2022_1106128105168169170174[[#This Row],[D1]:[D6]])</f>
        <v>0</v>
      </c>
      <c r="AN35" t="s">
        <v>93</v>
      </c>
      <c r="AO35" s="3" t="s">
        <v>94</v>
      </c>
      <c r="AP35" s="3" t="s">
        <v>95</v>
      </c>
      <c r="AQ35" s="3" t="s">
        <v>96</v>
      </c>
      <c r="AR35" s="3" t="s">
        <v>97</v>
      </c>
      <c r="AS35" s="3" t="s">
        <v>98</v>
      </c>
      <c r="AT35" s="3" t="s">
        <v>99</v>
      </c>
      <c r="AU35" s="8" t="s">
        <v>100</v>
      </c>
      <c r="BF35" t="s">
        <v>93</v>
      </c>
      <c r="BG35" s="3" t="s">
        <v>94</v>
      </c>
      <c r="BH35" s="3" t="s">
        <v>95</v>
      </c>
      <c r="BI35" s="3" t="s">
        <v>96</v>
      </c>
      <c r="BJ35" s="3" t="s">
        <v>97</v>
      </c>
      <c r="BK35" s="3" t="s">
        <v>98</v>
      </c>
      <c r="BL35" s="3" t="s">
        <v>99</v>
      </c>
      <c r="BM35" s="8" t="s">
        <v>100</v>
      </c>
      <c r="BO35" s="4" t="s">
        <v>325</v>
      </c>
      <c r="BP35" s="3">
        <f>IF($B$2="(Todas)",COUNTIF(BASE[CODCIE10],GUIA_NACIONAL_2022_1106128105107110207210231232234235[[#This Row],[CIE-10]]),COUNTIFS(BASE[Cod.Establecimiento],$B$2,BASE[CODCIE10],GUIA_NACIONAL_2022_1106128105107110207210231232234235[[#This Row],[CIE-10]]))</f>
        <v>0</v>
      </c>
      <c r="BQ35" s="3">
        <f>IF($B$2="(Todas)",COUNTIF(BASE[CODCIE102],GUIA_NACIONAL_2022_1106128105107110207210231232234235[[#This Row],[CIE-10]]),COUNTIFS(BASE[Cod.Establecimiento],$B$2,BASE[CODCIE102],GUIA_NACIONAL_2022_1106128105107110207210231232234235[[#This Row],[CIE-10]]))</f>
        <v>0</v>
      </c>
      <c r="BR35" s="3">
        <f>IF($B$2="(Todas)",COUNTIF(BASE[CODCIE104],GUIA_NACIONAL_2022_1106128105107110207210231232234235[[#This Row],[CIE-10]]),COUNTIFS(BASE[Cod.Establecimiento],$B$2,BASE[CODCIE104],GUIA_NACIONAL_2022_1106128105107110207210231232234235[[#This Row],[CIE-10]]))</f>
        <v>0</v>
      </c>
      <c r="BS35" s="3">
        <f>IF($B$2="(Todas)",COUNTIF(BASE[CODCIE106],GUIA_NACIONAL_2022_1106128105107110207210231232234235[[#This Row],[CIE-10]]),COUNTIFS(BASE[Cod.Establecimiento],$B$2,BASE[CODCIE106],GUIA_NACIONAL_2022_1106128105107110207210231232234235[[#This Row],[CIE-10]]))</f>
        <v>0</v>
      </c>
      <c r="BT35" s="3">
        <f>IF($B$2="(Todas)",COUNTIF(BASE[CODCIE108],GUIA_NACIONAL_2022_1106128105107110207210231232234235[[#This Row],[CIE-10]]),COUNTIFS(BASE[Cod.Establecimiento],$B$2,BASE[CODCIE108],GUIA_NACIONAL_2022_1106128105107110207210231232234235[[#This Row],[CIE-10]]))</f>
        <v>0</v>
      </c>
      <c r="BU35" s="3">
        <f>IF($B$2="(Todas)",COUNTIF(BASE[CODCIE1010],GUIA_NACIONAL_2022_1106128105107110207210231232234235[[#This Row],[CIE-10]]),COUNTIFS(BASE[Cod.Establecimiento],$B$2,BASE[CODCIE1010],GUIA_NACIONAL_2022_1106128105107110207210231232234235[[#This Row],[CIE-10]]))</f>
        <v>0</v>
      </c>
      <c r="BV35" s="9">
        <f>SUM(GUIA_NACIONAL_2022_1106128105107110207210231232234235[[#This Row],[D1]:[D6]])</f>
        <v>0</v>
      </c>
      <c r="CG35" s="4" t="s">
        <v>740</v>
      </c>
      <c r="CH35" s="3">
        <f>IF($B$2="(Todas)",COUNTIF(BASE[CODCIE10],GUIA_NACIONAL_2022_1106128105107111115129130250251252[[#This Row],[CIE-10]]),COUNTIFS(BASE[Cod.Establecimiento],$B$2,BASE[CODCIE10],GUIA_NACIONAL_2022_1106128105107111115129130250251252[[#This Row],[CIE-10]]))</f>
        <v>0</v>
      </c>
      <c r="CI35" s="3">
        <f>IF($B$2="(Todas)",COUNTIF(BASE[CODCIE102],GUIA_NACIONAL_2022_1106128105107111115129130250251252[[#This Row],[CIE-10]]),COUNTIFS(BASE[Cod.Establecimiento],$B$2,BASE[CODCIE102],GUIA_NACIONAL_2022_1106128105107111115129130250251252[[#This Row],[CIE-10]]))</f>
        <v>0</v>
      </c>
      <c r="CJ35" s="3">
        <f>IF($B$2="(Todas)",COUNTIF(BASE[CODCIE104],GUIA_NACIONAL_2022_1106128105107111115129130250251252[[#This Row],[CIE-10]]),COUNTIFS(BASE[Cod.Establecimiento],$B$2,BASE[CODCIE104],GUIA_NACIONAL_2022_1106128105107111115129130250251252[[#This Row],[CIE-10]]))</f>
        <v>0</v>
      </c>
      <c r="CK35" s="3">
        <f>IF($B$2="(Todas)",COUNTIF(BASE[CODCIE106],GUIA_NACIONAL_2022_1106128105107111115129130250251252[[#This Row],[CIE-10]]),COUNTIFS(BASE[Cod.Establecimiento],$B$2,BASE[CODCIE106],GUIA_NACIONAL_2022_1106128105107111115129130250251252[[#This Row],[CIE-10]]))</f>
        <v>0</v>
      </c>
      <c r="CL35" s="3">
        <f>IF($B$2="(Todas)",COUNTIF(BASE[CODCIE108],GUIA_NACIONAL_2022_1106128105107111115129130250251252[[#This Row],[CIE-10]]),COUNTIFS(BASE[Cod.Establecimiento],$B$2,BASE[CODCIE108],GUIA_NACIONAL_2022_1106128105107111115129130250251252[[#This Row],[CIE-10]]))</f>
        <v>0</v>
      </c>
      <c r="CM35" s="3">
        <f>IF($B$2="(Todas)",COUNTIF(BASE[CODCIE1010],GUIA_NACIONAL_2022_1106128105107111115129130250251252[[#This Row],[CIE-10]]),COUNTIFS(BASE[Cod.Establecimiento],$B$2,BASE[CODCIE1010],GUIA_NACIONAL_2022_1106128105107111115129130250251252[[#This Row],[CIE-10]]))</f>
        <v>0</v>
      </c>
      <c r="CN35" s="9">
        <f>SUM(GUIA_NACIONAL_2022_1106128105107111115129130250251252[[#This Row],[D1]:[D6]])</f>
        <v>0</v>
      </c>
    </row>
    <row r="36" spans="1:92" ht="15" customHeight="1">
      <c r="A36" s="142"/>
      <c r="B36" s="142"/>
      <c r="D36" s="150" t="s">
        <v>439</v>
      </c>
      <c r="E36" s="150"/>
      <c r="F36" s="150"/>
      <c r="G36" s="150"/>
      <c r="H36" s="150"/>
      <c r="I36" s="150"/>
      <c r="J36" s="150"/>
      <c r="K36" s="150"/>
      <c r="M36" s="4" t="s">
        <v>529</v>
      </c>
      <c r="N36" s="3">
        <f>IF($B$2="(Todas)",COUNTIF(BASE[CODCIE10],GUIA_NACIONAL_2022_1106127136137138139142[[#This Row],[CIE-10]]),COUNTIFS(BASE[Cod.Establecimiento],$B$2,BASE[CODCIE10],GUIA_NACIONAL_2022_1106127136137138139142[[#This Row],[CIE-10]]))</f>
        <v>0</v>
      </c>
      <c r="O36" s="3">
        <f>IF($B$2="(Todas)",COUNTIF(BASE[CODCIE102],GUIA_NACIONAL_2022_1106127136137138139142[[#This Row],[CIE-10]]),COUNTIFS(BASE[Cod.Establecimiento],$B$2,BASE[CODCIE102],GUIA_NACIONAL_2022_1106127136137138139142[[#This Row],[CIE-10]]))</f>
        <v>0</v>
      </c>
      <c r="P36" s="3">
        <f>IF($B$2="(Todas)",COUNTIF(BASE[CODCIE104],GUIA_NACIONAL_2022_1106127136137138139142[[#This Row],[CIE-10]]),COUNTIFS(BASE[Cod.Establecimiento],$B$2,BASE[CODCIE104],GUIA_NACIONAL_2022_1106127136137138139142[[#This Row],[CIE-10]]))</f>
        <v>0</v>
      </c>
      <c r="Q36" s="3">
        <f>IF($B$2="(Todas)",COUNTIF(BASE[CODCIE106],GUIA_NACIONAL_2022_1106127136137138139142[[#This Row],[CIE-10]]),COUNTIFS(BASE[Cod.Establecimiento],$B$2,BASE[CODCIE106],GUIA_NACIONAL_2022_1106127136137138139142[[#This Row],[CIE-10]]))</f>
        <v>0</v>
      </c>
      <c r="R36" s="3">
        <f>IF($B$2="(Todas)",COUNTIF(BASE[CODCIE108],GUIA_NACIONAL_2022_1106127136137138139142[[#This Row],[CIE-10]]),COUNTIFS(BASE[Cod.Establecimiento],$B$2,BASE[CODCIE108],GUIA_NACIONAL_2022_1106127136137138139142[[#This Row],[CIE-10]]))</f>
        <v>0</v>
      </c>
      <c r="S36" s="3">
        <f>IF($B$2="(Todas)",COUNTIF(BASE[CODCIE1010],GUIA_NACIONAL_2022_1106127136137138139142[[#This Row],[CIE-10]]),COUNTIFS(BASE[Cod.Establecimiento],$B$2,BASE[CODCIE1010],GUIA_NACIONAL_2022_1106127136137138139142[[#This Row],[CIE-10]]))</f>
        <v>0</v>
      </c>
      <c r="T36" s="9">
        <f>SUM(GUIA_NACIONAL_2022_1106127136137138139142[[#This Row],[D1]:[D6]])</f>
        <v>0</v>
      </c>
      <c r="V36" s="4" t="s">
        <v>134</v>
      </c>
      <c r="W36" s="3">
        <f>IF($B$2="(Todas)",COUNTIF(BASE[CODCIE10],GUIA_NACIONAL_2022_1106128143146150[[#This Row],[CIE-10]]),COUNTIFS(BASE[Cod.Establecimiento],$B$2,BASE[CODCIE10],GUIA_NACIONAL_2022_1106128143146150[[#This Row],[CIE-10]]))</f>
        <v>0</v>
      </c>
      <c r="X36" s="3">
        <f>IF($B$2="(Todas)",COUNTIF(BASE[CODCIE102],GUIA_NACIONAL_2022_1106128143146150[[#This Row],[CIE-10]]),COUNTIFS(BASE[Cod.Establecimiento],$B$2,BASE[CODCIE102],GUIA_NACIONAL_2022_1106128143146150[[#This Row],[CIE-10]]))</f>
        <v>0</v>
      </c>
      <c r="Y36" s="3">
        <f>IF($B$2="(Todas)",COUNTIF(BASE[CODCIE104],GUIA_NACIONAL_2022_1106128143146150[[#This Row],[CIE-10]]),COUNTIFS(BASE[Cod.Establecimiento],$B$2,BASE[CODCIE104],GUIA_NACIONAL_2022_1106128143146150[[#This Row],[CIE-10]]))</f>
        <v>0</v>
      </c>
      <c r="Z36" s="3">
        <f>IF($B$2="(Todas)",COUNTIF(BASE[CODCIE106],GUIA_NACIONAL_2022_1106128143146150[[#This Row],[CIE-10]]),COUNTIFS(BASE[Cod.Establecimiento],$B$2,BASE[CODCIE106],GUIA_NACIONAL_2022_1106128143146150[[#This Row],[CIE-10]]))</f>
        <v>0</v>
      </c>
      <c r="AA36" s="3">
        <f>IF($B$2="(Todas)",COUNTIF(BASE[CODCIE108],GUIA_NACIONAL_2022_1106128143146150[[#This Row],[CIE-10]]),COUNTIFS(BASE[Cod.Establecimiento],$B$2,BASE[CODCIE108],GUIA_NACIONAL_2022_1106128143146150[[#This Row],[CIE-10]]))</f>
        <v>0</v>
      </c>
      <c r="AB36" s="3">
        <f>IF($B$2="(Todas)",COUNTIF(BASE[CODCIE1010],GUIA_NACIONAL_2022_1106128143146150[[#This Row],[CIE-10]]),COUNTIFS(BASE[Cod.Establecimiento],$B$2,BASE[CODCIE1010],GUIA_NACIONAL_2022_1106128143146150[[#This Row],[CIE-10]]))</f>
        <v>0</v>
      </c>
      <c r="AC36" s="9">
        <f>SUM(GUIA_NACIONAL_2022_1106128143146150[[#This Row],[D1]:[D6]])</f>
        <v>0</v>
      </c>
      <c r="AE36" s="151" t="s">
        <v>573</v>
      </c>
      <c r="AF36" s="151"/>
      <c r="AG36" s="151"/>
      <c r="AH36" s="151"/>
      <c r="AI36" s="151"/>
      <c r="AJ36" s="151"/>
      <c r="AK36" s="151"/>
      <c r="AL36" s="151"/>
      <c r="AN36" s="4" t="s">
        <v>390</v>
      </c>
      <c r="AO36" s="3">
        <f>IF($B$2="(Todas)",COUNTIF(BASE[CODCIE10],GUIA_NACIONAL_2022_1106128105168162195198202[[#This Row],[CIE-10]]),COUNTIFS(BASE[Cod.Establecimiento],$B$2,BASE[CODCIE10],GUIA_NACIONAL_2022_1106128105168162195198202[[#This Row],[CIE-10]]))</f>
        <v>0</v>
      </c>
      <c r="AP36" s="3">
        <f>IF($B$2="(Todas)",COUNTIF(BASE[CODCIE102],GUIA_NACIONAL_2022_1106128105168162195198202[[#This Row],[CIE-10]]),COUNTIFS(BASE[Cod.Establecimiento],$B$2,BASE[CODCIE102],GUIA_NACIONAL_2022_1106128105168162195198202[[#This Row],[CIE-10]]))</f>
        <v>0</v>
      </c>
      <c r="AQ36" s="3">
        <f>IF($B$2="(Todas)",COUNTIF(BASE[CODCIE104],GUIA_NACIONAL_2022_1106128105168162195198202[[#This Row],[CIE-10]]),COUNTIFS(BASE[Cod.Establecimiento],$B$2,BASE[CODCIE104],GUIA_NACIONAL_2022_1106128105168162195198202[[#This Row],[CIE-10]]))</f>
        <v>0</v>
      </c>
      <c r="AR36" s="3">
        <f>IF($B$2="(Todas)",COUNTIF(BASE[CODCIE106],GUIA_NACIONAL_2022_1106128105168162195198202[[#This Row],[CIE-10]]),COUNTIFS(BASE[Cod.Establecimiento],$B$2,BASE[CODCIE106],GUIA_NACIONAL_2022_1106128105168162195198202[[#This Row],[CIE-10]]))</f>
        <v>0</v>
      </c>
      <c r="AS36" s="3">
        <f>IF($B$2="(Todas)",COUNTIF(BASE[CODCIE108],GUIA_NACIONAL_2022_1106128105168162195198202[[#This Row],[CIE-10]]),COUNTIFS(BASE[Cod.Establecimiento],$B$2,BASE[CODCIE108],GUIA_NACIONAL_2022_1106128105168162195198202[[#This Row],[CIE-10]]))</f>
        <v>0</v>
      </c>
      <c r="AT36" s="3">
        <f>IF($B$2="(Todas)",COUNTIF(BASE[CODCIE1010],GUIA_NACIONAL_2022_1106128105168162195198202[[#This Row],[CIE-10]]),COUNTIFS(BASE[Cod.Establecimiento],$B$2,BASE[CODCIE1010],GUIA_NACIONAL_2022_1106128105168162195198202[[#This Row],[CIE-10]]))</f>
        <v>0</v>
      </c>
      <c r="AU36" s="9">
        <f>SUM(GUIA_NACIONAL_2022_1106128105168162195198202[[#This Row],[D1]:[D6]])</f>
        <v>0</v>
      </c>
      <c r="BF36" s="4" t="s">
        <v>667</v>
      </c>
      <c r="BG36" s="3">
        <f>IF($B$2="(Todas)",COUNTIF(BASE[CODCIE10],GUIA_NACIONAL_2022_1106128105107110207214216217218219[[#This Row],[CIE-10]]),COUNTIFS(BASE[Cod.Establecimiento],$B$2,BASE[CODCIE10],GUIA_NACIONAL_2022_1106128105107110207214216217218219[[#This Row],[CIE-10]]))</f>
        <v>0</v>
      </c>
      <c r="BH36" s="3">
        <f>IF($B$2="(Todas)",COUNTIF(BASE[CODCIE102],GUIA_NACIONAL_2022_1106128105107110207214216217218219[[#This Row],[CIE-10]]),COUNTIFS(BASE[Cod.Establecimiento],$B$2,BASE[CODCIE102],GUIA_NACIONAL_2022_1106128105107110207214216217218219[[#This Row],[CIE-10]]))</f>
        <v>0</v>
      </c>
      <c r="BI36" s="3">
        <f>IF($B$2="(Todas)",COUNTIF(BASE[CODCIE104],GUIA_NACIONAL_2022_1106128105107110207214216217218219[[#This Row],[CIE-10]]),COUNTIFS(BASE[Cod.Establecimiento],$B$2,BASE[CODCIE104],GUIA_NACIONAL_2022_1106128105107110207214216217218219[[#This Row],[CIE-10]]))</f>
        <v>0</v>
      </c>
      <c r="BJ36" s="3">
        <f>IF($B$2="(Todas)",COUNTIF(BASE[CODCIE106],GUIA_NACIONAL_2022_1106128105107110207214216217218219[[#This Row],[CIE-10]]),COUNTIFS(BASE[Cod.Establecimiento],$B$2,BASE[CODCIE106],GUIA_NACIONAL_2022_1106128105107110207214216217218219[[#This Row],[CIE-10]]))</f>
        <v>0</v>
      </c>
      <c r="BK36" s="3">
        <f>IF($B$2="(Todas)",COUNTIF(BASE[CODCIE108],GUIA_NACIONAL_2022_1106128105107110207214216217218219[[#This Row],[CIE-10]]),COUNTIFS(BASE[Cod.Establecimiento],$B$2,BASE[CODCIE108],GUIA_NACIONAL_2022_1106128105107110207214216217218219[[#This Row],[CIE-10]]))</f>
        <v>0</v>
      </c>
      <c r="BL36" s="3">
        <f>IF($B$2="(Todas)",COUNTIF(BASE[CODCIE1010],GUIA_NACIONAL_2022_1106128105107110207214216217218219[[#This Row],[CIE-10]]),COUNTIFS(BASE[Cod.Establecimiento],$B$2,BASE[CODCIE1010],GUIA_NACIONAL_2022_1106128105107110207214216217218219[[#This Row],[CIE-10]]))</f>
        <v>0</v>
      </c>
      <c r="BM36" s="9">
        <f>SUM(GUIA_NACIONAL_2022_1106128105107110207214216217218219[[#This Row],[D1]:[D6]])</f>
        <v>0</v>
      </c>
      <c r="BO36" s="4" t="s">
        <v>326</v>
      </c>
      <c r="BP36" s="3">
        <f>IF($B$2="(Todas)",COUNTIF(BASE[CODCIE10],GUIA_NACIONAL_2022_1106128105107110207210231232234235[[#This Row],[CIE-10]]),COUNTIFS(BASE[Cod.Establecimiento],$B$2,BASE[CODCIE10],GUIA_NACIONAL_2022_1106128105107110207210231232234235[[#This Row],[CIE-10]]))</f>
        <v>0</v>
      </c>
      <c r="BQ36" s="3">
        <f>IF($B$2="(Todas)",COUNTIF(BASE[CODCIE102],GUIA_NACIONAL_2022_1106128105107110207210231232234235[[#This Row],[CIE-10]]),COUNTIFS(BASE[Cod.Establecimiento],$B$2,BASE[CODCIE102],GUIA_NACIONAL_2022_1106128105107110207210231232234235[[#This Row],[CIE-10]]))</f>
        <v>0</v>
      </c>
      <c r="BR36" s="3">
        <f>IF($B$2="(Todas)",COUNTIF(BASE[CODCIE104],GUIA_NACIONAL_2022_1106128105107110207210231232234235[[#This Row],[CIE-10]]),COUNTIFS(BASE[Cod.Establecimiento],$B$2,BASE[CODCIE104],GUIA_NACIONAL_2022_1106128105107110207210231232234235[[#This Row],[CIE-10]]))</f>
        <v>0</v>
      </c>
      <c r="BS36" s="3">
        <f>IF($B$2="(Todas)",COUNTIF(BASE[CODCIE106],GUIA_NACIONAL_2022_1106128105107110207210231232234235[[#This Row],[CIE-10]]),COUNTIFS(BASE[Cod.Establecimiento],$B$2,BASE[CODCIE106],GUIA_NACIONAL_2022_1106128105107110207210231232234235[[#This Row],[CIE-10]]))</f>
        <v>0</v>
      </c>
      <c r="BT36" s="3">
        <f>IF($B$2="(Todas)",COUNTIF(BASE[CODCIE108],GUIA_NACIONAL_2022_1106128105107110207210231232234235[[#This Row],[CIE-10]]),COUNTIFS(BASE[Cod.Establecimiento],$B$2,BASE[CODCIE108],GUIA_NACIONAL_2022_1106128105107110207210231232234235[[#This Row],[CIE-10]]))</f>
        <v>0</v>
      </c>
      <c r="BU36" s="3">
        <f>IF($B$2="(Todas)",COUNTIF(BASE[CODCIE1010],GUIA_NACIONAL_2022_1106128105107110207210231232234235[[#This Row],[CIE-10]]),COUNTIFS(BASE[Cod.Establecimiento],$B$2,BASE[CODCIE1010],GUIA_NACIONAL_2022_1106128105107110207210231232234235[[#This Row],[CIE-10]]))</f>
        <v>0</v>
      </c>
      <c r="BV36" s="9">
        <f>SUM(GUIA_NACIONAL_2022_1106128105107110207210231232234235[[#This Row],[D1]:[D6]])</f>
        <v>0</v>
      </c>
      <c r="CG36" s="4" t="s">
        <v>741</v>
      </c>
      <c r="CH36" s="3">
        <f>IF($B$2="(Todas)",COUNTIF(BASE[CODCIE10],GUIA_NACIONAL_2022_1106128105107111115129130250251252[[#This Row],[CIE-10]]),COUNTIFS(BASE[Cod.Establecimiento],$B$2,BASE[CODCIE10],GUIA_NACIONAL_2022_1106128105107111115129130250251252[[#This Row],[CIE-10]]))</f>
        <v>0</v>
      </c>
      <c r="CI36" s="3">
        <f>IF($B$2="(Todas)",COUNTIF(BASE[CODCIE102],GUIA_NACIONAL_2022_1106128105107111115129130250251252[[#This Row],[CIE-10]]),COUNTIFS(BASE[Cod.Establecimiento],$B$2,BASE[CODCIE102],GUIA_NACIONAL_2022_1106128105107111115129130250251252[[#This Row],[CIE-10]]))</f>
        <v>0</v>
      </c>
      <c r="CJ36" s="3">
        <f>IF($B$2="(Todas)",COUNTIF(BASE[CODCIE104],GUIA_NACIONAL_2022_1106128105107111115129130250251252[[#This Row],[CIE-10]]),COUNTIFS(BASE[Cod.Establecimiento],$B$2,BASE[CODCIE104],GUIA_NACIONAL_2022_1106128105107111115129130250251252[[#This Row],[CIE-10]]))</f>
        <v>0</v>
      </c>
      <c r="CK36" s="3">
        <f>IF($B$2="(Todas)",COUNTIF(BASE[CODCIE106],GUIA_NACIONAL_2022_1106128105107111115129130250251252[[#This Row],[CIE-10]]),COUNTIFS(BASE[Cod.Establecimiento],$B$2,BASE[CODCIE106],GUIA_NACIONAL_2022_1106128105107111115129130250251252[[#This Row],[CIE-10]]))</f>
        <v>0</v>
      </c>
      <c r="CL36" s="3">
        <f>IF($B$2="(Todas)",COUNTIF(BASE[CODCIE108],GUIA_NACIONAL_2022_1106128105107111115129130250251252[[#This Row],[CIE-10]]),COUNTIFS(BASE[Cod.Establecimiento],$B$2,BASE[CODCIE108],GUIA_NACIONAL_2022_1106128105107111115129130250251252[[#This Row],[CIE-10]]))</f>
        <v>0</v>
      </c>
      <c r="CM36" s="3">
        <f>IF($B$2="(Todas)",COUNTIF(BASE[CODCIE1010],GUIA_NACIONAL_2022_1106128105107111115129130250251252[[#This Row],[CIE-10]]),COUNTIFS(BASE[Cod.Establecimiento],$B$2,BASE[CODCIE1010],GUIA_NACIONAL_2022_1106128105107111115129130250251252[[#This Row],[CIE-10]]))</f>
        <v>0</v>
      </c>
      <c r="CN36" s="9">
        <f>SUM(GUIA_NACIONAL_2022_1106128105107111115129130250251252[[#This Row],[D1]:[D6]])</f>
        <v>0</v>
      </c>
    </row>
    <row r="37" spans="1:92" ht="15" customHeight="1">
      <c r="A37" s="142"/>
      <c r="B37" s="142"/>
      <c r="D37" t="s">
        <v>93</v>
      </c>
      <c r="E37" s="3" t="s">
        <v>94</v>
      </c>
      <c r="F37" s="3" t="s">
        <v>95</v>
      </c>
      <c r="G37" s="3" t="s">
        <v>96</v>
      </c>
      <c r="H37" s="3" t="s">
        <v>97</v>
      </c>
      <c r="I37" s="3" t="s">
        <v>98</v>
      </c>
      <c r="J37" s="3" t="s">
        <v>99</v>
      </c>
      <c r="K37" s="8" t="s">
        <v>100</v>
      </c>
      <c r="V37" s="149" t="s">
        <v>539</v>
      </c>
      <c r="W37" s="150"/>
      <c r="X37" s="150"/>
      <c r="Y37" s="150"/>
      <c r="Z37" s="150"/>
      <c r="AA37" s="150"/>
      <c r="AB37" s="150"/>
      <c r="AC37" s="150"/>
      <c r="AE37" s="150" t="s">
        <v>574</v>
      </c>
      <c r="AF37" s="150"/>
      <c r="AG37" s="150"/>
      <c r="AH37" s="150"/>
      <c r="AI37" s="150"/>
      <c r="AJ37" s="150"/>
      <c r="AK37" s="150"/>
      <c r="AL37" s="150"/>
      <c r="AN37" s="151" t="s">
        <v>628</v>
      </c>
      <c r="AO37" s="151"/>
      <c r="AP37" s="151"/>
      <c r="AQ37" s="151"/>
      <c r="AR37" s="151"/>
      <c r="AS37" s="151"/>
      <c r="AT37" s="151"/>
      <c r="AU37" s="151"/>
      <c r="BF37" s="4" t="s">
        <v>668</v>
      </c>
      <c r="BG37" s="3">
        <f>IF($B$2="(Todas)",COUNTIF(BASE[CODCIE10],GUIA_NACIONAL_2022_1106128105107110207214216217218219[[#This Row],[CIE-10]]),COUNTIFS(BASE[Cod.Establecimiento],$B$2,BASE[CODCIE10],GUIA_NACIONAL_2022_1106128105107110207214216217218219[[#This Row],[CIE-10]]))</f>
        <v>0</v>
      </c>
      <c r="BH37" s="3">
        <f>IF($B$2="(Todas)",COUNTIF(BASE[CODCIE102],GUIA_NACIONAL_2022_1106128105107110207214216217218219[[#This Row],[CIE-10]]),COUNTIFS(BASE[Cod.Establecimiento],$B$2,BASE[CODCIE102],GUIA_NACIONAL_2022_1106128105107110207214216217218219[[#This Row],[CIE-10]]))</f>
        <v>0</v>
      </c>
      <c r="BI37" s="3">
        <f>IF($B$2="(Todas)",COUNTIF(BASE[CODCIE104],GUIA_NACIONAL_2022_1106128105107110207214216217218219[[#This Row],[CIE-10]]),COUNTIFS(BASE[Cod.Establecimiento],$B$2,BASE[CODCIE104],GUIA_NACIONAL_2022_1106128105107110207214216217218219[[#This Row],[CIE-10]]))</f>
        <v>0</v>
      </c>
      <c r="BJ37" s="3">
        <f>IF($B$2="(Todas)",COUNTIF(BASE[CODCIE106],GUIA_NACIONAL_2022_1106128105107110207214216217218219[[#This Row],[CIE-10]]),COUNTIFS(BASE[Cod.Establecimiento],$B$2,BASE[CODCIE106],GUIA_NACIONAL_2022_1106128105107110207214216217218219[[#This Row],[CIE-10]]))</f>
        <v>0</v>
      </c>
      <c r="BK37" s="3">
        <f>IF($B$2="(Todas)",COUNTIF(BASE[CODCIE108],GUIA_NACIONAL_2022_1106128105107110207214216217218219[[#This Row],[CIE-10]]),COUNTIFS(BASE[Cod.Establecimiento],$B$2,BASE[CODCIE108],GUIA_NACIONAL_2022_1106128105107110207214216217218219[[#This Row],[CIE-10]]))</f>
        <v>0</v>
      </c>
      <c r="BL37" s="3">
        <f>IF($B$2="(Todas)",COUNTIF(BASE[CODCIE1010],GUIA_NACIONAL_2022_1106128105107110207214216217218219[[#This Row],[CIE-10]]),COUNTIFS(BASE[Cod.Establecimiento],$B$2,BASE[CODCIE1010],GUIA_NACIONAL_2022_1106128105107110207214216217218219[[#This Row],[CIE-10]]))</f>
        <v>0</v>
      </c>
      <c r="BM37" s="9">
        <f>SUM(GUIA_NACIONAL_2022_1106128105107110207214216217218219[[#This Row],[D1]:[D6]])</f>
        <v>0</v>
      </c>
      <c r="BO37" s="4" t="s">
        <v>327</v>
      </c>
      <c r="BP37" s="3">
        <f>IF($B$2="(Todas)",COUNTIF(BASE[CODCIE10],GUIA_NACIONAL_2022_1106128105107110207210231232234235[[#This Row],[CIE-10]]),COUNTIFS(BASE[Cod.Establecimiento],$B$2,BASE[CODCIE10],GUIA_NACIONAL_2022_1106128105107110207210231232234235[[#This Row],[CIE-10]]))</f>
        <v>0</v>
      </c>
      <c r="BQ37" s="3">
        <f>IF($B$2="(Todas)",COUNTIF(BASE[CODCIE102],GUIA_NACIONAL_2022_1106128105107110207210231232234235[[#This Row],[CIE-10]]),COUNTIFS(BASE[Cod.Establecimiento],$B$2,BASE[CODCIE102],GUIA_NACIONAL_2022_1106128105107110207210231232234235[[#This Row],[CIE-10]]))</f>
        <v>0</v>
      </c>
      <c r="BR37" s="3">
        <f>IF($B$2="(Todas)",COUNTIF(BASE[CODCIE104],GUIA_NACIONAL_2022_1106128105107110207210231232234235[[#This Row],[CIE-10]]),COUNTIFS(BASE[Cod.Establecimiento],$B$2,BASE[CODCIE104],GUIA_NACIONAL_2022_1106128105107110207210231232234235[[#This Row],[CIE-10]]))</f>
        <v>0</v>
      </c>
      <c r="BS37" s="3">
        <f>IF($B$2="(Todas)",COUNTIF(BASE[CODCIE106],GUIA_NACIONAL_2022_1106128105107110207210231232234235[[#This Row],[CIE-10]]),COUNTIFS(BASE[Cod.Establecimiento],$B$2,BASE[CODCIE106],GUIA_NACIONAL_2022_1106128105107110207210231232234235[[#This Row],[CIE-10]]))</f>
        <v>0</v>
      </c>
      <c r="BT37" s="3">
        <f>IF($B$2="(Todas)",COUNTIF(BASE[CODCIE108],GUIA_NACIONAL_2022_1106128105107110207210231232234235[[#This Row],[CIE-10]]),COUNTIFS(BASE[Cod.Establecimiento],$B$2,BASE[CODCIE108],GUIA_NACIONAL_2022_1106128105107110207210231232234235[[#This Row],[CIE-10]]))</f>
        <v>0</v>
      </c>
      <c r="BU37" s="3">
        <f>IF($B$2="(Todas)",COUNTIF(BASE[CODCIE1010],GUIA_NACIONAL_2022_1106128105107110207210231232234235[[#This Row],[CIE-10]]),COUNTIFS(BASE[Cod.Establecimiento],$B$2,BASE[CODCIE1010],GUIA_NACIONAL_2022_1106128105107110207210231232234235[[#This Row],[CIE-10]]))</f>
        <v>0</v>
      </c>
      <c r="BV37" s="9">
        <f>SUM(GUIA_NACIONAL_2022_1106128105107110207210231232234235[[#This Row],[D1]:[D6]])</f>
        <v>0</v>
      </c>
      <c r="CG37" s="4" t="s">
        <v>742</v>
      </c>
      <c r="CH37" s="3">
        <f>IF($B$2="(Todas)",COUNTIF(BASE[CODCIE10],GUIA_NACIONAL_2022_1106128105107111115129130250251252[[#This Row],[CIE-10]]),COUNTIFS(BASE[Cod.Establecimiento],$B$2,BASE[CODCIE10],GUIA_NACIONAL_2022_1106128105107111115129130250251252[[#This Row],[CIE-10]]))</f>
        <v>0</v>
      </c>
      <c r="CI37" s="3">
        <f>IF($B$2="(Todas)",COUNTIF(BASE[CODCIE102],GUIA_NACIONAL_2022_1106128105107111115129130250251252[[#This Row],[CIE-10]]),COUNTIFS(BASE[Cod.Establecimiento],$B$2,BASE[CODCIE102],GUIA_NACIONAL_2022_1106128105107111115129130250251252[[#This Row],[CIE-10]]))</f>
        <v>0</v>
      </c>
      <c r="CJ37" s="3">
        <f>IF($B$2="(Todas)",COUNTIF(BASE[CODCIE104],GUIA_NACIONAL_2022_1106128105107111115129130250251252[[#This Row],[CIE-10]]),COUNTIFS(BASE[Cod.Establecimiento],$B$2,BASE[CODCIE104],GUIA_NACIONAL_2022_1106128105107111115129130250251252[[#This Row],[CIE-10]]))</f>
        <v>0</v>
      </c>
      <c r="CK37" s="3">
        <f>IF($B$2="(Todas)",COUNTIF(BASE[CODCIE106],GUIA_NACIONAL_2022_1106128105107111115129130250251252[[#This Row],[CIE-10]]),COUNTIFS(BASE[Cod.Establecimiento],$B$2,BASE[CODCIE106],GUIA_NACIONAL_2022_1106128105107111115129130250251252[[#This Row],[CIE-10]]))</f>
        <v>0</v>
      </c>
      <c r="CL37" s="3">
        <f>IF($B$2="(Todas)",COUNTIF(BASE[CODCIE108],GUIA_NACIONAL_2022_1106128105107111115129130250251252[[#This Row],[CIE-10]]),COUNTIFS(BASE[Cod.Establecimiento],$B$2,BASE[CODCIE108],GUIA_NACIONAL_2022_1106128105107111115129130250251252[[#This Row],[CIE-10]]))</f>
        <v>0</v>
      </c>
      <c r="CM37" s="3">
        <f>IF($B$2="(Todas)",COUNTIF(BASE[CODCIE1010],GUIA_NACIONAL_2022_1106128105107111115129130250251252[[#This Row],[CIE-10]]),COUNTIFS(BASE[Cod.Establecimiento],$B$2,BASE[CODCIE1010],GUIA_NACIONAL_2022_1106128105107111115129130250251252[[#This Row],[CIE-10]]))</f>
        <v>0</v>
      </c>
      <c r="CN37" s="9">
        <f>SUM(GUIA_NACIONAL_2022_1106128105107111115129130250251252[[#This Row],[D1]:[D6]])</f>
        <v>0</v>
      </c>
    </row>
    <row r="38" spans="1:92" ht="15" customHeight="1">
      <c r="A38" s="142"/>
      <c r="B38" s="142"/>
      <c r="D38" s="4" t="s">
        <v>409</v>
      </c>
      <c r="E38" s="3">
        <f>IF($B$2="(Todas)",COUNTIF(BASE[CODCIE10],GUIA_NACIONAL_2022_1106112[[#This Row],[CIE-10]]),COUNTIFS(BASE[Cod.Establecimiento],$B$2,BASE[CODCIE10],GUIA_NACIONAL_2022_1106112[[#This Row],[CIE-10]]))</f>
        <v>0</v>
      </c>
      <c r="F38" s="3">
        <f>IF($B$2="(Todas)",COUNTIF(BASE[CODCIE102],GUIA_NACIONAL_2022_1106112[[#This Row],[CIE-10]]),COUNTIFS(BASE[Cod.Establecimiento],$B$2,BASE[CODCIE102],GUIA_NACIONAL_2022_1106112[[#This Row],[CIE-10]]))</f>
        <v>0</v>
      </c>
      <c r="G38" s="3">
        <f>IF($B$2="(Todas)",COUNTIF(BASE[CODCIE104],GUIA_NACIONAL_2022_1106112[[#This Row],[CIE-10]]),COUNTIFS(BASE[Cod.Establecimiento],$B$2,BASE[CODCIE104],GUIA_NACIONAL_2022_1106112[[#This Row],[CIE-10]]))</f>
        <v>0</v>
      </c>
      <c r="H38" s="3">
        <f>IF($B$2="(Todas)",COUNTIF(BASE[CODCIE106],GUIA_NACIONAL_2022_1106112[[#This Row],[CIE-10]]),COUNTIFS(BASE[Cod.Establecimiento],$B$2,BASE[CODCIE106],GUIA_NACIONAL_2022_1106112[[#This Row],[CIE-10]]))</f>
        <v>0</v>
      </c>
      <c r="I38" s="3">
        <f>IF($B$2="(Todas)",COUNTIF(BASE[CODCIE108],GUIA_NACIONAL_2022_1106112[[#This Row],[CIE-10]]),COUNTIFS(BASE[Cod.Establecimiento],$B$2,BASE[CODCIE108],GUIA_NACIONAL_2022_1106112[[#This Row],[CIE-10]]))</f>
        <v>0</v>
      </c>
      <c r="J38" s="3">
        <f>IF($B$2="(Todas)",COUNTIF(BASE[CODCIE1010],GUIA_NACIONAL_2022_1106112[[#This Row],[CIE-10]]),COUNTIFS(BASE[Cod.Establecimiento],$B$2,BASE[CODCIE1010],GUIA_NACIONAL_2022_1106112[[#This Row],[CIE-10]]))</f>
        <v>0</v>
      </c>
      <c r="K38" s="9">
        <f>SUM(GUIA_NACIONAL_2022_1106112[[#This Row],[D1]:[D6]])</f>
        <v>0</v>
      </c>
      <c r="V38" t="s">
        <v>93</v>
      </c>
      <c r="W38" s="3" t="s">
        <v>94</v>
      </c>
      <c r="X38" s="3" t="s">
        <v>95</v>
      </c>
      <c r="Y38" s="3" t="s">
        <v>96</v>
      </c>
      <c r="Z38" s="3" t="s">
        <v>97</v>
      </c>
      <c r="AA38" s="3" t="s">
        <v>98</v>
      </c>
      <c r="AB38" s="3" t="s">
        <v>99</v>
      </c>
      <c r="AC38" s="8" t="s">
        <v>100</v>
      </c>
      <c r="AE38" t="s">
        <v>93</v>
      </c>
      <c r="AF38" s="3" t="s">
        <v>94</v>
      </c>
      <c r="AG38" s="3" t="s">
        <v>95</v>
      </c>
      <c r="AH38" s="3" t="s">
        <v>96</v>
      </c>
      <c r="AI38" s="3" t="s">
        <v>97</v>
      </c>
      <c r="AJ38" s="3" t="s">
        <v>98</v>
      </c>
      <c r="AK38" s="3" t="s">
        <v>99</v>
      </c>
      <c r="AL38" s="8" t="s">
        <v>100</v>
      </c>
      <c r="AN38" s="150" t="s">
        <v>629</v>
      </c>
      <c r="AO38" s="150"/>
      <c r="AP38" s="150"/>
      <c r="AQ38" s="150"/>
      <c r="AR38" s="150"/>
      <c r="AS38" s="150"/>
      <c r="AT38" s="150"/>
      <c r="AU38" s="150"/>
      <c r="BF38" s="149" t="s">
        <v>669</v>
      </c>
      <c r="BG38" s="150"/>
      <c r="BH38" s="150"/>
      <c r="BI38" s="150"/>
      <c r="BJ38" s="150"/>
      <c r="BK38" s="150"/>
      <c r="BL38" s="150"/>
      <c r="BM38" s="150"/>
      <c r="BO38" s="151" t="s">
        <v>178</v>
      </c>
      <c r="BP38" s="151"/>
      <c r="BQ38" s="151"/>
      <c r="BR38" s="151"/>
      <c r="BS38" s="151"/>
      <c r="BT38" s="151"/>
      <c r="BU38" s="151"/>
      <c r="BV38" s="151"/>
      <c r="CG38" s="4" t="s">
        <v>743</v>
      </c>
      <c r="CH38" s="3">
        <f>IF($B$2="(Todas)",COUNTIF(BASE[CODCIE10],GUIA_NACIONAL_2022_1106128105107111115129130250251252[[#This Row],[CIE-10]]),COUNTIFS(BASE[Cod.Establecimiento],$B$2,BASE[CODCIE10],GUIA_NACIONAL_2022_1106128105107111115129130250251252[[#This Row],[CIE-10]]))</f>
        <v>0</v>
      </c>
      <c r="CI38" s="3">
        <f>IF($B$2="(Todas)",COUNTIF(BASE[CODCIE102],GUIA_NACIONAL_2022_1106128105107111115129130250251252[[#This Row],[CIE-10]]),COUNTIFS(BASE[Cod.Establecimiento],$B$2,BASE[CODCIE102],GUIA_NACIONAL_2022_1106128105107111115129130250251252[[#This Row],[CIE-10]]))</f>
        <v>0</v>
      </c>
      <c r="CJ38" s="3">
        <f>IF($B$2="(Todas)",COUNTIF(BASE[CODCIE104],GUIA_NACIONAL_2022_1106128105107111115129130250251252[[#This Row],[CIE-10]]),COUNTIFS(BASE[Cod.Establecimiento],$B$2,BASE[CODCIE104],GUIA_NACIONAL_2022_1106128105107111115129130250251252[[#This Row],[CIE-10]]))</f>
        <v>0</v>
      </c>
      <c r="CK38" s="3">
        <f>IF($B$2="(Todas)",COUNTIF(BASE[CODCIE106],GUIA_NACIONAL_2022_1106128105107111115129130250251252[[#This Row],[CIE-10]]),COUNTIFS(BASE[Cod.Establecimiento],$B$2,BASE[CODCIE106],GUIA_NACIONAL_2022_1106128105107111115129130250251252[[#This Row],[CIE-10]]))</f>
        <v>0</v>
      </c>
      <c r="CL38" s="3">
        <f>IF($B$2="(Todas)",COUNTIF(BASE[CODCIE108],GUIA_NACIONAL_2022_1106128105107111115129130250251252[[#This Row],[CIE-10]]),COUNTIFS(BASE[Cod.Establecimiento],$B$2,BASE[CODCIE108],GUIA_NACIONAL_2022_1106128105107111115129130250251252[[#This Row],[CIE-10]]))</f>
        <v>0</v>
      </c>
      <c r="CM38" s="3">
        <f>IF($B$2="(Todas)",COUNTIF(BASE[CODCIE1010],GUIA_NACIONAL_2022_1106128105107111115129130250251252[[#This Row],[CIE-10]]),COUNTIFS(BASE[Cod.Establecimiento],$B$2,BASE[CODCIE1010],GUIA_NACIONAL_2022_1106128105107111115129130250251252[[#This Row],[CIE-10]]))</f>
        <v>0</v>
      </c>
      <c r="CN38" s="9">
        <f>SUM(GUIA_NACIONAL_2022_1106128105107111115129130250251252[[#This Row],[D1]:[D6]])</f>
        <v>0</v>
      </c>
    </row>
    <row r="39" spans="1:92" ht="15" customHeight="1">
      <c r="D39" s="150" t="s">
        <v>440</v>
      </c>
      <c r="E39" s="150"/>
      <c r="F39" s="150"/>
      <c r="G39" s="150"/>
      <c r="H39" s="150"/>
      <c r="I39" s="150"/>
      <c r="J39" s="150"/>
      <c r="K39" s="150"/>
      <c r="V39" s="4" t="s">
        <v>137</v>
      </c>
      <c r="W39" s="3">
        <f>IF($B$2="(Todas)",COUNTIF(BASE[CODCIE10],GUIA_NACIONAL_2022_1106128143146150151[[#This Row],[CIE-10]]),COUNTIFS(BASE[Cod.Establecimiento],$B$2,BASE[CODCIE10],GUIA_NACIONAL_2022_1106128143146150151[[#This Row],[CIE-10]]))</f>
        <v>0</v>
      </c>
      <c r="X39" s="3">
        <f>IF($B$2="(Todas)",COUNTIF(BASE[CODCIE102],GUIA_NACIONAL_2022_1106128143146150151[[#This Row],[CIE-10]]),COUNTIFS(BASE[Cod.Establecimiento],$B$2,BASE[CODCIE102],GUIA_NACIONAL_2022_1106128143146150151[[#This Row],[CIE-10]]))</f>
        <v>0</v>
      </c>
      <c r="Y39" s="3">
        <f>IF($B$2="(Todas)",COUNTIF(BASE[CODCIE104],GUIA_NACIONAL_2022_1106128143146150151[[#This Row],[CIE-10]]),COUNTIFS(BASE[Cod.Establecimiento],$B$2,BASE[CODCIE104],GUIA_NACIONAL_2022_1106128143146150151[[#This Row],[CIE-10]]))</f>
        <v>0</v>
      </c>
      <c r="Z39" s="3">
        <f>IF($B$2="(Todas)",COUNTIF(BASE[CODCIE106],GUIA_NACIONAL_2022_1106128143146150151[[#This Row],[CIE-10]]),COUNTIFS(BASE[Cod.Establecimiento],$B$2,BASE[CODCIE106],GUIA_NACIONAL_2022_1106128143146150151[[#This Row],[CIE-10]]))</f>
        <v>0</v>
      </c>
      <c r="AA39" s="3">
        <f>IF($B$2="(Todas)",COUNTIF(BASE[CODCIE108],GUIA_NACIONAL_2022_1106128143146150151[[#This Row],[CIE-10]]),COUNTIFS(BASE[Cod.Establecimiento],$B$2,BASE[CODCIE108],GUIA_NACIONAL_2022_1106128143146150151[[#This Row],[CIE-10]]))</f>
        <v>0</v>
      </c>
      <c r="AB39" s="3">
        <f>IF($B$2="(Todas)",COUNTIF(BASE[CODCIE1010],GUIA_NACIONAL_2022_1106128143146150151[[#This Row],[CIE-10]]),COUNTIFS(BASE[Cod.Establecimiento],$B$2,BASE[CODCIE1010],GUIA_NACIONAL_2022_1106128143146150151[[#This Row],[CIE-10]]))</f>
        <v>0</v>
      </c>
      <c r="AC39" s="9">
        <f>SUM(GUIA_NACIONAL_2022_1106128143146150151[[#This Row],[D1]:[D6]])</f>
        <v>0</v>
      </c>
      <c r="AE39" s="4" t="s">
        <v>575</v>
      </c>
      <c r="AF39" s="3">
        <f>IF($B$2="(Todas)",COUNTIF(BASE[CODCIE10],GUIA_NACIONAL_2022_1106128105168175[[#This Row],[CIE-10]]),COUNTIFS(BASE[Cod.Establecimiento],$B$2,BASE[CODCIE10],GUIA_NACIONAL_2022_1106128105168175[[#This Row],[CIE-10]]))</f>
        <v>0</v>
      </c>
      <c r="AG39" s="3">
        <f>IF($B$2="(Todas)",COUNTIF(BASE[CODCIE102],GUIA_NACIONAL_2022_1106128105168175[[#This Row],[CIE-10]]),COUNTIFS(BASE[Cod.Establecimiento],$B$2,BASE[CODCIE102],GUIA_NACIONAL_2022_1106128105168175[[#This Row],[CIE-10]]))</f>
        <v>0</v>
      </c>
      <c r="AH39" s="3">
        <f>IF($B$2="(Todas)",COUNTIF(BASE[CODCIE104],GUIA_NACIONAL_2022_1106128105168175[[#This Row],[CIE-10]]),COUNTIFS(BASE[Cod.Establecimiento],$B$2,BASE[CODCIE104],GUIA_NACIONAL_2022_1106128105168175[[#This Row],[CIE-10]]))</f>
        <v>0</v>
      </c>
      <c r="AI39" s="3">
        <f>IF($B$2="(Todas)",COUNTIF(BASE[CODCIE106],GUIA_NACIONAL_2022_1106128105168175[[#This Row],[CIE-10]]),COUNTIFS(BASE[Cod.Establecimiento],$B$2,BASE[CODCIE106],GUIA_NACIONAL_2022_1106128105168175[[#This Row],[CIE-10]]))</f>
        <v>0</v>
      </c>
      <c r="AJ39" s="3">
        <f>IF($B$2="(Todas)",COUNTIF(BASE[CODCIE108],GUIA_NACIONAL_2022_1106128105168175[[#This Row],[CIE-10]]),COUNTIFS(BASE[Cod.Establecimiento],$B$2,BASE[CODCIE108],GUIA_NACIONAL_2022_1106128105168175[[#This Row],[CIE-10]]))</f>
        <v>0</v>
      </c>
      <c r="AK39" s="3">
        <f>IF($B$2="(Todas)",COUNTIF(BASE[CODCIE1010],GUIA_NACIONAL_2022_1106128105168175[[#This Row],[CIE-10]]),COUNTIFS(BASE[Cod.Establecimiento],$B$2,BASE[CODCIE1010],GUIA_NACIONAL_2022_1106128105168175[[#This Row],[CIE-10]]))</f>
        <v>0</v>
      </c>
      <c r="AL39" s="9">
        <f>SUM(GUIA_NACIONAL_2022_1106128105168175[[#This Row],[D1]:[D6]])</f>
        <v>0</v>
      </c>
      <c r="AN39" t="s">
        <v>93</v>
      </c>
      <c r="AO39" s="3" t="s">
        <v>94</v>
      </c>
      <c r="AP39" s="3" t="s">
        <v>95</v>
      </c>
      <c r="AQ39" s="3" t="s">
        <v>96</v>
      </c>
      <c r="AR39" s="3" t="s">
        <v>97</v>
      </c>
      <c r="AS39" s="3" t="s">
        <v>98</v>
      </c>
      <c r="AT39" s="3" t="s">
        <v>99</v>
      </c>
      <c r="AU39" s="8" t="s">
        <v>100</v>
      </c>
      <c r="BF39" t="s">
        <v>93</v>
      </c>
      <c r="BG39" s="3" t="s">
        <v>94</v>
      </c>
      <c r="BH39" s="3" t="s">
        <v>95</v>
      </c>
      <c r="BI39" s="3" t="s">
        <v>96</v>
      </c>
      <c r="BJ39" s="3" t="s">
        <v>97</v>
      </c>
      <c r="BK39" s="3" t="s">
        <v>98</v>
      </c>
      <c r="BL39" s="3" t="s">
        <v>99</v>
      </c>
      <c r="BM39" s="8" t="s">
        <v>100</v>
      </c>
      <c r="BO39" s="150" t="s">
        <v>696</v>
      </c>
      <c r="BP39" s="150"/>
      <c r="BQ39" s="150"/>
      <c r="BR39" s="150"/>
      <c r="BS39" s="150"/>
      <c r="BT39" s="150"/>
      <c r="BU39" s="150"/>
      <c r="BV39" s="150"/>
      <c r="CG39" s="4" t="s">
        <v>744</v>
      </c>
      <c r="CH39" s="3">
        <f>IF($B$2="(Todas)",COUNTIF(BASE[CODCIE10],GUIA_NACIONAL_2022_1106128105107111115129130250251252[[#This Row],[CIE-10]]),COUNTIFS(BASE[Cod.Establecimiento],$B$2,BASE[CODCIE10],GUIA_NACIONAL_2022_1106128105107111115129130250251252[[#This Row],[CIE-10]]))</f>
        <v>0</v>
      </c>
      <c r="CI39" s="3">
        <f>IF($B$2="(Todas)",COUNTIF(BASE[CODCIE102],GUIA_NACIONAL_2022_1106128105107111115129130250251252[[#This Row],[CIE-10]]),COUNTIFS(BASE[Cod.Establecimiento],$B$2,BASE[CODCIE102],GUIA_NACIONAL_2022_1106128105107111115129130250251252[[#This Row],[CIE-10]]))</f>
        <v>0</v>
      </c>
      <c r="CJ39" s="3">
        <f>IF($B$2="(Todas)",COUNTIF(BASE[CODCIE104],GUIA_NACIONAL_2022_1106128105107111115129130250251252[[#This Row],[CIE-10]]),COUNTIFS(BASE[Cod.Establecimiento],$B$2,BASE[CODCIE104],GUIA_NACIONAL_2022_1106128105107111115129130250251252[[#This Row],[CIE-10]]))</f>
        <v>0</v>
      </c>
      <c r="CK39" s="3">
        <f>IF($B$2="(Todas)",COUNTIF(BASE[CODCIE106],GUIA_NACIONAL_2022_1106128105107111115129130250251252[[#This Row],[CIE-10]]),COUNTIFS(BASE[Cod.Establecimiento],$B$2,BASE[CODCIE106],GUIA_NACIONAL_2022_1106128105107111115129130250251252[[#This Row],[CIE-10]]))</f>
        <v>0</v>
      </c>
      <c r="CL39" s="3">
        <f>IF($B$2="(Todas)",COUNTIF(BASE[CODCIE108],GUIA_NACIONAL_2022_1106128105107111115129130250251252[[#This Row],[CIE-10]]),COUNTIFS(BASE[Cod.Establecimiento],$B$2,BASE[CODCIE108],GUIA_NACIONAL_2022_1106128105107111115129130250251252[[#This Row],[CIE-10]]))</f>
        <v>0</v>
      </c>
      <c r="CM39" s="3">
        <f>IF($B$2="(Todas)",COUNTIF(BASE[CODCIE1010],GUIA_NACIONAL_2022_1106128105107111115129130250251252[[#This Row],[CIE-10]]),COUNTIFS(BASE[Cod.Establecimiento],$B$2,BASE[CODCIE1010],GUIA_NACIONAL_2022_1106128105107111115129130250251252[[#This Row],[CIE-10]]))</f>
        <v>0</v>
      </c>
      <c r="CN39" s="9">
        <f>SUM(GUIA_NACIONAL_2022_1106128105107111115129130250251252[[#This Row],[D1]:[D6]])</f>
        <v>0</v>
      </c>
    </row>
    <row r="40" spans="1:92" ht="15" customHeight="1">
      <c r="D40" t="s">
        <v>93</v>
      </c>
      <c r="E40" s="3" t="s">
        <v>94</v>
      </c>
      <c r="F40" s="3" t="s">
        <v>95</v>
      </c>
      <c r="G40" s="3" t="s">
        <v>96</v>
      </c>
      <c r="H40" s="3" t="s">
        <v>97</v>
      </c>
      <c r="I40" s="3" t="s">
        <v>98</v>
      </c>
      <c r="J40" s="3" t="s">
        <v>99</v>
      </c>
      <c r="K40" s="8" t="s">
        <v>100</v>
      </c>
      <c r="V40" s="32" t="s">
        <v>139</v>
      </c>
      <c r="W40" s="3">
        <f>IF($B$2="(Todas)",COUNTIF(BASE[CODCIE10],GUIA_NACIONAL_2022_1106128143146150151[[#This Row],[CIE-10]]),COUNTIFS(BASE[Cod.Establecimiento],$B$2,BASE[CODCIE10],GUIA_NACIONAL_2022_1106128143146150151[[#This Row],[CIE-10]]))</f>
        <v>0</v>
      </c>
      <c r="X40" s="3">
        <f>IF($B$2="(Todas)",COUNTIF(BASE[CODCIE102],GUIA_NACIONAL_2022_1106128143146150151[[#This Row],[CIE-10]]),COUNTIFS(BASE[Cod.Establecimiento],$B$2,BASE[CODCIE102],GUIA_NACIONAL_2022_1106128143146150151[[#This Row],[CIE-10]]))</f>
        <v>0</v>
      </c>
      <c r="Y40" s="3">
        <f>IF($B$2="(Todas)",COUNTIF(BASE[CODCIE104],GUIA_NACIONAL_2022_1106128143146150151[[#This Row],[CIE-10]]),COUNTIFS(BASE[Cod.Establecimiento],$B$2,BASE[CODCIE104],GUIA_NACIONAL_2022_1106128143146150151[[#This Row],[CIE-10]]))</f>
        <v>0</v>
      </c>
      <c r="Z40" s="3">
        <f>IF($B$2="(Todas)",COUNTIF(BASE[CODCIE106],GUIA_NACIONAL_2022_1106128143146150151[[#This Row],[CIE-10]]),COUNTIFS(BASE[Cod.Establecimiento],$B$2,BASE[CODCIE106],GUIA_NACIONAL_2022_1106128143146150151[[#This Row],[CIE-10]]))</f>
        <v>0</v>
      </c>
      <c r="AA40" s="3">
        <f>IF($B$2="(Todas)",COUNTIF(BASE[CODCIE108],GUIA_NACIONAL_2022_1106128143146150151[[#This Row],[CIE-10]]),COUNTIFS(BASE[Cod.Establecimiento],$B$2,BASE[CODCIE108],GUIA_NACIONAL_2022_1106128143146150151[[#This Row],[CIE-10]]))</f>
        <v>0</v>
      </c>
      <c r="AB40" s="3">
        <f>IF($B$2="(Todas)",COUNTIF(BASE[CODCIE1010],GUIA_NACIONAL_2022_1106128143146150151[[#This Row],[CIE-10]]),COUNTIFS(BASE[Cod.Establecimiento],$B$2,BASE[CODCIE1010],GUIA_NACIONAL_2022_1106128143146150151[[#This Row],[CIE-10]]))</f>
        <v>0</v>
      </c>
      <c r="AC40" s="9">
        <f>SUM(GUIA_NACIONAL_2022_1106128143146150151[[#This Row],[D1]:[D6]])</f>
        <v>0</v>
      </c>
      <c r="AE40" s="32" t="s">
        <v>576</v>
      </c>
      <c r="AF40" s="3">
        <f>IF($B$2="(Todas)",COUNTIF(BASE[CODCIE10],GUIA_NACIONAL_2022_1106128105168175[[#This Row],[CIE-10]]),COUNTIFS(BASE[Cod.Establecimiento],$B$2,BASE[CODCIE10],GUIA_NACIONAL_2022_1106128105168175[[#This Row],[CIE-10]]))</f>
        <v>0</v>
      </c>
      <c r="AG40" s="3">
        <f>IF($B$2="(Todas)",COUNTIF(BASE[CODCIE102],GUIA_NACIONAL_2022_1106128105168175[[#This Row],[CIE-10]]),COUNTIFS(BASE[Cod.Establecimiento],$B$2,BASE[CODCIE102],GUIA_NACIONAL_2022_1106128105168175[[#This Row],[CIE-10]]))</f>
        <v>0</v>
      </c>
      <c r="AH40" s="3">
        <f>IF($B$2="(Todas)",COUNTIF(BASE[CODCIE104],GUIA_NACIONAL_2022_1106128105168175[[#This Row],[CIE-10]]),COUNTIFS(BASE[Cod.Establecimiento],$B$2,BASE[CODCIE104],GUIA_NACIONAL_2022_1106128105168175[[#This Row],[CIE-10]]))</f>
        <v>0</v>
      </c>
      <c r="AI40" s="3">
        <f>IF($B$2="(Todas)",COUNTIF(BASE[CODCIE106],GUIA_NACIONAL_2022_1106128105168175[[#This Row],[CIE-10]]),COUNTIFS(BASE[Cod.Establecimiento],$B$2,BASE[CODCIE106],GUIA_NACIONAL_2022_1106128105168175[[#This Row],[CIE-10]]))</f>
        <v>0</v>
      </c>
      <c r="AJ40" s="3">
        <f>IF($B$2="(Todas)",COUNTIF(BASE[CODCIE108],GUIA_NACIONAL_2022_1106128105168175[[#This Row],[CIE-10]]),COUNTIFS(BASE[Cod.Establecimiento],$B$2,BASE[CODCIE108],GUIA_NACIONAL_2022_1106128105168175[[#This Row],[CIE-10]]))</f>
        <v>0</v>
      </c>
      <c r="AK40" s="3">
        <f>IF($B$2="(Todas)",COUNTIF(BASE[CODCIE1010],GUIA_NACIONAL_2022_1106128105168175[[#This Row],[CIE-10]]),COUNTIFS(BASE[Cod.Establecimiento],$B$2,BASE[CODCIE1010],GUIA_NACIONAL_2022_1106128105168175[[#This Row],[CIE-10]]))</f>
        <v>0</v>
      </c>
      <c r="AL40" s="9">
        <f>SUM(GUIA_NACIONAL_2022_1106128105168175[[#This Row],[D1]:[D6]])</f>
        <v>0</v>
      </c>
      <c r="AN40" s="4" t="s">
        <v>630</v>
      </c>
      <c r="AO40" s="3">
        <f>IF($B$2="(Todas)",COUNTIF(BASE[CODCIE10],GUIA_NACIONAL_2022_1106128105168162197200203[[#This Row],[CIE-10]]),COUNTIFS(BASE[Cod.Establecimiento],$B$2,BASE[CODCIE10],GUIA_NACIONAL_2022_1106128105168162197200203[[#This Row],[CIE-10]]))</f>
        <v>0</v>
      </c>
      <c r="AP40" s="3">
        <f>IF($B$2="(Todas)",COUNTIF(BASE[CODCIE102],GUIA_NACIONAL_2022_1106128105168162197200203[[#This Row],[CIE-10]]),COUNTIFS(BASE[Cod.Establecimiento],$B$2,BASE[CODCIE102],GUIA_NACIONAL_2022_1106128105168162197200203[[#This Row],[CIE-10]]))</f>
        <v>0</v>
      </c>
      <c r="AQ40" s="3">
        <f>IF($B$2="(Todas)",COUNTIF(BASE[CODCIE104],GUIA_NACIONAL_2022_1106128105168162197200203[[#This Row],[CIE-10]]),COUNTIFS(BASE[Cod.Establecimiento],$B$2,BASE[CODCIE104],GUIA_NACIONAL_2022_1106128105168162197200203[[#This Row],[CIE-10]]))</f>
        <v>0</v>
      </c>
      <c r="AR40" s="3">
        <f>IF($B$2="(Todas)",COUNTIF(BASE[CODCIE106],GUIA_NACIONAL_2022_1106128105168162197200203[[#This Row],[CIE-10]]),COUNTIFS(BASE[Cod.Establecimiento],$B$2,BASE[CODCIE106],GUIA_NACIONAL_2022_1106128105168162197200203[[#This Row],[CIE-10]]))</f>
        <v>0</v>
      </c>
      <c r="AS40" s="3">
        <f>IF($B$2="(Todas)",COUNTIF(BASE[CODCIE108],GUIA_NACIONAL_2022_1106128105168162197200203[[#This Row],[CIE-10]]),COUNTIFS(BASE[Cod.Establecimiento],$B$2,BASE[CODCIE108],GUIA_NACIONAL_2022_1106128105168162197200203[[#This Row],[CIE-10]]))</f>
        <v>0</v>
      </c>
      <c r="AT40" s="3">
        <f>IF($B$2="(Todas)",COUNTIF(BASE[CODCIE1010],GUIA_NACIONAL_2022_1106128105168162197200203[[#This Row],[CIE-10]]),COUNTIFS(BASE[Cod.Establecimiento],$B$2,BASE[CODCIE1010],GUIA_NACIONAL_2022_1106128105168162197200203[[#This Row],[CIE-10]]))</f>
        <v>0</v>
      </c>
      <c r="AU40" s="9">
        <f>SUM(GUIA_NACIONAL_2022_1106128105168162197200203[[#This Row],[D1]:[D6]])</f>
        <v>0</v>
      </c>
      <c r="BF40" s="4" t="s">
        <v>670</v>
      </c>
      <c r="BG40" s="3">
        <f>IF($B$2="(Todas)",COUNTIF(BASE[CODCIE10],GUIA_NACIONAL_2022_1106128105107110207214216217218219220[[#This Row],[CIE-10]]),COUNTIFS(BASE[Cod.Establecimiento],$B$2,BASE[CODCIE10],GUIA_NACIONAL_2022_1106128105107110207214216217218219220[[#This Row],[CIE-10]]))</f>
        <v>0</v>
      </c>
      <c r="BH40" s="3">
        <f>IF($B$2="(Todas)",COUNTIF(BASE[CODCIE102],GUIA_NACIONAL_2022_1106128105107110207214216217218219220[[#This Row],[CIE-10]]),COUNTIFS(BASE[Cod.Establecimiento],$B$2,BASE[CODCIE102],GUIA_NACIONAL_2022_1106128105107110207214216217218219220[[#This Row],[CIE-10]]))</f>
        <v>0</v>
      </c>
      <c r="BI40" s="3">
        <f>IF($B$2="(Todas)",COUNTIF(BASE[CODCIE104],GUIA_NACIONAL_2022_1106128105107110207214216217218219220[[#This Row],[CIE-10]]),COUNTIFS(BASE[Cod.Establecimiento],$B$2,BASE[CODCIE104],GUIA_NACIONAL_2022_1106128105107110207214216217218219220[[#This Row],[CIE-10]]))</f>
        <v>0</v>
      </c>
      <c r="BJ40" s="3">
        <f>IF($B$2="(Todas)",COUNTIF(BASE[CODCIE106],GUIA_NACIONAL_2022_1106128105107110207214216217218219220[[#This Row],[CIE-10]]),COUNTIFS(BASE[Cod.Establecimiento],$B$2,BASE[CODCIE106],GUIA_NACIONAL_2022_1106128105107110207214216217218219220[[#This Row],[CIE-10]]))</f>
        <v>0</v>
      </c>
      <c r="BK40" s="3">
        <f>IF($B$2="(Todas)",COUNTIF(BASE[CODCIE108],GUIA_NACIONAL_2022_1106128105107110207214216217218219220[[#This Row],[CIE-10]]),COUNTIFS(BASE[Cod.Establecimiento],$B$2,BASE[CODCIE108],GUIA_NACIONAL_2022_1106128105107110207214216217218219220[[#This Row],[CIE-10]]))</f>
        <v>0</v>
      </c>
      <c r="BL40" s="3">
        <f>IF($B$2="(Todas)",COUNTIF(BASE[CODCIE1010],GUIA_NACIONAL_2022_1106128105107110207214216217218219220[[#This Row],[CIE-10]]),COUNTIFS(BASE[Cod.Establecimiento],$B$2,BASE[CODCIE1010],GUIA_NACIONAL_2022_1106128105107110207214216217218219220[[#This Row],[CIE-10]]))</f>
        <v>0</v>
      </c>
      <c r="BM40" s="9">
        <f>SUM(GUIA_NACIONAL_2022_1106128105107110207214216217218219220[[#This Row],[D1]:[D6]])</f>
        <v>0</v>
      </c>
      <c r="BO40" t="s">
        <v>93</v>
      </c>
      <c r="BP40" s="3" t="s">
        <v>94</v>
      </c>
      <c r="BQ40" s="3" t="s">
        <v>95</v>
      </c>
      <c r="BR40" s="3" t="s">
        <v>96</v>
      </c>
      <c r="BS40" s="3" t="s">
        <v>97</v>
      </c>
      <c r="BT40" s="3" t="s">
        <v>98</v>
      </c>
      <c r="BU40" s="3" t="s">
        <v>99</v>
      </c>
      <c r="BV40" s="8" t="s">
        <v>100</v>
      </c>
      <c r="CG40" s="4" t="s">
        <v>745</v>
      </c>
      <c r="CH40" s="3">
        <f>IF($B$2="(Todas)",COUNTIF(BASE[CODCIE10],GUIA_NACIONAL_2022_1106128105107111115129130250251252[[#This Row],[CIE-10]]),COUNTIFS(BASE[Cod.Establecimiento],$B$2,BASE[CODCIE10],GUIA_NACIONAL_2022_1106128105107111115129130250251252[[#This Row],[CIE-10]]))</f>
        <v>0</v>
      </c>
      <c r="CI40" s="3">
        <f>IF($B$2="(Todas)",COUNTIF(BASE[CODCIE102],GUIA_NACIONAL_2022_1106128105107111115129130250251252[[#This Row],[CIE-10]]),COUNTIFS(BASE[Cod.Establecimiento],$B$2,BASE[CODCIE102],GUIA_NACIONAL_2022_1106128105107111115129130250251252[[#This Row],[CIE-10]]))</f>
        <v>0</v>
      </c>
      <c r="CJ40" s="3">
        <f>IF($B$2="(Todas)",COUNTIF(BASE[CODCIE104],GUIA_NACIONAL_2022_1106128105107111115129130250251252[[#This Row],[CIE-10]]),COUNTIFS(BASE[Cod.Establecimiento],$B$2,BASE[CODCIE104],GUIA_NACIONAL_2022_1106128105107111115129130250251252[[#This Row],[CIE-10]]))</f>
        <v>0</v>
      </c>
      <c r="CK40" s="3">
        <f>IF($B$2="(Todas)",COUNTIF(BASE[CODCIE106],GUIA_NACIONAL_2022_1106128105107111115129130250251252[[#This Row],[CIE-10]]),COUNTIFS(BASE[Cod.Establecimiento],$B$2,BASE[CODCIE106],GUIA_NACIONAL_2022_1106128105107111115129130250251252[[#This Row],[CIE-10]]))</f>
        <v>0</v>
      </c>
      <c r="CL40" s="3">
        <f>IF($B$2="(Todas)",COUNTIF(BASE[CODCIE108],GUIA_NACIONAL_2022_1106128105107111115129130250251252[[#This Row],[CIE-10]]),COUNTIFS(BASE[Cod.Establecimiento],$B$2,BASE[CODCIE108],GUIA_NACIONAL_2022_1106128105107111115129130250251252[[#This Row],[CIE-10]]))</f>
        <v>0</v>
      </c>
      <c r="CM40" s="3">
        <f>IF($B$2="(Todas)",COUNTIF(BASE[CODCIE1010],GUIA_NACIONAL_2022_1106128105107111115129130250251252[[#This Row],[CIE-10]]),COUNTIFS(BASE[Cod.Establecimiento],$B$2,BASE[CODCIE1010],GUIA_NACIONAL_2022_1106128105107111115129130250251252[[#This Row],[CIE-10]]))</f>
        <v>0</v>
      </c>
      <c r="CN40" s="9">
        <f>SUM(GUIA_NACIONAL_2022_1106128105107111115129130250251252[[#This Row],[D1]:[D6]])</f>
        <v>0</v>
      </c>
    </row>
    <row r="41" spans="1:92" ht="15" customHeight="1">
      <c r="D41" s="4" t="s">
        <v>441</v>
      </c>
      <c r="E41" s="3">
        <f>IF($B$2="(Todas)",COUNTIF(BASE[CODCIE10],GUIA_NACIONAL_2022_1106112113[[#This Row],[CIE-10]]),COUNTIFS(BASE[Cod.Establecimiento],$B$2,BASE[CODCIE10],GUIA_NACIONAL_2022_1106112113[[#This Row],[CIE-10]]))</f>
        <v>0</v>
      </c>
      <c r="F41" s="3">
        <f>IF($B$2="(Todas)",COUNTIF(BASE[CODCIE102],GUIA_NACIONAL_2022_1106112113[[#This Row],[CIE-10]]),COUNTIFS(BASE[Cod.Establecimiento],$B$2,BASE[CODCIE102],GUIA_NACIONAL_2022_1106112113[[#This Row],[CIE-10]]))</f>
        <v>0</v>
      </c>
      <c r="G41" s="3">
        <f>IF($B$2="(Todas)",COUNTIF(BASE[CODCIE104],GUIA_NACIONAL_2022_1106112113[[#This Row],[CIE-10]]),COUNTIFS(BASE[Cod.Establecimiento],$B$2,BASE[CODCIE104],GUIA_NACIONAL_2022_1106112113[[#This Row],[CIE-10]]))</f>
        <v>0</v>
      </c>
      <c r="H41" s="3">
        <f>IF($B$2="(Todas)",COUNTIF(BASE[CODCIE106],GUIA_NACIONAL_2022_1106112113[[#This Row],[CIE-10]]),COUNTIFS(BASE[Cod.Establecimiento],$B$2,BASE[CODCIE106],GUIA_NACIONAL_2022_1106112113[[#This Row],[CIE-10]]))</f>
        <v>0</v>
      </c>
      <c r="I41" s="3">
        <f>IF($B$2="(Todas)",COUNTIF(BASE[CODCIE108],GUIA_NACIONAL_2022_1106112113[[#This Row],[CIE-10]]),COUNTIFS(BASE[Cod.Establecimiento],$B$2,BASE[CODCIE108],GUIA_NACIONAL_2022_1106112113[[#This Row],[CIE-10]]))</f>
        <v>0</v>
      </c>
      <c r="J41" s="3">
        <f>IF($B$2="(Todas)",COUNTIF(BASE[CODCIE1010],GUIA_NACIONAL_2022_1106112113[[#This Row],[CIE-10]]),COUNTIFS(BASE[Cod.Establecimiento],$B$2,BASE[CODCIE1010],GUIA_NACIONAL_2022_1106112113[[#This Row],[CIE-10]]))</f>
        <v>0</v>
      </c>
      <c r="K41" s="9">
        <f>SUM(GUIA_NACIONAL_2022_1106112113[[#This Row],[D1]:[D6]])</f>
        <v>0</v>
      </c>
      <c r="V41" s="32" t="s">
        <v>140</v>
      </c>
      <c r="W41" s="3">
        <f>IF($B$2="(Todas)",COUNTIF(BASE[CODCIE10],GUIA_NACIONAL_2022_1106128143146150151[[#This Row],[CIE-10]]),COUNTIFS(BASE[Cod.Establecimiento],$B$2,BASE[CODCIE10],GUIA_NACIONAL_2022_1106128143146150151[[#This Row],[CIE-10]]))</f>
        <v>0</v>
      </c>
      <c r="X41" s="3">
        <f>IF($B$2="(Todas)",COUNTIF(BASE[CODCIE102],GUIA_NACIONAL_2022_1106128143146150151[[#This Row],[CIE-10]]),COUNTIFS(BASE[Cod.Establecimiento],$B$2,BASE[CODCIE102],GUIA_NACIONAL_2022_1106128143146150151[[#This Row],[CIE-10]]))</f>
        <v>0</v>
      </c>
      <c r="Y41" s="3">
        <f>IF($B$2="(Todas)",COUNTIF(BASE[CODCIE104],GUIA_NACIONAL_2022_1106128143146150151[[#This Row],[CIE-10]]),COUNTIFS(BASE[Cod.Establecimiento],$B$2,BASE[CODCIE104],GUIA_NACIONAL_2022_1106128143146150151[[#This Row],[CIE-10]]))</f>
        <v>0</v>
      </c>
      <c r="Z41" s="3">
        <f>IF($B$2="(Todas)",COUNTIF(BASE[CODCIE106],GUIA_NACIONAL_2022_1106128143146150151[[#This Row],[CIE-10]]),COUNTIFS(BASE[Cod.Establecimiento],$B$2,BASE[CODCIE106],GUIA_NACIONAL_2022_1106128143146150151[[#This Row],[CIE-10]]))</f>
        <v>0</v>
      </c>
      <c r="AA41" s="3">
        <f>IF($B$2="(Todas)",COUNTIF(BASE[CODCIE108],GUIA_NACIONAL_2022_1106128143146150151[[#This Row],[CIE-10]]),COUNTIFS(BASE[Cod.Establecimiento],$B$2,BASE[CODCIE108],GUIA_NACIONAL_2022_1106128143146150151[[#This Row],[CIE-10]]))</f>
        <v>0</v>
      </c>
      <c r="AB41" s="3">
        <f>IF($B$2="(Todas)",COUNTIF(BASE[CODCIE1010],GUIA_NACIONAL_2022_1106128143146150151[[#This Row],[CIE-10]]),COUNTIFS(BASE[Cod.Establecimiento],$B$2,BASE[CODCIE1010],GUIA_NACIONAL_2022_1106128143146150151[[#This Row],[CIE-10]]))</f>
        <v>0</v>
      </c>
      <c r="AC41" s="9">
        <f>SUM(GUIA_NACIONAL_2022_1106128143146150151[[#This Row],[D1]:[D6]])</f>
        <v>0</v>
      </c>
      <c r="AE41" s="150" t="s">
        <v>577</v>
      </c>
      <c r="AF41" s="150"/>
      <c r="AG41" s="150"/>
      <c r="AH41" s="150"/>
      <c r="AI41" s="150"/>
      <c r="AJ41" s="150"/>
      <c r="AK41" s="150"/>
      <c r="AL41" s="150"/>
      <c r="AN41" s="150" t="s">
        <v>631</v>
      </c>
      <c r="AO41" s="150"/>
      <c r="AP41" s="150"/>
      <c r="AQ41" s="150"/>
      <c r="AR41" s="150"/>
      <c r="AS41" s="150"/>
      <c r="AT41" s="150"/>
      <c r="AU41" s="150"/>
      <c r="BF41" s="4" t="s">
        <v>671</v>
      </c>
      <c r="BG41" s="3">
        <f>IF($B$2="(Todas)",COUNTIF(BASE[CODCIE10],GUIA_NACIONAL_2022_1106128105107110207214216217218219220[[#This Row],[CIE-10]]),COUNTIFS(BASE[Cod.Establecimiento],$B$2,BASE[CODCIE10],GUIA_NACIONAL_2022_1106128105107110207214216217218219220[[#This Row],[CIE-10]]))</f>
        <v>0</v>
      </c>
      <c r="BH41" s="3">
        <f>IF($B$2="(Todas)",COUNTIF(BASE[CODCIE102],GUIA_NACIONAL_2022_1106128105107110207214216217218219220[[#This Row],[CIE-10]]),COUNTIFS(BASE[Cod.Establecimiento],$B$2,BASE[CODCIE102],GUIA_NACIONAL_2022_1106128105107110207214216217218219220[[#This Row],[CIE-10]]))</f>
        <v>0</v>
      </c>
      <c r="BI41" s="3">
        <f>IF($B$2="(Todas)",COUNTIF(BASE[CODCIE104],GUIA_NACIONAL_2022_1106128105107110207214216217218219220[[#This Row],[CIE-10]]),COUNTIFS(BASE[Cod.Establecimiento],$B$2,BASE[CODCIE104],GUIA_NACIONAL_2022_1106128105107110207214216217218219220[[#This Row],[CIE-10]]))</f>
        <v>0</v>
      </c>
      <c r="BJ41" s="3">
        <f>IF($B$2="(Todas)",COUNTIF(BASE[CODCIE106],GUIA_NACIONAL_2022_1106128105107110207214216217218219220[[#This Row],[CIE-10]]),COUNTIFS(BASE[Cod.Establecimiento],$B$2,BASE[CODCIE106],GUIA_NACIONAL_2022_1106128105107110207214216217218219220[[#This Row],[CIE-10]]))</f>
        <v>0</v>
      </c>
      <c r="BK41" s="3">
        <f>IF($B$2="(Todas)",COUNTIF(BASE[CODCIE108],GUIA_NACIONAL_2022_1106128105107110207214216217218219220[[#This Row],[CIE-10]]),COUNTIFS(BASE[Cod.Establecimiento],$B$2,BASE[CODCIE108],GUIA_NACIONAL_2022_1106128105107110207214216217218219220[[#This Row],[CIE-10]]))</f>
        <v>0</v>
      </c>
      <c r="BL41" s="3">
        <f>IF($B$2="(Todas)",COUNTIF(BASE[CODCIE1010],GUIA_NACIONAL_2022_1106128105107110207214216217218219220[[#This Row],[CIE-10]]),COUNTIFS(BASE[Cod.Establecimiento],$B$2,BASE[CODCIE1010],GUIA_NACIONAL_2022_1106128105107110207214216217218219220[[#This Row],[CIE-10]]))</f>
        <v>0</v>
      </c>
      <c r="BM41" s="9">
        <f>SUM(GUIA_NACIONAL_2022_1106128105107110207214216217218219220[[#This Row],[D1]:[D6]])</f>
        <v>0</v>
      </c>
      <c r="BO41" s="4" t="s">
        <v>257</v>
      </c>
      <c r="BP41" s="3">
        <f>IF($B$2="(Todas)",COUNTIF(BASE[CODCIE10],GUIA_NACIONAL_2022_1106128105107110207214216217236[[#This Row],[CIE-10]]),COUNTIFS(BASE[Cod.Establecimiento],$B$2,BASE[CODCIE10],GUIA_NACIONAL_2022_1106128105107110207214216217236[[#This Row],[CIE-10]]))</f>
        <v>0</v>
      </c>
      <c r="BQ41" s="3">
        <f>IF($B$2="(Todas)",COUNTIF(BASE[CODCIE102],GUIA_NACIONAL_2022_1106128105107110207214216217236[[#This Row],[CIE-10]]),COUNTIFS(BASE[Cod.Establecimiento],$B$2,BASE[CODCIE102],GUIA_NACIONAL_2022_1106128105107110207214216217236[[#This Row],[CIE-10]]))</f>
        <v>0</v>
      </c>
      <c r="BR41" s="3">
        <f>IF($B$2="(Todas)",COUNTIF(BASE[CODCIE104],GUIA_NACIONAL_2022_1106128105107110207214216217236[[#This Row],[CIE-10]]),COUNTIFS(BASE[Cod.Establecimiento],$B$2,BASE[CODCIE104],GUIA_NACIONAL_2022_1106128105107110207214216217236[[#This Row],[CIE-10]]))</f>
        <v>0</v>
      </c>
      <c r="BS41" s="3">
        <f>IF($B$2="(Todas)",COUNTIF(BASE[CODCIE106],GUIA_NACIONAL_2022_1106128105107110207214216217236[[#This Row],[CIE-10]]),COUNTIFS(BASE[Cod.Establecimiento],$B$2,BASE[CODCIE106],GUIA_NACIONAL_2022_1106128105107110207214216217236[[#This Row],[CIE-10]]))</f>
        <v>0</v>
      </c>
      <c r="BT41" s="3">
        <f>IF($B$2="(Todas)",COUNTIF(BASE[CODCIE108],GUIA_NACIONAL_2022_1106128105107110207214216217236[[#This Row],[CIE-10]]),COUNTIFS(BASE[Cod.Establecimiento],$B$2,BASE[CODCIE108],GUIA_NACIONAL_2022_1106128105107110207214216217236[[#This Row],[CIE-10]]))</f>
        <v>0</v>
      </c>
      <c r="BU41" s="3">
        <f>IF($B$2="(Todas)",COUNTIF(BASE[CODCIE1010],GUIA_NACIONAL_2022_1106128105107110207214216217236[[#This Row],[CIE-10]]),COUNTIFS(BASE[Cod.Establecimiento],$B$2,BASE[CODCIE1010],GUIA_NACIONAL_2022_1106128105107110207214216217236[[#This Row],[CIE-10]]))</f>
        <v>0</v>
      </c>
      <c r="BV41" s="9">
        <f>SUM(GUIA_NACIONAL_2022_1106128105107110207214216217236[[#This Row],[D1]:[D6]])</f>
        <v>0</v>
      </c>
      <c r="CG41" s="4" t="s">
        <v>746</v>
      </c>
      <c r="CH41" s="3">
        <f>IF($B$2="(Todas)",COUNTIF(BASE[CODCIE10],GUIA_NACIONAL_2022_1106128105107111115129130250251252[[#This Row],[CIE-10]]),COUNTIFS(BASE[Cod.Establecimiento],$B$2,BASE[CODCIE10],GUIA_NACIONAL_2022_1106128105107111115129130250251252[[#This Row],[CIE-10]]))</f>
        <v>0</v>
      </c>
      <c r="CI41" s="3">
        <f>IF($B$2="(Todas)",COUNTIF(BASE[CODCIE102],GUIA_NACIONAL_2022_1106128105107111115129130250251252[[#This Row],[CIE-10]]),COUNTIFS(BASE[Cod.Establecimiento],$B$2,BASE[CODCIE102],GUIA_NACIONAL_2022_1106128105107111115129130250251252[[#This Row],[CIE-10]]))</f>
        <v>0</v>
      </c>
      <c r="CJ41" s="3">
        <f>IF($B$2="(Todas)",COUNTIF(BASE[CODCIE104],GUIA_NACIONAL_2022_1106128105107111115129130250251252[[#This Row],[CIE-10]]),COUNTIFS(BASE[Cod.Establecimiento],$B$2,BASE[CODCIE104],GUIA_NACIONAL_2022_1106128105107111115129130250251252[[#This Row],[CIE-10]]))</f>
        <v>0</v>
      </c>
      <c r="CK41" s="3">
        <f>IF($B$2="(Todas)",COUNTIF(BASE[CODCIE106],GUIA_NACIONAL_2022_1106128105107111115129130250251252[[#This Row],[CIE-10]]),COUNTIFS(BASE[Cod.Establecimiento],$B$2,BASE[CODCIE106],GUIA_NACIONAL_2022_1106128105107111115129130250251252[[#This Row],[CIE-10]]))</f>
        <v>0</v>
      </c>
      <c r="CL41" s="3">
        <f>IF($B$2="(Todas)",COUNTIF(BASE[CODCIE108],GUIA_NACIONAL_2022_1106128105107111115129130250251252[[#This Row],[CIE-10]]),COUNTIFS(BASE[Cod.Establecimiento],$B$2,BASE[CODCIE108],GUIA_NACIONAL_2022_1106128105107111115129130250251252[[#This Row],[CIE-10]]))</f>
        <v>0</v>
      </c>
      <c r="CM41" s="3">
        <f>IF($B$2="(Todas)",COUNTIF(BASE[CODCIE1010],GUIA_NACIONAL_2022_1106128105107111115129130250251252[[#This Row],[CIE-10]]),COUNTIFS(BASE[Cod.Establecimiento],$B$2,BASE[CODCIE1010],GUIA_NACIONAL_2022_1106128105107111115129130250251252[[#This Row],[CIE-10]]))</f>
        <v>0</v>
      </c>
      <c r="CN41" s="9">
        <f>SUM(GUIA_NACIONAL_2022_1106128105107111115129130250251252[[#This Row],[D1]:[D6]])</f>
        <v>0</v>
      </c>
    </row>
    <row r="42" spans="1:92" ht="15" customHeight="1">
      <c r="D42" s="150" t="s">
        <v>442</v>
      </c>
      <c r="E42" s="150"/>
      <c r="F42" s="150"/>
      <c r="G42" s="150"/>
      <c r="H42" s="150"/>
      <c r="I42" s="150"/>
      <c r="J42" s="150"/>
      <c r="K42" s="150"/>
      <c r="V42" s="32" t="s">
        <v>141</v>
      </c>
      <c r="W42" s="3">
        <f>IF($B$2="(Todas)",COUNTIF(BASE[CODCIE10],GUIA_NACIONAL_2022_1106128143146150151[[#This Row],[CIE-10]]),COUNTIFS(BASE[Cod.Establecimiento],$B$2,BASE[CODCIE10],GUIA_NACIONAL_2022_1106128143146150151[[#This Row],[CIE-10]]))</f>
        <v>0</v>
      </c>
      <c r="X42" s="3">
        <f>IF($B$2="(Todas)",COUNTIF(BASE[CODCIE102],GUIA_NACIONAL_2022_1106128143146150151[[#This Row],[CIE-10]]),COUNTIFS(BASE[Cod.Establecimiento],$B$2,BASE[CODCIE102],GUIA_NACIONAL_2022_1106128143146150151[[#This Row],[CIE-10]]))</f>
        <v>0</v>
      </c>
      <c r="Y42" s="3">
        <f>IF($B$2="(Todas)",COUNTIF(BASE[CODCIE104],GUIA_NACIONAL_2022_1106128143146150151[[#This Row],[CIE-10]]),COUNTIFS(BASE[Cod.Establecimiento],$B$2,BASE[CODCIE104],GUIA_NACIONAL_2022_1106128143146150151[[#This Row],[CIE-10]]))</f>
        <v>0</v>
      </c>
      <c r="Z42" s="3">
        <f>IF($B$2="(Todas)",COUNTIF(BASE[CODCIE106],GUIA_NACIONAL_2022_1106128143146150151[[#This Row],[CIE-10]]),COUNTIFS(BASE[Cod.Establecimiento],$B$2,BASE[CODCIE106],GUIA_NACIONAL_2022_1106128143146150151[[#This Row],[CIE-10]]))</f>
        <v>0</v>
      </c>
      <c r="AA42" s="3">
        <f>IF($B$2="(Todas)",COUNTIF(BASE[CODCIE108],GUIA_NACIONAL_2022_1106128143146150151[[#This Row],[CIE-10]]),COUNTIFS(BASE[Cod.Establecimiento],$B$2,BASE[CODCIE108],GUIA_NACIONAL_2022_1106128143146150151[[#This Row],[CIE-10]]))</f>
        <v>0</v>
      </c>
      <c r="AB42" s="3">
        <f>IF($B$2="(Todas)",COUNTIF(BASE[CODCIE1010],GUIA_NACIONAL_2022_1106128143146150151[[#This Row],[CIE-10]]),COUNTIFS(BASE[Cod.Establecimiento],$B$2,BASE[CODCIE1010],GUIA_NACIONAL_2022_1106128143146150151[[#This Row],[CIE-10]]))</f>
        <v>0</v>
      </c>
      <c r="AC42" s="9">
        <f>SUM(GUIA_NACIONAL_2022_1106128143146150151[[#This Row],[D1]:[D6]])</f>
        <v>0</v>
      </c>
      <c r="AE42" t="s">
        <v>93</v>
      </c>
      <c r="AF42" s="3" t="s">
        <v>94</v>
      </c>
      <c r="AG42" s="3" t="s">
        <v>95</v>
      </c>
      <c r="AH42" s="3" t="s">
        <v>96</v>
      </c>
      <c r="AI42" s="3" t="s">
        <v>97</v>
      </c>
      <c r="AJ42" s="3" t="s">
        <v>98</v>
      </c>
      <c r="AK42" s="3" t="s">
        <v>99</v>
      </c>
      <c r="AL42" s="8" t="s">
        <v>100</v>
      </c>
      <c r="AN42" t="s">
        <v>93</v>
      </c>
      <c r="AO42" s="3" t="s">
        <v>94</v>
      </c>
      <c r="AP42" s="3" t="s">
        <v>95</v>
      </c>
      <c r="AQ42" s="3" t="s">
        <v>96</v>
      </c>
      <c r="AR42" s="3" t="s">
        <v>97</v>
      </c>
      <c r="AS42" s="3" t="s">
        <v>98</v>
      </c>
      <c r="AT42" s="3" t="s">
        <v>99</v>
      </c>
      <c r="AU42" s="8" t="s">
        <v>100</v>
      </c>
      <c r="BF42" s="150" t="s">
        <v>672</v>
      </c>
      <c r="BG42" s="150"/>
      <c r="BH42" s="150"/>
      <c r="BI42" s="150"/>
      <c r="BJ42" s="150"/>
      <c r="BK42" s="150"/>
      <c r="BL42" s="150"/>
      <c r="BM42" s="150"/>
      <c r="BO42" s="151" t="s">
        <v>697</v>
      </c>
      <c r="BP42" s="151"/>
      <c r="BQ42" s="151"/>
      <c r="BR42" s="151"/>
      <c r="BS42" s="151"/>
      <c r="BT42" s="151"/>
      <c r="BU42" s="151"/>
      <c r="BV42" s="151"/>
      <c r="CG42" s="4" t="s">
        <v>747</v>
      </c>
      <c r="CH42" s="3">
        <f>IF($B$2="(Todas)",COUNTIF(BASE[CODCIE10],GUIA_NACIONAL_2022_1106128105107111115129130250251252[[#This Row],[CIE-10]]),COUNTIFS(BASE[Cod.Establecimiento],$B$2,BASE[CODCIE10],GUIA_NACIONAL_2022_1106128105107111115129130250251252[[#This Row],[CIE-10]]))</f>
        <v>0</v>
      </c>
      <c r="CI42" s="3">
        <f>IF($B$2="(Todas)",COUNTIF(BASE[CODCIE102],GUIA_NACIONAL_2022_1106128105107111115129130250251252[[#This Row],[CIE-10]]),COUNTIFS(BASE[Cod.Establecimiento],$B$2,BASE[CODCIE102],GUIA_NACIONAL_2022_1106128105107111115129130250251252[[#This Row],[CIE-10]]))</f>
        <v>0</v>
      </c>
      <c r="CJ42" s="3">
        <f>IF($B$2="(Todas)",COUNTIF(BASE[CODCIE104],GUIA_NACIONAL_2022_1106128105107111115129130250251252[[#This Row],[CIE-10]]),COUNTIFS(BASE[Cod.Establecimiento],$B$2,BASE[CODCIE104],GUIA_NACIONAL_2022_1106128105107111115129130250251252[[#This Row],[CIE-10]]))</f>
        <v>0</v>
      </c>
      <c r="CK42" s="3">
        <f>IF($B$2="(Todas)",COUNTIF(BASE[CODCIE106],GUIA_NACIONAL_2022_1106128105107111115129130250251252[[#This Row],[CIE-10]]),COUNTIFS(BASE[Cod.Establecimiento],$B$2,BASE[CODCIE106],GUIA_NACIONAL_2022_1106128105107111115129130250251252[[#This Row],[CIE-10]]))</f>
        <v>0</v>
      </c>
      <c r="CL42" s="3">
        <f>IF($B$2="(Todas)",COUNTIF(BASE[CODCIE108],GUIA_NACIONAL_2022_1106128105107111115129130250251252[[#This Row],[CIE-10]]),COUNTIFS(BASE[Cod.Establecimiento],$B$2,BASE[CODCIE108],GUIA_NACIONAL_2022_1106128105107111115129130250251252[[#This Row],[CIE-10]]))</f>
        <v>0</v>
      </c>
      <c r="CM42" s="3">
        <f>IF($B$2="(Todas)",COUNTIF(BASE[CODCIE1010],GUIA_NACIONAL_2022_1106128105107111115129130250251252[[#This Row],[CIE-10]]),COUNTIFS(BASE[Cod.Establecimiento],$B$2,BASE[CODCIE1010],GUIA_NACIONAL_2022_1106128105107111115129130250251252[[#This Row],[CIE-10]]))</f>
        <v>0</v>
      </c>
      <c r="CN42" s="9">
        <f>SUM(GUIA_NACIONAL_2022_1106128105107111115129130250251252[[#This Row],[D1]:[D6]])</f>
        <v>0</v>
      </c>
    </row>
    <row r="43" spans="1:92" ht="15" customHeight="1">
      <c r="D43" t="s">
        <v>93</v>
      </c>
      <c r="E43" s="3" t="s">
        <v>94</v>
      </c>
      <c r="F43" s="3" t="s">
        <v>95</v>
      </c>
      <c r="G43" s="3" t="s">
        <v>96</v>
      </c>
      <c r="H43" s="3" t="s">
        <v>97</v>
      </c>
      <c r="I43" s="3" t="s">
        <v>98</v>
      </c>
      <c r="J43" s="3" t="s">
        <v>99</v>
      </c>
      <c r="K43" s="8" t="s">
        <v>100</v>
      </c>
      <c r="V43" s="32" t="s">
        <v>143</v>
      </c>
      <c r="W43" s="3">
        <f>IF($B$2="(Todas)",COUNTIF(BASE[CODCIE10],GUIA_NACIONAL_2022_1106128143146150151[[#This Row],[CIE-10]]),COUNTIFS(BASE[Cod.Establecimiento],$B$2,BASE[CODCIE10],GUIA_NACIONAL_2022_1106128143146150151[[#This Row],[CIE-10]]))</f>
        <v>0</v>
      </c>
      <c r="X43" s="3">
        <f>IF($B$2="(Todas)",COUNTIF(BASE[CODCIE102],GUIA_NACIONAL_2022_1106128143146150151[[#This Row],[CIE-10]]),COUNTIFS(BASE[Cod.Establecimiento],$B$2,BASE[CODCIE102],GUIA_NACIONAL_2022_1106128143146150151[[#This Row],[CIE-10]]))</f>
        <v>0</v>
      </c>
      <c r="Y43" s="3">
        <f>IF($B$2="(Todas)",COUNTIF(BASE[CODCIE104],GUIA_NACIONAL_2022_1106128143146150151[[#This Row],[CIE-10]]),COUNTIFS(BASE[Cod.Establecimiento],$B$2,BASE[CODCIE104],GUIA_NACIONAL_2022_1106128143146150151[[#This Row],[CIE-10]]))</f>
        <v>0</v>
      </c>
      <c r="Z43" s="3">
        <f>IF($B$2="(Todas)",COUNTIF(BASE[CODCIE106],GUIA_NACIONAL_2022_1106128143146150151[[#This Row],[CIE-10]]),COUNTIFS(BASE[Cod.Establecimiento],$B$2,BASE[CODCIE106],GUIA_NACIONAL_2022_1106128143146150151[[#This Row],[CIE-10]]))</f>
        <v>0</v>
      </c>
      <c r="AA43" s="3">
        <f>IF($B$2="(Todas)",COUNTIF(BASE[CODCIE108],GUIA_NACIONAL_2022_1106128143146150151[[#This Row],[CIE-10]]),COUNTIFS(BASE[Cod.Establecimiento],$B$2,BASE[CODCIE108],GUIA_NACIONAL_2022_1106128143146150151[[#This Row],[CIE-10]]))</f>
        <v>0</v>
      </c>
      <c r="AB43" s="3">
        <f>IF($B$2="(Todas)",COUNTIF(BASE[CODCIE1010],GUIA_NACIONAL_2022_1106128143146150151[[#This Row],[CIE-10]]),COUNTIFS(BASE[Cod.Establecimiento],$B$2,BASE[CODCIE1010],GUIA_NACIONAL_2022_1106128143146150151[[#This Row],[CIE-10]]))</f>
        <v>0</v>
      </c>
      <c r="AC43" s="9">
        <f>SUM(GUIA_NACIONAL_2022_1106128143146150151[[#This Row],[D1]:[D6]])</f>
        <v>0</v>
      </c>
      <c r="AE43" s="4" t="s">
        <v>103</v>
      </c>
      <c r="AF43" s="3">
        <f>IF($B$2="(Todas)",COUNTIF(BASE[CODCIE10],GUIA_NACIONAL_2022_1106128105168175176[[#This Row],[CIE-10]]),COUNTIFS(BASE[Cod.Establecimiento],$B$2,BASE[CODCIE10],GUIA_NACIONAL_2022_1106128105168175176[[#This Row],[CIE-10]]))</f>
        <v>0</v>
      </c>
      <c r="AG43" s="3">
        <f>IF($B$2="(Todas)",COUNTIF(BASE[CODCIE102],GUIA_NACIONAL_2022_1106128105168175176[[#This Row],[CIE-10]]),COUNTIFS(BASE[Cod.Establecimiento],$B$2,BASE[CODCIE102],GUIA_NACIONAL_2022_1106128105168175176[[#This Row],[CIE-10]]))</f>
        <v>0</v>
      </c>
      <c r="AH43" s="3">
        <f>IF($B$2="(Todas)",COUNTIF(BASE[CODCIE104],GUIA_NACIONAL_2022_1106128105168175176[[#This Row],[CIE-10]]),COUNTIFS(BASE[Cod.Establecimiento],$B$2,BASE[CODCIE104],GUIA_NACIONAL_2022_1106128105168175176[[#This Row],[CIE-10]]))</f>
        <v>0</v>
      </c>
      <c r="AI43" s="3">
        <f>IF($B$2="(Todas)",COUNTIF(BASE[CODCIE106],GUIA_NACIONAL_2022_1106128105168175176[[#This Row],[CIE-10]]),COUNTIFS(BASE[Cod.Establecimiento],$B$2,BASE[CODCIE106],GUIA_NACIONAL_2022_1106128105168175176[[#This Row],[CIE-10]]))</f>
        <v>0</v>
      </c>
      <c r="AJ43" s="3">
        <f>IF($B$2="(Todas)",COUNTIF(BASE[CODCIE108],GUIA_NACIONAL_2022_1106128105168175176[[#This Row],[CIE-10]]),COUNTIFS(BASE[Cod.Establecimiento],$B$2,BASE[CODCIE108],GUIA_NACIONAL_2022_1106128105168175176[[#This Row],[CIE-10]]))</f>
        <v>0</v>
      </c>
      <c r="AK43" s="3">
        <f>IF($B$2="(Todas)",COUNTIF(BASE[CODCIE1010],GUIA_NACIONAL_2022_1106128105168175176[[#This Row],[CIE-10]]),COUNTIFS(BASE[Cod.Establecimiento],$B$2,BASE[CODCIE1010],GUIA_NACIONAL_2022_1106128105168175176[[#This Row],[CIE-10]]))</f>
        <v>0</v>
      </c>
      <c r="AL43" s="9">
        <f>SUM(GUIA_NACIONAL_2022_1106128105168175176[[#This Row],[D1]:[D6]])</f>
        <v>0</v>
      </c>
      <c r="AN43" s="4" t="s">
        <v>632</v>
      </c>
      <c r="AO43" s="3">
        <f>IF($B$2="(Todas)",COUNTIF(BASE[CODCIE10],GUIA_NACIONAL_2022_1106128105168162195198202204[[#This Row],[CIE-10]]),COUNTIFS(BASE[Cod.Establecimiento],$B$2,BASE[CODCIE10],GUIA_NACIONAL_2022_1106128105168162195198202204[[#This Row],[CIE-10]]))</f>
        <v>0</v>
      </c>
      <c r="AP43" s="3">
        <f>IF($B$2="(Todas)",COUNTIF(BASE[CODCIE102],GUIA_NACIONAL_2022_1106128105168162195198202204[[#This Row],[CIE-10]]),COUNTIFS(BASE[Cod.Establecimiento],$B$2,BASE[CODCIE102],GUIA_NACIONAL_2022_1106128105168162195198202204[[#This Row],[CIE-10]]))</f>
        <v>0</v>
      </c>
      <c r="AQ43" s="3">
        <f>IF($B$2="(Todas)",COUNTIF(BASE[CODCIE104],GUIA_NACIONAL_2022_1106128105168162195198202204[[#This Row],[CIE-10]]),COUNTIFS(BASE[Cod.Establecimiento],$B$2,BASE[CODCIE104],GUIA_NACIONAL_2022_1106128105168162195198202204[[#This Row],[CIE-10]]))</f>
        <v>0</v>
      </c>
      <c r="AR43" s="3">
        <f>IF($B$2="(Todas)",COUNTIF(BASE[CODCIE106],GUIA_NACIONAL_2022_1106128105168162195198202204[[#This Row],[CIE-10]]),COUNTIFS(BASE[Cod.Establecimiento],$B$2,BASE[CODCIE106],GUIA_NACIONAL_2022_1106128105168162195198202204[[#This Row],[CIE-10]]))</f>
        <v>0</v>
      </c>
      <c r="AS43" s="3">
        <f>IF($B$2="(Todas)",COUNTIF(BASE[CODCIE108],GUIA_NACIONAL_2022_1106128105168162195198202204[[#This Row],[CIE-10]]),COUNTIFS(BASE[Cod.Establecimiento],$B$2,BASE[CODCIE108],GUIA_NACIONAL_2022_1106128105168162195198202204[[#This Row],[CIE-10]]))</f>
        <v>0</v>
      </c>
      <c r="AT43" s="3">
        <f>IF($B$2="(Todas)",COUNTIF(BASE[CODCIE1010],GUIA_NACIONAL_2022_1106128105168162195198202204[[#This Row],[CIE-10]]),COUNTIFS(BASE[Cod.Establecimiento],$B$2,BASE[CODCIE1010],GUIA_NACIONAL_2022_1106128105168162195198202204[[#This Row],[CIE-10]]))</f>
        <v>0</v>
      </c>
      <c r="AU43" s="9">
        <f>SUM(GUIA_NACIONAL_2022_1106128105168162195198202204[[#This Row],[D1]:[D6]])</f>
        <v>0</v>
      </c>
      <c r="BF43" t="s">
        <v>93</v>
      </c>
      <c r="BG43" s="3" t="s">
        <v>94</v>
      </c>
      <c r="BH43" s="3" t="s">
        <v>95</v>
      </c>
      <c r="BI43" s="3" t="s">
        <v>96</v>
      </c>
      <c r="BJ43" s="3" t="s">
        <v>97</v>
      </c>
      <c r="BK43" s="3" t="s">
        <v>98</v>
      </c>
      <c r="BL43" s="3" t="s">
        <v>99</v>
      </c>
      <c r="BM43" s="8" t="s">
        <v>100</v>
      </c>
      <c r="BO43" s="150" t="s">
        <v>698</v>
      </c>
      <c r="BP43" s="150"/>
      <c r="BQ43" s="150"/>
      <c r="BR43" s="150"/>
      <c r="BS43" s="150"/>
      <c r="BT43" s="150"/>
      <c r="BU43" s="150"/>
      <c r="BV43" s="150"/>
      <c r="CG43" s="4" t="s">
        <v>748</v>
      </c>
      <c r="CH43" s="3">
        <f>IF($B$2="(Todas)",COUNTIF(BASE[CODCIE10],GUIA_NACIONAL_2022_1106128105107111115129130250251252[[#This Row],[CIE-10]]),COUNTIFS(BASE[Cod.Establecimiento],$B$2,BASE[CODCIE10],GUIA_NACIONAL_2022_1106128105107111115129130250251252[[#This Row],[CIE-10]]))</f>
        <v>0</v>
      </c>
      <c r="CI43" s="3">
        <f>IF($B$2="(Todas)",COUNTIF(BASE[CODCIE102],GUIA_NACIONAL_2022_1106128105107111115129130250251252[[#This Row],[CIE-10]]),COUNTIFS(BASE[Cod.Establecimiento],$B$2,BASE[CODCIE102],GUIA_NACIONAL_2022_1106128105107111115129130250251252[[#This Row],[CIE-10]]))</f>
        <v>0</v>
      </c>
      <c r="CJ43" s="3">
        <f>IF($B$2="(Todas)",COUNTIF(BASE[CODCIE104],GUIA_NACIONAL_2022_1106128105107111115129130250251252[[#This Row],[CIE-10]]),COUNTIFS(BASE[Cod.Establecimiento],$B$2,BASE[CODCIE104],GUIA_NACIONAL_2022_1106128105107111115129130250251252[[#This Row],[CIE-10]]))</f>
        <v>0</v>
      </c>
      <c r="CK43" s="3">
        <f>IF($B$2="(Todas)",COUNTIF(BASE[CODCIE106],GUIA_NACIONAL_2022_1106128105107111115129130250251252[[#This Row],[CIE-10]]),COUNTIFS(BASE[Cod.Establecimiento],$B$2,BASE[CODCIE106],GUIA_NACIONAL_2022_1106128105107111115129130250251252[[#This Row],[CIE-10]]))</f>
        <v>0</v>
      </c>
      <c r="CL43" s="3">
        <f>IF($B$2="(Todas)",COUNTIF(BASE[CODCIE108],GUIA_NACIONAL_2022_1106128105107111115129130250251252[[#This Row],[CIE-10]]),COUNTIFS(BASE[Cod.Establecimiento],$B$2,BASE[CODCIE108],GUIA_NACIONAL_2022_1106128105107111115129130250251252[[#This Row],[CIE-10]]))</f>
        <v>0</v>
      </c>
      <c r="CM43" s="3">
        <f>IF($B$2="(Todas)",COUNTIF(BASE[CODCIE1010],GUIA_NACIONAL_2022_1106128105107111115129130250251252[[#This Row],[CIE-10]]),COUNTIFS(BASE[Cod.Establecimiento],$B$2,BASE[CODCIE1010],GUIA_NACIONAL_2022_1106128105107111115129130250251252[[#This Row],[CIE-10]]))</f>
        <v>0</v>
      </c>
      <c r="CN43" s="9">
        <f>SUM(GUIA_NACIONAL_2022_1106128105107111115129130250251252[[#This Row],[D1]:[D6]])</f>
        <v>0</v>
      </c>
    </row>
    <row r="44" spans="1:92" ht="15" customHeight="1">
      <c r="D44" s="4" t="s">
        <v>443</v>
      </c>
      <c r="E44" s="3">
        <f>IF($B$2="(Todas)",COUNTIF(BASE[CODCIE10],GUIA_NACIONAL_2022_1106112113114[[#This Row],[CIE-10]]),COUNTIFS(BASE[Cod.Establecimiento],$B$2,BASE[CODCIE10],GUIA_NACIONAL_2022_1106112113114[[#This Row],[CIE-10]]))</f>
        <v>0</v>
      </c>
      <c r="F44" s="3">
        <f>IF($B$2="(Todas)",COUNTIF(BASE[CODCIE102],GUIA_NACIONAL_2022_1106112113114[[#This Row],[CIE-10]]),COUNTIFS(BASE[Cod.Establecimiento],$B$2,BASE[CODCIE102],GUIA_NACIONAL_2022_1106112113114[[#This Row],[CIE-10]]))</f>
        <v>0</v>
      </c>
      <c r="G44" s="3">
        <f>IF($B$2="(Todas)",COUNTIF(BASE[CODCIE104],GUIA_NACIONAL_2022_1106112113114[[#This Row],[CIE-10]]),COUNTIFS(BASE[Cod.Establecimiento],$B$2,BASE[CODCIE104],GUIA_NACIONAL_2022_1106112113114[[#This Row],[CIE-10]]))</f>
        <v>0</v>
      </c>
      <c r="H44" s="3">
        <f>IF($B$2="(Todas)",COUNTIF(BASE[CODCIE106],GUIA_NACIONAL_2022_1106112113114[[#This Row],[CIE-10]]),COUNTIFS(BASE[Cod.Establecimiento],$B$2,BASE[CODCIE106],GUIA_NACIONAL_2022_1106112113114[[#This Row],[CIE-10]]))</f>
        <v>0</v>
      </c>
      <c r="I44" s="3">
        <f>IF($B$2="(Todas)",COUNTIF(BASE[CODCIE108],GUIA_NACIONAL_2022_1106112113114[[#This Row],[CIE-10]]),COUNTIFS(BASE[Cod.Establecimiento],$B$2,BASE[CODCIE108],GUIA_NACIONAL_2022_1106112113114[[#This Row],[CIE-10]]))</f>
        <v>0</v>
      </c>
      <c r="J44" s="3">
        <f>IF($B$2="(Todas)",COUNTIF(BASE[CODCIE1010],GUIA_NACIONAL_2022_1106112113114[[#This Row],[CIE-10]]),COUNTIFS(BASE[Cod.Establecimiento],$B$2,BASE[CODCIE1010],GUIA_NACIONAL_2022_1106112113114[[#This Row],[CIE-10]]))</f>
        <v>0</v>
      </c>
      <c r="K44" s="9">
        <f>SUM(GUIA_NACIONAL_2022_1106112113114[[#This Row],[D1]:[D6]])</f>
        <v>0</v>
      </c>
      <c r="V44" s="151" t="s">
        <v>540</v>
      </c>
      <c r="W44" s="151"/>
      <c r="X44" s="151"/>
      <c r="Y44" s="151"/>
      <c r="Z44" s="151"/>
      <c r="AA44" s="151"/>
      <c r="AB44" s="151"/>
      <c r="AC44" s="151"/>
      <c r="AE44" s="32" t="s">
        <v>578</v>
      </c>
      <c r="AF44" s="3">
        <f>IF($B$2="(Todas)",COUNTIF(BASE[CODCIE10],GUIA_NACIONAL_2022_1106128105168175176[[#This Row],[CIE-10]]),COUNTIFS(BASE[Cod.Establecimiento],$B$2,BASE[CODCIE10],GUIA_NACIONAL_2022_1106128105168175176[[#This Row],[CIE-10]]))</f>
        <v>0</v>
      </c>
      <c r="AG44" s="3">
        <f>IF($B$2="(Todas)",COUNTIF(BASE[CODCIE102],GUIA_NACIONAL_2022_1106128105168175176[[#This Row],[CIE-10]]),COUNTIFS(BASE[Cod.Establecimiento],$B$2,BASE[CODCIE102],GUIA_NACIONAL_2022_1106128105168175176[[#This Row],[CIE-10]]))</f>
        <v>0</v>
      </c>
      <c r="AH44" s="3">
        <f>IF($B$2="(Todas)",COUNTIF(BASE[CODCIE104],GUIA_NACIONAL_2022_1106128105168175176[[#This Row],[CIE-10]]),COUNTIFS(BASE[Cod.Establecimiento],$B$2,BASE[CODCIE104],GUIA_NACIONAL_2022_1106128105168175176[[#This Row],[CIE-10]]))</f>
        <v>0</v>
      </c>
      <c r="AI44" s="3">
        <f>IF($B$2="(Todas)",COUNTIF(BASE[CODCIE106],GUIA_NACIONAL_2022_1106128105168175176[[#This Row],[CIE-10]]),COUNTIFS(BASE[Cod.Establecimiento],$B$2,BASE[CODCIE106],GUIA_NACIONAL_2022_1106128105168175176[[#This Row],[CIE-10]]))</f>
        <v>0</v>
      </c>
      <c r="AJ44" s="3">
        <f>IF($B$2="(Todas)",COUNTIF(BASE[CODCIE108],GUIA_NACIONAL_2022_1106128105168175176[[#This Row],[CIE-10]]),COUNTIFS(BASE[Cod.Establecimiento],$B$2,BASE[CODCIE108],GUIA_NACIONAL_2022_1106128105168175176[[#This Row],[CIE-10]]))</f>
        <v>0</v>
      </c>
      <c r="AK44" s="3">
        <f>IF($B$2="(Todas)",COUNTIF(BASE[CODCIE1010],GUIA_NACIONAL_2022_1106128105168175176[[#This Row],[CIE-10]]),COUNTIFS(BASE[Cod.Establecimiento],$B$2,BASE[CODCIE1010],GUIA_NACIONAL_2022_1106128105168175176[[#This Row],[CIE-10]]))</f>
        <v>0</v>
      </c>
      <c r="AL44" s="9">
        <f>SUM(GUIA_NACIONAL_2022_1106128105168175176[[#This Row],[D1]:[D6]])</f>
        <v>0</v>
      </c>
      <c r="AN44" s="150" t="s">
        <v>633</v>
      </c>
      <c r="AO44" s="150"/>
      <c r="AP44" s="150"/>
      <c r="AQ44" s="150"/>
      <c r="AR44" s="150"/>
      <c r="AS44" s="150"/>
      <c r="AT44" s="150"/>
      <c r="AU44" s="150"/>
      <c r="BF44" s="4" t="s">
        <v>266</v>
      </c>
      <c r="BG44" s="3">
        <f>IF($B$2="(Todas)",COUNTIF(BASE[CODCIE10],GUIA_NACIONAL_2022_1106128105107110207214216221[[#This Row],[CIE-10]]),COUNTIFS(BASE[Cod.Establecimiento],$B$2,BASE[CODCIE10],GUIA_NACIONAL_2022_1106128105107110207214216221[[#This Row],[CIE-10]]))</f>
        <v>0</v>
      </c>
      <c r="BH44" s="3">
        <f>IF($B$2="(Todas)",COUNTIF(BASE[CODCIE102],GUIA_NACIONAL_2022_1106128105107110207214216221[[#This Row],[CIE-10]]),COUNTIFS(BASE[Cod.Establecimiento],$B$2,BASE[CODCIE102],GUIA_NACIONAL_2022_1106128105107110207214216221[[#This Row],[CIE-10]]))</f>
        <v>0</v>
      </c>
      <c r="BI44" s="3">
        <f>IF($B$2="(Todas)",COUNTIF(BASE[CODCIE104],GUIA_NACIONAL_2022_1106128105107110207214216221[[#This Row],[CIE-10]]),COUNTIFS(BASE[Cod.Establecimiento],$B$2,BASE[CODCIE104],GUIA_NACIONAL_2022_1106128105107110207214216221[[#This Row],[CIE-10]]))</f>
        <v>0</v>
      </c>
      <c r="BJ44" s="3">
        <f>IF($B$2="(Todas)",COUNTIF(BASE[CODCIE106],GUIA_NACIONAL_2022_1106128105107110207214216221[[#This Row],[CIE-10]]),COUNTIFS(BASE[Cod.Establecimiento],$B$2,BASE[CODCIE106],GUIA_NACIONAL_2022_1106128105107110207214216221[[#This Row],[CIE-10]]))</f>
        <v>0</v>
      </c>
      <c r="BK44" s="3">
        <f>IF($B$2="(Todas)",COUNTIF(BASE[CODCIE108],GUIA_NACIONAL_2022_1106128105107110207214216221[[#This Row],[CIE-10]]),COUNTIFS(BASE[Cod.Establecimiento],$B$2,BASE[CODCIE108],GUIA_NACIONAL_2022_1106128105107110207214216221[[#This Row],[CIE-10]]))</f>
        <v>0</v>
      </c>
      <c r="BL44" s="3">
        <f>IF($B$2="(Todas)",COUNTIF(BASE[CODCIE1010],GUIA_NACIONAL_2022_1106128105107110207214216221[[#This Row],[CIE-10]]),COUNTIFS(BASE[Cod.Establecimiento],$B$2,BASE[CODCIE1010],GUIA_NACIONAL_2022_1106128105107110207214216221[[#This Row],[CIE-10]]))</f>
        <v>0</v>
      </c>
      <c r="BM44" s="9">
        <f>SUM(GUIA_NACIONAL_2022_1106128105107110207214216221[[#This Row],[D1]:[D6]])</f>
        <v>0</v>
      </c>
      <c r="BO44" t="s">
        <v>93</v>
      </c>
      <c r="BP44" s="3" t="s">
        <v>94</v>
      </c>
      <c r="BQ44" s="3" t="s">
        <v>95</v>
      </c>
      <c r="BR44" s="3" t="s">
        <v>96</v>
      </c>
      <c r="BS44" s="3" t="s">
        <v>97</v>
      </c>
      <c r="BT44" s="3" t="s">
        <v>98</v>
      </c>
      <c r="BU44" s="3" t="s">
        <v>99</v>
      </c>
      <c r="BV44" s="8" t="s">
        <v>100</v>
      </c>
      <c r="CG44" s="146" t="s">
        <v>749</v>
      </c>
      <c r="CH44" s="147"/>
      <c r="CI44" s="147"/>
      <c r="CJ44" s="147"/>
      <c r="CK44" s="147"/>
      <c r="CL44" s="147"/>
      <c r="CM44" s="147"/>
      <c r="CN44" s="148"/>
    </row>
    <row r="45" spans="1:92" ht="15" customHeight="1">
      <c r="D45" s="32" t="s">
        <v>444</v>
      </c>
      <c r="E45" s="3">
        <f>IF($B$2="(Todas)",COUNTIF(BASE[CODCIE10],GUIA_NACIONAL_2022_1106112113114[[#This Row],[CIE-10]]),COUNTIFS(BASE[Cod.Establecimiento],$B$2,BASE[CODCIE10],GUIA_NACIONAL_2022_1106112113114[[#This Row],[CIE-10]]))</f>
        <v>0</v>
      </c>
      <c r="F45" s="3">
        <f>IF($B$2="(Todas)",COUNTIF(BASE[CODCIE102],GUIA_NACIONAL_2022_1106112113114[[#This Row],[CIE-10]]),COUNTIFS(BASE[Cod.Establecimiento],$B$2,BASE[CODCIE102],GUIA_NACIONAL_2022_1106112113114[[#This Row],[CIE-10]]))</f>
        <v>0</v>
      </c>
      <c r="G45" s="3">
        <f>IF($B$2="(Todas)",COUNTIF(BASE[CODCIE104],GUIA_NACIONAL_2022_1106112113114[[#This Row],[CIE-10]]),COUNTIFS(BASE[Cod.Establecimiento],$B$2,BASE[CODCIE104],GUIA_NACIONAL_2022_1106112113114[[#This Row],[CIE-10]]))</f>
        <v>0</v>
      </c>
      <c r="H45" s="3">
        <f>IF($B$2="(Todas)",COUNTIF(BASE[CODCIE106],GUIA_NACIONAL_2022_1106112113114[[#This Row],[CIE-10]]),COUNTIFS(BASE[Cod.Establecimiento],$B$2,BASE[CODCIE106],GUIA_NACIONAL_2022_1106112113114[[#This Row],[CIE-10]]))</f>
        <v>0</v>
      </c>
      <c r="I45" s="3">
        <f>IF($B$2="(Todas)",COUNTIF(BASE[CODCIE108],GUIA_NACIONAL_2022_1106112113114[[#This Row],[CIE-10]]),COUNTIFS(BASE[Cod.Establecimiento],$B$2,BASE[CODCIE108],GUIA_NACIONAL_2022_1106112113114[[#This Row],[CIE-10]]))</f>
        <v>0</v>
      </c>
      <c r="J45" s="3">
        <f>IF($B$2="(Todas)",COUNTIF(BASE[CODCIE1010],GUIA_NACIONAL_2022_1106112113114[[#This Row],[CIE-10]]),COUNTIFS(BASE[Cod.Establecimiento],$B$2,BASE[CODCIE1010],GUIA_NACIONAL_2022_1106112113114[[#This Row],[CIE-10]]))</f>
        <v>0</v>
      </c>
      <c r="K45" s="9">
        <f>SUM(GUIA_NACIONAL_2022_1106112113114[[#This Row],[D1]:[D6]])</f>
        <v>0</v>
      </c>
      <c r="V45" s="149" t="s">
        <v>541</v>
      </c>
      <c r="W45" s="150"/>
      <c r="X45" s="150"/>
      <c r="Y45" s="150"/>
      <c r="Z45" s="150"/>
      <c r="AA45" s="150"/>
      <c r="AB45" s="150"/>
      <c r="AC45" s="150"/>
      <c r="AE45" s="32" t="s">
        <v>580</v>
      </c>
      <c r="AF45" s="3">
        <f>IF($B$2="(Todas)",COUNTIF(BASE[CODCIE10],GUIA_NACIONAL_2022_1106128105168175176[[#This Row],[CIE-10]]),COUNTIFS(BASE[Cod.Establecimiento],$B$2,BASE[CODCIE10],GUIA_NACIONAL_2022_1106128105168175176[[#This Row],[CIE-10]]))</f>
        <v>0</v>
      </c>
      <c r="AG45" s="3">
        <f>IF($B$2="(Todas)",COUNTIF(BASE[CODCIE102],GUIA_NACIONAL_2022_1106128105168175176[[#This Row],[CIE-10]]),COUNTIFS(BASE[Cod.Establecimiento],$B$2,BASE[CODCIE102],GUIA_NACIONAL_2022_1106128105168175176[[#This Row],[CIE-10]]))</f>
        <v>0</v>
      </c>
      <c r="AH45" s="3">
        <f>IF($B$2="(Todas)",COUNTIF(BASE[CODCIE104],GUIA_NACIONAL_2022_1106128105168175176[[#This Row],[CIE-10]]),COUNTIFS(BASE[Cod.Establecimiento],$B$2,BASE[CODCIE104],GUIA_NACIONAL_2022_1106128105168175176[[#This Row],[CIE-10]]))</f>
        <v>0</v>
      </c>
      <c r="AI45" s="3">
        <f>IF($B$2="(Todas)",COUNTIF(BASE[CODCIE106],GUIA_NACIONAL_2022_1106128105168175176[[#This Row],[CIE-10]]),COUNTIFS(BASE[Cod.Establecimiento],$B$2,BASE[CODCIE106],GUIA_NACIONAL_2022_1106128105168175176[[#This Row],[CIE-10]]))</f>
        <v>0</v>
      </c>
      <c r="AJ45" s="3">
        <f>IF($B$2="(Todas)",COUNTIF(BASE[CODCIE108],GUIA_NACIONAL_2022_1106128105168175176[[#This Row],[CIE-10]]),COUNTIFS(BASE[Cod.Establecimiento],$B$2,BASE[CODCIE108],GUIA_NACIONAL_2022_1106128105168175176[[#This Row],[CIE-10]]))</f>
        <v>0</v>
      </c>
      <c r="AK45" s="3">
        <f>IF($B$2="(Todas)",COUNTIF(BASE[CODCIE1010],GUIA_NACIONAL_2022_1106128105168175176[[#This Row],[CIE-10]]),COUNTIFS(BASE[Cod.Establecimiento],$B$2,BASE[CODCIE1010],GUIA_NACIONAL_2022_1106128105168175176[[#This Row],[CIE-10]]))</f>
        <v>0</v>
      </c>
      <c r="AL45" s="9">
        <f>SUM(GUIA_NACIONAL_2022_1106128105168175176[[#This Row],[D1]:[D6]])</f>
        <v>0</v>
      </c>
      <c r="AN45" t="s">
        <v>93</v>
      </c>
      <c r="AO45" s="3" t="s">
        <v>94</v>
      </c>
      <c r="AP45" s="3" t="s">
        <v>95</v>
      </c>
      <c r="AQ45" s="3" t="s">
        <v>96</v>
      </c>
      <c r="AR45" s="3" t="s">
        <v>97</v>
      </c>
      <c r="AS45" s="3" t="s">
        <v>98</v>
      </c>
      <c r="AT45" s="3" t="s">
        <v>99</v>
      </c>
      <c r="AU45" s="8" t="s">
        <v>100</v>
      </c>
      <c r="BF45" s="150" t="s">
        <v>673</v>
      </c>
      <c r="BG45" s="150"/>
      <c r="BH45" s="150"/>
      <c r="BI45" s="150"/>
      <c r="BJ45" s="150"/>
      <c r="BK45" s="150"/>
      <c r="BL45" s="150"/>
      <c r="BM45" s="150"/>
      <c r="BO45" s="4" t="s">
        <v>699</v>
      </c>
      <c r="BP45" s="3">
        <f>IF($B$2="(Todas)",COUNTIF(BASE[CODCIE10],GUIA_NACIONAL_2022_1106128105107110207214216217236241[[#This Row],[CIE-10]]),COUNTIFS(BASE[Cod.Establecimiento],$B$2,BASE[CODCIE10],GUIA_NACIONAL_2022_1106128105107110207214216217236241[[#This Row],[CIE-10]]))</f>
        <v>0</v>
      </c>
      <c r="BQ45" s="3">
        <f>IF($B$2="(Todas)",COUNTIF(BASE[CODCIE102],GUIA_NACIONAL_2022_1106128105107110207214216217236241[[#This Row],[CIE-10]]),COUNTIFS(BASE[Cod.Establecimiento],$B$2,BASE[CODCIE102],GUIA_NACIONAL_2022_1106128105107110207214216217236241[[#This Row],[CIE-10]]))</f>
        <v>0</v>
      </c>
      <c r="BR45" s="3">
        <f>IF($B$2="(Todas)",COUNTIF(BASE[CODCIE104],GUIA_NACIONAL_2022_1106128105107110207214216217236241[[#This Row],[CIE-10]]),COUNTIFS(BASE[Cod.Establecimiento],$B$2,BASE[CODCIE104],GUIA_NACIONAL_2022_1106128105107110207214216217236241[[#This Row],[CIE-10]]))</f>
        <v>0</v>
      </c>
      <c r="BS45" s="3">
        <f>IF($B$2="(Todas)",COUNTIF(BASE[CODCIE106],GUIA_NACIONAL_2022_1106128105107110207214216217236241[[#This Row],[CIE-10]]),COUNTIFS(BASE[Cod.Establecimiento],$B$2,BASE[CODCIE106],GUIA_NACIONAL_2022_1106128105107110207214216217236241[[#This Row],[CIE-10]]))</f>
        <v>0</v>
      </c>
      <c r="BT45" s="3">
        <f>IF($B$2="(Todas)",COUNTIF(BASE[CODCIE108],GUIA_NACIONAL_2022_1106128105107110207214216217236241[[#This Row],[CIE-10]]),COUNTIFS(BASE[Cod.Establecimiento],$B$2,BASE[CODCIE108],GUIA_NACIONAL_2022_1106128105107110207214216217236241[[#This Row],[CIE-10]]))</f>
        <v>0</v>
      </c>
      <c r="BU45" s="3">
        <f>IF($B$2="(Todas)",COUNTIF(BASE[CODCIE1010],GUIA_NACIONAL_2022_1106128105107110207214216217236241[[#This Row],[CIE-10]]),COUNTIFS(BASE[Cod.Establecimiento],$B$2,BASE[CODCIE1010],GUIA_NACIONAL_2022_1106128105107110207214216217236241[[#This Row],[CIE-10]]))</f>
        <v>0</v>
      </c>
      <c r="BV45" s="9">
        <f>SUM(GUIA_NACIONAL_2022_1106128105107110207214216217236241[[#This Row],[D1]:[D6]])</f>
        <v>0</v>
      </c>
      <c r="CG45" t="s">
        <v>93</v>
      </c>
      <c r="CH45" s="3" t="s">
        <v>94</v>
      </c>
      <c r="CI45" s="3" t="s">
        <v>95</v>
      </c>
      <c r="CJ45" s="3" t="s">
        <v>96</v>
      </c>
      <c r="CK45" s="3" t="s">
        <v>97</v>
      </c>
      <c r="CL45" s="3" t="s">
        <v>98</v>
      </c>
      <c r="CM45" s="3" t="s">
        <v>99</v>
      </c>
      <c r="CN45" s="8" t="s">
        <v>100</v>
      </c>
    </row>
    <row r="46" spans="1:92" ht="15" customHeight="1">
      <c r="D46" s="153" t="s">
        <v>445</v>
      </c>
      <c r="E46" s="153"/>
      <c r="F46" s="153"/>
      <c r="G46" s="153"/>
      <c r="H46" s="153"/>
      <c r="I46" s="153"/>
      <c r="J46" s="153"/>
      <c r="K46" s="153"/>
      <c r="V46" t="s">
        <v>93</v>
      </c>
      <c r="W46" s="3" t="s">
        <v>94</v>
      </c>
      <c r="X46" s="3" t="s">
        <v>95</v>
      </c>
      <c r="Y46" s="3" t="s">
        <v>96</v>
      </c>
      <c r="Z46" s="3" t="s">
        <v>97</v>
      </c>
      <c r="AA46" s="3" t="s">
        <v>98</v>
      </c>
      <c r="AB46" s="3" t="s">
        <v>99</v>
      </c>
      <c r="AC46" s="8" t="s">
        <v>100</v>
      </c>
      <c r="AE46" s="32" t="s">
        <v>579</v>
      </c>
      <c r="AF46" s="3">
        <f>IF($B$2="(Todas)",COUNTIF(BASE[CODCIE10],GUIA_NACIONAL_2022_1106128105168175176[[#This Row],[CIE-10]]),COUNTIFS(BASE[Cod.Establecimiento],$B$2,BASE[CODCIE10],GUIA_NACIONAL_2022_1106128105168175176[[#This Row],[CIE-10]]))</f>
        <v>0</v>
      </c>
      <c r="AG46" s="3">
        <f>IF($B$2="(Todas)",COUNTIF(BASE[CODCIE102],GUIA_NACIONAL_2022_1106128105168175176[[#This Row],[CIE-10]]),COUNTIFS(BASE[Cod.Establecimiento],$B$2,BASE[CODCIE102],GUIA_NACIONAL_2022_1106128105168175176[[#This Row],[CIE-10]]))</f>
        <v>0</v>
      </c>
      <c r="AH46" s="3">
        <f>IF($B$2="(Todas)",COUNTIF(BASE[CODCIE104],GUIA_NACIONAL_2022_1106128105168175176[[#This Row],[CIE-10]]),COUNTIFS(BASE[Cod.Establecimiento],$B$2,BASE[CODCIE104],GUIA_NACIONAL_2022_1106128105168175176[[#This Row],[CIE-10]]))</f>
        <v>0</v>
      </c>
      <c r="AI46" s="3">
        <f>IF($B$2="(Todas)",COUNTIF(BASE[CODCIE106],GUIA_NACIONAL_2022_1106128105168175176[[#This Row],[CIE-10]]),COUNTIFS(BASE[Cod.Establecimiento],$B$2,BASE[CODCIE106],GUIA_NACIONAL_2022_1106128105168175176[[#This Row],[CIE-10]]))</f>
        <v>0</v>
      </c>
      <c r="AJ46" s="3">
        <f>IF($B$2="(Todas)",COUNTIF(BASE[CODCIE108],GUIA_NACIONAL_2022_1106128105168175176[[#This Row],[CIE-10]]),COUNTIFS(BASE[Cod.Establecimiento],$B$2,BASE[CODCIE108],GUIA_NACIONAL_2022_1106128105168175176[[#This Row],[CIE-10]]))</f>
        <v>0</v>
      </c>
      <c r="AK46" s="3">
        <f>IF($B$2="(Todas)",COUNTIF(BASE[CODCIE1010],GUIA_NACIONAL_2022_1106128105168175176[[#This Row],[CIE-10]]),COUNTIFS(BASE[Cod.Establecimiento],$B$2,BASE[CODCIE1010],GUIA_NACIONAL_2022_1106128105168175176[[#This Row],[CIE-10]]))</f>
        <v>0</v>
      </c>
      <c r="AL46" s="9">
        <f>SUM(GUIA_NACIONAL_2022_1106128105168175176[[#This Row],[D1]:[D6]])</f>
        <v>0</v>
      </c>
      <c r="AN46" s="4" t="s">
        <v>634</v>
      </c>
      <c r="AO46" s="3">
        <f>IF($B$2="(Todas)",COUNTIF(BASE[CODCIE10],GUIA_NACIONAL_2022_1106128105168162195198202204205[[#This Row],[CIE-10]]),COUNTIFS(BASE[Cod.Establecimiento],$B$2,BASE[CODCIE10],GUIA_NACIONAL_2022_1106128105168162195198202204205[[#This Row],[CIE-10]]))</f>
        <v>0</v>
      </c>
      <c r="AP46" s="3">
        <f>IF($B$2="(Todas)",COUNTIF(BASE[CODCIE102],GUIA_NACIONAL_2022_1106128105168162195198202204205[[#This Row],[CIE-10]]),COUNTIFS(BASE[Cod.Establecimiento],$B$2,BASE[CODCIE102],GUIA_NACIONAL_2022_1106128105168162195198202204205[[#This Row],[CIE-10]]))</f>
        <v>0</v>
      </c>
      <c r="AQ46" s="3">
        <f>IF($B$2="(Todas)",COUNTIF(BASE[CODCIE104],GUIA_NACIONAL_2022_1106128105168162195198202204205[[#This Row],[CIE-10]]),COUNTIFS(BASE[Cod.Establecimiento],$B$2,BASE[CODCIE104],GUIA_NACIONAL_2022_1106128105168162195198202204205[[#This Row],[CIE-10]]))</f>
        <v>0</v>
      </c>
      <c r="AR46" s="3">
        <f>IF($B$2="(Todas)",COUNTIF(BASE[CODCIE106],GUIA_NACIONAL_2022_1106128105168162195198202204205[[#This Row],[CIE-10]]),COUNTIFS(BASE[Cod.Establecimiento],$B$2,BASE[CODCIE106],GUIA_NACIONAL_2022_1106128105168162195198202204205[[#This Row],[CIE-10]]))</f>
        <v>0</v>
      </c>
      <c r="AS46" s="3">
        <f>IF($B$2="(Todas)",COUNTIF(BASE[CODCIE108],GUIA_NACIONAL_2022_1106128105168162195198202204205[[#This Row],[CIE-10]]),COUNTIFS(BASE[Cod.Establecimiento],$B$2,BASE[CODCIE108],GUIA_NACIONAL_2022_1106128105168162195198202204205[[#This Row],[CIE-10]]))</f>
        <v>0</v>
      </c>
      <c r="AT46" s="3">
        <f>IF($B$2="(Todas)",COUNTIF(BASE[CODCIE1010],GUIA_NACIONAL_2022_1106128105168162195198202204205[[#This Row],[CIE-10]]),COUNTIFS(BASE[Cod.Establecimiento],$B$2,BASE[CODCIE1010],GUIA_NACIONAL_2022_1106128105168162195198202204205[[#This Row],[CIE-10]]))</f>
        <v>0</v>
      </c>
      <c r="AU46" s="9">
        <f>SUM(GUIA_NACIONAL_2022_1106128105168162195198202204205[[#This Row],[D1]:[D6]])</f>
        <v>0</v>
      </c>
      <c r="BF46" t="s">
        <v>93</v>
      </c>
      <c r="BG46" s="3" t="s">
        <v>94</v>
      </c>
      <c r="BH46" s="3" t="s">
        <v>95</v>
      </c>
      <c r="BI46" s="3" t="s">
        <v>96</v>
      </c>
      <c r="BJ46" s="3" t="s">
        <v>97</v>
      </c>
      <c r="BK46" s="3" t="s">
        <v>98</v>
      </c>
      <c r="BL46" s="3" t="s">
        <v>99</v>
      </c>
      <c r="BM46" s="8" t="s">
        <v>100</v>
      </c>
      <c r="BO46" s="150" t="s">
        <v>700</v>
      </c>
      <c r="BP46" s="150"/>
      <c r="BQ46" s="150"/>
      <c r="BR46" s="150"/>
      <c r="BS46" s="150"/>
      <c r="BT46" s="150"/>
      <c r="BU46" s="150"/>
      <c r="BV46" s="150"/>
      <c r="CG46" s="4" t="s">
        <v>112</v>
      </c>
      <c r="CH46" s="3">
        <f>IF($B$2="(Todas)",COUNTIF(BASE[CODCIE10],GUIA_NACIONAL_2022_1106128105107111115129130250251252253[[#This Row],[CIE-10]]),COUNTIFS(BASE[Cod.Establecimiento],$B$2,BASE[CODCIE10],GUIA_NACIONAL_2022_1106128105107111115129130250251252253[[#This Row],[CIE-10]]))</f>
        <v>0</v>
      </c>
      <c r="CI46" s="3">
        <f>IF($B$2="(Todas)",COUNTIF(BASE[CODCIE102],GUIA_NACIONAL_2022_1106128105107111115129130250251252253[[#This Row],[CIE-10]]),COUNTIFS(BASE[Cod.Establecimiento],$B$2,BASE[CODCIE102],GUIA_NACIONAL_2022_1106128105107111115129130250251252253[[#This Row],[CIE-10]]))</f>
        <v>0</v>
      </c>
      <c r="CJ46" s="3">
        <f>IF($B$2="(Todas)",COUNTIF(BASE[CODCIE104],GUIA_NACIONAL_2022_1106128105107111115129130250251252253[[#This Row],[CIE-10]]),COUNTIFS(BASE[Cod.Establecimiento],$B$2,BASE[CODCIE104],GUIA_NACIONAL_2022_1106128105107111115129130250251252253[[#This Row],[CIE-10]]))</f>
        <v>0</v>
      </c>
      <c r="CK46" s="3">
        <f>IF($B$2="(Todas)",COUNTIF(BASE[CODCIE106],GUIA_NACIONAL_2022_1106128105107111115129130250251252253[[#This Row],[CIE-10]]),COUNTIFS(BASE[Cod.Establecimiento],$B$2,BASE[CODCIE106],GUIA_NACIONAL_2022_1106128105107111115129130250251252253[[#This Row],[CIE-10]]))</f>
        <v>0</v>
      </c>
      <c r="CL46" s="3">
        <f>IF($B$2="(Todas)",COUNTIF(BASE[CODCIE108],GUIA_NACIONAL_2022_1106128105107111115129130250251252253[[#This Row],[CIE-10]]),COUNTIFS(BASE[Cod.Establecimiento],$B$2,BASE[CODCIE108],GUIA_NACIONAL_2022_1106128105107111115129130250251252253[[#This Row],[CIE-10]]))</f>
        <v>0</v>
      </c>
      <c r="CM46" s="3">
        <f>IF($B$2="(Todas)",COUNTIF(BASE[CODCIE1010],GUIA_NACIONAL_2022_1106128105107111115129130250251252253[[#This Row],[CIE-10]]),COUNTIFS(BASE[Cod.Establecimiento],$B$2,BASE[CODCIE1010],GUIA_NACIONAL_2022_1106128105107111115129130250251252253[[#This Row],[CIE-10]]))</f>
        <v>0</v>
      </c>
      <c r="CN46" s="9">
        <f>SUM(GUIA_NACIONAL_2022_1106128105107111115129130250251252253[[#This Row],[D1]:[D6]])</f>
        <v>0</v>
      </c>
    </row>
    <row r="47" spans="1:92" ht="15" customHeight="1">
      <c r="A47" s="74"/>
      <c r="B47" s="74"/>
      <c r="D47" s="150" t="s">
        <v>446</v>
      </c>
      <c r="E47" s="150"/>
      <c r="F47" s="150"/>
      <c r="G47" s="150"/>
      <c r="H47" s="150"/>
      <c r="I47" s="150"/>
      <c r="J47" s="150"/>
      <c r="K47" s="150"/>
      <c r="V47" s="4" t="s">
        <v>101</v>
      </c>
      <c r="W47" s="3">
        <f>IF($B$2="(Todas)",COUNTIF(BASE[CODCIE10],GUIA_NACIONAL_2022_1106128143146150152[[#This Row],[CIE-10]]),COUNTIFS(BASE[Cod.Establecimiento],$B$2,BASE[CODCIE10],GUIA_NACIONAL_2022_1106128143146150152[[#This Row],[CIE-10]]))</f>
        <v>0</v>
      </c>
      <c r="X47" s="3">
        <f>IF($B$2="(Todas)",COUNTIF(BASE[CODCIE102],GUIA_NACIONAL_2022_1106128143146150152[[#This Row],[CIE-10]]),COUNTIFS(BASE[Cod.Establecimiento],$B$2,BASE[CODCIE102],GUIA_NACIONAL_2022_1106128143146150152[[#This Row],[CIE-10]]))</f>
        <v>0</v>
      </c>
      <c r="Y47" s="3">
        <f>IF($B$2="(Todas)",COUNTIF(BASE[CODCIE104],GUIA_NACIONAL_2022_1106128143146150152[[#This Row],[CIE-10]]),COUNTIFS(BASE[Cod.Establecimiento],$B$2,BASE[CODCIE104],GUIA_NACIONAL_2022_1106128143146150152[[#This Row],[CIE-10]]))</f>
        <v>0</v>
      </c>
      <c r="Z47" s="3">
        <f>IF($B$2="(Todas)",COUNTIF(BASE[CODCIE106],GUIA_NACIONAL_2022_1106128143146150152[[#This Row],[CIE-10]]),COUNTIFS(BASE[Cod.Establecimiento],$B$2,BASE[CODCIE106],GUIA_NACIONAL_2022_1106128143146150152[[#This Row],[CIE-10]]))</f>
        <v>0</v>
      </c>
      <c r="AA47" s="3">
        <f>IF($B$2="(Todas)",COUNTIF(BASE[CODCIE108],GUIA_NACIONAL_2022_1106128143146150152[[#This Row],[CIE-10]]),COUNTIFS(BASE[Cod.Establecimiento],$B$2,BASE[CODCIE108],GUIA_NACIONAL_2022_1106128143146150152[[#This Row],[CIE-10]]))</f>
        <v>0</v>
      </c>
      <c r="AB47" s="3">
        <f>IF($B$2="(Todas)",COUNTIF(BASE[CODCIE1010],GUIA_NACIONAL_2022_1106128143146150152[[#This Row],[CIE-10]]),COUNTIFS(BASE[Cod.Establecimiento],$B$2,BASE[CODCIE1010],GUIA_NACIONAL_2022_1106128143146150152[[#This Row],[CIE-10]]))</f>
        <v>0</v>
      </c>
      <c r="AC47" s="9">
        <f>SUM(GUIA_NACIONAL_2022_1106128143146150152[[#This Row],[D1]:[D6]])</f>
        <v>0</v>
      </c>
      <c r="AE47" s="32" t="s">
        <v>581</v>
      </c>
      <c r="AF47" s="3">
        <f>IF($B$2="(Todas)",COUNTIF(BASE[CODCIE10],GUIA_NACIONAL_2022_1106128105168175176[[#This Row],[CIE-10]]),COUNTIFS(BASE[Cod.Establecimiento],$B$2,BASE[CODCIE10],GUIA_NACIONAL_2022_1106128105168175176[[#This Row],[CIE-10]]))</f>
        <v>0</v>
      </c>
      <c r="AG47" s="3">
        <f>IF($B$2="(Todas)",COUNTIF(BASE[CODCIE102],GUIA_NACIONAL_2022_1106128105168175176[[#This Row],[CIE-10]]),COUNTIFS(BASE[Cod.Establecimiento],$B$2,BASE[CODCIE102],GUIA_NACIONAL_2022_1106128105168175176[[#This Row],[CIE-10]]))</f>
        <v>0</v>
      </c>
      <c r="AH47" s="3">
        <f>IF($B$2="(Todas)",COUNTIF(BASE[CODCIE104],GUIA_NACIONAL_2022_1106128105168175176[[#This Row],[CIE-10]]),COUNTIFS(BASE[Cod.Establecimiento],$B$2,BASE[CODCIE104],GUIA_NACIONAL_2022_1106128105168175176[[#This Row],[CIE-10]]))</f>
        <v>0</v>
      </c>
      <c r="AI47" s="3">
        <f>IF($B$2="(Todas)",COUNTIF(BASE[CODCIE106],GUIA_NACIONAL_2022_1106128105168175176[[#This Row],[CIE-10]]),COUNTIFS(BASE[Cod.Establecimiento],$B$2,BASE[CODCIE106],GUIA_NACIONAL_2022_1106128105168175176[[#This Row],[CIE-10]]))</f>
        <v>0</v>
      </c>
      <c r="AJ47" s="3">
        <f>IF($B$2="(Todas)",COUNTIF(BASE[CODCIE108],GUIA_NACIONAL_2022_1106128105168175176[[#This Row],[CIE-10]]),COUNTIFS(BASE[Cod.Establecimiento],$B$2,BASE[CODCIE108],GUIA_NACIONAL_2022_1106128105168175176[[#This Row],[CIE-10]]))</f>
        <v>0</v>
      </c>
      <c r="AK47" s="3">
        <f>IF($B$2="(Todas)",COUNTIF(BASE[CODCIE1010],GUIA_NACIONAL_2022_1106128105168175176[[#This Row],[CIE-10]]),COUNTIFS(BASE[Cod.Establecimiento],$B$2,BASE[CODCIE1010],GUIA_NACIONAL_2022_1106128105168175176[[#This Row],[CIE-10]]))</f>
        <v>0</v>
      </c>
      <c r="AL47" s="9">
        <f>SUM(GUIA_NACIONAL_2022_1106128105168175176[[#This Row],[D1]:[D6]])</f>
        <v>0</v>
      </c>
      <c r="AN47" s="150" t="s">
        <v>635</v>
      </c>
      <c r="AO47" s="150"/>
      <c r="AP47" s="150"/>
      <c r="AQ47" s="150"/>
      <c r="AR47" s="150"/>
      <c r="AS47" s="150"/>
      <c r="AT47" s="150"/>
      <c r="AU47" s="150"/>
      <c r="BF47" s="4" t="s">
        <v>674</v>
      </c>
      <c r="BG47" s="3">
        <f>IF($B$2="(Todas)",COUNTIF(BASE[CODCIE10],GUIA_NACIONAL_2022_1106128105107110207214216221222[[#This Row],[CIE-10]]),COUNTIFS(BASE[Cod.Establecimiento],$B$2,BASE[CODCIE10],GUIA_NACIONAL_2022_1106128105107110207214216221222[[#This Row],[CIE-10]]))</f>
        <v>0</v>
      </c>
      <c r="BH47" s="3">
        <f>IF($B$2="(Todas)",COUNTIF(BASE[CODCIE102],GUIA_NACIONAL_2022_1106128105107110207214216221222[[#This Row],[CIE-10]]),COUNTIFS(BASE[Cod.Establecimiento],$B$2,BASE[CODCIE102],GUIA_NACIONAL_2022_1106128105107110207214216221222[[#This Row],[CIE-10]]))</f>
        <v>0</v>
      </c>
      <c r="BI47" s="3">
        <f>IF($B$2="(Todas)",COUNTIF(BASE[CODCIE104],GUIA_NACIONAL_2022_1106128105107110207214216221222[[#This Row],[CIE-10]]),COUNTIFS(BASE[Cod.Establecimiento],$B$2,BASE[CODCIE104],GUIA_NACIONAL_2022_1106128105107110207214216221222[[#This Row],[CIE-10]]))</f>
        <v>0</v>
      </c>
      <c r="BJ47" s="3">
        <f>IF($B$2="(Todas)",COUNTIF(BASE[CODCIE106],GUIA_NACIONAL_2022_1106128105107110207214216221222[[#This Row],[CIE-10]]),COUNTIFS(BASE[Cod.Establecimiento],$B$2,BASE[CODCIE106],GUIA_NACIONAL_2022_1106128105107110207214216221222[[#This Row],[CIE-10]]))</f>
        <v>0</v>
      </c>
      <c r="BK47" s="3">
        <f>IF($B$2="(Todas)",COUNTIF(BASE[CODCIE108],GUIA_NACIONAL_2022_1106128105107110207214216221222[[#This Row],[CIE-10]]),COUNTIFS(BASE[Cod.Establecimiento],$B$2,BASE[CODCIE108],GUIA_NACIONAL_2022_1106128105107110207214216221222[[#This Row],[CIE-10]]))</f>
        <v>0</v>
      </c>
      <c r="BL47" s="3">
        <f>IF($B$2="(Todas)",COUNTIF(BASE[CODCIE1010],GUIA_NACIONAL_2022_1106128105107110207214216221222[[#This Row],[CIE-10]]),COUNTIFS(BASE[Cod.Establecimiento],$B$2,BASE[CODCIE1010],GUIA_NACIONAL_2022_1106128105107110207214216221222[[#This Row],[CIE-10]]))</f>
        <v>0</v>
      </c>
      <c r="BM47" s="9">
        <f>SUM(GUIA_NACIONAL_2022_1106128105107110207214216221222[[#This Row],[D1]:[D6]])</f>
        <v>0</v>
      </c>
      <c r="BO47" t="s">
        <v>93</v>
      </c>
      <c r="BP47" s="3" t="s">
        <v>94</v>
      </c>
      <c r="BQ47" s="3" t="s">
        <v>95</v>
      </c>
      <c r="BR47" s="3" t="s">
        <v>96</v>
      </c>
      <c r="BS47" s="3" t="s">
        <v>97</v>
      </c>
      <c r="BT47" s="3" t="s">
        <v>98</v>
      </c>
      <c r="BU47" s="3" t="s">
        <v>99</v>
      </c>
      <c r="BV47" s="8" t="s">
        <v>100</v>
      </c>
      <c r="CG47" s="4" t="s">
        <v>750</v>
      </c>
      <c r="CH47" s="3">
        <f>IF($B$2="(Todas)",COUNTIF(BASE[CODCIE10],GUIA_NACIONAL_2022_1106128105107111115129130250251252253[[#This Row],[CIE-10]]),COUNTIFS(BASE[Cod.Establecimiento],$B$2,BASE[CODCIE10],GUIA_NACIONAL_2022_1106128105107111115129130250251252253[[#This Row],[CIE-10]]))</f>
        <v>0</v>
      </c>
      <c r="CI47" s="3">
        <f>IF($B$2="(Todas)",COUNTIF(BASE[CODCIE102],GUIA_NACIONAL_2022_1106128105107111115129130250251252253[[#This Row],[CIE-10]]),COUNTIFS(BASE[Cod.Establecimiento],$B$2,BASE[CODCIE102],GUIA_NACIONAL_2022_1106128105107111115129130250251252253[[#This Row],[CIE-10]]))</f>
        <v>0</v>
      </c>
      <c r="CJ47" s="3">
        <f>IF($B$2="(Todas)",COUNTIF(BASE[CODCIE104],GUIA_NACIONAL_2022_1106128105107111115129130250251252253[[#This Row],[CIE-10]]),COUNTIFS(BASE[Cod.Establecimiento],$B$2,BASE[CODCIE104],GUIA_NACIONAL_2022_1106128105107111115129130250251252253[[#This Row],[CIE-10]]))</f>
        <v>0</v>
      </c>
      <c r="CK47" s="3">
        <f>IF($B$2="(Todas)",COUNTIF(BASE[CODCIE106],GUIA_NACIONAL_2022_1106128105107111115129130250251252253[[#This Row],[CIE-10]]),COUNTIFS(BASE[Cod.Establecimiento],$B$2,BASE[CODCIE106],GUIA_NACIONAL_2022_1106128105107111115129130250251252253[[#This Row],[CIE-10]]))</f>
        <v>0</v>
      </c>
      <c r="CL47" s="3">
        <f>IF($B$2="(Todas)",COUNTIF(BASE[CODCIE108],GUIA_NACIONAL_2022_1106128105107111115129130250251252253[[#This Row],[CIE-10]]),COUNTIFS(BASE[Cod.Establecimiento],$B$2,BASE[CODCIE108],GUIA_NACIONAL_2022_1106128105107111115129130250251252253[[#This Row],[CIE-10]]))</f>
        <v>0</v>
      </c>
      <c r="CM47" s="3">
        <f>IF($B$2="(Todas)",COUNTIF(BASE[CODCIE1010],GUIA_NACIONAL_2022_1106128105107111115129130250251252253[[#This Row],[CIE-10]]),COUNTIFS(BASE[Cod.Establecimiento],$B$2,BASE[CODCIE1010],GUIA_NACIONAL_2022_1106128105107111115129130250251252253[[#This Row],[CIE-10]]))</f>
        <v>0</v>
      </c>
      <c r="CN47" s="9">
        <f>SUM(GUIA_NACIONAL_2022_1106128105107111115129130250251252253[[#This Row],[D1]:[D6]])</f>
        <v>0</v>
      </c>
    </row>
    <row r="48" spans="1:92" ht="15" customHeight="1">
      <c r="A48" s="74"/>
      <c r="B48" s="74"/>
      <c r="D48" t="s">
        <v>93</v>
      </c>
      <c r="E48" s="3" t="s">
        <v>94</v>
      </c>
      <c r="F48" s="3" t="s">
        <v>95</v>
      </c>
      <c r="G48" s="3" t="s">
        <v>96</v>
      </c>
      <c r="H48" s="3" t="s">
        <v>97</v>
      </c>
      <c r="I48" s="3" t="s">
        <v>98</v>
      </c>
      <c r="J48" s="3" t="s">
        <v>99</v>
      </c>
      <c r="K48" s="8" t="s">
        <v>100</v>
      </c>
      <c r="V48" s="32" t="s">
        <v>103</v>
      </c>
      <c r="W48" s="3">
        <f>IF($B$2="(Todas)",COUNTIF(BASE[CODCIE10],GUIA_NACIONAL_2022_1106128143146150152[[#This Row],[CIE-10]]),COUNTIFS(BASE[Cod.Establecimiento],$B$2,BASE[CODCIE10],GUIA_NACIONAL_2022_1106128143146150152[[#This Row],[CIE-10]]))</f>
        <v>0</v>
      </c>
      <c r="X48" s="3">
        <f>IF($B$2="(Todas)",COUNTIF(BASE[CODCIE102],GUIA_NACIONAL_2022_1106128143146150152[[#This Row],[CIE-10]]),COUNTIFS(BASE[Cod.Establecimiento],$B$2,BASE[CODCIE102],GUIA_NACIONAL_2022_1106128143146150152[[#This Row],[CIE-10]]))</f>
        <v>0</v>
      </c>
      <c r="Y48" s="3">
        <f>IF($B$2="(Todas)",COUNTIF(BASE[CODCIE104],GUIA_NACIONAL_2022_1106128143146150152[[#This Row],[CIE-10]]),COUNTIFS(BASE[Cod.Establecimiento],$B$2,BASE[CODCIE104],GUIA_NACIONAL_2022_1106128143146150152[[#This Row],[CIE-10]]))</f>
        <v>0</v>
      </c>
      <c r="Z48" s="3">
        <f>IF($B$2="(Todas)",COUNTIF(BASE[CODCIE106],GUIA_NACIONAL_2022_1106128143146150152[[#This Row],[CIE-10]]),COUNTIFS(BASE[Cod.Establecimiento],$B$2,BASE[CODCIE106],GUIA_NACIONAL_2022_1106128143146150152[[#This Row],[CIE-10]]))</f>
        <v>0</v>
      </c>
      <c r="AA48" s="3">
        <f>IF($B$2="(Todas)",COUNTIF(BASE[CODCIE108],GUIA_NACIONAL_2022_1106128143146150152[[#This Row],[CIE-10]]),COUNTIFS(BASE[Cod.Establecimiento],$B$2,BASE[CODCIE108],GUIA_NACIONAL_2022_1106128143146150152[[#This Row],[CIE-10]]))</f>
        <v>0</v>
      </c>
      <c r="AB48" s="3">
        <f>IF($B$2="(Todas)",COUNTIF(BASE[CODCIE1010],GUIA_NACIONAL_2022_1106128143146150152[[#This Row],[CIE-10]]),COUNTIFS(BASE[Cod.Establecimiento],$B$2,BASE[CODCIE1010],GUIA_NACIONAL_2022_1106128143146150152[[#This Row],[CIE-10]]))</f>
        <v>0</v>
      </c>
      <c r="AC48" s="9">
        <f>SUM(GUIA_NACIONAL_2022_1106128143146150152[[#This Row],[D1]:[D6]])</f>
        <v>0</v>
      </c>
      <c r="AE48" s="32" t="s">
        <v>582</v>
      </c>
      <c r="AF48" s="3">
        <f>IF($B$2="(Todas)",COUNTIF(BASE[CODCIE10],GUIA_NACIONAL_2022_1106128105168175176[[#This Row],[CIE-10]]),COUNTIFS(BASE[Cod.Establecimiento],$B$2,BASE[CODCIE10],GUIA_NACIONAL_2022_1106128105168175176[[#This Row],[CIE-10]]))</f>
        <v>0</v>
      </c>
      <c r="AG48" s="3">
        <f>IF($B$2="(Todas)",COUNTIF(BASE[CODCIE102],GUIA_NACIONAL_2022_1106128105168175176[[#This Row],[CIE-10]]),COUNTIFS(BASE[Cod.Establecimiento],$B$2,BASE[CODCIE102],GUIA_NACIONAL_2022_1106128105168175176[[#This Row],[CIE-10]]))</f>
        <v>0</v>
      </c>
      <c r="AH48" s="3">
        <f>IF($B$2="(Todas)",COUNTIF(BASE[CODCIE104],GUIA_NACIONAL_2022_1106128105168175176[[#This Row],[CIE-10]]),COUNTIFS(BASE[Cod.Establecimiento],$B$2,BASE[CODCIE104],GUIA_NACIONAL_2022_1106128105168175176[[#This Row],[CIE-10]]))</f>
        <v>0</v>
      </c>
      <c r="AI48" s="3">
        <f>IF($B$2="(Todas)",COUNTIF(BASE[CODCIE106],GUIA_NACIONAL_2022_1106128105168175176[[#This Row],[CIE-10]]),COUNTIFS(BASE[Cod.Establecimiento],$B$2,BASE[CODCIE106],GUIA_NACIONAL_2022_1106128105168175176[[#This Row],[CIE-10]]))</f>
        <v>0</v>
      </c>
      <c r="AJ48" s="3">
        <f>IF($B$2="(Todas)",COUNTIF(BASE[CODCIE108],GUIA_NACIONAL_2022_1106128105168175176[[#This Row],[CIE-10]]),COUNTIFS(BASE[Cod.Establecimiento],$B$2,BASE[CODCIE108],GUIA_NACIONAL_2022_1106128105168175176[[#This Row],[CIE-10]]))</f>
        <v>0</v>
      </c>
      <c r="AK48" s="3">
        <f>IF($B$2="(Todas)",COUNTIF(BASE[CODCIE1010],GUIA_NACIONAL_2022_1106128105168175176[[#This Row],[CIE-10]]),COUNTIFS(BASE[Cod.Establecimiento],$B$2,BASE[CODCIE1010],GUIA_NACIONAL_2022_1106128105168175176[[#This Row],[CIE-10]]))</f>
        <v>0</v>
      </c>
      <c r="AL48" s="9">
        <f>SUM(GUIA_NACIONAL_2022_1106128105168175176[[#This Row],[D1]:[D6]])</f>
        <v>0</v>
      </c>
      <c r="AN48" t="s">
        <v>93</v>
      </c>
      <c r="AO48" s="3" t="s">
        <v>94</v>
      </c>
      <c r="AP48" s="3" t="s">
        <v>95</v>
      </c>
      <c r="AQ48" s="3" t="s">
        <v>96</v>
      </c>
      <c r="AR48" s="3" t="s">
        <v>97</v>
      </c>
      <c r="AS48" s="3" t="s">
        <v>98</v>
      </c>
      <c r="AT48" s="3" t="s">
        <v>99</v>
      </c>
      <c r="AU48" s="8" t="s">
        <v>100</v>
      </c>
      <c r="BF48" s="150" t="s">
        <v>675</v>
      </c>
      <c r="BG48" s="150"/>
      <c r="BH48" s="150"/>
      <c r="BI48" s="150"/>
      <c r="BJ48" s="150"/>
      <c r="BK48" s="150"/>
      <c r="BL48" s="150"/>
      <c r="BM48" s="150"/>
      <c r="BO48" s="4" t="s">
        <v>699</v>
      </c>
      <c r="BP48" s="3">
        <f>IF($B$2="(Todas)",COUNTIF(BASE[CODCIE10],GUIA_NACIONAL_2022_1106128105107110207214216217236241242[[#This Row],[CIE-10]]),COUNTIFS(BASE[Cod.Establecimiento],$B$2,BASE[CODCIE10],GUIA_NACIONAL_2022_1106128105107110207214216217236241242[[#This Row],[CIE-10]]))</f>
        <v>0</v>
      </c>
      <c r="BQ48" s="3">
        <f>IF($B$2="(Todas)",COUNTIF(BASE[CODCIE102],GUIA_NACIONAL_2022_1106128105107110207214216217236241242[[#This Row],[CIE-10]]),COUNTIFS(BASE[Cod.Establecimiento],$B$2,BASE[CODCIE102],GUIA_NACIONAL_2022_1106128105107110207214216217236241242[[#This Row],[CIE-10]]))</f>
        <v>0</v>
      </c>
      <c r="BR48" s="3">
        <f>IF($B$2="(Todas)",COUNTIF(BASE[CODCIE104],GUIA_NACIONAL_2022_1106128105107110207214216217236241242[[#This Row],[CIE-10]]),COUNTIFS(BASE[Cod.Establecimiento],$B$2,BASE[CODCIE104],GUIA_NACIONAL_2022_1106128105107110207214216217236241242[[#This Row],[CIE-10]]))</f>
        <v>0</v>
      </c>
      <c r="BS48" s="3">
        <f>IF($B$2="(Todas)",COUNTIF(BASE[CODCIE106],GUIA_NACIONAL_2022_1106128105107110207214216217236241242[[#This Row],[CIE-10]]),COUNTIFS(BASE[Cod.Establecimiento],$B$2,BASE[CODCIE106],GUIA_NACIONAL_2022_1106128105107110207214216217236241242[[#This Row],[CIE-10]]))</f>
        <v>0</v>
      </c>
      <c r="BT48" s="3">
        <f>IF($B$2="(Todas)",COUNTIF(BASE[CODCIE108],GUIA_NACIONAL_2022_1106128105107110207214216217236241242[[#This Row],[CIE-10]]),COUNTIFS(BASE[Cod.Establecimiento],$B$2,BASE[CODCIE108],GUIA_NACIONAL_2022_1106128105107110207214216217236241242[[#This Row],[CIE-10]]))</f>
        <v>0</v>
      </c>
      <c r="BU48" s="3">
        <f>IF($B$2="(Todas)",COUNTIF(BASE[CODCIE1010],GUIA_NACIONAL_2022_1106128105107110207214216217236241242[[#This Row],[CIE-10]]),COUNTIFS(BASE[Cod.Establecimiento],$B$2,BASE[CODCIE1010],GUIA_NACIONAL_2022_1106128105107110207214216217236241242[[#This Row],[CIE-10]]))</f>
        <v>0</v>
      </c>
      <c r="BV48" s="9">
        <f>SUM(GUIA_NACIONAL_2022_1106128105107110207214216217236241242[[#This Row],[D1]:[D6]])</f>
        <v>0</v>
      </c>
      <c r="CG48" s="4" t="s">
        <v>751</v>
      </c>
      <c r="CH48" s="3">
        <f>IF($B$2="(Todas)",COUNTIF(BASE[CODCIE10],GUIA_NACIONAL_2022_1106128105107111115129130250251252253[[#This Row],[CIE-10]]),COUNTIFS(BASE[Cod.Establecimiento],$B$2,BASE[CODCIE10],GUIA_NACIONAL_2022_1106128105107111115129130250251252253[[#This Row],[CIE-10]]))</f>
        <v>0</v>
      </c>
      <c r="CI48" s="3">
        <f>IF($B$2="(Todas)",COUNTIF(BASE[CODCIE102],GUIA_NACIONAL_2022_1106128105107111115129130250251252253[[#This Row],[CIE-10]]),COUNTIFS(BASE[Cod.Establecimiento],$B$2,BASE[CODCIE102],GUIA_NACIONAL_2022_1106128105107111115129130250251252253[[#This Row],[CIE-10]]))</f>
        <v>0</v>
      </c>
      <c r="CJ48" s="3">
        <f>IF($B$2="(Todas)",COUNTIF(BASE[CODCIE104],GUIA_NACIONAL_2022_1106128105107111115129130250251252253[[#This Row],[CIE-10]]),COUNTIFS(BASE[Cod.Establecimiento],$B$2,BASE[CODCIE104],GUIA_NACIONAL_2022_1106128105107111115129130250251252253[[#This Row],[CIE-10]]))</f>
        <v>0</v>
      </c>
      <c r="CK48" s="3">
        <f>IF($B$2="(Todas)",COUNTIF(BASE[CODCIE106],GUIA_NACIONAL_2022_1106128105107111115129130250251252253[[#This Row],[CIE-10]]),COUNTIFS(BASE[Cod.Establecimiento],$B$2,BASE[CODCIE106],GUIA_NACIONAL_2022_1106128105107111115129130250251252253[[#This Row],[CIE-10]]))</f>
        <v>0</v>
      </c>
      <c r="CL48" s="3">
        <f>IF($B$2="(Todas)",COUNTIF(BASE[CODCIE108],GUIA_NACIONAL_2022_1106128105107111115129130250251252253[[#This Row],[CIE-10]]),COUNTIFS(BASE[Cod.Establecimiento],$B$2,BASE[CODCIE108],GUIA_NACIONAL_2022_1106128105107111115129130250251252253[[#This Row],[CIE-10]]))</f>
        <v>0</v>
      </c>
      <c r="CM48" s="3">
        <f>IF($B$2="(Todas)",COUNTIF(BASE[CODCIE1010],GUIA_NACIONAL_2022_1106128105107111115129130250251252253[[#This Row],[CIE-10]]),COUNTIFS(BASE[Cod.Establecimiento],$B$2,BASE[CODCIE1010],GUIA_NACIONAL_2022_1106128105107111115129130250251252253[[#This Row],[CIE-10]]))</f>
        <v>0</v>
      </c>
      <c r="CN48" s="9">
        <f>SUM(GUIA_NACIONAL_2022_1106128105107111115129130250251252253[[#This Row],[D1]:[D6]])</f>
        <v>0</v>
      </c>
    </row>
    <row r="49" spans="1:92" ht="15" customHeight="1">
      <c r="A49" s="74"/>
      <c r="B49" s="74"/>
      <c r="D49" s="4" t="s">
        <v>447</v>
      </c>
      <c r="E49" s="3">
        <f>IF($B$2="(Todas)",COUNTIF(BASE[CODCIE10],GUIA_NACIONAL_2022_1106112113116[[#This Row],[CIE-10]]),COUNTIFS(BASE[Cod.Establecimiento],$B$2,BASE[CODCIE10],GUIA_NACIONAL_2022_1106112113116[[#This Row],[CIE-10]]))</f>
        <v>0</v>
      </c>
      <c r="F49" s="3">
        <f>IF($B$2="(Todas)",COUNTIF(BASE[CODCIE102],GUIA_NACIONAL_2022_1106112113116[[#This Row],[CIE-10]]),COUNTIFS(BASE[Cod.Establecimiento],$B$2,BASE[CODCIE102],GUIA_NACIONAL_2022_1106112113116[[#This Row],[CIE-10]]))</f>
        <v>0</v>
      </c>
      <c r="G49" s="3">
        <f>IF($B$2="(Todas)",COUNTIF(BASE[CODCIE104],GUIA_NACIONAL_2022_1106112113116[[#This Row],[CIE-10]]),COUNTIFS(BASE[Cod.Establecimiento],$B$2,BASE[CODCIE104],GUIA_NACIONAL_2022_1106112113116[[#This Row],[CIE-10]]))</f>
        <v>0</v>
      </c>
      <c r="H49" s="3">
        <f>IF($B$2="(Todas)",COUNTIF(BASE[CODCIE106],GUIA_NACIONAL_2022_1106112113116[[#This Row],[CIE-10]]),COUNTIFS(BASE[Cod.Establecimiento],$B$2,BASE[CODCIE106],GUIA_NACIONAL_2022_1106112113116[[#This Row],[CIE-10]]))</f>
        <v>0</v>
      </c>
      <c r="I49" s="3">
        <f>IF($B$2="(Todas)",COUNTIF(BASE[CODCIE108],GUIA_NACIONAL_2022_1106112113116[[#This Row],[CIE-10]]),COUNTIFS(BASE[Cod.Establecimiento],$B$2,BASE[CODCIE108],GUIA_NACIONAL_2022_1106112113116[[#This Row],[CIE-10]]))</f>
        <v>0</v>
      </c>
      <c r="J49" s="3">
        <f>IF($B$2="(Todas)",COUNTIF(BASE[CODCIE1010],GUIA_NACIONAL_2022_1106112113116[[#This Row],[CIE-10]]),COUNTIFS(BASE[Cod.Establecimiento],$B$2,BASE[CODCIE1010],GUIA_NACIONAL_2022_1106112113116[[#This Row],[CIE-10]]))</f>
        <v>0</v>
      </c>
      <c r="K49" s="9">
        <f>SUM(GUIA_NACIONAL_2022_1106112113116[[#This Row],[D1]:[D6]])</f>
        <v>0</v>
      </c>
      <c r="V49" s="32" t="s">
        <v>105</v>
      </c>
      <c r="W49" s="3">
        <f>IF($B$2="(Todas)",COUNTIF(BASE[CODCIE10],GUIA_NACIONAL_2022_1106128143146150152[[#This Row],[CIE-10]]),COUNTIFS(BASE[Cod.Establecimiento],$B$2,BASE[CODCIE10],GUIA_NACIONAL_2022_1106128143146150152[[#This Row],[CIE-10]]))</f>
        <v>0</v>
      </c>
      <c r="X49" s="3">
        <f>IF($B$2="(Todas)",COUNTIF(BASE[CODCIE102],GUIA_NACIONAL_2022_1106128143146150152[[#This Row],[CIE-10]]),COUNTIFS(BASE[Cod.Establecimiento],$B$2,BASE[CODCIE102],GUIA_NACIONAL_2022_1106128143146150152[[#This Row],[CIE-10]]))</f>
        <v>0</v>
      </c>
      <c r="Y49" s="3">
        <f>IF($B$2="(Todas)",COUNTIF(BASE[CODCIE104],GUIA_NACIONAL_2022_1106128143146150152[[#This Row],[CIE-10]]),COUNTIFS(BASE[Cod.Establecimiento],$B$2,BASE[CODCIE104],GUIA_NACIONAL_2022_1106128143146150152[[#This Row],[CIE-10]]))</f>
        <v>0</v>
      </c>
      <c r="Z49" s="3">
        <f>IF($B$2="(Todas)",COUNTIF(BASE[CODCIE106],GUIA_NACIONAL_2022_1106128143146150152[[#This Row],[CIE-10]]),COUNTIFS(BASE[Cod.Establecimiento],$B$2,BASE[CODCIE106],GUIA_NACIONAL_2022_1106128143146150152[[#This Row],[CIE-10]]))</f>
        <v>0</v>
      </c>
      <c r="AA49" s="3">
        <f>IF($B$2="(Todas)",COUNTIF(BASE[CODCIE108],GUIA_NACIONAL_2022_1106128143146150152[[#This Row],[CIE-10]]),COUNTIFS(BASE[Cod.Establecimiento],$B$2,BASE[CODCIE108],GUIA_NACIONAL_2022_1106128143146150152[[#This Row],[CIE-10]]))</f>
        <v>0</v>
      </c>
      <c r="AB49" s="3">
        <f>IF($B$2="(Todas)",COUNTIF(BASE[CODCIE1010],GUIA_NACIONAL_2022_1106128143146150152[[#This Row],[CIE-10]]),COUNTIFS(BASE[Cod.Establecimiento],$B$2,BASE[CODCIE1010],GUIA_NACIONAL_2022_1106128143146150152[[#This Row],[CIE-10]]))</f>
        <v>0</v>
      </c>
      <c r="AC49" s="9">
        <f>SUM(GUIA_NACIONAL_2022_1106128143146150152[[#This Row],[D1]:[D6]])</f>
        <v>0</v>
      </c>
      <c r="AE49" s="150" t="s">
        <v>583</v>
      </c>
      <c r="AF49" s="150"/>
      <c r="AG49" s="150"/>
      <c r="AH49" s="150"/>
      <c r="AI49" s="150"/>
      <c r="AJ49" s="150"/>
      <c r="AK49" s="150"/>
      <c r="AL49" s="150"/>
      <c r="AN49" s="4" t="s">
        <v>636</v>
      </c>
      <c r="AO49" s="3">
        <f>IF($B$2="(Todas)",COUNTIF(BASE[CODCIE10],GUIA_NACIONAL_2022_1106128105168162195198202204205206[[#This Row],[CIE-10]]),COUNTIFS(BASE[Cod.Establecimiento],$B$2,BASE[CODCIE10],GUIA_NACIONAL_2022_1106128105168162195198202204205206[[#This Row],[CIE-10]]))</f>
        <v>0</v>
      </c>
      <c r="AP49" s="3">
        <f>IF($B$2="(Todas)",COUNTIF(BASE[CODCIE102],GUIA_NACIONAL_2022_1106128105168162195198202204205206[[#This Row],[CIE-10]]),COUNTIFS(BASE[Cod.Establecimiento],$B$2,BASE[CODCIE102],GUIA_NACIONAL_2022_1106128105168162195198202204205206[[#This Row],[CIE-10]]))</f>
        <v>0</v>
      </c>
      <c r="AQ49" s="3">
        <f>IF($B$2="(Todas)",COUNTIF(BASE[CODCIE104],GUIA_NACIONAL_2022_1106128105168162195198202204205206[[#This Row],[CIE-10]]),COUNTIFS(BASE[Cod.Establecimiento],$B$2,BASE[CODCIE104],GUIA_NACIONAL_2022_1106128105168162195198202204205206[[#This Row],[CIE-10]]))</f>
        <v>0</v>
      </c>
      <c r="AR49" s="3">
        <f>IF($B$2="(Todas)",COUNTIF(BASE[CODCIE106],GUIA_NACIONAL_2022_1106128105168162195198202204205206[[#This Row],[CIE-10]]),COUNTIFS(BASE[Cod.Establecimiento],$B$2,BASE[CODCIE106],GUIA_NACIONAL_2022_1106128105168162195198202204205206[[#This Row],[CIE-10]]))</f>
        <v>0</v>
      </c>
      <c r="AS49" s="3">
        <f>IF($B$2="(Todas)",COUNTIF(BASE[CODCIE108],GUIA_NACIONAL_2022_1106128105168162195198202204205206[[#This Row],[CIE-10]]),COUNTIFS(BASE[Cod.Establecimiento],$B$2,BASE[CODCIE108],GUIA_NACIONAL_2022_1106128105168162195198202204205206[[#This Row],[CIE-10]]))</f>
        <v>0</v>
      </c>
      <c r="AT49" s="3">
        <f>IF($B$2="(Todas)",COUNTIF(BASE[CODCIE1010],GUIA_NACIONAL_2022_1106128105168162195198202204205206[[#This Row],[CIE-10]]),COUNTIFS(BASE[Cod.Establecimiento],$B$2,BASE[CODCIE1010],GUIA_NACIONAL_2022_1106128105168162195198202204205206[[#This Row],[CIE-10]]))</f>
        <v>0</v>
      </c>
      <c r="AU49" s="9">
        <f>SUM(GUIA_NACIONAL_2022_1106128105168162195198202204205206[[#This Row],[D1]:[D6]])</f>
        <v>0</v>
      </c>
      <c r="BF49" t="s">
        <v>93</v>
      </c>
      <c r="BG49" s="3" t="s">
        <v>94</v>
      </c>
      <c r="BH49" s="3" t="s">
        <v>95</v>
      </c>
      <c r="BI49" s="3" t="s">
        <v>96</v>
      </c>
      <c r="BJ49" s="3" t="s">
        <v>97</v>
      </c>
      <c r="BK49" s="3" t="s">
        <v>98</v>
      </c>
      <c r="BL49" s="3" t="s">
        <v>99</v>
      </c>
      <c r="BM49" s="8" t="s">
        <v>100</v>
      </c>
      <c r="BO49" s="151" t="s">
        <v>701</v>
      </c>
      <c r="BP49" s="151"/>
      <c r="BQ49" s="151"/>
      <c r="BR49" s="151"/>
      <c r="BS49" s="151"/>
      <c r="BT49" s="151"/>
      <c r="BU49" s="151"/>
      <c r="BV49" s="151"/>
      <c r="CG49" s="4" t="s">
        <v>752</v>
      </c>
      <c r="CH49" s="3">
        <f>IF($B$2="(Todas)",COUNTIF(BASE[CODCIE10],GUIA_NACIONAL_2022_1106128105107111115129130250251252253[[#This Row],[CIE-10]]),COUNTIFS(BASE[Cod.Establecimiento],$B$2,BASE[CODCIE10],GUIA_NACIONAL_2022_1106128105107111115129130250251252253[[#This Row],[CIE-10]]))</f>
        <v>0</v>
      </c>
      <c r="CI49" s="3">
        <f>IF($B$2="(Todas)",COUNTIF(BASE[CODCIE102],GUIA_NACIONAL_2022_1106128105107111115129130250251252253[[#This Row],[CIE-10]]),COUNTIFS(BASE[Cod.Establecimiento],$B$2,BASE[CODCIE102],GUIA_NACIONAL_2022_1106128105107111115129130250251252253[[#This Row],[CIE-10]]))</f>
        <v>0</v>
      </c>
      <c r="CJ49" s="3">
        <f>IF($B$2="(Todas)",COUNTIF(BASE[CODCIE104],GUIA_NACIONAL_2022_1106128105107111115129130250251252253[[#This Row],[CIE-10]]),COUNTIFS(BASE[Cod.Establecimiento],$B$2,BASE[CODCIE104],GUIA_NACIONAL_2022_1106128105107111115129130250251252253[[#This Row],[CIE-10]]))</f>
        <v>0</v>
      </c>
      <c r="CK49" s="3">
        <f>IF($B$2="(Todas)",COUNTIF(BASE[CODCIE106],GUIA_NACIONAL_2022_1106128105107111115129130250251252253[[#This Row],[CIE-10]]),COUNTIFS(BASE[Cod.Establecimiento],$B$2,BASE[CODCIE106],GUIA_NACIONAL_2022_1106128105107111115129130250251252253[[#This Row],[CIE-10]]))</f>
        <v>0</v>
      </c>
      <c r="CL49" s="3">
        <f>IF($B$2="(Todas)",COUNTIF(BASE[CODCIE108],GUIA_NACIONAL_2022_1106128105107111115129130250251252253[[#This Row],[CIE-10]]),COUNTIFS(BASE[Cod.Establecimiento],$B$2,BASE[CODCIE108],GUIA_NACIONAL_2022_1106128105107111115129130250251252253[[#This Row],[CIE-10]]))</f>
        <v>0</v>
      </c>
      <c r="CM49" s="3">
        <f>IF($B$2="(Todas)",COUNTIF(BASE[CODCIE1010],GUIA_NACIONAL_2022_1106128105107111115129130250251252253[[#This Row],[CIE-10]]),COUNTIFS(BASE[Cod.Establecimiento],$B$2,BASE[CODCIE1010],GUIA_NACIONAL_2022_1106128105107111115129130250251252253[[#This Row],[CIE-10]]))</f>
        <v>0</v>
      </c>
      <c r="CN49" s="9">
        <f>SUM(GUIA_NACIONAL_2022_1106128105107111115129130250251252253[[#This Row],[D1]:[D6]])</f>
        <v>0</v>
      </c>
    </row>
    <row r="50" spans="1:92" ht="15" customHeight="1">
      <c r="A50" s="74"/>
      <c r="B50" s="74"/>
      <c r="D50" s="150" t="s">
        <v>448</v>
      </c>
      <c r="E50" s="150"/>
      <c r="F50" s="150"/>
      <c r="G50" s="150"/>
      <c r="H50" s="150"/>
      <c r="I50" s="150"/>
      <c r="J50" s="150"/>
      <c r="K50" s="150"/>
      <c r="V50" s="32" t="s">
        <v>107</v>
      </c>
      <c r="W50" s="3">
        <f>IF($B$2="(Todas)",COUNTIF(BASE[CODCIE10],GUIA_NACIONAL_2022_1106128143146150152[[#This Row],[CIE-10]]),COUNTIFS(BASE[Cod.Establecimiento],$B$2,BASE[CODCIE10],GUIA_NACIONAL_2022_1106128143146150152[[#This Row],[CIE-10]]))</f>
        <v>0</v>
      </c>
      <c r="X50" s="3">
        <f>IF($B$2="(Todas)",COUNTIF(BASE[CODCIE102],GUIA_NACIONAL_2022_1106128143146150152[[#This Row],[CIE-10]]),COUNTIFS(BASE[Cod.Establecimiento],$B$2,BASE[CODCIE102],GUIA_NACIONAL_2022_1106128143146150152[[#This Row],[CIE-10]]))</f>
        <v>0</v>
      </c>
      <c r="Y50" s="3">
        <f>IF($B$2="(Todas)",COUNTIF(BASE[CODCIE104],GUIA_NACIONAL_2022_1106128143146150152[[#This Row],[CIE-10]]),COUNTIFS(BASE[Cod.Establecimiento],$B$2,BASE[CODCIE104],GUIA_NACIONAL_2022_1106128143146150152[[#This Row],[CIE-10]]))</f>
        <v>0</v>
      </c>
      <c r="Z50" s="3">
        <f>IF($B$2="(Todas)",COUNTIF(BASE[CODCIE106],GUIA_NACIONAL_2022_1106128143146150152[[#This Row],[CIE-10]]),COUNTIFS(BASE[Cod.Establecimiento],$B$2,BASE[CODCIE106],GUIA_NACIONAL_2022_1106128143146150152[[#This Row],[CIE-10]]))</f>
        <v>0</v>
      </c>
      <c r="AA50" s="3">
        <f>IF($B$2="(Todas)",COUNTIF(BASE[CODCIE108],GUIA_NACIONAL_2022_1106128143146150152[[#This Row],[CIE-10]]),COUNTIFS(BASE[Cod.Establecimiento],$B$2,BASE[CODCIE108],GUIA_NACIONAL_2022_1106128143146150152[[#This Row],[CIE-10]]))</f>
        <v>0</v>
      </c>
      <c r="AB50" s="3">
        <f>IF($B$2="(Todas)",COUNTIF(BASE[CODCIE1010],GUIA_NACIONAL_2022_1106128143146150152[[#This Row],[CIE-10]]),COUNTIFS(BASE[Cod.Establecimiento],$B$2,BASE[CODCIE1010],GUIA_NACIONAL_2022_1106128143146150152[[#This Row],[CIE-10]]))</f>
        <v>0</v>
      </c>
      <c r="AC50" s="9">
        <f>SUM(GUIA_NACIONAL_2022_1106128143146150152[[#This Row],[D1]:[D6]])</f>
        <v>0</v>
      </c>
      <c r="AE50" t="s">
        <v>93</v>
      </c>
      <c r="AF50" s="3" t="s">
        <v>94</v>
      </c>
      <c r="AG50" s="3" t="s">
        <v>95</v>
      </c>
      <c r="AH50" s="3" t="s">
        <v>96</v>
      </c>
      <c r="AI50" s="3" t="s">
        <v>97</v>
      </c>
      <c r="AJ50" s="3" t="s">
        <v>98</v>
      </c>
      <c r="AK50" s="3" t="s">
        <v>99</v>
      </c>
      <c r="AL50" s="8" t="s">
        <v>100</v>
      </c>
      <c r="BF50" s="4" t="s">
        <v>676</v>
      </c>
      <c r="BG50" s="3">
        <f>IF($B$2="(Todas)",COUNTIF(BASE[CODCIE10],GUIA_NACIONAL_2022_1106128105107110207214216221222223[[#This Row],[CIE-10]]),COUNTIFS(BASE[Cod.Establecimiento],$B$2,BASE[CODCIE10],GUIA_NACIONAL_2022_1106128105107110207214216221222223[[#This Row],[CIE-10]]))</f>
        <v>0</v>
      </c>
      <c r="BH50" s="3">
        <f>IF($B$2="(Todas)",COUNTIF(BASE[CODCIE102],GUIA_NACIONAL_2022_1106128105107110207214216221222223[[#This Row],[CIE-10]]),COUNTIFS(BASE[Cod.Establecimiento],$B$2,BASE[CODCIE102],GUIA_NACIONAL_2022_1106128105107110207214216221222223[[#This Row],[CIE-10]]))</f>
        <v>0</v>
      </c>
      <c r="BI50" s="3">
        <f>IF($B$2="(Todas)",COUNTIF(BASE[CODCIE104],GUIA_NACIONAL_2022_1106128105107110207214216221222223[[#This Row],[CIE-10]]),COUNTIFS(BASE[Cod.Establecimiento],$B$2,BASE[CODCIE104],GUIA_NACIONAL_2022_1106128105107110207214216221222223[[#This Row],[CIE-10]]))</f>
        <v>0</v>
      </c>
      <c r="BJ50" s="3">
        <f>IF($B$2="(Todas)",COUNTIF(BASE[CODCIE106],GUIA_NACIONAL_2022_1106128105107110207214216221222223[[#This Row],[CIE-10]]),COUNTIFS(BASE[Cod.Establecimiento],$B$2,BASE[CODCIE106],GUIA_NACIONAL_2022_1106128105107110207214216221222223[[#This Row],[CIE-10]]))</f>
        <v>0</v>
      </c>
      <c r="BK50" s="3">
        <f>IF($B$2="(Todas)",COUNTIF(BASE[CODCIE108],GUIA_NACIONAL_2022_1106128105107110207214216221222223[[#This Row],[CIE-10]]),COUNTIFS(BASE[Cod.Establecimiento],$B$2,BASE[CODCIE108],GUIA_NACIONAL_2022_1106128105107110207214216221222223[[#This Row],[CIE-10]]))</f>
        <v>0</v>
      </c>
      <c r="BL50" s="3">
        <f>IF($B$2="(Todas)",COUNTIF(BASE[CODCIE1010],GUIA_NACIONAL_2022_1106128105107110207214216221222223[[#This Row],[CIE-10]]),COUNTIFS(BASE[Cod.Establecimiento],$B$2,BASE[CODCIE1010],GUIA_NACIONAL_2022_1106128105107110207214216221222223[[#This Row],[CIE-10]]))</f>
        <v>0</v>
      </c>
      <c r="BM50" s="9">
        <f>SUM(GUIA_NACIONAL_2022_1106128105107110207214216221222223[[#This Row],[D1]:[D6]])</f>
        <v>0</v>
      </c>
      <c r="BO50" s="150" t="s">
        <v>707</v>
      </c>
      <c r="BP50" s="150"/>
      <c r="BQ50" s="150"/>
      <c r="BR50" s="150"/>
      <c r="BS50" s="150"/>
      <c r="BT50" s="150"/>
      <c r="BU50" s="150"/>
      <c r="BV50" s="150"/>
      <c r="CG50" s="4" t="s">
        <v>753</v>
      </c>
      <c r="CH50" s="3">
        <f>IF($B$2="(Todas)",COUNTIF(BASE[CODCIE10],GUIA_NACIONAL_2022_1106128105107111115129130250251252253[[#This Row],[CIE-10]]),COUNTIFS(BASE[Cod.Establecimiento],$B$2,BASE[CODCIE10],GUIA_NACIONAL_2022_1106128105107111115129130250251252253[[#This Row],[CIE-10]]))</f>
        <v>0</v>
      </c>
      <c r="CI50" s="3">
        <f>IF($B$2="(Todas)",COUNTIF(BASE[CODCIE102],GUIA_NACIONAL_2022_1106128105107111115129130250251252253[[#This Row],[CIE-10]]),COUNTIFS(BASE[Cod.Establecimiento],$B$2,BASE[CODCIE102],GUIA_NACIONAL_2022_1106128105107111115129130250251252253[[#This Row],[CIE-10]]))</f>
        <v>0</v>
      </c>
      <c r="CJ50" s="3">
        <f>IF($B$2="(Todas)",COUNTIF(BASE[CODCIE104],GUIA_NACIONAL_2022_1106128105107111115129130250251252253[[#This Row],[CIE-10]]),COUNTIFS(BASE[Cod.Establecimiento],$B$2,BASE[CODCIE104],GUIA_NACIONAL_2022_1106128105107111115129130250251252253[[#This Row],[CIE-10]]))</f>
        <v>0</v>
      </c>
      <c r="CK50" s="3">
        <f>IF($B$2="(Todas)",COUNTIF(BASE[CODCIE106],GUIA_NACIONAL_2022_1106128105107111115129130250251252253[[#This Row],[CIE-10]]),COUNTIFS(BASE[Cod.Establecimiento],$B$2,BASE[CODCIE106],GUIA_NACIONAL_2022_1106128105107111115129130250251252253[[#This Row],[CIE-10]]))</f>
        <v>0</v>
      </c>
      <c r="CL50" s="3">
        <f>IF($B$2="(Todas)",COUNTIF(BASE[CODCIE108],GUIA_NACIONAL_2022_1106128105107111115129130250251252253[[#This Row],[CIE-10]]),COUNTIFS(BASE[Cod.Establecimiento],$B$2,BASE[CODCIE108],GUIA_NACIONAL_2022_1106128105107111115129130250251252253[[#This Row],[CIE-10]]))</f>
        <v>0</v>
      </c>
      <c r="CM50" s="3">
        <f>IF($B$2="(Todas)",COUNTIF(BASE[CODCIE1010],GUIA_NACIONAL_2022_1106128105107111115129130250251252253[[#This Row],[CIE-10]]),COUNTIFS(BASE[Cod.Establecimiento],$B$2,BASE[CODCIE1010],GUIA_NACIONAL_2022_1106128105107111115129130250251252253[[#This Row],[CIE-10]]))</f>
        <v>0</v>
      </c>
      <c r="CN50" s="9">
        <f>SUM(GUIA_NACIONAL_2022_1106128105107111115129130250251252253[[#This Row],[D1]:[D6]])</f>
        <v>0</v>
      </c>
    </row>
    <row r="51" spans="1:92" ht="15" customHeight="1">
      <c r="A51" s="74"/>
      <c r="B51" s="74"/>
      <c r="D51" t="s">
        <v>93</v>
      </c>
      <c r="E51" s="3" t="s">
        <v>94</v>
      </c>
      <c r="F51" s="3" t="s">
        <v>95</v>
      </c>
      <c r="G51" s="3" t="s">
        <v>96</v>
      </c>
      <c r="H51" s="3" t="s">
        <v>97</v>
      </c>
      <c r="I51" s="3" t="s">
        <v>98</v>
      </c>
      <c r="J51" s="3" t="s">
        <v>99</v>
      </c>
      <c r="K51" s="8" t="s">
        <v>100</v>
      </c>
      <c r="V51" s="32" t="s">
        <v>109</v>
      </c>
      <c r="W51" s="3">
        <f>IF($B$2="(Todas)",COUNTIF(BASE[CODCIE10],GUIA_NACIONAL_2022_1106128143146150152[[#This Row],[CIE-10]]),COUNTIFS(BASE[Cod.Establecimiento],$B$2,BASE[CODCIE10],GUIA_NACIONAL_2022_1106128143146150152[[#This Row],[CIE-10]]))</f>
        <v>0</v>
      </c>
      <c r="X51" s="3">
        <f>IF($B$2="(Todas)",COUNTIF(BASE[CODCIE102],GUIA_NACIONAL_2022_1106128143146150152[[#This Row],[CIE-10]]),COUNTIFS(BASE[Cod.Establecimiento],$B$2,BASE[CODCIE102],GUIA_NACIONAL_2022_1106128143146150152[[#This Row],[CIE-10]]))</f>
        <v>0</v>
      </c>
      <c r="Y51" s="3">
        <f>IF($B$2="(Todas)",COUNTIF(BASE[CODCIE104],GUIA_NACIONAL_2022_1106128143146150152[[#This Row],[CIE-10]]),COUNTIFS(BASE[Cod.Establecimiento],$B$2,BASE[CODCIE104],GUIA_NACIONAL_2022_1106128143146150152[[#This Row],[CIE-10]]))</f>
        <v>0</v>
      </c>
      <c r="Z51" s="3">
        <f>IF($B$2="(Todas)",COUNTIF(BASE[CODCIE106],GUIA_NACIONAL_2022_1106128143146150152[[#This Row],[CIE-10]]),COUNTIFS(BASE[Cod.Establecimiento],$B$2,BASE[CODCIE106],GUIA_NACIONAL_2022_1106128143146150152[[#This Row],[CIE-10]]))</f>
        <v>0</v>
      </c>
      <c r="AA51" s="3">
        <f>IF($B$2="(Todas)",COUNTIF(BASE[CODCIE108],GUIA_NACIONAL_2022_1106128143146150152[[#This Row],[CIE-10]]),COUNTIFS(BASE[Cod.Establecimiento],$B$2,BASE[CODCIE108],GUIA_NACIONAL_2022_1106128143146150152[[#This Row],[CIE-10]]))</f>
        <v>0</v>
      </c>
      <c r="AB51" s="3">
        <f>IF($B$2="(Todas)",COUNTIF(BASE[CODCIE1010],GUIA_NACIONAL_2022_1106128143146150152[[#This Row],[CIE-10]]),COUNTIFS(BASE[Cod.Establecimiento],$B$2,BASE[CODCIE1010],GUIA_NACIONAL_2022_1106128143146150152[[#This Row],[CIE-10]]))</f>
        <v>0</v>
      </c>
      <c r="AC51" s="9">
        <f>SUM(GUIA_NACIONAL_2022_1106128143146150152[[#This Row],[D1]:[D6]])</f>
        <v>0</v>
      </c>
      <c r="AE51" s="4" t="s">
        <v>584</v>
      </c>
      <c r="AF51" s="3">
        <f>IF($B$2="(Todas)",COUNTIF(BASE[CODCIE10],GUIA_NACIONAL_2022_1106128105168175177[[#This Row],[CIE-10]]),COUNTIFS(BASE[Cod.Establecimiento],$B$2,BASE[CODCIE10],GUIA_NACIONAL_2022_1106128105168175177[[#This Row],[CIE-10]]))</f>
        <v>0</v>
      </c>
      <c r="AG51" s="3">
        <f>IF($B$2="(Todas)",COUNTIF(BASE[CODCIE102],GUIA_NACIONAL_2022_1106128105168175177[[#This Row],[CIE-10]]),COUNTIFS(BASE[Cod.Establecimiento],$B$2,BASE[CODCIE102],GUIA_NACIONAL_2022_1106128105168175177[[#This Row],[CIE-10]]))</f>
        <v>0</v>
      </c>
      <c r="AH51" s="3">
        <f>IF($B$2="(Todas)",COUNTIF(BASE[CODCIE104],GUIA_NACIONAL_2022_1106128105168175177[[#This Row],[CIE-10]]),COUNTIFS(BASE[Cod.Establecimiento],$B$2,BASE[CODCIE104],GUIA_NACIONAL_2022_1106128105168175177[[#This Row],[CIE-10]]))</f>
        <v>0</v>
      </c>
      <c r="AI51" s="3">
        <f>IF($B$2="(Todas)",COUNTIF(BASE[CODCIE106],GUIA_NACIONAL_2022_1106128105168175177[[#This Row],[CIE-10]]),COUNTIFS(BASE[Cod.Establecimiento],$B$2,BASE[CODCIE106],GUIA_NACIONAL_2022_1106128105168175177[[#This Row],[CIE-10]]))</f>
        <v>0</v>
      </c>
      <c r="AJ51" s="3">
        <f>IF($B$2="(Todas)",COUNTIF(BASE[CODCIE108],GUIA_NACIONAL_2022_1106128105168175177[[#This Row],[CIE-10]]),COUNTIFS(BASE[Cod.Establecimiento],$B$2,BASE[CODCIE108],GUIA_NACIONAL_2022_1106128105168175177[[#This Row],[CIE-10]]))</f>
        <v>0</v>
      </c>
      <c r="AK51" s="3">
        <f>IF($B$2="(Todas)",COUNTIF(BASE[CODCIE1010],GUIA_NACIONAL_2022_1106128105168175177[[#This Row],[CIE-10]]),COUNTIFS(BASE[Cod.Establecimiento],$B$2,BASE[CODCIE1010],GUIA_NACIONAL_2022_1106128105168175177[[#This Row],[CIE-10]]))</f>
        <v>0</v>
      </c>
      <c r="AL51" s="9">
        <f>SUM(GUIA_NACIONAL_2022_1106128105168175177[[#This Row],[D1]:[D6]])</f>
        <v>0</v>
      </c>
      <c r="BF51" s="150" t="s">
        <v>677</v>
      </c>
      <c r="BG51" s="150"/>
      <c r="BH51" s="150"/>
      <c r="BI51" s="150"/>
      <c r="BJ51" s="150"/>
      <c r="BK51" s="150"/>
      <c r="BL51" s="150"/>
      <c r="BM51" s="150"/>
      <c r="BO51" t="s">
        <v>93</v>
      </c>
      <c r="BP51" s="3" t="s">
        <v>94</v>
      </c>
      <c r="BQ51" s="3" t="s">
        <v>95</v>
      </c>
      <c r="BR51" s="3" t="s">
        <v>96</v>
      </c>
      <c r="BS51" s="3" t="s">
        <v>97</v>
      </c>
      <c r="BT51" s="3" t="s">
        <v>98</v>
      </c>
      <c r="BU51" s="3" t="s">
        <v>99</v>
      </c>
      <c r="BV51" s="8" t="s">
        <v>100</v>
      </c>
      <c r="CG51" s="4" t="s">
        <v>754</v>
      </c>
      <c r="CH51" s="3">
        <f>IF($B$2="(Todas)",COUNTIF(BASE[CODCIE10],GUIA_NACIONAL_2022_1106128105107111115129130250251252253[[#This Row],[CIE-10]]),COUNTIFS(BASE[Cod.Establecimiento],$B$2,BASE[CODCIE10],GUIA_NACIONAL_2022_1106128105107111115129130250251252253[[#This Row],[CIE-10]]))</f>
        <v>0</v>
      </c>
      <c r="CI51" s="3">
        <f>IF($B$2="(Todas)",COUNTIF(BASE[CODCIE102],GUIA_NACIONAL_2022_1106128105107111115129130250251252253[[#This Row],[CIE-10]]),COUNTIFS(BASE[Cod.Establecimiento],$B$2,BASE[CODCIE102],GUIA_NACIONAL_2022_1106128105107111115129130250251252253[[#This Row],[CIE-10]]))</f>
        <v>0</v>
      </c>
      <c r="CJ51" s="3">
        <f>IF($B$2="(Todas)",COUNTIF(BASE[CODCIE104],GUIA_NACIONAL_2022_1106128105107111115129130250251252253[[#This Row],[CIE-10]]),COUNTIFS(BASE[Cod.Establecimiento],$B$2,BASE[CODCIE104],GUIA_NACIONAL_2022_1106128105107111115129130250251252253[[#This Row],[CIE-10]]))</f>
        <v>0</v>
      </c>
      <c r="CK51" s="3">
        <f>IF($B$2="(Todas)",COUNTIF(BASE[CODCIE106],GUIA_NACIONAL_2022_1106128105107111115129130250251252253[[#This Row],[CIE-10]]),COUNTIFS(BASE[Cod.Establecimiento],$B$2,BASE[CODCIE106],GUIA_NACIONAL_2022_1106128105107111115129130250251252253[[#This Row],[CIE-10]]))</f>
        <v>0</v>
      </c>
      <c r="CL51" s="3">
        <f>IF($B$2="(Todas)",COUNTIF(BASE[CODCIE108],GUIA_NACIONAL_2022_1106128105107111115129130250251252253[[#This Row],[CIE-10]]),COUNTIFS(BASE[Cod.Establecimiento],$B$2,BASE[CODCIE108],GUIA_NACIONAL_2022_1106128105107111115129130250251252253[[#This Row],[CIE-10]]))</f>
        <v>0</v>
      </c>
      <c r="CM51" s="3">
        <f>IF($B$2="(Todas)",COUNTIF(BASE[CODCIE1010],GUIA_NACIONAL_2022_1106128105107111115129130250251252253[[#This Row],[CIE-10]]),COUNTIFS(BASE[Cod.Establecimiento],$B$2,BASE[CODCIE1010],GUIA_NACIONAL_2022_1106128105107111115129130250251252253[[#This Row],[CIE-10]]))</f>
        <v>0</v>
      </c>
      <c r="CN51" s="9">
        <f>SUM(GUIA_NACIONAL_2022_1106128105107111115129130250251252253[[#This Row],[D1]:[D6]])</f>
        <v>0</v>
      </c>
    </row>
    <row r="52" spans="1:92" ht="15" customHeight="1">
      <c r="A52" s="74"/>
      <c r="B52" s="74"/>
      <c r="D52" s="4" t="s">
        <v>449</v>
      </c>
      <c r="E52" s="3">
        <f>IF($B$2="(Todas)",COUNTIF(BASE[CODCIE10],GUIA_NACIONAL_2022_1106112113116117[[#This Row],[CIE-10]]),COUNTIFS(BASE[Cod.Establecimiento],$B$2,BASE[CODCIE10],GUIA_NACIONAL_2022_1106112113116117[[#This Row],[CIE-10]]))</f>
        <v>0</v>
      </c>
      <c r="F52" s="3">
        <f>IF($B$2="(Todas)",COUNTIF(BASE[CODCIE102],GUIA_NACIONAL_2022_1106112113116117[[#This Row],[CIE-10]]),COUNTIFS(BASE[Cod.Establecimiento],$B$2,BASE[CODCIE102],GUIA_NACIONAL_2022_1106112113116117[[#This Row],[CIE-10]]))</f>
        <v>0</v>
      </c>
      <c r="G52" s="3">
        <f>IF($B$2="(Todas)",COUNTIF(BASE[CODCIE104],GUIA_NACIONAL_2022_1106112113116117[[#This Row],[CIE-10]]),COUNTIFS(BASE[Cod.Establecimiento],$B$2,BASE[CODCIE104],GUIA_NACIONAL_2022_1106112113116117[[#This Row],[CIE-10]]))</f>
        <v>0</v>
      </c>
      <c r="H52" s="3">
        <f>IF($B$2="(Todas)",COUNTIF(BASE[CODCIE106],GUIA_NACIONAL_2022_1106112113116117[[#This Row],[CIE-10]]),COUNTIFS(BASE[Cod.Establecimiento],$B$2,BASE[CODCIE106],GUIA_NACIONAL_2022_1106112113116117[[#This Row],[CIE-10]]))</f>
        <v>0</v>
      </c>
      <c r="I52" s="3">
        <f>IF($B$2="(Todas)",COUNTIF(BASE[CODCIE108],GUIA_NACIONAL_2022_1106112113116117[[#This Row],[CIE-10]]),COUNTIFS(BASE[Cod.Establecimiento],$B$2,BASE[CODCIE108],GUIA_NACIONAL_2022_1106112113116117[[#This Row],[CIE-10]]))</f>
        <v>0</v>
      </c>
      <c r="J52" s="3">
        <f>IF($B$2="(Todas)",COUNTIF(BASE[CODCIE1010],GUIA_NACIONAL_2022_1106112113116117[[#This Row],[CIE-10]]),COUNTIFS(BASE[Cod.Establecimiento],$B$2,BASE[CODCIE1010],GUIA_NACIONAL_2022_1106112113116117[[#This Row],[CIE-10]]))</f>
        <v>0</v>
      </c>
      <c r="K52" s="9">
        <f>SUM(GUIA_NACIONAL_2022_1106112113116117[[#This Row],[D1]:[D6]])</f>
        <v>0</v>
      </c>
      <c r="V52" s="32" t="s">
        <v>112</v>
      </c>
      <c r="W52" s="3">
        <f>IF($B$2="(Todas)",COUNTIF(BASE[CODCIE10],GUIA_NACIONAL_2022_1106128143146150152[[#This Row],[CIE-10]]),COUNTIFS(BASE[Cod.Establecimiento],$B$2,BASE[CODCIE10],GUIA_NACIONAL_2022_1106128143146150152[[#This Row],[CIE-10]]))</f>
        <v>0</v>
      </c>
      <c r="X52" s="3">
        <f>IF($B$2="(Todas)",COUNTIF(BASE[CODCIE102],GUIA_NACIONAL_2022_1106128143146150152[[#This Row],[CIE-10]]),COUNTIFS(BASE[Cod.Establecimiento],$B$2,BASE[CODCIE102],GUIA_NACIONAL_2022_1106128143146150152[[#This Row],[CIE-10]]))</f>
        <v>0</v>
      </c>
      <c r="Y52" s="3">
        <f>IF($B$2="(Todas)",COUNTIF(BASE[CODCIE104],GUIA_NACIONAL_2022_1106128143146150152[[#This Row],[CIE-10]]),COUNTIFS(BASE[Cod.Establecimiento],$B$2,BASE[CODCIE104],GUIA_NACIONAL_2022_1106128143146150152[[#This Row],[CIE-10]]))</f>
        <v>0</v>
      </c>
      <c r="Z52" s="3">
        <f>IF($B$2="(Todas)",COUNTIF(BASE[CODCIE106],GUIA_NACIONAL_2022_1106128143146150152[[#This Row],[CIE-10]]),COUNTIFS(BASE[Cod.Establecimiento],$B$2,BASE[CODCIE106],GUIA_NACIONAL_2022_1106128143146150152[[#This Row],[CIE-10]]))</f>
        <v>0</v>
      </c>
      <c r="AA52" s="3">
        <f>IF($B$2="(Todas)",COUNTIF(BASE[CODCIE108],GUIA_NACIONAL_2022_1106128143146150152[[#This Row],[CIE-10]]),COUNTIFS(BASE[Cod.Establecimiento],$B$2,BASE[CODCIE108],GUIA_NACIONAL_2022_1106128143146150152[[#This Row],[CIE-10]]))</f>
        <v>0</v>
      </c>
      <c r="AB52" s="3">
        <f>IF($B$2="(Todas)",COUNTIF(BASE[CODCIE1010],GUIA_NACIONAL_2022_1106128143146150152[[#This Row],[CIE-10]]),COUNTIFS(BASE[Cod.Establecimiento],$B$2,BASE[CODCIE1010],GUIA_NACIONAL_2022_1106128143146150152[[#This Row],[CIE-10]]))</f>
        <v>0</v>
      </c>
      <c r="AC52" s="9">
        <f>SUM(GUIA_NACIONAL_2022_1106128143146150152[[#This Row],[D1]:[D6]])</f>
        <v>0</v>
      </c>
      <c r="AE52" s="150" t="s">
        <v>585</v>
      </c>
      <c r="AF52" s="150"/>
      <c r="AG52" s="150"/>
      <c r="AH52" s="150"/>
      <c r="AI52" s="150"/>
      <c r="AJ52" s="150"/>
      <c r="AK52" s="150"/>
      <c r="AL52" s="150"/>
      <c r="BF52" t="s">
        <v>93</v>
      </c>
      <c r="BG52" s="3" t="s">
        <v>94</v>
      </c>
      <c r="BH52" s="3" t="s">
        <v>95</v>
      </c>
      <c r="BI52" s="3" t="s">
        <v>96</v>
      </c>
      <c r="BJ52" s="3" t="s">
        <v>97</v>
      </c>
      <c r="BK52" s="3" t="s">
        <v>98</v>
      </c>
      <c r="BL52" s="3" t="s">
        <v>99</v>
      </c>
      <c r="BM52" s="8" t="s">
        <v>100</v>
      </c>
      <c r="BO52" s="4" t="s">
        <v>348</v>
      </c>
      <c r="BP52" s="3">
        <f>IF($B$2="(Todas)",COUNTIF(BASE[CODCIE10],GUIA_NACIONAL_2022_1106128105107111115243[[#This Row],[CIE-10]]),COUNTIFS(BASE[Cod.Establecimiento],$B$2,BASE[CODCIE10],GUIA_NACIONAL_2022_1106128105107111115243[[#This Row],[CIE-10]]))</f>
        <v>0</v>
      </c>
      <c r="BQ52" s="3">
        <f>IF($B$2="(Todas)",COUNTIF(BASE[CODCIE102],GUIA_NACIONAL_2022_1106128105107111115243[[#This Row],[CIE-10]]),COUNTIFS(BASE[Cod.Establecimiento],$B$2,BASE[CODCIE102],GUIA_NACIONAL_2022_1106128105107111115243[[#This Row],[CIE-10]]))</f>
        <v>0</v>
      </c>
      <c r="BR52" s="3">
        <f>IF($B$2="(Todas)",COUNTIF(BASE[CODCIE104],GUIA_NACIONAL_2022_1106128105107111115243[[#This Row],[CIE-10]]),COUNTIFS(BASE[Cod.Establecimiento],$B$2,BASE[CODCIE104],GUIA_NACIONAL_2022_1106128105107111115243[[#This Row],[CIE-10]]))</f>
        <v>0</v>
      </c>
      <c r="BS52" s="3">
        <f>IF($B$2="(Todas)",COUNTIF(BASE[CODCIE106],GUIA_NACIONAL_2022_1106128105107111115243[[#This Row],[CIE-10]]),COUNTIFS(BASE[Cod.Establecimiento],$B$2,BASE[CODCIE106],GUIA_NACIONAL_2022_1106128105107111115243[[#This Row],[CIE-10]]))</f>
        <v>0</v>
      </c>
      <c r="BT52" s="3">
        <f>IF($B$2="(Todas)",COUNTIF(BASE[CODCIE108],GUIA_NACIONAL_2022_1106128105107111115243[[#This Row],[CIE-10]]),COUNTIFS(BASE[Cod.Establecimiento],$B$2,BASE[CODCIE108],GUIA_NACIONAL_2022_1106128105107111115243[[#This Row],[CIE-10]]))</f>
        <v>0</v>
      </c>
      <c r="BU52" s="3">
        <f>IF($B$2="(Todas)",COUNTIF(BASE[CODCIE1010],GUIA_NACIONAL_2022_1106128105107111115243[[#This Row],[CIE-10]]),COUNTIFS(BASE[Cod.Establecimiento],$B$2,BASE[CODCIE1010],GUIA_NACIONAL_2022_1106128105107111115243[[#This Row],[CIE-10]]))</f>
        <v>0</v>
      </c>
      <c r="BV52" s="9">
        <f>SUM(GUIA_NACIONAL_2022_1106128105107111115243[[#This Row],[D1]:[D6]])</f>
        <v>0</v>
      </c>
      <c r="CG52" s="4" t="s">
        <v>755</v>
      </c>
      <c r="CH52" s="3">
        <f>IF($B$2="(Todas)",COUNTIF(BASE[CODCIE10],GUIA_NACIONAL_2022_1106128105107111115129130250251252253[[#This Row],[CIE-10]]),COUNTIFS(BASE[Cod.Establecimiento],$B$2,BASE[CODCIE10],GUIA_NACIONAL_2022_1106128105107111115129130250251252253[[#This Row],[CIE-10]]))</f>
        <v>0</v>
      </c>
      <c r="CI52" s="3">
        <f>IF($B$2="(Todas)",COUNTIF(BASE[CODCIE102],GUIA_NACIONAL_2022_1106128105107111115129130250251252253[[#This Row],[CIE-10]]),COUNTIFS(BASE[Cod.Establecimiento],$B$2,BASE[CODCIE102],GUIA_NACIONAL_2022_1106128105107111115129130250251252253[[#This Row],[CIE-10]]))</f>
        <v>0</v>
      </c>
      <c r="CJ52" s="3">
        <f>IF($B$2="(Todas)",COUNTIF(BASE[CODCIE104],GUIA_NACIONAL_2022_1106128105107111115129130250251252253[[#This Row],[CIE-10]]),COUNTIFS(BASE[Cod.Establecimiento],$B$2,BASE[CODCIE104],GUIA_NACIONAL_2022_1106128105107111115129130250251252253[[#This Row],[CIE-10]]))</f>
        <v>0</v>
      </c>
      <c r="CK52" s="3">
        <f>IF($B$2="(Todas)",COUNTIF(BASE[CODCIE106],GUIA_NACIONAL_2022_1106128105107111115129130250251252253[[#This Row],[CIE-10]]),COUNTIFS(BASE[Cod.Establecimiento],$B$2,BASE[CODCIE106],GUIA_NACIONAL_2022_1106128105107111115129130250251252253[[#This Row],[CIE-10]]))</f>
        <v>0</v>
      </c>
      <c r="CL52" s="3">
        <f>IF($B$2="(Todas)",COUNTIF(BASE[CODCIE108],GUIA_NACIONAL_2022_1106128105107111115129130250251252253[[#This Row],[CIE-10]]),COUNTIFS(BASE[Cod.Establecimiento],$B$2,BASE[CODCIE108],GUIA_NACIONAL_2022_1106128105107111115129130250251252253[[#This Row],[CIE-10]]))</f>
        <v>0</v>
      </c>
      <c r="CM52" s="3">
        <f>IF($B$2="(Todas)",COUNTIF(BASE[CODCIE1010],GUIA_NACIONAL_2022_1106128105107111115129130250251252253[[#This Row],[CIE-10]]),COUNTIFS(BASE[Cod.Establecimiento],$B$2,BASE[CODCIE1010],GUIA_NACIONAL_2022_1106128105107111115129130250251252253[[#This Row],[CIE-10]]))</f>
        <v>0</v>
      </c>
      <c r="CN52" s="9">
        <f>SUM(GUIA_NACIONAL_2022_1106128105107111115129130250251252253[[#This Row],[D1]:[D6]])</f>
        <v>0</v>
      </c>
    </row>
    <row r="53" spans="1:92" ht="15" customHeight="1">
      <c r="A53" s="74"/>
      <c r="B53" s="74"/>
      <c r="D53" s="150" t="s">
        <v>450</v>
      </c>
      <c r="E53" s="150"/>
      <c r="F53" s="150"/>
      <c r="G53" s="150"/>
      <c r="H53" s="150"/>
      <c r="I53" s="150"/>
      <c r="J53" s="150"/>
      <c r="K53" s="150"/>
      <c r="V53" s="149" t="s">
        <v>542</v>
      </c>
      <c r="W53" s="150"/>
      <c r="X53" s="150"/>
      <c r="Y53" s="150"/>
      <c r="Z53" s="150"/>
      <c r="AA53" s="150"/>
      <c r="AB53" s="150"/>
      <c r="AC53" s="150"/>
      <c r="AE53" t="s">
        <v>93</v>
      </c>
      <c r="AF53" s="3" t="s">
        <v>94</v>
      </c>
      <c r="AG53" s="3" t="s">
        <v>95</v>
      </c>
      <c r="AH53" s="3" t="s">
        <v>96</v>
      </c>
      <c r="AI53" s="3" t="s">
        <v>97</v>
      </c>
      <c r="AJ53" s="3" t="s">
        <v>98</v>
      </c>
      <c r="AK53" s="3" t="s">
        <v>99</v>
      </c>
      <c r="AL53" s="8" t="s">
        <v>100</v>
      </c>
      <c r="BF53" s="4" t="s">
        <v>262</v>
      </c>
      <c r="BG53" s="3">
        <f>IF($B$2="(Todas)",COUNTIF(BASE[CODCIE10],GUIA_NACIONAL_2022_1106128105107110207214216221222223224[[#This Row],[CIE-10]]),COUNTIFS(BASE[Cod.Establecimiento],$B$2,BASE[CODCIE10],GUIA_NACIONAL_2022_1106128105107110207214216221222223224[[#This Row],[CIE-10]]))</f>
        <v>0</v>
      </c>
      <c r="BH53" s="3">
        <f>IF($B$2="(Todas)",COUNTIF(BASE[CODCIE102],GUIA_NACIONAL_2022_1106128105107110207214216221222223224[[#This Row],[CIE-10]]),COUNTIFS(BASE[Cod.Establecimiento],$B$2,BASE[CODCIE102],GUIA_NACIONAL_2022_1106128105107110207214216221222223224[[#This Row],[CIE-10]]))</f>
        <v>0</v>
      </c>
      <c r="BI53" s="3">
        <f>IF($B$2="(Todas)",COUNTIF(BASE[CODCIE104],GUIA_NACIONAL_2022_1106128105107110207214216221222223224[[#This Row],[CIE-10]]),COUNTIFS(BASE[Cod.Establecimiento],$B$2,BASE[CODCIE104],GUIA_NACIONAL_2022_1106128105107110207214216221222223224[[#This Row],[CIE-10]]))</f>
        <v>0</v>
      </c>
      <c r="BJ53" s="3">
        <f>IF($B$2="(Todas)",COUNTIF(BASE[CODCIE106],GUIA_NACIONAL_2022_1106128105107110207214216221222223224[[#This Row],[CIE-10]]),COUNTIFS(BASE[Cod.Establecimiento],$B$2,BASE[CODCIE106],GUIA_NACIONAL_2022_1106128105107110207214216221222223224[[#This Row],[CIE-10]]))</f>
        <v>0</v>
      </c>
      <c r="BK53" s="3">
        <f>IF($B$2="(Todas)",COUNTIF(BASE[CODCIE108],GUIA_NACIONAL_2022_1106128105107110207214216221222223224[[#This Row],[CIE-10]]),COUNTIFS(BASE[Cod.Establecimiento],$B$2,BASE[CODCIE108],GUIA_NACIONAL_2022_1106128105107110207214216221222223224[[#This Row],[CIE-10]]))</f>
        <v>0</v>
      </c>
      <c r="BL53" s="3">
        <f>IF($B$2="(Todas)",COUNTIF(BASE[CODCIE1010],GUIA_NACIONAL_2022_1106128105107110207214216221222223224[[#This Row],[CIE-10]]),COUNTIFS(BASE[Cod.Establecimiento],$B$2,BASE[CODCIE1010],GUIA_NACIONAL_2022_1106128105107110207214216221222223224[[#This Row],[CIE-10]]))</f>
        <v>0</v>
      </c>
      <c r="BM53" s="9">
        <f>SUM(GUIA_NACIONAL_2022_1106128105107110207214216221222223224[[#This Row],[D1]:[D6]])</f>
        <v>0</v>
      </c>
      <c r="BO53" s="150" t="s">
        <v>706</v>
      </c>
      <c r="BP53" s="150"/>
      <c r="BQ53" s="150"/>
      <c r="BR53" s="150"/>
      <c r="BS53" s="150"/>
      <c r="BT53" s="150"/>
      <c r="BU53" s="150"/>
      <c r="BV53" s="150"/>
      <c r="CG53" s="4" t="s">
        <v>756</v>
      </c>
      <c r="CH53" s="3">
        <f>IF($B$2="(Todas)",COUNTIF(BASE[CODCIE10],GUIA_NACIONAL_2022_1106128105107111115129130250251252253[[#This Row],[CIE-10]]),COUNTIFS(BASE[Cod.Establecimiento],$B$2,BASE[CODCIE10],GUIA_NACIONAL_2022_1106128105107111115129130250251252253[[#This Row],[CIE-10]]))</f>
        <v>0</v>
      </c>
      <c r="CI53" s="3">
        <f>IF($B$2="(Todas)",COUNTIF(BASE[CODCIE102],GUIA_NACIONAL_2022_1106128105107111115129130250251252253[[#This Row],[CIE-10]]),COUNTIFS(BASE[Cod.Establecimiento],$B$2,BASE[CODCIE102],GUIA_NACIONAL_2022_1106128105107111115129130250251252253[[#This Row],[CIE-10]]))</f>
        <v>0</v>
      </c>
      <c r="CJ53" s="3">
        <f>IF($B$2="(Todas)",COUNTIF(BASE[CODCIE104],GUIA_NACIONAL_2022_1106128105107111115129130250251252253[[#This Row],[CIE-10]]),COUNTIFS(BASE[Cod.Establecimiento],$B$2,BASE[CODCIE104],GUIA_NACIONAL_2022_1106128105107111115129130250251252253[[#This Row],[CIE-10]]))</f>
        <v>0</v>
      </c>
      <c r="CK53" s="3">
        <f>IF($B$2="(Todas)",COUNTIF(BASE[CODCIE106],GUIA_NACIONAL_2022_1106128105107111115129130250251252253[[#This Row],[CIE-10]]),COUNTIFS(BASE[Cod.Establecimiento],$B$2,BASE[CODCIE106],GUIA_NACIONAL_2022_1106128105107111115129130250251252253[[#This Row],[CIE-10]]))</f>
        <v>0</v>
      </c>
      <c r="CL53" s="3">
        <f>IF($B$2="(Todas)",COUNTIF(BASE[CODCIE108],GUIA_NACIONAL_2022_1106128105107111115129130250251252253[[#This Row],[CIE-10]]),COUNTIFS(BASE[Cod.Establecimiento],$B$2,BASE[CODCIE108],GUIA_NACIONAL_2022_1106128105107111115129130250251252253[[#This Row],[CIE-10]]))</f>
        <v>0</v>
      </c>
      <c r="CM53" s="3">
        <f>IF($B$2="(Todas)",COUNTIF(BASE[CODCIE1010],GUIA_NACIONAL_2022_1106128105107111115129130250251252253[[#This Row],[CIE-10]]),COUNTIFS(BASE[Cod.Establecimiento],$B$2,BASE[CODCIE1010],GUIA_NACIONAL_2022_1106128105107111115129130250251252253[[#This Row],[CIE-10]]))</f>
        <v>0</v>
      </c>
      <c r="CN53" s="9">
        <f>SUM(GUIA_NACIONAL_2022_1106128105107111115129130250251252253[[#This Row],[D1]:[D6]])</f>
        <v>0</v>
      </c>
    </row>
    <row r="54" spans="1:92" ht="15" customHeight="1">
      <c r="A54" s="74"/>
      <c r="B54" s="74"/>
      <c r="D54" t="s">
        <v>93</v>
      </c>
      <c r="E54" s="3" t="s">
        <v>94</v>
      </c>
      <c r="F54" s="3" t="s">
        <v>95</v>
      </c>
      <c r="G54" s="3" t="s">
        <v>96</v>
      </c>
      <c r="H54" s="3" t="s">
        <v>97</v>
      </c>
      <c r="I54" s="3" t="s">
        <v>98</v>
      </c>
      <c r="J54" s="3" t="s">
        <v>99</v>
      </c>
      <c r="K54" s="8" t="s">
        <v>100</v>
      </c>
      <c r="V54" t="s">
        <v>93</v>
      </c>
      <c r="W54" s="3" t="s">
        <v>94</v>
      </c>
      <c r="X54" s="3" t="s">
        <v>95</v>
      </c>
      <c r="Y54" s="3" t="s">
        <v>96</v>
      </c>
      <c r="Z54" s="3" t="s">
        <v>97</v>
      </c>
      <c r="AA54" s="3" t="s">
        <v>98</v>
      </c>
      <c r="AB54" s="3" t="s">
        <v>99</v>
      </c>
      <c r="AC54" s="8" t="s">
        <v>100</v>
      </c>
      <c r="AE54" s="4" t="s">
        <v>586</v>
      </c>
      <c r="AF54" s="3">
        <f>IF($B$2="(Todas)",COUNTIF(BASE[CODCIE10],GUIA_NACIONAL_2022_1106128105168175177178[[#This Row],[CIE-10]]),COUNTIFS(BASE[Cod.Establecimiento],$B$2,BASE[CODCIE10],GUIA_NACIONAL_2022_1106128105168175177178[[#This Row],[CIE-10]]))</f>
        <v>0</v>
      </c>
      <c r="AG54" s="3">
        <f>IF($B$2="(Todas)",COUNTIF(BASE[CODCIE102],GUIA_NACIONAL_2022_1106128105168175177178[[#This Row],[CIE-10]]),COUNTIFS(BASE[Cod.Establecimiento],$B$2,BASE[CODCIE102],GUIA_NACIONAL_2022_1106128105168175177178[[#This Row],[CIE-10]]))</f>
        <v>0</v>
      </c>
      <c r="AH54" s="3">
        <f>IF($B$2="(Todas)",COUNTIF(BASE[CODCIE104],GUIA_NACIONAL_2022_1106128105168175177178[[#This Row],[CIE-10]]),COUNTIFS(BASE[Cod.Establecimiento],$B$2,BASE[CODCIE104],GUIA_NACIONAL_2022_1106128105168175177178[[#This Row],[CIE-10]]))</f>
        <v>0</v>
      </c>
      <c r="AI54" s="3">
        <f>IF($B$2="(Todas)",COUNTIF(BASE[CODCIE106],GUIA_NACIONAL_2022_1106128105168175177178[[#This Row],[CIE-10]]),COUNTIFS(BASE[Cod.Establecimiento],$B$2,BASE[CODCIE106],GUIA_NACIONAL_2022_1106128105168175177178[[#This Row],[CIE-10]]))</f>
        <v>0</v>
      </c>
      <c r="AJ54" s="3">
        <f>IF($B$2="(Todas)",COUNTIF(BASE[CODCIE108],GUIA_NACIONAL_2022_1106128105168175177178[[#This Row],[CIE-10]]),COUNTIFS(BASE[Cod.Establecimiento],$B$2,BASE[CODCIE108],GUIA_NACIONAL_2022_1106128105168175177178[[#This Row],[CIE-10]]))</f>
        <v>0</v>
      </c>
      <c r="AK54" s="3">
        <f>IF($B$2="(Todas)",COUNTIF(BASE[CODCIE1010],GUIA_NACIONAL_2022_1106128105168175177178[[#This Row],[CIE-10]]),COUNTIFS(BASE[Cod.Establecimiento],$B$2,BASE[CODCIE1010],GUIA_NACIONAL_2022_1106128105168175177178[[#This Row],[CIE-10]]))</f>
        <v>0</v>
      </c>
      <c r="AL54" s="9">
        <f>SUM(GUIA_NACIONAL_2022_1106128105168175177178[[#This Row],[D1]:[D6]])</f>
        <v>0</v>
      </c>
      <c r="BF54" s="151" t="s">
        <v>420</v>
      </c>
      <c r="BG54" s="151"/>
      <c r="BH54" s="151"/>
      <c r="BI54" s="151"/>
      <c r="BJ54" s="151"/>
      <c r="BK54" s="151"/>
      <c r="BL54" s="151"/>
      <c r="BM54" s="151"/>
      <c r="BO54" t="s">
        <v>93</v>
      </c>
      <c r="BP54" s="3" t="s">
        <v>94</v>
      </c>
      <c r="BQ54" s="3" t="s">
        <v>95</v>
      </c>
      <c r="BR54" s="3" t="s">
        <v>96</v>
      </c>
      <c r="BS54" s="3" t="s">
        <v>97</v>
      </c>
      <c r="BT54" s="3" t="s">
        <v>98</v>
      </c>
      <c r="BU54" s="3" t="s">
        <v>99</v>
      </c>
      <c r="BV54" s="8" t="s">
        <v>100</v>
      </c>
      <c r="CG54" s="4" t="s">
        <v>757</v>
      </c>
      <c r="CH54" s="3">
        <f>IF($B$2="(Todas)",COUNTIF(BASE[CODCIE10],GUIA_NACIONAL_2022_1106128105107111115129130250251252253[[#This Row],[CIE-10]]),COUNTIFS(BASE[Cod.Establecimiento],$B$2,BASE[CODCIE10],GUIA_NACIONAL_2022_1106128105107111115129130250251252253[[#This Row],[CIE-10]]))</f>
        <v>0</v>
      </c>
      <c r="CI54" s="3">
        <f>IF($B$2="(Todas)",COUNTIF(BASE[CODCIE102],GUIA_NACIONAL_2022_1106128105107111115129130250251252253[[#This Row],[CIE-10]]),COUNTIFS(BASE[Cod.Establecimiento],$B$2,BASE[CODCIE102],GUIA_NACIONAL_2022_1106128105107111115129130250251252253[[#This Row],[CIE-10]]))</f>
        <v>0</v>
      </c>
      <c r="CJ54" s="3">
        <f>IF($B$2="(Todas)",COUNTIF(BASE[CODCIE104],GUIA_NACIONAL_2022_1106128105107111115129130250251252253[[#This Row],[CIE-10]]),COUNTIFS(BASE[Cod.Establecimiento],$B$2,BASE[CODCIE104],GUIA_NACIONAL_2022_1106128105107111115129130250251252253[[#This Row],[CIE-10]]))</f>
        <v>0</v>
      </c>
      <c r="CK54" s="3">
        <f>IF($B$2="(Todas)",COUNTIF(BASE[CODCIE106],GUIA_NACIONAL_2022_1106128105107111115129130250251252253[[#This Row],[CIE-10]]),COUNTIFS(BASE[Cod.Establecimiento],$B$2,BASE[CODCIE106],GUIA_NACIONAL_2022_1106128105107111115129130250251252253[[#This Row],[CIE-10]]))</f>
        <v>0</v>
      </c>
      <c r="CL54" s="3">
        <f>IF($B$2="(Todas)",COUNTIF(BASE[CODCIE108],GUIA_NACIONAL_2022_1106128105107111115129130250251252253[[#This Row],[CIE-10]]),COUNTIFS(BASE[Cod.Establecimiento],$B$2,BASE[CODCIE108],GUIA_NACIONAL_2022_1106128105107111115129130250251252253[[#This Row],[CIE-10]]))</f>
        <v>0</v>
      </c>
      <c r="CM54" s="3">
        <f>IF($B$2="(Todas)",COUNTIF(BASE[CODCIE1010],GUIA_NACIONAL_2022_1106128105107111115129130250251252253[[#This Row],[CIE-10]]),COUNTIFS(BASE[Cod.Establecimiento],$B$2,BASE[CODCIE1010],GUIA_NACIONAL_2022_1106128105107111115129130250251252253[[#This Row],[CIE-10]]))</f>
        <v>0</v>
      </c>
      <c r="CN54" s="9">
        <f>SUM(GUIA_NACIONAL_2022_1106128105107111115129130250251252253[[#This Row],[D1]:[D6]])</f>
        <v>0</v>
      </c>
    </row>
    <row r="55" spans="1:92" ht="15" customHeight="1">
      <c r="A55" s="74"/>
      <c r="B55" s="74"/>
      <c r="D55" s="4" t="s">
        <v>415</v>
      </c>
      <c r="E55" s="3">
        <f>IF($B$2="(Todas)",COUNTIF(BASE[CODCIE10],GUIA_NACIONAL_2022_1106112113116117118[[#This Row],[CIE-10]]),COUNTIFS(BASE[Cod.Establecimiento],$B$2,BASE[CODCIE10],GUIA_NACIONAL_2022_1106112113116117118[[#This Row],[CIE-10]]))</f>
        <v>0</v>
      </c>
      <c r="F55" s="3">
        <f>IF($B$2="(Todas)",COUNTIF(BASE[CODCIE102],GUIA_NACIONAL_2022_1106112113116117118[[#This Row],[CIE-10]]),COUNTIFS(BASE[Cod.Establecimiento],$B$2,BASE[CODCIE102],GUIA_NACIONAL_2022_1106112113116117118[[#This Row],[CIE-10]]))</f>
        <v>0</v>
      </c>
      <c r="G55" s="3">
        <f>IF($B$2="(Todas)",COUNTIF(BASE[CODCIE104],GUIA_NACIONAL_2022_1106112113116117118[[#This Row],[CIE-10]]),COUNTIFS(BASE[Cod.Establecimiento],$B$2,BASE[CODCIE104],GUIA_NACIONAL_2022_1106112113116117118[[#This Row],[CIE-10]]))</f>
        <v>0</v>
      </c>
      <c r="H55" s="3">
        <f>IF($B$2="(Todas)",COUNTIF(BASE[CODCIE106],GUIA_NACIONAL_2022_1106112113116117118[[#This Row],[CIE-10]]),COUNTIFS(BASE[Cod.Establecimiento],$B$2,BASE[CODCIE106],GUIA_NACIONAL_2022_1106112113116117118[[#This Row],[CIE-10]]))</f>
        <v>0</v>
      </c>
      <c r="I55" s="3">
        <f>IF($B$2="(Todas)",COUNTIF(BASE[CODCIE108],GUIA_NACIONAL_2022_1106112113116117118[[#This Row],[CIE-10]]),COUNTIFS(BASE[Cod.Establecimiento],$B$2,BASE[CODCIE108],GUIA_NACIONAL_2022_1106112113116117118[[#This Row],[CIE-10]]))</f>
        <v>0</v>
      </c>
      <c r="J55" s="3">
        <f>IF($B$2="(Todas)",COUNTIF(BASE[CODCIE1010],GUIA_NACIONAL_2022_1106112113116117118[[#This Row],[CIE-10]]),COUNTIFS(BASE[Cod.Establecimiento],$B$2,BASE[CODCIE1010],GUIA_NACIONAL_2022_1106112113116117118[[#This Row],[CIE-10]]))</f>
        <v>0</v>
      </c>
      <c r="K55" s="9">
        <f>SUM(GUIA_NACIONAL_2022_1106112113116117118[[#This Row],[D1]:[D6]])</f>
        <v>0</v>
      </c>
      <c r="V55" s="4" t="s">
        <v>115</v>
      </c>
      <c r="W55" s="3">
        <f>IF($B$2="(Todas)",COUNTIF(BASE[CODCIE10],GUIA_NACIONAL_2022_1106128143146150153[[#This Row],[CIE-10]]),COUNTIFS(BASE[Cod.Establecimiento],$B$2,BASE[CODCIE10],GUIA_NACIONAL_2022_1106128143146150153[[#This Row],[CIE-10]]))</f>
        <v>0</v>
      </c>
      <c r="X55" s="3">
        <f>IF($B$2="(Todas)",COUNTIF(BASE[CODCIE102],GUIA_NACIONAL_2022_1106128143146150153[[#This Row],[CIE-10]]),COUNTIFS(BASE[Cod.Establecimiento],$B$2,BASE[CODCIE102],GUIA_NACIONAL_2022_1106128143146150153[[#This Row],[CIE-10]]))</f>
        <v>0</v>
      </c>
      <c r="Y55" s="3">
        <f>IF($B$2="(Todas)",COUNTIF(BASE[CODCIE104],GUIA_NACIONAL_2022_1106128143146150153[[#This Row],[CIE-10]]),COUNTIFS(BASE[Cod.Establecimiento],$B$2,BASE[CODCIE104],GUIA_NACIONAL_2022_1106128143146150153[[#This Row],[CIE-10]]))</f>
        <v>0</v>
      </c>
      <c r="Z55" s="3">
        <f>IF($B$2="(Todas)",COUNTIF(BASE[CODCIE106],GUIA_NACIONAL_2022_1106128143146150153[[#This Row],[CIE-10]]),COUNTIFS(BASE[Cod.Establecimiento],$B$2,BASE[CODCIE106],GUIA_NACIONAL_2022_1106128143146150153[[#This Row],[CIE-10]]))</f>
        <v>0</v>
      </c>
      <c r="AA55" s="3">
        <f>IF($B$2="(Todas)",COUNTIF(BASE[CODCIE108],GUIA_NACIONAL_2022_1106128143146150153[[#This Row],[CIE-10]]),COUNTIFS(BASE[Cod.Establecimiento],$B$2,BASE[CODCIE108],GUIA_NACIONAL_2022_1106128143146150153[[#This Row],[CIE-10]]))</f>
        <v>0</v>
      </c>
      <c r="AB55" s="3">
        <f>IF($B$2="(Todas)",COUNTIF(BASE[CODCIE1010],GUIA_NACIONAL_2022_1106128143146150153[[#This Row],[CIE-10]]),COUNTIFS(BASE[Cod.Establecimiento],$B$2,BASE[CODCIE1010],GUIA_NACIONAL_2022_1106128143146150153[[#This Row],[CIE-10]]))</f>
        <v>0</v>
      </c>
      <c r="AC55" s="9">
        <f>SUM(GUIA_NACIONAL_2022_1106128143146150153[[#This Row],[D1]:[D6]])</f>
        <v>0</v>
      </c>
      <c r="AE55" s="150" t="s">
        <v>588</v>
      </c>
      <c r="AF55" s="150"/>
      <c r="AG55" s="150"/>
      <c r="AH55" s="150"/>
      <c r="AI55" s="150"/>
      <c r="AJ55" s="150"/>
      <c r="AK55" s="150"/>
      <c r="AL55" s="150"/>
      <c r="BF55" s="150" t="s">
        <v>678</v>
      </c>
      <c r="BG55" s="150"/>
      <c r="BH55" s="150"/>
      <c r="BI55" s="150"/>
      <c r="BJ55" s="150"/>
      <c r="BK55" s="150"/>
      <c r="BL55" s="150"/>
      <c r="BM55" s="150"/>
      <c r="BO55" s="4" t="s">
        <v>331</v>
      </c>
      <c r="BP55" s="3">
        <f>IF($B$2="(Todas)",COUNTIF(BASE[CODCIE10],GUIA_NACIONAL_2022_1106128105107110207214216217236241244[[#This Row],[CIE-10]]),COUNTIFS(BASE[Cod.Establecimiento],$B$2,BASE[CODCIE10],GUIA_NACIONAL_2022_1106128105107110207214216217236241244[[#This Row],[CIE-10]]))</f>
        <v>0</v>
      </c>
      <c r="BQ55" s="3">
        <f>IF($B$2="(Todas)",COUNTIF(BASE[CODCIE102],GUIA_NACIONAL_2022_1106128105107110207214216217236241244[[#This Row],[CIE-10]]),COUNTIFS(BASE[Cod.Establecimiento],$B$2,BASE[CODCIE102],GUIA_NACIONAL_2022_1106128105107110207214216217236241244[[#This Row],[CIE-10]]))</f>
        <v>0</v>
      </c>
      <c r="BR55" s="3">
        <f>IF($B$2="(Todas)",COUNTIF(BASE[CODCIE104],GUIA_NACIONAL_2022_1106128105107110207214216217236241244[[#This Row],[CIE-10]]),COUNTIFS(BASE[Cod.Establecimiento],$B$2,BASE[CODCIE104],GUIA_NACIONAL_2022_1106128105107110207214216217236241244[[#This Row],[CIE-10]]))</f>
        <v>0</v>
      </c>
      <c r="BS55" s="3">
        <f>IF($B$2="(Todas)",COUNTIF(BASE[CODCIE106],GUIA_NACIONAL_2022_1106128105107110207214216217236241244[[#This Row],[CIE-10]]),COUNTIFS(BASE[Cod.Establecimiento],$B$2,BASE[CODCIE106],GUIA_NACIONAL_2022_1106128105107110207214216217236241244[[#This Row],[CIE-10]]))</f>
        <v>0</v>
      </c>
      <c r="BT55" s="3">
        <f>IF($B$2="(Todas)",COUNTIF(BASE[CODCIE108],GUIA_NACIONAL_2022_1106128105107110207214216217236241244[[#This Row],[CIE-10]]),COUNTIFS(BASE[Cod.Establecimiento],$B$2,BASE[CODCIE108],GUIA_NACIONAL_2022_1106128105107110207214216217236241244[[#This Row],[CIE-10]]))</f>
        <v>0</v>
      </c>
      <c r="BU55" s="3">
        <f>IF($B$2="(Todas)",COUNTIF(BASE[CODCIE1010],GUIA_NACIONAL_2022_1106128105107110207214216217236241244[[#This Row],[CIE-10]]),COUNTIFS(BASE[Cod.Establecimiento],$B$2,BASE[CODCIE1010],GUIA_NACIONAL_2022_1106128105107110207214216217236241244[[#This Row],[CIE-10]]))</f>
        <v>0</v>
      </c>
      <c r="BV55" s="9">
        <f>SUM(GUIA_NACIONAL_2022_1106128105107110207214216217236241244[[#This Row],[D1]:[D6]])</f>
        <v>0</v>
      </c>
      <c r="CG55" s="4" t="s">
        <v>758</v>
      </c>
      <c r="CH55" s="3">
        <f>IF($B$2="(Todas)",COUNTIF(BASE[CODCIE10],GUIA_NACIONAL_2022_1106128105107111115129130250251252253[[#This Row],[CIE-10]]),COUNTIFS(BASE[Cod.Establecimiento],$B$2,BASE[CODCIE10],GUIA_NACIONAL_2022_1106128105107111115129130250251252253[[#This Row],[CIE-10]]))</f>
        <v>0</v>
      </c>
      <c r="CI55" s="3">
        <f>IF($B$2="(Todas)",COUNTIF(BASE[CODCIE102],GUIA_NACIONAL_2022_1106128105107111115129130250251252253[[#This Row],[CIE-10]]),COUNTIFS(BASE[Cod.Establecimiento],$B$2,BASE[CODCIE102],GUIA_NACIONAL_2022_1106128105107111115129130250251252253[[#This Row],[CIE-10]]))</f>
        <v>0</v>
      </c>
      <c r="CJ55" s="3">
        <f>IF($B$2="(Todas)",COUNTIF(BASE[CODCIE104],GUIA_NACIONAL_2022_1106128105107111115129130250251252253[[#This Row],[CIE-10]]),COUNTIFS(BASE[Cod.Establecimiento],$B$2,BASE[CODCIE104],GUIA_NACIONAL_2022_1106128105107111115129130250251252253[[#This Row],[CIE-10]]))</f>
        <v>0</v>
      </c>
      <c r="CK55" s="3">
        <f>IF($B$2="(Todas)",COUNTIF(BASE[CODCIE106],GUIA_NACIONAL_2022_1106128105107111115129130250251252253[[#This Row],[CIE-10]]),COUNTIFS(BASE[Cod.Establecimiento],$B$2,BASE[CODCIE106],GUIA_NACIONAL_2022_1106128105107111115129130250251252253[[#This Row],[CIE-10]]))</f>
        <v>0</v>
      </c>
      <c r="CL55" s="3">
        <f>IF($B$2="(Todas)",COUNTIF(BASE[CODCIE108],GUIA_NACIONAL_2022_1106128105107111115129130250251252253[[#This Row],[CIE-10]]),COUNTIFS(BASE[Cod.Establecimiento],$B$2,BASE[CODCIE108],GUIA_NACIONAL_2022_1106128105107111115129130250251252253[[#This Row],[CIE-10]]))</f>
        <v>0</v>
      </c>
      <c r="CM55" s="3">
        <f>IF($B$2="(Todas)",COUNTIF(BASE[CODCIE1010],GUIA_NACIONAL_2022_1106128105107111115129130250251252253[[#This Row],[CIE-10]]),COUNTIFS(BASE[Cod.Establecimiento],$B$2,BASE[CODCIE1010],GUIA_NACIONAL_2022_1106128105107111115129130250251252253[[#This Row],[CIE-10]]))</f>
        <v>0</v>
      </c>
      <c r="CN55" s="9">
        <f>SUM(GUIA_NACIONAL_2022_1106128105107111115129130250251252253[[#This Row],[D1]:[D6]])</f>
        <v>0</v>
      </c>
    </row>
    <row r="56" spans="1:92" ht="15" customHeight="1">
      <c r="A56" s="74"/>
      <c r="B56" s="74"/>
      <c r="D56" s="150" t="s">
        <v>451</v>
      </c>
      <c r="E56" s="150"/>
      <c r="F56" s="150"/>
      <c r="G56" s="150"/>
      <c r="H56" s="150"/>
      <c r="I56" s="150"/>
      <c r="J56" s="150"/>
      <c r="K56" s="150"/>
      <c r="V56" s="151" t="s">
        <v>543</v>
      </c>
      <c r="W56" s="151"/>
      <c r="X56" s="151"/>
      <c r="Y56" s="151"/>
      <c r="Z56" s="151"/>
      <c r="AA56" s="151"/>
      <c r="AB56" s="151"/>
      <c r="AC56" s="151"/>
      <c r="AE56" t="s">
        <v>93</v>
      </c>
      <c r="AF56" s="3" t="s">
        <v>94</v>
      </c>
      <c r="AG56" s="3" t="s">
        <v>95</v>
      </c>
      <c r="AH56" s="3" t="s">
        <v>96</v>
      </c>
      <c r="AI56" s="3" t="s">
        <v>97</v>
      </c>
      <c r="AJ56" s="3" t="s">
        <v>98</v>
      </c>
      <c r="AK56" s="3" t="s">
        <v>99</v>
      </c>
      <c r="AL56" s="8" t="s">
        <v>100</v>
      </c>
      <c r="BF56" t="s">
        <v>93</v>
      </c>
      <c r="BG56" s="3" t="s">
        <v>94</v>
      </c>
      <c r="BH56" s="3" t="s">
        <v>95</v>
      </c>
      <c r="BI56" s="3" t="s">
        <v>96</v>
      </c>
      <c r="BJ56" s="3" t="s">
        <v>97</v>
      </c>
      <c r="BK56" s="3" t="s">
        <v>98</v>
      </c>
      <c r="BL56" s="3" t="s">
        <v>99</v>
      </c>
      <c r="BM56" s="8" t="s">
        <v>100</v>
      </c>
      <c r="BO56" s="150" t="s">
        <v>705</v>
      </c>
      <c r="BP56" s="150"/>
      <c r="BQ56" s="150"/>
      <c r="BR56" s="150"/>
      <c r="BS56" s="150"/>
      <c r="BT56" s="150"/>
      <c r="BU56" s="150"/>
      <c r="BV56" s="150"/>
    </row>
    <row r="57" spans="1:92" ht="15" customHeight="1">
      <c r="A57" s="74"/>
      <c r="B57" s="74"/>
      <c r="D57" t="s">
        <v>93</v>
      </c>
      <c r="E57" s="3" t="s">
        <v>94</v>
      </c>
      <c r="F57" s="3" t="s">
        <v>95</v>
      </c>
      <c r="G57" s="3" t="s">
        <v>96</v>
      </c>
      <c r="H57" s="3" t="s">
        <v>97</v>
      </c>
      <c r="I57" s="3" t="s">
        <v>98</v>
      </c>
      <c r="J57" s="3" t="s">
        <v>99</v>
      </c>
      <c r="K57" s="8" t="s">
        <v>100</v>
      </c>
      <c r="V57" s="149" t="s">
        <v>544</v>
      </c>
      <c r="W57" s="150"/>
      <c r="X57" s="150"/>
      <c r="Y57" s="150"/>
      <c r="Z57" s="150"/>
      <c r="AA57" s="150"/>
      <c r="AB57" s="150"/>
      <c r="AC57" s="150"/>
      <c r="AE57" s="4" t="s">
        <v>587</v>
      </c>
      <c r="AF57" s="3">
        <f>IF($B$2="(Todas)",COUNTIF(BASE[CODCIE10],GUIA_NACIONAL_2022_1106128105168175177179[[#This Row],[CIE-10]]),COUNTIFS(BASE[Cod.Establecimiento],$B$2,BASE[CODCIE10],GUIA_NACIONAL_2022_1106128105168175177179[[#This Row],[CIE-10]]))</f>
        <v>0</v>
      </c>
      <c r="AG57" s="3">
        <f>IF($B$2="(Todas)",COUNTIF(BASE[CODCIE102],GUIA_NACIONAL_2022_1106128105168175177179[[#This Row],[CIE-10]]),COUNTIFS(BASE[Cod.Establecimiento],$B$2,BASE[CODCIE102],GUIA_NACIONAL_2022_1106128105168175177179[[#This Row],[CIE-10]]))</f>
        <v>0</v>
      </c>
      <c r="AH57" s="3">
        <f>IF($B$2="(Todas)",COUNTIF(BASE[CODCIE104],GUIA_NACIONAL_2022_1106128105168175177179[[#This Row],[CIE-10]]),COUNTIFS(BASE[Cod.Establecimiento],$B$2,BASE[CODCIE104],GUIA_NACIONAL_2022_1106128105168175177179[[#This Row],[CIE-10]]))</f>
        <v>0</v>
      </c>
      <c r="AI57" s="3">
        <f>IF($B$2="(Todas)",COUNTIF(BASE[CODCIE106],GUIA_NACIONAL_2022_1106128105168175177179[[#This Row],[CIE-10]]),COUNTIFS(BASE[Cod.Establecimiento],$B$2,BASE[CODCIE106],GUIA_NACIONAL_2022_1106128105168175177179[[#This Row],[CIE-10]]))</f>
        <v>0</v>
      </c>
      <c r="AJ57" s="3">
        <f>IF($B$2="(Todas)",COUNTIF(BASE[CODCIE108],GUIA_NACIONAL_2022_1106128105168175177179[[#This Row],[CIE-10]]),COUNTIFS(BASE[Cod.Establecimiento],$B$2,BASE[CODCIE108],GUIA_NACIONAL_2022_1106128105168175177179[[#This Row],[CIE-10]]))</f>
        <v>0</v>
      </c>
      <c r="AK57" s="3">
        <f>IF($B$2="(Todas)",COUNTIF(BASE[CODCIE1010],GUIA_NACIONAL_2022_1106128105168175177179[[#This Row],[CIE-10]]),COUNTIFS(BASE[Cod.Establecimiento],$B$2,BASE[CODCIE1010],GUIA_NACIONAL_2022_1106128105168175177179[[#This Row],[CIE-10]]))</f>
        <v>0</v>
      </c>
      <c r="AL57" s="9">
        <f>SUM(GUIA_NACIONAL_2022_1106128105168175177179[[#This Row],[D1]:[D6]])</f>
        <v>0</v>
      </c>
      <c r="BF57" s="4" t="s">
        <v>679</v>
      </c>
      <c r="BG57" s="3">
        <f>IF($B$2="(Todas)",COUNTIF(BASE[CODCIE10],GUIA_NACIONAL_2022_1106128105168162225[[#This Row],[CIE-10]]),COUNTIFS(BASE[Cod.Establecimiento],$B$2,BASE[CODCIE10],GUIA_NACIONAL_2022_1106128105168162225[[#This Row],[CIE-10]]))</f>
        <v>0</v>
      </c>
      <c r="BH57" s="3">
        <f>IF($B$2="(Todas)",COUNTIF(BASE[CODCIE102],GUIA_NACIONAL_2022_1106128105168162225[[#This Row],[CIE-10]]),COUNTIFS(BASE[Cod.Establecimiento],$B$2,BASE[CODCIE102],GUIA_NACIONAL_2022_1106128105168162225[[#This Row],[CIE-10]]))</f>
        <v>0</v>
      </c>
      <c r="BI57" s="3">
        <f>IF($B$2="(Todas)",COUNTIF(BASE[CODCIE104],GUIA_NACIONAL_2022_1106128105168162225[[#This Row],[CIE-10]]),COUNTIFS(BASE[Cod.Establecimiento],$B$2,BASE[CODCIE104],GUIA_NACIONAL_2022_1106128105168162225[[#This Row],[CIE-10]]))</f>
        <v>0</v>
      </c>
      <c r="BJ57" s="3">
        <f>IF($B$2="(Todas)",COUNTIF(BASE[CODCIE106],GUIA_NACIONAL_2022_1106128105168162225[[#This Row],[CIE-10]]),COUNTIFS(BASE[Cod.Establecimiento],$B$2,BASE[CODCIE106],GUIA_NACIONAL_2022_1106128105168162225[[#This Row],[CIE-10]]))</f>
        <v>0</v>
      </c>
      <c r="BK57" s="3">
        <f>IF($B$2="(Todas)",COUNTIF(BASE[CODCIE108],GUIA_NACIONAL_2022_1106128105168162225[[#This Row],[CIE-10]]),COUNTIFS(BASE[Cod.Establecimiento],$B$2,BASE[CODCIE108],GUIA_NACIONAL_2022_1106128105168162225[[#This Row],[CIE-10]]))</f>
        <v>0</v>
      </c>
      <c r="BL57" s="3">
        <f>IF($B$2="(Todas)",COUNTIF(BASE[CODCIE1010],GUIA_NACIONAL_2022_1106128105168162225[[#This Row],[CIE-10]]),COUNTIFS(BASE[Cod.Establecimiento],$B$2,BASE[CODCIE1010],GUIA_NACIONAL_2022_1106128105168162225[[#This Row],[CIE-10]]))</f>
        <v>0</v>
      </c>
      <c r="BM57" s="9">
        <f>SUM(GUIA_NACIONAL_2022_1106128105168162225[[#This Row],[D1]:[D6]])</f>
        <v>0</v>
      </c>
      <c r="BO57" t="s">
        <v>93</v>
      </c>
      <c r="BP57" s="3" t="s">
        <v>94</v>
      </c>
      <c r="BQ57" s="3" t="s">
        <v>95</v>
      </c>
      <c r="BR57" s="3" t="s">
        <v>96</v>
      </c>
      <c r="BS57" s="3" t="s">
        <v>97</v>
      </c>
      <c r="BT57" s="3" t="s">
        <v>98</v>
      </c>
      <c r="BU57" s="3" t="s">
        <v>99</v>
      </c>
      <c r="BV57" s="8" t="s">
        <v>100</v>
      </c>
    </row>
    <row r="58" spans="1:92" ht="15" customHeight="1">
      <c r="A58" s="74"/>
      <c r="B58" s="74"/>
      <c r="D58" s="4" t="s">
        <v>416</v>
      </c>
      <c r="E58" s="3">
        <f>IF($B$2="(Todas)",COUNTIF(BASE[CODCIE10],GUIA_NACIONAL_2022_1106112113116117118119[[#This Row],[CIE-10]]),COUNTIFS(BASE[Cod.Establecimiento],$B$2,BASE[CODCIE10],GUIA_NACIONAL_2022_1106112113116117118119[[#This Row],[CIE-10]]))</f>
        <v>0</v>
      </c>
      <c r="F58" s="3">
        <f>IF($B$2="(Todas)",COUNTIF(BASE[CODCIE102],GUIA_NACIONAL_2022_1106112113116117118119[[#This Row],[CIE-10]]),COUNTIFS(BASE[Cod.Establecimiento],$B$2,BASE[CODCIE102],GUIA_NACIONAL_2022_1106112113116117118119[[#This Row],[CIE-10]]))</f>
        <v>0</v>
      </c>
      <c r="G58" s="3">
        <f>IF($B$2="(Todas)",COUNTIF(BASE[CODCIE104],GUIA_NACIONAL_2022_1106112113116117118119[[#This Row],[CIE-10]]),COUNTIFS(BASE[Cod.Establecimiento],$B$2,BASE[CODCIE104],GUIA_NACIONAL_2022_1106112113116117118119[[#This Row],[CIE-10]]))</f>
        <v>0</v>
      </c>
      <c r="H58" s="3">
        <f>IF($B$2="(Todas)",COUNTIF(BASE[CODCIE106],GUIA_NACIONAL_2022_1106112113116117118119[[#This Row],[CIE-10]]),COUNTIFS(BASE[Cod.Establecimiento],$B$2,BASE[CODCIE106],GUIA_NACIONAL_2022_1106112113116117118119[[#This Row],[CIE-10]]))</f>
        <v>0</v>
      </c>
      <c r="I58" s="3">
        <f>IF($B$2="(Todas)",COUNTIF(BASE[CODCIE108],GUIA_NACIONAL_2022_1106112113116117118119[[#This Row],[CIE-10]]),COUNTIFS(BASE[Cod.Establecimiento],$B$2,BASE[CODCIE108],GUIA_NACIONAL_2022_1106112113116117118119[[#This Row],[CIE-10]]))</f>
        <v>0</v>
      </c>
      <c r="J58" s="3">
        <f>IF($B$2="(Todas)",COUNTIF(BASE[CODCIE1010],GUIA_NACIONAL_2022_1106112113116117118119[[#This Row],[CIE-10]]),COUNTIFS(BASE[Cod.Establecimiento],$B$2,BASE[CODCIE1010],GUIA_NACIONAL_2022_1106112113116117118119[[#This Row],[CIE-10]]))</f>
        <v>0</v>
      </c>
      <c r="K58" s="9">
        <f>SUM(GUIA_NACIONAL_2022_1106112113116117118119[[#This Row],[D1]:[D6]])</f>
        <v>0</v>
      </c>
      <c r="V58" t="s">
        <v>93</v>
      </c>
      <c r="W58" s="3" t="s">
        <v>94</v>
      </c>
      <c r="X58" s="3" t="s">
        <v>95</v>
      </c>
      <c r="Y58" s="3" t="s">
        <v>96</v>
      </c>
      <c r="Z58" s="3" t="s">
        <v>97</v>
      </c>
      <c r="AA58" s="3" t="s">
        <v>98</v>
      </c>
      <c r="AB58" s="3" t="s">
        <v>99</v>
      </c>
      <c r="AC58" s="8" t="s">
        <v>100</v>
      </c>
      <c r="AE58" s="151" t="s">
        <v>589</v>
      </c>
      <c r="AF58" s="151"/>
      <c r="AG58" s="151"/>
      <c r="AH58" s="151"/>
      <c r="AI58" s="151"/>
      <c r="AJ58" s="151"/>
      <c r="AK58" s="151"/>
      <c r="AL58" s="151"/>
      <c r="BF58" s="150" t="s">
        <v>680</v>
      </c>
      <c r="BG58" s="150"/>
      <c r="BH58" s="150"/>
      <c r="BI58" s="150"/>
      <c r="BJ58" s="150"/>
      <c r="BK58" s="150"/>
      <c r="BL58" s="150"/>
      <c r="BM58" s="150"/>
      <c r="BO58" s="4" t="s">
        <v>342</v>
      </c>
      <c r="BP58" s="3">
        <f>IF($B$2="(Todas)",COUNTIF(BASE[CODCIE10],GUIA_NACIONAL_2022_1106128105107111115243245[[#This Row],[CIE-10]]),COUNTIFS(BASE[Cod.Establecimiento],$B$2,BASE[CODCIE10],GUIA_NACIONAL_2022_1106128105107111115243245[[#This Row],[CIE-10]]))</f>
        <v>0</v>
      </c>
      <c r="BQ58" s="3">
        <f>IF($B$2="(Todas)",COUNTIF(BASE[CODCIE102],GUIA_NACIONAL_2022_1106128105107111115243245[[#This Row],[CIE-10]]),COUNTIFS(BASE[Cod.Establecimiento],$B$2,BASE[CODCIE102],GUIA_NACIONAL_2022_1106128105107111115243245[[#This Row],[CIE-10]]))</f>
        <v>0</v>
      </c>
      <c r="BR58" s="3">
        <f>IF($B$2="(Todas)",COUNTIF(BASE[CODCIE104],GUIA_NACIONAL_2022_1106128105107111115243245[[#This Row],[CIE-10]]),COUNTIFS(BASE[Cod.Establecimiento],$B$2,BASE[CODCIE104],GUIA_NACIONAL_2022_1106128105107111115243245[[#This Row],[CIE-10]]))</f>
        <v>0</v>
      </c>
      <c r="BS58" s="3">
        <f>IF($B$2="(Todas)",COUNTIF(BASE[CODCIE106],GUIA_NACIONAL_2022_1106128105107111115243245[[#This Row],[CIE-10]]),COUNTIFS(BASE[Cod.Establecimiento],$B$2,BASE[CODCIE106],GUIA_NACIONAL_2022_1106128105107111115243245[[#This Row],[CIE-10]]))</f>
        <v>0</v>
      </c>
      <c r="BT58" s="3">
        <f>IF($B$2="(Todas)",COUNTIF(BASE[CODCIE108],GUIA_NACIONAL_2022_1106128105107111115243245[[#This Row],[CIE-10]]),COUNTIFS(BASE[Cod.Establecimiento],$B$2,BASE[CODCIE108],GUIA_NACIONAL_2022_1106128105107111115243245[[#This Row],[CIE-10]]))</f>
        <v>0</v>
      </c>
      <c r="BU58" s="3">
        <f>IF($B$2="(Todas)",COUNTIF(BASE[CODCIE1010],GUIA_NACIONAL_2022_1106128105107111115243245[[#This Row],[CIE-10]]),COUNTIFS(BASE[Cod.Establecimiento],$B$2,BASE[CODCIE1010],GUIA_NACIONAL_2022_1106128105107111115243245[[#This Row],[CIE-10]]))</f>
        <v>0</v>
      </c>
      <c r="BV58" s="9">
        <f>SUM(GUIA_NACIONAL_2022_1106128105107111115243245[[#This Row],[D1]:[D6]])</f>
        <v>0</v>
      </c>
    </row>
    <row r="59" spans="1:92" ht="15" customHeight="1">
      <c r="A59" s="74"/>
      <c r="B59" s="74"/>
      <c r="D59" s="150" t="s">
        <v>452</v>
      </c>
      <c r="E59" s="150"/>
      <c r="F59" s="150"/>
      <c r="G59" s="150"/>
      <c r="H59" s="150"/>
      <c r="I59" s="150"/>
      <c r="J59" s="150"/>
      <c r="K59" s="150"/>
      <c r="V59" s="4" t="s">
        <v>102</v>
      </c>
      <c r="W59" s="3">
        <f>IF($B$2="(Todas)",COUNTIF(BASE[CODCIE10],GUIA_NACIONAL_2022_1106128143146150152154[[#This Row],[CIE-10]]),COUNTIFS(BASE[Cod.Establecimiento],$B$2,BASE[CODCIE10],GUIA_NACIONAL_2022_1106128143146150152154[[#This Row],[CIE-10]]))</f>
        <v>0</v>
      </c>
      <c r="X59" s="3">
        <f>IF($B$2="(Todas)",COUNTIF(BASE[CODCIE102],GUIA_NACIONAL_2022_1106128143146150152154[[#This Row],[CIE-10]]),COUNTIFS(BASE[Cod.Establecimiento],$B$2,BASE[CODCIE102],GUIA_NACIONAL_2022_1106128143146150152154[[#This Row],[CIE-10]]))</f>
        <v>0</v>
      </c>
      <c r="Y59" s="3">
        <f>IF($B$2="(Todas)",COUNTIF(BASE[CODCIE104],GUIA_NACIONAL_2022_1106128143146150152154[[#This Row],[CIE-10]]),COUNTIFS(BASE[Cod.Establecimiento],$B$2,BASE[CODCIE104],GUIA_NACIONAL_2022_1106128143146150152154[[#This Row],[CIE-10]]))</f>
        <v>0</v>
      </c>
      <c r="Z59" s="3">
        <f>IF($B$2="(Todas)",COUNTIF(BASE[CODCIE106],GUIA_NACIONAL_2022_1106128143146150152154[[#This Row],[CIE-10]]),COUNTIFS(BASE[Cod.Establecimiento],$B$2,BASE[CODCIE106],GUIA_NACIONAL_2022_1106128143146150152154[[#This Row],[CIE-10]]))</f>
        <v>0</v>
      </c>
      <c r="AA59" s="3">
        <f>IF($B$2="(Todas)",COUNTIF(BASE[CODCIE108],GUIA_NACIONAL_2022_1106128143146150152154[[#This Row],[CIE-10]]),COUNTIFS(BASE[Cod.Establecimiento],$B$2,BASE[CODCIE108],GUIA_NACIONAL_2022_1106128143146150152154[[#This Row],[CIE-10]]))</f>
        <v>0</v>
      </c>
      <c r="AB59" s="3">
        <f>IF($B$2="(Todas)",COUNTIF(BASE[CODCIE1010],GUIA_NACIONAL_2022_1106128143146150152154[[#This Row],[CIE-10]]),COUNTIFS(BASE[Cod.Establecimiento],$B$2,BASE[CODCIE1010],GUIA_NACIONAL_2022_1106128143146150152154[[#This Row],[CIE-10]]))</f>
        <v>0</v>
      </c>
      <c r="AC59" s="9">
        <f>SUM(GUIA_NACIONAL_2022_1106128143146150152154[[#This Row],[D1]:[D6]])</f>
        <v>0</v>
      </c>
      <c r="AE59" s="150" t="s">
        <v>590</v>
      </c>
      <c r="AF59" s="150"/>
      <c r="AG59" s="150"/>
      <c r="AH59" s="150"/>
      <c r="AI59" s="150"/>
      <c r="AJ59" s="150"/>
      <c r="AK59" s="150"/>
      <c r="AL59" s="150"/>
      <c r="BF59" t="s">
        <v>93</v>
      </c>
      <c r="BG59" s="3" t="s">
        <v>94</v>
      </c>
      <c r="BH59" s="3" t="s">
        <v>95</v>
      </c>
      <c r="BI59" s="3" t="s">
        <v>96</v>
      </c>
      <c r="BJ59" s="3" t="s">
        <v>97</v>
      </c>
      <c r="BK59" s="3" t="s">
        <v>98</v>
      </c>
      <c r="BL59" s="3" t="s">
        <v>99</v>
      </c>
      <c r="BM59" s="8" t="s">
        <v>100</v>
      </c>
      <c r="BO59" s="150" t="s">
        <v>704</v>
      </c>
      <c r="BP59" s="150"/>
      <c r="BQ59" s="150"/>
      <c r="BR59" s="150"/>
      <c r="BS59" s="150"/>
      <c r="BT59" s="150"/>
      <c r="BU59" s="150"/>
      <c r="BV59" s="150"/>
    </row>
    <row r="60" spans="1:92" ht="15" customHeight="1">
      <c r="A60" s="74"/>
      <c r="B60" s="74"/>
      <c r="D60" t="s">
        <v>93</v>
      </c>
      <c r="E60" s="3" t="s">
        <v>94</v>
      </c>
      <c r="F60" s="3" t="s">
        <v>95</v>
      </c>
      <c r="G60" s="3" t="s">
        <v>96</v>
      </c>
      <c r="H60" s="3" t="s">
        <v>97</v>
      </c>
      <c r="I60" s="3" t="s">
        <v>98</v>
      </c>
      <c r="J60" s="3" t="s">
        <v>99</v>
      </c>
      <c r="K60" s="8" t="s">
        <v>100</v>
      </c>
      <c r="V60" s="32" t="s">
        <v>104</v>
      </c>
      <c r="W60" s="3">
        <f>IF($B$2="(Todas)",COUNTIF(BASE[CODCIE10],GUIA_NACIONAL_2022_1106128143146150152154[[#This Row],[CIE-10]]),COUNTIFS(BASE[Cod.Establecimiento],$B$2,BASE[CODCIE10],GUIA_NACIONAL_2022_1106128143146150152154[[#This Row],[CIE-10]]))</f>
        <v>0</v>
      </c>
      <c r="X60" s="3">
        <f>IF($B$2="(Todas)",COUNTIF(BASE[CODCIE102],GUIA_NACIONAL_2022_1106128143146150152154[[#This Row],[CIE-10]]),COUNTIFS(BASE[Cod.Establecimiento],$B$2,BASE[CODCIE102],GUIA_NACIONAL_2022_1106128143146150152154[[#This Row],[CIE-10]]))</f>
        <v>0</v>
      </c>
      <c r="Y60" s="3">
        <f>IF($B$2="(Todas)",COUNTIF(BASE[CODCIE104],GUIA_NACIONAL_2022_1106128143146150152154[[#This Row],[CIE-10]]),COUNTIFS(BASE[Cod.Establecimiento],$B$2,BASE[CODCIE104],GUIA_NACIONAL_2022_1106128143146150152154[[#This Row],[CIE-10]]))</f>
        <v>0</v>
      </c>
      <c r="Z60" s="3">
        <f>IF($B$2="(Todas)",COUNTIF(BASE[CODCIE106],GUIA_NACIONAL_2022_1106128143146150152154[[#This Row],[CIE-10]]),COUNTIFS(BASE[Cod.Establecimiento],$B$2,BASE[CODCIE106],GUIA_NACIONAL_2022_1106128143146150152154[[#This Row],[CIE-10]]))</f>
        <v>0</v>
      </c>
      <c r="AA60" s="3">
        <f>IF($B$2="(Todas)",COUNTIF(BASE[CODCIE108],GUIA_NACIONAL_2022_1106128143146150152154[[#This Row],[CIE-10]]),COUNTIFS(BASE[Cod.Establecimiento],$B$2,BASE[CODCIE108],GUIA_NACIONAL_2022_1106128143146150152154[[#This Row],[CIE-10]]))</f>
        <v>0</v>
      </c>
      <c r="AB60" s="3">
        <f>IF($B$2="(Todas)",COUNTIF(BASE[CODCIE1010],GUIA_NACIONAL_2022_1106128143146150152154[[#This Row],[CIE-10]]),COUNTIFS(BASE[Cod.Establecimiento],$B$2,BASE[CODCIE1010],GUIA_NACIONAL_2022_1106128143146150152154[[#This Row],[CIE-10]]))</f>
        <v>0</v>
      </c>
      <c r="AC60" s="9">
        <f>SUM(GUIA_NACIONAL_2022_1106128143146150152154[[#This Row],[D1]:[D6]])</f>
        <v>0</v>
      </c>
      <c r="AE60" t="s">
        <v>93</v>
      </c>
      <c r="AF60" s="3" t="s">
        <v>94</v>
      </c>
      <c r="AG60" s="3" t="s">
        <v>95</v>
      </c>
      <c r="AH60" s="3" t="s">
        <v>96</v>
      </c>
      <c r="AI60" s="3" t="s">
        <v>97</v>
      </c>
      <c r="AJ60" s="3" t="s">
        <v>98</v>
      </c>
      <c r="AK60" s="3" t="s">
        <v>99</v>
      </c>
      <c r="AL60" s="8" t="s">
        <v>100</v>
      </c>
      <c r="BF60" s="4" t="s">
        <v>681</v>
      </c>
      <c r="BG60" s="3">
        <f>IF($B$2="(Todas)",COUNTIF(BASE[CODCIE10],GUIA_NACIONAL_2022_1106128105107110207214216221222223224226[[#This Row],[CIE-10]]),COUNTIFS(BASE[Cod.Establecimiento],$B$2,BASE[CODCIE10],GUIA_NACIONAL_2022_1106128105107110207214216221222223224226[[#This Row],[CIE-10]]))</f>
        <v>0</v>
      </c>
      <c r="BH60" s="3">
        <f>IF($B$2="(Todas)",COUNTIF(BASE[CODCIE102],GUIA_NACIONAL_2022_1106128105107110207214216221222223224226[[#This Row],[CIE-10]]),COUNTIFS(BASE[Cod.Establecimiento],$B$2,BASE[CODCIE102],GUIA_NACIONAL_2022_1106128105107110207214216221222223224226[[#This Row],[CIE-10]]))</f>
        <v>0</v>
      </c>
      <c r="BI60" s="3">
        <f>IF($B$2="(Todas)",COUNTIF(BASE[CODCIE104],GUIA_NACIONAL_2022_1106128105107110207214216221222223224226[[#This Row],[CIE-10]]),COUNTIFS(BASE[Cod.Establecimiento],$B$2,BASE[CODCIE104],GUIA_NACIONAL_2022_1106128105107110207214216221222223224226[[#This Row],[CIE-10]]))</f>
        <v>0</v>
      </c>
      <c r="BJ60" s="3">
        <f>IF($B$2="(Todas)",COUNTIF(BASE[CODCIE106],GUIA_NACIONAL_2022_1106128105107110207214216221222223224226[[#This Row],[CIE-10]]),COUNTIFS(BASE[Cod.Establecimiento],$B$2,BASE[CODCIE106],GUIA_NACIONAL_2022_1106128105107110207214216221222223224226[[#This Row],[CIE-10]]))</f>
        <v>0</v>
      </c>
      <c r="BK60" s="3">
        <f>IF($B$2="(Todas)",COUNTIF(BASE[CODCIE108],GUIA_NACIONAL_2022_1106128105107110207214216221222223224226[[#This Row],[CIE-10]]),COUNTIFS(BASE[Cod.Establecimiento],$B$2,BASE[CODCIE108],GUIA_NACIONAL_2022_1106128105107110207214216221222223224226[[#This Row],[CIE-10]]))</f>
        <v>0</v>
      </c>
      <c r="BL60" s="3">
        <f>IF($B$2="(Todas)",COUNTIF(BASE[CODCIE1010],GUIA_NACIONAL_2022_1106128105107110207214216221222223224226[[#This Row],[CIE-10]]),COUNTIFS(BASE[Cod.Establecimiento],$B$2,BASE[CODCIE1010],GUIA_NACIONAL_2022_1106128105107110207214216221222223224226[[#This Row],[CIE-10]]))</f>
        <v>0</v>
      </c>
      <c r="BM60" s="9">
        <f>SUM(GUIA_NACIONAL_2022_1106128105107110207214216221222223224226[[#This Row],[D1]:[D6]])</f>
        <v>0</v>
      </c>
      <c r="BO60" t="s">
        <v>93</v>
      </c>
      <c r="BP60" s="3" t="s">
        <v>94</v>
      </c>
      <c r="BQ60" s="3" t="s">
        <v>95</v>
      </c>
      <c r="BR60" s="3" t="s">
        <v>96</v>
      </c>
      <c r="BS60" s="3" t="s">
        <v>97</v>
      </c>
      <c r="BT60" s="3" t="s">
        <v>98</v>
      </c>
      <c r="BU60" s="3" t="s">
        <v>99</v>
      </c>
      <c r="BV60" s="8" t="s">
        <v>100</v>
      </c>
    </row>
    <row r="61" spans="1:92" ht="15" customHeight="1">
      <c r="A61" s="74"/>
      <c r="B61" s="74"/>
      <c r="D61" s="4" t="s">
        <v>417</v>
      </c>
      <c r="E61" s="3">
        <f>IF($B$2="(Todas)",COUNTIF(BASE[CODCIE10],GUIA_NACIONAL_2022_1106112113116117118119120[[#This Row],[CIE-10]]),COUNTIFS(BASE[Cod.Establecimiento],$B$2,BASE[CODCIE10],GUIA_NACIONAL_2022_1106112113116117118119120[[#This Row],[CIE-10]]))</f>
        <v>0</v>
      </c>
      <c r="F61" s="3">
        <f>IF($B$2="(Todas)",COUNTIF(BASE[CODCIE102],GUIA_NACIONAL_2022_1106112113116117118119120[[#This Row],[CIE-10]]),COUNTIFS(BASE[Cod.Establecimiento],$B$2,BASE[CODCIE102],GUIA_NACIONAL_2022_1106112113116117118119120[[#This Row],[CIE-10]]))</f>
        <v>0</v>
      </c>
      <c r="G61" s="3">
        <f>IF($B$2="(Todas)",COUNTIF(BASE[CODCIE104],GUIA_NACIONAL_2022_1106112113116117118119120[[#This Row],[CIE-10]]),COUNTIFS(BASE[Cod.Establecimiento],$B$2,BASE[CODCIE104],GUIA_NACIONAL_2022_1106112113116117118119120[[#This Row],[CIE-10]]))</f>
        <v>0</v>
      </c>
      <c r="H61" s="3">
        <f>IF($B$2="(Todas)",COUNTIF(BASE[CODCIE106],GUIA_NACIONAL_2022_1106112113116117118119120[[#This Row],[CIE-10]]),COUNTIFS(BASE[Cod.Establecimiento],$B$2,BASE[CODCIE106],GUIA_NACIONAL_2022_1106112113116117118119120[[#This Row],[CIE-10]]))</f>
        <v>0</v>
      </c>
      <c r="I61" s="3">
        <f>IF($B$2="(Todas)",COUNTIF(BASE[CODCIE108],GUIA_NACIONAL_2022_1106112113116117118119120[[#This Row],[CIE-10]]),COUNTIFS(BASE[Cod.Establecimiento],$B$2,BASE[CODCIE108],GUIA_NACIONAL_2022_1106112113116117118119120[[#This Row],[CIE-10]]))</f>
        <v>0</v>
      </c>
      <c r="J61" s="3">
        <f>IF($B$2="(Todas)",COUNTIF(BASE[CODCIE1010],GUIA_NACIONAL_2022_1106112113116117118119120[[#This Row],[CIE-10]]),COUNTIFS(BASE[Cod.Establecimiento],$B$2,BASE[CODCIE1010],GUIA_NACIONAL_2022_1106112113116117118119120[[#This Row],[CIE-10]]))</f>
        <v>0</v>
      </c>
      <c r="K61" s="9">
        <f>SUM(GUIA_NACIONAL_2022_1106112113116117118119120[[#This Row],[D1]:[D6]])</f>
        <v>0</v>
      </c>
      <c r="V61" s="32" t="s">
        <v>106</v>
      </c>
      <c r="W61" s="3">
        <f>IF($B$2="(Todas)",COUNTIF(BASE[CODCIE10],GUIA_NACIONAL_2022_1106128143146150152154[[#This Row],[CIE-10]]),COUNTIFS(BASE[Cod.Establecimiento],$B$2,BASE[CODCIE10],GUIA_NACIONAL_2022_1106128143146150152154[[#This Row],[CIE-10]]))</f>
        <v>0</v>
      </c>
      <c r="X61" s="3">
        <f>IF($B$2="(Todas)",COUNTIF(BASE[CODCIE102],GUIA_NACIONAL_2022_1106128143146150152154[[#This Row],[CIE-10]]),COUNTIFS(BASE[Cod.Establecimiento],$B$2,BASE[CODCIE102],GUIA_NACIONAL_2022_1106128143146150152154[[#This Row],[CIE-10]]))</f>
        <v>0</v>
      </c>
      <c r="Y61" s="3">
        <f>IF($B$2="(Todas)",COUNTIF(BASE[CODCIE104],GUIA_NACIONAL_2022_1106128143146150152154[[#This Row],[CIE-10]]),COUNTIFS(BASE[Cod.Establecimiento],$B$2,BASE[CODCIE104],GUIA_NACIONAL_2022_1106128143146150152154[[#This Row],[CIE-10]]))</f>
        <v>0</v>
      </c>
      <c r="Z61" s="3">
        <f>IF($B$2="(Todas)",COUNTIF(BASE[CODCIE106],GUIA_NACIONAL_2022_1106128143146150152154[[#This Row],[CIE-10]]),COUNTIFS(BASE[Cod.Establecimiento],$B$2,BASE[CODCIE106],GUIA_NACIONAL_2022_1106128143146150152154[[#This Row],[CIE-10]]))</f>
        <v>0</v>
      </c>
      <c r="AA61" s="3">
        <f>IF($B$2="(Todas)",COUNTIF(BASE[CODCIE108],GUIA_NACIONAL_2022_1106128143146150152154[[#This Row],[CIE-10]]),COUNTIFS(BASE[Cod.Establecimiento],$B$2,BASE[CODCIE108],GUIA_NACIONAL_2022_1106128143146150152154[[#This Row],[CIE-10]]))</f>
        <v>0</v>
      </c>
      <c r="AB61" s="3">
        <f>IF($B$2="(Todas)",COUNTIF(BASE[CODCIE1010],GUIA_NACIONAL_2022_1106128143146150152154[[#This Row],[CIE-10]]),COUNTIFS(BASE[Cod.Establecimiento],$B$2,BASE[CODCIE1010],GUIA_NACIONAL_2022_1106128143146150152154[[#This Row],[CIE-10]]))</f>
        <v>0</v>
      </c>
      <c r="AC61" s="9">
        <f>SUM(GUIA_NACIONAL_2022_1106128143146150152154[[#This Row],[D1]:[D6]])</f>
        <v>0</v>
      </c>
      <c r="AE61" s="4" t="s">
        <v>591</v>
      </c>
      <c r="AF61" s="3">
        <f>IF($B$2="(Todas)",COUNTIF(BASE[CODCIE10],GUIA_NACIONAL_2022_1106128105168175180[[#This Row],[CIE-10]]),COUNTIFS(BASE[Cod.Establecimiento],$B$2,BASE[CODCIE10],GUIA_NACIONAL_2022_1106128105168175180[[#This Row],[CIE-10]]))</f>
        <v>0</v>
      </c>
      <c r="AG61" s="3">
        <f>IF($B$2="(Todas)",COUNTIF(BASE[CODCIE102],GUIA_NACIONAL_2022_1106128105168175180[[#This Row],[CIE-10]]),COUNTIFS(BASE[Cod.Establecimiento],$B$2,BASE[CODCIE102],GUIA_NACIONAL_2022_1106128105168175180[[#This Row],[CIE-10]]))</f>
        <v>0</v>
      </c>
      <c r="AH61" s="3">
        <f>IF($B$2="(Todas)",COUNTIF(BASE[CODCIE104],GUIA_NACIONAL_2022_1106128105168175180[[#This Row],[CIE-10]]),COUNTIFS(BASE[Cod.Establecimiento],$B$2,BASE[CODCIE104],GUIA_NACIONAL_2022_1106128105168175180[[#This Row],[CIE-10]]))</f>
        <v>0</v>
      </c>
      <c r="AI61" s="3">
        <f>IF($B$2="(Todas)",COUNTIF(BASE[CODCIE106],GUIA_NACIONAL_2022_1106128105168175180[[#This Row],[CIE-10]]),COUNTIFS(BASE[Cod.Establecimiento],$B$2,BASE[CODCIE106],GUIA_NACIONAL_2022_1106128105168175180[[#This Row],[CIE-10]]))</f>
        <v>0</v>
      </c>
      <c r="AJ61" s="3">
        <f>IF($B$2="(Todas)",COUNTIF(BASE[CODCIE108],GUIA_NACIONAL_2022_1106128105168175180[[#This Row],[CIE-10]]),COUNTIFS(BASE[Cod.Establecimiento],$B$2,BASE[CODCIE108],GUIA_NACIONAL_2022_1106128105168175180[[#This Row],[CIE-10]]))</f>
        <v>0</v>
      </c>
      <c r="AK61" s="3">
        <f>IF($B$2="(Todas)",COUNTIF(BASE[CODCIE1010],GUIA_NACIONAL_2022_1106128105168175180[[#This Row],[CIE-10]]),COUNTIFS(BASE[Cod.Establecimiento],$B$2,BASE[CODCIE1010],GUIA_NACIONAL_2022_1106128105168175180[[#This Row],[CIE-10]]))</f>
        <v>0</v>
      </c>
      <c r="AL61" s="9">
        <f>SUM(GUIA_NACIONAL_2022_1106128105168175180[[#This Row],[D1]:[D6]])</f>
        <v>0</v>
      </c>
      <c r="BF61" s="150" t="s">
        <v>682</v>
      </c>
      <c r="BG61" s="150"/>
      <c r="BH61" s="150"/>
      <c r="BI61" s="150"/>
      <c r="BJ61" s="150"/>
      <c r="BK61" s="150"/>
      <c r="BL61" s="150"/>
      <c r="BM61" s="150"/>
      <c r="BO61" s="4" t="s">
        <v>332</v>
      </c>
      <c r="BP61" s="3">
        <f>IF($B$2="(Todas)",COUNTIF(BASE[CODCIE10],GUIA_NACIONAL_2022_1106128105107110207214216217236241244246[[#This Row],[CIE-10]]),COUNTIFS(BASE[Cod.Establecimiento],$B$2,BASE[CODCIE10],GUIA_NACIONAL_2022_1106128105107110207214216217236241244246[[#This Row],[CIE-10]]))</f>
        <v>0</v>
      </c>
      <c r="BQ61" s="3">
        <f>IF($B$2="(Todas)",COUNTIF(BASE[CODCIE102],GUIA_NACIONAL_2022_1106128105107110207214216217236241244246[[#This Row],[CIE-10]]),COUNTIFS(BASE[Cod.Establecimiento],$B$2,BASE[CODCIE102],GUIA_NACIONAL_2022_1106128105107110207214216217236241244246[[#This Row],[CIE-10]]))</f>
        <v>0</v>
      </c>
      <c r="BR61" s="3">
        <f>IF($B$2="(Todas)",COUNTIF(BASE[CODCIE104],GUIA_NACIONAL_2022_1106128105107110207214216217236241244246[[#This Row],[CIE-10]]),COUNTIFS(BASE[Cod.Establecimiento],$B$2,BASE[CODCIE104],GUIA_NACIONAL_2022_1106128105107110207214216217236241244246[[#This Row],[CIE-10]]))</f>
        <v>0</v>
      </c>
      <c r="BS61" s="3">
        <f>IF($B$2="(Todas)",COUNTIF(BASE[CODCIE106],GUIA_NACIONAL_2022_1106128105107110207214216217236241244246[[#This Row],[CIE-10]]),COUNTIFS(BASE[Cod.Establecimiento],$B$2,BASE[CODCIE106],GUIA_NACIONAL_2022_1106128105107110207214216217236241244246[[#This Row],[CIE-10]]))</f>
        <v>0</v>
      </c>
      <c r="BT61" s="3">
        <f>IF($B$2="(Todas)",COUNTIF(BASE[CODCIE108],GUIA_NACIONAL_2022_1106128105107110207214216217236241244246[[#This Row],[CIE-10]]),COUNTIFS(BASE[Cod.Establecimiento],$B$2,BASE[CODCIE108],GUIA_NACIONAL_2022_1106128105107110207214216217236241244246[[#This Row],[CIE-10]]))</f>
        <v>0</v>
      </c>
      <c r="BU61" s="3">
        <f>IF($B$2="(Todas)",COUNTIF(BASE[CODCIE1010],GUIA_NACIONAL_2022_1106128105107110207214216217236241244246[[#This Row],[CIE-10]]),COUNTIFS(BASE[Cod.Establecimiento],$B$2,BASE[CODCIE1010],GUIA_NACIONAL_2022_1106128105107110207214216217236241244246[[#This Row],[CIE-10]]))</f>
        <v>0</v>
      </c>
      <c r="BV61" s="9">
        <f>SUM(GUIA_NACIONAL_2022_1106128105107110207214216217236241244246[[#This Row],[D1]:[D6]])</f>
        <v>0</v>
      </c>
    </row>
    <row r="62" spans="1:92" ht="15" customHeight="1">
      <c r="A62" s="74"/>
      <c r="B62" s="74"/>
      <c r="D62" s="150" t="s">
        <v>453</v>
      </c>
      <c r="E62" s="150"/>
      <c r="F62" s="150"/>
      <c r="G62" s="150"/>
      <c r="H62" s="150"/>
      <c r="I62" s="150"/>
      <c r="J62" s="150"/>
      <c r="K62" s="150"/>
      <c r="V62" s="32" t="s">
        <v>84</v>
      </c>
      <c r="W62" s="3">
        <f>IF($B$2="(Todas)",COUNTIF(BASE[CODCIE10],GUIA_NACIONAL_2022_1106128143146150152154[[#This Row],[CIE-10]]),COUNTIFS(BASE[Cod.Establecimiento],$B$2,BASE[CODCIE10],GUIA_NACIONAL_2022_1106128143146150152154[[#This Row],[CIE-10]]))</f>
        <v>0</v>
      </c>
      <c r="X62" s="3">
        <f>IF($B$2="(Todas)",COUNTIF(BASE[CODCIE102],GUIA_NACIONAL_2022_1106128143146150152154[[#This Row],[CIE-10]]),COUNTIFS(BASE[Cod.Establecimiento],$B$2,BASE[CODCIE102],GUIA_NACIONAL_2022_1106128143146150152154[[#This Row],[CIE-10]]))</f>
        <v>0</v>
      </c>
      <c r="Y62" s="3">
        <f>IF($B$2="(Todas)",COUNTIF(BASE[CODCIE104],GUIA_NACIONAL_2022_1106128143146150152154[[#This Row],[CIE-10]]),COUNTIFS(BASE[Cod.Establecimiento],$B$2,BASE[CODCIE104],GUIA_NACIONAL_2022_1106128143146150152154[[#This Row],[CIE-10]]))</f>
        <v>0</v>
      </c>
      <c r="Z62" s="3">
        <f>IF($B$2="(Todas)",COUNTIF(BASE[CODCIE106],GUIA_NACIONAL_2022_1106128143146150152154[[#This Row],[CIE-10]]),COUNTIFS(BASE[Cod.Establecimiento],$B$2,BASE[CODCIE106],GUIA_NACIONAL_2022_1106128143146150152154[[#This Row],[CIE-10]]))</f>
        <v>0</v>
      </c>
      <c r="AA62" s="3">
        <f>IF($B$2="(Todas)",COUNTIF(BASE[CODCIE108],GUIA_NACIONAL_2022_1106128143146150152154[[#This Row],[CIE-10]]),COUNTIFS(BASE[Cod.Establecimiento],$B$2,BASE[CODCIE108],GUIA_NACIONAL_2022_1106128143146150152154[[#This Row],[CIE-10]]))</f>
        <v>0</v>
      </c>
      <c r="AB62" s="3">
        <f>IF($B$2="(Todas)",COUNTIF(BASE[CODCIE1010],GUIA_NACIONAL_2022_1106128143146150152154[[#This Row],[CIE-10]]),COUNTIFS(BASE[Cod.Establecimiento],$B$2,BASE[CODCIE1010],GUIA_NACIONAL_2022_1106128143146150152154[[#This Row],[CIE-10]]))</f>
        <v>0</v>
      </c>
      <c r="AC62" s="9">
        <f>SUM(GUIA_NACIONAL_2022_1106128143146150152154[[#This Row],[D1]:[D6]])</f>
        <v>0</v>
      </c>
      <c r="AE62" s="150" t="s">
        <v>592</v>
      </c>
      <c r="AF62" s="150"/>
      <c r="AG62" s="150"/>
      <c r="AH62" s="150"/>
      <c r="AI62" s="150"/>
      <c r="AJ62" s="150"/>
      <c r="AK62" s="150"/>
      <c r="AL62" s="150"/>
      <c r="BF62" t="s">
        <v>93</v>
      </c>
      <c r="BG62" s="3" t="s">
        <v>94</v>
      </c>
      <c r="BH62" s="3" t="s">
        <v>95</v>
      </c>
      <c r="BI62" s="3" t="s">
        <v>96</v>
      </c>
      <c r="BJ62" s="3" t="s">
        <v>97</v>
      </c>
      <c r="BK62" s="3" t="s">
        <v>98</v>
      </c>
      <c r="BL62" s="3" t="s">
        <v>99</v>
      </c>
      <c r="BM62" s="8" t="s">
        <v>100</v>
      </c>
      <c r="BO62" s="32" t="s">
        <v>323</v>
      </c>
      <c r="BP62" s="3">
        <f>IF($B$2="(Todas)",COUNTIF(BASE[CODCIE10],GUIA_NACIONAL_2022_1106128105107110207214216217236241244246[[#This Row],[CIE-10]]),COUNTIFS(BASE[Cod.Establecimiento],$B$2,BASE[CODCIE10],GUIA_NACIONAL_2022_1106128105107110207214216217236241244246[[#This Row],[CIE-10]]))</f>
        <v>0</v>
      </c>
      <c r="BQ62" s="3">
        <f>IF($B$2="(Todas)",COUNTIF(BASE[CODCIE102],GUIA_NACIONAL_2022_1106128105107110207214216217236241244246[[#This Row],[CIE-10]]),COUNTIFS(BASE[Cod.Establecimiento],$B$2,BASE[CODCIE102],GUIA_NACIONAL_2022_1106128105107110207214216217236241244246[[#This Row],[CIE-10]]))</f>
        <v>0</v>
      </c>
      <c r="BR62" s="3">
        <f>IF($B$2="(Todas)",COUNTIF(BASE[CODCIE104],GUIA_NACIONAL_2022_1106128105107110207214216217236241244246[[#This Row],[CIE-10]]),COUNTIFS(BASE[Cod.Establecimiento],$B$2,BASE[CODCIE104],GUIA_NACIONAL_2022_1106128105107110207214216217236241244246[[#This Row],[CIE-10]]))</f>
        <v>0</v>
      </c>
      <c r="BS62" s="3">
        <f>IF($B$2="(Todas)",COUNTIF(BASE[CODCIE106],GUIA_NACIONAL_2022_1106128105107110207214216217236241244246[[#This Row],[CIE-10]]),COUNTIFS(BASE[Cod.Establecimiento],$B$2,BASE[CODCIE106],GUIA_NACIONAL_2022_1106128105107110207214216217236241244246[[#This Row],[CIE-10]]))</f>
        <v>0</v>
      </c>
      <c r="BT62" s="3">
        <f>IF($B$2="(Todas)",COUNTIF(BASE[CODCIE108],GUIA_NACIONAL_2022_1106128105107110207214216217236241244246[[#This Row],[CIE-10]]),COUNTIFS(BASE[Cod.Establecimiento],$B$2,BASE[CODCIE108],GUIA_NACIONAL_2022_1106128105107110207214216217236241244246[[#This Row],[CIE-10]]))</f>
        <v>0</v>
      </c>
      <c r="BU62" s="3">
        <f>IF($B$2="(Todas)",COUNTIF(BASE[CODCIE1010],GUIA_NACIONAL_2022_1106128105107110207214216217236241244246[[#This Row],[CIE-10]]),COUNTIFS(BASE[Cod.Establecimiento],$B$2,BASE[CODCIE1010],GUIA_NACIONAL_2022_1106128105107110207214216217236241244246[[#This Row],[CIE-10]]))</f>
        <v>0</v>
      </c>
      <c r="BV62" s="9">
        <f>SUM(GUIA_NACIONAL_2022_1106128105107110207214216217236241244246[[#This Row],[D1]:[D6]])</f>
        <v>0</v>
      </c>
    </row>
    <row r="63" spans="1:92">
      <c r="D63" t="s">
        <v>93</v>
      </c>
      <c r="E63" s="3" t="s">
        <v>94</v>
      </c>
      <c r="F63" s="3" t="s">
        <v>95</v>
      </c>
      <c r="G63" s="3" t="s">
        <v>96</v>
      </c>
      <c r="H63" s="3" t="s">
        <v>97</v>
      </c>
      <c r="I63" s="3" t="s">
        <v>98</v>
      </c>
      <c r="J63" s="3" t="s">
        <v>99</v>
      </c>
      <c r="K63" s="8" t="s">
        <v>100</v>
      </c>
      <c r="V63" s="32" t="s">
        <v>110</v>
      </c>
      <c r="W63" s="3">
        <f>IF($B$2="(Todas)",COUNTIF(BASE[CODCIE10],GUIA_NACIONAL_2022_1106128143146150152154[[#This Row],[CIE-10]]),COUNTIFS(BASE[Cod.Establecimiento],$B$2,BASE[CODCIE10],GUIA_NACIONAL_2022_1106128143146150152154[[#This Row],[CIE-10]]))</f>
        <v>0</v>
      </c>
      <c r="X63" s="3">
        <f>IF($B$2="(Todas)",COUNTIF(BASE[CODCIE102],GUIA_NACIONAL_2022_1106128143146150152154[[#This Row],[CIE-10]]),COUNTIFS(BASE[Cod.Establecimiento],$B$2,BASE[CODCIE102],GUIA_NACIONAL_2022_1106128143146150152154[[#This Row],[CIE-10]]))</f>
        <v>0</v>
      </c>
      <c r="Y63" s="3">
        <f>IF($B$2="(Todas)",COUNTIF(BASE[CODCIE104],GUIA_NACIONAL_2022_1106128143146150152154[[#This Row],[CIE-10]]),COUNTIFS(BASE[Cod.Establecimiento],$B$2,BASE[CODCIE104],GUIA_NACIONAL_2022_1106128143146150152154[[#This Row],[CIE-10]]))</f>
        <v>0</v>
      </c>
      <c r="Z63" s="3">
        <f>IF($B$2="(Todas)",COUNTIF(BASE[CODCIE106],GUIA_NACIONAL_2022_1106128143146150152154[[#This Row],[CIE-10]]),COUNTIFS(BASE[Cod.Establecimiento],$B$2,BASE[CODCIE106],GUIA_NACIONAL_2022_1106128143146150152154[[#This Row],[CIE-10]]))</f>
        <v>0</v>
      </c>
      <c r="AA63" s="3">
        <f>IF($B$2="(Todas)",COUNTIF(BASE[CODCIE108],GUIA_NACIONAL_2022_1106128143146150152154[[#This Row],[CIE-10]]),COUNTIFS(BASE[Cod.Establecimiento],$B$2,BASE[CODCIE108],GUIA_NACIONAL_2022_1106128143146150152154[[#This Row],[CIE-10]]))</f>
        <v>0</v>
      </c>
      <c r="AB63" s="3">
        <f>IF($B$2="(Todas)",COUNTIF(BASE[CODCIE1010],GUIA_NACIONAL_2022_1106128143146150152154[[#This Row],[CIE-10]]),COUNTIFS(BASE[Cod.Establecimiento],$B$2,BASE[CODCIE1010],GUIA_NACIONAL_2022_1106128143146150152154[[#This Row],[CIE-10]]))</f>
        <v>0</v>
      </c>
      <c r="AC63" s="9">
        <f>SUM(GUIA_NACIONAL_2022_1106128143146150152154[[#This Row],[D1]:[D6]])</f>
        <v>0</v>
      </c>
      <c r="AE63" t="s">
        <v>93</v>
      </c>
      <c r="AF63" s="3" t="s">
        <v>94</v>
      </c>
      <c r="AG63" s="3" t="s">
        <v>95</v>
      </c>
      <c r="AH63" s="3" t="s">
        <v>96</v>
      </c>
      <c r="AI63" s="3" t="s">
        <v>97</v>
      </c>
      <c r="AJ63" s="3" t="s">
        <v>98</v>
      </c>
      <c r="AK63" s="3" t="s">
        <v>99</v>
      </c>
      <c r="AL63" s="8" t="s">
        <v>100</v>
      </c>
      <c r="BF63" s="4" t="s">
        <v>421</v>
      </c>
      <c r="BG63" s="3">
        <f>IF($B$2="(Todas)",COUNTIF(BASE[CODCIE10],GUIA_NACIONAL_2022_1106128105107110207214216221222223224226227[[#This Row],[CIE-10]]),COUNTIFS(BASE[Cod.Establecimiento],$B$2,BASE[CODCIE10],GUIA_NACIONAL_2022_1106128105107110207214216221222223224226227[[#This Row],[CIE-10]]))</f>
        <v>0</v>
      </c>
      <c r="BH63" s="3">
        <f>IF($B$2="(Todas)",COUNTIF(BASE[CODCIE102],GUIA_NACIONAL_2022_1106128105107110207214216221222223224226227[[#This Row],[CIE-10]]),COUNTIFS(BASE[Cod.Establecimiento],$B$2,BASE[CODCIE102],GUIA_NACIONAL_2022_1106128105107110207214216221222223224226227[[#This Row],[CIE-10]]))</f>
        <v>0</v>
      </c>
      <c r="BI63" s="3">
        <f>IF($B$2="(Todas)",COUNTIF(BASE[CODCIE104],GUIA_NACIONAL_2022_1106128105107110207214216221222223224226227[[#This Row],[CIE-10]]),COUNTIFS(BASE[Cod.Establecimiento],$B$2,BASE[CODCIE104],GUIA_NACIONAL_2022_1106128105107110207214216221222223224226227[[#This Row],[CIE-10]]))</f>
        <v>0</v>
      </c>
      <c r="BJ63" s="3">
        <f>IF($B$2="(Todas)",COUNTIF(BASE[CODCIE106],GUIA_NACIONAL_2022_1106128105107110207214216221222223224226227[[#This Row],[CIE-10]]),COUNTIFS(BASE[Cod.Establecimiento],$B$2,BASE[CODCIE106],GUIA_NACIONAL_2022_1106128105107110207214216221222223224226227[[#This Row],[CIE-10]]))</f>
        <v>0</v>
      </c>
      <c r="BK63" s="3">
        <f>IF($B$2="(Todas)",COUNTIF(BASE[CODCIE108],GUIA_NACIONAL_2022_1106128105107110207214216221222223224226227[[#This Row],[CIE-10]]),COUNTIFS(BASE[Cod.Establecimiento],$B$2,BASE[CODCIE108],GUIA_NACIONAL_2022_1106128105107110207214216221222223224226227[[#This Row],[CIE-10]]))</f>
        <v>0</v>
      </c>
      <c r="BL63" s="3">
        <f>IF($B$2="(Todas)",COUNTIF(BASE[CODCIE1010],GUIA_NACIONAL_2022_1106128105107110207214216221222223224226227[[#This Row],[CIE-10]]),COUNTIFS(BASE[Cod.Establecimiento],$B$2,BASE[CODCIE1010],GUIA_NACIONAL_2022_1106128105107110207214216221222223224226227[[#This Row],[CIE-10]]))</f>
        <v>0</v>
      </c>
      <c r="BM63" s="9">
        <f>SUM(GUIA_NACIONAL_2022_1106128105107110207214216221222223224226227[[#This Row],[D1]:[D6]])</f>
        <v>0</v>
      </c>
      <c r="BO63" s="32" t="s">
        <v>324</v>
      </c>
      <c r="BP63" s="3">
        <f>IF($B$2="(Todas)",COUNTIF(BASE[CODCIE10],GUIA_NACIONAL_2022_1106128105107110207214216217236241244246[[#This Row],[CIE-10]]),COUNTIFS(BASE[Cod.Establecimiento],$B$2,BASE[CODCIE10],GUIA_NACIONAL_2022_1106128105107110207214216217236241244246[[#This Row],[CIE-10]]))</f>
        <v>0</v>
      </c>
      <c r="BQ63" s="3">
        <f>IF($B$2="(Todas)",COUNTIF(BASE[CODCIE102],GUIA_NACIONAL_2022_1106128105107110207214216217236241244246[[#This Row],[CIE-10]]),COUNTIFS(BASE[Cod.Establecimiento],$B$2,BASE[CODCIE102],GUIA_NACIONAL_2022_1106128105107110207214216217236241244246[[#This Row],[CIE-10]]))</f>
        <v>0</v>
      </c>
      <c r="BR63" s="3">
        <f>IF($B$2="(Todas)",COUNTIF(BASE[CODCIE104],GUIA_NACIONAL_2022_1106128105107110207214216217236241244246[[#This Row],[CIE-10]]),COUNTIFS(BASE[Cod.Establecimiento],$B$2,BASE[CODCIE104],GUIA_NACIONAL_2022_1106128105107110207214216217236241244246[[#This Row],[CIE-10]]))</f>
        <v>0</v>
      </c>
      <c r="BS63" s="3">
        <f>IF($B$2="(Todas)",COUNTIF(BASE[CODCIE106],GUIA_NACIONAL_2022_1106128105107110207214216217236241244246[[#This Row],[CIE-10]]),COUNTIFS(BASE[Cod.Establecimiento],$B$2,BASE[CODCIE106],GUIA_NACIONAL_2022_1106128105107110207214216217236241244246[[#This Row],[CIE-10]]))</f>
        <v>0</v>
      </c>
      <c r="BT63" s="3">
        <f>IF($B$2="(Todas)",COUNTIF(BASE[CODCIE108],GUIA_NACIONAL_2022_1106128105107110207214216217236241244246[[#This Row],[CIE-10]]),COUNTIFS(BASE[Cod.Establecimiento],$B$2,BASE[CODCIE108],GUIA_NACIONAL_2022_1106128105107110207214216217236241244246[[#This Row],[CIE-10]]))</f>
        <v>0</v>
      </c>
      <c r="BU63" s="3">
        <f>IF($B$2="(Todas)",COUNTIF(BASE[CODCIE1010],GUIA_NACIONAL_2022_1106128105107110207214216217236241244246[[#This Row],[CIE-10]]),COUNTIFS(BASE[Cod.Establecimiento],$B$2,BASE[CODCIE1010],GUIA_NACIONAL_2022_1106128105107110207214216217236241244246[[#This Row],[CIE-10]]))</f>
        <v>0</v>
      </c>
      <c r="BV63" s="9">
        <f>SUM(GUIA_NACIONAL_2022_1106128105107110207214216217236241244246[[#This Row],[D1]:[D6]])</f>
        <v>0</v>
      </c>
    </row>
    <row r="64" spans="1:92">
      <c r="D64" s="4" t="s">
        <v>418</v>
      </c>
      <c r="E64" s="3">
        <f>IF($B$2="(Todas)",COUNTIF(BASE[CODCIE10],GUIA_NACIONAL_2022_1106112113116117118119120121[[#This Row],[CIE-10]]),COUNTIFS(BASE[Cod.Establecimiento],$B$2,BASE[CODCIE10],GUIA_NACIONAL_2022_1106112113116117118119120121[[#This Row],[CIE-10]]))</f>
        <v>0</v>
      </c>
      <c r="F64" s="3">
        <f>IF($B$2="(Todas)",COUNTIF(BASE[CODCIE102],GUIA_NACIONAL_2022_1106112113116117118119120121[[#This Row],[CIE-10]]),COUNTIFS(BASE[Cod.Establecimiento],$B$2,BASE[CODCIE102],GUIA_NACIONAL_2022_1106112113116117118119120121[[#This Row],[CIE-10]]))</f>
        <v>0</v>
      </c>
      <c r="G64" s="3">
        <f>IF($B$2="(Todas)",COUNTIF(BASE[CODCIE104],GUIA_NACIONAL_2022_1106112113116117118119120121[[#This Row],[CIE-10]]),COUNTIFS(BASE[Cod.Establecimiento],$B$2,BASE[CODCIE104],GUIA_NACIONAL_2022_1106112113116117118119120121[[#This Row],[CIE-10]]))</f>
        <v>0</v>
      </c>
      <c r="H64" s="3">
        <f>IF($B$2="(Todas)",COUNTIF(BASE[CODCIE106],GUIA_NACIONAL_2022_1106112113116117118119120121[[#This Row],[CIE-10]]),COUNTIFS(BASE[Cod.Establecimiento],$B$2,BASE[CODCIE106],GUIA_NACIONAL_2022_1106112113116117118119120121[[#This Row],[CIE-10]]))</f>
        <v>0</v>
      </c>
      <c r="I64" s="3">
        <f>IF($B$2="(Todas)",COUNTIF(BASE[CODCIE108],GUIA_NACIONAL_2022_1106112113116117118119120121[[#This Row],[CIE-10]]),COUNTIFS(BASE[Cod.Establecimiento],$B$2,BASE[CODCIE108],GUIA_NACIONAL_2022_1106112113116117118119120121[[#This Row],[CIE-10]]))</f>
        <v>0</v>
      </c>
      <c r="J64" s="3">
        <f>IF($B$2="(Todas)",COUNTIF(BASE[CODCIE1010],GUIA_NACIONAL_2022_1106112113116117118119120121[[#This Row],[CIE-10]]),COUNTIFS(BASE[Cod.Establecimiento],$B$2,BASE[CODCIE1010],GUIA_NACIONAL_2022_1106112113116117118119120121[[#This Row],[CIE-10]]))</f>
        <v>0</v>
      </c>
      <c r="K64" s="9">
        <f>SUM(GUIA_NACIONAL_2022_1106112113116117118119120121[[#This Row],[D1]:[D6]])</f>
        <v>0</v>
      </c>
      <c r="V64" s="32" t="s">
        <v>113</v>
      </c>
      <c r="W64" s="3">
        <f>IF($B$2="(Todas)",COUNTIF(BASE[CODCIE10],GUIA_NACIONAL_2022_1106128143146150152154[[#This Row],[CIE-10]]),COUNTIFS(BASE[Cod.Establecimiento],$B$2,BASE[CODCIE10],GUIA_NACIONAL_2022_1106128143146150152154[[#This Row],[CIE-10]]))</f>
        <v>0</v>
      </c>
      <c r="X64" s="3">
        <f>IF($B$2="(Todas)",COUNTIF(BASE[CODCIE102],GUIA_NACIONAL_2022_1106128143146150152154[[#This Row],[CIE-10]]),COUNTIFS(BASE[Cod.Establecimiento],$B$2,BASE[CODCIE102],GUIA_NACIONAL_2022_1106128143146150152154[[#This Row],[CIE-10]]))</f>
        <v>0</v>
      </c>
      <c r="Y64" s="3">
        <f>IF($B$2="(Todas)",COUNTIF(BASE[CODCIE104],GUIA_NACIONAL_2022_1106128143146150152154[[#This Row],[CIE-10]]),COUNTIFS(BASE[Cod.Establecimiento],$B$2,BASE[CODCIE104],GUIA_NACIONAL_2022_1106128143146150152154[[#This Row],[CIE-10]]))</f>
        <v>0</v>
      </c>
      <c r="Z64" s="3">
        <f>IF($B$2="(Todas)",COUNTIF(BASE[CODCIE106],GUIA_NACIONAL_2022_1106128143146150152154[[#This Row],[CIE-10]]),COUNTIFS(BASE[Cod.Establecimiento],$B$2,BASE[CODCIE106],GUIA_NACIONAL_2022_1106128143146150152154[[#This Row],[CIE-10]]))</f>
        <v>0</v>
      </c>
      <c r="AA64" s="3">
        <f>IF($B$2="(Todas)",COUNTIF(BASE[CODCIE108],GUIA_NACIONAL_2022_1106128143146150152154[[#This Row],[CIE-10]]),COUNTIFS(BASE[Cod.Establecimiento],$B$2,BASE[CODCIE108],GUIA_NACIONAL_2022_1106128143146150152154[[#This Row],[CIE-10]]))</f>
        <v>0</v>
      </c>
      <c r="AB64" s="3">
        <f>IF($B$2="(Todas)",COUNTIF(BASE[CODCIE1010],GUIA_NACIONAL_2022_1106128143146150152154[[#This Row],[CIE-10]]),COUNTIFS(BASE[Cod.Establecimiento],$B$2,BASE[CODCIE1010],GUIA_NACIONAL_2022_1106128143146150152154[[#This Row],[CIE-10]]))</f>
        <v>0</v>
      </c>
      <c r="AC64" s="9">
        <f>SUM(GUIA_NACIONAL_2022_1106128143146150152154[[#This Row],[D1]:[D6]])</f>
        <v>0</v>
      </c>
      <c r="AE64" s="4" t="s">
        <v>584</v>
      </c>
      <c r="AF64" s="3">
        <f>IF($B$2="(Todas)",COUNTIF(BASE[CODCIE10],GUIA_NACIONAL_2022_1106128105168175180181[[#This Row],[CIE-10]]),COUNTIFS(BASE[Cod.Establecimiento],$B$2,BASE[CODCIE10],GUIA_NACIONAL_2022_1106128105168175180181[[#This Row],[CIE-10]]))</f>
        <v>0</v>
      </c>
      <c r="AG64" s="3">
        <f>IF($B$2="(Todas)",COUNTIF(BASE[CODCIE102],GUIA_NACIONAL_2022_1106128105168175180181[[#This Row],[CIE-10]]),COUNTIFS(BASE[Cod.Establecimiento],$B$2,BASE[CODCIE102],GUIA_NACIONAL_2022_1106128105168175180181[[#This Row],[CIE-10]]))</f>
        <v>0</v>
      </c>
      <c r="AH64" s="3">
        <f>IF($B$2="(Todas)",COUNTIF(BASE[CODCIE104],GUIA_NACIONAL_2022_1106128105168175180181[[#This Row],[CIE-10]]),COUNTIFS(BASE[Cod.Establecimiento],$B$2,BASE[CODCIE104],GUIA_NACIONAL_2022_1106128105168175180181[[#This Row],[CIE-10]]))</f>
        <v>0</v>
      </c>
      <c r="AI64" s="3">
        <f>IF($B$2="(Todas)",COUNTIF(BASE[CODCIE106],GUIA_NACIONAL_2022_1106128105168175180181[[#This Row],[CIE-10]]),COUNTIFS(BASE[Cod.Establecimiento],$B$2,BASE[CODCIE106],GUIA_NACIONAL_2022_1106128105168175180181[[#This Row],[CIE-10]]))</f>
        <v>0</v>
      </c>
      <c r="AJ64" s="3">
        <f>IF($B$2="(Todas)",COUNTIF(BASE[CODCIE108],GUIA_NACIONAL_2022_1106128105168175180181[[#This Row],[CIE-10]]),COUNTIFS(BASE[Cod.Establecimiento],$B$2,BASE[CODCIE108],GUIA_NACIONAL_2022_1106128105168175180181[[#This Row],[CIE-10]]))</f>
        <v>0</v>
      </c>
      <c r="AK64" s="3">
        <f>IF($B$2="(Todas)",COUNTIF(BASE[CODCIE1010],GUIA_NACIONAL_2022_1106128105168175180181[[#This Row],[CIE-10]]),COUNTIFS(BASE[Cod.Establecimiento],$B$2,BASE[CODCIE1010],GUIA_NACIONAL_2022_1106128105168175180181[[#This Row],[CIE-10]]))</f>
        <v>0</v>
      </c>
      <c r="AL64" s="9">
        <f>SUM(GUIA_NACIONAL_2022_1106128105168175180181[[#This Row],[D1]:[D6]])</f>
        <v>0</v>
      </c>
      <c r="BF64" s="4" t="s">
        <v>422</v>
      </c>
      <c r="BG64" s="3">
        <f>IF($B$2="(Todas)",COUNTIF(BASE[CODCIE10],GUIA_NACIONAL_2022_1106128105107110207214216221222223224226227[[#This Row],[CIE-10]]),COUNTIFS(BASE[Cod.Establecimiento],$B$2,BASE[CODCIE10],GUIA_NACIONAL_2022_1106128105107110207214216221222223224226227[[#This Row],[CIE-10]]))</f>
        <v>0</v>
      </c>
      <c r="BH64" s="3">
        <f>IF($B$2="(Todas)",COUNTIF(BASE[CODCIE102],GUIA_NACIONAL_2022_1106128105107110207214216221222223224226227[[#This Row],[CIE-10]]),COUNTIFS(BASE[Cod.Establecimiento],$B$2,BASE[CODCIE102],GUIA_NACIONAL_2022_1106128105107110207214216221222223224226227[[#This Row],[CIE-10]]))</f>
        <v>0</v>
      </c>
      <c r="BI64" s="3">
        <f>IF($B$2="(Todas)",COUNTIF(BASE[CODCIE104],GUIA_NACIONAL_2022_1106128105107110207214216221222223224226227[[#This Row],[CIE-10]]),COUNTIFS(BASE[Cod.Establecimiento],$B$2,BASE[CODCIE104],GUIA_NACIONAL_2022_1106128105107110207214216221222223224226227[[#This Row],[CIE-10]]))</f>
        <v>0</v>
      </c>
      <c r="BJ64" s="3">
        <f>IF($B$2="(Todas)",COUNTIF(BASE[CODCIE106],GUIA_NACIONAL_2022_1106128105107110207214216221222223224226227[[#This Row],[CIE-10]]),COUNTIFS(BASE[Cod.Establecimiento],$B$2,BASE[CODCIE106],GUIA_NACIONAL_2022_1106128105107110207214216221222223224226227[[#This Row],[CIE-10]]))</f>
        <v>0</v>
      </c>
      <c r="BK64" s="3">
        <f>IF($B$2="(Todas)",COUNTIF(BASE[CODCIE108],GUIA_NACIONAL_2022_1106128105107110207214216221222223224226227[[#This Row],[CIE-10]]),COUNTIFS(BASE[Cod.Establecimiento],$B$2,BASE[CODCIE108],GUIA_NACIONAL_2022_1106128105107110207214216221222223224226227[[#This Row],[CIE-10]]))</f>
        <v>0</v>
      </c>
      <c r="BL64" s="3">
        <f>IF($B$2="(Todas)",COUNTIF(BASE[CODCIE1010],GUIA_NACIONAL_2022_1106128105107110207214216221222223224226227[[#This Row],[CIE-10]]),COUNTIFS(BASE[Cod.Establecimiento],$B$2,BASE[CODCIE1010],GUIA_NACIONAL_2022_1106128105107110207214216221222223224226227[[#This Row],[CIE-10]]))</f>
        <v>0</v>
      </c>
      <c r="BM64" s="9">
        <f>SUM(GUIA_NACIONAL_2022_1106128105107110207214216221222223224226227[[#This Row],[D1]:[D6]])</f>
        <v>0</v>
      </c>
      <c r="BO64" s="32" t="s">
        <v>326</v>
      </c>
      <c r="BP64" s="3">
        <f>IF($B$2="(Todas)",COUNTIF(BASE[CODCIE10],GUIA_NACIONAL_2022_1106128105107110207214216217236241244246[[#This Row],[CIE-10]]),COUNTIFS(BASE[Cod.Establecimiento],$B$2,BASE[CODCIE10],GUIA_NACIONAL_2022_1106128105107110207214216217236241244246[[#This Row],[CIE-10]]))</f>
        <v>0</v>
      </c>
      <c r="BQ64" s="3">
        <f>IF($B$2="(Todas)",COUNTIF(BASE[CODCIE102],GUIA_NACIONAL_2022_1106128105107110207214216217236241244246[[#This Row],[CIE-10]]),COUNTIFS(BASE[Cod.Establecimiento],$B$2,BASE[CODCIE102],GUIA_NACIONAL_2022_1106128105107110207214216217236241244246[[#This Row],[CIE-10]]))</f>
        <v>0</v>
      </c>
      <c r="BR64" s="3">
        <f>IF($B$2="(Todas)",COUNTIF(BASE[CODCIE104],GUIA_NACIONAL_2022_1106128105107110207214216217236241244246[[#This Row],[CIE-10]]),COUNTIFS(BASE[Cod.Establecimiento],$B$2,BASE[CODCIE104],GUIA_NACIONAL_2022_1106128105107110207214216217236241244246[[#This Row],[CIE-10]]))</f>
        <v>0</v>
      </c>
      <c r="BS64" s="3">
        <f>IF($B$2="(Todas)",COUNTIF(BASE[CODCIE106],GUIA_NACIONAL_2022_1106128105107110207214216217236241244246[[#This Row],[CIE-10]]),COUNTIFS(BASE[Cod.Establecimiento],$B$2,BASE[CODCIE106],GUIA_NACIONAL_2022_1106128105107110207214216217236241244246[[#This Row],[CIE-10]]))</f>
        <v>0</v>
      </c>
      <c r="BT64" s="3">
        <f>IF($B$2="(Todas)",COUNTIF(BASE[CODCIE108],GUIA_NACIONAL_2022_1106128105107110207214216217236241244246[[#This Row],[CIE-10]]),COUNTIFS(BASE[Cod.Establecimiento],$B$2,BASE[CODCIE108],GUIA_NACIONAL_2022_1106128105107110207214216217236241244246[[#This Row],[CIE-10]]))</f>
        <v>0</v>
      </c>
      <c r="BU64" s="3">
        <f>IF($B$2="(Todas)",COUNTIF(BASE[CODCIE1010],GUIA_NACIONAL_2022_1106128105107110207214216217236241244246[[#This Row],[CIE-10]]),COUNTIFS(BASE[Cod.Establecimiento],$B$2,BASE[CODCIE1010],GUIA_NACIONAL_2022_1106128105107110207214216217236241244246[[#This Row],[CIE-10]]))</f>
        <v>0</v>
      </c>
      <c r="BV64" s="9">
        <f>SUM(GUIA_NACIONAL_2022_1106128105107110207214216217236241244246[[#This Row],[D1]:[D6]])</f>
        <v>0</v>
      </c>
    </row>
    <row r="65" spans="4:74">
      <c r="D65" s="150" t="s">
        <v>454</v>
      </c>
      <c r="E65" s="150"/>
      <c r="F65" s="150"/>
      <c r="G65" s="150"/>
      <c r="H65" s="150"/>
      <c r="I65" s="150"/>
      <c r="J65" s="150"/>
      <c r="K65" s="150"/>
      <c r="V65" s="32" t="s">
        <v>116</v>
      </c>
      <c r="W65" s="3">
        <f>IF($B$2="(Todas)",COUNTIF(BASE[CODCIE10],GUIA_NACIONAL_2022_1106128143146150152154[[#This Row],[CIE-10]]),COUNTIFS(BASE[Cod.Establecimiento],$B$2,BASE[CODCIE10],GUIA_NACIONAL_2022_1106128143146150152154[[#This Row],[CIE-10]]))</f>
        <v>0</v>
      </c>
      <c r="X65" s="3">
        <f>IF($B$2="(Todas)",COUNTIF(BASE[CODCIE102],GUIA_NACIONAL_2022_1106128143146150152154[[#This Row],[CIE-10]]),COUNTIFS(BASE[Cod.Establecimiento],$B$2,BASE[CODCIE102],GUIA_NACIONAL_2022_1106128143146150152154[[#This Row],[CIE-10]]))</f>
        <v>0</v>
      </c>
      <c r="Y65" s="3">
        <f>IF($B$2="(Todas)",COUNTIF(BASE[CODCIE104],GUIA_NACIONAL_2022_1106128143146150152154[[#This Row],[CIE-10]]),COUNTIFS(BASE[Cod.Establecimiento],$B$2,BASE[CODCIE104],GUIA_NACIONAL_2022_1106128143146150152154[[#This Row],[CIE-10]]))</f>
        <v>0</v>
      </c>
      <c r="Z65" s="3">
        <f>IF($B$2="(Todas)",COUNTIF(BASE[CODCIE106],GUIA_NACIONAL_2022_1106128143146150152154[[#This Row],[CIE-10]]),COUNTIFS(BASE[Cod.Establecimiento],$B$2,BASE[CODCIE106],GUIA_NACIONAL_2022_1106128143146150152154[[#This Row],[CIE-10]]))</f>
        <v>0</v>
      </c>
      <c r="AA65" s="3">
        <f>IF($B$2="(Todas)",COUNTIF(BASE[CODCIE108],GUIA_NACIONAL_2022_1106128143146150152154[[#This Row],[CIE-10]]),COUNTIFS(BASE[Cod.Establecimiento],$B$2,BASE[CODCIE108],GUIA_NACIONAL_2022_1106128143146150152154[[#This Row],[CIE-10]]))</f>
        <v>0</v>
      </c>
      <c r="AB65" s="3">
        <f>IF($B$2="(Todas)",COUNTIF(BASE[CODCIE1010],GUIA_NACIONAL_2022_1106128143146150152154[[#This Row],[CIE-10]]),COUNTIFS(BASE[Cod.Establecimiento],$B$2,BASE[CODCIE1010],GUIA_NACIONAL_2022_1106128143146150152154[[#This Row],[CIE-10]]))</f>
        <v>0</v>
      </c>
      <c r="AC65" s="9">
        <f>SUM(GUIA_NACIONAL_2022_1106128143146150152154[[#This Row],[D1]:[D6]])</f>
        <v>0</v>
      </c>
      <c r="AE65" s="150" t="s">
        <v>593</v>
      </c>
      <c r="AF65" s="150"/>
      <c r="AG65" s="150"/>
      <c r="AH65" s="150"/>
      <c r="AI65" s="150"/>
      <c r="AJ65" s="150"/>
      <c r="AK65" s="150"/>
      <c r="AL65" s="150"/>
      <c r="BF65" s="4" t="s">
        <v>423</v>
      </c>
      <c r="BG65" s="3">
        <f>IF($B$2="(Todas)",COUNTIF(BASE[CODCIE10],GUIA_NACIONAL_2022_1106128105107110207214216221222223224226227[[#This Row],[CIE-10]]),COUNTIFS(BASE[Cod.Establecimiento],$B$2,BASE[CODCIE10],GUIA_NACIONAL_2022_1106128105107110207214216221222223224226227[[#This Row],[CIE-10]]))</f>
        <v>0</v>
      </c>
      <c r="BH65" s="3">
        <f>IF($B$2="(Todas)",COUNTIF(BASE[CODCIE102],GUIA_NACIONAL_2022_1106128105107110207214216221222223224226227[[#This Row],[CIE-10]]),COUNTIFS(BASE[Cod.Establecimiento],$B$2,BASE[CODCIE102],GUIA_NACIONAL_2022_1106128105107110207214216221222223224226227[[#This Row],[CIE-10]]))</f>
        <v>0</v>
      </c>
      <c r="BI65" s="3">
        <f>IF($B$2="(Todas)",COUNTIF(BASE[CODCIE104],GUIA_NACIONAL_2022_1106128105107110207214216221222223224226227[[#This Row],[CIE-10]]),COUNTIFS(BASE[Cod.Establecimiento],$B$2,BASE[CODCIE104],GUIA_NACIONAL_2022_1106128105107110207214216221222223224226227[[#This Row],[CIE-10]]))</f>
        <v>0</v>
      </c>
      <c r="BJ65" s="3">
        <f>IF($B$2="(Todas)",COUNTIF(BASE[CODCIE106],GUIA_NACIONAL_2022_1106128105107110207214216221222223224226227[[#This Row],[CIE-10]]),COUNTIFS(BASE[Cod.Establecimiento],$B$2,BASE[CODCIE106],GUIA_NACIONAL_2022_1106128105107110207214216221222223224226227[[#This Row],[CIE-10]]))</f>
        <v>0</v>
      </c>
      <c r="BK65" s="3">
        <f>IF($B$2="(Todas)",COUNTIF(BASE[CODCIE108],GUIA_NACIONAL_2022_1106128105107110207214216221222223224226227[[#This Row],[CIE-10]]),COUNTIFS(BASE[Cod.Establecimiento],$B$2,BASE[CODCIE108],GUIA_NACIONAL_2022_1106128105107110207214216221222223224226227[[#This Row],[CIE-10]]))</f>
        <v>0</v>
      </c>
      <c r="BL65" s="3">
        <f>IF($B$2="(Todas)",COUNTIF(BASE[CODCIE1010],GUIA_NACIONAL_2022_1106128105107110207214216221222223224226227[[#This Row],[CIE-10]]),COUNTIFS(BASE[Cod.Establecimiento],$B$2,BASE[CODCIE1010],GUIA_NACIONAL_2022_1106128105107110207214216221222223224226227[[#This Row],[CIE-10]]))</f>
        <v>0</v>
      </c>
      <c r="BM65" s="9">
        <f>SUM(GUIA_NACIONAL_2022_1106128105107110207214216221222223224226227[[#This Row],[D1]:[D6]])</f>
        <v>0</v>
      </c>
      <c r="BO65" s="32" t="s">
        <v>335</v>
      </c>
      <c r="BP65" s="3">
        <f>IF($B$2="(Todas)",COUNTIF(BASE[CODCIE10],GUIA_NACIONAL_2022_1106128105107110207214216217236241244246[[#This Row],[CIE-10]]),COUNTIFS(BASE[Cod.Establecimiento],$B$2,BASE[CODCIE10],GUIA_NACIONAL_2022_1106128105107110207214216217236241244246[[#This Row],[CIE-10]]))</f>
        <v>0</v>
      </c>
      <c r="BQ65" s="3">
        <f>IF($B$2="(Todas)",COUNTIF(BASE[CODCIE102],GUIA_NACIONAL_2022_1106128105107110207214216217236241244246[[#This Row],[CIE-10]]),COUNTIFS(BASE[Cod.Establecimiento],$B$2,BASE[CODCIE102],GUIA_NACIONAL_2022_1106128105107110207214216217236241244246[[#This Row],[CIE-10]]))</f>
        <v>0</v>
      </c>
      <c r="BR65" s="3">
        <f>IF($B$2="(Todas)",COUNTIF(BASE[CODCIE104],GUIA_NACIONAL_2022_1106128105107110207214216217236241244246[[#This Row],[CIE-10]]),COUNTIFS(BASE[Cod.Establecimiento],$B$2,BASE[CODCIE104],GUIA_NACIONAL_2022_1106128105107110207214216217236241244246[[#This Row],[CIE-10]]))</f>
        <v>0</v>
      </c>
      <c r="BS65" s="3">
        <f>IF($B$2="(Todas)",COUNTIF(BASE[CODCIE106],GUIA_NACIONAL_2022_1106128105107110207214216217236241244246[[#This Row],[CIE-10]]),COUNTIFS(BASE[Cod.Establecimiento],$B$2,BASE[CODCIE106],GUIA_NACIONAL_2022_1106128105107110207214216217236241244246[[#This Row],[CIE-10]]))</f>
        <v>0</v>
      </c>
      <c r="BT65" s="3">
        <f>IF($B$2="(Todas)",COUNTIF(BASE[CODCIE108],GUIA_NACIONAL_2022_1106128105107110207214216217236241244246[[#This Row],[CIE-10]]),COUNTIFS(BASE[Cod.Establecimiento],$B$2,BASE[CODCIE108],GUIA_NACIONAL_2022_1106128105107110207214216217236241244246[[#This Row],[CIE-10]]))</f>
        <v>0</v>
      </c>
      <c r="BU65" s="3">
        <f>IF($B$2="(Todas)",COUNTIF(BASE[CODCIE1010],GUIA_NACIONAL_2022_1106128105107110207214216217236241244246[[#This Row],[CIE-10]]),COUNTIFS(BASE[Cod.Establecimiento],$B$2,BASE[CODCIE1010],GUIA_NACIONAL_2022_1106128105107110207214216217236241244246[[#This Row],[CIE-10]]))</f>
        <v>0</v>
      </c>
      <c r="BV65" s="9">
        <f>SUM(GUIA_NACIONAL_2022_1106128105107110207214216217236241244246[[#This Row],[D1]:[D6]])</f>
        <v>0</v>
      </c>
    </row>
    <row r="66" spans="4:74">
      <c r="D66" t="s">
        <v>93</v>
      </c>
      <c r="E66" s="3" t="s">
        <v>94</v>
      </c>
      <c r="F66" s="3" t="s">
        <v>95</v>
      </c>
      <c r="G66" s="3" t="s">
        <v>96</v>
      </c>
      <c r="H66" s="3" t="s">
        <v>97</v>
      </c>
      <c r="I66" s="3" t="s">
        <v>98</v>
      </c>
      <c r="J66" s="3" t="s">
        <v>99</v>
      </c>
      <c r="K66" s="8" t="s">
        <v>100</v>
      </c>
      <c r="V66" s="32" t="s">
        <v>118</v>
      </c>
      <c r="W66" s="3">
        <f>IF($B$2="(Todas)",COUNTIF(BASE[CODCIE10],GUIA_NACIONAL_2022_1106128143146150152154[[#This Row],[CIE-10]]),COUNTIFS(BASE[Cod.Establecimiento],$B$2,BASE[CODCIE10],GUIA_NACIONAL_2022_1106128143146150152154[[#This Row],[CIE-10]]))</f>
        <v>0</v>
      </c>
      <c r="X66" s="3">
        <f>IF($B$2="(Todas)",COUNTIF(BASE[CODCIE102],GUIA_NACIONAL_2022_1106128143146150152154[[#This Row],[CIE-10]]),COUNTIFS(BASE[Cod.Establecimiento],$B$2,BASE[CODCIE102],GUIA_NACIONAL_2022_1106128143146150152154[[#This Row],[CIE-10]]))</f>
        <v>0</v>
      </c>
      <c r="Y66" s="3">
        <f>IF($B$2="(Todas)",COUNTIF(BASE[CODCIE104],GUIA_NACIONAL_2022_1106128143146150152154[[#This Row],[CIE-10]]),COUNTIFS(BASE[Cod.Establecimiento],$B$2,BASE[CODCIE104],GUIA_NACIONAL_2022_1106128143146150152154[[#This Row],[CIE-10]]))</f>
        <v>0</v>
      </c>
      <c r="Z66" s="3">
        <f>IF($B$2="(Todas)",COUNTIF(BASE[CODCIE106],GUIA_NACIONAL_2022_1106128143146150152154[[#This Row],[CIE-10]]),COUNTIFS(BASE[Cod.Establecimiento],$B$2,BASE[CODCIE106],GUIA_NACIONAL_2022_1106128143146150152154[[#This Row],[CIE-10]]))</f>
        <v>0</v>
      </c>
      <c r="AA66" s="3">
        <f>IF($B$2="(Todas)",COUNTIF(BASE[CODCIE108],GUIA_NACIONAL_2022_1106128143146150152154[[#This Row],[CIE-10]]),COUNTIFS(BASE[Cod.Establecimiento],$B$2,BASE[CODCIE108],GUIA_NACIONAL_2022_1106128143146150152154[[#This Row],[CIE-10]]))</f>
        <v>0</v>
      </c>
      <c r="AB66" s="3">
        <f>IF($B$2="(Todas)",COUNTIF(BASE[CODCIE1010],GUIA_NACIONAL_2022_1106128143146150152154[[#This Row],[CIE-10]]),COUNTIFS(BASE[Cod.Establecimiento],$B$2,BASE[CODCIE1010],GUIA_NACIONAL_2022_1106128143146150152154[[#This Row],[CIE-10]]))</f>
        <v>0</v>
      </c>
      <c r="AC66" s="9">
        <f>SUM(GUIA_NACIONAL_2022_1106128143146150152154[[#This Row],[D1]:[D6]])</f>
        <v>0</v>
      </c>
      <c r="AE66" t="s">
        <v>93</v>
      </c>
      <c r="AF66" s="3" t="s">
        <v>94</v>
      </c>
      <c r="AG66" s="3" t="s">
        <v>95</v>
      </c>
      <c r="AH66" s="3" t="s">
        <v>96</v>
      </c>
      <c r="AI66" s="3" t="s">
        <v>97</v>
      </c>
      <c r="AJ66" s="3" t="s">
        <v>98</v>
      </c>
      <c r="AK66" s="3" t="s">
        <v>99</v>
      </c>
      <c r="AL66" s="8" t="s">
        <v>100</v>
      </c>
      <c r="BF66" s="4" t="s">
        <v>424</v>
      </c>
      <c r="BG66" s="3">
        <f>IF($B$2="(Todas)",COUNTIF(BASE[CODCIE10],GUIA_NACIONAL_2022_1106128105107110207214216221222223224226227[[#This Row],[CIE-10]]),COUNTIFS(BASE[Cod.Establecimiento],$B$2,BASE[CODCIE10],GUIA_NACIONAL_2022_1106128105107110207214216221222223224226227[[#This Row],[CIE-10]]))</f>
        <v>0</v>
      </c>
      <c r="BH66" s="3">
        <f>IF($B$2="(Todas)",COUNTIF(BASE[CODCIE102],GUIA_NACIONAL_2022_1106128105107110207214216221222223224226227[[#This Row],[CIE-10]]),COUNTIFS(BASE[Cod.Establecimiento],$B$2,BASE[CODCIE102],GUIA_NACIONAL_2022_1106128105107110207214216221222223224226227[[#This Row],[CIE-10]]))</f>
        <v>0</v>
      </c>
      <c r="BI66" s="3">
        <f>IF($B$2="(Todas)",COUNTIF(BASE[CODCIE104],GUIA_NACIONAL_2022_1106128105107110207214216221222223224226227[[#This Row],[CIE-10]]),COUNTIFS(BASE[Cod.Establecimiento],$B$2,BASE[CODCIE104],GUIA_NACIONAL_2022_1106128105107110207214216221222223224226227[[#This Row],[CIE-10]]))</f>
        <v>0</v>
      </c>
      <c r="BJ66" s="3">
        <f>IF($B$2="(Todas)",COUNTIF(BASE[CODCIE106],GUIA_NACIONAL_2022_1106128105107110207214216221222223224226227[[#This Row],[CIE-10]]),COUNTIFS(BASE[Cod.Establecimiento],$B$2,BASE[CODCIE106],GUIA_NACIONAL_2022_1106128105107110207214216221222223224226227[[#This Row],[CIE-10]]))</f>
        <v>0</v>
      </c>
      <c r="BK66" s="3">
        <f>IF($B$2="(Todas)",COUNTIF(BASE[CODCIE108],GUIA_NACIONAL_2022_1106128105107110207214216221222223224226227[[#This Row],[CIE-10]]),COUNTIFS(BASE[Cod.Establecimiento],$B$2,BASE[CODCIE108],GUIA_NACIONAL_2022_1106128105107110207214216221222223224226227[[#This Row],[CIE-10]]))</f>
        <v>0</v>
      </c>
      <c r="BL66" s="3">
        <f>IF($B$2="(Todas)",COUNTIF(BASE[CODCIE1010],GUIA_NACIONAL_2022_1106128105107110207214216221222223224226227[[#This Row],[CIE-10]]),COUNTIFS(BASE[Cod.Establecimiento],$B$2,BASE[CODCIE1010],GUIA_NACIONAL_2022_1106128105107110207214216221222223224226227[[#This Row],[CIE-10]]))</f>
        <v>0</v>
      </c>
      <c r="BM66" s="9">
        <f>SUM(GUIA_NACIONAL_2022_1106128105107110207214216221222223224226227[[#This Row],[D1]:[D6]])</f>
        <v>0</v>
      </c>
      <c r="BO66" s="32" t="s">
        <v>336</v>
      </c>
      <c r="BP66" s="3">
        <f>IF($B$2="(Todas)",COUNTIF(BASE[CODCIE10],GUIA_NACIONAL_2022_1106128105107110207214216217236241244246[[#This Row],[CIE-10]]),COUNTIFS(BASE[Cod.Establecimiento],$B$2,BASE[CODCIE10],GUIA_NACIONAL_2022_1106128105107110207214216217236241244246[[#This Row],[CIE-10]]))</f>
        <v>0</v>
      </c>
      <c r="BQ66" s="3">
        <f>IF($B$2="(Todas)",COUNTIF(BASE[CODCIE102],GUIA_NACIONAL_2022_1106128105107110207214216217236241244246[[#This Row],[CIE-10]]),COUNTIFS(BASE[Cod.Establecimiento],$B$2,BASE[CODCIE102],GUIA_NACIONAL_2022_1106128105107110207214216217236241244246[[#This Row],[CIE-10]]))</f>
        <v>0</v>
      </c>
      <c r="BR66" s="3">
        <f>IF($B$2="(Todas)",COUNTIF(BASE[CODCIE104],GUIA_NACIONAL_2022_1106128105107110207214216217236241244246[[#This Row],[CIE-10]]),COUNTIFS(BASE[Cod.Establecimiento],$B$2,BASE[CODCIE104],GUIA_NACIONAL_2022_1106128105107110207214216217236241244246[[#This Row],[CIE-10]]))</f>
        <v>0</v>
      </c>
      <c r="BS66" s="3">
        <f>IF($B$2="(Todas)",COUNTIF(BASE[CODCIE106],GUIA_NACIONAL_2022_1106128105107110207214216217236241244246[[#This Row],[CIE-10]]),COUNTIFS(BASE[Cod.Establecimiento],$B$2,BASE[CODCIE106],GUIA_NACIONAL_2022_1106128105107110207214216217236241244246[[#This Row],[CIE-10]]))</f>
        <v>0</v>
      </c>
      <c r="BT66" s="3">
        <f>IF($B$2="(Todas)",COUNTIF(BASE[CODCIE108],GUIA_NACIONAL_2022_1106128105107110207214216217236241244246[[#This Row],[CIE-10]]),COUNTIFS(BASE[Cod.Establecimiento],$B$2,BASE[CODCIE108],GUIA_NACIONAL_2022_1106128105107110207214216217236241244246[[#This Row],[CIE-10]]))</f>
        <v>0</v>
      </c>
      <c r="BU66" s="3">
        <f>IF($B$2="(Todas)",COUNTIF(BASE[CODCIE1010],GUIA_NACIONAL_2022_1106128105107110207214216217236241244246[[#This Row],[CIE-10]]),COUNTIFS(BASE[Cod.Establecimiento],$B$2,BASE[CODCIE1010],GUIA_NACIONAL_2022_1106128105107110207214216217236241244246[[#This Row],[CIE-10]]))</f>
        <v>0</v>
      </c>
      <c r="BV66" s="9">
        <f>SUM(GUIA_NACIONAL_2022_1106128105107110207214216217236241244246[[#This Row],[D1]:[D6]])</f>
        <v>0</v>
      </c>
    </row>
    <row r="67" spans="4:74">
      <c r="D67" s="4" t="s">
        <v>419</v>
      </c>
      <c r="E67" s="3">
        <f>IF($B$2="(Todas)",COUNTIF(BASE[CODCIE10],GUIA_NACIONAL_2022_1106112113116117118119120121122[[#This Row],[CIE-10]]),COUNTIFS(BASE[Cod.Establecimiento],$B$2,BASE[CODCIE10],GUIA_NACIONAL_2022_1106112113116117118119120121122[[#This Row],[CIE-10]]))</f>
        <v>0</v>
      </c>
      <c r="F67" s="3">
        <f>IF($B$2="(Todas)",COUNTIF(BASE[CODCIE102],GUIA_NACIONAL_2022_1106112113116117118119120121122[[#This Row],[CIE-10]]),COUNTIFS(BASE[Cod.Establecimiento],$B$2,BASE[CODCIE102],GUIA_NACIONAL_2022_1106112113116117118119120121122[[#This Row],[CIE-10]]))</f>
        <v>0</v>
      </c>
      <c r="G67" s="3">
        <f>IF($B$2="(Todas)",COUNTIF(BASE[CODCIE104],GUIA_NACIONAL_2022_1106112113116117118119120121122[[#This Row],[CIE-10]]),COUNTIFS(BASE[Cod.Establecimiento],$B$2,BASE[CODCIE104],GUIA_NACIONAL_2022_1106112113116117118119120121122[[#This Row],[CIE-10]]))</f>
        <v>0</v>
      </c>
      <c r="H67" s="3">
        <f>IF($B$2="(Todas)",COUNTIF(BASE[CODCIE106],GUIA_NACIONAL_2022_1106112113116117118119120121122[[#This Row],[CIE-10]]),COUNTIFS(BASE[Cod.Establecimiento],$B$2,BASE[CODCIE106],GUIA_NACIONAL_2022_1106112113116117118119120121122[[#This Row],[CIE-10]]))</f>
        <v>0</v>
      </c>
      <c r="I67" s="3">
        <f>IF($B$2="(Todas)",COUNTIF(BASE[CODCIE108],GUIA_NACIONAL_2022_1106112113116117118119120121122[[#This Row],[CIE-10]]),COUNTIFS(BASE[Cod.Establecimiento],$B$2,BASE[CODCIE108],GUIA_NACIONAL_2022_1106112113116117118119120121122[[#This Row],[CIE-10]]))</f>
        <v>0</v>
      </c>
      <c r="J67" s="3">
        <f>IF($B$2="(Todas)",COUNTIF(BASE[CODCIE1010],GUIA_NACIONAL_2022_1106112113116117118119120121122[[#This Row],[CIE-10]]),COUNTIFS(BASE[Cod.Establecimiento],$B$2,BASE[CODCIE1010],GUIA_NACIONAL_2022_1106112113116117118119120121122[[#This Row],[CIE-10]]))</f>
        <v>0</v>
      </c>
      <c r="K67" s="9">
        <f>SUM(GUIA_NACIONAL_2022_1106112113116117118119120121122[[#This Row],[D1]:[D6]])</f>
        <v>0</v>
      </c>
      <c r="V67" s="149" t="s">
        <v>545</v>
      </c>
      <c r="W67" s="150"/>
      <c r="X67" s="150"/>
      <c r="Y67" s="150"/>
      <c r="Z67" s="150"/>
      <c r="AA67" s="150"/>
      <c r="AB67" s="150"/>
      <c r="AC67" s="150"/>
      <c r="AE67" s="4" t="s">
        <v>594</v>
      </c>
      <c r="AF67" s="3">
        <f>IF($B$2="(Todas)",COUNTIF(BASE[CODCIE10],GUIA_NACIONAL_2022_1106128105168175180181182[[#This Row],[CIE-10]]),COUNTIFS(BASE[Cod.Establecimiento],$B$2,BASE[CODCIE10],GUIA_NACIONAL_2022_1106128105168175180181182[[#This Row],[CIE-10]]))</f>
        <v>0</v>
      </c>
      <c r="AG67" s="3">
        <f>IF($B$2="(Todas)",COUNTIF(BASE[CODCIE102],GUIA_NACIONAL_2022_1106128105168175180181182[[#This Row],[CIE-10]]),COUNTIFS(BASE[Cod.Establecimiento],$B$2,BASE[CODCIE102],GUIA_NACIONAL_2022_1106128105168175180181182[[#This Row],[CIE-10]]))</f>
        <v>0</v>
      </c>
      <c r="AH67" s="3">
        <f>IF($B$2="(Todas)",COUNTIF(BASE[CODCIE104],GUIA_NACIONAL_2022_1106128105168175180181182[[#This Row],[CIE-10]]),COUNTIFS(BASE[Cod.Establecimiento],$B$2,BASE[CODCIE104],GUIA_NACIONAL_2022_1106128105168175180181182[[#This Row],[CIE-10]]))</f>
        <v>0</v>
      </c>
      <c r="AI67" s="3">
        <f>IF($B$2="(Todas)",COUNTIF(BASE[CODCIE106],GUIA_NACIONAL_2022_1106128105168175180181182[[#This Row],[CIE-10]]),COUNTIFS(BASE[Cod.Establecimiento],$B$2,BASE[CODCIE106],GUIA_NACIONAL_2022_1106128105168175180181182[[#This Row],[CIE-10]]))</f>
        <v>0</v>
      </c>
      <c r="AJ67" s="3">
        <f>IF($B$2="(Todas)",COUNTIF(BASE[CODCIE108],GUIA_NACIONAL_2022_1106128105168175180181182[[#This Row],[CIE-10]]),COUNTIFS(BASE[Cod.Establecimiento],$B$2,BASE[CODCIE108],GUIA_NACIONAL_2022_1106128105168175180181182[[#This Row],[CIE-10]]))</f>
        <v>0</v>
      </c>
      <c r="AK67" s="3">
        <f>IF($B$2="(Todas)",COUNTIF(BASE[CODCIE1010],GUIA_NACIONAL_2022_1106128105168175180181182[[#This Row],[CIE-10]]),COUNTIFS(BASE[Cod.Establecimiento],$B$2,BASE[CODCIE1010],GUIA_NACIONAL_2022_1106128105168175180181182[[#This Row],[CIE-10]]))</f>
        <v>0</v>
      </c>
      <c r="AL67" s="9">
        <f>SUM(GUIA_NACIONAL_2022_1106128105168175180181182[[#This Row],[D1]:[D6]])</f>
        <v>0</v>
      </c>
      <c r="BF67" s="4" t="s">
        <v>683</v>
      </c>
      <c r="BG67" s="3">
        <f>IF($B$2="(Todas)",COUNTIF(BASE[CODCIE10],GUIA_NACIONAL_2022_1106128105107110207214216221222223224226227[[#This Row],[CIE-10]]),COUNTIFS(BASE[Cod.Establecimiento],$B$2,BASE[CODCIE10],GUIA_NACIONAL_2022_1106128105107110207214216221222223224226227[[#This Row],[CIE-10]]))</f>
        <v>0</v>
      </c>
      <c r="BH67" s="3">
        <f>IF($B$2="(Todas)",COUNTIF(BASE[CODCIE102],GUIA_NACIONAL_2022_1106128105107110207214216221222223224226227[[#This Row],[CIE-10]]),COUNTIFS(BASE[Cod.Establecimiento],$B$2,BASE[CODCIE102],GUIA_NACIONAL_2022_1106128105107110207214216221222223224226227[[#This Row],[CIE-10]]))</f>
        <v>0</v>
      </c>
      <c r="BI67" s="3">
        <f>IF($B$2="(Todas)",COUNTIF(BASE[CODCIE104],GUIA_NACIONAL_2022_1106128105107110207214216221222223224226227[[#This Row],[CIE-10]]),COUNTIFS(BASE[Cod.Establecimiento],$B$2,BASE[CODCIE104],GUIA_NACIONAL_2022_1106128105107110207214216221222223224226227[[#This Row],[CIE-10]]))</f>
        <v>0</v>
      </c>
      <c r="BJ67" s="3">
        <f>IF($B$2="(Todas)",COUNTIF(BASE[CODCIE106],GUIA_NACIONAL_2022_1106128105107110207214216221222223224226227[[#This Row],[CIE-10]]),COUNTIFS(BASE[Cod.Establecimiento],$B$2,BASE[CODCIE106],GUIA_NACIONAL_2022_1106128105107110207214216221222223224226227[[#This Row],[CIE-10]]))</f>
        <v>0</v>
      </c>
      <c r="BK67" s="3">
        <f>IF($B$2="(Todas)",COUNTIF(BASE[CODCIE108],GUIA_NACIONAL_2022_1106128105107110207214216221222223224226227[[#This Row],[CIE-10]]),COUNTIFS(BASE[Cod.Establecimiento],$B$2,BASE[CODCIE108],GUIA_NACIONAL_2022_1106128105107110207214216221222223224226227[[#This Row],[CIE-10]]))</f>
        <v>0</v>
      </c>
      <c r="BL67" s="3">
        <f>IF($B$2="(Todas)",COUNTIF(BASE[CODCIE1010],GUIA_NACIONAL_2022_1106128105107110207214216221222223224226227[[#This Row],[CIE-10]]),COUNTIFS(BASE[Cod.Establecimiento],$B$2,BASE[CODCIE1010],GUIA_NACIONAL_2022_1106128105107110207214216221222223224226227[[#This Row],[CIE-10]]))</f>
        <v>0</v>
      </c>
      <c r="BM67" s="9">
        <f>SUM(GUIA_NACIONAL_2022_1106128105107110207214216221222223224226227[[#This Row],[D1]:[D6]])</f>
        <v>0</v>
      </c>
      <c r="BO67" s="32" t="s">
        <v>257</v>
      </c>
      <c r="BP67" s="3">
        <f>IF($B$2="(Todas)",COUNTIF(BASE[CODCIE10],GUIA_NACIONAL_2022_1106128105107110207214216217236241244246[[#This Row],[CIE-10]]),COUNTIFS(BASE[Cod.Establecimiento],$B$2,BASE[CODCIE10],GUIA_NACIONAL_2022_1106128105107110207214216217236241244246[[#This Row],[CIE-10]]))</f>
        <v>0</v>
      </c>
      <c r="BQ67" s="3">
        <f>IF($B$2="(Todas)",COUNTIF(BASE[CODCIE102],GUIA_NACIONAL_2022_1106128105107110207214216217236241244246[[#This Row],[CIE-10]]),COUNTIFS(BASE[Cod.Establecimiento],$B$2,BASE[CODCIE102],GUIA_NACIONAL_2022_1106128105107110207214216217236241244246[[#This Row],[CIE-10]]))</f>
        <v>0</v>
      </c>
      <c r="BR67" s="3">
        <f>IF($B$2="(Todas)",COUNTIF(BASE[CODCIE104],GUIA_NACIONAL_2022_1106128105107110207214216217236241244246[[#This Row],[CIE-10]]),COUNTIFS(BASE[Cod.Establecimiento],$B$2,BASE[CODCIE104],GUIA_NACIONAL_2022_1106128105107110207214216217236241244246[[#This Row],[CIE-10]]))</f>
        <v>0</v>
      </c>
      <c r="BS67" s="3">
        <f>IF($B$2="(Todas)",COUNTIF(BASE[CODCIE106],GUIA_NACIONAL_2022_1106128105107110207214216217236241244246[[#This Row],[CIE-10]]),COUNTIFS(BASE[Cod.Establecimiento],$B$2,BASE[CODCIE106],GUIA_NACIONAL_2022_1106128105107110207214216217236241244246[[#This Row],[CIE-10]]))</f>
        <v>0</v>
      </c>
      <c r="BT67" s="3">
        <f>IF($B$2="(Todas)",COUNTIF(BASE[CODCIE108],GUIA_NACIONAL_2022_1106128105107110207214216217236241244246[[#This Row],[CIE-10]]),COUNTIFS(BASE[Cod.Establecimiento],$B$2,BASE[CODCIE108],GUIA_NACIONAL_2022_1106128105107110207214216217236241244246[[#This Row],[CIE-10]]))</f>
        <v>0</v>
      </c>
      <c r="BU67" s="3">
        <f>IF($B$2="(Todas)",COUNTIF(BASE[CODCIE1010],GUIA_NACIONAL_2022_1106128105107110207214216217236241244246[[#This Row],[CIE-10]]),COUNTIFS(BASE[Cod.Establecimiento],$B$2,BASE[CODCIE1010],GUIA_NACIONAL_2022_1106128105107110207214216217236241244246[[#This Row],[CIE-10]]))</f>
        <v>0</v>
      </c>
      <c r="BV67" s="9">
        <f>SUM(GUIA_NACIONAL_2022_1106128105107110207214216217236241244246[[#This Row],[D1]:[D6]])</f>
        <v>0</v>
      </c>
    </row>
    <row r="68" spans="4:74">
      <c r="D68" s="150" t="s">
        <v>455</v>
      </c>
      <c r="E68" s="150"/>
      <c r="F68" s="150"/>
      <c r="G68" s="150"/>
      <c r="H68" s="150"/>
      <c r="I68" s="150"/>
      <c r="J68" s="150"/>
      <c r="K68" s="150"/>
      <c r="V68" t="s">
        <v>93</v>
      </c>
      <c r="W68" s="3" t="s">
        <v>94</v>
      </c>
      <c r="X68" s="3" t="s">
        <v>95</v>
      </c>
      <c r="Y68" s="3" t="s">
        <v>96</v>
      </c>
      <c r="Z68" s="3" t="s">
        <v>97</v>
      </c>
      <c r="AA68" s="3" t="s">
        <v>98</v>
      </c>
      <c r="AB68" s="3" t="s">
        <v>99</v>
      </c>
      <c r="AC68" s="8" t="s">
        <v>100</v>
      </c>
      <c r="AE68" s="32" t="s">
        <v>595</v>
      </c>
      <c r="AF68" s="3">
        <f>IF($B$2="(Todas)",COUNTIF(BASE[CODCIE10],GUIA_NACIONAL_2022_1106128105168175180181182[[#This Row],[CIE-10]]),COUNTIFS(BASE[Cod.Establecimiento],$B$2,BASE[CODCIE10],GUIA_NACIONAL_2022_1106128105168175180181182[[#This Row],[CIE-10]]))</f>
        <v>0</v>
      </c>
      <c r="AG68" s="3">
        <f>IF($B$2="(Todas)",COUNTIF(BASE[CODCIE102],GUIA_NACIONAL_2022_1106128105168175180181182[[#This Row],[CIE-10]]),COUNTIFS(BASE[Cod.Establecimiento],$B$2,BASE[CODCIE102],GUIA_NACIONAL_2022_1106128105168175180181182[[#This Row],[CIE-10]]))</f>
        <v>0</v>
      </c>
      <c r="AH68" s="3">
        <f>IF($B$2="(Todas)",COUNTIF(BASE[CODCIE104],GUIA_NACIONAL_2022_1106128105168175180181182[[#This Row],[CIE-10]]),COUNTIFS(BASE[Cod.Establecimiento],$B$2,BASE[CODCIE104],GUIA_NACIONAL_2022_1106128105168175180181182[[#This Row],[CIE-10]]))</f>
        <v>0</v>
      </c>
      <c r="AI68" s="3">
        <f>IF($B$2="(Todas)",COUNTIF(BASE[CODCIE106],GUIA_NACIONAL_2022_1106128105168175180181182[[#This Row],[CIE-10]]),COUNTIFS(BASE[Cod.Establecimiento],$B$2,BASE[CODCIE106],GUIA_NACIONAL_2022_1106128105168175180181182[[#This Row],[CIE-10]]))</f>
        <v>0</v>
      </c>
      <c r="AJ68" s="3">
        <f>IF($B$2="(Todas)",COUNTIF(BASE[CODCIE108],GUIA_NACIONAL_2022_1106128105168175180181182[[#This Row],[CIE-10]]),COUNTIFS(BASE[Cod.Establecimiento],$B$2,BASE[CODCIE108],GUIA_NACIONAL_2022_1106128105168175180181182[[#This Row],[CIE-10]]))</f>
        <v>0</v>
      </c>
      <c r="AK68" s="3">
        <f>IF($B$2="(Todas)",COUNTIF(BASE[CODCIE1010],GUIA_NACIONAL_2022_1106128105168175180181182[[#This Row],[CIE-10]]),COUNTIFS(BASE[Cod.Establecimiento],$B$2,BASE[CODCIE1010],GUIA_NACIONAL_2022_1106128105168175180181182[[#This Row],[CIE-10]]))</f>
        <v>0</v>
      </c>
      <c r="AL68" s="9">
        <f>SUM(GUIA_NACIONAL_2022_1106128105168175180181182[[#This Row],[D1]:[D6]])</f>
        <v>0</v>
      </c>
      <c r="BF68" s="150" t="s">
        <v>684</v>
      </c>
      <c r="BG68" s="150"/>
      <c r="BH68" s="150"/>
      <c r="BI68" s="150"/>
      <c r="BJ68" s="150"/>
      <c r="BK68" s="150"/>
      <c r="BL68" s="150"/>
      <c r="BM68" s="150"/>
      <c r="BO68" s="32" t="s">
        <v>342</v>
      </c>
      <c r="BP68" s="3">
        <f>IF($B$2="(Todas)",COUNTIF(BASE[CODCIE10],GUIA_NACIONAL_2022_1106128105107110207214216217236241244246[[#This Row],[CIE-10]]),COUNTIFS(BASE[Cod.Establecimiento],$B$2,BASE[CODCIE10],GUIA_NACIONAL_2022_1106128105107110207214216217236241244246[[#This Row],[CIE-10]]))</f>
        <v>0</v>
      </c>
      <c r="BQ68" s="3">
        <f>IF($B$2="(Todas)",COUNTIF(BASE[CODCIE102],GUIA_NACIONAL_2022_1106128105107110207214216217236241244246[[#This Row],[CIE-10]]),COUNTIFS(BASE[Cod.Establecimiento],$B$2,BASE[CODCIE102],GUIA_NACIONAL_2022_1106128105107110207214216217236241244246[[#This Row],[CIE-10]]))</f>
        <v>0</v>
      </c>
      <c r="BR68" s="3">
        <f>IF($B$2="(Todas)",COUNTIF(BASE[CODCIE104],GUIA_NACIONAL_2022_1106128105107110207214216217236241244246[[#This Row],[CIE-10]]),COUNTIFS(BASE[Cod.Establecimiento],$B$2,BASE[CODCIE104],GUIA_NACIONAL_2022_1106128105107110207214216217236241244246[[#This Row],[CIE-10]]))</f>
        <v>0</v>
      </c>
      <c r="BS68" s="3">
        <f>IF($B$2="(Todas)",COUNTIF(BASE[CODCIE106],GUIA_NACIONAL_2022_1106128105107110207214216217236241244246[[#This Row],[CIE-10]]),COUNTIFS(BASE[Cod.Establecimiento],$B$2,BASE[CODCIE106],GUIA_NACIONAL_2022_1106128105107110207214216217236241244246[[#This Row],[CIE-10]]))</f>
        <v>0</v>
      </c>
      <c r="BT68" s="3">
        <f>IF($B$2="(Todas)",COUNTIF(BASE[CODCIE108],GUIA_NACIONAL_2022_1106128105107110207214216217236241244246[[#This Row],[CIE-10]]),COUNTIFS(BASE[Cod.Establecimiento],$B$2,BASE[CODCIE108],GUIA_NACIONAL_2022_1106128105107110207214216217236241244246[[#This Row],[CIE-10]]))</f>
        <v>0</v>
      </c>
      <c r="BU68" s="3">
        <f>IF($B$2="(Todas)",COUNTIF(BASE[CODCIE1010],GUIA_NACIONAL_2022_1106128105107110207214216217236241244246[[#This Row],[CIE-10]]),COUNTIFS(BASE[Cod.Establecimiento],$B$2,BASE[CODCIE1010],GUIA_NACIONAL_2022_1106128105107110207214216217236241244246[[#This Row],[CIE-10]]))</f>
        <v>0</v>
      </c>
      <c r="BV68" s="9">
        <f>SUM(GUIA_NACIONAL_2022_1106128105107110207214216217236241244246[[#This Row],[D1]:[D6]])</f>
        <v>0</v>
      </c>
    </row>
    <row r="69" spans="4:74">
      <c r="D69" t="s">
        <v>93</v>
      </c>
      <c r="E69" s="3" t="s">
        <v>94</v>
      </c>
      <c r="F69" s="3" t="s">
        <v>95</v>
      </c>
      <c r="G69" s="3" t="s">
        <v>96</v>
      </c>
      <c r="H69" s="3" t="s">
        <v>97</v>
      </c>
      <c r="I69" s="3" t="s">
        <v>98</v>
      </c>
      <c r="J69" s="3" t="s">
        <v>99</v>
      </c>
      <c r="K69" s="8" t="s">
        <v>100</v>
      </c>
      <c r="V69" s="4" t="s">
        <v>120</v>
      </c>
      <c r="W69" s="3">
        <f>IF($B$2="(Todas)",COUNTIF(BASE[CODCIE10],GUIA_NACIONAL_2022_1106128143146150152154155[[#This Row],[CIE-10]]),COUNTIFS(BASE[Cod.Establecimiento],$B$2,BASE[CODCIE10],GUIA_NACIONAL_2022_1106128143146150152154155[[#This Row],[CIE-10]]))</f>
        <v>0</v>
      </c>
      <c r="X69" s="3">
        <f>IF($B$2="(Todas)",COUNTIF(BASE[CODCIE102],GUIA_NACIONAL_2022_1106128143146150152154155[[#This Row],[CIE-10]]),COUNTIFS(BASE[Cod.Establecimiento],$B$2,BASE[CODCIE102],GUIA_NACIONAL_2022_1106128143146150152154155[[#This Row],[CIE-10]]))</f>
        <v>0</v>
      </c>
      <c r="Y69" s="3">
        <f>IF($B$2="(Todas)",COUNTIF(BASE[CODCIE104],GUIA_NACIONAL_2022_1106128143146150152154155[[#This Row],[CIE-10]]),COUNTIFS(BASE[Cod.Establecimiento],$B$2,BASE[CODCIE104],GUIA_NACIONAL_2022_1106128143146150152154155[[#This Row],[CIE-10]]))</f>
        <v>0</v>
      </c>
      <c r="Z69" s="3">
        <f>IF($B$2="(Todas)",COUNTIF(BASE[CODCIE106],GUIA_NACIONAL_2022_1106128143146150152154155[[#This Row],[CIE-10]]),COUNTIFS(BASE[Cod.Establecimiento],$B$2,BASE[CODCIE106],GUIA_NACIONAL_2022_1106128143146150152154155[[#This Row],[CIE-10]]))</f>
        <v>0</v>
      </c>
      <c r="AA69" s="3">
        <f>IF($B$2="(Todas)",COUNTIF(BASE[CODCIE108],GUIA_NACIONAL_2022_1106128143146150152154155[[#This Row],[CIE-10]]),COUNTIFS(BASE[Cod.Establecimiento],$B$2,BASE[CODCIE108],GUIA_NACIONAL_2022_1106128143146150152154155[[#This Row],[CIE-10]]))</f>
        <v>0</v>
      </c>
      <c r="AB69" s="3">
        <f>IF($B$2="(Todas)",COUNTIF(BASE[CODCIE1010],GUIA_NACIONAL_2022_1106128143146150152154155[[#This Row],[CIE-10]]),COUNTIFS(BASE[Cod.Establecimiento],$B$2,BASE[CODCIE1010],GUIA_NACIONAL_2022_1106128143146150152154155[[#This Row],[CIE-10]]))</f>
        <v>0</v>
      </c>
      <c r="AC69" s="9">
        <f>SUM(GUIA_NACIONAL_2022_1106128143146150152154155[[#This Row],[D1]:[D6]])</f>
        <v>0</v>
      </c>
      <c r="AE69" s="150" t="s">
        <v>596</v>
      </c>
      <c r="AF69" s="150"/>
      <c r="AG69" s="150"/>
      <c r="AH69" s="150"/>
      <c r="AI69" s="150"/>
      <c r="AJ69" s="150"/>
      <c r="AK69" s="150"/>
      <c r="AL69" s="150"/>
      <c r="BF69" t="s">
        <v>93</v>
      </c>
      <c r="BG69" s="3" t="s">
        <v>94</v>
      </c>
      <c r="BH69" s="3" t="s">
        <v>95</v>
      </c>
      <c r="BI69" s="3" t="s">
        <v>96</v>
      </c>
      <c r="BJ69" s="3" t="s">
        <v>97</v>
      </c>
      <c r="BK69" s="3" t="s">
        <v>98</v>
      </c>
      <c r="BL69" s="3" t="s">
        <v>99</v>
      </c>
      <c r="BM69" s="8" t="s">
        <v>100</v>
      </c>
      <c r="BO69" s="32" t="s">
        <v>702</v>
      </c>
      <c r="BP69" s="3">
        <f>IF($B$2="(Todas)",COUNTIF(BASE[CODCIE10],GUIA_NACIONAL_2022_1106128105107110207214216217236241244246[[#This Row],[CIE-10]]),COUNTIFS(BASE[Cod.Establecimiento],$B$2,BASE[CODCIE10],GUIA_NACIONAL_2022_1106128105107110207214216217236241244246[[#This Row],[CIE-10]]))</f>
        <v>0</v>
      </c>
      <c r="BQ69" s="3">
        <f>IF($B$2="(Todas)",COUNTIF(BASE[CODCIE102],GUIA_NACIONAL_2022_1106128105107110207214216217236241244246[[#This Row],[CIE-10]]),COUNTIFS(BASE[Cod.Establecimiento],$B$2,BASE[CODCIE102],GUIA_NACIONAL_2022_1106128105107110207214216217236241244246[[#This Row],[CIE-10]]))</f>
        <v>0</v>
      </c>
      <c r="BR69" s="3">
        <f>IF($B$2="(Todas)",COUNTIF(BASE[CODCIE104],GUIA_NACIONAL_2022_1106128105107110207214216217236241244246[[#This Row],[CIE-10]]),COUNTIFS(BASE[Cod.Establecimiento],$B$2,BASE[CODCIE104],GUIA_NACIONAL_2022_1106128105107110207214216217236241244246[[#This Row],[CIE-10]]))</f>
        <v>0</v>
      </c>
      <c r="BS69" s="3">
        <f>IF($B$2="(Todas)",COUNTIF(BASE[CODCIE106],GUIA_NACIONAL_2022_1106128105107110207214216217236241244246[[#This Row],[CIE-10]]),COUNTIFS(BASE[Cod.Establecimiento],$B$2,BASE[CODCIE106],GUIA_NACIONAL_2022_1106128105107110207214216217236241244246[[#This Row],[CIE-10]]))</f>
        <v>0</v>
      </c>
      <c r="BT69" s="3">
        <f>IF($B$2="(Todas)",COUNTIF(BASE[CODCIE108],GUIA_NACIONAL_2022_1106128105107110207214216217236241244246[[#This Row],[CIE-10]]),COUNTIFS(BASE[Cod.Establecimiento],$B$2,BASE[CODCIE108],GUIA_NACIONAL_2022_1106128105107110207214216217236241244246[[#This Row],[CIE-10]]))</f>
        <v>0</v>
      </c>
      <c r="BU69" s="3">
        <f>IF($B$2="(Todas)",COUNTIF(BASE[CODCIE1010],GUIA_NACIONAL_2022_1106128105107110207214216217236241244246[[#This Row],[CIE-10]]),COUNTIFS(BASE[Cod.Establecimiento],$B$2,BASE[CODCIE1010],GUIA_NACIONAL_2022_1106128105107110207214216217236241244246[[#This Row],[CIE-10]]))</f>
        <v>0</v>
      </c>
      <c r="BV69" s="9">
        <f>SUM(GUIA_NACIONAL_2022_1106128105107110207214216217236241244246[[#This Row],[D1]:[D6]])</f>
        <v>0</v>
      </c>
    </row>
    <row r="70" spans="4:74">
      <c r="D70" s="4" t="s">
        <v>456</v>
      </c>
      <c r="E70" s="3">
        <f>IF($B$2="(Todas)",COUNTIF(BASE[CODCIE10],GUIA_NACIONAL_2022_1106112113116117118119120121122123[[#This Row],[CIE-10]]),COUNTIFS(BASE[Cod.Establecimiento],$B$2,BASE[CODCIE10],GUIA_NACIONAL_2022_1106112113116117118119120121122123[[#This Row],[CIE-10]]))</f>
        <v>0</v>
      </c>
      <c r="F70" s="3">
        <f>IF($B$2="(Todas)",COUNTIF(BASE[CODCIE102],GUIA_NACIONAL_2022_1106112113116117118119120121122123[[#This Row],[CIE-10]]),COUNTIFS(BASE[Cod.Establecimiento],$B$2,BASE[CODCIE102],GUIA_NACIONAL_2022_1106112113116117118119120121122123[[#This Row],[CIE-10]]))</f>
        <v>0</v>
      </c>
      <c r="G70" s="3">
        <f>IF($B$2="(Todas)",COUNTIF(BASE[CODCIE104],GUIA_NACIONAL_2022_1106112113116117118119120121122123[[#This Row],[CIE-10]]),COUNTIFS(BASE[Cod.Establecimiento],$B$2,BASE[CODCIE104],GUIA_NACIONAL_2022_1106112113116117118119120121122123[[#This Row],[CIE-10]]))</f>
        <v>0</v>
      </c>
      <c r="H70" s="3">
        <f>IF($B$2="(Todas)",COUNTIF(BASE[CODCIE106],GUIA_NACIONAL_2022_1106112113116117118119120121122123[[#This Row],[CIE-10]]),COUNTIFS(BASE[Cod.Establecimiento],$B$2,BASE[CODCIE106],GUIA_NACIONAL_2022_1106112113116117118119120121122123[[#This Row],[CIE-10]]))</f>
        <v>0</v>
      </c>
      <c r="I70" s="3">
        <f>IF($B$2="(Todas)",COUNTIF(BASE[CODCIE108],GUIA_NACIONAL_2022_1106112113116117118119120121122123[[#This Row],[CIE-10]]),COUNTIFS(BASE[Cod.Establecimiento],$B$2,BASE[CODCIE108],GUIA_NACIONAL_2022_1106112113116117118119120121122123[[#This Row],[CIE-10]]))</f>
        <v>0</v>
      </c>
      <c r="J70" s="3">
        <f>IF($B$2="(Todas)",COUNTIF(BASE[CODCIE1010],GUIA_NACIONAL_2022_1106112113116117118119120121122123[[#This Row],[CIE-10]]),COUNTIFS(BASE[Cod.Establecimiento],$B$2,BASE[CODCIE1010],GUIA_NACIONAL_2022_1106112113116117118119120121122123[[#This Row],[CIE-10]]))</f>
        <v>0</v>
      </c>
      <c r="K70" s="9">
        <f>SUM(GUIA_NACIONAL_2022_1106112113116117118119120121122123[[#This Row],[D1]:[D6]])</f>
        <v>0</v>
      </c>
      <c r="V70" s="149" t="s">
        <v>546</v>
      </c>
      <c r="W70" s="150"/>
      <c r="X70" s="150"/>
      <c r="Y70" s="150"/>
      <c r="Z70" s="150"/>
      <c r="AA70" s="150"/>
      <c r="AB70" s="150"/>
      <c r="AC70" s="150"/>
      <c r="AE70" t="s">
        <v>93</v>
      </c>
      <c r="AF70" s="3" t="s">
        <v>94</v>
      </c>
      <c r="AG70" s="3" t="s">
        <v>95</v>
      </c>
      <c r="AH70" s="3" t="s">
        <v>96</v>
      </c>
      <c r="AI70" s="3" t="s">
        <v>97</v>
      </c>
      <c r="AJ70" s="3" t="s">
        <v>98</v>
      </c>
      <c r="AK70" s="3" t="s">
        <v>99</v>
      </c>
      <c r="AL70" s="8" t="s">
        <v>100</v>
      </c>
      <c r="BF70" s="4" t="s">
        <v>685</v>
      </c>
      <c r="BG70" s="3">
        <f>IF($B$2="(Todas)",COUNTIF(BASE[CODCIE10],GUIA_NACIONAL_2022_1106128105107110207214216221222223224226228[[#This Row],[CIE-10]]),COUNTIFS(BASE[Cod.Establecimiento],$B$2,BASE[CODCIE10],GUIA_NACIONAL_2022_1106128105107110207214216221222223224226228[[#This Row],[CIE-10]]))</f>
        <v>0</v>
      </c>
      <c r="BH70" s="3">
        <f>IF($B$2="(Todas)",COUNTIF(BASE[CODCIE102],GUIA_NACIONAL_2022_1106128105107110207214216221222223224226228[[#This Row],[CIE-10]]),COUNTIFS(BASE[Cod.Establecimiento],$B$2,BASE[CODCIE102],GUIA_NACIONAL_2022_1106128105107110207214216221222223224226228[[#This Row],[CIE-10]]))</f>
        <v>0</v>
      </c>
      <c r="BI70" s="3">
        <f>IF($B$2="(Todas)",COUNTIF(BASE[CODCIE104],GUIA_NACIONAL_2022_1106128105107110207214216221222223224226228[[#This Row],[CIE-10]]),COUNTIFS(BASE[Cod.Establecimiento],$B$2,BASE[CODCIE104],GUIA_NACIONAL_2022_1106128105107110207214216221222223224226228[[#This Row],[CIE-10]]))</f>
        <v>0</v>
      </c>
      <c r="BJ70" s="3">
        <f>IF($B$2="(Todas)",COUNTIF(BASE[CODCIE106],GUIA_NACIONAL_2022_1106128105107110207214216221222223224226228[[#This Row],[CIE-10]]),COUNTIFS(BASE[Cod.Establecimiento],$B$2,BASE[CODCIE106],GUIA_NACIONAL_2022_1106128105107110207214216221222223224226228[[#This Row],[CIE-10]]))</f>
        <v>0</v>
      </c>
      <c r="BK70" s="3">
        <f>IF($B$2="(Todas)",COUNTIF(BASE[CODCIE108],GUIA_NACIONAL_2022_1106128105107110207214216221222223224226228[[#This Row],[CIE-10]]),COUNTIFS(BASE[Cod.Establecimiento],$B$2,BASE[CODCIE108],GUIA_NACIONAL_2022_1106128105107110207214216221222223224226228[[#This Row],[CIE-10]]))</f>
        <v>0</v>
      </c>
      <c r="BL70" s="3">
        <f>IF($B$2="(Todas)",COUNTIF(BASE[CODCIE1010],GUIA_NACIONAL_2022_1106128105107110207214216221222223224226228[[#This Row],[CIE-10]]),COUNTIFS(BASE[Cod.Establecimiento],$B$2,BASE[CODCIE1010],GUIA_NACIONAL_2022_1106128105107110207214216221222223224226228[[#This Row],[CIE-10]]))</f>
        <v>0</v>
      </c>
      <c r="BM70" s="9">
        <f>SUM(GUIA_NACIONAL_2022_1106128105107110207214216221222223224226228[[#This Row],[D1]:[D6]])</f>
        <v>0</v>
      </c>
      <c r="BO70" s="150" t="s">
        <v>703</v>
      </c>
      <c r="BP70" s="150"/>
      <c r="BQ70" s="150"/>
      <c r="BR70" s="150"/>
      <c r="BS70" s="150"/>
      <c r="BT70" s="150"/>
      <c r="BU70" s="150"/>
      <c r="BV70" s="150"/>
    </row>
    <row r="71" spans="4:74">
      <c r="D71" s="150" t="s">
        <v>457</v>
      </c>
      <c r="E71" s="150"/>
      <c r="F71" s="150"/>
      <c r="G71" s="150"/>
      <c r="H71" s="150"/>
      <c r="I71" s="150"/>
      <c r="J71" s="150"/>
      <c r="K71" s="150"/>
      <c r="V71" t="s">
        <v>93</v>
      </c>
      <c r="W71" s="3" t="s">
        <v>94</v>
      </c>
      <c r="X71" s="3" t="s">
        <v>95</v>
      </c>
      <c r="Y71" s="3" t="s">
        <v>96</v>
      </c>
      <c r="Z71" s="3" t="s">
        <v>97</v>
      </c>
      <c r="AA71" s="3" t="s">
        <v>98</v>
      </c>
      <c r="AB71" s="3" t="s">
        <v>99</v>
      </c>
      <c r="AC71" s="8" t="s">
        <v>100</v>
      </c>
      <c r="AE71" s="4" t="s">
        <v>594</v>
      </c>
      <c r="AF71" s="3">
        <f>IF($B$2="(Todas)",COUNTIF(BASE[CODCIE10],GUIA_NACIONAL_2022_1106128105168175180181182183[[#This Row],[CIE-10]]),COUNTIFS(BASE[Cod.Establecimiento],$B$2,BASE[CODCIE10],GUIA_NACIONAL_2022_1106128105168175180181182183[[#This Row],[CIE-10]]))</f>
        <v>0</v>
      </c>
      <c r="AG71" s="3">
        <f>IF($B$2="(Todas)",COUNTIF(BASE[CODCIE102],GUIA_NACIONAL_2022_1106128105168175180181182183[[#This Row],[CIE-10]]),COUNTIFS(BASE[Cod.Establecimiento],$B$2,BASE[CODCIE102],GUIA_NACIONAL_2022_1106128105168175180181182183[[#This Row],[CIE-10]]))</f>
        <v>0</v>
      </c>
      <c r="AH71" s="3">
        <f>IF($B$2="(Todas)",COUNTIF(BASE[CODCIE104],GUIA_NACIONAL_2022_1106128105168175180181182183[[#This Row],[CIE-10]]),COUNTIFS(BASE[Cod.Establecimiento],$B$2,BASE[CODCIE104],GUIA_NACIONAL_2022_1106128105168175180181182183[[#This Row],[CIE-10]]))</f>
        <v>0</v>
      </c>
      <c r="AI71" s="3">
        <f>IF($B$2="(Todas)",COUNTIF(BASE[CODCIE106],GUIA_NACIONAL_2022_1106128105168175180181182183[[#This Row],[CIE-10]]),COUNTIFS(BASE[Cod.Establecimiento],$B$2,BASE[CODCIE106],GUIA_NACIONAL_2022_1106128105168175180181182183[[#This Row],[CIE-10]]))</f>
        <v>0</v>
      </c>
      <c r="AJ71" s="3">
        <f>IF($B$2="(Todas)",COUNTIF(BASE[CODCIE108],GUIA_NACIONAL_2022_1106128105168175180181182183[[#This Row],[CIE-10]]),COUNTIFS(BASE[Cod.Establecimiento],$B$2,BASE[CODCIE108],GUIA_NACIONAL_2022_1106128105168175180181182183[[#This Row],[CIE-10]]))</f>
        <v>0</v>
      </c>
      <c r="AK71" s="3">
        <f>IF($B$2="(Todas)",COUNTIF(BASE[CODCIE1010],GUIA_NACIONAL_2022_1106128105168175180181182183[[#This Row],[CIE-10]]),COUNTIFS(BASE[Cod.Establecimiento],$B$2,BASE[CODCIE1010],GUIA_NACIONAL_2022_1106128105168175180181182183[[#This Row],[CIE-10]]))</f>
        <v>0</v>
      </c>
      <c r="AL71" s="9">
        <f>SUM(GUIA_NACIONAL_2022_1106128105168175180181182183[[#This Row],[D1]:[D6]])</f>
        <v>0</v>
      </c>
      <c r="BF71" s="150" t="s">
        <v>686</v>
      </c>
      <c r="BG71" s="150"/>
      <c r="BH71" s="150"/>
      <c r="BI71" s="150"/>
      <c r="BJ71" s="150"/>
      <c r="BK71" s="150"/>
      <c r="BL71" s="150"/>
      <c r="BM71" s="150"/>
      <c r="BO71" t="s">
        <v>93</v>
      </c>
      <c r="BP71" s="3" t="s">
        <v>94</v>
      </c>
      <c r="BQ71" s="3" t="s">
        <v>95</v>
      </c>
      <c r="BR71" s="3" t="s">
        <v>96</v>
      </c>
      <c r="BS71" s="3" t="s">
        <v>97</v>
      </c>
      <c r="BT71" s="3" t="s">
        <v>98</v>
      </c>
      <c r="BU71" s="3" t="s">
        <v>99</v>
      </c>
      <c r="BV71" s="8" t="s">
        <v>100</v>
      </c>
    </row>
    <row r="72" spans="4:74">
      <c r="D72" t="s">
        <v>93</v>
      </c>
      <c r="E72" s="3" t="s">
        <v>94</v>
      </c>
      <c r="F72" s="3" t="s">
        <v>95</v>
      </c>
      <c r="G72" s="3" t="s">
        <v>96</v>
      </c>
      <c r="H72" s="3" t="s">
        <v>97</v>
      </c>
      <c r="I72" s="3" t="s">
        <v>98</v>
      </c>
      <c r="J72" s="3" t="s">
        <v>99</v>
      </c>
      <c r="K72" s="8" t="s">
        <v>100</v>
      </c>
      <c r="V72" s="4" t="s">
        <v>120</v>
      </c>
      <c r="W72" s="3">
        <f>IF($B$2="(Todas)",COUNTIF(BASE[CODCIE10],GUIA_NACIONAL_2022_1106128143146150153156[[#This Row],[CIE-10]]),COUNTIFS(BASE[Cod.Establecimiento],$B$2,BASE[CODCIE10],GUIA_NACIONAL_2022_1106128143146150153156[[#This Row],[CIE-10]]))</f>
        <v>0</v>
      </c>
      <c r="X72" s="3">
        <f>IF($B$2="(Todas)",COUNTIF(BASE[CODCIE102],GUIA_NACIONAL_2022_1106128143146150153156[[#This Row],[CIE-10]]),COUNTIFS(BASE[Cod.Establecimiento],$B$2,BASE[CODCIE102],GUIA_NACIONAL_2022_1106128143146150153156[[#This Row],[CIE-10]]))</f>
        <v>0</v>
      </c>
      <c r="Y72" s="3">
        <f>IF($B$2="(Todas)",COUNTIF(BASE[CODCIE104],GUIA_NACIONAL_2022_1106128143146150153156[[#This Row],[CIE-10]]),COUNTIFS(BASE[Cod.Establecimiento],$B$2,BASE[CODCIE104],GUIA_NACIONAL_2022_1106128143146150153156[[#This Row],[CIE-10]]))</f>
        <v>0</v>
      </c>
      <c r="Z72" s="3">
        <f>IF($B$2="(Todas)",COUNTIF(BASE[CODCIE106],GUIA_NACIONAL_2022_1106128143146150153156[[#This Row],[CIE-10]]),COUNTIFS(BASE[Cod.Establecimiento],$B$2,BASE[CODCIE106],GUIA_NACIONAL_2022_1106128143146150153156[[#This Row],[CIE-10]]))</f>
        <v>0</v>
      </c>
      <c r="AA72" s="3">
        <f>IF($B$2="(Todas)",COUNTIF(BASE[CODCIE108],GUIA_NACIONAL_2022_1106128143146150153156[[#This Row],[CIE-10]]),COUNTIFS(BASE[Cod.Establecimiento],$B$2,BASE[CODCIE108],GUIA_NACIONAL_2022_1106128143146150153156[[#This Row],[CIE-10]]))</f>
        <v>0</v>
      </c>
      <c r="AB72" s="3">
        <f>IF($B$2="(Todas)",COUNTIF(BASE[CODCIE1010],GUIA_NACIONAL_2022_1106128143146150153156[[#This Row],[CIE-10]]),COUNTIFS(BASE[Cod.Establecimiento],$B$2,BASE[CODCIE1010],GUIA_NACIONAL_2022_1106128143146150153156[[#This Row],[CIE-10]]))</f>
        <v>0</v>
      </c>
      <c r="AC72" s="9">
        <f>SUM(GUIA_NACIONAL_2022_1106128143146150153156[[#This Row],[D1]:[D6]])</f>
        <v>0</v>
      </c>
      <c r="AE72" s="32" t="s">
        <v>595</v>
      </c>
      <c r="AF72" s="3">
        <f>IF($B$2="(Todas)",COUNTIF(BASE[CODCIE10],GUIA_NACIONAL_2022_1106128105168175180181182183[[#This Row],[CIE-10]]),COUNTIFS(BASE[Cod.Establecimiento],$B$2,BASE[CODCIE10],GUIA_NACIONAL_2022_1106128105168175180181182183[[#This Row],[CIE-10]]))</f>
        <v>0</v>
      </c>
      <c r="AG72" s="3">
        <f>IF($B$2="(Todas)",COUNTIF(BASE[CODCIE102],GUIA_NACIONAL_2022_1106128105168175180181182183[[#This Row],[CIE-10]]),COUNTIFS(BASE[Cod.Establecimiento],$B$2,BASE[CODCIE102],GUIA_NACIONAL_2022_1106128105168175180181182183[[#This Row],[CIE-10]]))</f>
        <v>0</v>
      </c>
      <c r="AH72" s="3">
        <f>IF($B$2="(Todas)",COUNTIF(BASE[CODCIE104],GUIA_NACIONAL_2022_1106128105168175180181182183[[#This Row],[CIE-10]]),COUNTIFS(BASE[Cod.Establecimiento],$B$2,BASE[CODCIE104],GUIA_NACIONAL_2022_1106128105168175180181182183[[#This Row],[CIE-10]]))</f>
        <v>0</v>
      </c>
      <c r="AI72" s="3">
        <f>IF($B$2="(Todas)",COUNTIF(BASE[CODCIE106],GUIA_NACIONAL_2022_1106128105168175180181182183[[#This Row],[CIE-10]]),COUNTIFS(BASE[Cod.Establecimiento],$B$2,BASE[CODCIE106],GUIA_NACIONAL_2022_1106128105168175180181182183[[#This Row],[CIE-10]]))</f>
        <v>0</v>
      </c>
      <c r="AJ72" s="3">
        <f>IF($B$2="(Todas)",COUNTIF(BASE[CODCIE108],GUIA_NACIONAL_2022_1106128105168175180181182183[[#This Row],[CIE-10]]),COUNTIFS(BASE[Cod.Establecimiento],$B$2,BASE[CODCIE108],GUIA_NACIONAL_2022_1106128105168175180181182183[[#This Row],[CIE-10]]))</f>
        <v>0</v>
      </c>
      <c r="AK72" s="3">
        <f>IF($B$2="(Todas)",COUNTIF(BASE[CODCIE1010],GUIA_NACIONAL_2022_1106128105168175180181182183[[#This Row],[CIE-10]]),COUNTIFS(BASE[Cod.Establecimiento],$B$2,BASE[CODCIE1010],GUIA_NACIONAL_2022_1106128105168175180181182183[[#This Row],[CIE-10]]))</f>
        <v>0</v>
      </c>
      <c r="AL72" s="9">
        <f>SUM(GUIA_NACIONAL_2022_1106128105168175180181182183[[#This Row],[D1]:[D6]])</f>
        <v>0</v>
      </c>
      <c r="BF72" t="s">
        <v>93</v>
      </c>
      <c r="BG72" s="3" t="s">
        <v>94</v>
      </c>
      <c r="BH72" s="3" t="s">
        <v>95</v>
      </c>
      <c r="BI72" s="3" t="s">
        <v>96</v>
      </c>
      <c r="BJ72" s="3" t="s">
        <v>97</v>
      </c>
      <c r="BK72" s="3" t="s">
        <v>98</v>
      </c>
      <c r="BL72" s="3" t="s">
        <v>99</v>
      </c>
      <c r="BM72" s="8" t="s">
        <v>100</v>
      </c>
      <c r="BO72" s="4" t="s">
        <v>261</v>
      </c>
      <c r="BP72" s="3">
        <f>IF($B$2="(Todas)",COUNTIF(BASE[CODCIE10],GUIA_NACIONAL_2022_1106128105107110207214216217236241244246247[[#This Row],[CIE-10]]),COUNTIFS(BASE[Cod.Establecimiento],$B$2,BASE[CODCIE10],GUIA_NACIONAL_2022_1106128105107110207214216217236241244246247[[#This Row],[CIE-10]]))</f>
        <v>0</v>
      </c>
      <c r="BQ72" s="3">
        <f>IF($B$2="(Todas)",COUNTIF(BASE[CODCIE102],GUIA_NACIONAL_2022_1106128105107110207214216217236241244246247[[#This Row],[CIE-10]]),COUNTIFS(BASE[Cod.Establecimiento],$B$2,BASE[CODCIE102],GUIA_NACIONAL_2022_1106128105107110207214216217236241244246247[[#This Row],[CIE-10]]))</f>
        <v>0</v>
      </c>
      <c r="BR72" s="3">
        <f>IF($B$2="(Todas)",COUNTIF(BASE[CODCIE104],GUIA_NACIONAL_2022_1106128105107110207214216217236241244246247[[#This Row],[CIE-10]]),COUNTIFS(BASE[Cod.Establecimiento],$B$2,BASE[CODCIE104],GUIA_NACIONAL_2022_1106128105107110207214216217236241244246247[[#This Row],[CIE-10]]))</f>
        <v>0</v>
      </c>
      <c r="BS72" s="3">
        <f>IF($B$2="(Todas)",COUNTIF(BASE[CODCIE106],GUIA_NACIONAL_2022_1106128105107110207214216217236241244246247[[#This Row],[CIE-10]]),COUNTIFS(BASE[Cod.Establecimiento],$B$2,BASE[CODCIE106],GUIA_NACIONAL_2022_1106128105107110207214216217236241244246247[[#This Row],[CIE-10]]))</f>
        <v>0</v>
      </c>
      <c r="BT72" s="3">
        <f>IF($B$2="(Todas)",COUNTIF(BASE[CODCIE108],GUIA_NACIONAL_2022_1106128105107110207214216217236241244246247[[#This Row],[CIE-10]]),COUNTIFS(BASE[Cod.Establecimiento],$B$2,BASE[CODCIE108],GUIA_NACIONAL_2022_1106128105107110207214216217236241244246247[[#This Row],[CIE-10]]))</f>
        <v>0</v>
      </c>
      <c r="BU72" s="3">
        <f>IF($B$2="(Todas)",COUNTIF(BASE[CODCIE1010],GUIA_NACIONAL_2022_1106128105107110207214216217236241244246247[[#This Row],[CIE-10]]),COUNTIFS(BASE[Cod.Establecimiento],$B$2,BASE[CODCIE1010],GUIA_NACIONAL_2022_1106128105107110207214216217236241244246247[[#This Row],[CIE-10]]))</f>
        <v>0</v>
      </c>
      <c r="BV72" s="9">
        <f>SUM(GUIA_NACIONAL_2022_1106128105107110207214216217236241244246247[[#This Row],[D1]:[D6]])</f>
        <v>0</v>
      </c>
    </row>
    <row r="73" spans="4:74">
      <c r="D73" s="4" t="s">
        <v>458</v>
      </c>
      <c r="E73" s="3">
        <f>IF($B$2="(Todas)",COUNTIF(BASE[CODCIE10],GUIA_NACIONAL_2022_1106112113116117118119120121122123124[[#This Row],[CIE-10]]),COUNTIFS(BASE[Cod.Establecimiento],$B$2,BASE[CODCIE10],GUIA_NACIONAL_2022_1106112113116117118119120121122123124[[#This Row],[CIE-10]]))</f>
        <v>0</v>
      </c>
      <c r="F73" s="3">
        <f>IF($B$2="(Todas)",COUNTIF(BASE[CODCIE102],GUIA_NACIONAL_2022_1106112113116117118119120121122123124[[#This Row],[CIE-10]]),COUNTIFS(BASE[Cod.Establecimiento],$B$2,BASE[CODCIE102],GUIA_NACIONAL_2022_1106112113116117118119120121122123124[[#This Row],[CIE-10]]))</f>
        <v>0</v>
      </c>
      <c r="G73" s="3">
        <f>IF($B$2="(Todas)",COUNTIF(BASE[CODCIE104],GUIA_NACIONAL_2022_1106112113116117118119120121122123124[[#This Row],[CIE-10]]),COUNTIFS(BASE[Cod.Establecimiento],$B$2,BASE[CODCIE104],GUIA_NACIONAL_2022_1106112113116117118119120121122123124[[#This Row],[CIE-10]]))</f>
        <v>0</v>
      </c>
      <c r="H73" s="3">
        <f>IF($B$2="(Todas)",COUNTIF(BASE[CODCIE106],GUIA_NACIONAL_2022_1106112113116117118119120121122123124[[#This Row],[CIE-10]]),COUNTIFS(BASE[Cod.Establecimiento],$B$2,BASE[CODCIE106],GUIA_NACIONAL_2022_1106112113116117118119120121122123124[[#This Row],[CIE-10]]))</f>
        <v>0</v>
      </c>
      <c r="I73" s="3">
        <f>IF($B$2="(Todas)",COUNTIF(BASE[CODCIE108],GUIA_NACIONAL_2022_1106112113116117118119120121122123124[[#This Row],[CIE-10]]),COUNTIFS(BASE[Cod.Establecimiento],$B$2,BASE[CODCIE108],GUIA_NACIONAL_2022_1106112113116117118119120121122123124[[#This Row],[CIE-10]]))</f>
        <v>0</v>
      </c>
      <c r="J73" s="3">
        <f>IF($B$2="(Todas)",COUNTIF(BASE[CODCIE1010],GUIA_NACIONAL_2022_1106112113116117118119120121122123124[[#This Row],[CIE-10]]),COUNTIFS(BASE[Cod.Establecimiento],$B$2,BASE[CODCIE1010],GUIA_NACIONAL_2022_1106112113116117118119120121122123124[[#This Row],[CIE-10]]))</f>
        <v>0</v>
      </c>
      <c r="K73" s="9">
        <f>SUM(GUIA_NACIONAL_2022_1106112113116117118119120121122123124[[#This Row],[D1]:[D6]])</f>
        <v>0</v>
      </c>
      <c r="V73" s="149" t="s">
        <v>547</v>
      </c>
      <c r="W73" s="150"/>
      <c r="X73" s="150"/>
      <c r="Y73" s="150"/>
      <c r="Z73" s="150"/>
      <c r="AA73" s="150"/>
      <c r="AB73" s="150"/>
      <c r="AC73" s="150"/>
      <c r="AE73" s="150" t="s">
        <v>597</v>
      </c>
      <c r="AF73" s="150"/>
      <c r="AG73" s="150"/>
      <c r="AH73" s="150"/>
      <c r="AI73" s="150"/>
      <c r="AJ73" s="150"/>
      <c r="AK73" s="150"/>
      <c r="AL73" s="150"/>
      <c r="BF73" s="4" t="s">
        <v>687</v>
      </c>
      <c r="BG73" s="3">
        <f>IF($B$2="(Todas)",COUNTIF(BASE[CODCIE10],GUIA_NACIONAL_2022_1106128105107110207214216221222223224226228229[[#This Row],[CIE-10]]),COUNTIFS(BASE[Cod.Establecimiento],$B$2,BASE[CODCIE10],GUIA_NACIONAL_2022_1106128105107110207214216221222223224226228229[[#This Row],[CIE-10]]))</f>
        <v>0</v>
      </c>
      <c r="BH73" s="3">
        <f>IF($B$2="(Todas)",COUNTIF(BASE[CODCIE102],GUIA_NACIONAL_2022_1106128105107110207214216221222223224226228229[[#This Row],[CIE-10]]),COUNTIFS(BASE[Cod.Establecimiento],$B$2,BASE[CODCIE102],GUIA_NACIONAL_2022_1106128105107110207214216221222223224226228229[[#This Row],[CIE-10]]))</f>
        <v>0</v>
      </c>
      <c r="BI73" s="3">
        <f>IF($B$2="(Todas)",COUNTIF(BASE[CODCIE104],GUIA_NACIONAL_2022_1106128105107110207214216221222223224226228229[[#This Row],[CIE-10]]),COUNTIFS(BASE[Cod.Establecimiento],$B$2,BASE[CODCIE104],GUIA_NACIONAL_2022_1106128105107110207214216221222223224226228229[[#This Row],[CIE-10]]))</f>
        <v>0</v>
      </c>
      <c r="BJ73" s="3">
        <f>IF($B$2="(Todas)",COUNTIF(BASE[CODCIE106],GUIA_NACIONAL_2022_1106128105107110207214216221222223224226228229[[#This Row],[CIE-10]]),COUNTIFS(BASE[Cod.Establecimiento],$B$2,BASE[CODCIE106],GUIA_NACIONAL_2022_1106128105107110207214216221222223224226228229[[#This Row],[CIE-10]]))</f>
        <v>0</v>
      </c>
      <c r="BK73" s="3">
        <f>IF($B$2="(Todas)",COUNTIF(BASE[CODCIE108],GUIA_NACIONAL_2022_1106128105107110207214216221222223224226228229[[#This Row],[CIE-10]]),COUNTIFS(BASE[Cod.Establecimiento],$B$2,BASE[CODCIE108],GUIA_NACIONAL_2022_1106128105107110207214216221222223224226228229[[#This Row],[CIE-10]]))</f>
        <v>0</v>
      </c>
      <c r="BL73" s="3">
        <f>IF($B$2="(Todas)",COUNTIF(BASE[CODCIE1010],GUIA_NACIONAL_2022_1106128105107110207214216221222223224226228229[[#This Row],[CIE-10]]),COUNTIFS(BASE[Cod.Establecimiento],$B$2,BASE[CODCIE1010],GUIA_NACIONAL_2022_1106128105107110207214216221222223224226228229[[#This Row],[CIE-10]]))</f>
        <v>0</v>
      </c>
      <c r="BM73" s="9">
        <f>SUM(GUIA_NACIONAL_2022_1106128105107110207214216221222223224226228229[[#This Row],[D1]:[D6]])</f>
        <v>0</v>
      </c>
      <c r="BO73" s="32" t="s">
        <v>344</v>
      </c>
      <c r="BP73" s="3">
        <f>IF($B$2="(Todas)",COUNTIF(BASE[CODCIE10],GUIA_NACIONAL_2022_1106128105107110207214216217236241244246247[[#This Row],[CIE-10]]),COUNTIFS(BASE[Cod.Establecimiento],$B$2,BASE[CODCIE10],GUIA_NACIONAL_2022_1106128105107110207214216217236241244246247[[#This Row],[CIE-10]]))</f>
        <v>0</v>
      </c>
      <c r="BQ73" s="3">
        <f>IF($B$2="(Todas)",COUNTIF(BASE[CODCIE102],GUIA_NACIONAL_2022_1106128105107110207214216217236241244246247[[#This Row],[CIE-10]]),COUNTIFS(BASE[Cod.Establecimiento],$B$2,BASE[CODCIE102],GUIA_NACIONAL_2022_1106128105107110207214216217236241244246247[[#This Row],[CIE-10]]))</f>
        <v>0</v>
      </c>
      <c r="BR73" s="3">
        <f>IF($B$2="(Todas)",COUNTIF(BASE[CODCIE104],GUIA_NACIONAL_2022_1106128105107110207214216217236241244246247[[#This Row],[CIE-10]]),COUNTIFS(BASE[Cod.Establecimiento],$B$2,BASE[CODCIE104],GUIA_NACIONAL_2022_1106128105107110207214216217236241244246247[[#This Row],[CIE-10]]))</f>
        <v>0</v>
      </c>
      <c r="BS73" s="3">
        <f>IF($B$2="(Todas)",COUNTIF(BASE[CODCIE106],GUIA_NACIONAL_2022_1106128105107110207214216217236241244246247[[#This Row],[CIE-10]]),COUNTIFS(BASE[Cod.Establecimiento],$B$2,BASE[CODCIE106],GUIA_NACIONAL_2022_1106128105107110207214216217236241244246247[[#This Row],[CIE-10]]))</f>
        <v>0</v>
      </c>
      <c r="BT73" s="3">
        <f>IF($B$2="(Todas)",COUNTIF(BASE[CODCIE108],GUIA_NACIONAL_2022_1106128105107110207214216217236241244246247[[#This Row],[CIE-10]]),COUNTIFS(BASE[Cod.Establecimiento],$B$2,BASE[CODCIE108],GUIA_NACIONAL_2022_1106128105107110207214216217236241244246247[[#This Row],[CIE-10]]))</f>
        <v>0</v>
      </c>
      <c r="BU73" s="3">
        <f>IF($B$2="(Todas)",COUNTIF(BASE[CODCIE1010],GUIA_NACIONAL_2022_1106128105107110207214216217236241244246247[[#This Row],[CIE-10]]),COUNTIFS(BASE[Cod.Establecimiento],$B$2,BASE[CODCIE1010],GUIA_NACIONAL_2022_1106128105107110207214216217236241244246247[[#This Row],[CIE-10]]))</f>
        <v>0</v>
      </c>
      <c r="BV73" s="9">
        <f>SUM(GUIA_NACIONAL_2022_1106128105107110207214216217236241244246247[[#This Row],[D1]:[D6]])</f>
        <v>0</v>
      </c>
    </row>
    <row r="74" spans="4:74">
      <c r="D74" s="150" t="s">
        <v>459</v>
      </c>
      <c r="E74" s="150"/>
      <c r="F74" s="150"/>
      <c r="G74" s="150"/>
      <c r="H74" s="150"/>
      <c r="I74" s="150"/>
      <c r="J74" s="150"/>
      <c r="K74" s="150"/>
      <c r="V74" t="s">
        <v>93</v>
      </c>
      <c r="W74" s="3" t="s">
        <v>94</v>
      </c>
      <c r="X74" s="3" t="s">
        <v>95</v>
      </c>
      <c r="Y74" s="3" t="s">
        <v>96</v>
      </c>
      <c r="Z74" s="3" t="s">
        <v>97</v>
      </c>
      <c r="AA74" s="3" t="s">
        <v>98</v>
      </c>
      <c r="AB74" s="3" t="s">
        <v>99</v>
      </c>
      <c r="AC74" s="8" t="s">
        <v>100</v>
      </c>
      <c r="AE74" t="s">
        <v>93</v>
      </c>
      <c r="AF74" s="3" t="s">
        <v>94</v>
      </c>
      <c r="AG74" s="3" t="s">
        <v>95</v>
      </c>
      <c r="AH74" s="3" t="s">
        <v>96</v>
      </c>
      <c r="AI74" s="3" t="s">
        <v>97</v>
      </c>
      <c r="AJ74" s="3" t="s">
        <v>98</v>
      </c>
      <c r="AK74" s="3" t="s">
        <v>99</v>
      </c>
      <c r="AL74" s="8" t="s">
        <v>100</v>
      </c>
      <c r="BF74" s="150" t="s">
        <v>688</v>
      </c>
      <c r="BG74" s="150"/>
      <c r="BH74" s="150"/>
      <c r="BI74" s="150"/>
      <c r="BJ74" s="150"/>
      <c r="BK74" s="150"/>
      <c r="BL74" s="150"/>
      <c r="BM74" s="150"/>
      <c r="BO74" s="32" t="s">
        <v>345</v>
      </c>
      <c r="BP74" s="3">
        <f>IF($B$2="(Todas)",COUNTIF(BASE[CODCIE10],GUIA_NACIONAL_2022_1106128105107110207214216217236241244246247[[#This Row],[CIE-10]]),COUNTIFS(BASE[Cod.Establecimiento],$B$2,BASE[CODCIE10],GUIA_NACIONAL_2022_1106128105107110207214216217236241244246247[[#This Row],[CIE-10]]))</f>
        <v>0</v>
      </c>
      <c r="BQ74" s="3">
        <f>IF($B$2="(Todas)",COUNTIF(BASE[CODCIE102],GUIA_NACIONAL_2022_1106128105107110207214216217236241244246247[[#This Row],[CIE-10]]),COUNTIFS(BASE[Cod.Establecimiento],$B$2,BASE[CODCIE102],GUIA_NACIONAL_2022_1106128105107110207214216217236241244246247[[#This Row],[CIE-10]]))</f>
        <v>0</v>
      </c>
      <c r="BR74" s="3">
        <f>IF($B$2="(Todas)",COUNTIF(BASE[CODCIE104],GUIA_NACIONAL_2022_1106128105107110207214216217236241244246247[[#This Row],[CIE-10]]),COUNTIFS(BASE[Cod.Establecimiento],$B$2,BASE[CODCIE104],GUIA_NACIONAL_2022_1106128105107110207214216217236241244246247[[#This Row],[CIE-10]]))</f>
        <v>0</v>
      </c>
      <c r="BS74" s="3">
        <f>IF($B$2="(Todas)",COUNTIF(BASE[CODCIE106],GUIA_NACIONAL_2022_1106128105107110207214216217236241244246247[[#This Row],[CIE-10]]),COUNTIFS(BASE[Cod.Establecimiento],$B$2,BASE[CODCIE106],GUIA_NACIONAL_2022_1106128105107110207214216217236241244246247[[#This Row],[CIE-10]]))</f>
        <v>0</v>
      </c>
      <c r="BT74" s="3">
        <f>IF($B$2="(Todas)",COUNTIF(BASE[CODCIE108],GUIA_NACIONAL_2022_1106128105107110207214216217236241244246247[[#This Row],[CIE-10]]),COUNTIFS(BASE[Cod.Establecimiento],$B$2,BASE[CODCIE108],GUIA_NACIONAL_2022_1106128105107110207214216217236241244246247[[#This Row],[CIE-10]]))</f>
        <v>0</v>
      </c>
      <c r="BU74" s="3">
        <f>IF($B$2="(Todas)",COUNTIF(BASE[CODCIE1010],GUIA_NACIONAL_2022_1106128105107110207214216217236241244246247[[#This Row],[CIE-10]]),COUNTIFS(BASE[Cod.Establecimiento],$B$2,BASE[CODCIE1010],GUIA_NACIONAL_2022_1106128105107110207214216217236241244246247[[#This Row],[CIE-10]]))</f>
        <v>0</v>
      </c>
      <c r="BV74" s="9">
        <f>SUM(GUIA_NACIONAL_2022_1106128105107110207214216217236241244246247[[#This Row],[D1]:[D6]])</f>
        <v>0</v>
      </c>
    </row>
    <row r="75" spans="4:74">
      <c r="D75" t="s">
        <v>93</v>
      </c>
      <c r="E75" s="3" t="s">
        <v>94</v>
      </c>
      <c r="F75" s="3" t="s">
        <v>95</v>
      </c>
      <c r="G75" s="3" t="s">
        <v>96</v>
      </c>
      <c r="H75" s="3" t="s">
        <v>97</v>
      </c>
      <c r="I75" s="3" t="s">
        <v>98</v>
      </c>
      <c r="J75" s="3" t="s">
        <v>99</v>
      </c>
      <c r="K75" s="8" t="s">
        <v>100</v>
      </c>
      <c r="V75" s="4" t="s">
        <v>123</v>
      </c>
      <c r="W75" s="3">
        <f>IF($B$2="(Todas)",COUNTIF(BASE[CODCIE10],GUIA_NACIONAL_2022_1106128143146150153156145[[#This Row],[CIE-10]]),COUNTIFS(BASE[Cod.Establecimiento],$B$2,BASE[CODCIE10],GUIA_NACIONAL_2022_1106128143146150153156145[[#This Row],[CIE-10]]))</f>
        <v>0</v>
      </c>
      <c r="X75" s="3">
        <f>IF($B$2="(Todas)",COUNTIF(BASE[CODCIE102],GUIA_NACIONAL_2022_1106128143146150153156145[[#This Row],[CIE-10]]),COUNTIFS(BASE[Cod.Establecimiento],$B$2,BASE[CODCIE102],GUIA_NACIONAL_2022_1106128143146150153156145[[#This Row],[CIE-10]]))</f>
        <v>0</v>
      </c>
      <c r="Y75" s="3">
        <f>IF($B$2="(Todas)",COUNTIF(BASE[CODCIE104],GUIA_NACIONAL_2022_1106128143146150153156145[[#This Row],[CIE-10]]),COUNTIFS(BASE[Cod.Establecimiento],$B$2,BASE[CODCIE104],GUIA_NACIONAL_2022_1106128143146150153156145[[#This Row],[CIE-10]]))</f>
        <v>0</v>
      </c>
      <c r="Z75" s="3">
        <f>IF($B$2="(Todas)",COUNTIF(BASE[CODCIE106],GUIA_NACIONAL_2022_1106128143146150153156145[[#This Row],[CIE-10]]),COUNTIFS(BASE[Cod.Establecimiento],$B$2,BASE[CODCIE106],GUIA_NACIONAL_2022_1106128143146150153156145[[#This Row],[CIE-10]]))</f>
        <v>0</v>
      </c>
      <c r="AA75" s="3">
        <f>IF($B$2="(Todas)",COUNTIF(BASE[CODCIE108],GUIA_NACIONAL_2022_1106128143146150153156145[[#This Row],[CIE-10]]),COUNTIFS(BASE[Cod.Establecimiento],$B$2,BASE[CODCIE108],GUIA_NACIONAL_2022_1106128143146150153156145[[#This Row],[CIE-10]]))</f>
        <v>0</v>
      </c>
      <c r="AB75" s="3">
        <f>IF($B$2="(Todas)",COUNTIF(BASE[CODCIE1010],GUIA_NACIONAL_2022_1106128143146150153156145[[#This Row],[CIE-10]]),COUNTIFS(BASE[Cod.Establecimiento],$B$2,BASE[CODCIE1010],GUIA_NACIONAL_2022_1106128143146150153156145[[#This Row],[CIE-10]]))</f>
        <v>0</v>
      </c>
      <c r="AC75" s="9">
        <f>SUM(GUIA_NACIONAL_2022_1106128143146150153156145[[#This Row],[D1]:[D6]])</f>
        <v>0</v>
      </c>
      <c r="AE75" s="4" t="s">
        <v>594</v>
      </c>
      <c r="AF75" s="3">
        <f>IF($B$2="(Todas)",COUNTIF(BASE[CODCIE10],GUIA_NACIONAL_2022_1106128105168175180181182183184[[#This Row],[CIE-10]]),COUNTIFS(BASE[Cod.Establecimiento],$B$2,BASE[CODCIE10],GUIA_NACIONAL_2022_1106128105168175180181182183184[[#This Row],[CIE-10]]))</f>
        <v>0</v>
      </c>
      <c r="AG75" s="3">
        <f>IF($B$2="(Todas)",COUNTIF(BASE[CODCIE102],GUIA_NACIONAL_2022_1106128105168175180181182183184[[#This Row],[CIE-10]]),COUNTIFS(BASE[Cod.Establecimiento],$B$2,BASE[CODCIE102],GUIA_NACIONAL_2022_1106128105168175180181182183184[[#This Row],[CIE-10]]))</f>
        <v>0</v>
      </c>
      <c r="AH75" s="3">
        <f>IF($B$2="(Todas)",COUNTIF(BASE[CODCIE104],GUIA_NACIONAL_2022_1106128105168175180181182183184[[#This Row],[CIE-10]]),COUNTIFS(BASE[Cod.Establecimiento],$B$2,BASE[CODCIE104],GUIA_NACIONAL_2022_1106128105168175180181182183184[[#This Row],[CIE-10]]))</f>
        <v>0</v>
      </c>
      <c r="AI75" s="3">
        <f>IF($B$2="(Todas)",COUNTIF(BASE[CODCIE106],GUIA_NACIONAL_2022_1106128105168175180181182183184[[#This Row],[CIE-10]]),COUNTIFS(BASE[Cod.Establecimiento],$B$2,BASE[CODCIE106],GUIA_NACIONAL_2022_1106128105168175180181182183184[[#This Row],[CIE-10]]))</f>
        <v>0</v>
      </c>
      <c r="AJ75" s="3">
        <f>IF($B$2="(Todas)",COUNTIF(BASE[CODCIE108],GUIA_NACIONAL_2022_1106128105168175180181182183184[[#This Row],[CIE-10]]),COUNTIFS(BASE[Cod.Establecimiento],$B$2,BASE[CODCIE108],GUIA_NACIONAL_2022_1106128105168175180181182183184[[#This Row],[CIE-10]]))</f>
        <v>0</v>
      </c>
      <c r="AK75" s="3">
        <f>IF($B$2="(Todas)",COUNTIF(BASE[CODCIE1010],GUIA_NACIONAL_2022_1106128105168175180181182183184[[#This Row],[CIE-10]]),COUNTIFS(BASE[Cod.Establecimiento],$B$2,BASE[CODCIE1010],GUIA_NACIONAL_2022_1106128105168175180181182183184[[#This Row],[CIE-10]]))</f>
        <v>0</v>
      </c>
      <c r="AL75" s="9">
        <f>SUM(GUIA_NACIONAL_2022_1106128105168175180181182183184[[#This Row],[D1]:[D6]])</f>
        <v>0</v>
      </c>
      <c r="BF75" t="s">
        <v>93</v>
      </c>
      <c r="BG75" s="3" t="s">
        <v>94</v>
      </c>
      <c r="BH75" s="3" t="s">
        <v>95</v>
      </c>
      <c r="BI75" s="3" t="s">
        <v>96</v>
      </c>
      <c r="BJ75" s="3" t="s">
        <v>97</v>
      </c>
      <c r="BK75" s="3" t="s">
        <v>98</v>
      </c>
      <c r="BL75" s="3" t="s">
        <v>99</v>
      </c>
      <c r="BM75" s="8" t="s">
        <v>100</v>
      </c>
      <c r="BO75" s="32" t="s">
        <v>708</v>
      </c>
      <c r="BP75" s="3">
        <f>IF($B$2="(Todas)",COUNTIF(BASE[CODCIE10],GUIA_NACIONAL_2022_1106128105107110207214216217236241244246247[[#This Row],[CIE-10]]),COUNTIFS(BASE[Cod.Establecimiento],$B$2,BASE[CODCIE10],GUIA_NACIONAL_2022_1106128105107110207214216217236241244246247[[#This Row],[CIE-10]]))</f>
        <v>0</v>
      </c>
      <c r="BQ75" s="3">
        <f>IF($B$2="(Todas)",COUNTIF(BASE[CODCIE102],GUIA_NACIONAL_2022_1106128105107110207214216217236241244246247[[#This Row],[CIE-10]]),COUNTIFS(BASE[Cod.Establecimiento],$B$2,BASE[CODCIE102],GUIA_NACIONAL_2022_1106128105107110207214216217236241244246247[[#This Row],[CIE-10]]))</f>
        <v>0</v>
      </c>
      <c r="BR75" s="3">
        <f>IF($B$2="(Todas)",COUNTIF(BASE[CODCIE104],GUIA_NACIONAL_2022_1106128105107110207214216217236241244246247[[#This Row],[CIE-10]]),COUNTIFS(BASE[Cod.Establecimiento],$B$2,BASE[CODCIE104],GUIA_NACIONAL_2022_1106128105107110207214216217236241244246247[[#This Row],[CIE-10]]))</f>
        <v>0</v>
      </c>
      <c r="BS75" s="3">
        <f>IF($B$2="(Todas)",COUNTIF(BASE[CODCIE106],GUIA_NACIONAL_2022_1106128105107110207214216217236241244246247[[#This Row],[CIE-10]]),COUNTIFS(BASE[Cod.Establecimiento],$B$2,BASE[CODCIE106],GUIA_NACIONAL_2022_1106128105107110207214216217236241244246247[[#This Row],[CIE-10]]))</f>
        <v>0</v>
      </c>
      <c r="BT75" s="3">
        <f>IF($B$2="(Todas)",COUNTIF(BASE[CODCIE108],GUIA_NACIONAL_2022_1106128105107110207214216217236241244246247[[#This Row],[CIE-10]]),COUNTIFS(BASE[Cod.Establecimiento],$B$2,BASE[CODCIE108],GUIA_NACIONAL_2022_1106128105107110207214216217236241244246247[[#This Row],[CIE-10]]))</f>
        <v>0</v>
      </c>
      <c r="BU75" s="3">
        <f>IF($B$2="(Todas)",COUNTIF(BASE[CODCIE1010],GUIA_NACIONAL_2022_1106128105107110207214216217236241244246247[[#This Row],[CIE-10]]),COUNTIFS(BASE[Cod.Establecimiento],$B$2,BASE[CODCIE1010],GUIA_NACIONAL_2022_1106128105107110207214216217236241244246247[[#This Row],[CIE-10]]))</f>
        <v>0</v>
      </c>
      <c r="BV75" s="9">
        <f>SUM(GUIA_NACIONAL_2022_1106128105107110207214216217236241244246247[[#This Row],[D1]:[D6]])</f>
        <v>0</v>
      </c>
    </row>
    <row r="76" spans="4:74">
      <c r="D76" s="4" t="s">
        <v>460</v>
      </c>
      <c r="E76" s="3">
        <f>IF($B$2="(Todas)",COUNTIF(BASE[CODCIE10],GUIA_NACIONAL_2022_1106112113116117118119120121122123124125[[#This Row],[CIE-10]]),COUNTIFS(BASE[Cod.Establecimiento],$B$2,BASE[CODCIE10],GUIA_NACIONAL_2022_1106112113116117118119120121122123124125[[#This Row],[CIE-10]]))</f>
        <v>0</v>
      </c>
      <c r="F76" s="3">
        <f>IF($B$2="(Todas)",COUNTIF(BASE[CODCIE102],GUIA_NACIONAL_2022_1106112113116117118119120121122123124125[[#This Row],[CIE-10]]),COUNTIFS(BASE[Cod.Establecimiento],$B$2,BASE[CODCIE102],GUIA_NACIONAL_2022_1106112113116117118119120121122123124125[[#This Row],[CIE-10]]))</f>
        <v>0</v>
      </c>
      <c r="G76" s="3">
        <f>IF($B$2="(Todas)",COUNTIF(BASE[CODCIE104],GUIA_NACIONAL_2022_1106112113116117118119120121122123124125[[#This Row],[CIE-10]]),COUNTIFS(BASE[Cod.Establecimiento],$B$2,BASE[CODCIE104],GUIA_NACIONAL_2022_1106112113116117118119120121122123124125[[#This Row],[CIE-10]]))</f>
        <v>0</v>
      </c>
      <c r="H76" s="3">
        <f>IF($B$2="(Todas)",COUNTIF(BASE[CODCIE106],GUIA_NACIONAL_2022_1106112113116117118119120121122123124125[[#This Row],[CIE-10]]),COUNTIFS(BASE[Cod.Establecimiento],$B$2,BASE[CODCIE106],GUIA_NACIONAL_2022_1106112113116117118119120121122123124125[[#This Row],[CIE-10]]))</f>
        <v>0</v>
      </c>
      <c r="I76" s="3">
        <f>IF($B$2="(Todas)",COUNTIF(BASE[CODCIE108],GUIA_NACIONAL_2022_1106112113116117118119120121122123124125[[#This Row],[CIE-10]]),COUNTIFS(BASE[Cod.Establecimiento],$B$2,BASE[CODCIE108],GUIA_NACIONAL_2022_1106112113116117118119120121122123124125[[#This Row],[CIE-10]]))</f>
        <v>0</v>
      </c>
      <c r="J76" s="3">
        <f>IF($B$2="(Todas)",COUNTIF(BASE[CODCIE1010],GUIA_NACIONAL_2022_1106112113116117118119120121122123124125[[#This Row],[CIE-10]]),COUNTIFS(BASE[Cod.Establecimiento],$B$2,BASE[CODCIE1010],GUIA_NACIONAL_2022_1106112113116117118119120121122123124125[[#This Row],[CIE-10]]))</f>
        <v>0</v>
      </c>
      <c r="K76" s="9">
        <f>SUM(GUIA_NACIONAL_2022_1106112113116117118119120121122123124125[[#This Row],[D1]:[D6]])</f>
        <v>0</v>
      </c>
      <c r="V76" s="149" t="s">
        <v>548</v>
      </c>
      <c r="W76" s="150"/>
      <c r="X76" s="150"/>
      <c r="Y76" s="150"/>
      <c r="Z76" s="150"/>
      <c r="AA76" s="150"/>
      <c r="AB76" s="150"/>
      <c r="AC76" s="150"/>
      <c r="AE76" s="32" t="s">
        <v>595</v>
      </c>
      <c r="AF76" s="3">
        <f>IF($B$2="(Todas)",COUNTIF(BASE[CODCIE10],GUIA_NACIONAL_2022_1106128105168175180181182183184[[#This Row],[CIE-10]]),COUNTIFS(BASE[Cod.Establecimiento],$B$2,BASE[CODCIE10],GUIA_NACIONAL_2022_1106128105168175180181182183184[[#This Row],[CIE-10]]))</f>
        <v>0</v>
      </c>
      <c r="AG76" s="3">
        <f>IF($B$2="(Todas)",COUNTIF(BASE[CODCIE102],GUIA_NACIONAL_2022_1106128105168175180181182183184[[#This Row],[CIE-10]]),COUNTIFS(BASE[Cod.Establecimiento],$B$2,BASE[CODCIE102],GUIA_NACIONAL_2022_1106128105168175180181182183184[[#This Row],[CIE-10]]))</f>
        <v>0</v>
      </c>
      <c r="AH76" s="3">
        <f>IF($B$2="(Todas)",COUNTIF(BASE[CODCIE104],GUIA_NACIONAL_2022_1106128105168175180181182183184[[#This Row],[CIE-10]]),COUNTIFS(BASE[Cod.Establecimiento],$B$2,BASE[CODCIE104],GUIA_NACIONAL_2022_1106128105168175180181182183184[[#This Row],[CIE-10]]))</f>
        <v>0</v>
      </c>
      <c r="AI76" s="3">
        <f>IF($B$2="(Todas)",COUNTIF(BASE[CODCIE106],GUIA_NACIONAL_2022_1106128105168175180181182183184[[#This Row],[CIE-10]]),COUNTIFS(BASE[Cod.Establecimiento],$B$2,BASE[CODCIE106],GUIA_NACIONAL_2022_1106128105168175180181182183184[[#This Row],[CIE-10]]))</f>
        <v>0</v>
      </c>
      <c r="AJ76" s="3">
        <f>IF($B$2="(Todas)",COUNTIF(BASE[CODCIE108],GUIA_NACIONAL_2022_1106128105168175180181182183184[[#This Row],[CIE-10]]),COUNTIFS(BASE[Cod.Establecimiento],$B$2,BASE[CODCIE108],GUIA_NACIONAL_2022_1106128105168175180181182183184[[#This Row],[CIE-10]]))</f>
        <v>0</v>
      </c>
      <c r="AK76" s="3">
        <f>IF($B$2="(Todas)",COUNTIF(BASE[CODCIE1010],GUIA_NACIONAL_2022_1106128105168175180181182183184[[#This Row],[CIE-10]]),COUNTIFS(BASE[Cod.Establecimiento],$B$2,BASE[CODCIE1010],GUIA_NACIONAL_2022_1106128105168175180181182183184[[#This Row],[CIE-10]]))</f>
        <v>0</v>
      </c>
      <c r="AL76" s="9">
        <f>SUM(GUIA_NACIONAL_2022_1106128105168175180181182183184[[#This Row],[D1]:[D6]])</f>
        <v>0</v>
      </c>
      <c r="BF76" s="4" t="s">
        <v>687</v>
      </c>
      <c r="BG76" s="3">
        <f>IF($B$2="(Todas)",COUNTIF(BASE[CODCIE10],GUIA_NACIONAL_2022_1106128105107110207214216221222223224226228230[[#This Row],[CIE-10]]),COUNTIFS(BASE[Cod.Establecimiento],$B$2,BASE[CODCIE10],GUIA_NACIONAL_2022_1106128105107110207214216221222223224226228230[[#This Row],[CIE-10]]))</f>
        <v>0</v>
      </c>
      <c r="BH76" s="3">
        <f>IF($B$2="(Todas)",COUNTIF(BASE[CODCIE102],GUIA_NACIONAL_2022_1106128105107110207214216221222223224226228230[[#This Row],[CIE-10]]),COUNTIFS(BASE[Cod.Establecimiento],$B$2,BASE[CODCIE102],GUIA_NACIONAL_2022_1106128105107110207214216221222223224226228230[[#This Row],[CIE-10]]))</f>
        <v>0</v>
      </c>
      <c r="BI76" s="3">
        <f>IF($B$2="(Todas)",COUNTIF(BASE[CODCIE104],GUIA_NACIONAL_2022_1106128105107110207214216221222223224226228230[[#This Row],[CIE-10]]),COUNTIFS(BASE[Cod.Establecimiento],$B$2,BASE[CODCIE104],GUIA_NACIONAL_2022_1106128105107110207214216221222223224226228230[[#This Row],[CIE-10]]))</f>
        <v>0</v>
      </c>
      <c r="BJ76" s="3">
        <f>IF($B$2="(Todas)",COUNTIF(BASE[CODCIE106],GUIA_NACIONAL_2022_1106128105107110207214216221222223224226228230[[#This Row],[CIE-10]]),COUNTIFS(BASE[Cod.Establecimiento],$B$2,BASE[CODCIE106],GUIA_NACIONAL_2022_1106128105107110207214216221222223224226228230[[#This Row],[CIE-10]]))</f>
        <v>0</v>
      </c>
      <c r="BK76" s="3">
        <f>IF($B$2="(Todas)",COUNTIF(BASE[CODCIE108],GUIA_NACIONAL_2022_1106128105107110207214216221222223224226228230[[#This Row],[CIE-10]]),COUNTIFS(BASE[Cod.Establecimiento],$B$2,BASE[CODCIE108],GUIA_NACIONAL_2022_1106128105107110207214216221222223224226228230[[#This Row],[CIE-10]]))</f>
        <v>0</v>
      </c>
      <c r="BL76" s="3">
        <f>IF($B$2="(Todas)",COUNTIF(BASE[CODCIE1010],GUIA_NACIONAL_2022_1106128105107110207214216221222223224226228230[[#This Row],[CIE-10]]),COUNTIFS(BASE[Cod.Establecimiento],$B$2,BASE[CODCIE1010],GUIA_NACIONAL_2022_1106128105107110207214216221222223224226228230[[#This Row],[CIE-10]]))</f>
        <v>0</v>
      </c>
      <c r="BM76" s="9">
        <f>SUM(GUIA_NACIONAL_2022_1106128105107110207214216221222223224226228230[[#This Row],[D1]:[D6]])</f>
        <v>0</v>
      </c>
      <c r="BO76" s="32" t="s">
        <v>709</v>
      </c>
      <c r="BP76" s="3">
        <f>IF($B$2="(Todas)",COUNTIF(BASE[CODCIE10],GUIA_NACIONAL_2022_1106128105107110207214216217236241244246247[[#This Row],[CIE-10]]),COUNTIFS(BASE[Cod.Establecimiento],$B$2,BASE[CODCIE10],GUIA_NACIONAL_2022_1106128105107110207214216217236241244246247[[#This Row],[CIE-10]]))</f>
        <v>0</v>
      </c>
      <c r="BQ76" s="3">
        <f>IF($B$2="(Todas)",COUNTIF(BASE[CODCIE102],GUIA_NACIONAL_2022_1106128105107110207214216217236241244246247[[#This Row],[CIE-10]]),COUNTIFS(BASE[Cod.Establecimiento],$B$2,BASE[CODCIE102],GUIA_NACIONAL_2022_1106128105107110207214216217236241244246247[[#This Row],[CIE-10]]))</f>
        <v>0</v>
      </c>
      <c r="BR76" s="3">
        <f>IF($B$2="(Todas)",COUNTIF(BASE[CODCIE104],GUIA_NACIONAL_2022_1106128105107110207214216217236241244246247[[#This Row],[CIE-10]]),COUNTIFS(BASE[Cod.Establecimiento],$B$2,BASE[CODCIE104],GUIA_NACIONAL_2022_1106128105107110207214216217236241244246247[[#This Row],[CIE-10]]))</f>
        <v>0</v>
      </c>
      <c r="BS76" s="3">
        <f>IF($B$2="(Todas)",COUNTIF(BASE[CODCIE106],GUIA_NACIONAL_2022_1106128105107110207214216217236241244246247[[#This Row],[CIE-10]]),COUNTIFS(BASE[Cod.Establecimiento],$B$2,BASE[CODCIE106],GUIA_NACIONAL_2022_1106128105107110207214216217236241244246247[[#This Row],[CIE-10]]))</f>
        <v>0</v>
      </c>
      <c r="BT76" s="3">
        <f>IF($B$2="(Todas)",COUNTIF(BASE[CODCIE108],GUIA_NACIONAL_2022_1106128105107110207214216217236241244246247[[#This Row],[CIE-10]]),COUNTIFS(BASE[Cod.Establecimiento],$B$2,BASE[CODCIE108],GUIA_NACIONAL_2022_1106128105107110207214216217236241244246247[[#This Row],[CIE-10]]))</f>
        <v>0</v>
      </c>
      <c r="BU76" s="3">
        <f>IF($B$2="(Todas)",COUNTIF(BASE[CODCIE1010],GUIA_NACIONAL_2022_1106128105107110207214216217236241244246247[[#This Row],[CIE-10]]),COUNTIFS(BASE[Cod.Establecimiento],$B$2,BASE[CODCIE1010],GUIA_NACIONAL_2022_1106128105107110207214216217236241244246247[[#This Row],[CIE-10]]))</f>
        <v>0</v>
      </c>
      <c r="BV76" s="9">
        <f>SUM(GUIA_NACIONAL_2022_1106128105107110207214216217236241244246247[[#This Row],[D1]:[D6]])</f>
        <v>0</v>
      </c>
    </row>
    <row r="77" spans="4:74">
      <c r="D77" s="150" t="s">
        <v>461</v>
      </c>
      <c r="E77" s="150"/>
      <c r="F77" s="150"/>
      <c r="G77" s="150"/>
      <c r="H77" s="150"/>
      <c r="I77" s="150"/>
      <c r="J77" s="150"/>
      <c r="K77" s="150"/>
      <c r="V77" t="s">
        <v>93</v>
      </c>
      <c r="W77" s="3" t="s">
        <v>94</v>
      </c>
      <c r="X77" s="3" t="s">
        <v>95</v>
      </c>
      <c r="Y77" s="3" t="s">
        <v>96</v>
      </c>
      <c r="Z77" s="3" t="s">
        <v>97</v>
      </c>
      <c r="AA77" s="3" t="s">
        <v>98</v>
      </c>
      <c r="AB77" s="3" t="s">
        <v>99</v>
      </c>
      <c r="AC77" s="8" t="s">
        <v>100</v>
      </c>
      <c r="AE77" s="150" t="s">
        <v>598</v>
      </c>
      <c r="AF77" s="150"/>
      <c r="AG77" s="150"/>
      <c r="AH77" s="150"/>
      <c r="AI77" s="150"/>
      <c r="AJ77" s="150"/>
      <c r="AK77" s="150"/>
      <c r="AL77" s="150"/>
      <c r="BO77" s="32" t="s">
        <v>710</v>
      </c>
      <c r="BP77" s="3">
        <f>IF($B$2="(Todas)",COUNTIF(BASE[CODCIE10],GUIA_NACIONAL_2022_1106128105107110207214216217236241244246247[[#This Row],[CIE-10]]),COUNTIFS(BASE[Cod.Establecimiento],$B$2,BASE[CODCIE10],GUIA_NACIONAL_2022_1106128105107110207214216217236241244246247[[#This Row],[CIE-10]]))</f>
        <v>0</v>
      </c>
      <c r="BQ77" s="3">
        <f>IF($B$2="(Todas)",COUNTIF(BASE[CODCIE102],GUIA_NACIONAL_2022_1106128105107110207214216217236241244246247[[#This Row],[CIE-10]]),COUNTIFS(BASE[Cod.Establecimiento],$B$2,BASE[CODCIE102],GUIA_NACIONAL_2022_1106128105107110207214216217236241244246247[[#This Row],[CIE-10]]))</f>
        <v>0</v>
      </c>
      <c r="BR77" s="3">
        <f>IF($B$2="(Todas)",COUNTIF(BASE[CODCIE104],GUIA_NACIONAL_2022_1106128105107110207214216217236241244246247[[#This Row],[CIE-10]]),COUNTIFS(BASE[Cod.Establecimiento],$B$2,BASE[CODCIE104],GUIA_NACIONAL_2022_1106128105107110207214216217236241244246247[[#This Row],[CIE-10]]))</f>
        <v>0</v>
      </c>
      <c r="BS77" s="3">
        <f>IF($B$2="(Todas)",COUNTIF(BASE[CODCIE106],GUIA_NACIONAL_2022_1106128105107110207214216217236241244246247[[#This Row],[CIE-10]]),COUNTIFS(BASE[Cod.Establecimiento],$B$2,BASE[CODCIE106],GUIA_NACIONAL_2022_1106128105107110207214216217236241244246247[[#This Row],[CIE-10]]))</f>
        <v>0</v>
      </c>
      <c r="BT77" s="3">
        <f>IF($B$2="(Todas)",COUNTIF(BASE[CODCIE108],GUIA_NACIONAL_2022_1106128105107110207214216217236241244246247[[#This Row],[CIE-10]]),COUNTIFS(BASE[Cod.Establecimiento],$B$2,BASE[CODCIE108],GUIA_NACIONAL_2022_1106128105107110207214216217236241244246247[[#This Row],[CIE-10]]))</f>
        <v>0</v>
      </c>
      <c r="BU77" s="3">
        <f>IF($B$2="(Todas)",COUNTIF(BASE[CODCIE1010],GUIA_NACIONAL_2022_1106128105107110207214216217236241244246247[[#This Row],[CIE-10]]),COUNTIFS(BASE[Cod.Establecimiento],$B$2,BASE[CODCIE1010],GUIA_NACIONAL_2022_1106128105107110207214216217236241244246247[[#This Row],[CIE-10]]))</f>
        <v>0</v>
      </c>
      <c r="BV77" s="9">
        <f>SUM(GUIA_NACIONAL_2022_1106128105107110207214216217236241244246247[[#This Row],[D1]:[D6]])</f>
        <v>0</v>
      </c>
    </row>
    <row r="78" spans="4:74">
      <c r="D78" t="s">
        <v>93</v>
      </c>
      <c r="E78" s="3" t="s">
        <v>94</v>
      </c>
      <c r="F78" s="3" t="s">
        <v>95</v>
      </c>
      <c r="G78" s="3" t="s">
        <v>96</v>
      </c>
      <c r="H78" s="3" t="s">
        <v>97</v>
      </c>
      <c r="I78" s="3" t="s">
        <v>98</v>
      </c>
      <c r="J78" s="3" t="s">
        <v>99</v>
      </c>
      <c r="K78" s="8" t="s">
        <v>100</v>
      </c>
      <c r="V78" s="4" t="s">
        <v>123</v>
      </c>
      <c r="W78" s="3">
        <f>IF($B$2="(Todas)",COUNTIF(BASE[CODCIE10],GUIA_NACIONAL_2022_1106128143146150153156145157[[#This Row],[CIE-10]]),COUNTIFS(BASE[Cod.Establecimiento],$B$2,BASE[CODCIE10],GUIA_NACIONAL_2022_1106128143146150153156145157[[#This Row],[CIE-10]]))</f>
        <v>0</v>
      </c>
      <c r="X78" s="3">
        <f>IF($B$2="(Todas)",COUNTIF(BASE[CODCIE102],GUIA_NACIONAL_2022_1106128143146150153156145157[[#This Row],[CIE-10]]),COUNTIFS(BASE[Cod.Establecimiento],$B$2,BASE[CODCIE102],GUIA_NACIONAL_2022_1106128143146150153156145157[[#This Row],[CIE-10]]))</f>
        <v>0</v>
      </c>
      <c r="Y78" s="3">
        <f>IF($B$2="(Todas)",COUNTIF(BASE[CODCIE104],GUIA_NACIONAL_2022_1106128143146150153156145157[[#This Row],[CIE-10]]),COUNTIFS(BASE[Cod.Establecimiento],$B$2,BASE[CODCIE104],GUIA_NACIONAL_2022_1106128143146150153156145157[[#This Row],[CIE-10]]))</f>
        <v>0</v>
      </c>
      <c r="Z78" s="3">
        <f>IF($B$2="(Todas)",COUNTIF(BASE[CODCIE106],GUIA_NACIONAL_2022_1106128143146150153156145157[[#This Row],[CIE-10]]),COUNTIFS(BASE[Cod.Establecimiento],$B$2,BASE[CODCIE106],GUIA_NACIONAL_2022_1106128143146150153156145157[[#This Row],[CIE-10]]))</f>
        <v>0</v>
      </c>
      <c r="AA78" s="3">
        <f>IF($B$2="(Todas)",COUNTIF(BASE[CODCIE108],GUIA_NACIONAL_2022_1106128143146150153156145157[[#This Row],[CIE-10]]),COUNTIFS(BASE[Cod.Establecimiento],$B$2,BASE[CODCIE108],GUIA_NACIONAL_2022_1106128143146150153156145157[[#This Row],[CIE-10]]))</f>
        <v>0</v>
      </c>
      <c r="AB78" s="3">
        <f>IF($B$2="(Todas)",COUNTIF(BASE[CODCIE1010],GUIA_NACIONAL_2022_1106128143146150153156145157[[#This Row],[CIE-10]]),COUNTIFS(BASE[Cod.Establecimiento],$B$2,BASE[CODCIE1010],GUIA_NACIONAL_2022_1106128143146150153156145157[[#This Row],[CIE-10]]))</f>
        <v>0</v>
      </c>
      <c r="AC78" s="9">
        <f>SUM(GUIA_NACIONAL_2022_1106128143146150153156145157[[#This Row],[D1]:[D6]])</f>
        <v>0</v>
      </c>
      <c r="AE78" t="s">
        <v>93</v>
      </c>
      <c r="AF78" s="3" t="s">
        <v>94</v>
      </c>
      <c r="AG78" s="3" t="s">
        <v>95</v>
      </c>
      <c r="AH78" s="3" t="s">
        <v>96</v>
      </c>
      <c r="AI78" s="3" t="s">
        <v>97</v>
      </c>
      <c r="AJ78" s="3" t="s">
        <v>98</v>
      </c>
      <c r="AK78" s="3" t="s">
        <v>99</v>
      </c>
      <c r="AL78" s="8" t="s">
        <v>100</v>
      </c>
    </row>
    <row r="79" spans="4:74">
      <c r="D79" s="4" t="s">
        <v>462</v>
      </c>
      <c r="E79" s="3">
        <f>IF($B$2="(Todas)",COUNTIF(BASE[CODCIE10],GUIA_NACIONAL_2022_1106112113116117118119120121122123124125126[[#This Row],[CIE-10]]),COUNTIFS(BASE[Cod.Establecimiento],$B$2,BASE[CODCIE10],GUIA_NACIONAL_2022_1106112113116117118119120121122123124125126[[#This Row],[CIE-10]]))</f>
        <v>0</v>
      </c>
      <c r="F79" s="3">
        <f>IF($B$2="(Todas)",COUNTIF(BASE[CODCIE102],GUIA_NACIONAL_2022_1106112113116117118119120121122123124125126[[#This Row],[CIE-10]]),COUNTIFS(BASE[Cod.Establecimiento],$B$2,BASE[CODCIE102],GUIA_NACIONAL_2022_1106112113116117118119120121122123124125126[[#This Row],[CIE-10]]))</f>
        <v>0</v>
      </c>
      <c r="G79" s="3">
        <f>IF($B$2="(Todas)",COUNTIF(BASE[CODCIE104],GUIA_NACIONAL_2022_1106112113116117118119120121122123124125126[[#This Row],[CIE-10]]),COUNTIFS(BASE[Cod.Establecimiento],$B$2,BASE[CODCIE104],GUIA_NACIONAL_2022_1106112113116117118119120121122123124125126[[#This Row],[CIE-10]]))</f>
        <v>0</v>
      </c>
      <c r="H79" s="3">
        <f>IF($B$2="(Todas)",COUNTIF(BASE[CODCIE106],GUIA_NACIONAL_2022_1106112113116117118119120121122123124125126[[#This Row],[CIE-10]]),COUNTIFS(BASE[Cod.Establecimiento],$B$2,BASE[CODCIE106],GUIA_NACIONAL_2022_1106112113116117118119120121122123124125126[[#This Row],[CIE-10]]))</f>
        <v>0</v>
      </c>
      <c r="I79" s="3">
        <f>IF($B$2="(Todas)",COUNTIF(BASE[CODCIE108],GUIA_NACIONAL_2022_1106112113116117118119120121122123124125126[[#This Row],[CIE-10]]),COUNTIFS(BASE[Cod.Establecimiento],$B$2,BASE[CODCIE108],GUIA_NACIONAL_2022_1106112113116117118119120121122123124125126[[#This Row],[CIE-10]]))</f>
        <v>0</v>
      </c>
      <c r="J79" s="3">
        <f>IF($B$2="(Todas)",COUNTIF(BASE[CODCIE1010],GUIA_NACIONAL_2022_1106112113116117118119120121122123124125126[[#This Row],[CIE-10]]),COUNTIFS(BASE[Cod.Establecimiento],$B$2,BASE[CODCIE1010],GUIA_NACIONAL_2022_1106112113116117118119120121122123124125126[[#This Row],[CIE-10]]))</f>
        <v>0</v>
      </c>
      <c r="K79" s="9">
        <f>SUM(GUIA_NACIONAL_2022_1106112113116117118119120121122123124125126[[#This Row],[D1]:[D6]])</f>
        <v>0</v>
      </c>
      <c r="V79" s="149" t="s">
        <v>546</v>
      </c>
      <c r="W79" s="150"/>
      <c r="X79" s="150"/>
      <c r="Y79" s="150"/>
      <c r="Z79" s="150"/>
      <c r="AA79" s="150"/>
      <c r="AB79" s="150"/>
      <c r="AC79" s="150"/>
      <c r="AE79" s="4" t="s">
        <v>594</v>
      </c>
      <c r="AF79" s="3">
        <f>IF($B$2="(Todas)",COUNTIF(BASE[CODCIE10],GUIA_NACIONAL_2022_1106128105168175180181182183184185[[#This Row],[CIE-10]]),COUNTIFS(BASE[Cod.Establecimiento],$B$2,BASE[CODCIE10],GUIA_NACIONAL_2022_1106128105168175180181182183184185[[#This Row],[CIE-10]]))</f>
        <v>0</v>
      </c>
      <c r="AG79" s="3">
        <f>IF($B$2="(Todas)",COUNTIF(BASE[CODCIE102],GUIA_NACIONAL_2022_1106128105168175180181182183184185[[#This Row],[CIE-10]]),COUNTIFS(BASE[Cod.Establecimiento],$B$2,BASE[CODCIE102],GUIA_NACIONAL_2022_1106128105168175180181182183184185[[#This Row],[CIE-10]]))</f>
        <v>0</v>
      </c>
      <c r="AH79" s="3">
        <f>IF($B$2="(Todas)",COUNTIF(BASE[CODCIE104],GUIA_NACIONAL_2022_1106128105168175180181182183184185[[#This Row],[CIE-10]]),COUNTIFS(BASE[Cod.Establecimiento],$B$2,BASE[CODCIE104],GUIA_NACIONAL_2022_1106128105168175180181182183184185[[#This Row],[CIE-10]]))</f>
        <v>0</v>
      </c>
      <c r="AI79" s="3">
        <f>IF($B$2="(Todas)",COUNTIF(BASE[CODCIE106],GUIA_NACIONAL_2022_1106128105168175180181182183184185[[#This Row],[CIE-10]]),COUNTIFS(BASE[Cod.Establecimiento],$B$2,BASE[CODCIE106],GUIA_NACIONAL_2022_1106128105168175180181182183184185[[#This Row],[CIE-10]]))</f>
        <v>0</v>
      </c>
      <c r="AJ79" s="3">
        <f>IF($B$2="(Todas)",COUNTIF(BASE[CODCIE108],GUIA_NACIONAL_2022_1106128105168175180181182183184185[[#This Row],[CIE-10]]),COUNTIFS(BASE[Cod.Establecimiento],$B$2,BASE[CODCIE108],GUIA_NACIONAL_2022_1106128105168175180181182183184185[[#This Row],[CIE-10]]))</f>
        <v>0</v>
      </c>
      <c r="AK79" s="3">
        <f>IF($B$2="(Todas)",COUNTIF(BASE[CODCIE1010],GUIA_NACIONAL_2022_1106128105168175180181182183184185[[#This Row],[CIE-10]]),COUNTIFS(BASE[Cod.Establecimiento],$B$2,BASE[CODCIE1010],GUIA_NACIONAL_2022_1106128105168175180181182183184185[[#This Row],[CIE-10]]))</f>
        <v>0</v>
      </c>
      <c r="AL79" s="9">
        <f>SUM(GUIA_NACIONAL_2022_1106128105168175180181182183184185[[#This Row],[D1]:[D6]])</f>
        <v>0</v>
      </c>
    </row>
    <row r="80" spans="4:74">
      <c r="V80" t="s">
        <v>93</v>
      </c>
      <c r="W80" s="3" t="s">
        <v>94</v>
      </c>
      <c r="X80" s="3" t="s">
        <v>95</v>
      </c>
      <c r="Y80" s="3" t="s">
        <v>96</v>
      </c>
      <c r="Z80" s="3" t="s">
        <v>97</v>
      </c>
      <c r="AA80" s="3" t="s">
        <v>98</v>
      </c>
      <c r="AB80" s="3" t="s">
        <v>99</v>
      </c>
      <c r="AC80" s="8" t="s">
        <v>100</v>
      </c>
      <c r="AE80" s="32" t="s">
        <v>595</v>
      </c>
      <c r="AF80" s="3">
        <f>IF($B$2="(Todas)",COUNTIF(BASE[CODCIE10],GUIA_NACIONAL_2022_1106128105168175180181182183184185[[#This Row],[CIE-10]]),COUNTIFS(BASE[Cod.Establecimiento],$B$2,BASE[CODCIE10],GUIA_NACIONAL_2022_1106128105168175180181182183184185[[#This Row],[CIE-10]]))</f>
        <v>0</v>
      </c>
      <c r="AG80" s="3">
        <f>IF($B$2="(Todas)",COUNTIF(BASE[CODCIE102],GUIA_NACIONAL_2022_1106128105168175180181182183184185[[#This Row],[CIE-10]]),COUNTIFS(BASE[Cod.Establecimiento],$B$2,BASE[CODCIE102],GUIA_NACIONAL_2022_1106128105168175180181182183184185[[#This Row],[CIE-10]]))</f>
        <v>0</v>
      </c>
      <c r="AH80" s="3">
        <f>IF($B$2="(Todas)",COUNTIF(BASE[CODCIE104],GUIA_NACIONAL_2022_1106128105168175180181182183184185[[#This Row],[CIE-10]]),COUNTIFS(BASE[Cod.Establecimiento],$B$2,BASE[CODCIE104],GUIA_NACIONAL_2022_1106128105168175180181182183184185[[#This Row],[CIE-10]]))</f>
        <v>0</v>
      </c>
      <c r="AI80" s="3">
        <f>IF($B$2="(Todas)",COUNTIF(BASE[CODCIE106],GUIA_NACIONAL_2022_1106128105168175180181182183184185[[#This Row],[CIE-10]]),COUNTIFS(BASE[Cod.Establecimiento],$B$2,BASE[CODCIE106],GUIA_NACIONAL_2022_1106128105168175180181182183184185[[#This Row],[CIE-10]]))</f>
        <v>0</v>
      </c>
      <c r="AJ80" s="3">
        <f>IF($B$2="(Todas)",COUNTIF(BASE[CODCIE108],GUIA_NACIONAL_2022_1106128105168175180181182183184185[[#This Row],[CIE-10]]),COUNTIFS(BASE[Cod.Establecimiento],$B$2,BASE[CODCIE108],GUIA_NACIONAL_2022_1106128105168175180181182183184185[[#This Row],[CIE-10]]))</f>
        <v>0</v>
      </c>
      <c r="AK80" s="3">
        <f>IF($B$2="(Todas)",COUNTIF(BASE[CODCIE1010],GUIA_NACIONAL_2022_1106128105168175180181182183184185[[#This Row],[CIE-10]]),COUNTIFS(BASE[Cod.Establecimiento],$B$2,BASE[CODCIE1010],GUIA_NACIONAL_2022_1106128105168175180181182183184185[[#This Row],[CIE-10]]))</f>
        <v>0</v>
      </c>
      <c r="AL80" s="9">
        <f>SUM(GUIA_NACIONAL_2022_1106128105168175180181182183184185[[#This Row],[D1]:[D6]])</f>
        <v>0</v>
      </c>
    </row>
    <row r="81" spans="22:38">
      <c r="V81" s="4" t="s">
        <v>124</v>
      </c>
      <c r="W81" s="3">
        <f>IF($B$2="(Todas)",COUNTIF(BASE[CODCIE10],GUIA_NACIONAL_2022_1106128143146150153156158[[#This Row],[CIE-10]]),COUNTIFS(BASE[Cod.Establecimiento],$B$2,BASE[CODCIE10],GUIA_NACIONAL_2022_1106128143146150153156158[[#This Row],[CIE-10]]))</f>
        <v>0</v>
      </c>
      <c r="X81" s="3">
        <f>IF($B$2="(Todas)",COUNTIF(BASE[CODCIE102],GUIA_NACIONAL_2022_1106128143146150153156158[[#This Row],[CIE-10]]),COUNTIFS(BASE[Cod.Establecimiento],$B$2,BASE[CODCIE102],GUIA_NACIONAL_2022_1106128143146150153156158[[#This Row],[CIE-10]]))</f>
        <v>0</v>
      </c>
      <c r="Y81" s="3">
        <f>IF($B$2="(Todas)",COUNTIF(BASE[CODCIE104],GUIA_NACIONAL_2022_1106128143146150153156158[[#This Row],[CIE-10]]),COUNTIFS(BASE[Cod.Establecimiento],$B$2,BASE[CODCIE104],GUIA_NACIONAL_2022_1106128143146150153156158[[#This Row],[CIE-10]]))</f>
        <v>0</v>
      </c>
      <c r="Z81" s="3">
        <f>IF($B$2="(Todas)",COUNTIF(BASE[CODCIE106],GUIA_NACIONAL_2022_1106128143146150153156158[[#This Row],[CIE-10]]),COUNTIFS(BASE[Cod.Establecimiento],$B$2,BASE[CODCIE106],GUIA_NACIONAL_2022_1106128143146150153156158[[#This Row],[CIE-10]]))</f>
        <v>0</v>
      </c>
      <c r="AA81" s="3">
        <f>IF($B$2="(Todas)",COUNTIF(BASE[CODCIE108],GUIA_NACIONAL_2022_1106128143146150153156158[[#This Row],[CIE-10]]),COUNTIFS(BASE[Cod.Establecimiento],$B$2,BASE[CODCIE108],GUIA_NACIONAL_2022_1106128143146150153156158[[#This Row],[CIE-10]]))</f>
        <v>0</v>
      </c>
      <c r="AB81" s="3">
        <f>IF($B$2="(Todas)",COUNTIF(BASE[CODCIE1010],GUIA_NACIONAL_2022_1106128143146150153156158[[#This Row],[CIE-10]]),COUNTIFS(BASE[Cod.Establecimiento],$B$2,BASE[CODCIE1010],GUIA_NACIONAL_2022_1106128143146150153156158[[#This Row],[CIE-10]]))</f>
        <v>0</v>
      </c>
      <c r="AC81" s="9">
        <f>SUM(GUIA_NACIONAL_2022_1106128143146150153156158[[#This Row],[D1]:[D6]])</f>
        <v>0</v>
      </c>
      <c r="AE81" s="150" t="s">
        <v>598</v>
      </c>
      <c r="AF81" s="150"/>
      <c r="AG81" s="150"/>
      <c r="AH81" s="150"/>
      <c r="AI81" s="150"/>
      <c r="AJ81" s="150"/>
      <c r="AK81" s="150"/>
      <c r="AL81" s="150"/>
    </row>
    <row r="82" spans="22:38">
      <c r="V82" s="151" t="s">
        <v>192</v>
      </c>
      <c r="W82" s="151"/>
      <c r="X82" s="151"/>
      <c r="Y82" s="151"/>
      <c r="Z82" s="151"/>
      <c r="AA82" s="151"/>
      <c r="AB82" s="151"/>
      <c r="AC82" s="151"/>
      <c r="AE82" t="s">
        <v>93</v>
      </c>
      <c r="AF82" s="3" t="s">
        <v>94</v>
      </c>
      <c r="AG82" s="3" t="s">
        <v>95</v>
      </c>
      <c r="AH82" s="3" t="s">
        <v>96</v>
      </c>
      <c r="AI82" s="3" t="s">
        <v>97</v>
      </c>
      <c r="AJ82" s="3" t="s">
        <v>98</v>
      </c>
      <c r="AK82" s="3" t="s">
        <v>99</v>
      </c>
      <c r="AL82" s="8" t="s">
        <v>100</v>
      </c>
    </row>
    <row r="83" spans="22:38">
      <c r="V83" s="149" t="s">
        <v>544</v>
      </c>
      <c r="W83" s="150"/>
      <c r="X83" s="150"/>
      <c r="Y83" s="150"/>
      <c r="Z83" s="150"/>
      <c r="AA83" s="150"/>
      <c r="AB83" s="150"/>
      <c r="AC83" s="150"/>
      <c r="AE83" s="4" t="s">
        <v>599</v>
      </c>
      <c r="AF83" s="3">
        <f>IF($B$2="(Todas)",COUNTIF(BASE[CODCIE10],GUIA_NACIONAL_2022_1106128105168175180181182183184185186[[#This Row],[CIE-10]]),COUNTIFS(BASE[Cod.Establecimiento],$B$2,BASE[CODCIE10],GUIA_NACIONAL_2022_1106128105168175180181182183184185186[[#This Row],[CIE-10]]))</f>
        <v>0</v>
      </c>
      <c r="AG83" s="3">
        <f>IF($B$2="(Todas)",COUNTIF(BASE[CODCIE102],GUIA_NACIONAL_2022_1106128105168175180181182183184185186[[#This Row],[CIE-10]]),COUNTIFS(BASE[Cod.Establecimiento],$B$2,BASE[CODCIE102],GUIA_NACIONAL_2022_1106128105168175180181182183184185186[[#This Row],[CIE-10]]))</f>
        <v>0</v>
      </c>
      <c r="AH83" s="3">
        <f>IF($B$2="(Todas)",COUNTIF(BASE[CODCIE104],GUIA_NACIONAL_2022_1106128105168175180181182183184185186[[#This Row],[CIE-10]]),COUNTIFS(BASE[Cod.Establecimiento],$B$2,BASE[CODCIE104],GUIA_NACIONAL_2022_1106128105168175180181182183184185186[[#This Row],[CIE-10]]))</f>
        <v>0</v>
      </c>
      <c r="AI83" s="3">
        <f>IF($B$2="(Todas)",COUNTIF(BASE[CODCIE106],GUIA_NACIONAL_2022_1106128105168175180181182183184185186[[#This Row],[CIE-10]]),COUNTIFS(BASE[Cod.Establecimiento],$B$2,BASE[CODCIE106],GUIA_NACIONAL_2022_1106128105168175180181182183184185186[[#This Row],[CIE-10]]))</f>
        <v>0</v>
      </c>
      <c r="AJ83" s="3">
        <f>IF($B$2="(Todas)",COUNTIF(BASE[CODCIE108],GUIA_NACIONAL_2022_1106128105168175180181182183184185186[[#This Row],[CIE-10]]),COUNTIFS(BASE[Cod.Establecimiento],$B$2,BASE[CODCIE108],GUIA_NACIONAL_2022_1106128105168175180181182183184185186[[#This Row],[CIE-10]]))</f>
        <v>0</v>
      </c>
      <c r="AK83" s="3">
        <f>IF($B$2="(Todas)",COUNTIF(BASE[CODCIE1010],GUIA_NACIONAL_2022_1106128105168175180181182183184185186[[#This Row],[CIE-10]]),COUNTIFS(BASE[Cod.Establecimiento],$B$2,BASE[CODCIE1010],GUIA_NACIONAL_2022_1106128105168175180181182183184185186[[#This Row],[CIE-10]]))</f>
        <v>0</v>
      </c>
      <c r="AL83" s="9">
        <f>SUM(GUIA_NACIONAL_2022_1106128105168175180181182183184185186[[#This Row],[D1]:[D6]])</f>
        <v>0</v>
      </c>
    </row>
    <row r="84" spans="22:38">
      <c r="V84" t="s">
        <v>93</v>
      </c>
      <c r="W84" s="3" t="s">
        <v>94</v>
      </c>
      <c r="X84" s="3" t="s">
        <v>95</v>
      </c>
      <c r="Y84" s="3" t="s">
        <v>96</v>
      </c>
      <c r="Z84" s="3" t="s">
        <v>97</v>
      </c>
      <c r="AA84" s="3" t="s">
        <v>98</v>
      </c>
      <c r="AB84" s="3" t="s">
        <v>99</v>
      </c>
      <c r="AC84" s="8" t="s">
        <v>100</v>
      </c>
      <c r="AE84" s="32" t="s">
        <v>600</v>
      </c>
      <c r="AF84" s="3">
        <f>IF($B$2="(Todas)",COUNTIF(BASE[CODCIE10],GUIA_NACIONAL_2022_1106128105168175180181182183184185186[[#This Row],[CIE-10]]),COUNTIFS(BASE[Cod.Establecimiento],$B$2,BASE[CODCIE10],GUIA_NACIONAL_2022_1106128105168175180181182183184185186[[#This Row],[CIE-10]]))</f>
        <v>0</v>
      </c>
      <c r="AG84" s="3">
        <f>IF($B$2="(Todas)",COUNTIF(BASE[CODCIE102],GUIA_NACIONAL_2022_1106128105168175180181182183184185186[[#This Row],[CIE-10]]),COUNTIFS(BASE[Cod.Establecimiento],$B$2,BASE[CODCIE102],GUIA_NACIONAL_2022_1106128105168175180181182183184185186[[#This Row],[CIE-10]]))</f>
        <v>0</v>
      </c>
      <c r="AH84" s="3">
        <f>IF($B$2="(Todas)",COUNTIF(BASE[CODCIE104],GUIA_NACIONAL_2022_1106128105168175180181182183184185186[[#This Row],[CIE-10]]),COUNTIFS(BASE[Cod.Establecimiento],$B$2,BASE[CODCIE104],GUIA_NACIONAL_2022_1106128105168175180181182183184185186[[#This Row],[CIE-10]]))</f>
        <v>0</v>
      </c>
      <c r="AI84" s="3">
        <f>IF($B$2="(Todas)",COUNTIF(BASE[CODCIE106],GUIA_NACIONAL_2022_1106128105168175180181182183184185186[[#This Row],[CIE-10]]),COUNTIFS(BASE[Cod.Establecimiento],$B$2,BASE[CODCIE106],GUIA_NACIONAL_2022_1106128105168175180181182183184185186[[#This Row],[CIE-10]]))</f>
        <v>0</v>
      </c>
      <c r="AJ84" s="3">
        <f>IF($B$2="(Todas)",COUNTIF(BASE[CODCIE108],GUIA_NACIONAL_2022_1106128105168175180181182183184185186[[#This Row],[CIE-10]]),COUNTIFS(BASE[Cod.Establecimiento],$B$2,BASE[CODCIE108],GUIA_NACIONAL_2022_1106128105168175180181182183184185186[[#This Row],[CIE-10]]))</f>
        <v>0</v>
      </c>
      <c r="AK84" s="3">
        <f>IF($B$2="(Todas)",COUNTIF(BASE[CODCIE1010],GUIA_NACIONAL_2022_1106128105168175180181182183184185186[[#This Row],[CIE-10]]),COUNTIFS(BASE[Cod.Establecimiento],$B$2,BASE[CODCIE1010],GUIA_NACIONAL_2022_1106128105168175180181182183184185186[[#This Row],[CIE-10]]))</f>
        <v>0</v>
      </c>
      <c r="AL84" s="9">
        <f>SUM(GUIA_NACIONAL_2022_1106128105168175180181182183184185186[[#This Row],[D1]:[D6]])</f>
        <v>0</v>
      </c>
    </row>
    <row r="85" spans="22:38">
      <c r="V85" s="4" t="s">
        <v>102</v>
      </c>
      <c r="W85" s="3">
        <f>IF($B$2="(Todas)",COUNTIF(BASE[CODCIE10],GUIA_NACIONAL_2022_1106128143146150152154159[[#This Row],[CIE-10]]),COUNTIFS(BASE[Cod.Establecimiento],$B$2,BASE[CODCIE10],GUIA_NACIONAL_2022_1106128143146150152154159[[#This Row],[CIE-10]]))</f>
        <v>0</v>
      </c>
      <c r="X85" s="3">
        <f>IF($B$2="(Todas)",COUNTIF(BASE[CODCIE102],GUIA_NACIONAL_2022_1106128143146150152154159[[#This Row],[CIE-10]]),COUNTIFS(BASE[Cod.Establecimiento],$B$2,BASE[CODCIE102],GUIA_NACIONAL_2022_1106128143146150152154159[[#This Row],[CIE-10]]))</f>
        <v>0</v>
      </c>
      <c r="Y85" s="3">
        <f>IF($B$2="(Todas)",COUNTIF(BASE[CODCIE104],GUIA_NACIONAL_2022_1106128143146150152154159[[#This Row],[CIE-10]]),COUNTIFS(BASE[Cod.Establecimiento],$B$2,BASE[CODCIE104],GUIA_NACIONAL_2022_1106128143146150152154159[[#This Row],[CIE-10]]))</f>
        <v>0</v>
      </c>
      <c r="Z85" s="3">
        <f>IF($B$2="(Todas)",COUNTIF(BASE[CODCIE106],GUIA_NACIONAL_2022_1106128143146150152154159[[#This Row],[CIE-10]]),COUNTIFS(BASE[Cod.Establecimiento],$B$2,BASE[CODCIE106],GUIA_NACIONAL_2022_1106128143146150152154159[[#This Row],[CIE-10]]))</f>
        <v>0</v>
      </c>
      <c r="AA85" s="3">
        <f>IF($B$2="(Todas)",COUNTIF(BASE[CODCIE108],GUIA_NACIONAL_2022_1106128143146150152154159[[#This Row],[CIE-10]]),COUNTIFS(BASE[Cod.Establecimiento],$B$2,BASE[CODCIE108],GUIA_NACIONAL_2022_1106128143146150152154159[[#This Row],[CIE-10]]))</f>
        <v>0</v>
      </c>
      <c r="AB85" s="3">
        <f>IF($B$2="(Todas)",COUNTIF(BASE[CODCIE1010],GUIA_NACIONAL_2022_1106128143146150152154159[[#This Row],[CIE-10]]),COUNTIFS(BASE[Cod.Establecimiento],$B$2,BASE[CODCIE1010],GUIA_NACIONAL_2022_1106128143146150152154159[[#This Row],[CIE-10]]))</f>
        <v>0</v>
      </c>
      <c r="AC85" s="9">
        <f>SUM(GUIA_NACIONAL_2022_1106128143146150152154159[[#This Row],[D1]:[D6]])</f>
        <v>0</v>
      </c>
      <c r="AE85" s="32" t="s">
        <v>601</v>
      </c>
      <c r="AF85" s="3">
        <f>IF($B$2="(Todas)",COUNTIF(BASE[CODCIE10],GUIA_NACIONAL_2022_1106128105168175180181182183184185186[[#This Row],[CIE-10]]),COUNTIFS(BASE[Cod.Establecimiento],$B$2,BASE[CODCIE10],GUIA_NACIONAL_2022_1106128105168175180181182183184185186[[#This Row],[CIE-10]]))</f>
        <v>0</v>
      </c>
      <c r="AG85" s="3">
        <f>IF($B$2="(Todas)",COUNTIF(BASE[CODCIE102],GUIA_NACIONAL_2022_1106128105168175180181182183184185186[[#This Row],[CIE-10]]),COUNTIFS(BASE[Cod.Establecimiento],$B$2,BASE[CODCIE102],GUIA_NACIONAL_2022_1106128105168175180181182183184185186[[#This Row],[CIE-10]]))</f>
        <v>0</v>
      </c>
      <c r="AH85" s="3">
        <f>IF($B$2="(Todas)",COUNTIF(BASE[CODCIE104],GUIA_NACIONAL_2022_1106128105168175180181182183184185186[[#This Row],[CIE-10]]),COUNTIFS(BASE[Cod.Establecimiento],$B$2,BASE[CODCIE104],GUIA_NACIONAL_2022_1106128105168175180181182183184185186[[#This Row],[CIE-10]]))</f>
        <v>0</v>
      </c>
      <c r="AI85" s="3">
        <f>IF($B$2="(Todas)",COUNTIF(BASE[CODCIE106],GUIA_NACIONAL_2022_1106128105168175180181182183184185186[[#This Row],[CIE-10]]),COUNTIFS(BASE[Cod.Establecimiento],$B$2,BASE[CODCIE106],GUIA_NACIONAL_2022_1106128105168175180181182183184185186[[#This Row],[CIE-10]]))</f>
        <v>0</v>
      </c>
      <c r="AJ85" s="3">
        <f>IF($B$2="(Todas)",COUNTIF(BASE[CODCIE108],GUIA_NACIONAL_2022_1106128105168175180181182183184185186[[#This Row],[CIE-10]]),COUNTIFS(BASE[Cod.Establecimiento],$B$2,BASE[CODCIE108],GUIA_NACIONAL_2022_1106128105168175180181182183184185186[[#This Row],[CIE-10]]))</f>
        <v>0</v>
      </c>
      <c r="AK85" s="3">
        <f>IF($B$2="(Todas)",COUNTIF(BASE[CODCIE1010],GUIA_NACIONAL_2022_1106128105168175180181182183184185186[[#This Row],[CIE-10]]),COUNTIFS(BASE[Cod.Establecimiento],$B$2,BASE[CODCIE1010],GUIA_NACIONAL_2022_1106128105168175180181182183184185186[[#This Row],[CIE-10]]))</f>
        <v>0</v>
      </c>
      <c r="AL85" s="9">
        <f>SUM(GUIA_NACIONAL_2022_1106128105168175180181182183184185186[[#This Row],[D1]:[D6]])</f>
        <v>0</v>
      </c>
    </row>
    <row r="86" spans="22:38">
      <c r="V86" s="32" t="s">
        <v>104</v>
      </c>
      <c r="W86" s="3">
        <f>IF($B$2="(Todas)",COUNTIF(BASE[CODCIE10],GUIA_NACIONAL_2022_1106128143146150152154159[[#This Row],[CIE-10]]),COUNTIFS(BASE[Cod.Establecimiento],$B$2,BASE[CODCIE10],GUIA_NACIONAL_2022_1106128143146150152154159[[#This Row],[CIE-10]]))</f>
        <v>0</v>
      </c>
      <c r="X86" s="3">
        <f>IF($B$2="(Todas)",COUNTIF(BASE[CODCIE102],GUIA_NACIONAL_2022_1106128143146150152154159[[#This Row],[CIE-10]]),COUNTIFS(BASE[Cod.Establecimiento],$B$2,BASE[CODCIE102],GUIA_NACIONAL_2022_1106128143146150152154159[[#This Row],[CIE-10]]))</f>
        <v>0</v>
      </c>
      <c r="Y86" s="3">
        <f>IF($B$2="(Todas)",COUNTIF(BASE[CODCIE104],GUIA_NACIONAL_2022_1106128143146150152154159[[#This Row],[CIE-10]]),COUNTIFS(BASE[Cod.Establecimiento],$B$2,BASE[CODCIE104],GUIA_NACIONAL_2022_1106128143146150152154159[[#This Row],[CIE-10]]))</f>
        <v>0</v>
      </c>
      <c r="Z86" s="3">
        <f>IF($B$2="(Todas)",COUNTIF(BASE[CODCIE106],GUIA_NACIONAL_2022_1106128143146150152154159[[#This Row],[CIE-10]]),COUNTIFS(BASE[Cod.Establecimiento],$B$2,BASE[CODCIE106],GUIA_NACIONAL_2022_1106128143146150152154159[[#This Row],[CIE-10]]))</f>
        <v>0</v>
      </c>
      <c r="AA86" s="3">
        <f>IF($B$2="(Todas)",COUNTIF(BASE[CODCIE108],GUIA_NACIONAL_2022_1106128143146150152154159[[#This Row],[CIE-10]]),COUNTIFS(BASE[Cod.Establecimiento],$B$2,BASE[CODCIE108],GUIA_NACIONAL_2022_1106128143146150152154159[[#This Row],[CIE-10]]))</f>
        <v>0</v>
      </c>
      <c r="AB86" s="3">
        <f>IF($B$2="(Todas)",COUNTIF(BASE[CODCIE1010],GUIA_NACIONAL_2022_1106128143146150152154159[[#This Row],[CIE-10]]),COUNTIFS(BASE[Cod.Establecimiento],$B$2,BASE[CODCIE1010],GUIA_NACIONAL_2022_1106128143146150152154159[[#This Row],[CIE-10]]))</f>
        <v>0</v>
      </c>
      <c r="AC86" s="9">
        <f>SUM(GUIA_NACIONAL_2022_1106128143146150152154159[[#This Row],[D1]:[D6]])</f>
        <v>0</v>
      </c>
      <c r="AE86" s="32" t="s">
        <v>602</v>
      </c>
      <c r="AF86" s="3">
        <f>IF($B$2="(Todas)",COUNTIF(BASE[CODCIE10],GUIA_NACIONAL_2022_1106128105168175180181182183184185186[[#This Row],[CIE-10]]),COUNTIFS(BASE[Cod.Establecimiento],$B$2,BASE[CODCIE10],GUIA_NACIONAL_2022_1106128105168175180181182183184185186[[#This Row],[CIE-10]]))</f>
        <v>0</v>
      </c>
      <c r="AG86" s="3">
        <f>IF($B$2="(Todas)",COUNTIF(BASE[CODCIE102],GUIA_NACIONAL_2022_1106128105168175180181182183184185186[[#This Row],[CIE-10]]),COUNTIFS(BASE[Cod.Establecimiento],$B$2,BASE[CODCIE102],GUIA_NACIONAL_2022_1106128105168175180181182183184185186[[#This Row],[CIE-10]]))</f>
        <v>0</v>
      </c>
      <c r="AH86" s="3">
        <f>IF($B$2="(Todas)",COUNTIF(BASE[CODCIE104],GUIA_NACIONAL_2022_1106128105168175180181182183184185186[[#This Row],[CIE-10]]),COUNTIFS(BASE[Cod.Establecimiento],$B$2,BASE[CODCIE104],GUIA_NACIONAL_2022_1106128105168175180181182183184185186[[#This Row],[CIE-10]]))</f>
        <v>0</v>
      </c>
      <c r="AI86" s="3">
        <f>IF($B$2="(Todas)",COUNTIF(BASE[CODCIE106],GUIA_NACIONAL_2022_1106128105168175180181182183184185186[[#This Row],[CIE-10]]),COUNTIFS(BASE[Cod.Establecimiento],$B$2,BASE[CODCIE106],GUIA_NACIONAL_2022_1106128105168175180181182183184185186[[#This Row],[CIE-10]]))</f>
        <v>0</v>
      </c>
      <c r="AJ86" s="3">
        <f>IF($B$2="(Todas)",COUNTIF(BASE[CODCIE108],GUIA_NACIONAL_2022_1106128105168175180181182183184185186[[#This Row],[CIE-10]]),COUNTIFS(BASE[Cod.Establecimiento],$B$2,BASE[CODCIE108],GUIA_NACIONAL_2022_1106128105168175180181182183184185186[[#This Row],[CIE-10]]))</f>
        <v>0</v>
      </c>
      <c r="AK86" s="3">
        <f>IF($B$2="(Todas)",COUNTIF(BASE[CODCIE1010],GUIA_NACIONAL_2022_1106128105168175180181182183184185186[[#This Row],[CIE-10]]),COUNTIFS(BASE[Cod.Establecimiento],$B$2,BASE[CODCIE1010],GUIA_NACIONAL_2022_1106128105168175180181182183184185186[[#This Row],[CIE-10]]))</f>
        <v>0</v>
      </c>
      <c r="AL86" s="9">
        <f>SUM(GUIA_NACIONAL_2022_1106128105168175180181182183184185186[[#This Row],[D1]:[D6]])</f>
        <v>0</v>
      </c>
    </row>
    <row r="87" spans="22:38">
      <c r="V87" s="32" t="s">
        <v>106</v>
      </c>
      <c r="W87" s="3">
        <f>IF($B$2="(Todas)",COUNTIF(BASE[CODCIE10],GUIA_NACIONAL_2022_1106128143146150152154159[[#This Row],[CIE-10]]),COUNTIFS(BASE[Cod.Establecimiento],$B$2,BASE[CODCIE10],GUIA_NACIONAL_2022_1106128143146150152154159[[#This Row],[CIE-10]]))</f>
        <v>0</v>
      </c>
      <c r="X87" s="3">
        <f>IF($B$2="(Todas)",COUNTIF(BASE[CODCIE102],GUIA_NACIONAL_2022_1106128143146150152154159[[#This Row],[CIE-10]]),COUNTIFS(BASE[Cod.Establecimiento],$B$2,BASE[CODCIE102],GUIA_NACIONAL_2022_1106128143146150152154159[[#This Row],[CIE-10]]))</f>
        <v>0</v>
      </c>
      <c r="Y87" s="3">
        <f>IF($B$2="(Todas)",COUNTIF(BASE[CODCIE104],GUIA_NACIONAL_2022_1106128143146150152154159[[#This Row],[CIE-10]]),COUNTIFS(BASE[Cod.Establecimiento],$B$2,BASE[CODCIE104],GUIA_NACIONAL_2022_1106128143146150152154159[[#This Row],[CIE-10]]))</f>
        <v>0</v>
      </c>
      <c r="Z87" s="3">
        <f>IF($B$2="(Todas)",COUNTIF(BASE[CODCIE106],GUIA_NACIONAL_2022_1106128143146150152154159[[#This Row],[CIE-10]]),COUNTIFS(BASE[Cod.Establecimiento],$B$2,BASE[CODCIE106],GUIA_NACIONAL_2022_1106128143146150152154159[[#This Row],[CIE-10]]))</f>
        <v>0</v>
      </c>
      <c r="AA87" s="3">
        <f>IF($B$2="(Todas)",COUNTIF(BASE[CODCIE108],GUIA_NACIONAL_2022_1106128143146150152154159[[#This Row],[CIE-10]]),COUNTIFS(BASE[Cod.Establecimiento],$B$2,BASE[CODCIE108],GUIA_NACIONAL_2022_1106128143146150152154159[[#This Row],[CIE-10]]))</f>
        <v>0</v>
      </c>
      <c r="AB87" s="3">
        <f>IF($B$2="(Todas)",COUNTIF(BASE[CODCIE1010],GUIA_NACIONAL_2022_1106128143146150152154159[[#This Row],[CIE-10]]),COUNTIFS(BASE[Cod.Establecimiento],$B$2,BASE[CODCIE1010],GUIA_NACIONAL_2022_1106128143146150152154159[[#This Row],[CIE-10]]))</f>
        <v>0</v>
      </c>
      <c r="AC87" s="9">
        <f>SUM(GUIA_NACIONAL_2022_1106128143146150152154159[[#This Row],[D1]:[D6]])</f>
        <v>0</v>
      </c>
      <c r="AE87" s="151" t="s">
        <v>603</v>
      </c>
      <c r="AF87" s="151"/>
      <c r="AG87" s="151"/>
      <c r="AH87" s="151"/>
      <c r="AI87" s="151"/>
      <c r="AJ87" s="151"/>
      <c r="AK87" s="151"/>
      <c r="AL87" s="151"/>
    </row>
    <row r="88" spans="22:38">
      <c r="V88" s="32" t="s">
        <v>84</v>
      </c>
      <c r="W88" s="3">
        <f>IF($B$2="(Todas)",COUNTIF(BASE[CODCIE10],GUIA_NACIONAL_2022_1106128143146150152154159[[#This Row],[CIE-10]]),COUNTIFS(BASE[Cod.Establecimiento],$B$2,BASE[CODCIE10],GUIA_NACIONAL_2022_1106128143146150152154159[[#This Row],[CIE-10]]))</f>
        <v>0</v>
      </c>
      <c r="X88" s="3">
        <f>IF($B$2="(Todas)",COUNTIF(BASE[CODCIE102],GUIA_NACIONAL_2022_1106128143146150152154159[[#This Row],[CIE-10]]),COUNTIFS(BASE[Cod.Establecimiento],$B$2,BASE[CODCIE102],GUIA_NACIONAL_2022_1106128143146150152154159[[#This Row],[CIE-10]]))</f>
        <v>0</v>
      </c>
      <c r="Y88" s="3">
        <f>IF($B$2="(Todas)",COUNTIF(BASE[CODCIE104],GUIA_NACIONAL_2022_1106128143146150152154159[[#This Row],[CIE-10]]),COUNTIFS(BASE[Cod.Establecimiento],$B$2,BASE[CODCIE104],GUIA_NACIONAL_2022_1106128143146150152154159[[#This Row],[CIE-10]]))</f>
        <v>0</v>
      </c>
      <c r="Z88" s="3">
        <f>IF($B$2="(Todas)",COUNTIF(BASE[CODCIE106],GUIA_NACIONAL_2022_1106128143146150152154159[[#This Row],[CIE-10]]),COUNTIFS(BASE[Cod.Establecimiento],$B$2,BASE[CODCIE106],GUIA_NACIONAL_2022_1106128143146150152154159[[#This Row],[CIE-10]]))</f>
        <v>0</v>
      </c>
      <c r="AA88" s="3">
        <f>IF($B$2="(Todas)",COUNTIF(BASE[CODCIE108],GUIA_NACIONAL_2022_1106128143146150152154159[[#This Row],[CIE-10]]),COUNTIFS(BASE[Cod.Establecimiento],$B$2,BASE[CODCIE108],GUIA_NACIONAL_2022_1106128143146150152154159[[#This Row],[CIE-10]]))</f>
        <v>0</v>
      </c>
      <c r="AB88" s="3">
        <f>IF($B$2="(Todas)",COUNTIF(BASE[CODCIE1010],GUIA_NACIONAL_2022_1106128143146150152154159[[#This Row],[CIE-10]]),COUNTIFS(BASE[Cod.Establecimiento],$B$2,BASE[CODCIE1010],GUIA_NACIONAL_2022_1106128143146150152154159[[#This Row],[CIE-10]]))</f>
        <v>0</v>
      </c>
      <c r="AC88" s="9">
        <f>SUM(GUIA_NACIONAL_2022_1106128143146150152154159[[#This Row],[D1]:[D6]])</f>
        <v>0</v>
      </c>
      <c r="AE88" s="150" t="s">
        <v>604</v>
      </c>
      <c r="AF88" s="150"/>
      <c r="AG88" s="150"/>
      <c r="AH88" s="150"/>
      <c r="AI88" s="150"/>
      <c r="AJ88" s="150"/>
      <c r="AK88" s="150"/>
      <c r="AL88" s="150"/>
    </row>
    <row r="89" spans="22:38">
      <c r="V89" s="32" t="s">
        <v>110</v>
      </c>
      <c r="W89" s="3">
        <f>IF($B$2="(Todas)",COUNTIF(BASE[CODCIE10],GUIA_NACIONAL_2022_1106128143146150152154159[[#This Row],[CIE-10]]),COUNTIFS(BASE[Cod.Establecimiento],$B$2,BASE[CODCIE10],GUIA_NACIONAL_2022_1106128143146150152154159[[#This Row],[CIE-10]]))</f>
        <v>0</v>
      </c>
      <c r="X89" s="3">
        <f>IF($B$2="(Todas)",COUNTIF(BASE[CODCIE102],GUIA_NACIONAL_2022_1106128143146150152154159[[#This Row],[CIE-10]]),COUNTIFS(BASE[Cod.Establecimiento],$B$2,BASE[CODCIE102],GUIA_NACIONAL_2022_1106128143146150152154159[[#This Row],[CIE-10]]))</f>
        <v>0</v>
      </c>
      <c r="Y89" s="3">
        <f>IF($B$2="(Todas)",COUNTIF(BASE[CODCIE104],GUIA_NACIONAL_2022_1106128143146150152154159[[#This Row],[CIE-10]]),COUNTIFS(BASE[Cod.Establecimiento],$B$2,BASE[CODCIE104],GUIA_NACIONAL_2022_1106128143146150152154159[[#This Row],[CIE-10]]))</f>
        <v>0</v>
      </c>
      <c r="Z89" s="3">
        <f>IF($B$2="(Todas)",COUNTIF(BASE[CODCIE106],GUIA_NACIONAL_2022_1106128143146150152154159[[#This Row],[CIE-10]]),COUNTIFS(BASE[Cod.Establecimiento],$B$2,BASE[CODCIE106],GUIA_NACIONAL_2022_1106128143146150152154159[[#This Row],[CIE-10]]))</f>
        <v>0</v>
      </c>
      <c r="AA89" s="3">
        <f>IF($B$2="(Todas)",COUNTIF(BASE[CODCIE108],GUIA_NACIONAL_2022_1106128143146150152154159[[#This Row],[CIE-10]]),COUNTIFS(BASE[Cod.Establecimiento],$B$2,BASE[CODCIE108],GUIA_NACIONAL_2022_1106128143146150152154159[[#This Row],[CIE-10]]))</f>
        <v>0</v>
      </c>
      <c r="AB89" s="3">
        <f>IF($B$2="(Todas)",COUNTIF(BASE[CODCIE1010],GUIA_NACIONAL_2022_1106128143146150152154159[[#This Row],[CIE-10]]),COUNTIFS(BASE[Cod.Establecimiento],$B$2,BASE[CODCIE1010],GUIA_NACIONAL_2022_1106128143146150152154159[[#This Row],[CIE-10]]))</f>
        <v>0</v>
      </c>
      <c r="AC89" s="9">
        <f>SUM(GUIA_NACIONAL_2022_1106128143146150152154159[[#This Row],[D1]:[D6]])</f>
        <v>0</v>
      </c>
      <c r="AE89" t="s">
        <v>93</v>
      </c>
      <c r="AF89" s="3" t="s">
        <v>94</v>
      </c>
      <c r="AG89" s="3" t="s">
        <v>95</v>
      </c>
      <c r="AH89" s="3" t="s">
        <v>96</v>
      </c>
      <c r="AI89" s="3" t="s">
        <v>97</v>
      </c>
      <c r="AJ89" s="3" t="s">
        <v>98</v>
      </c>
      <c r="AK89" s="3" t="s">
        <v>99</v>
      </c>
      <c r="AL89" s="8" t="s">
        <v>100</v>
      </c>
    </row>
    <row r="90" spans="22:38">
      <c r="V90" s="32" t="s">
        <v>113</v>
      </c>
      <c r="W90" s="3">
        <f>IF($B$2="(Todas)",COUNTIF(BASE[CODCIE10],GUIA_NACIONAL_2022_1106128143146150152154159[[#This Row],[CIE-10]]),COUNTIFS(BASE[Cod.Establecimiento],$B$2,BASE[CODCIE10],GUIA_NACIONAL_2022_1106128143146150152154159[[#This Row],[CIE-10]]))</f>
        <v>0</v>
      </c>
      <c r="X90" s="3">
        <f>IF($B$2="(Todas)",COUNTIF(BASE[CODCIE102],GUIA_NACIONAL_2022_1106128143146150152154159[[#This Row],[CIE-10]]),COUNTIFS(BASE[Cod.Establecimiento],$B$2,BASE[CODCIE102],GUIA_NACIONAL_2022_1106128143146150152154159[[#This Row],[CIE-10]]))</f>
        <v>0</v>
      </c>
      <c r="Y90" s="3">
        <f>IF($B$2="(Todas)",COUNTIF(BASE[CODCIE104],GUIA_NACIONAL_2022_1106128143146150152154159[[#This Row],[CIE-10]]),COUNTIFS(BASE[Cod.Establecimiento],$B$2,BASE[CODCIE104],GUIA_NACIONAL_2022_1106128143146150152154159[[#This Row],[CIE-10]]))</f>
        <v>0</v>
      </c>
      <c r="Z90" s="3">
        <f>IF($B$2="(Todas)",COUNTIF(BASE[CODCIE106],GUIA_NACIONAL_2022_1106128143146150152154159[[#This Row],[CIE-10]]),COUNTIFS(BASE[Cod.Establecimiento],$B$2,BASE[CODCIE106],GUIA_NACIONAL_2022_1106128143146150152154159[[#This Row],[CIE-10]]))</f>
        <v>0</v>
      </c>
      <c r="AA90" s="3">
        <f>IF($B$2="(Todas)",COUNTIF(BASE[CODCIE108],GUIA_NACIONAL_2022_1106128143146150152154159[[#This Row],[CIE-10]]),COUNTIFS(BASE[Cod.Establecimiento],$B$2,BASE[CODCIE108],GUIA_NACIONAL_2022_1106128143146150152154159[[#This Row],[CIE-10]]))</f>
        <v>0</v>
      </c>
      <c r="AB90" s="3">
        <f>IF($B$2="(Todas)",COUNTIF(BASE[CODCIE1010],GUIA_NACIONAL_2022_1106128143146150152154159[[#This Row],[CIE-10]]),COUNTIFS(BASE[Cod.Establecimiento],$B$2,BASE[CODCIE1010],GUIA_NACIONAL_2022_1106128143146150152154159[[#This Row],[CIE-10]]))</f>
        <v>0</v>
      </c>
      <c r="AC90" s="9">
        <f>SUM(GUIA_NACIONAL_2022_1106128143146150152154159[[#This Row],[D1]:[D6]])</f>
        <v>0</v>
      </c>
      <c r="AE90" s="4" t="s">
        <v>382</v>
      </c>
      <c r="AF90" s="3">
        <f>IF($B$2="(Todas)",COUNTIF(BASE[CODCIE10],GUIA_NACIONAL_2022_1106128105168175180187[[#This Row],[CIE-10]]),COUNTIFS(BASE[Cod.Establecimiento],$B$2,BASE[CODCIE10],GUIA_NACIONAL_2022_1106128105168175180187[[#This Row],[CIE-10]]))</f>
        <v>0</v>
      </c>
      <c r="AG90" s="3">
        <f>IF($B$2="(Todas)",COUNTIF(BASE[CODCIE102],GUIA_NACIONAL_2022_1106128105168175180187[[#This Row],[CIE-10]]),COUNTIFS(BASE[Cod.Establecimiento],$B$2,BASE[CODCIE102],GUIA_NACIONAL_2022_1106128105168175180187[[#This Row],[CIE-10]]))</f>
        <v>0</v>
      </c>
      <c r="AH90" s="3">
        <f>IF($B$2="(Todas)",COUNTIF(BASE[CODCIE104],GUIA_NACIONAL_2022_1106128105168175180187[[#This Row],[CIE-10]]),COUNTIFS(BASE[Cod.Establecimiento],$B$2,BASE[CODCIE104],GUIA_NACIONAL_2022_1106128105168175180187[[#This Row],[CIE-10]]))</f>
        <v>0</v>
      </c>
      <c r="AI90" s="3">
        <f>IF($B$2="(Todas)",COUNTIF(BASE[CODCIE106],GUIA_NACIONAL_2022_1106128105168175180187[[#This Row],[CIE-10]]),COUNTIFS(BASE[Cod.Establecimiento],$B$2,BASE[CODCIE106],GUIA_NACIONAL_2022_1106128105168175180187[[#This Row],[CIE-10]]))</f>
        <v>0</v>
      </c>
      <c r="AJ90" s="3">
        <f>IF($B$2="(Todas)",COUNTIF(BASE[CODCIE108],GUIA_NACIONAL_2022_1106128105168175180187[[#This Row],[CIE-10]]),COUNTIFS(BASE[Cod.Establecimiento],$B$2,BASE[CODCIE108],GUIA_NACIONAL_2022_1106128105168175180187[[#This Row],[CIE-10]]))</f>
        <v>0</v>
      </c>
      <c r="AK90" s="3">
        <f>IF($B$2="(Todas)",COUNTIF(BASE[CODCIE1010],GUIA_NACIONAL_2022_1106128105168175180187[[#This Row],[CIE-10]]),COUNTIFS(BASE[Cod.Establecimiento],$B$2,BASE[CODCIE1010],GUIA_NACIONAL_2022_1106128105168175180187[[#This Row],[CIE-10]]))</f>
        <v>0</v>
      </c>
      <c r="AL90" s="9">
        <f>SUM(GUIA_NACIONAL_2022_1106128105168175180187[[#This Row],[D1]:[D6]])</f>
        <v>0</v>
      </c>
    </row>
    <row r="91" spans="22:38">
      <c r="V91" s="32" t="s">
        <v>116</v>
      </c>
      <c r="W91" s="3">
        <f>IF($B$2="(Todas)",COUNTIF(BASE[CODCIE10],GUIA_NACIONAL_2022_1106128143146150152154159[[#This Row],[CIE-10]]),COUNTIFS(BASE[Cod.Establecimiento],$B$2,BASE[CODCIE10],GUIA_NACIONAL_2022_1106128143146150152154159[[#This Row],[CIE-10]]))</f>
        <v>0</v>
      </c>
      <c r="X91" s="3">
        <f>IF($B$2="(Todas)",COUNTIF(BASE[CODCIE102],GUIA_NACIONAL_2022_1106128143146150152154159[[#This Row],[CIE-10]]),COUNTIFS(BASE[Cod.Establecimiento],$B$2,BASE[CODCIE102],GUIA_NACIONAL_2022_1106128143146150152154159[[#This Row],[CIE-10]]))</f>
        <v>0</v>
      </c>
      <c r="Y91" s="3">
        <f>IF($B$2="(Todas)",COUNTIF(BASE[CODCIE104],GUIA_NACIONAL_2022_1106128143146150152154159[[#This Row],[CIE-10]]),COUNTIFS(BASE[Cod.Establecimiento],$B$2,BASE[CODCIE104],GUIA_NACIONAL_2022_1106128143146150152154159[[#This Row],[CIE-10]]))</f>
        <v>0</v>
      </c>
      <c r="Z91" s="3">
        <f>IF($B$2="(Todas)",COUNTIF(BASE[CODCIE106],GUIA_NACIONAL_2022_1106128143146150152154159[[#This Row],[CIE-10]]),COUNTIFS(BASE[Cod.Establecimiento],$B$2,BASE[CODCIE106],GUIA_NACIONAL_2022_1106128143146150152154159[[#This Row],[CIE-10]]))</f>
        <v>0</v>
      </c>
      <c r="AA91" s="3">
        <f>IF($B$2="(Todas)",COUNTIF(BASE[CODCIE108],GUIA_NACIONAL_2022_1106128143146150152154159[[#This Row],[CIE-10]]),COUNTIFS(BASE[Cod.Establecimiento],$B$2,BASE[CODCIE108],GUIA_NACIONAL_2022_1106128143146150152154159[[#This Row],[CIE-10]]))</f>
        <v>0</v>
      </c>
      <c r="AB91" s="3">
        <f>IF($B$2="(Todas)",COUNTIF(BASE[CODCIE1010],GUIA_NACIONAL_2022_1106128143146150152154159[[#This Row],[CIE-10]]),COUNTIFS(BASE[Cod.Establecimiento],$B$2,BASE[CODCIE1010],GUIA_NACIONAL_2022_1106128143146150152154159[[#This Row],[CIE-10]]))</f>
        <v>0</v>
      </c>
      <c r="AC91" s="9">
        <f>SUM(GUIA_NACIONAL_2022_1106128143146150152154159[[#This Row],[D1]:[D6]])</f>
        <v>0</v>
      </c>
      <c r="AE91" s="150" t="s">
        <v>605</v>
      </c>
      <c r="AF91" s="150"/>
      <c r="AG91" s="150"/>
      <c r="AH91" s="150"/>
      <c r="AI91" s="150"/>
      <c r="AJ91" s="150"/>
      <c r="AK91" s="150"/>
      <c r="AL91" s="150"/>
    </row>
    <row r="92" spans="22:38">
      <c r="V92" s="32" t="s">
        <v>118</v>
      </c>
      <c r="W92" s="3">
        <f>IF($B$2="(Todas)",COUNTIF(BASE[CODCIE10],GUIA_NACIONAL_2022_1106128143146150152154159[[#This Row],[CIE-10]]),COUNTIFS(BASE[Cod.Establecimiento],$B$2,BASE[CODCIE10],GUIA_NACIONAL_2022_1106128143146150152154159[[#This Row],[CIE-10]]))</f>
        <v>0</v>
      </c>
      <c r="X92" s="3">
        <f>IF($B$2="(Todas)",COUNTIF(BASE[CODCIE102],GUIA_NACIONAL_2022_1106128143146150152154159[[#This Row],[CIE-10]]),COUNTIFS(BASE[Cod.Establecimiento],$B$2,BASE[CODCIE102],GUIA_NACIONAL_2022_1106128143146150152154159[[#This Row],[CIE-10]]))</f>
        <v>0</v>
      </c>
      <c r="Y92" s="3">
        <f>IF($B$2="(Todas)",COUNTIF(BASE[CODCIE104],GUIA_NACIONAL_2022_1106128143146150152154159[[#This Row],[CIE-10]]),COUNTIFS(BASE[Cod.Establecimiento],$B$2,BASE[CODCIE104],GUIA_NACIONAL_2022_1106128143146150152154159[[#This Row],[CIE-10]]))</f>
        <v>0</v>
      </c>
      <c r="Z92" s="3">
        <f>IF($B$2="(Todas)",COUNTIF(BASE[CODCIE106],GUIA_NACIONAL_2022_1106128143146150152154159[[#This Row],[CIE-10]]),COUNTIFS(BASE[Cod.Establecimiento],$B$2,BASE[CODCIE106],GUIA_NACIONAL_2022_1106128143146150152154159[[#This Row],[CIE-10]]))</f>
        <v>0</v>
      </c>
      <c r="AA92" s="3">
        <f>IF($B$2="(Todas)",COUNTIF(BASE[CODCIE108],GUIA_NACIONAL_2022_1106128143146150152154159[[#This Row],[CIE-10]]),COUNTIFS(BASE[Cod.Establecimiento],$B$2,BASE[CODCIE108],GUIA_NACIONAL_2022_1106128143146150152154159[[#This Row],[CIE-10]]))</f>
        <v>0</v>
      </c>
      <c r="AB92" s="3">
        <f>IF($B$2="(Todas)",COUNTIF(BASE[CODCIE1010],GUIA_NACIONAL_2022_1106128143146150152154159[[#This Row],[CIE-10]]),COUNTIFS(BASE[Cod.Establecimiento],$B$2,BASE[CODCIE1010],GUIA_NACIONAL_2022_1106128143146150152154159[[#This Row],[CIE-10]]))</f>
        <v>0</v>
      </c>
      <c r="AC92" s="9">
        <f>SUM(GUIA_NACIONAL_2022_1106128143146150152154159[[#This Row],[D1]:[D6]])</f>
        <v>0</v>
      </c>
      <c r="AE92" t="s">
        <v>93</v>
      </c>
      <c r="AF92" s="3" t="s">
        <v>94</v>
      </c>
      <c r="AG92" s="3" t="s">
        <v>95</v>
      </c>
      <c r="AH92" s="3" t="s">
        <v>96</v>
      </c>
      <c r="AI92" s="3" t="s">
        <v>97</v>
      </c>
      <c r="AJ92" s="3" t="s">
        <v>98</v>
      </c>
      <c r="AK92" s="3" t="s">
        <v>99</v>
      </c>
      <c r="AL92" s="8" t="s">
        <v>100</v>
      </c>
    </row>
    <row r="93" spans="22:38">
      <c r="V93" s="149" t="s">
        <v>549</v>
      </c>
      <c r="W93" s="150"/>
      <c r="X93" s="150"/>
      <c r="Y93" s="150"/>
      <c r="Z93" s="150"/>
      <c r="AA93" s="150"/>
      <c r="AB93" s="150"/>
      <c r="AC93" s="150"/>
      <c r="AE93" s="4" t="s">
        <v>384</v>
      </c>
      <c r="AF93" s="3">
        <f>IF($B$2="(Todas)",COUNTIF(BASE[CODCIE10],GUIA_NACIONAL_2022_1106128105168175180187188[[#This Row],[CIE-10]]),COUNTIFS(BASE[Cod.Establecimiento],$B$2,BASE[CODCIE10],GUIA_NACIONAL_2022_1106128105168175180187188[[#This Row],[CIE-10]]))</f>
        <v>0</v>
      </c>
      <c r="AG93" s="3">
        <f>IF($B$2="(Todas)",COUNTIF(BASE[CODCIE102],GUIA_NACIONAL_2022_1106128105168175180187188[[#This Row],[CIE-10]]),COUNTIFS(BASE[Cod.Establecimiento],$B$2,BASE[CODCIE102],GUIA_NACIONAL_2022_1106128105168175180187188[[#This Row],[CIE-10]]))</f>
        <v>0</v>
      </c>
      <c r="AH93" s="3">
        <f>IF($B$2="(Todas)",COUNTIF(BASE[CODCIE104],GUIA_NACIONAL_2022_1106128105168175180187188[[#This Row],[CIE-10]]),COUNTIFS(BASE[Cod.Establecimiento],$B$2,BASE[CODCIE104],GUIA_NACIONAL_2022_1106128105168175180187188[[#This Row],[CIE-10]]))</f>
        <v>0</v>
      </c>
      <c r="AI93" s="3">
        <f>IF($B$2="(Todas)",COUNTIF(BASE[CODCIE106],GUIA_NACIONAL_2022_1106128105168175180187188[[#This Row],[CIE-10]]),COUNTIFS(BASE[Cod.Establecimiento],$B$2,BASE[CODCIE106],GUIA_NACIONAL_2022_1106128105168175180187188[[#This Row],[CIE-10]]))</f>
        <v>0</v>
      </c>
      <c r="AJ93" s="3">
        <f>IF($B$2="(Todas)",COUNTIF(BASE[CODCIE108],GUIA_NACIONAL_2022_1106128105168175180187188[[#This Row],[CIE-10]]),COUNTIFS(BASE[Cod.Establecimiento],$B$2,BASE[CODCIE108],GUIA_NACIONAL_2022_1106128105168175180187188[[#This Row],[CIE-10]]))</f>
        <v>0</v>
      </c>
      <c r="AK93" s="3">
        <f>IF($B$2="(Todas)",COUNTIF(BASE[CODCIE1010],GUIA_NACIONAL_2022_1106128105168175180187188[[#This Row],[CIE-10]]),COUNTIFS(BASE[Cod.Establecimiento],$B$2,BASE[CODCIE1010],GUIA_NACIONAL_2022_1106128105168175180187188[[#This Row],[CIE-10]]))</f>
        <v>0</v>
      </c>
      <c r="AL93" s="9">
        <f>SUM(GUIA_NACIONAL_2022_1106128105168175180187188[[#This Row],[D1]:[D6]])</f>
        <v>0</v>
      </c>
    </row>
    <row r="94" spans="22:38">
      <c r="V94" t="s">
        <v>93</v>
      </c>
      <c r="W94" s="3" t="s">
        <v>94</v>
      </c>
      <c r="X94" s="3" t="s">
        <v>95</v>
      </c>
      <c r="Y94" s="3" t="s">
        <v>96</v>
      </c>
      <c r="Z94" s="3" t="s">
        <v>97</v>
      </c>
      <c r="AA94" s="3" t="s">
        <v>98</v>
      </c>
      <c r="AB94" s="3" t="s">
        <v>99</v>
      </c>
      <c r="AC94" s="8" t="s">
        <v>100</v>
      </c>
      <c r="AE94" s="150" t="s">
        <v>606</v>
      </c>
      <c r="AF94" s="150"/>
      <c r="AG94" s="150"/>
      <c r="AH94" s="150"/>
      <c r="AI94" s="150"/>
      <c r="AJ94" s="150"/>
      <c r="AK94" s="150"/>
      <c r="AL94" s="150"/>
    </row>
    <row r="95" spans="22:38">
      <c r="V95" s="4" t="s">
        <v>121</v>
      </c>
      <c r="W95" s="3">
        <f>IF($B$2="(Todas)",COUNTIF(BASE[CODCIE10],GUIA_NACIONAL_2022_1106128143146150152154155160[[#This Row],[CIE-10]]),COUNTIFS(BASE[Cod.Establecimiento],$B$2,BASE[CODCIE10],GUIA_NACIONAL_2022_1106128143146150152154155160[[#This Row],[CIE-10]]))</f>
        <v>0</v>
      </c>
      <c r="X95" s="3">
        <f>IF($B$2="(Todas)",COUNTIF(BASE[CODCIE102],GUIA_NACIONAL_2022_1106128143146150152154155160[[#This Row],[CIE-10]]),COUNTIFS(BASE[Cod.Establecimiento],$B$2,BASE[CODCIE102],GUIA_NACIONAL_2022_1106128143146150152154155160[[#This Row],[CIE-10]]))</f>
        <v>0</v>
      </c>
      <c r="Y95" s="3">
        <f>IF($B$2="(Todas)",COUNTIF(BASE[CODCIE104],GUIA_NACIONAL_2022_1106128143146150152154155160[[#This Row],[CIE-10]]),COUNTIFS(BASE[Cod.Establecimiento],$B$2,BASE[CODCIE104],GUIA_NACIONAL_2022_1106128143146150152154155160[[#This Row],[CIE-10]]))</f>
        <v>0</v>
      </c>
      <c r="Z95" s="3">
        <f>IF($B$2="(Todas)",COUNTIF(BASE[CODCIE106],GUIA_NACIONAL_2022_1106128143146150152154155160[[#This Row],[CIE-10]]),COUNTIFS(BASE[Cod.Establecimiento],$B$2,BASE[CODCIE106],GUIA_NACIONAL_2022_1106128143146150152154155160[[#This Row],[CIE-10]]))</f>
        <v>0</v>
      </c>
      <c r="AA95" s="3">
        <f>IF($B$2="(Todas)",COUNTIF(BASE[CODCIE108],GUIA_NACIONAL_2022_1106128143146150152154155160[[#This Row],[CIE-10]]),COUNTIFS(BASE[Cod.Establecimiento],$B$2,BASE[CODCIE108],GUIA_NACIONAL_2022_1106128143146150152154155160[[#This Row],[CIE-10]]))</f>
        <v>0</v>
      </c>
      <c r="AB95" s="3">
        <f>IF($B$2="(Todas)",COUNTIF(BASE[CODCIE1010],GUIA_NACIONAL_2022_1106128143146150152154155160[[#This Row],[CIE-10]]),COUNTIFS(BASE[Cod.Establecimiento],$B$2,BASE[CODCIE1010],GUIA_NACIONAL_2022_1106128143146150152154155160[[#This Row],[CIE-10]]))</f>
        <v>0</v>
      </c>
      <c r="AC95" s="9">
        <f>SUM(GUIA_NACIONAL_2022_1106128143146150152154155160[[#This Row],[D1]:[D6]])</f>
        <v>0</v>
      </c>
      <c r="AE95" t="s">
        <v>93</v>
      </c>
      <c r="AF95" s="3" t="s">
        <v>94</v>
      </c>
      <c r="AG95" s="3" t="s">
        <v>95</v>
      </c>
      <c r="AH95" s="3" t="s">
        <v>96</v>
      </c>
      <c r="AI95" s="3" t="s">
        <v>97</v>
      </c>
      <c r="AJ95" s="3" t="s">
        <v>98</v>
      </c>
      <c r="AK95" s="3" t="s">
        <v>99</v>
      </c>
      <c r="AL95" s="8" t="s">
        <v>100</v>
      </c>
    </row>
    <row r="96" spans="22:38">
      <c r="V96" s="149" t="s">
        <v>550</v>
      </c>
      <c r="W96" s="150"/>
      <c r="X96" s="150"/>
      <c r="Y96" s="150"/>
      <c r="Z96" s="150"/>
      <c r="AA96" s="150"/>
      <c r="AB96" s="150"/>
      <c r="AC96" s="150"/>
      <c r="AE96" s="4" t="s">
        <v>386</v>
      </c>
      <c r="AF96" s="3">
        <f>IF($B$2="(Todas)",COUNTIF(BASE[CODCIE10],GUIA_NACIONAL_2022_1106128105168175180187188189[[#This Row],[CIE-10]]),COUNTIFS(BASE[Cod.Establecimiento],$B$2,BASE[CODCIE10],GUIA_NACIONAL_2022_1106128105168175180187188189[[#This Row],[CIE-10]]))</f>
        <v>0</v>
      </c>
      <c r="AG96" s="3">
        <f>IF($B$2="(Todas)",COUNTIF(BASE[CODCIE102],GUIA_NACIONAL_2022_1106128105168175180187188189[[#This Row],[CIE-10]]),COUNTIFS(BASE[Cod.Establecimiento],$B$2,BASE[CODCIE102],GUIA_NACIONAL_2022_1106128105168175180187188189[[#This Row],[CIE-10]]))</f>
        <v>0</v>
      </c>
      <c r="AH96" s="3">
        <f>IF($B$2="(Todas)",COUNTIF(BASE[CODCIE104],GUIA_NACIONAL_2022_1106128105168175180187188189[[#This Row],[CIE-10]]),COUNTIFS(BASE[Cod.Establecimiento],$B$2,BASE[CODCIE104],GUIA_NACIONAL_2022_1106128105168175180187188189[[#This Row],[CIE-10]]))</f>
        <v>0</v>
      </c>
      <c r="AI96" s="3">
        <f>IF($B$2="(Todas)",COUNTIF(BASE[CODCIE106],GUIA_NACIONAL_2022_1106128105168175180187188189[[#This Row],[CIE-10]]),COUNTIFS(BASE[Cod.Establecimiento],$B$2,BASE[CODCIE106],GUIA_NACIONAL_2022_1106128105168175180187188189[[#This Row],[CIE-10]]))</f>
        <v>0</v>
      </c>
      <c r="AJ96" s="3">
        <f>IF($B$2="(Todas)",COUNTIF(BASE[CODCIE108],GUIA_NACIONAL_2022_1106128105168175180187188189[[#This Row],[CIE-10]]),COUNTIFS(BASE[Cod.Establecimiento],$B$2,BASE[CODCIE108],GUIA_NACIONAL_2022_1106128105168175180187188189[[#This Row],[CIE-10]]))</f>
        <v>0</v>
      </c>
      <c r="AK96" s="3">
        <f>IF($B$2="(Todas)",COUNTIF(BASE[CODCIE1010],GUIA_NACIONAL_2022_1106128105168175180187188189[[#This Row],[CIE-10]]),COUNTIFS(BASE[Cod.Establecimiento],$B$2,BASE[CODCIE1010],GUIA_NACIONAL_2022_1106128105168175180187188189[[#This Row],[CIE-10]]))</f>
        <v>0</v>
      </c>
      <c r="AL96" s="9">
        <f>SUM(GUIA_NACIONAL_2022_1106128105168175180187188189[[#This Row],[D1]:[D6]])</f>
        <v>0</v>
      </c>
    </row>
    <row r="97" spans="22:38">
      <c r="V97" t="s">
        <v>93</v>
      </c>
      <c r="W97" s="3" t="s">
        <v>94</v>
      </c>
      <c r="X97" s="3" t="s">
        <v>95</v>
      </c>
      <c r="Y97" s="3" t="s">
        <v>96</v>
      </c>
      <c r="Z97" s="3" t="s">
        <v>97</v>
      </c>
      <c r="AA97" s="3" t="s">
        <v>98</v>
      </c>
      <c r="AB97" s="3" t="s">
        <v>99</v>
      </c>
      <c r="AC97" s="8" t="s">
        <v>100</v>
      </c>
      <c r="AE97" s="150" t="s">
        <v>608</v>
      </c>
      <c r="AF97" s="150"/>
      <c r="AG97" s="150"/>
      <c r="AH97" s="150"/>
      <c r="AI97" s="150"/>
      <c r="AJ97" s="150"/>
      <c r="AK97" s="150"/>
      <c r="AL97" s="150"/>
    </row>
    <row r="98" spans="22:38">
      <c r="V98" s="4" t="s">
        <v>121</v>
      </c>
      <c r="W98" s="3">
        <f>IF($B$2="(Todas)",COUNTIF(BASE[CODCIE10],GUIA_NACIONAL_2022_1106128143146150153156161[[#This Row],[CIE-10]]),COUNTIFS(BASE[Cod.Establecimiento],$B$2,BASE[CODCIE10],GUIA_NACIONAL_2022_1106128143146150153156161[[#This Row],[CIE-10]]))</f>
        <v>0</v>
      </c>
      <c r="X98" s="3">
        <f>IF($B$2="(Todas)",COUNTIF(BASE[CODCIE102],GUIA_NACIONAL_2022_1106128143146150153156161[[#This Row],[CIE-10]]),COUNTIFS(BASE[Cod.Establecimiento],$B$2,BASE[CODCIE102],GUIA_NACIONAL_2022_1106128143146150153156161[[#This Row],[CIE-10]]))</f>
        <v>0</v>
      </c>
      <c r="Y98" s="3">
        <f>IF($B$2="(Todas)",COUNTIF(BASE[CODCIE104],GUIA_NACIONAL_2022_1106128143146150153156161[[#This Row],[CIE-10]]),COUNTIFS(BASE[Cod.Establecimiento],$B$2,BASE[CODCIE104],GUIA_NACIONAL_2022_1106128143146150153156161[[#This Row],[CIE-10]]))</f>
        <v>0</v>
      </c>
      <c r="Z98" s="3">
        <f>IF($B$2="(Todas)",COUNTIF(BASE[CODCIE106],GUIA_NACIONAL_2022_1106128143146150153156161[[#This Row],[CIE-10]]),COUNTIFS(BASE[Cod.Establecimiento],$B$2,BASE[CODCIE106],GUIA_NACIONAL_2022_1106128143146150153156161[[#This Row],[CIE-10]]))</f>
        <v>0</v>
      </c>
      <c r="AA98" s="3">
        <f>IF($B$2="(Todas)",COUNTIF(BASE[CODCIE108],GUIA_NACIONAL_2022_1106128143146150153156161[[#This Row],[CIE-10]]),COUNTIFS(BASE[Cod.Establecimiento],$B$2,BASE[CODCIE108],GUIA_NACIONAL_2022_1106128143146150153156161[[#This Row],[CIE-10]]))</f>
        <v>0</v>
      </c>
      <c r="AB98" s="3">
        <f>IF($B$2="(Todas)",COUNTIF(BASE[CODCIE1010],GUIA_NACIONAL_2022_1106128143146150153156161[[#This Row],[CIE-10]]),COUNTIFS(BASE[Cod.Establecimiento],$B$2,BASE[CODCIE1010],GUIA_NACIONAL_2022_1106128143146150153156161[[#This Row],[CIE-10]]))</f>
        <v>0</v>
      </c>
      <c r="AC98" s="9">
        <f>SUM(GUIA_NACIONAL_2022_1106128143146150153156161[[#This Row],[D1]:[D6]])</f>
        <v>0</v>
      </c>
      <c r="AE98" t="s">
        <v>93</v>
      </c>
      <c r="AF98" s="3" t="s">
        <v>94</v>
      </c>
      <c r="AG98" s="3" t="s">
        <v>95</v>
      </c>
      <c r="AH98" s="3" t="s">
        <v>96</v>
      </c>
      <c r="AI98" s="3" t="s">
        <v>97</v>
      </c>
      <c r="AJ98" s="3" t="s">
        <v>98</v>
      </c>
      <c r="AK98" s="3" t="s">
        <v>99</v>
      </c>
      <c r="AL98" s="8" t="s">
        <v>100</v>
      </c>
    </row>
    <row r="99" spans="22:38">
      <c r="V99" s="151" t="s">
        <v>551</v>
      </c>
      <c r="W99" s="151"/>
      <c r="X99" s="151"/>
      <c r="Y99" s="151"/>
      <c r="Z99" s="151"/>
      <c r="AA99" s="151"/>
      <c r="AB99" s="151"/>
      <c r="AC99" s="151"/>
      <c r="AE99" s="4" t="s">
        <v>607</v>
      </c>
      <c r="AF99" s="3">
        <f>IF($B$2="(Todas)",COUNTIF(BASE[CODCIE10],GUIA_NACIONAL_2022_1106128105168175180187188189190[[#This Row],[CIE-10]]),COUNTIFS(BASE[Cod.Establecimiento],$B$2,BASE[CODCIE10],GUIA_NACIONAL_2022_1106128105168175180187188189190[[#This Row],[CIE-10]]))</f>
        <v>0</v>
      </c>
      <c r="AG99" s="3">
        <f>IF($B$2="(Todas)",COUNTIF(BASE[CODCIE102],GUIA_NACIONAL_2022_1106128105168175180187188189190[[#This Row],[CIE-10]]),COUNTIFS(BASE[Cod.Establecimiento],$B$2,BASE[CODCIE102],GUIA_NACIONAL_2022_1106128105168175180187188189190[[#This Row],[CIE-10]]))</f>
        <v>0</v>
      </c>
      <c r="AH99" s="3">
        <f>IF($B$2="(Todas)",COUNTIF(BASE[CODCIE104],GUIA_NACIONAL_2022_1106128105168175180187188189190[[#This Row],[CIE-10]]),COUNTIFS(BASE[Cod.Establecimiento],$B$2,BASE[CODCIE104],GUIA_NACIONAL_2022_1106128105168175180187188189190[[#This Row],[CIE-10]]))</f>
        <v>0</v>
      </c>
      <c r="AI99" s="3">
        <f>IF($B$2="(Todas)",COUNTIF(BASE[CODCIE106],GUIA_NACIONAL_2022_1106128105168175180187188189190[[#This Row],[CIE-10]]),COUNTIFS(BASE[Cod.Establecimiento],$B$2,BASE[CODCIE106],GUIA_NACIONAL_2022_1106128105168175180187188189190[[#This Row],[CIE-10]]))</f>
        <v>0</v>
      </c>
      <c r="AJ99" s="3">
        <f>IF($B$2="(Todas)",COUNTIF(BASE[CODCIE108],GUIA_NACIONAL_2022_1106128105168175180187188189190[[#This Row],[CIE-10]]),COUNTIFS(BASE[Cod.Establecimiento],$B$2,BASE[CODCIE108],GUIA_NACIONAL_2022_1106128105168175180187188189190[[#This Row],[CIE-10]]))</f>
        <v>0</v>
      </c>
      <c r="AK99" s="3">
        <f>IF($B$2="(Todas)",COUNTIF(BASE[CODCIE1010],GUIA_NACIONAL_2022_1106128105168175180187188189190[[#This Row],[CIE-10]]),COUNTIFS(BASE[Cod.Establecimiento],$B$2,BASE[CODCIE1010],GUIA_NACIONAL_2022_1106128105168175180187188189190[[#This Row],[CIE-10]]))</f>
        <v>0</v>
      </c>
      <c r="AL99" s="9">
        <f>SUM(GUIA_NACIONAL_2022_1106128105168175180187188189190[[#This Row],[D1]:[D6]])</f>
        <v>0</v>
      </c>
    </row>
    <row r="100" spans="22:38">
      <c r="V100" s="149" t="s">
        <v>552</v>
      </c>
      <c r="W100" s="150"/>
      <c r="X100" s="150"/>
      <c r="Y100" s="150"/>
      <c r="Z100" s="150"/>
      <c r="AA100" s="150"/>
      <c r="AB100" s="150"/>
      <c r="AC100" s="150"/>
      <c r="AE100" s="151" t="s">
        <v>609</v>
      </c>
      <c r="AF100" s="151"/>
      <c r="AG100" s="151"/>
      <c r="AH100" s="151"/>
      <c r="AI100" s="151"/>
      <c r="AJ100" s="151"/>
      <c r="AK100" s="151"/>
      <c r="AL100" s="151"/>
    </row>
    <row r="101" spans="22:38">
      <c r="V101" t="s">
        <v>93</v>
      </c>
      <c r="W101" s="3" t="s">
        <v>94</v>
      </c>
      <c r="X101" s="3" t="s">
        <v>95</v>
      </c>
      <c r="Y101" s="3" t="s">
        <v>96</v>
      </c>
      <c r="Z101" s="3" t="s">
        <v>97</v>
      </c>
      <c r="AA101" s="3" t="s">
        <v>98</v>
      </c>
      <c r="AB101" s="3" t="s">
        <v>99</v>
      </c>
      <c r="AC101" s="8" t="s">
        <v>100</v>
      </c>
      <c r="AE101" s="150" t="s">
        <v>610</v>
      </c>
      <c r="AF101" s="150"/>
      <c r="AG101" s="150"/>
      <c r="AH101" s="150"/>
      <c r="AI101" s="150"/>
      <c r="AJ101" s="150"/>
      <c r="AK101" s="150"/>
      <c r="AL101" s="150"/>
    </row>
    <row r="102" spans="22:38">
      <c r="V102" s="4" t="s">
        <v>131</v>
      </c>
      <c r="W102" s="3">
        <f>IF($B$2="(Todas)",COUNTIF(BASE[CODCIE10],GUIA_NACIONAL_2022_1106128143146150163[[#This Row],[CIE-10]]),COUNTIFS(BASE[Cod.Establecimiento],$B$2,BASE[CODCIE10],GUIA_NACIONAL_2022_1106128143146150163[[#This Row],[CIE-10]]))</f>
        <v>0</v>
      </c>
      <c r="X102" s="3">
        <f>IF($B$2="(Todas)",COUNTIF(BASE[CODCIE102],GUIA_NACIONAL_2022_1106128143146150163[[#This Row],[CIE-10]]),COUNTIFS(BASE[Cod.Establecimiento],$B$2,BASE[CODCIE102],GUIA_NACIONAL_2022_1106128143146150163[[#This Row],[CIE-10]]))</f>
        <v>0</v>
      </c>
      <c r="Y102" s="3">
        <f>IF($B$2="(Todas)",COUNTIF(BASE[CODCIE104],GUIA_NACIONAL_2022_1106128143146150163[[#This Row],[CIE-10]]),COUNTIFS(BASE[Cod.Establecimiento],$B$2,BASE[CODCIE104],GUIA_NACIONAL_2022_1106128143146150163[[#This Row],[CIE-10]]))</f>
        <v>0</v>
      </c>
      <c r="Z102" s="3">
        <f>IF($B$2="(Todas)",COUNTIF(BASE[CODCIE106],GUIA_NACIONAL_2022_1106128143146150163[[#This Row],[CIE-10]]),COUNTIFS(BASE[Cod.Establecimiento],$B$2,BASE[CODCIE106],GUIA_NACIONAL_2022_1106128143146150163[[#This Row],[CIE-10]]))</f>
        <v>0</v>
      </c>
      <c r="AA102" s="3">
        <f>IF($B$2="(Todas)",COUNTIF(BASE[CODCIE108],GUIA_NACIONAL_2022_1106128143146150163[[#This Row],[CIE-10]]),COUNTIFS(BASE[Cod.Establecimiento],$B$2,BASE[CODCIE108],GUIA_NACIONAL_2022_1106128143146150163[[#This Row],[CIE-10]]))</f>
        <v>0</v>
      </c>
      <c r="AB102" s="3">
        <f>IF($B$2="(Todas)",COUNTIF(BASE[CODCIE1010],GUIA_NACIONAL_2022_1106128143146150163[[#This Row],[CIE-10]]),COUNTIFS(BASE[Cod.Establecimiento],$B$2,BASE[CODCIE1010],GUIA_NACIONAL_2022_1106128143146150163[[#This Row],[CIE-10]]))</f>
        <v>0</v>
      </c>
      <c r="AC102" s="9">
        <f>SUM(GUIA_NACIONAL_2022_1106128143146150163[[#This Row],[D1]:[D6]])</f>
        <v>0</v>
      </c>
      <c r="AE102" t="s">
        <v>93</v>
      </c>
      <c r="AF102" s="3" t="s">
        <v>94</v>
      </c>
      <c r="AG102" s="3" t="s">
        <v>95</v>
      </c>
      <c r="AH102" s="3" t="s">
        <v>96</v>
      </c>
      <c r="AI102" s="3" t="s">
        <v>97</v>
      </c>
      <c r="AJ102" s="3" t="s">
        <v>98</v>
      </c>
      <c r="AK102" s="3" t="s">
        <v>99</v>
      </c>
      <c r="AL102" s="8" t="s">
        <v>100</v>
      </c>
    </row>
    <row r="103" spans="22:38">
      <c r="V103" s="32" t="s">
        <v>135</v>
      </c>
      <c r="W103" s="3">
        <f>IF($B$2="(Todas)",COUNTIF(BASE[CODCIE10],GUIA_NACIONAL_2022_1106128143146150163[[#This Row],[CIE-10]]),COUNTIFS(BASE[Cod.Establecimiento],$B$2,BASE[CODCIE10],GUIA_NACIONAL_2022_1106128143146150163[[#This Row],[CIE-10]]))</f>
        <v>0</v>
      </c>
      <c r="X103" s="3">
        <f>IF($B$2="(Todas)",COUNTIF(BASE[CODCIE102],GUIA_NACIONAL_2022_1106128143146150163[[#This Row],[CIE-10]]),COUNTIFS(BASE[Cod.Establecimiento],$B$2,BASE[CODCIE102],GUIA_NACIONAL_2022_1106128143146150163[[#This Row],[CIE-10]]))</f>
        <v>0</v>
      </c>
      <c r="Y103" s="3">
        <f>IF($B$2="(Todas)",COUNTIF(BASE[CODCIE104],GUIA_NACIONAL_2022_1106128143146150163[[#This Row],[CIE-10]]),COUNTIFS(BASE[Cod.Establecimiento],$B$2,BASE[CODCIE104],GUIA_NACIONAL_2022_1106128143146150163[[#This Row],[CIE-10]]))</f>
        <v>0</v>
      </c>
      <c r="Z103" s="3">
        <f>IF($B$2="(Todas)",COUNTIF(BASE[CODCIE106],GUIA_NACIONAL_2022_1106128143146150163[[#This Row],[CIE-10]]),COUNTIFS(BASE[Cod.Establecimiento],$B$2,BASE[CODCIE106],GUIA_NACIONAL_2022_1106128143146150163[[#This Row],[CIE-10]]))</f>
        <v>0</v>
      </c>
      <c r="AA103" s="3">
        <f>IF($B$2="(Todas)",COUNTIF(BASE[CODCIE108],GUIA_NACIONAL_2022_1106128143146150163[[#This Row],[CIE-10]]),COUNTIFS(BASE[Cod.Establecimiento],$B$2,BASE[CODCIE108],GUIA_NACIONAL_2022_1106128143146150163[[#This Row],[CIE-10]]))</f>
        <v>0</v>
      </c>
      <c r="AB103" s="3">
        <f>IF($B$2="(Todas)",COUNTIF(BASE[CODCIE1010],GUIA_NACIONAL_2022_1106128143146150163[[#This Row],[CIE-10]]),COUNTIFS(BASE[Cod.Establecimiento],$B$2,BASE[CODCIE1010],GUIA_NACIONAL_2022_1106128143146150163[[#This Row],[CIE-10]]))</f>
        <v>0</v>
      </c>
      <c r="AC103" s="9">
        <f>SUM(GUIA_NACIONAL_2022_1106128143146150163[[#This Row],[D1]:[D6]])</f>
        <v>0</v>
      </c>
      <c r="AE103" s="4" t="s">
        <v>557</v>
      </c>
      <c r="AF103" s="3">
        <f>IF($B$2="(Todas)",COUNTIF(BASE[CODCIE10],GUIA_NACIONAL_2022_1106128105168175180187191[[#This Row],[CIE-10]]),COUNTIFS(BASE[Cod.Establecimiento],$B$2,BASE[CODCIE10],GUIA_NACIONAL_2022_1106128105168175180187191[[#This Row],[CIE-10]]))</f>
        <v>0</v>
      </c>
      <c r="AG103" s="3">
        <f>IF($B$2="(Todas)",COUNTIF(BASE[CODCIE102],GUIA_NACIONAL_2022_1106128105168175180187191[[#This Row],[CIE-10]]),COUNTIFS(BASE[Cod.Establecimiento],$B$2,BASE[CODCIE102],GUIA_NACIONAL_2022_1106128105168175180187191[[#This Row],[CIE-10]]))</f>
        <v>0</v>
      </c>
      <c r="AH103" s="3">
        <f>IF($B$2="(Todas)",COUNTIF(BASE[CODCIE104],GUIA_NACIONAL_2022_1106128105168175180187191[[#This Row],[CIE-10]]),COUNTIFS(BASE[Cod.Establecimiento],$B$2,BASE[CODCIE104],GUIA_NACIONAL_2022_1106128105168175180187191[[#This Row],[CIE-10]]))</f>
        <v>0</v>
      </c>
      <c r="AI103" s="3">
        <f>IF($B$2="(Todas)",COUNTIF(BASE[CODCIE106],GUIA_NACIONAL_2022_1106128105168175180187191[[#This Row],[CIE-10]]),COUNTIFS(BASE[Cod.Establecimiento],$B$2,BASE[CODCIE106],GUIA_NACIONAL_2022_1106128105168175180187191[[#This Row],[CIE-10]]))</f>
        <v>0</v>
      </c>
      <c r="AJ103" s="3">
        <f>IF($B$2="(Todas)",COUNTIF(BASE[CODCIE108],GUIA_NACIONAL_2022_1106128105168175180187191[[#This Row],[CIE-10]]),COUNTIFS(BASE[Cod.Establecimiento],$B$2,BASE[CODCIE108],GUIA_NACIONAL_2022_1106128105168175180187191[[#This Row],[CIE-10]]))</f>
        <v>0</v>
      </c>
      <c r="AK103" s="3">
        <f>IF($B$2="(Todas)",COUNTIF(BASE[CODCIE1010],GUIA_NACIONAL_2022_1106128105168175180187191[[#This Row],[CIE-10]]),COUNTIFS(BASE[Cod.Establecimiento],$B$2,BASE[CODCIE1010],GUIA_NACIONAL_2022_1106128105168175180187191[[#This Row],[CIE-10]]))</f>
        <v>0</v>
      </c>
      <c r="AL103" s="9">
        <f>SUM(GUIA_NACIONAL_2022_1106128105168175180187191[[#This Row],[D1]:[D6]])</f>
        <v>0</v>
      </c>
    </row>
    <row r="104" spans="22:38">
      <c r="V104" s="149" t="s">
        <v>553</v>
      </c>
      <c r="W104" s="150"/>
      <c r="X104" s="150"/>
      <c r="Y104" s="150"/>
      <c r="Z104" s="150"/>
      <c r="AA104" s="150"/>
      <c r="AB104" s="150"/>
      <c r="AC104" s="150"/>
      <c r="AE104" s="32" t="s">
        <v>558</v>
      </c>
      <c r="AF104" s="3">
        <f>IF($B$2="(Todas)",COUNTIF(BASE[CODCIE10],GUIA_NACIONAL_2022_1106128105168175180187191[[#This Row],[CIE-10]]),COUNTIFS(BASE[Cod.Establecimiento],$B$2,BASE[CODCIE10],GUIA_NACIONAL_2022_1106128105168175180187191[[#This Row],[CIE-10]]))</f>
        <v>0</v>
      </c>
      <c r="AG104" s="3">
        <f>IF($B$2="(Todas)",COUNTIF(BASE[CODCIE102],GUIA_NACIONAL_2022_1106128105168175180187191[[#This Row],[CIE-10]]),COUNTIFS(BASE[Cod.Establecimiento],$B$2,BASE[CODCIE102],GUIA_NACIONAL_2022_1106128105168175180187191[[#This Row],[CIE-10]]))</f>
        <v>0</v>
      </c>
      <c r="AH104" s="3">
        <f>IF($B$2="(Todas)",COUNTIF(BASE[CODCIE104],GUIA_NACIONAL_2022_1106128105168175180187191[[#This Row],[CIE-10]]),COUNTIFS(BASE[Cod.Establecimiento],$B$2,BASE[CODCIE104],GUIA_NACIONAL_2022_1106128105168175180187191[[#This Row],[CIE-10]]))</f>
        <v>0</v>
      </c>
      <c r="AI104" s="3">
        <f>IF($B$2="(Todas)",COUNTIF(BASE[CODCIE106],GUIA_NACIONAL_2022_1106128105168175180187191[[#This Row],[CIE-10]]),COUNTIFS(BASE[Cod.Establecimiento],$B$2,BASE[CODCIE106],GUIA_NACIONAL_2022_1106128105168175180187191[[#This Row],[CIE-10]]))</f>
        <v>0</v>
      </c>
      <c r="AJ104" s="3">
        <f>IF($B$2="(Todas)",COUNTIF(BASE[CODCIE108],GUIA_NACIONAL_2022_1106128105168175180187191[[#This Row],[CIE-10]]),COUNTIFS(BASE[Cod.Establecimiento],$B$2,BASE[CODCIE108],GUIA_NACIONAL_2022_1106128105168175180187191[[#This Row],[CIE-10]]))</f>
        <v>0</v>
      </c>
      <c r="AK104" s="3">
        <f>IF($B$2="(Todas)",COUNTIF(BASE[CODCIE1010],GUIA_NACIONAL_2022_1106128105168175180187191[[#This Row],[CIE-10]]),COUNTIFS(BASE[Cod.Establecimiento],$B$2,BASE[CODCIE1010],GUIA_NACIONAL_2022_1106128105168175180187191[[#This Row],[CIE-10]]))</f>
        <v>0</v>
      </c>
      <c r="AL104" s="9">
        <f>SUM(GUIA_NACIONAL_2022_1106128105168175180187191[[#This Row],[D1]:[D6]])</f>
        <v>0</v>
      </c>
    </row>
    <row r="105" spans="22:38">
      <c r="V105" t="s">
        <v>93</v>
      </c>
      <c r="W105" s="3" t="s">
        <v>94</v>
      </c>
      <c r="X105" s="3" t="s">
        <v>95</v>
      </c>
      <c r="Y105" s="3" t="s">
        <v>96</v>
      </c>
      <c r="Z105" s="3" t="s">
        <v>97</v>
      </c>
      <c r="AA105" s="3" t="s">
        <v>98</v>
      </c>
      <c r="AB105" s="3" t="s">
        <v>99</v>
      </c>
      <c r="AC105" s="8" t="s">
        <v>100</v>
      </c>
      <c r="AE105" s="150" t="s">
        <v>556</v>
      </c>
      <c r="AF105" s="150"/>
      <c r="AG105" s="150"/>
      <c r="AH105" s="150"/>
      <c r="AI105" s="150"/>
      <c r="AJ105" s="150"/>
      <c r="AK105" s="150"/>
      <c r="AL105" s="150"/>
    </row>
    <row r="106" spans="22:38">
      <c r="V106" s="4" t="s">
        <v>132</v>
      </c>
      <c r="W106" s="3">
        <f>IF($B$2="(Todas)",COUNTIF(BASE[CODCIE10],GUIA_NACIONAL_2022_1106128143146150163164[[#This Row],[CIE-10]]),COUNTIFS(BASE[Cod.Establecimiento],$B$2,BASE[CODCIE10],GUIA_NACIONAL_2022_1106128143146150163164[[#This Row],[CIE-10]]))</f>
        <v>0</v>
      </c>
      <c r="X106" s="3">
        <f>IF($B$2="(Todas)",COUNTIF(BASE[CODCIE102],GUIA_NACIONAL_2022_1106128143146150163164[[#This Row],[CIE-10]]),COUNTIFS(BASE[Cod.Establecimiento],$B$2,BASE[CODCIE102],GUIA_NACIONAL_2022_1106128143146150163164[[#This Row],[CIE-10]]))</f>
        <v>0</v>
      </c>
      <c r="Y106" s="3">
        <f>IF($B$2="(Todas)",COUNTIF(BASE[CODCIE104],GUIA_NACIONAL_2022_1106128143146150163164[[#This Row],[CIE-10]]),COUNTIFS(BASE[Cod.Establecimiento],$B$2,BASE[CODCIE104],GUIA_NACIONAL_2022_1106128143146150163164[[#This Row],[CIE-10]]))</f>
        <v>0</v>
      </c>
      <c r="Z106" s="3">
        <f>IF($B$2="(Todas)",COUNTIF(BASE[CODCIE106],GUIA_NACIONAL_2022_1106128143146150163164[[#This Row],[CIE-10]]),COUNTIFS(BASE[Cod.Establecimiento],$B$2,BASE[CODCIE106],GUIA_NACIONAL_2022_1106128143146150163164[[#This Row],[CIE-10]]))</f>
        <v>0</v>
      </c>
      <c r="AA106" s="3">
        <f>IF($B$2="(Todas)",COUNTIF(BASE[CODCIE108],GUIA_NACIONAL_2022_1106128143146150163164[[#This Row],[CIE-10]]),COUNTIFS(BASE[Cod.Establecimiento],$B$2,BASE[CODCIE108],GUIA_NACIONAL_2022_1106128143146150163164[[#This Row],[CIE-10]]))</f>
        <v>0</v>
      </c>
      <c r="AB106" s="3">
        <f>IF($B$2="(Todas)",COUNTIF(BASE[CODCIE1010],GUIA_NACIONAL_2022_1106128143146150163164[[#This Row],[CIE-10]]),COUNTIFS(BASE[Cod.Establecimiento],$B$2,BASE[CODCIE1010],GUIA_NACIONAL_2022_1106128143146150163164[[#This Row],[CIE-10]]))</f>
        <v>0</v>
      </c>
      <c r="AC106" s="9">
        <f>SUM(GUIA_NACIONAL_2022_1106128143146150163164[[#This Row],[D1]:[D6]])</f>
        <v>0</v>
      </c>
      <c r="AE106" t="s">
        <v>93</v>
      </c>
      <c r="AF106" s="3" t="s">
        <v>94</v>
      </c>
      <c r="AG106" s="3" t="s">
        <v>95</v>
      </c>
      <c r="AH106" s="3" t="s">
        <v>96</v>
      </c>
      <c r="AI106" s="3" t="s">
        <v>97</v>
      </c>
      <c r="AJ106" s="3" t="s">
        <v>98</v>
      </c>
      <c r="AK106" s="3" t="s">
        <v>99</v>
      </c>
      <c r="AL106" s="8" t="s">
        <v>100</v>
      </c>
    </row>
    <row r="107" spans="22:38">
      <c r="V107" s="151" t="s">
        <v>174</v>
      </c>
      <c r="W107" s="151"/>
      <c r="X107" s="151"/>
      <c r="Y107" s="151"/>
      <c r="Z107" s="151"/>
      <c r="AA107" s="151"/>
      <c r="AB107" s="151"/>
      <c r="AC107" s="151"/>
      <c r="AE107" s="4" t="s">
        <v>557</v>
      </c>
      <c r="AF107" s="3">
        <f>IF($B$2="(Todas)",COUNTIF(BASE[CODCIE10],GUIA_NACIONAL_2022_1106128105168175180187191192[[#This Row],[CIE-10]]),COUNTIFS(BASE[Cod.Establecimiento],$B$2,BASE[CODCIE10],GUIA_NACIONAL_2022_1106128105168175180187191192[[#This Row],[CIE-10]]))</f>
        <v>0</v>
      </c>
      <c r="AG107" s="3">
        <f>IF($B$2="(Todas)",COUNTIF(BASE[CODCIE102],GUIA_NACIONAL_2022_1106128105168175180187191192[[#This Row],[CIE-10]]),COUNTIFS(BASE[Cod.Establecimiento],$B$2,BASE[CODCIE102],GUIA_NACIONAL_2022_1106128105168175180187191192[[#This Row],[CIE-10]]))</f>
        <v>0</v>
      </c>
      <c r="AH107" s="3">
        <f>IF($B$2="(Todas)",COUNTIF(BASE[CODCIE104],GUIA_NACIONAL_2022_1106128105168175180187191192[[#This Row],[CIE-10]]),COUNTIFS(BASE[Cod.Establecimiento],$B$2,BASE[CODCIE104],GUIA_NACIONAL_2022_1106128105168175180187191192[[#This Row],[CIE-10]]))</f>
        <v>0</v>
      </c>
      <c r="AI107" s="3">
        <f>IF($B$2="(Todas)",COUNTIF(BASE[CODCIE106],GUIA_NACIONAL_2022_1106128105168175180187191192[[#This Row],[CIE-10]]),COUNTIFS(BASE[Cod.Establecimiento],$B$2,BASE[CODCIE106],GUIA_NACIONAL_2022_1106128105168175180187191192[[#This Row],[CIE-10]]))</f>
        <v>0</v>
      </c>
      <c r="AJ107" s="3">
        <f>IF($B$2="(Todas)",COUNTIF(BASE[CODCIE108],GUIA_NACIONAL_2022_1106128105168175180187191192[[#This Row],[CIE-10]]),COUNTIFS(BASE[Cod.Establecimiento],$B$2,BASE[CODCIE108],GUIA_NACIONAL_2022_1106128105168175180187191192[[#This Row],[CIE-10]]))</f>
        <v>0</v>
      </c>
      <c r="AK107" s="3">
        <f>IF($B$2="(Todas)",COUNTIF(BASE[CODCIE1010],GUIA_NACIONAL_2022_1106128105168175180187191192[[#This Row],[CIE-10]]),COUNTIFS(BASE[Cod.Establecimiento],$B$2,BASE[CODCIE1010],GUIA_NACIONAL_2022_1106128105168175180187191192[[#This Row],[CIE-10]]))</f>
        <v>0</v>
      </c>
      <c r="AL107" s="9">
        <f>SUM(GUIA_NACIONAL_2022_1106128105168175180187191192[[#This Row],[D1]:[D6]])</f>
        <v>0</v>
      </c>
    </row>
    <row r="108" spans="22:38">
      <c r="V108" s="149" t="s">
        <v>555</v>
      </c>
      <c r="W108" s="150"/>
      <c r="X108" s="150"/>
      <c r="Y108" s="150"/>
      <c r="Z108" s="150"/>
      <c r="AA108" s="150"/>
      <c r="AB108" s="150"/>
      <c r="AC108" s="150"/>
      <c r="AE108" s="32" t="s">
        <v>558</v>
      </c>
      <c r="AF108" s="3">
        <f>IF($B$2="(Todas)",COUNTIF(BASE[CODCIE10],GUIA_NACIONAL_2022_1106128105168175180187191192[[#This Row],[CIE-10]]),COUNTIFS(BASE[Cod.Establecimiento],$B$2,BASE[CODCIE10],GUIA_NACIONAL_2022_1106128105168175180187191192[[#This Row],[CIE-10]]))</f>
        <v>0</v>
      </c>
      <c r="AG108" s="3">
        <f>IF($B$2="(Todas)",COUNTIF(BASE[CODCIE102],GUIA_NACIONAL_2022_1106128105168175180187191192[[#This Row],[CIE-10]]),COUNTIFS(BASE[Cod.Establecimiento],$B$2,BASE[CODCIE102],GUIA_NACIONAL_2022_1106128105168175180187191192[[#This Row],[CIE-10]]))</f>
        <v>0</v>
      </c>
      <c r="AH108" s="3">
        <f>IF($B$2="(Todas)",COUNTIF(BASE[CODCIE104],GUIA_NACIONAL_2022_1106128105168175180187191192[[#This Row],[CIE-10]]),COUNTIFS(BASE[Cod.Establecimiento],$B$2,BASE[CODCIE104],GUIA_NACIONAL_2022_1106128105168175180187191192[[#This Row],[CIE-10]]))</f>
        <v>0</v>
      </c>
      <c r="AI108" s="3">
        <f>IF($B$2="(Todas)",COUNTIF(BASE[CODCIE106],GUIA_NACIONAL_2022_1106128105168175180187191192[[#This Row],[CIE-10]]),COUNTIFS(BASE[Cod.Establecimiento],$B$2,BASE[CODCIE106],GUIA_NACIONAL_2022_1106128105168175180187191192[[#This Row],[CIE-10]]))</f>
        <v>0</v>
      </c>
      <c r="AJ108" s="3">
        <f>IF($B$2="(Todas)",COUNTIF(BASE[CODCIE108],GUIA_NACIONAL_2022_1106128105168175180187191192[[#This Row],[CIE-10]]),COUNTIFS(BASE[Cod.Establecimiento],$B$2,BASE[CODCIE108],GUIA_NACIONAL_2022_1106128105168175180187191192[[#This Row],[CIE-10]]))</f>
        <v>0</v>
      </c>
      <c r="AK108" s="3">
        <f>IF($B$2="(Todas)",COUNTIF(BASE[CODCIE1010],GUIA_NACIONAL_2022_1106128105168175180187191192[[#This Row],[CIE-10]]),COUNTIFS(BASE[Cod.Establecimiento],$B$2,BASE[CODCIE1010],GUIA_NACIONAL_2022_1106128105168175180187191192[[#This Row],[CIE-10]]))</f>
        <v>0</v>
      </c>
      <c r="AL108" s="9">
        <f>SUM(GUIA_NACIONAL_2022_1106128105168175180187191192[[#This Row],[D1]:[D6]])</f>
        <v>0</v>
      </c>
    </row>
    <row r="109" spans="22:38">
      <c r="V109" t="s">
        <v>93</v>
      </c>
      <c r="W109" s="3" t="s">
        <v>94</v>
      </c>
      <c r="X109" s="3" t="s">
        <v>95</v>
      </c>
      <c r="Y109" s="3" t="s">
        <v>96</v>
      </c>
      <c r="Z109" s="3" t="s">
        <v>97</v>
      </c>
      <c r="AA109" s="3" t="s">
        <v>98</v>
      </c>
      <c r="AB109" s="3" t="s">
        <v>99</v>
      </c>
      <c r="AC109" s="8" t="s">
        <v>100</v>
      </c>
      <c r="AE109" s="150" t="s">
        <v>611</v>
      </c>
      <c r="AF109" s="150"/>
      <c r="AG109" s="150"/>
      <c r="AH109" s="150"/>
      <c r="AI109" s="150"/>
      <c r="AJ109" s="150"/>
      <c r="AK109" s="150"/>
      <c r="AL109" s="150"/>
    </row>
    <row r="110" spans="22:38">
      <c r="V110" s="4" t="s">
        <v>146</v>
      </c>
      <c r="W110" s="3">
        <f>IF($B$2="(Todas)",COUNTIF(BASE[CODCIE10],GUIA_NACIONAL_2022_1106128143146150163165[[#This Row],[CIE-10]]),COUNTIFS(BASE[Cod.Establecimiento],$B$2,BASE[CODCIE10],GUIA_NACIONAL_2022_1106128143146150163165[[#This Row],[CIE-10]]))</f>
        <v>0</v>
      </c>
      <c r="X110" s="3">
        <f>IF($B$2="(Todas)",COUNTIF(BASE[CODCIE102],GUIA_NACIONAL_2022_1106128143146150163165[[#This Row],[CIE-10]]),COUNTIFS(BASE[Cod.Establecimiento],$B$2,BASE[CODCIE102],GUIA_NACIONAL_2022_1106128143146150163165[[#This Row],[CIE-10]]))</f>
        <v>0</v>
      </c>
      <c r="Y110" s="3">
        <f>IF($B$2="(Todas)",COUNTIF(BASE[CODCIE104],GUIA_NACIONAL_2022_1106128143146150163165[[#This Row],[CIE-10]]),COUNTIFS(BASE[Cod.Establecimiento],$B$2,BASE[CODCIE104],GUIA_NACIONAL_2022_1106128143146150163165[[#This Row],[CIE-10]]))</f>
        <v>0</v>
      </c>
      <c r="Z110" s="3">
        <f>IF($B$2="(Todas)",COUNTIF(BASE[CODCIE106],GUIA_NACIONAL_2022_1106128143146150163165[[#This Row],[CIE-10]]),COUNTIFS(BASE[Cod.Establecimiento],$B$2,BASE[CODCIE106],GUIA_NACIONAL_2022_1106128143146150163165[[#This Row],[CIE-10]]))</f>
        <v>0</v>
      </c>
      <c r="AA110" s="3">
        <f>IF($B$2="(Todas)",COUNTIF(BASE[CODCIE108],GUIA_NACIONAL_2022_1106128143146150163165[[#This Row],[CIE-10]]),COUNTIFS(BASE[Cod.Establecimiento],$B$2,BASE[CODCIE108],GUIA_NACIONAL_2022_1106128143146150163165[[#This Row],[CIE-10]]))</f>
        <v>0</v>
      </c>
      <c r="AB110" s="3">
        <f>IF($B$2="(Todas)",COUNTIF(BASE[CODCIE1010],GUIA_NACIONAL_2022_1106128143146150163165[[#This Row],[CIE-10]]),COUNTIFS(BASE[Cod.Establecimiento],$B$2,BASE[CODCIE1010],GUIA_NACIONAL_2022_1106128143146150163165[[#This Row],[CIE-10]]))</f>
        <v>0</v>
      </c>
      <c r="AC110" s="9">
        <f>SUM(GUIA_NACIONAL_2022_1106128143146150163165[[#This Row],[D1]:[D6]])</f>
        <v>0</v>
      </c>
      <c r="AE110" t="s">
        <v>93</v>
      </c>
      <c r="AF110" s="3" t="s">
        <v>94</v>
      </c>
      <c r="AG110" s="3" t="s">
        <v>95</v>
      </c>
      <c r="AH110" s="3" t="s">
        <v>96</v>
      </c>
      <c r="AI110" s="3" t="s">
        <v>97</v>
      </c>
      <c r="AJ110" s="3" t="s">
        <v>98</v>
      </c>
      <c r="AK110" s="3" t="s">
        <v>99</v>
      </c>
      <c r="AL110" s="8" t="s">
        <v>100</v>
      </c>
    </row>
    <row r="111" spans="22:38">
      <c r="V111" s="149" t="s">
        <v>554</v>
      </c>
      <c r="W111" s="150"/>
      <c r="X111" s="150"/>
      <c r="Y111" s="150"/>
      <c r="Z111" s="150"/>
      <c r="AA111" s="150"/>
      <c r="AB111" s="150"/>
      <c r="AC111" s="150"/>
      <c r="AE111" s="4" t="s">
        <v>247</v>
      </c>
      <c r="AF111" s="3">
        <f>IF($B$2="(Todas)",COUNTIF(BASE[CODCIE10],GUIA_NACIONAL_2022_1106128105168175180187188189190193[[#This Row],[CIE-10]]),COUNTIFS(BASE[Cod.Establecimiento],$B$2,BASE[CODCIE10],GUIA_NACIONAL_2022_1106128105168175180187188189190193[[#This Row],[CIE-10]]))</f>
        <v>0</v>
      </c>
      <c r="AG111" s="3">
        <f>IF($B$2="(Todas)",COUNTIF(BASE[CODCIE102],GUIA_NACIONAL_2022_1106128105168175180187188189190193[[#This Row],[CIE-10]]),COUNTIFS(BASE[Cod.Establecimiento],$B$2,BASE[CODCIE102],GUIA_NACIONAL_2022_1106128105168175180187188189190193[[#This Row],[CIE-10]]))</f>
        <v>0</v>
      </c>
      <c r="AH111" s="3">
        <f>IF($B$2="(Todas)",COUNTIF(BASE[CODCIE104],GUIA_NACIONAL_2022_1106128105168175180187188189190193[[#This Row],[CIE-10]]),COUNTIFS(BASE[Cod.Establecimiento],$B$2,BASE[CODCIE104],GUIA_NACIONAL_2022_1106128105168175180187188189190193[[#This Row],[CIE-10]]))</f>
        <v>0</v>
      </c>
      <c r="AI111" s="3">
        <f>IF($B$2="(Todas)",COUNTIF(BASE[CODCIE106],GUIA_NACIONAL_2022_1106128105168175180187188189190193[[#This Row],[CIE-10]]),COUNTIFS(BASE[Cod.Establecimiento],$B$2,BASE[CODCIE106],GUIA_NACIONAL_2022_1106128105168175180187188189190193[[#This Row],[CIE-10]]))</f>
        <v>0</v>
      </c>
      <c r="AJ111" s="3">
        <f>IF($B$2="(Todas)",COUNTIF(BASE[CODCIE108],GUIA_NACIONAL_2022_1106128105168175180187188189190193[[#This Row],[CIE-10]]),COUNTIFS(BASE[Cod.Establecimiento],$B$2,BASE[CODCIE108],GUIA_NACIONAL_2022_1106128105168175180187188189190193[[#This Row],[CIE-10]]))</f>
        <v>0</v>
      </c>
      <c r="AK111" s="3">
        <f>IF($B$2="(Todas)",COUNTIF(BASE[CODCIE1010],GUIA_NACIONAL_2022_1106128105168175180187188189190193[[#This Row],[CIE-10]]),COUNTIFS(BASE[Cod.Establecimiento],$B$2,BASE[CODCIE1010],GUIA_NACIONAL_2022_1106128105168175180187188189190193[[#This Row],[CIE-10]]))</f>
        <v>0</v>
      </c>
      <c r="AL111" s="9">
        <f>SUM(GUIA_NACIONAL_2022_1106128105168175180187188189190193[[#This Row],[D1]:[D6]])</f>
        <v>0</v>
      </c>
    </row>
    <row r="112" spans="22:38">
      <c r="V112" t="s">
        <v>93</v>
      </c>
      <c r="W112" s="3" t="s">
        <v>94</v>
      </c>
      <c r="X112" s="3" t="s">
        <v>95</v>
      </c>
      <c r="Y112" s="3" t="s">
        <v>96</v>
      </c>
      <c r="Z112" s="3" t="s">
        <v>97</v>
      </c>
      <c r="AA112" s="3" t="s">
        <v>98</v>
      </c>
      <c r="AB112" s="3" t="s">
        <v>99</v>
      </c>
      <c r="AC112" s="8" t="s">
        <v>100</v>
      </c>
      <c r="AE112" s="32" t="s">
        <v>249</v>
      </c>
      <c r="AF112" s="3">
        <f>IF($B$2="(Todas)",COUNTIF(BASE[CODCIE10],GUIA_NACIONAL_2022_1106128105168175180187188189190193[[#This Row],[CIE-10]]),COUNTIFS(BASE[Cod.Establecimiento],$B$2,BASE[CODCIE10],GUIA_NACIONAL_2022_1106128105168175180187188189190193[[#This Row],[CIE-10]]))</f>
        <v>0</v>
      </c>
      <c r="AG112" s="3">
        <f>IF($B$2="(Todas)",COUNTIF(BASE[CODCIE102],GUIA_NACIONAL_2022_1106128105168175180187188189190193[[#This Row],[CIE-10]]),COUNTIFS(BASE[Cod.Establecimiento],$B$2,BASE[CODCIE102],GUIA_NACIONAL_2022_1106128105168175180187188189190193[[#This Row],[CIE-10]]))</f>
        <v>0</v>
      </c>
      <c r="AH112" s="3">
        <f>IF($B$2="(Todas)",COUNTIF(BASE[CODCIE104],GUIA_NACIONAL_2022_1106128105168175180187188189190193[[#This Row],[CIE-10]]),COUNTIFS(BASE[Cod.Establecimiento],$B$2,BASE[CODCIE104],GUIA_NACIONAL_2022_1106128105168175180187188189190193[[#This Row],[CIE-10]]))</f>
        <v>0</v>
      </c>
      <c r="AI112" s="3">
        <f>IF($B$2="(Todas)",COUNTIF(BASE[CODCIE106],GUIA_NACIONAL_2022_1106128105168175180187188189190193[[#This Row],[CIE-10]]),COUNTIFS(BASE[Cod.Establecimiento],$B$2,BASE[CODCIE106],GUIA_NACIONAL_2022_1106128105168175180187188189190193[[#This Row],[CIE-10]]))</f>
        <v>0</v>
      </c>
      <c r="AJ112" s="3">
        <f>IF($B$2="(Todas)",COUNTIF(BASE[CODCIE108],GUIA_NACIONAL_2022_1106128105168175180187188189190193[[#This Row],[CIE-10]]),COUNTIFS(BASE[Cod.Establecimiento],$B$2,BASE[CODCIE108],GUIA_NACIONAL_2022_1106128105168175180187188189190193[[#This Row],[CIE-10]]))</f>
        <v>0</v>
      </c>
      <c r="AK112" s="3">
        <f>IF($B$2="(Todas)",COUNTIF(BASE[CODCIE1010],GUIA_NACIONAL_2022_1106128105168175180187188189190193[[#This Row],[CIE-10]]),COUNTIFS(BASE[Cod.Establecimiento],$B$2,BASE[CODCIE1010],GUIA_NACIONAL_2022_1106128105168175180187188189190193[[#This Row],[CIE-10]]))</f>
        <v>0</v>
      </c>
      <c r="AL112" s="9">
        <f>SUM(GUIA_NACIONAL_2022_1106128105168175180187188189190193[[#This Row],[D1]:[D6]])</f>
        <v>0</v>
      </c>
    </row>
    <row r="113" spans="22:38">
      <c r="V113" s="4" t="s">
        <v>147</v>
      </c>
      <c r="W113" s="3">
        <f>IF($B$2="(Todas)",COUNTIF(BASE[CODCIE10],GUIA_NACIONAL_2022_1106128143146150163165166[[#This Row],[CIE-10]]),COUNTIFS(BASE[Cod.Establecimiento],$B$2,BASE[CODCIE10],GUIA_NACIONAL_2022_1106128143146150163165166[[#This Row],[CIE-10]]))</f>
        <v>0</v>
      </c>
      <c r="X113" s="3">
        <f>IF($B$2="(Todas)",COUNTIF(BASE[CODCIE102],GUIA_NACIONAL_2022_1106128143146150163165166[[#This Row],[CIE-10]]),COUNTIFS(BASE[Cod.Establecimiento],$B$2,BASE[CODCIE102],GUIA_NACIONAL_2022_1106128143146150163165166[[#This Row],[CIE-10]]))</f>
        <v>0</v>
      </c>
      <c r="Y113" s="3">
        <f>IF($B$2="(Todas)",COUNTIF(BASE[CODCIE104],GUIA_NACIONAL_2022_1106128143146150163165166[[#This Row],[CIE-10]]),COUNTIFS(BASE[Cod.Establecimiento],$B$2,BASE[CODCIE104],GUIA_NACIONAL_2022_1106128143146150163165166[[#This Row],[CIE-10]]))</f>
        <v>0</v>
      </c>
      <c r="Z113" s="3">
        <f>IF($B$2="(Todas)",COUNTIF(BASE[CODCIE106],GUIA_NACIONAL_2022_1106128143146150163165166[[#This Row],[CIE-10]]),COUNTIFS(BASE[Cod.Establecimiento],$B$2,BASE[CODCIE106],GUIA_NACIONAL_2022_1106128143146150163165166[[#This Row],[CIE-10]]))</f>
        <v>0</v>
      </c>
      <c r="AA113" s="3">
        <f>IF($B$2="(Todas)",COUNTIF(BASE[CODCIE108],GUIA_NACIONAL_2022_1106128143146150163165166[[#This Row],[CIE-10]]),COUNTIFS(BASE[Cod.Establecimiento],$B$2,BASE[CODCIE108],GUIA_NACIONAL_2022_1106128143146150163165166[[#This Row],[CIE-10]]))</f>
        <v>0</v>
      </c>
      <c r="AB113" s="3">
        <f>IF($B$2="(Todas)",COUNTIF(BASE[CODCIE1010],GUIA_NACIONAL_2022_1106128143146150163165166[[#This Row],[CIE-10]]),COUNTIFS(BASE[Cod.Establecimiento],$B$2,BASE[CODCIE1010],GUIA_NACIONAL_2022_1106128143146150163165166[[#This Row],[CIE-10]]))</f>
        <v>0</v>
      </c>
      <c r="AC113" s="9">
        <f>SUM(GUIA_NACIONAL_2022_1106128143146150163165166[[#This Row],[D1]:[D6]])</f>
        <v>0</v>
      </c>
      <c r="AE113" s="32" t="s">
        <v>250</v>
      </c>
      <c r="AF113" s="3">
        <f>IF($B$2="(Todas)",COUNTIF(BASE[CODCIE10],GUIA_NACIONAL_2022_1106128105168175180187188189190193[[#This Row],[CIE-10]]),COUNTIFS(BASE[Cod.Establecimiento],$B$2,BASE[CODCIE10],GUIA_NACIONAL_2022_1106128105168175180187188189190193[[#This Row],[CIE-10]]))</f>
        <v>0</v>
      </c>
      <c r="AG113" s="3">
        <f>IF($B$2="(Todas)",COUNTIF(BASE[CODCIE102],GUIA_NACIONAL_2022_1106128105168175180187188189190193[[#This Row],[CIE-10]]),COUNTIFS(BASE[Cod.Establecimiento],$B$2,BASE[CODCIE102],GUIA_NACIONAL_2022_1106128105168175180187188189190193[[#This Row],[CIE-10]]))</f>
        <v>0</v>
      </c>
      <c r="AH113" s="3">
        <f>IF($B$2="(Todas)",COUNTIF(BASE[CODCIE104],GUIA_NACIONAL_2022_1106128105168175180187188189190193[[#This Row],[CIE-10]]),COUNTIFS(BASE[Cod.Establecimiento],$B$2,BASE[CODCIE104],GUIA_NACIONAL_2022_1106128105168175180187188189190193[[#This Row],[CIE-10]]))</f>
        <v>0</v>
      </c>
      <c r="AI113" s="3">
        <f>IF($B$2="(Todas)",COUNTIF(BASE[CODCIE106],GUIA_NACIONAL_2022_1106128105168175180187188189190193[[#This Row],[CIE-10]]),COUNTIFS(BASE[Cod.Establecimiento],$B$2,BASE[CODCIE106],GUIA_NACIONAL_2022_1106128105168175180187188189190193[[#This Row],[CIE-10]]))</f>
        <v>0</v>
      </c>
      <c r="AJ113" s="3">
        <f>IF($B$2="(Todas)",COUNTIF(BASE[CODCIE108],GUIA_NACIONAL_2022_1106128105168175180187188189190193[[#This Row],[CIE-10]]),COUNTIFS(BASE[Cod.Establecimiento],$B$2,BASE[CODCIE108],GUIA_NACIONAL_2022_1106128105168175180187188189190193[[#This Row],[CIE-10]]))</f>
        <v>0</v>
      </c>
      <c r="AK113" s="3">
        <f>IF($B$2="(Todas)",COUNTIF(BASE[CODCIE1010],GUIA_NACIONAL_2022_1106128105168175180187188189190193[[#This Row],[CIE-10]]),COUNTIFS(BASE[Cod.Establecimiento],$B$2,BASE[CODCIE1010],GUIA_NACIONAL_2022_1106128105168175180187188189190193[[#This Row],[CIE-10]]))</f>
        <v>0</v>
      </c>
      <c r="AL113" s="9">
        <f>SUM(GUIA_NACIONAL_2022_1106128105168175180187188189190193[[#This Row],[D1]:[D6]])</f>
        <v>0</v>
      </c>
    </row>
    <row r="114" spans="22:38">
      <c r="AE114" s="32" t="s">
        <v>251</v>
      </c>
      <c r="AF114" s="3">
        <f>IF($B$2="(Todas)",COUNTIF(BASE[CODCIE10],GUIA_NACIONAL_2022_1106128105168175180187188189190193[[#This Row],[CIE-10]]),COUNTIFS(BASE[Cod.Establecimiento],$B$2,BASE[CODCIE10],GUIA_NACIONAL_2022_1106128105168175180187188189190193[[#This Row],[CIE-10]]))</f>
        <v>0</v>
      </c>
      <c r="AG114" s="3">
        <f>IF($B$2="(Todas)",COUNTIF(BASE[CODCIE102],GUIA_NACIONAL_2022_1106128105168175180187188189190193[[#This Row],[CIE-10]]),COUNTIFS(BASE[Cod.Establecimiento],$B$2,BASE[CODCIE102],GUIA_NACIONAL_2022_1106128105168175180187188189190193[[#This Row],[CIE-10]]))</f>
        <v>0</v>
      </c>
      <c r="AH114" s="3">
        <f>IF($B$2="(Todas)",COUNTIF(BASE[CODCIE104],GUIA_NACIONAL_2022_1106128105168175180187188189190193[[#This Row],[CIE-10]]),COUNTIFS(BASE[Cod.Establecimiento],$B$2,BASE[CODCIE104],GUIA_NACIONAL_2022_1106128105168175180187188189190193[[#This Row],[CIE-10]]))</f>
        <v>0</v>
      </c>
      <c r="AI114" s="3">
        <f>IF($B$2="(Todas)",COUNTIF(BASE[CODCIE106],GUIA_NACIONAL_2022_1106128105168175180187188189190193[[#This Row],[CIE-10]]),COUNTIFS(BASE[Cod.Establecimiento],$B$2,BASE[CODCIE106],GUIA_NACIONAL_2022_1106128105168175180187188189190193[[#This Row],[CIE-10]]))</f>
        <v>0</v>
      </c>
      <c r="AJ114" s="3">
        <f>IF($B$2="(Todas)",COUNTIF(BASE[CODCIE108],GUIA_NACIONAL_2022_1106128105168175180187188189190193[[#This Row],[CIE-10]]),COUNTIFS(BASE[Cod.Establecimiento],$B$2,BASE[CODCIE108],GUIA_NACIONAL_2022_1106128105168175180187188189190193[[#This Row],[CIE-10]]))</f>
        <v>0</v>
      </c>
      <c r="AK114" s="3">
        <f>IF($B$2="(Todas)",COUNTIF(BASE[CODCIE1010],GUIA_NACIONAL_2022_1106128105168175180187188189190193[[#This Row],[CIE-10]]),COUNTIFS(BASE[Cod.Establecimiento],$B$2,BASE[CODCIE1010],GUIA_NACIONAL_2022_1106128105168175180187188189190193[[#This Row],[CIE-10]]))</f>
        <v>0</v>
      </c>
      <c r="AL114" s="9">
        <f>SUM(GUIA_NACIONAL_2022_1106128105168175180187188189190193[[#This Row],[D1]:[D6]])</f>
        <v>0</v>
      </c>
    </row>
    <row r="115" spans="22:38">
      <c r="AE115" s="150" t="s">
        <v>612</v>
      </c>
      <c r="AF115" s="150"/>
      <c r="AG115" s="150"/>
      <c r="AH115" s="150"/>
      <c r="AI115" s="150"/>
      <c r="AJ115" s="150"/>
      <c r="AK115" s="150"/>
      <c r="AL115" s="150"/>
    </row>
    <row r="116" spans="22:38">
      <c r="AE116" t="s">
        <v>93</v>
      </c>
      <c r="AF116" s="3" t="s">
        <v>94</v>
      </c>
      <c r="AG116" s="3" t="s">
        <v>95</v>
      </c>
      <c r="AH116" s="3" t="s">
        <v>96</v>
      </c>
      <c r="AI116" s="3" t="s">
        <v>97</v>
      </c>
      <c r="AJ116" s="3" t="s">
        <v>98</v>
      </c>
      <c r="AK116" s="3" t="s">
        <v>99</v>
      </c>
      <c r="AL116" s="8" t="s">
        <v>100</v>
      </c>
    </row>
    <row r="117" spans="22:38">
      <c r="AE117" s="4" t="s">
        <v>252</v>
      </c>
      <c r="AF117" s="3">
        <f>IF($B$2="(Todas)",COUNTIF(BASE[CODCIE10],GUIA_NACIONAL_2022_1106128105168175180187188189190193194[[#This Row],[CIE-10]]),COUNTIFS(BASE[Cod.Establecimiento],$B$2,BASE[CODCIE10],GUIA_NACIONAL_2022_1106128105168175180187188189190193194[[#This Row],[CIE-10]]))</f>
        <v>0</v>
      </c>
      <c r="AG117" s="3">
        <f>IF($B$2="(Todas)",COUNTIF(BASE[CODCIE102],GUIA_NACIONAL_2022_1106128105168175180187188189190193194[[#This Row],[CIE-10]]),COUNTIFS(BASE[Cod.Establecimiento],$B$2,BASE[CODCIE102],GUIA_NACIONAL_2022_1106128105168175180187188189190193194[[#This Row],[CIE-10]]))</f>
        <v>0</v>
      </c>
      <c r="AH117" s="3">
        <f>IF($B$2="(Todas)",COUNTIF(BASE[CODCIE104],GUIA_NACIONAL_2022_1106128105168175180187188189190193194[[#This Row],[CIE-10]]),COUNTIFS(BASE[Cod.Establecimiento],$B$2,BASE[CODCIE104],GUIA_NACIONAL_2022_1106128105168175180187188189190193194[[#This Row],[CIE-10]]))</f>
        <v>0</v>
      </c>
      <c r="AI117" s="3">
        <f>IF($B$2="(Todas)",COUNTIF(BASE[CODCIE106],GUIA_NACIONAL_2022_1106128105168175180187188189190193194[[#This Row],[CIE-10]]),COUNTIFS(BASE[Cod.Establecimiento],$B$2,BASE[CODCIE106],GUIA_NACIONAL_2022_1106128105168175180187188189190193194[[#This Row],[CIE-10]]))</f>
        <v>0</v>
      </c>
      <c r="AJ117" s="3">
        <f>IF($B$2="(Todas)",COUNTIF(BASE[CODCIE108],GUIA_NACIONAL_2022_1106128105168175180187188189190193194[[#This Row],[CIE-10]]),COUNTIFS(BASE[Cod.Establecimiento],$B$2,BASE[CODCIE108],GUIA_NACIONAL_2022_1106128105168175180187188189190193194[[#This Row],[CIE-10]]))</f>
        <v>0</v>
      </c>
      <c r="AK117" s="3">
        <f>IF($B$2="(Todas)",COUNTIF(BASE[CODCIE1010],GUIA_NACIONAL_2022_1106128105168175180187188189190193194[[#This Row],[CIE-10]]),COUNTIFS(BASE[Cod.Establecimiento],$B$2,BASE[CODCIE1010],GUIA_NACIONAL_2022_1106128105168175180187188189190193194[[#This Row],[CIE-10]]))</f>
        <v>0</v>
      </c>
      <c r="AL117" s="9">
        <f>SUM(GUIA_NACIONAL_2022_1106128105168175180187188189190193194[[#This Row],[D1]:[D6]])</f>
        <v>0</v>
      </c>
    </row>
  </sheetData>
  <mergeCells count="209">
    <mergeCell ref="CY1:DF1"/>
    <mergeCell ref="CY2:DF2"/>
    <mergeCell ref="CY3:DF3"/>
    <mergeCell ref="DZ1:EG1"/>
    <mergeCell ref="DZ2:EG2"/>
    <mergeCell ref="DZ3:EG3"/>
    <mergeCell ref="DH1:DO1"/>
    <mergeCell ref="DH2:DO2"/>
    <mergeCell ref="DH3:DO3"/>
    <mergeCell ref="DQ1:DX1"/>
    <mergeCell ref="DQ2:DX2"/>
    <mergeCell ref="DQ3:DX3"/>
    <mergeCell ref="BX3:CE3"/>
    <mergeCell ref="BX2:CE2"/>
    <mergeCell ref="BX1:CE1"/>
    <mergeCell ref="CG1:CN1"/>
    <mergeCell ref="CG2:CN2"/>
    <mergeCell ref="CG3:CN3"/>
    <mergeCell ref="CP1:CW1"/>
    <mergeCell ref="CP2:CW2"/>
    <mergeCell ref="CP3:CW3"/>
    <mergeCell ref="AE1:AL1"/>
    <mergeCell ref="AE2:AL2"/>
    <mergeCell ref="AE3:AL3"/>
    <mergeCell ref="AN1:AU1"/>
    <mergeCell ref="AN2:AU2"/>
    <mergeCell ref="AN3:AU3"/>
    <mergeCell ref="BO1:BV1"/>
    <mergeCell ref="BO2:BV2"/>
    <mergeCell ref="BO3:BV3"/>
    <mergeCell ref="AW1:BD1"/>
    <mergeCell ref="AW2:BD2"/>
    <mergeCell ref="AW3:BD3"/>
    <mergeCell ref="BF1:BM1"/>
    <mergeCell ref="BF2:BM2"/>
    <mergeCell ref="BF3:BM3"/>
    <mergeCell ref="M3:T3"/>
    <mergeCell ref="V6:AC6"/>
    <mergeCell ref="V9:AC9"/>
    <mergeCell ref="V14:AC14"/>
    <mergeCell ref="V15:AC15"/>
    <mergeCell ref="D11:K11"/>
    <mergeCell ref="D28:K28"/>
    <mergeCell ref="D36:K36"/>
    <mergeCell ref="A1:B1"/>
    <mergeCell ref="D3:K3"/>
    <mergeCell ref="D1:K1"/>
    <mergeCell ref="D2:K2"/>
    <mergeCell ref="A3:B3"/>
    <mergeCell ref="V18:AC18"/>
    <mergeCell ref="V23:AC23"/>
    <mergeCell ref="V30:AC30"/>
    <mergeCell ref="V33:AC33"/>
    <mergeCell ref="V34:AC34"/>
    <mergeCell ref="V1:AC1"/>
    <mergeCell ref="V2:AC2"/>
    <mergeCell ref="V3:AC3"/>
    <mergeCell ref="A35:B38"/>
    <mergeCell ref="A28:B34"/>
    <mergeCell ref="A5:B26"/>
    <mergeCell ref="D74:K74"/>
    <mergeCell ref="D77:K77"/>
    <mergeCell ref="M1:T1"/>
    <mergeCell ref="M2:T2"/>
    <mergeCell ref="M7:T7"/>
    <mergeCell ref="D62:K62"/>
    <mergeCell ref="D65:K65"/>
    <mergeCell ref="D68:K68"/>
    <mergeCell ref="D71:K71"/>
    <mergeCell ref="M11:T11"/>
    <mergeCell ref="M14:T14"/>
    <mergeCell ref="M17:T17"/>
    <mergeCell ref="M20:T20"/>
    <mergeCell ref="M23:T23"/>
    <mergeCell ref="M28:T28"/>
    <mergeCell ref="M34:T34"/>
    <mergeCell ref="D56:K56"/>
    <mergeCell ref="D59:K59"/>
    <mergeCell ref="D53:K53"/>
    <mergeCell ref="D39:K39"/>
    <mergeCell ref="D42:K42"/>
    <mergeCell ref="D46:K46"/>
    <mergeCell ref="D47:K47"/>
    <mergeCell ref="D50:K50"/>
    <mergeCell ref="V82:AC82"/>
    <mergeCell ref="V83:AC83"/>
    <mergeCell ref="V57:AC57"/>
    <mergeCell ref="V67:AC67"/>
    <mergeCell ref="V70:AC70"/>
    <mergeCell ref="V37:AC37"/>
    <mergeCell ref="V44:AC44"/>
    <mergeCell ref="V45:AC45"/>
    <mergeCell ref="V53:AC53"/>
    <mergeCell ref="V56:AC56"/>
    <mergeCell ref="V107:AC107"/>
    <mergeCell ref="V108:AC108"/>
    <mergeCell ref="V111:AC111"/>
    <mergeCell ref="AE6:AL6"/>
    <mergeCell ref="AE10:AL10"/>
    <mergeCell ref="AE11:AL11"/>
    <mergeCell ref="AE14:AL14"/>
    <mergeCell ref="AE15:AL15"/>
    <mergeCell ref="AE18:AL18"/>
    <mergeCell ref="AE21:AL21"/>
    <mergeCell ref="AE24:AL24"/>
    <mergeCell ref="AE27:AL27"/>
    <mergeCell ref="AE28:AL28"/>
    <mergeCell ref="AE31:AL31"/>
    <mergeCell ref="AE36:AL36"/>
    <mergeCell ref="AE37:AL37"/>
    <mergeCell ref="V93:AC93"/>
    <mergeCell ref="V96:AC96"/>
    <mergeCell ref="V99:AC99"/>
    <mergeCell ref="V100:AC100"/>
    <mergeCell ref="V104:AC104"/>
    <mergeCell ref="V73:AC73"/>
    <mergeCell ref="V76:AC76"/>
    <mergeCell ref="V79:AC79"/>
    <mergeCell ref="AE59:AL59"/>
    <mergeCell ref="AE62:AL62"/>
    <mergeCell ref="AE65:AL65"/>
    <mergeCell ref="AE69:AL69"/>
    <mergeCell ref="AE73:AL73"/>
    <mergeCell ref="AE41:AL41"/>
    <mergeCell ref="AE49:AL49"/>
    <mergeCell ref="AE52:AL52"/>
    <mergeCell ref="AE55:AL55"/>
    <mergeCell ref="AE58:AL58"/>
    <mergeCell ref="AE109:AL109"/>
    <mergeCell ref="AE115:AL115"/>
    <mergeCell ref="AE94:AL94"/>
    <mergeCell ref="AE97:AL97"/>
    <mergeCell ref="AE100:AL100"/>
    <mergeCell ref="AE101:AL101"/>
    <mergeCell ref="AE105:AL105"/>
    <mergeCell ref="AE77:AL77"/>
    <mergeCell ref="AE81:AL81"/>
    <mergeCell ref="AE87:AL87"/>
    <mergeCell ref="AE88:AL88"/>
    <mergeCell ref="AE91:AL91"/>
    <mergeCell ref="AN6:AU6"/>
    <mergeCell ref="AN7:AU7"/>
    <mergeCell ref="AN10:AU10"/>
    <mergeCell ref="AN13:AU13"/>
    <mergeCell ref="AN18:AU18"/>
    <mergeCell ref="AN19:AU19"/>
    <mergeCell ref="AN23:AU23"/>
    <mergeCell ref="AN26:AU26"/>
    <mergeCell ref="AN27:AU27"/>
    <mergeCell ref="BF6:BM6"/>
    <mergeCell ref="BF9:BM9"/>
    <mergeCell ref="BF12:BM12"/>
    <mergeCell ref="BF15:BM15"/>
    <mergeCell ref="BF16:BM16"/>
    <mergeCell ref="BF19:BM19"/>
    <mergeCell ref="BF22:BM22"/>
    <mergeCell ref="BF23:BM23"/>
    <mergeCell ref="BF26:BM26"/>
    <mergeCell ref="BF68:BM68"/>
    <mergeCell ref="BF71:BM71"/>
    <mergeCell ref="BF74:BM74"/>
    <mergeCell ref="AN41:AU41"/>
    <mergeCell ref="AN44:AU44"/>
    <mergeCell ref="AN47:AU47"/>
    <mergeCell ref="AW8:BD8"/>
    <mergeCell ref="AW11:BD11"/>
    <mergeCell ref="AW19:BD19"/>
    <mergeCell ref="BF29:BM29"/>
    <mergeCell ref="BF34:BM34"/>
    <mergeCell ref="BF38:BM38"/>
    <mergeCell ref="BF42:BM42"/>
    <mergeCell ref="BF45:BM45"/>
    <mergeCell ref="AN31:AU31"/>
    <mergeCell ref="AN34:AU34"/>
    <mergeCell ref="AN37:AU37"/>
    <mergeCell ref="AN38:AU38"/>
    <mergeCell ref="BO25:BV25"/>
    <mergeCell ref="BO39:BV39"/>
    <mergeCell ref="BO38:BV38"/>
    <mergeCell ref="BF48:BM48"/>
    <mergeCell ref="BF51:BM51"/>
    <mergeCell ref="BF54:BM54"/>
    <mergeCell ref="BF55:BM55"/>
    <mergeCell ref="BF58:BM58"/>
    <mergeCell ref="BF61:BM61"/>
    <mergeCell ref="DH6:DO6"/>
    <mergeCell ref="DH19:DO19"/>
    <mergeCell ref="DH22:DO22"/>
    <mergeCell ref="BO59:BV59"/>
    <mergeCell ref="BO70:BV70"/>
    <mergeCell ref="BX6:CE6"/>
    <mergeCell ref="BX9:CE9"/>
    <mergeCell ref="CG20:CN20"/>
    <mergeCell ref="CG29:CN29"/>
    <mergeCell ref="CG32:CN32"/>
    <mergeCell ref="CG44:CN44"/>
    <mergeCell ref="CP6:CW6"/>
    <mergeCell ref="CP9:CW9"/>
    <mergeCell ref="BO42:BV42"/>
    <mergeCell ref="BO43:BV43"/>
    <mergeCell ref="BO46:BV46"/>
    <mergeCell ref="BO49:BV49"/>
    <mergeCell ref="BO50:BV50"/>
    <mergeCell ref="BO53:BV53"/>
    <mergeCell ref="BO56:BV56"/>
    <mergeCell ref="BO6:BV6"/>
    <mergeCell ref="BO9:BV9"/>
    <mergeCell ref="BO12:BV12"/>
    <mergeCell ref="BO13:BV13"/>
  </mergeCells>
  <phoneticPr fontId="29" type="noConversion"/>
  <conditionalFormatting sqref="A3">
    <cfRule type="cellIs" dxfId="72" priority="153" operator="greaterThan">
      <formula>0</formula>
    </cfRule>
  </conditionalFormatting>
  <conditionalFormatting sqref="E5:K10 E13:K27 E30:K35 E38:K38 E41:K41 E44:K45 E49:K49 E52:K52 E55:K55 E58:K58 E61:K61 E64:K64 E67:K67 E70:K70 E73:K73 E76:K76 E79:K79">
    <cfRule type="cellIs" dxfId="71" priority="134" operator="greaterThan">
      <formula>0</formula>
    </cfRule>
  </conditionalFormatting>
  <conditionalFormatting sqref="W5:AC5 N5:T6 W8:AC8 N9:T10 W11:AC13 N13:T13 N16:T16 W17:AC17 N19:T19 W20:AC22 N22:T22 N25:T27 W25:AC29 N30:T33 W32:AC32 N36:T36 W36:AC36 W39:AC43 W47:AC52 W55:AC55 W59:AC66 W69:AC69 W72:AC72 W75:AC75 W78:AC78 W81:AC81 W85:AC92 W95:AC95 W98:AC98 W102:AC103 W106:AC106 W110:AC110 W113:AC113">
    <cfRule type="cellIs" dxfId="70" priority="60" operator="greaterThan">
      <formula>0</formula>
    </cfRule>
  </conditionalFormatting>
  <conditionalFormatting sqref="AF5:AL5 AF8:AL9 AF13:AL13 AF17:AL17 AF20:AL20 AF23:AL23 AF26:AL26 AF30:AL30 AF33:AL35 AF39:AL40 AF43:AL48 AF51:AL51 AF54:AL54 AF57:AL57 AF61:AL61 AF64:AL64 AF67:AL68 AF71:AL72 AF75:AL76 AF79:AL80 AF83:AL86 AF90:AL90 AF93:AL93 AF96:AL96 AF99:AL99 AF103:AL104 AF107:AL108 AF111:AL114 AF117:AL117">
    <cfRule type="cellIs" dxfId="69" priority="59" operator="greaterThan">
      <formula>0</formula>
    </cfRule>
  </conditionalFormatting>
  <conditionalFormatting sqref="AO5:AU5">
    <cfRule type="cellIs" dxfId="68" priority="130" operator="greaterThan">
      <formula>0</formula>
    </cfRule>
  </conditionalFormatting>
  <conditionalFormatting sqref="AO9:AU9">
    <cfRule type="cellIs" dxfId="67" priority="58" operator="greaterThan">
      <formula>0</formula>
    </cfRule>
  </conditionalFormatting>
  <conditionalFormatting sqref="AO12:AU12">
    <cfRule type="cellIs" dxfId="66" priority="57" operator="greaterThan">
      <formula>0</formula>
    </cfRule>
  </conditionalFormatting>
  <conditionalFormatting sqref="AO15:AU17">
    <cfRule type="cellIs" dxfId="65" priority="56" operator="greaterThan">
      <formula>0</formula>
    </cfRule>
  </conditionalFormatting>
  <conditionalFormatting sqref="AO21:AU22">
    <cfRule type="cellIs" dxfId="64" priority="55" operator="greaterThan">
      <formula>0</formula>
    </cfRule>
  </conditionalFormatting>
  <conditionalFormatting sqref="AO25:AU25">
    <cfRule type="cellIs" dxfId="63" priority="54" operator="greaterThan">
      <formula>0</formula>
    </cfRule>
  </conditionalFormatting>
  <conditionalFormatting sqref="AO29:AU30">
    <cfRule type="cellIs" dxfId="62" priority="53" operator="greaterThan">
      <formula>0</formula>
    </cfRule>
  </conditionalFormatting>
  <conditionalFormatting sqref="AO33:AU33">
    <cfRule type="cellIs" dxfId="61" priority="52" operator="greaterThan">
      <formula>0</formula>
    </cfRule>
  </conditionalFormatting>
  <conditionalFormatting sqref="AO36:AU36">
    <cfRule type="cellIs" dxfId="60" priority="51" operator="greaterThan">
      <formula>0</formula>
    </cfRule>
  </conditionalFormatting>
  <conditionalFormatting sqref="AO40:AU40">
    <cfRule type="cellIs" dxfId="59" priority="50" operator="greaterThan">
      <formula>0</formula>
    </cfRule>
  </conditionalFormatting>
  <conditionalFormatting sqref="AO43:AU43">
    <cfRule type="cellIs" dxfId="58" priority="49" operator="greaterThan">
      <formula>0</formula>
    </cfRule>
  </conditionalFormatting>
  <conditionalFormatting sqref="AO46:AU46">
    <cfRule type="cellIs" dxfId="57" priority="48" operator="greaterThan">
      <formula>0</formula>
    </cfRule>
  </conditionalFormatting>
  <conditionalFormatting sqref="AO49:AU49">
    <cfRule type="cellIs" dxfId="56" priority="47" operator="greaterThan">
      <formula>0</formula>
    </cfRule>
  </conditionalFormatting>
  <conditionalFormatting sqref="AX5:BD7">
    <cfRule type="cellIs" dxfId="55" priority="129" operator="greaterThan">
      <formula>0</formula>
    </cfRule>
  </conditionalFormatting>
  <conditionalFormatting sqref="AX10:BD10">
    <cfRule type="cellIs" dxfId="54" priority="46" operator="greaterThan">
      <formula>0</formula>
    </cfRule>
  </conditionalFormatting>
  <conditionalFormatting sqref="AX13:BD18">
    <cfRule type="cellIs" dxfId="53" priority="45" operator="greaterThan">
      <formula>0</formula>
    </cfRule>
  </conditionalFormatting>
  <conditionalFormatting sqref="AX21:BD21">
    <cfRule type="cellIs" dxfId="52" priority="44" operator="greaterThan">
      <formula>0</formula>
    </cfRule>
  </conditionalFormatting>
  <conditionalFormatting sqref="BG5:BM5">
    <cfRule type="cellIs" dxfId="51" priority="128" operator="greaterThan">
      <formula>0</formula>
    </cfRule>
  </conditionalFormatting>
  <conditionalFormatting sqref="BG8:BM8">
    <cfRule type="cellIs" dxfId="50" priority="43" operator="greaterThan">
      <formula>0</formula>
    </cfRule>
  </conditionalFormatting>
  <conditionalFormatting sqref="BG11:BM11">
    <cfRule type="cellIs" dxfId="49" priority="42" operator="greaterThan">
      <formula>0</formula>
    </cfRule>
  </conditionalFormatting>
  <conditionalFormatting sqref="BG14:BM14">
    <cfRule type="cellIs" dxfId="48" priority="41" operator="greaterThan">
      <formula>0</formula>
    </cfRule>
  </conditionalFormatting>
  <conditionalFormatting sqref="BG18:BM18">
    <cfRule type="cellIs" dxfId="47" priority="40" operator="greaterThan">
      <formula>0</formula>
    </cfRule>
  </conditionalFormatting>
  <conditionalFormatting sqref="BG21:BM21">
    <cfRule type="cellIs" dxfId="46" priority="39" operator="greaterThan">
      <formula>0</formula>
    </cfRule>
  </conditionalFormatting>
  <conditionalFormatting sqref="BG25:BM25">
    <cfRule type="cellIs" dxfId="45" priority="38" operator="greaterThan">
      <formula>0</formula>
    </cfRule>
  </conditionalFormatting>
  <conditionalFormatting sqref="BG28:BM28">
    <cfRule type="cellIs" dxfId="44" priority="37" operator="greaterThan">
      <formula>0</formula>
    </cfRule>
  </conditionalFormatting>
  <conditionalFormatting sqref="BG31:BM33">
    <cfRule type="cellIs" dxfId="43" priority="36" operator="greaterThan">
      <formula>0</formula>
    </cfRule>
  </conditionalFormatting>
  <conditionalFormatting sqref="BG36:BM37">
    <cfRule type="cellIs" dxfId="42" priority="35" operator="greaterThan">
      <formula>0</formula>
    </cfRule>
  </conditionalFormatting>
  <conditionalFormatting sqref="BG40:BM41">
    <cfRule type="cellIs" dxfId="41" priority="34" operator="greaterThan">
      <formula>0</formula>
    </cfRule>
  </conditionalFormatting>
  <conditionalFormatting sqref="BG44:BM44">
    <cfRule type="cellIs" dxfId="40" priority="33" operator="greaterThan">
      <formula>0</formula>
    </cfRule>
  </conditionalFormatting>
  <conditionalFormatting sqref="BG47:BM47">
    <cfRule type="cellIs" dxfId="39" priority="32" operator="greaterThan">
      <formula>0</formula>
    </cfRule>
  </conditionalFormatting>
  <conditionalFormatting sqref="BG50:BM50">
    <cfRule type="cellIs" dxfId="38" priority="31" operator="greaterThan">
      <formula>0</formula>
    </cfRule>
  </conditionalFormatting>
  <conditionalFormatting sqref="BG53:BM53">
    <cfRule type="cellIs" dxfId="37" priority="30" operator="greaterThan">
      <formula>0</formula>
    </cfRule>
  </conditionalFormatting>
  <conditionalFormatting sqref="BG57:BM57">
    <cfRule type="cellIs" dxfId="36" priority="29" operator="greaterThan">
      <formula>0</formula>
    </cfRule>
  </conditionalFormatting>
  <conditionalFormatting sqref="BG60:BM60">
    <cfRule type="cellIs" dxfId="35" priority="28" operator="greaterThan">
      <formula>0</formula>
    </cfRule>
  </conditionalFormatting>
  <conditionalFormatting sqref="BG63:BM67">
    <cfRule type="cellIs" dxfId="34" priority="27" operator="greaterThan">
      <formula>0</formula>
    </cfRule>
  </conditionalFormatting>
  <conditionalFormatting sqref="BG70:BM70">
    <cfRule type="cellIs" dxfId="33" priority="26" operator="greaterThan">
      <formula>0</formula>
    </cfRule>
  </conditionalFormatting>
  <conditionalFormatting sqref="BG73:BM73">
    <cfRule type="cellIs" dxfId="32" priority="25" operator="greaterThan">
      <formula>0</formula>
    </cfRule>
  </conditionalFormatting>
  <conditionalFormatting sqref="BG76:BM76">
    <cfRule type="cellIs" dxfId="31" priority="24" operator="greaterThan">
      <formula>0</formula>
    </cfRule>
  </conditionalFormatting>
  <conditionalFormatting sqref="BP5:BV5">
    <cfRule type="cellIs" dxfId="30" priority="127" operator="greaterThan">
      <formula>0</formula>
    </cfRule>
  </conditionalFormatting>
  <conditionalFormatting sqref="BP8:BV8">
    <cfRule type="cellIs" dxfId="29" priority="23" operator="greaterThan">
      <formula>0</formula>
    </cfRule>
  </conditionalFormatting>
  <conditionalFormatting sqref="BP11:BV11">
    <cfRule type="cellIs" dxfId="28" priority="22" operator="greaterThan">
      <formula>0</formula>
    </cfRule>
  </conditionalFormatting>
  <conditionalFormatting sqref="BP15:BV24">
    <cfRule type="cellIs" dxfId="27" priority="21" operator="greaterThan">
      <formula>0</formula>
    </cfRule>
  </conditionalFormatting>
  <conditionalFormatting sqref="BP27:BV37">
    <cfRule type="cellIs" dxfId="26" priority="20" operator="greaterThan">
      <formula>0</formula>
    </cfRule>
  </conditionalFormatting>
  <conditionalFormatting sqref="BP41:BV41">
    <cfRule type="cellIs" dxfId="25" priority="19" operator="greaterThan">
      <formula>0</formula>
    </cfRule>
  </conditionalFormatting>
  <conditionalFormatting sqref="BP45:BV45">
    <cfRule type="cellIs" dxfId="24" priority="18" operator="greaterThan">
      <formula>0</formula>
    </cfRule>
  </conditionalFormatting>
  <conditionalFormatting sqref="BP48:BV48">
    <cfRule type="cellIs" dxfId="23" priority="17" operator="greaterThan">
      <formula>0</formula>
    </cfRule>
  </conditionalFormatting>
  <conditionalFormatting sqref="BP52:BV52">
    <cfRule type="cellIs" dxfId="22" priority="16" operator="greaterThan">
      <formula>0</formula>
    </cfRule>
  </conditionalFormatting>
  <conditionalFormatting sqref="BP55:BV55">
    <cfRule type="cellIs" dxfId="21" priority="15" operator="greaterThan">
      <formula>0</formula>
    </cfRule>
  </conditionalFormatting>
  <conditionalFormatting sqref="BP58:BV58">
    <cfRule type="cellIs" dxfId="20" priority="14" operator="greaterThan">
      <formula>0</formula>
    </cfRule>
  </conditionalFormatting>
  <conditionalFormatting sqref="BP61:BV69">
    <cfRule type="cellIs" dxfId="19" priority="13" operator="greaterThan">
      <formula>0</formula>
    </cfRule>
  </conditionalFormatting>
  <conditionalFormatting sqref="BP72:BV77">
    <cfRule type="cellIs" dxfId="18" priority="12" operator="greaterThan">
      <formula>0</formula>
    </cfRule>
  </conditionalFormatting>
  <conditionalFormatting sqref="BY5:CE5">
    <cfRule type="cellIs" dxfId="17" priority="126" operator="greaterThan">
      <formula>0</formula>
    </cfRule>
  </conditionalFormatting>
  <conditionalFormatting sqref="BY8:CE8">
    <cfRule type="cellIs" dxfId="16" priority="11" operator="greaterThan">
      <formula>0</formula>
    </cfRule>
  </conditionalFormatting>
  <conditionalFormatting sqref="BY11:CE11">
    <cfRule type="cellIs" dxfId="15" priority="10" operator="greaterThan">
      <formula>0</formula>
    </cfRule>
  </conditionalFormatting>
  <conditionalFormatting sqref="CH5:CN19">
    <cfRule type="cellIs" dxfId="14" priority="125" operator="greaterThan">
      <formula>0</formula>
    </cfRule>
  </conditionalFormatting>
  <conditionalFormatting sqref="CH22:CN28">
    <cfRule type="cellIs" dxfId="13" priority="9" operator="greaterThan">
      <formula>0</formula>
    </cfRule>
  </conditionalFormatting>
  <conditionalFormatting sqref="CH31:CN31">
    <cfRule type="cellIs" dxfId="12" priority="8" operator="greaterThan">
      <formula>0</formula>
    </cfRule>
  </conditionalFormatting>
  <conditionalFormatting sqref="CH34:CN43">
    <cfRule type="cellIs" dxfId="11" priority="7" operator="greaterThan">
      <formula>0</formula>
    </cfRule>
  </conditionalFormatting>
  <conditionalFormatting sqref="CH46:CN55">
    <cfRule type="cellIs" dxfId="10" priority="6" operator="greaterThan">
      <formula>0</formula>
    </cfRule>
  </conditionalFormatting>
  <conditionalFormatting sqref="CQ5:CW5">
    <cfRule type="cellIs" dxfId="9" priority="124" operator="greaterThan">
      <formula>0</formula>
    </cfRule>
  </conditionalFormatting>
  <conditionalFormatting sqref="CQ8:CW8">
    <cfRule type="cellIs" dxfId="8" priority="5" operator="greaterThan">
      <formula>0</formula>
    </cfRule>
  </conditionalFormatting>
  <conditionalFormatting sqref="CQ11:CW11">
    <cfRule type="cellIs" dxfId="7" priority="4" operator="greaterThan">
      <formula>0</formula>
    </cfRule>
  </conditionalFormatting>
  <conditionalFormatting sqref="CZ5:DF5">
    <cfRule type="cellIs" dxfId="6" priority="123" operator="greaterThan">
      <formula>0</formula>
    </cfRule>
  </conditionalFormatting>
  <conditionalFormatting sqref="DI5:DO5">
    <cfRule type="cellIs" dxfId="5" priority="122" operator="greaterThan">
      <formula>0</formula>
    </cfRule>
  </conditionalFormatting>
  <conditionalFormatting sqref="DI8:DO18">
    <cfRule type="cellIs" dxfId="4" priority="3" operator="greaterThan">
      <formula>0</formula>
    </cfRule>
  </conditionalFormatting>
  <conditionalFormatting sqref="DI21:DO21">
    <cfRule type="cellIs" dxfId="3" priority="2" operator="greaterThan">
      <formula>0</formula>
    </cfRule>
  </conditionalFormatting>
  <conditionalFormatting sqref="DI24:DO24">
    <cfRule type="cellIs" dxfId="2" priority="1" operator="greaterThan">
      <formula>0</formula>
    </cfRule>
  </conditionalFormatting>
  <conditionalFormatting sqref="DR5:DX5">
    <cfRule type="cellIs" dxfId="1" priority="121" operator="greaterThan">
      <formula>0</formula>
    </cfRule>
  </conditionalFormatting>
  <conditionalFormatting sqref="EA5:EG5">
    <cfRule type="cellIs" dxfId="0" priority="120" operator="greaterThan">
      <formula>0</formula>
    </cfRule>
  </conditionalFormatting>
  <hyperlinks>
    <hyperlink ref="A35" r:id="rId2" xr:uid="{1FF9509F-E191-401F-BB31-EA2D771FA164}"/>
  </hyperlinks>
  <pageMargins left="0.7" right="0.7" top="0.75" bottom="0.75" header="0.3" footer="0.3"/>
  <pageSetup orientation="portrait" r:id="rId3"/>
  <legacyDrawing r:id="rId4"/>
  <tableParts count="148"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  <tablePart r:id="rId74"/>
    <tablePart r:id="rId75"/>
    <tablePart r:id="rId76"/>
    <tablePart r:id="rId77"/>
    <tablePart r:id="rId78"/>
    <tablePart r:id="rId79"/>
    <tablePart r:id="rId80"/>
    <tablePart r:id="rId81"/>
    <tablePart r:id="rId82"/>
    <tablePart r:id="rId83"/>
    <tablePart r:id="rId84"/>
    <tablePart r:id="rId85"/>
    <tablePart r:id="rId86"/>
    <tablePart r:id="rId87"/>
    <tablePart r:id="rId88"/>
    <tablePart r:id="rId89"/>
    <tablePart r:id="rId90"/>
    <tablePart r:id="rId91"/>
    <tablePart r:id="rId92"/>
    <tablePart r:id="rId93"/>
    <tablePart r:id="rId94"/>
    <tablePart r:id="rId95"/>
    <tablePart r:id="rId96"/>
    <tablePart r:id="rId97"/>
    <tablePart r:id="rId98"/>
    <tablePart r:id="rId99"/>
    <tablePart r:id="rId100"/>
    <tablePart r:id="rId101"/>
    <tablePart r:id="rId102"/>
    <tablePart r:id="rId103"/>
    <tablePart r:id="rId104"/>
    <tablePart r:id="rId105"/>
    <tablePart r:id="rId106"/>
    <tablePart r:id="rId107"/>
    <tablePart r:id="rId108"/>
    <tablePart r:id="rId109"/>
    <tablePart r:id="rId110"/>
    <tablePart r:id="rId111"/>
    <tablePart r:id="rId112"/>
    <tablePart r:id="rId113"/>
    <tablePart r:id="rId114"/>
    <tablePart r:id="rId115"/>
    <tablePart r:id="rId116"/>
    <tablePart r:id="rId117"/>
    <tablePart r:id="rId118"/>
    <tablePart r:id="rId119"/>
    <tablePart r:id="rId120"/>
    <tablePart r:id="rId121"/>
    <tablePart r:id="rId122"/>
    <tablePart r:id="rId123"/>
    <tablePart r:id="rId124"/>
    <tablePart r:id="rId125"/>
    <tablePart r:id="rId126"/>
    <tablePart r:id="rId127"/>
    <tablePart r:id="rId128"/>
    <tablePart r:id="rId129"/>
    <tablePart r:id="rId130"/>
    <tablePart r:id="rId131"/>
    <tablePart r:id="rId132"/>
    <tablePart r:id="rId133"/>
    <tablePart r:id="rId134"/>
    <tablePart r:id="rId135"/>
    <tablePart r:id="rId136"/>
    <tablePart r:id="rId137"/>
    <tablePart r:id="rId138"/>
    <tablePart r:id="rId139"/>
    <tablePart r:id="rId140"/>
    <tablePart r:id="rId141"/>
    <tablePart r:id="rId142"/>
    <tablePart r:id="rId143"/>
    <tablePart r:id="rId144"/>
    <tablePart r:id="rId145"/>
    <tablePart r:id="rId146"/>
    <tablePart r:id="rId147"/>
    <tablePart r:id="rId148"/>
    <tablePart r:id="rId149"/>
    <tablePart r:id="rId150"/>
    <tablePart r:id="rId151"/>
    <tablePart r:id="rId15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BASE</vt:lpstr>
      <vt:lpstr>EPV</vt:lpstr>
      <vt:lpstr>ENOS</vt:lpstr>
      <vt:lpstr>GUÍA NACIONAL DE VIGILANCIA2015</vt:lpstr>
      <vt:lpstr>GUÍA NACIONAL DE VIGILANCIA2022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UER Guairá</cp:lastModifiedBy>
  <dcterms:created xsi:type="dcterms:W3CDTF">2024-02-09T13:22:46Z</dcterms:created>
  <dcterms:modified xsi:type="dcterms:W3CDTF">2025-05-28T11:58:23Z</dcterms:modified>
</cp:coreProperties>
</file>