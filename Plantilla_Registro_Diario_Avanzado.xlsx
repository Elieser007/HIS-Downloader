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comments3.xml" ContentType="application/vnd.openxmlformats-officedocument.spreadsheetml.comments+xml"/>
  <Override PartName="/xl/pivotTables/pivotTable4.xml" ContentType="application/vnd.openxmlformats-officedocument.spreadsheetml.pivot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HIS-Downloader\"/>
    </mc:Choice>
  </mc:AlternateContent>
  <xr:revisionPtr revIDLastSave="0" documentId="13_ncr:1_{2F504085-CEBC-403F-B4D0-AE999807581F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ASE" sheetId="1" r:id="rId1"/>
    <sheet name="EPV" sheetId="2" r:id="rId2"/>
    <sheet name="ENOS" sheetId="3" r:id="rId3"/>
    <sheet name="GUÍA NACIONAL DE VIGILANCIA2015" sheetId="6" r:id="rId4"/>
    <sheet name="GUÍA NACIONAL DE VIGILANCIA2022" sheetId="7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B5" i="3"/>
  <c r="Q81" i="3"/>
  <c r="R81" i="3"/>
  <c r="S81" i="3"/>
  <c r="T81" i="3"/>
  <c r="U81" i="3"/>
  <c r="V81" i="3"/>
  <c r="Q80" i="3"/>
  <c r="R80" i="3"/>
  <c r="S80" i="3"/>
  <c r="T80" i="3"/>
  <c r="U80" i="3"/>
  <c r="V80" i="3"/>
  <c r="DN24" i="7"/>
  <c r="DM24" i="7"/>
  <c r="DL24" i="7"/>
  <c r="DK24" i="7"/>
  <c r="DJ24" i="7"/>
  <c r="DI24" i="7"/>
  <c r="DN21" i="7"/>
  <c r="DM21" i="7"/>
  <c r="DL21" i="7"/>
  <c r="DK21" i="7"/>
  <c r="DJ21" i="7"/>
  <c r="DI21" i="7"/>
  <c r="DI10" i="7"/>
  <c r="DI11" i="7"/>
  <c r="DI12" i="7"/>
  <c r="DI13" i="7"/>
  <c r="DI14" i="7"/>
  <c r="DI15" i="7"/>
  <c r="DI16" i="7"/>
  <c r="DI17" i="7"/>
  <c r="DI18" i="7"/>
  <c r="DJ10" i="7"/>
  <c r="DJ11" i="7"/>
  <c r="DJ12" i="7"/>
  <c r="DJ13" i="7"/>
  <c r="DJ14" i="7"/>
  <c r="DJ15" i="7"/>
  <c r="DJ16" i="7"/>
  <c r="DJ17" i="7"/>
  <c r="DJ18" i="7"/>
  <c r="DK10" i="7"/>
  <c r="DK11" i="7"/>
  <c r="DK12" i="7"/>
  <c r="DK13" i="7"/>
  <c r="DK14" i="7"/>
  <c r="DK15" i="7"/>
  <c r="DK16" i="7"/>
  <c r="DK17" i="7"/>
  <c r="DK18" i="7"/>
  <c r="DL10" i="7"/>
  <c r="DL11" i="7"/>
  <c r="DL12" i="7"/>
  <c r="DL13" i="7"/>
  <c r="DL14" i="7"/>
  <c r="DL15" i="7"/>
  <c r="DL16" i="7"/>
  <c r="DL17" i="7"/>
  <c r="DL18" i="7"/>
  <c r="DM10" i="7"/>
  <c r="DM11" i="7"/>
  <c r="DM12" i="7"/>
  <c r="DM13" i="7"/>
  <c r="DM14" i="7"/>
  <c r="DM15" i="7"/>
  <c r="DM16" i="7"/>
  <c r="DM17" i="7"/>
  <c r="DM18" i="7"/>
  <c r="DN10" i="7"/>
  <c r="DN11" i="7"/>
  <c r="DN12" i="7"/>
  <c r="DN13" i="7"/>
  <c r="DN14" i="7"/>
  <c r="DN15" i="7"/>
  <c r="DN16" i="7"/>
  <c r="DN17" i="7"/>
  <c r="DN18" i="7"/>
  <c r="DI9" i="7"/>
  <c r="DJ9" i="7"/>
  <c r="DK9" i="7"/>
  <c r="DL9" i="7"/>
  <c r="DM9" i="7"/>
  <c r="DN9" i="7"/>
  <c r="DN8" i="7"/>
  <c r="DM8" i="7"/>
  <c r="DL8" i="7"/>
  <c r="DK8" i="7"/>
  <c r="DJ8" i="7"/>
  <c r="DI8" i="7"/>
  <c r="CV11" i="7"/>
  <c r="CU11" i="7"/>
  <c r="CT11" i="7"/>
  <c r="CS11" i="7"/>
  <c r="CR11" i="7"/>
  <c r="CQ11" i="7"/>
  <c r="CV8" i="7"/>
  <c r="CU8" i="7"/>
  <c r="CT8" i="7"/>
  <c r="CS8" i="7"/>
  <c r="CR8" i="7"/>
  <c r="CQ8" i="7"/>
  <c r="CM55" i="7"/>
  <c r="CL55" i="7"/>
  <c r="CK55" i="7"/>
  <c r="CJ55" i="7"/>
  <c r="CI55" i="7"/>
  <c r="CH55" i="7"/>
  <c r="CM54" i="7"/>
  <c r="CL54" i="7"/>
  <c r="CK54" i="7"/>
  <c r="CJ54" i="7"/>
  <c r="CI54" i="7"/>
  <c r="CH54" i="7"/>
  <c r="CM53" i="7"/>
  <c r="CL53" i="7"/>
  <c r="CK53" i="7"/>
  <c r="CJ53" i="7"/>
  <c r="CI53" i="7"/>
  <c r="CH53" i="7"/>
  <c r="CM52" i="7"/>
  <c r="CL52" i="7"/>
  <c r="CK52" i="7"/>
  <c r="CJ52" i="7"/>
  <c r="CI52" i="7"/>
  <c r="CH52" i="7"/>
  <c r="CM51" i="7"/>
  <c r="CL51" i="7"/>
  <c r="CK51" i="7"/>
  <c r="CJ51" i="7"/>
  <c r="CI51" i="7"/>
  <c r="CH51" i="7"/>
  <c r="CM50" i="7"/>
  <c r="CL50" i="7"/>
  <c r="CK50" i="7"/>
  <c r="CJ50" i="7"/>
  <c r="CI50" i="7"/>
  <c r="CH50" i="7"/>
  <c r="CM49" i="7"/>
  <c r="CL49" i="7"/>
  <c r="CK49" i="7"/>
  <c r="CJ49" i="7"/>
  <c r="CI49" i="7"/>
  <c r="CH49" i="7"/>
  <c r="CM48" i="7"/>
  <c r="CL48" i="7"/>
  <c r="CK48" i="7"/>
  <c r="CJ48" i="7"/>
  <c r="CI48" i="7"/>
  <c r="CH48" i="7"/>
  <c r="CM47" i="7"/>
  <c r="CL47" i="7"/>
  <c r="CK47" i="7"/>
  <c r="CJ47" i="7"/>
  <c r="CI47" i="7"/>
  <c r="CH47" i="7"/>
  <c r="CM46" i="7"/>
  <c r="CL46" i="7"/>
  <c r="CK46" i="7"/>
  <c r="CJ46" i="7"/>
  <c r="CI46" i="7"/>
  <c r="CH46" i="7"/>
  <c r="CH35" i="7"/>
  <c r="CH36" i="7"/>
  <c r="CH37" i="7"/>
  <c r="CH38" i="7"/>
  <c r="CH39" i="7"/>
  <c r="CH40" i="7"/>
  <c r="CH41" i="7"/>
  <c r="CH42" i="7"/>
  <c r="CH43" i="7"/>
  <c r="CI35" i="7"/>
  <c r="CI36" i="7"/>
  <c r="CI37" i="7"/>
  <c r="CI38" i="7"/>
  <c r="CI39" i="7"/>
  <c r="CI40" i="7"/>
  <c r="CI41" i="7"/>
  <c r="CI42" i="7"/>
  <c r="CI43" i="7"/>
  <c r="CJ35" i="7"/>
  <c r="CJ36" i="7"/>
  <c r="CJ37" i="7"/>
  <c r="CJ38" i="7"/>
  <c r="CJ39" i="7"/>
  <c r="CJ40" i="7"/>
  <c r="CJ41" i="7"/>
  <c r="CJ42" i="7"/>
  <c r="CJ43" i="7"/>
  <c r="CK35" i="7"/>
  <c r="CK36" i="7"/>
  <c r="CK37" i="7"/>
  <c r="CK38" i="7"/>
  <c r="CK39" i="7"/>
  <c r="CK40" i="7"/>
  <c r="CK41" i="7"/>
  <c r="CK42" i="7"/>
  <c r="CK43" i="7"/>
  <c r="CL35" i="7"/>
  <c r="CL36" i="7"/>
  <c r="CL37" i="7"/>
  <c r="CL38" i="7"/>
  <c r="CL39" i="7"/>
  <c r="CL40" i="7"/>
  <c r="CL41" i="7"/>
  <c r="CL42" i="7"/>
  <c r="CL43" i="7"/>
  <c r="CM35" i="7"/>
  <c r="CM36" i="7"/>
  <c r="CM37" i="7"/>
  <c r="CM38" i="7"/>
  <c r="CM39" i="7"/>
  <c r="CM40" i="7"/>
  <c r="CM41" i="7"/>
  <c r="CM42" i="7"/>
  <c r="CM43" i="7"/>
  <c r="CM34" i="7"/>
  <c r="CL34" i="7"/>
  <c r="CK34" i="7"/>
  <c r="CJ34" i="7"/>
  <c r="CI34" i="7"/>
  <c r="CH34" i="7"/>
  <c r="CM31" i="7"/>
  <c r="CL31" i="7"/>
  <c r="CK31" i="7"/>
  <c r="CJ31" i="7"/>
  <c r="CI31" i="7"/>
  <c r="CH31" i="7"/>
  <c r="CM28" i="7"/>
  <c r="CL28" i="7"/>
  <c r="CK28" i="7"/>
  <c r="CJ28" i="7"/>
  <c r="CI28" i="7"/>
  <c r="CH28" i="7"/>
  <c r="CM27" i="7"/>
  <c r="CL27" i="7"/>
  <c r="CK27" i="7"/>
  <c r="CJ27" i="7"/>
  <c r="CI27" i="7"/>
  <c r="CH27" i="7"/>
  <c r="CM26" i="7"/>
  <c r="CL26" i="7"/>
  <c r="CK26" i="7"/>
  <c r="CJ26" i="7"/>
  <c r="CI26" i="7"/>
  <c r="CH26" i="7"/>
  <c r="CM25" i="7"/>
  <c r="CL25" i="7"/>
  <c r="CK25" i="7"/>
  <c r="CJ25" i="7"/>
  <c r="CI25" i="7"/>
  <c r="CH25" i="7"/>
  <c r="CM24" i="7"/>
  <c r="CL24" i="7"/>
  <c r="CK24" i="7"/>
  <c r="CJ24" i="7"/>
  <c r="CI24" i="7"/>
  <c r="CH24" i="7"/>
  <c r="CM23" i="7"/>
  <c r="CL23" i="7"/>
  <c r="CK23" i="7"/>
  <c r="CJ23" i="7"/>
  <c r="CI23" i="7"/>
  <c r="CH23" i="7"/>
  <c r="CM22" i="7"/>
  <c r="CL22" i="7"/>
  <c r="CK22" i="7"/>
  <c r="CJ22" i="7"/>
  <c r="CI22" i="7"/>
  <c r="CH22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I6" i="7"/>
  <c r="CI7" i="7"/>
  <c r="CI8" i="7"/>
  <c r="CI9" i="7"/>
  <c r="CI10" i="7"/>
  <c r="CI11" i="7"/>
  <c r="CI12" i="7"/>
  <c r="CI13" i="7"/>
  <c r="CI14" i="7"/>
  <c r="CI15" i="7"/>
  <c r="CI16" i="7"/>
  <c r="CI17" i="7"/>
  <c r="CI18" i="7"/>
  <c r="CI19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K6" i="7"/>
  <c r="CK7" i="7"/>
  <c r="CK8" i="7"/>
  <c r="CK9" i="7"/>
  <c r="CK10" i="7"/>
  <c r="CK11" i="7"/>
  <c r="CK12" i="7"/>
  <c r="CK13" i="7"/>
  <c r="CK14" i="7"/>
  <c r="CK15" i="7"/>
  <c r="CK16" i="7"/>
  <c r="CK17" i="7"/>
  <c r="CK18" i="7"/>
  <c r="CK19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M6" i="7"/>
  <c r="CM7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D11" i="7"/>
  <c r="CC11" i="7"/>
  <c r="CB11" i="7"/>
  <c r="CA11" i="7"/>
  <c r="BZ11" i="7"/>
  <c r="BY11" i="7"/>
  <c r="CD8" i="7"/>
  <c r="CC8" i="7"/>
  <c r="CB8" i="7"/>
  <c r="CA8" i="7"/>
  <c r="BZ8" i="7"/>
  <c r="BY8" i="7"/>
  <c r="BU77" i="7"/>
  <c r="BT77" i="7"/>
  <c r="BS77" i="7"/>
  <c r="BR77" i="7"/>
  <c r="BQ77" i="7"/>
  <c r="BP77" i="7"/>
  <c r="BU76" i="7"/>
  <c r="BT76" i="7"/>
  <c r="BS76" i="7"/>
  <c r="BR76" i="7"/>
  <c r="BQ76" i="7"/>
  <c r="BP76" i="7"/>
  <c r="BU75" i="7"/>
  <c r="BT75" i="7"/>
  <c r="BS75" i="7"/>
  <c r="BR75" i="7"/>
  <c r="BQ75" i="7"/>
  <c r="BP75" i="7"/>
  <c r="BU74" i="7"/>
  <c r="BT74" i="7"/>
  <c r="BS74" i="7"/>
  <c r="BR74" i="7"/>
  <c r="BQ74" i="7"/>
  <c r="BP74" i="7"/>
  <c r="BU73" i="7"/>
  <c r="BT73" i="7"/>
  <c r="BS73" i="7"/>
  <c r="BR73" i="7"/>
  <c r="BQ73" i="7"/>
  <c r="BP73" i="7"/>
  <c r="BU72" i="7"/>
  <c r="BT72" i="7"/>
  <c r="BS72" i="7"/>
  <c r="BR72" i="7"/>
  <c r="BQ72" i="7"/>
  <c r="BP72" i="7"/>
  <c r="BP69" i="7"/>
  <c r="BQ69" i="7"/>
  <c r="BR69" i="7"/>
  <c r="BS69" i="7"/>
  <c r="BT69" i="7"/>
  <c r="BU69" i="7"/>
  <c r="BP68" i="7"/>
  <c r="BQ68" i="7"/>
  <c r="BR68" i="7"/>
  <c r="BS68" i="7"/>
  <c r="BT68" i="7"/>
  <c r="BU68" i="7"/>
  <c r="BP67" i="7"/>
  <c r="BQ67" i="7"/>
  <c r="BR67" i="7"/>
  <c r="BS67" i="7"/>
  <c r="BT67" i="7"/>
  <c r="BU67" i="7"/>
  <c r="BP66" i="7"/>
  <c r="BQ66" i="7"/>
  <c r="BR66" i="7"/>
  <c r="BS66" i="7"/>
  <c r="BT66" i="7"/>
  <c r="BU66" i="7"/>
  <c r="BP65" i="7"/>
  <c r="BQ65" i="7"/>
  <c r="BR65" i="7"/>
  <c r="BS65" i="7"/>
  <c r="BT65" i="7"/>
  <c r="BU65" i="7"/>
  <c r="BP64" i="7"/>
  <c r="BQ64" i="7"/>
  <c r="BR64" i="7"/>
  <c r="BS64" i="7"/>
  <c r="BT64" i="7"/>
  <c r="BU64" i="7"/>
  <c r="BP63" i="7"/>
  <c r="BQ63" i="7"/>
  <c r="BR63" i="7"/>
  <c r="BS63" i="7"/>
  <c r="BT63" i="7"/>
  <c r="BU63" i="7"/>
  <c r="BP62" i="7"/>
  <c r="BQ62" i="7"/>
  <c r="BR62" i="7"/>
  <c r="BS62" i="7"/>
  <c r="BT62" i="7"/>
  <c r="BU62" i="7"/>
  <c r="BU61" i="7"/>
  <c r="BT61" i="7"/>
  <c r="BS61" i="7"/>
  <c r="BR61" i="7"/>
  <c r="BQ61" i="7"/>
  <c r="BP61" i="7"/>
  <c r="BU58" i="7"/>
  <c r="BT58" i="7"/>
  <c r="BS58" i="7"/>
  <c r="BR58" i="7"/>
  <c r="BQ58" i="7"/>
  <c r="BP58" i="7"/>
  <c r="BU55" i="7"/>
  <c r="BT55" i="7"/>
  <c r="BS55" i="7"/>
  <c r="BR55" i="7"/>
  <c r="BQ55" i="7"/>
  <c r="BP55" i="7"/>
  <c r="BU52" i="7"/>
  <c r="BT52" i="7"/>
  <c r="BS52" i="7"/>
  <c r="BR52" i="7"/>
  <c r="BQ52" i="7"/>
  <c r="BP52" i="7"/>
  <c r="BU48" i="7"/>
  <c r="BT48" i="7"/>
  <c r="BS48" i="7"/>
  <c r="BR48" i="7"/>
  <c r="BQ48" i="7"/>
  <c r="BP48" i="7"/>
  <c r="BU45" i="7"/>
  <c r="BT45" i="7"/>
  <c r="BS45" i="7"/>
  <c r="BR45" i="7"/>
  <c r="BQ45" i="7"/>
  <c r="BP45" i="7"/>
  <c r="BU41" i="7"/>
  <c r="BT41" i="7"/>
  <c r="BS41" i="7"/>
  <c r="BR41" i="7"/>
  <c r="BQ41" i="7"/>
  <c r="BP41" i="7"/>
  <c r="BP37" i="7"/>
  <c r="BQ37" i="7"/>
  <c r="BR37" i="7"/>
  <c r="BS37" i="7"/>
  <c r="BT37" i="7"/>
  <c r="BU37" i="7"/>
  <c r="BU36" i="7"/>
  <c r="BT36" i="7"/>
  <c r="BS36" i="7"/>
  <c r="BR36" i="7"/>
  <c r="BQ36" i="7"/>
  <c r="BP36" i="7"/>
  <c r="BU35" i="7"/>
  <c r="BT35" i="7"/>
  <c r="BS35" i="7"/>
  <c r="BR35" i="7"/>
  <c r="BQ35" i="7"/>
  <c r="BP35" i="7"/>
  <c r="BU34" i="7"/>
  <c r="BT34" i="7"/>
  <c r="BS34" i="7"/>
  <c r="BR34" i="7"/>
  <c r="BQ34" i="7"/>
  <c r="BP34" i="7"/>
  <c r="BU33" i="7"/>
  <c r="BT33" i="7"/>
  <c r="BS33" i="7"/>
  <c r="BR33" i="7"/>
  <c r="BQ33" i="7"/>
  <c r="BP33" i="7"/>
  <c r="BU32" i="7"/>
  <c r="BT32" i="7"/>
  <c r="BS32" i="7"/>
  <c r="BR32" i="7"/>
  <c r="BQ32" i="7"/>
  <c r="BP32" i="7"/>
  <c r="BU31" i="7"/>
  <c r="BT31" i="7"/>
  <c r="BS31" i="7"/>
  <c r="BR31" i="7"/>
  <c r="BQ31" i="7"/>
  <c r="BP31" i="7"/>
  <c r="BU30" i="7"/>
  <c r="BT30" i="7"/>
  <c r="BS30" i="7"/>
  <c r="BR30" i="7"/>
  <c r="BQ30" i="7"/>
  <c r="BP30" i="7"/>
  <c r="BU29" i="7"/>
  <c r="BT29" i="7"/>
  <c r="BS29" i="7"/>
  <c r="BR29" i="7"/>
  <c r="BQ29" i="7"/>
  <c r="BP29" i="7"/>
  <c r="BU28" i="7"/>
  <c r="BT28" i="7"/>
  <c r="BS28" i="7"/>
  <c r="BR28" i="7"/>
  <c r="BQ28" i="7"/>
  <c r="BP28" i="7"/>
  <c r="BU27" i="7"/>
  <c r="BT27" i="7"/>
  <c r="BS27" i="7"/>
  <c r="BR27" i="7"/>
  <c r="BQ27" i="7"/>
  <c r="BP27" i="7"/>
  <c r="BP16" i="7"/>
  <c r="BP17" i="7"/>
  <c r="BP18" i="7"/>
  <c r="BP19" i="7"/>
  <c r="BP20" i="7"/>
  <c r="BP21" i="7"/>
  <c r="BP22" i="7"/>
  <c r="BP23" i="7"/>
  <c r="BP24" i="7"/>
  <c r="BQ16" i="7"/>
  <c r="BQ17" i="7"/>
  <c r="BQ18" i="7"/>
  <c r="BQ19" i="7"/>
  <c r="BQ20" i="7"/>
  <c r="BQ21" i="7"/>
  <c r="BQ22" i="7"/>
  <c r="BQ23" i="7"/>
  <c r="BQ24" i="7"/>
  <c r="BR16" i="7"/>
  <c r="BR17" i="7"/>
  <c r="BR18" i="7"/>
  <c r="BR19" i="7"/>
  <c r="BR20" i="7"/>
  <c r="BR21" i="7"/>
  <c r="BR22" i="7"/>
  <c r="BR23" i="7"/>
  <c r="BR24" i="7"/>
  <c r="BS16" i="7"/>
  <c r="BS17" i="7"/>
  <c r="BS18" i="7"/>
  <c r="BS19" i="7"/>
  <c r="BS20" i="7"/>
  <c r="BS21" i="7"/>
  <c r="BS22" i="7"/>
  <c r="BS23" i="7"/>
  <c r="BS24" i="7"/>
  <c r="BT16" i="7"/>
  <c r="BT17" i="7"/>
  <c r="BT18" i="7"/>
  <c r="BT19" i="7"/>
  <c r="BT20" i="7"/>
  <c r="BT21" i="7"/>
  <c r="BT22" i="7"/>
  <c r="BT23" i="7"/>
  <c r="BT24" i="7"/>
  <c r="BU16" i="7"/>
  <c r="BU17" i="7"/>
  <c r="BU18" i="7"/>
  <c r="BU19" i="7"/>
  <c r="BU20" i="7"/>
  <c r="BU21" i="7"/>
  <c r="BU22" i="7"/>
  <c r="BU23" i="7"/>
  <c r="BU24" i="7"/>
  <c r="BU15" i="7"/>
  <c r="BT15" i="7"/>
  <c r="BS15" i="7"/>
  <c r="BR15" i="7"/>
  <c r="BQ15" i="7"/>
  <c r="BP15" i="7"/>
  <c r="BU11" i="7"/>
  <c r="BT11" i="7"/>
  <c r="BS11" i="7"/>
  <c r="BR11" i="7"/>
  <c r="BQ11" i="7"/>
  <c r="BP11" i="7"/>
  <c r="BU8" i="7"/>
  <c r="BT8" i="7"/>
  <c r="BS8" i="7"/>
  <c r="BR8" i="7"/>
  <c r="BQ8" i="7"/>
  <c r="BP8" i="7"/>
  <c r="BL76" i="7"/>
  <c r="BK76" i="7"/>
  <c r="BJ76" i="7"/>
  <c r="BI76" i="7"/>
  <c r="BH76" i="7"/>
  <c r="BG76" i="7"/>
  <c r="BL73" i="7"/>
  <c r="BK73" i="7"/>
  <c r="BJ73" i="7"/>
  <c r="BI73" i="7"/>
  <c r="BH73" i="7"/>
  <c r="BG73" i="7"/>
  <c r="BL70" i="7"/>
  <c r="BK70" i="7"/>
  <c r="BJ70" i="7"/>
  <c r="BI70" i="7"/>
  <c r="BH70" i="7"/>
  <c r="BG70" i="7"/>
  <c r="BG64" i="7"/>
  <c r="BG65" i="7"/>
  <c r="BG66" i="7"/>
  <c r="BG67" i="7"/>
  <c r="BH64" i="7"/>
  <c r="BH65" i="7"/>
  <c r="BH66" i="7"/>
  <c r="BH67" i="7"/>
  <c r="BI64" i="7"/>
  <c r="BI65" i="7"/>
  <c r="BI66" i="7"/>
  <c r="BI67" i="7"/>
  <c r="BJ64" i="7"/>
  <c r="BJ65" i="7"/>
  <c r="BJ66" i="7"/>
  <c r="BJ67" i="7"/>
  <c r="BK64" i="7"/>
  <c r="BK65" i="7"/>
  <c r="BK66" i="7"/>
  <c r="BK67" i="7"/>
  <c r="BL64" i="7"/>
  <c r="BL65" i="7"/>
  <c r="BL66" i="7"/>
  <c r="BL67" i="7"/>
  <c r="BL63" i="7"/>
  <c r="BK63" i="7"/>
  <c r="BJ63" i="7"/>
  <c r="BI63" i="7"/>
  <c r="BH63" i="7"/>
  <c r="BG63" i="7"/>
  <c r="BL60" i="7"/>
  <c r="BK60" i="7"/>
  <c r="BJ60" i="7"/>
  <c r="BI60" i="7"/>
  <c r="BH60" i="7"/>
  <c r="BG60" i="7"/>
  <c r="BL57" i="7"/>
  <c r="BK57" i="7"/>
  <c r="BJ57" i="7"/>
  <c r="BI57" i="7"/>
  <c r="BH57" i="7"/>
  <c r="BG57" i="7"/>
  <c r="BL53" i="7"/>
  <c r="BK53" i="7"/>
  <c r="BJ53" i="7"/>
  <c r="BI53" i="7"/>
  <c r="BH53" i="7"/>
  <c r="BG53" i="7"/>
  <c r="BL50" i="7"/>
  <c r="BK50" i="7"/>
  <c r="BJ50" i="7"/>
  <c r="BI50" i="7"/>
  <c r="BH50" i="7"/>
  <c r="BG50" i="7"/>
  <c r="BL47" i="7"/>
  <c r="BK47" i="7"/>
  <c r="BJ47" i="7"/>
  <c r="BI47" i="7"/>
  <c r="BH47" i="7"/>
  <c r="BG47" i="7"/>
  <c r="BL44" i="7"/>
  <c r="BK44" i="7"/>
  <c r="BJ44" i="7"/>
  <c r="BI44" i="7"/>
  <c r="BH44" i="7"/>
  <c r="BG44" i="7"/>
  <c r="BL41" i="7"/>
  <c r="BK41" i="7"/>
  <c r="BJ41" i="7"/>
  <c r="BI41" i="7"/>
  <c r="BH41" i="7"/>
  <c r="BG41" i="7"/>
  <c r="BL40" i="7"/>
  <c r="BK40" i="7"/>
  <c r="BJ40" i="7"/>
  <c r="BI40" i="7"/>
  <c r="BH40" i="7"/>
  <c r="BG40" i="7"/>
  <c r="BL37" i="7"/>
  <c r="BK37" i="7"/>
  <c r="BJ37" i="7"/>
  <c r="BI37" i="7"/>
  <c r="BH37" i="7"/>
  <c r="BG37" i="7"/>
  <c r="BL36" i="7"/>
  <c r="BK36" i="7"/>
  <c r="BJ36" i="7"/>
  <c r="BI36" i="7"/>
  <c r="BH36" i="7"/>
  <c r="BG36" i="7"/>
  <c r="BG32" i="7"/>
  <c r="BG33" i="7"/>
  <c r="BH32" i="7"/>
  <c r="BH33" i="7"/>
  <c r="BI32" i="7"/>
  <c r="BI33" i="7"/>
  <c r="BJ32" i="7"/>
  <c r="BJ33" i="7"/>
  <c r="BK32" i="7"/>
  <c r="BK33" i="7"/>
  <c r="BL32" i="7"/>
  <c r="BL33" i="7"/>
  <c r="BL31" i="7"/>
  <c r="BK31" i="7"/>
  <c r="BJ31" i="7"/>
  <c r="BI31" i="7"/>
  <c r="BH31" i="7"/>
  <c r="BG31" i="7"/>
  <c r="BL28" i="7"/>
  <c r="BK28" i="7"/>
  <c r="BJ28" i="7"/>
  <c r="BI28" i="7"/>
  <c r="BH28" i="7"/>
  <c r="BG28" i="7"/>
  <c r="BL25" i="7"/>
  <c r="BK25" i="7"/>
  <c r="BJ25" i="7"/>
  <c r="BI25" i="7"/>
  <c r="BH25" i="7"/>
  <c r="BG25" i="7"/>
  <c r="BL21" i="7"/>
  <c r="BK21" i="7"/>
  <c r="BJ21" i="7"/>
  <c r="BI21" i="7"/>
  <c r="BH21" i="7"/>
  <c r="BG21" i="7"/>
  <c r="BL18" i="7"/>
  <c r="BK18" i="7"/>
  <c r="BJ18" i="7"/>
  <c r="BI18" i="7"/>
  <c r="BH18" i="7"/>
  <c r="BG18" i="7"/>
  <c r="BL14" i="7"/>
  <c r="BK14" i="7"/>
  <c r="BJ14" i="7"/>
  <c r="BI14" i="7"/>
  <c r="BH14" i="7"/>
  <c r="BG14" i="7"/>
  <c r="BL11" i="7"/>
  <c r="BK11" i="7"/>
  <c r="BJ11" i="7"/>
  <c r="BI11" i="7"/>
  <c r="BH11" i="7"/>
  <c r="BG11" i="7"/>
  <c r="BL8" i="7"/>
  <c r="BK8" i="7"/>
  <c r="BJ8" i="7"/>
  <c r="BI8" i="7"/>
  <c r="BH8" i="7"/>
  <c r="BG8" i="7"/>
  <c r="BC21" i="7"/>
  <c r="BB21" i="7"/>
  <c r="BA21" i="7"/>
  <c r="AZ21" i="7"/>
  <c r="AY21" i="7"/>
  <c r="AX21" i="7"/>
  <c r="AX18" i="7"/>
  <c r="AY18" i="7"/>
  <c r="AZ18" i="7"/>
  <c r="BA18" i="7"/>
  <c r="BB18" i="7"/>
  <c r="BC18" i="7"/>
  <c r="AX15" i="7"/>
  <c r="AX16" i="7"/>
  <c r="AX17" i="7"/>
  <c r="AY15" i="7"/>
  <c r="AY16" i="7"/>
  <c r="AY17" i="7"/>
  <c r="AZ15" i="7"/>
  <c r="AZ16" i="7"/>
  <c r="AZ17" i="7"/>
  <c r="BA15" i="7"/>
  <c r="BA16" i="7"/>
  <c r="BA17" i="7"/>
  <c r="BB15" i="7"/>
  <c r="BB16" i="7"/>
  <c r="BB17" i="7"/>
  <c r="BC15" i="7"/>
  <c r="BC16" i="7"/>
  <c r="BC17" i="7"/>
  <c r="AX14" i="7"/>
  <c r="AY14" i="7"/>
  <c r="AZ14" i="7"/>
  <c r="BA14" i="7"/>
  <c r="BB14" i="7"/>
  <c r="BC14" i="7"/>
  <c r="BC13" i="7"/>
  <c r="BB13" i="7"/>
  <c r="BA13" i="7"/>
  <c r="AZ13" i="7"/>
  <c r="AY13" i="7"/>
  <c r="AX13" i="7"/>
  <c r="BC10" i="7"/>
  <c r="BB10" i="7"/>
  <c r="BA10" i="7"/>
  <c r="AZ10" i="7"/>
  <c r="AY10" i="7"/>
  <c r="AX10" i="7"/>
  <c r="AT49" i="7"/>
  <c r="AS49" i="7"/>
  <c r="AR49" i="7"/>
  <c r="AQ49" i="7"/>
  <c r="AP49" i="7"/>
  <c r="AO49" i="7"/>
  <c r="AT46" i="7"/>
  <c r="AS46" i="7"/>
  <c r="AR46" i="7"/>
  <c r="AQ46" i="7"/>
  <c r="AP46" i="7"/>
  <c r="AO46" i="7"/>
  <c r="AT43" i="7"/>
  <c r="AS43" i="7"/>
  <c r="AR43" i="7"/>
  <c r="AQ43" i="7"/>
  <c r="AP43" i="7"/>
  <c r="AO43" i="7"/>
  <c r="AT40" i="7"/>
  <c r="AS40" i="7"/>
  <c r="AR40" i="7"/>
  <c r="AQ40" i="7"/>
  <c r="AP40" i="7"/>
  <c r="AO40" i="7"/>
  <c r="AT36" i="7"/>
  <c r="AS36" i="7"/>
  <c r="AR36" i="7"/>
  <c r="AQ36" i="7"/>
  <c r="AP36" i="7"/>
  <c r="AO36" i="7"/>
  <c r="AT33" i="7"/>
  <c r="AS33" i="7"/>
  <c r="AR33" i="7"/>
  <c r="AQ33" i="7"/>
  <c r="AP33" i="7"/>
  <c r="AO33" i="7"/>
  <c r="AT30" i="7"/>
  <c r="AS30" i="7"/>
  <c r="AR30" i="7"/>
  <c r="AQ30" i="7"/>
  <c r="AP30" i="7"/>
  <c r="AO30" i="7"/>
  <c r="AT29" i="7"/>
  <c r="AS29" i="7"/>
  <c r="AR29" i="7"/>
  <c r="AQ29" i="7"/>
  <c r="AP29" i="7"/>
  <c r="AO29" i="7"/>
  <c r="AT25" i="7"/>
  <c r="AS25" i="7"/>
  <c r="AR25" i="7"/>
  <c r="AQ25" i="7"/>
  <c r="AP25" i="7"/>
  <c r="AO25" i="7"/>
  <c r="AO22" i="7"/>
  <c r="AP22" i="7"/>
  <c r="AQ22" i="7"/>
  <c r="AR22" i="7"/>
  <c r="AS22" i="7"/>
  <c r="AT22" i="7"/>
  <c r="AT21" i="7"/>
  <c r="AS21" i="7"/>
  <c r="AR21" i="7"/>
  <c r="AQ21" i="7"/>
  <c r="AP21" i="7"/>
  <c r="AO21" i="7"/>
  <c r="AO17" i="7"/>
  <c r="AP17" i="7"/>
  <c r="AQ17" i="7"/>
  <c r="AR17" i="7"/>
  <c r="AS17" i="7"/>
  <c r="AT17" i="7"/>
  <c r="AO16" i="7"/>
  <c r="AP16" i="7"/>
  <c r="AQ16" i="7"/>
  <c r="AR16" i="7"/>
  <c r="AS16" i="7"/>
  <c r="AT16" i="7"/>
  <c r="AT15" i="7"/>
  <c r="AS15" i="7"/>
  <c r="AR15" i="7"/>
  <c r="AQ15" i="7"/>
  <c r="AP15" i="7"/>
  <c r="AO15" i="7"/>
  <c r="AT12" i="7"/>
  <c r="AS12" i="7"/>
  <c r="AR12" i="7"/>
  <c r="AQ12" i="7"/>
  <c r="AP12" i="7"/>
  <c r="AO12" i="7"/>
  <c r="AT9" i="7"/>
  <c r="AS9" i="7"/>
  <c r="AR9" i="7"/>
  <c r="AQ9" i="7"/>
  <c r="AP9" i="7"/>
  <c r="AO9" i="7"/>
  <c r="B33" i="2"/>
  <c r="C33" i="2"/>
  <c r="D33" i="2"/>
  <c r="E33" i="2"/>
  <c r="F33" i="2"/>
  <c r="G33" i="2"/>
  <c r="AK117" i="7"/>
  <c r="AJ117" i="7"/>
  <c r="AI117" i="7"/>
  <c r="AH117" i="7"/>
  <c r="AG117" i="7"/>
  <c r="AF117" i="7"/>
  <c r="AF114" i="7"/>
  <c r="AG114" i="7"/>
  <c r="AH114" i="7"/>
  <c r="AI114" i="7"/>
  <c r="AJ114" i="7"/>
  <c r="AK114" i="7"/>
  <c r="AF113" i="7"/>
  <c r="AG113" i="7"/>
  <c r="AH113" i="7"/>
  <c r="AI113" i="7"/>
  <c r="AJ113" i="7"/>
  <c r="AK113" i="7"/>
  <c r="AF112" i="7"/>
  <c r="AG112" i="7"/>
  <c r="AH112" i="7"/>
  <c r="AI112" i="7"/>
  <c r="AJ112" i="7"/>
  <c r="AK112" i="7"/>
  <c r="AK111" i="7"/>
  <c r="AJ111" i="7"/>
  <c r="AI111" i="7"/>
  <c r="AH111" i="7"/>
  <c r="AG111" i="7"/>
  <c r="AF111" i="7"/>
  <c r="AK108" i="7"/>
  <c r="AJ108" i="7"/>
  <c r="AI108" i="7"/>
  <c r="AH108" i="7"/>
  <c r="AG108" i="7"/>
  <c r="AF108" i="7"/>
  <c r="AK107" i="7"/>
  <c r="AJ107" i="7"/>
  <c r="AI107" i="7"/>
  <c r="AH107" i="7"/>
  <c r="AG107" i="7"/>
  <c r="AF107" i="7"/>
  <c r="AF104" i="7"/>
  <c r="AG104" i="7"/>
  <c r="AH104" i="7"/>
  <c r="AI104" i="7"/>
  <c r="AJ104" i="7"/>
  <c r="AK104" i="7"/>
  <c r="AK103" i="7"/>
  <c r="AJ103" i="7"/>
  <c r="AI103" i="7"/>
  <c r="AH103" i="7"/>
  <c r="AG103" i="7"/>
  <c r="AF103" i="7"/>
  <c r="AK99" i="7"/>
  <c r="AJ99" i="7"/>
  <c r="AI99" i="7"/>
  <c r="AH99" i="7"/>
  <c r="AG99" i="7"/>
  <c r="AF99" i="7"/>
  <c r="AK96" i="7"/>
  <c r="AJ96" i="7"/>
  <c r="AI96" i="7"/>
  <c r="AH96" i="7"/>
  <c r="AG96" i="7"/>
  <c r="AF96" i="7"/>
  <c r="AK93" i="7"/>
  <c r="AJ93" i="7"/>
  <c r="AI93" i="7"/>
  <c r="AH93" i="7"/>
  <c r="AG93" i="7"/>
  <c r="AF93" i="7"/>
  <c r="AK90" i="7"/>
  <c r="AJ90" i="7"/>
  <c r="AI90" i="7"/>
  <c r="AH90" i="7"/>
  <c r="AG90" i="7"/>
  <c r="AF90" i="7"/>
  <c r="AF86" i="7"/>
  <c r="AG86" i="7"/>
  <c r="AH86" i="7"/>
  <c r="AI86" i="7"/>
  <c r="AJ86" i="7"/>
  <c r="AK86" i="7"/>
  <c r="AF85" i="7"/>
  <c r="AG85" i="7"/>
  <c r="AH85" i="7"/>
  <c r="AI85" i="7"/>
  <c r="AJ85" i="7"/>
  <c r="AK85" i="7"/>
  <c r="AK84" i="7"/>
  <c r="AJ84" i="7"/>
  <c r="AI84" i="7"/>
  <c r="AH84" i="7"/>
  <c r="AG84" i="7"/>
  <c r="AF84" i="7"/>
  <c r="AK83" i="7"/>
  <c r="AJ83" i="7"/>
  <c r="AI83" i="7"/>
  <c r="AH83" i="7"/>
  <c r="AG83" i="7"/>
  <c r="AF83" i="7"/>
  <c r="AK80" i="7"/>
  <c r="AJ80" i="7"/>
  <c r="AI80" i="7"/>
  <c r="AH80" i="7"/>
  <c r="AG80" i="7"/>
  <c r="AF80" i="7"/>
  <c r="AK79" i="7"/>
  <c r="AJ79" i="7"/>
  <c r="AI79" i="7"/>
  <c r="AH79" i="7"/>
  <c r="AG79" i="7"/>
  <c r="AF79" i="7"/>
  <c r="AK76" i="7"/>
  <c r="AJ76" i="7"/>
  <c r="AI76" i="7"/>
  <c r="AH76" i="7"/>
  <c r="AG76" i="7"/>
  <c r="AF76" i="7"/>
  <c r="AK75" i="7"/>
  <c r="AJ75" i="7"/>
  <c r="AI75" i="7"/>
  <c r="AH75" i="7"/>
  <c r="AG75" i="7"/>
  <c r="AF75" i="7"/>
  <c r="AK72" i="7"/>
  <c r="AJ72" i="7"/>
  <c r="AI72" i="7"/>
  <c r="AH72" i="7"/>
  <c r="AG72" i="7"/>
  <c r="AF72" i="7"/>
  <c r="AK71" i="7"/>
  <c r="AJ71" i="7"/>
  <c r="AI71" i="7"/>
  <c r="AH71" i="7"/>
  <c r="AG71" i="7"/>
  <c r="AF71" i="7"/>
  <c r="AF68" i="7"/>
  <c r="AG68" i="7"/>
  <c r="AH68" i="7"/>
  <c r="AI68" i="7"/>
  <c r="AJ68" i="7"/>
  <c r="AK68" i="7"/>
  <c r="AK67" i="7"/>
  <c r="AJ67" i="7"/>
  <c r="AI67" i="7"/>
  <c r="AH67" i="7"/>
  <c r="AG67" i="7"/>
  <c r="AF67" i="7"/>
  <c r="AK64" i="7"/>
  <c r="AJ64" i="7"/>
  <c r="AI64" i="7"/>
  <c r="AH64" i="7"/>
  <c r="AG64" i="7"/>
  <c r="AF64" i="7"/>
  <c r="AK61" i="7"/>
  <c r="AJ61" i="7"/>
  <c r="AI61" i="7"/>
  <c r="AH61" i="7"/>
  <c r="AG61" i="7"/>
  <c r="AF61" i="7"/>
  <c r="AK57" i="7"/>
  <c r="AJ57" i="7"/>
  <c r="AI57" i="7"/>
  <c r="AH57" i="7"/>
  <c r="AG57" i="7"/>
  <c r="AF57" i="7"/>
  <c r="AK54" i="7"/>
  <c r="AJ54" i="7"/>
  <c r="AI54" i="7"/>
  <c r="AH54" i="7"/>
  <c r="AG54" i="7"/>
  <c r="AF54" i="7"/>
  <c r="AK51" i="7"/>
  <c r="AJ51" i="7"/>
  <c r="AI51" i="7"/>
  <c r="AH51" i="7"/>
  <c r="AG51" i="7"/>
  <c r="AF51" i="7"/>
  <c r="AF48" i="7"/>
  <c r="AG48" i="7"/>
  <c r="AH48" i="7"/>
  <c r="AI48" i="7"/>
  <c r="AJ48" i="7"/>
  <c r="AK48" i="7"/>
  <c r="AF47" i="7"/>
  <c r="AG47" i="7"/>
  <c r="AH47" i="7"/>
  <c r="AI47" i="7"/>
  <c r="AJ47" i="7"/>
  <c r="AK47" i="7"/>
  <c r="AF46" i="7"/>
  <c r="AG46" i="7"/>
  <c r="AH46" i="7"/>
  <c r="AI46" i="7"/>
  <c r="AJ46" i="7"/>
  <c r="AK46" i="7"/>
  <c r="AF45" i="7"/>
  <c r="AG45" i="7"/>
  <c r="AH45" i="7"/>
  <c r="AI45" i="7"/>
  <c r="AJ45" i="7"/>
  <c r="AK45" i="7"/>
  <c r="AK44" i="7"/>
  <c r="AJ44" i="7"/>
  <c r="AI44" i="7"/>
  <c r="AH44" i="7"/>
  <c r="AG44" i="7"/>
  <c r="AF44" i="7"/>
  <c r="AK43" i="7"/>
  <c r="AJ43" i="7"/>
  <c r="AI43" i="7"/>
  <c r="AH43" i="7"/>
  <c r="AG43" i="7"/>
  <c r="AF43" i="7"/>
  <c r="AF40" i="7"/>
  <c r="AG40" i="7"/>
  <c r="AH40" i="7"/>
  <c r="AI40" i="7"/>
  <c r="AJ40" i="7"/>
  <c r="AK40" i="7"/>
  <c r="AK39" i="7"/>
  <c r="AJ39" i="7"/>
  <c r="AI39" i="7"/>
  <c r="AH39" i="7"/>
  <c r="AG39" i="7"/>
  <c r="AF39" i="7"/>
  <c r="AF35" i="7"/>
  <c r="AG35" i="7"/>
  <c r="AH35" i="7"/>
  <c r="AI35" i="7"/>
  <c r="AJ35" i="7"/>
  <c r="AK35" i="7"/>
  <c r="AF34" i="7"/>
  <c r="AG34" i="7"/>
  <c r="AH34" i="7"/>
  <c r="AI34" i="7"/>
  <c r="AJ34" i="7"/>
  <c r="AK34" i="7"/>
  <c r="AK33" i="7"/>
  <c r="AJ33" i="7"/>
  <c r="AI33" i="7"/>
  <c r="AH33" i="7"/>
  <c r="AG33" i="7"/>
  <c r="AF33" i="7"/>
  <c r="AK30" i="7"/>
  <c r="AJ30" i="7"/>
  <c r="AI30" i="7"/>
  <c r="AH30" i="7"/>
  <c r="AG30" i="7"/>
  <c r="AF30" i="7"/>
  <c r="AK26" i="7"/>
  <c r="AJ26" i="7"/>
  <c r="AI26" i="7"/>
  <c r="AH26" i="7"/>
  <c r="AG26" i="7"/>
  <c r="AF26" i="7"/>
  <c r="AK23" i="7"/>
  <c r="AJ23" i="7"/>
  <c r="AI23" i="7"/>
  <c r="AH23" i="7"/>
  <c r="AG23" i="7"/>
  <c r="AF23" i="7"/>
  <c r="AK20" i="7"/>
  <c r="AJ20" i="7"/>
  <c r="AI20" i="7"/>
  <c r="AH20" i="7"/>
  <c r="AG20" i="7"/>
  <c r="AF20" i="7"/>
  <c r="AK17" i="7"/>
  <c r="AJ17" i="7"/>
  <c r="AI17" i="7"/>
  <c r="AH17" i="7"/>
  <c r="AG17" i="7"/>
  <c r="AF17" i="7"/>
  <c r="AK13" i="7"/>
  <c r="AJ13" i="7"/>
  <c r="AI13" i="7"/>
  <c r="AH13" i="7"/>
  <c r="AG13" i="7"/>
  <c r="AF13" i="7"/>
  <c r="AF9" i="7"/>
  <c r="AG9" i="7"/>
  <c r="AH9" i="7"/>
  <c r="AI9" i="7"/>
  <c r="AJ9" i="7"/>
  <c r="AK9" i="7"/>
  <c r="AK8" i="7"/>
  <c r="AJ8" i="7"/>
  <c r="AI8" i="7"/>
  <c r="AH8" i="7"/>
  <c r="AG8" i="7"/>
  <c r="AF8" i="7"/>
  <c r="AB113" i="7"/>
  <c r="AA113" i="7"/>
  <c r="Z113" i="7"/>
  <c r="Y113" i="7"/>
  <c r="X113" i="7"/>
  <c r="W113" i="7"/>
  <c r="AB110" i="7"/>
  <c r="AA110" i="7"/>
  <c r="Z110" i="7"/>
  <c r="Y110" i="7"/>
  <c r="X110" i="7"/>
  <c r="W110" i="7"/>
  <c r="AB106" i="7"/>
  <c r="AA106" i="7"/>
  <c r="Z106" i="7"/>
  <c r="Y106" i="7"/>
  <c r="X106" i="7"/>
  <c r="W106" i="7"/>
  <c r="W103" i="7"/>
  <c r="X103" i="7"/>
  <c r="Y103" i="7"/>
  <c r="Z103" i="7"/>
  <c r="AA103" i="7"/>
  <c r="AB103" i="7"/>
  <c r="AB102" i="7"/>
  <c r="AA102" i="7"/>
  <c r="Z102" i="7"/>
  <c r="Y102" i="7"/>
  <c r="X102" i="7"/>
  <c r="W102" i="7"/>
  <c r="AB98" i="7"/>
  <c r="AA98" i="7"/>
  <c r="Z98" i="7"/>
  <c r="Y98" i="7"/>
  <c r="X98" i="7"/>
  <c r="W98" i="7"/>
  <c r="AB95" i="7"/>
  <c r="AA95" i="7"/>
  <c r="Z95" i="7"/>
  <c r="Y95" i="7"/>
  <c r="X95" i="7"/>
  <c r="W95" i="7"/>
  <c r="AB92" i="7"/>
  <c r="AA92" i="7"/>
  <c r="Z92" i="7"/>
  <c r="Y92" i="7"/>
  <c r="X92" i="7"/>
  <c r="W92" i="7"/>
  <c r="AB91" i="7"/>
  <c r="AA91" i="7"/>
  <c r="Z91" i="7"/>
  <c r="Y91" i="7"/>
  <c r="X91" i="7"/>
  <c r="W91" i="7"/>
  <c r="AB90" i="7"/>
  <c r="AA90" i="7"/>
  <c r="Z90" i="7"/>
  <c r="Y90" i="7"/>
  <c r="X90" i="7"/>
  <c r="W90" i="7"/>
  <c r="AB89" i="7"/>
  <c r="AA89" i="7"/>
  <c r="Z89" i="7"/>
  <c r="Y89" i="7"/>
  <c r="X89" i="7"/>
  <c r="W89" i="7"/>
  <c r="AB88" i="7"/>
  <c r="AA88" i="7"/>
  <c r="Z88" i="7"/>
  <c r="Y88" i="7"/>
  <c r="X88" i="7"/>
  <c r="W88" i="7"/>
  <c r="AB87" i="7"/>
  <c r="AA87" i="7"/>
  <c r="Z87" i="7"/>
  <c r="Y87" i="7"/>
  <c r="X87" i="7"/>
  <c r="W87" i="7"/>
  <c r="AB86" i="7"/>
  <c r="AA86" i="7"/>
  <c r="Z86" i="7"/>
  <c r="Y86" i="7"/>
  <c r="X86" i="7"/>
  <c r="W86" i="7"/>
  <c r="AB85" i="7"/>
  <c r="AA85" i="7"/>
  <c r="Z85" i="7"/>
  <c r="Y85" i="7"/>
  <c r="X85" i="7"/>
  <c r="W85" i="7"/>
  <c r="AB81" i="7"/>
  <c r="AA81" i="7"/>
  <c r="Z81" i="7"/>
  <c r="Y81" i="7"/>
  <c r="X81" i="7"/>
  <c r="W81" i="7"/>
  <c r="AB78" i="7"/>
  <c r="AA78" i="7"/>
  <c r="Z78" i="7"/>
  <c r="Y78" i="7"/>
  <c r="X78" i="7"/>
  <c r="W78" i="7"/>
  <c r="AB75" i="7"/>
  <c r="AA75" i="7"/>
  <c r="Z75" i="7"/>
  <c r="Y75" i="7"/>
  <c r="X75" i="7"/>
  <c r="W75" i="7"/>
  <c r="AB72" i="7"/>
  <c r="AA72" i="7"/>
  <c r="Z72" i="7"/>
  <c r="Y72" i="7"/>
  <c r="X72" i="7"/>
  <c r="W72" i="7"/>
  <c r="AB69" i="7"/>
  <c r="AA69" i="7"/>
  <c r="Z69" i="7"/>
  <c r="Y69" i="7"/>
  <c r="X69" i="7"/>
  <c r="W69" i="7"/>
  <c r="W66" i="7"/>
  <c r="X66" i="7"/>
  <c r="Y66" i="7"/>
  <c r="Z66" i="7"/>
  <c r="AA66" i="7"/>
  <c r="AB66" i="7"/>
  <c r="W65" i="7"/>
  <c r="X65" i="7"/>
  <c r="Y65" i="7"/>
  <c r="Z65" i="7"/>
  <c r="AA65" i="7"/>
  <c r="AB65" i="7"/>
  <c r="AB64" i="7"/>
  <c r="AA64" i="7"/>
  <c r="Z64" i="7"/>
  <c r="Y64" i="7"/>
  <c r="X64" i="7"/>
  <c r="W64" i="7"/>
  <c r="AB63" i="7"/>
  <c r="AA63" i="7"/>
  <c r="Z63" i="7"/>
  <c r="Y63" i="7"/>
  <c r="X63" i="7"/>
  <c r="W63" i="7"/>
  <c r="AB62" i="7"/>
  <c r="AA62" i="7"/>
  <c r="Z62" i="7"/>
  <c r="Y62" i="7"/>
  <c r="X62" i="7"/>
  <c r="W62" i="7"/>
  <c r="AB61" i="7"/>
  <c r="AA61" i="7"/>
  <c r="Z61" i="7"/>
  <c r="Y61" i="7"/>
  <c r="X61" i="7"/>
  <c r="W61" i="7"/>
  <c r="AB60" i="7"/>
  <c r="AA60" i="7"/>
  <c r="Z60" i="7"/>
  <c r="Y60" i="7"/>
  <c r="X60" i="7"/>
  <c r="W60" i="7"/>
  <c r="AB59" i="7"/>
  <c r="AA59" i="7"/>
  <c r="Z59" i="7"/>
  <c r="Y59" i="7"/>
  <c r="X59" i="7"/>
  <c r="W59" i="7"/>
  <c r="AB55" i="7"/>
  <c r="AA55" i="7"/>
  <c r="Z55" i="7"/>
  <c r="Y55" i="7"/>
  <c r="X55" i="7"/>
  <c r="W55" i="7"/>
  <c r="W52" i="7"/>
  <c r="X52" i="7"/>
  <c r="Y52" i="7"/>
  <c r="Z52" i="7"/>
  <c r="AA52" i="7"/>
  <c r="AB52" i="7"/>
  <c r="W51" i="7"/>
  <c r="X51" i="7"/>
  <c r="Y51" i="7"/>
  <c r="Z51" i="7"/>
  <c r="AA51" i="7"/>
  <c r="AB51" i="7"/>
  <c r="W50" i="7"/>
  <c r="X50" i="7"/>
  <c r="Y50" i="7"/>
  <c r="Z50" i="7"/>
  <c r="AA50" i="7"/>
  <c r="AB50" i="7"/>
  <c r="W49" i="7"/>
  <c r="X49" i="7"/>
  <c r="Y49" i="7"/>
  <c r="Z49" i="7"/>
  <c r="AA49" i="7"/>
  <c r="AB49" i="7"/>
  <c r="W48" i="7"/>
  <c r="X48" i="7"/>
  <c r="Y48" i="7"/>
  <c r="Z48" i="7"/>
  <c r="AA48" i="7"/>
  <c r="AB48" i="7"/>
  <c r="AB47" i="7"/>
  <c r="AA47" i="7"/>
  <c r="Z47" i="7"/>
  <c r="Y47" i="7"/>
  <c r="X47" i="7"/>
  <c r="W47" i="7"/>
  <c r="W43" i="7"/>
  <c r="X43" i="7"/>
  <c r="Y43" i="7"/>
  <c r="Z43" i="7"/>
  <c r="AA43" i="7"/>
  <c r="AB43" i="7"/>
  <c r="W42" i="7"/>
  <c r="X42" i="7"/>
  <c r="Y42" i="7"/>
  <c r="Z42" i="7"/>
  <c r="AA42" i="7"/>
  <c r="AB42" i="7"/>
  <c r="W41" i="7"/>
  <c r="X41" i="7"/>
  <c r="Y41" i="7"/>
  <c r="Z41" i="7"/>
  <c r="AA41" i="7"/>
  <c r="AB41" i="7"/>
  <c r="W40" i="7"/>
  <c r="X40" i="7"/>
  <c r="Y40" i="7"/>
  <c r="Z40" i="7"/>
  <c r="AA40" i="7"/>
  <c r="AB40" i="7"/>
  <c r="AB39" i="7"/>
  <c r="AA39" i="7"/>
  <c r="Z39" i="7"/>
  <c r="Y39" i="7"/>
  <c r="X39" i="7"/>
  <c r="W39" i="7"/>
  <c r="AB36" i="7"/>
  <c r="AA36" i="7"/>
  <c r="Z36" i="7"/>
  <c r="Y36" i="7"/>
  <c r="X36" i="7"/>
  <c r="W36" i="7"/>
  <c r="AB32" i="7"/>
  <c r="AA32" i="7"/>
  <c r="Z32" i="7"/>
  <c r="Y32" i="7"/>
  <c r="X32" i="7"/>
  <c r="W32" i="7"/>
  <c r="W29" i="7"/>
  <c r="X29" i="7"/>
  <c r="Y29" i="7"/>
  <c r="Z29" i="7"/>
  <c r="AA29" i="7"/>
  <c r="AB29" i="7"/>
  <c r="W28" i="7"/>
  <c r="X28" i="7"/>
  <c r="Y28" i="7"/>
  <c r="Z28" i="7"/>
  <c r="AA28" i="7"/>
  <c r="AB28" i="7"/>
  <c r="AB27" i="7"/>
  <c r="AA27" i="7"/>
  <c r="Z27" i="7"/>
  <c r="Y27" i="7"/>
  <c r="X27" i="7"/>
  <c r="W27" i="7"/>
  <c r="AB26" i="7"/>
  <c r="AA26" i="7"/>
  <c r="Z26" i="7"/>
  <c r="Y26" i="7"/>
  <c r="X26" i="7"/>
  <c r="W26" i="7"/>
  <c r="AB25" i="7"/>
  <c r="AA25" i="7"/>
  <c r="Z25" i="7"/>
  <c r="Y25" i="7"/>
  <c r="X25" i="7"/>
  <c r="W25" i="7"/>
  <c r="W22" i="7"/>
  <c r="X22" i="7"/>
  <c r="Y22" i="7"/>
  <c r="Z22" i="7"/>
  <c r="AA22" i="7"/>
  <c r="AB22" i="7"/>
  <c r="W21" i="7"/>
  <c r="X21" i="7"/>
  <c r="Y21" i="7"/>
  <c r="Z21" i="7"/>
  <c r="AA21" i="7"/>
  <c r="AB21" i="7"/>
  <c r="AB20" i="7"/>
  <c r="AA20" i="7"/>
  <c r="Z20" i="7"/>
  <c r="Y20" i="7"/>
  <c r="X20" i="7"/>
  <c r="W20" i="7"/>
  <c r="AB17" i="7"/>
  <c r="AA17" i="7"/>
  <c r="Z17" i="7"/>
  <c r="Y17" i="7"/>
  <c r="X17" i="7"/>
  <c r="W17" i="7"/>
  <c r="W13" i="7"/>
  <c r="X13" i="7"/>
  <c r="Y13" i="7"/>
  <c r="Z13" i="7"/>
  <c r="AA13" i="7"/>
  <c r="AB13" i="7"/>
  <c r="W12" i="7"/>
  <c r="X12" i="7"/>
  <c r="Y12" i="7"/>
  <c r="Z12" i="7"/>
  <c r="AA12" i="7"/>
  <c r="AB12" i="7"/>
  <c r="AB11" i="7"/>
  <c r="AA11" i="7"/>
  <c r="Z11" i="7"/>
  <c r="Y11" i="7"/>
  <c r="X11" i="7"/>
  <c r="W11" i="7"/>
  <c r="AB8" i="7"/>
  <c r="AA8" i="7"/>
  <c r="Z8" i="7"/>
  <c r="Y8" i="7"/>
  <c r="X8" i="7"/>
  <c r="W8" i="7"/>
  <c r="S36" i="7"/>
  <c r="R36" i="7"/>
  <c r="Q36" i="7"/>
  <c r="P36" i="7"/>
  <c r="O36" i="7"/>
  <c r="N36" i="7"/>
  <c r="N33" i="7"/>
  <c r="O33" i="7"/>
  <c r="P33" i="7"/>
  <c r="Q33" i="7"/>
  <c r="R33" i="7"/>
  <c r="S33" i="7"/>
  <c r="S32" i="7"/>
  <c r="R32" i="7"/>
  <c r="Q32" i="7"/>
  <c r="P32" i="7"/>
  <c r="O32" i="7"/>
  <c r="N32" i="7"/>
  <c r="S31" i="7"/>
  <c r="R31" i="7"/>
  <c r="Q31" i="7"/>
  <c r="P31" i="7"/>
  <c r="O31" i="7"/>
  <c r="N31" i="7"/>
  <c r="S30" i="7"/>
  <c r="R30" i="7"/>
  <c r="Q30" i="7"/>
  <c r="P30" i="7"/>
  <c r="O30" i="7"/>
  <c r="N30" i="7"/>
  <c r="N27" i="7"/>
  <c r="O27" i="7"/>
  <c r="P27" i="7"/>
  <c r="Q27" i="7"/>
  <c r="R27" i="7"/>
  <c r="S27" i="7"/>
  <c r="N26" i="7"/>
  <c r="O26" i="7"/>
  <c r="P26" i="7"/>
  <c r="Q26" i="7"/>
  <c r="R26" i="7"/>
  <c r="S26" i="7"/>
  <c r="S25" i="7"/>
  <c r="R25" i="7"/>
  <c r="Q25" i="7"/>
  <c r="P25" i="7"/>
  <c r="O25" i="7"/>
  <c r="N25" i="7"/>
  <c r="S22" i="7"/>
  <c r="R22" i="7"/>
  <c r="Q22" i="7"/>
  <c r="P22" i="7"/>
  <c r="O22" i="7"/>
  <c r="N22" i="7"/>
  <c r="S19" i="7"/>
  <c r="R19" i="7"/>
  <c r="Q19" i="7"/>
  <c r="P19" i="7"/>
  <c r="O19" i="7"/>
  <c r="N19" i="7"/>
  <c r="S16" i="7"/>
  <c r="R16" i="7"/>
  <c r="Q16" i="7"/>
  <c r="P16" i="7"/>
  <c r="O16" i="7"/>
  <c r="N16" i="7"/>
  <c r="S13" i="7"/>
  <c r="R13" i="7"/>
  <c r="Q13" i="7"/>
  <c r="P13" i="7"/>
  <c r="O13" i="7"/>
  <c r="N13" i="7"/>
  <c r="EF5" i="7"/>
  <c r="EE5" i="7"/>
  <c r="ED5" i="7"/>
  <c r="EC5" i="7"/>
  <c r="EB5" i="7"/>
  <c r="EA5" i="7"/>
  <c r="DW5" i="7"/>
  <c r="DV5" i="7"/>
  <c r="DU5" i="7"/>
  <c r="DT5" i="7"/>
  <c r="DS5" i="7"/>
  <c r="DR5" i="7"/>
  <c r="DN5" i="7"/>
  <c r="DM5" i="7"/>
  <c r="DL5" i="7"/>
  <c r="DK5" i="7"/>
  <c r="DJ5" i="7"/>
  <c r="DI5" i="7"/>
  <c r="DE5" i="7"/>
  <c r="DD5" i="7"/>
  <c r="DC5" i="7"/>
  <c r="DB5" i="7"/>
  <c r="DA5" i="7"/>
  <c r="CZ5" i="7"/>
  <c r="CV5" i="7"/>
  <c r="CU5" i="7"/>
  <c r="CT5" i="7"/>
  <c r="CS5" i="7"/>
  <c r="CR5" i="7"/>
  <c r="CQ5" i="7"/>
  <c r="CM5" i="7"/>
  <c r="CL5" i="7"/>
  <c r="CK5" i="7"/>
  <c r="CJ5" i="7"/>
  <c r="CI5" i="7"/>
  <c r="CH5" i="7"/>
  <c r="BY5" i="7"/>
  <c r="BZ5" i="7"/>
  <c r="CA5" i="7"/>
  <c r="CB5" i="7"/>
  <c r="CC5" i="7"/>
  <c r="CD5" i="7"/>
  <c r="BU5" i="7"/>
  <c r="BT5" i="7"/>
  <c r="BS5" i="7"/>
  <c r="BR5" i="7"/>
  <c r="BQ5" i="7"/>
  <c r="BP5" i="7"/>
  <c r="BL5" i="7"/>
  <c r="BK5" i="7"/>
  <c r="BJ5" i="7"/>
  <c r="BI5" i="7"/>
  <c r="BH5" i="7"/>
  <c r="BG5" i="7"/>
  <c r="AX7" i="7"/>
  <c r="AY7" i="7"/>
  <c r="AZ7" i="7"/>
  <c r="BA7" i="7"/>
  <c r="BB7" i="7"/>
  <c r="BC7" i="7"/>
  <c r="AX6" i="7"/>
  <c r="AY6" i="7"/>
  <c r="AZ6" i="7"/>
  <c r="BA6" i="7"/>
  <c r="BB6" i="7"/>
  <c r="BC6" i="7"/>
  <c r="BC5" i="7"/>
  <c r="BB5" i="7"/>
  <c r="BA5" i="7"/>
  <c r="AZ5" i="7"/>
  <c r="AY5" i="7"/>
  <c r="AX5" i="7"/>
  <c r="AT5" i="7"/>
  <c r="AS5" i="7"/>
  <c r="AR5" i="7"/>
  <c r="AQ5" i="7"/>
  <c r="AP5" i="7"/>
  <c r="AO5" i="7"/>
  <c r="AK5" i="7"/>
  <c r="AJ5" i="7"/>
  <c r="AI5" i="7"/>
  <c r="AH5" i="7"/>
  <c r="AG5" i="7"/>
  <c r="AF5" i="7"/>
  <c r="AB5" i="7"/>
  <c r="AA5" i="7"/>
  <c r="Z5" i="7"/>
  <c r="Y5" i="7"/>
  <c r="X5" i="7"/>
  <c r="W5" i="7"/>
  <c r="S10" i="7"/>
  <c r="R10" i="7"/>
  <c r="Q10" i="7"/>
  <c r="P10" i="7"/>
  <c r="O10" i="7"/>
  <c r="N10" i="7"/>
  <c r="S9" i="7"/>
  <c r="R9" i="7"/>
  <c r="Q9" i="7"/>
  <c r="P9" i="7"/>
  <c r="O9" i="7"/>
  <c r="N9" i="7"/>
  <c r="N6" i="7"/>
  <c r="O6" i="7"/>
  <c r="P6" i="7"/>
  <c r="Q6" i="7"/>
  <c r="R6" i="7"/>
  <c r="S6" i="7"/>
  <c r="J79" i="7"/>
  <c r="I79" i="7"/>
  <c r="H79" i="7"/>
  <c r="G79" i="7"/>
  <c r="F79" i="7"/>
  <c r="E79" i="7"/>
  <c r="J76" i="7"/>
  <c r="I76" i="7"/>
  <c r="H76" i="7"/>
  <c r="G76" i="7"/>
  <c r="F76" i="7"/>
  <c r="E76" i="7"/>
  <c r="J73" i="7"/>
  <c r="I73" i="7"/>
  <c r="H73" i="7"/>
  <c r="G73" i="7"/>
  <c r="F73" i="7"/>
  <c r="E73" i="7"/>
  <c r="J70" i="7"/>
  <c r="I70" i="7"/>
  <c r="H70" i="7"/>
  <c r="G70" i="7"/>
  <c r="F70" i="7"/>
  <c r="E70" i="7"/>
  <c r="J67" i="7"/>
  <c r="I67" i="7"/>
  <c r="H67" i="7"/>
  <c r="G67" i="7"/>
  <c r="F67" i="7"/>
  <c r="E67" i="7"/>
  <c r="J64" i="7"/>
  <c r="I64" i="7"/>
  <c r="H64" i="7"/>
  <c r="G64" i="7"/>
  <c r="F64" i="7"/>
  <c r="E64" i="7"/>
  <c r="J61" i="7"/>
  <c r="I61" i="7"/>
  <c r="H61" i="7"/>
  <c r="G61" i="7"/>
  <c r="F61" i="7"/>
  <c r="E61" i="7"/>
  <c r="J58" i="7"/>
  <c r="I58" i="7"/>
  <c r="H58" i="7"/>
  <c r="G58" i="7"/>
  <c r="F58" i="7"/>
  <c r="E58" i="7"/>
  <c r="J55" i="7"/>
  <c r="I55" i="7"/>
  <c r="H55" i="7"/>
  <c r="G55" i="7"/>
  <c r="F55" i="7"/>
  <c r="E55" i="7"/>
  <c r="J52" i="7"/>
  <c r="I52" i="7"/>
  <c r="H52" i="7"/>
  <c r="G52" i="7"/>
  <c r="F52" i="7"/>
  <c r="E52" i="7"/>
  <c r="J49" i="7"/>
  <c r="I49" i="7"/>
  <c r="H49" i="7"/>
  <c r="G49" i="7"/>
  <c r="F49" i="7"/>
  <c r="E49" i="7"/>
  <c r="E45" i="7"/>
  <c r="F45" i="7"/>
  <c r="G45" i="7"/>
  <c r="H45" i="7"/>
  <c r="I45" i="7"/>
  <c r="J45" i="7"/>
  <c r="J44" i="7"/>
  <c r="I44" i="7"/>
  <c r="H44" i="7"/>
  <c r="G44" i="7"/>
  <c r="F44" i="7"/>
  <c r="E44" i="7"/>
  <c r="J41" i="7"/>
  <c r="I41" i="7"/>
  <c r="H41" i="7"/>
  <c r="G41" i="7"/>
  <c r="F41" i="7"/>
  <c r="E41" i="7"/>
  <c r="J38" i="7"/>
  <c r="I38" i="7"/>
  <c r="H38" i="7"/>
  <c r="G38" i="7"/>
  <c r="F38" i="7"/>
  <c r="E38" i="7"/>
  <c r="E35" i="7"/>
  <c r="F35" i="7"/>
  <c r="G35" i="7"/>
  <c r="H35" i="7"/>
  <c r="I35" i="7"/>
  <c r="J35" i="7"/>
  <c r="E34" i="7"/>
  <c r="F34" i="7"/>
  <c r="G34" i="7"/>
  <c r="H34" i="7"/>
  <c r="I34" i="7"/>
  <c r="J34" i="7"/>
  <c r="E33" i="7"/>
  <c r="F33" i="7"/>
  <c r="G33" i="7"/>
  <c r="H33" i="7"/>
  <c r="I33" i="7"/>
  <c r="J33" i="7"/>
  <c r="E32" i="7"/>
  <c r="F32" i="7"/>
  <c r="G32" i="7"/>
  <c r="H32" i="7"/>
  <c r="I32" i="7"/>
  <c r="J32" i="7"/>
  <c r="E31" i="7"/>
  <c r="F31" i="7"/>
  <c r="G31" i="7"/>
  <c r="H31" i="7"/>
  <c r="I31" i="7"/>
  <c r="J31" i="7"/>
  <c r="J30" i="7"/>
  <c r="I30" i="7"/>
  <c r="H30" i="7"/>
  <c r="G30" i="7"/>
  <c r="F30" i="7"/>
  <c r="E30" i="7"/>
  <c r="E27" i="7"/>
  <c r="F27" i="7"/>
  <c r="G27" i="7"/>
  <c r="H27" i="7"/>
  <c r="I27" i="7"/>
  <c r="J27" i="7"/>
  <c r="E26" i="7"/>
  <c r="F26" i="7"/>
  <c r="G26" i="7"/>
  <c r="H26" i="7"/>
  <c r="I26" i="7"/>
  <c r="J26" i="7"/>
  <c r="E25" i="7"/>
  <c r="F25" i="7"/>
  <c r="G25" i="7"/>
  <c r="H25" i="7"/>
  <c r="I25" i="7"/>
  <c r="J25" i="7"/>
  <c r="E24" i="7"/>
  <c r="F24" i="7"/>
  <c r="G24" i="7"/>
  <c r="H24" i="7"/>
  <c r="I24" i="7"/>
  <c r="J24" i="7"/>
  <c r="E23" i="7"/>
  <c r="F23" i="7"/>
  <c r="G23" i="7"/>
  <c r="H23" i="7"/>
  <c r="I23" i="7"/>
  <c r="J23" i="7"/>
  <c r="E22" i="7"/>
  <c r="F22" i="7"/>
  <c r="G22" i="7"/>
  <c r="H22" i="7"/>
  <c r="I22" i="7"/>
  <c r="J22" i="7"/>
  <c r="E21" i="7"/>
  <c r="F21" i="7"/>
  <c r="G21" i="7"/>
  <c r="H21" i="7"/>
  <c r="I21" i="7"/>
  <c r="J21" i="7"/>
  <c r="E20" i="7"/>
  <c r="F20" i="7"/>
  <c r="G20" i="7"/>
  <c r="H20" i="7"/>
  <c r="I20" i="7"/>
  <c r="J20" i="7"/>
  <c r="E19" i="7"/>
  <c r="F19" i="7"/>
  <c r="G19" i="7"/>
  <c r="H19" i="7"/>
  <c r="I19" i="7"/>
  <c r="J19" i="7"/>
  <c r="E18" i="7"/>
  <c r="F18" i="7"/>
  <c r="G18" i="7"/>
  <c r="H18" i="7"/>
  <c r="I18" i="7"/>
  <c r="J18" i="7"/>
  <c r="E17" i="7"/>
  <c r="F17" i="7"/>
  <c r="G17" i="7"/>
  <c r="H17" i="7"/>
  <c r="I17" i="7"/>
  <c r="J17" i="7"/>
  <c r="E16" i="7"/>
  <c r="F16" i="7"/>
  <c r="G16" i="7"/>
  <c r="H16" i="7"/>
  <c r="I16" i="7"/>
  <c r="J16" i="7"/>
  <c r="E15" i="7"/>
  <c r="F15" i="7"/>
  <c r="G15" i="7"/>
  <c r="H15" i="7"/>
  <c r="I15" i="7"/>
  <c r="J15" i="7"/>
  <c r="E14" i="7"/>
  <c r="F14" i="7"/>
  <c r="G14" i="7"/>
  <c r="H14" i="7"/>
  <c r="I14" i="7"/>
  <c r="J14" i="7"/>
  <c r="J13" i="7"/>
  <c r="I13" i="7"/>
  <c r="H13" i="7"/>
  <c r="G13" i="7"/>
  <c r="F13" i="7"/>
  <c r="E13" i="7"/>
  <c r="S5" i="7"/>
  <c r="R5" i="7"/>
  <c r="Q5" i="7"/>
  <c r="P5" i="7"/>
  <c r="O5" i="7"/>
  <c r="N5" i="7"/>
  <c r="H6" i="7"/>
  <c r="G6" i="7"/>
  <c r="F6" i="7"/>
  <c r="E6" i="7"/>
  <c r="H5" i="7"/>
  <c r="G5" i="7"/>
  <c r="F5" i="7"/>
  <c r="E5" i="7"/>
  <c r="E10" i="7"/>
  <c r="F10" i="7"/>
  <c r="G10" i="7"/>
  <c r="H10" i="7"/>
  <c r="I10" i="7"/>
  <c r="J10" i="7"/>
  <c r="E9" i="7"/>
  <c r="F9" i="7"/>
  <c r="G9" i="7"/>
  <c r="H9" i="7"/>
  <c r="I9" i="7"/>
  <c r="J9" i="7"/>
  <c r="E8" i="7"/>
  <c r="F8" i="7"/>
  <c r="G8" i="7"/>
  <c r="H8" i="7"/>
  <c r="I8" i="7"/>
  <c r="J8" i="7"/>
  <c r="E7" i="7"/>
  <c r="F7" i="7"/>
  <c r="G7" i="7"/>
  <c r="H7" i="7"/>
  <c r="I7" i="7"/>
  <c r="J7" i="7"/>
  <c r="J5" i="7"/>
  <c r="I5" i="7"/>
  <c r="P72" i="6"/>
  <c r="O72" i="6"/>
  <c r="N72" i="6"/>
  <c r="M72" i="6"/>
  <c r="L72" i="6"/>
  <c r="K72" i="6"/>
  <c r="P71" i="6"/>
  <c r="O71" i="6"/>
  <c r="N71" i="6"/>
  <c r="M71" i="6"/>
  <c r="L71" i="6"/>
  <c r="K71" i="6"/>
  <c r="P70" i="6"/>
  <c r="O70" i="6"/>
  <c r="N70" i="6"/>
  <c r="M70" i="6"/>
  <c r="L70" i="6"/>
  <c r="K70" i="6"/>
  <c r="P69" i="6"/>
  <c r="O69" i="6"/>
  <c r="N69" i="6"/>
  <c r="M69" i="6"/>
  <c r="L69" i="6"/>
  <c r="K69" i="6"/>
  <c r="P68" i="6"/>
  <c r="O68" i="6"/>
  <c r="N68" i="6"/>
  <c r="M68" i="6"/>
  <c r="L68" i="6"/>
  <c r="K68" i="6"/>
  <c r="G68" i="6"/>
  <c r="G66" i="6" s="1"/>
  <c r="F68" i="6"/>
  <c r="F66" i="6" s="1"/>
  <c r="E68" i="6"/>
  <c r="E66" i="6" s="1"/>
  <c r="D68" i="6"/>
  <c r="D66" i="6" s="1"/>
  <c r="C68" i="6"/>
  <c r="C66" i="6" s="1"/>
  <c r="B68" i="6"/>
  <c r="AC65" i="6"/>
  <c r="AD65" i="6"/>
  <c r="AE65" i="6"/>
  <c r="AF65" i="6"/>
  <c r="AG65" i="6"/>
  <c r="AH65" i="6"/>
  <c r="AC64" i="6"/>
  <c r="AD64" i="6"/>
  <c r="AE64" i="6"/>
  <c r="AF64" i="6"/>
  <c r="AG64" i="6"/>
  <c r="AH64" i="6"/>
  <c r="AC63" i="6"/>
  <c r="AD63" i="6"/>
  <c r="AE63" i="6"/>
  <c r="AF63" i="6"/>
  <c r="AG63" i="6"/>
  <c r="AH63" i="6"/>
  <c r="AC62" i="6"/>
  <c r="AD62" i="6"/>
  <c r="AE62" i="6"/>
  <c r="AF62" i="6"/>
  <c r="AG62" i="6"/>
  <c r="AH62" i="6"/>
  <c r="AH61" i="6"/>
  <c r="AG61" i="6"/>
  <c r="AF61" i="6"/>
  <c r="AE61" i="6"/>
  <c r="AD61" i="6"/>
  <c r="AC61" i="6"/>
  <c r="Y61" i="6"/>
  <c r="Y59" i="6" s="1"/>
  <c r="X61" i="6"/>
  <c r="X59" i="6" s="1"/>
  <c r="W61" i="6"/>
  <c r="W59" i="6" s="1"/>
  <c r="V61" i="6"/>
  <c r="V59" i="6" s="1"/>
  <c r="U61" i="6"/>
  <c r="U59" i="6" s="1"/>
  <c r="T61" i="6"/>
  <c r="AH56" i="6"/>
  <c r="AH54" i="6" s="1"/>
  <c r="AG56" i="6"/>
  <c r="AG54" i="6" s="1"/>
  <c r="AF56" i="6"/>
  <c r="AF54" i="6" s="1"/>
  <c r="AE56" i="6"/>
  <c r="AE54" i="6" s="1"/>
  <c r="AD56" i="6"/>
  <c r="AD54" i="6" s="1"/>
  <c r="AC56" i="6"/>
  <c r="K63" i="6"/>
  <c r="L63" i="6"/>
  <c r="M63" i="6"/>
  <c r="N63" i="6"/>
  <c r="O63" i="6"/>
  <c r="P63" i="6"/>
  <c r="K62" i="6"/>
  <c r="L62" i="6"/>
  <c r="M62" i="6"/>
  <c r="N62" i="6"/>
  <c r="O62" i="6"/>
  <c r="P62" i="6"/>
  <c r="P61" i="6"/>
  <c r="O61" i="6"/>
  <c r="N61" i="6"/>
  <c r="M61" i="6"/>
  <c r="L61" i="6"/>
  <c r="K61" i="6"/>
  <c r="B63" i="6"/>
  <c r="C63" i="6"/>
  <c r="D63" i="6"/>
  <c r="E63" i="6"/>
  <c r="F63" i="6"/>
  <c r="G63" i="6"/>
  <c r="B62" i="6"/>
  <c r="C62" i="6"/>
  <c r="D62" i="6"/>
  <c r="E62" i="6"/>
  <c r="F62" i="6"/>
  <c r="G62" i="6"/>
  <c r="G61" i="6"/>
  <c r="F61" i="6"/>
  <c r="E61" i="6"/>
  <c r="D61" i="6"/>
  <c r="C61" i="6"/>
  <c r="B61" i="6"/>
  <c r="Y56" i="6"/>
  <c r="Y54" i="6" s="1"/>
  <c r="X56" i="6"/>
  <c r="X54" i="6" s="1"/>
  <c r="W56" i="6"/>
  <c r="W54" i="6" s="1"/>
  <c r="V56" i="6"/>
  <c r="V54" i="6" s="1"/>
  <c r="U56" i="6"/>
  <c r="U54" i="6" s="1"/>
  <c r="T56" i="6"/>
  <c r="P56" i="6"/>
  <c r="P54" i="6" s="1"/>
  <c r="O56" i="6"/>
  <c r="O54" i="6" s="1"/>
  <c r="N56" i="6"/>
  <c r="N54" i="6" s="1"/>
  <c r="M56" i="6"/>
  <c r="M54" i="6" s="1"/>
  <c r="L56" i="6"/>
  <c r="L54" i="6" s="1"/>
  <c r="K56" i="6"/>
  <c r="G56" i="6"/>
  <c r="G54" i="6" s="1"/>
  <c r="F56" i="6"/>
  <c r="F54" i="6" s="1"/>
  <c r="E56" i="6"/>
  <c r="E54" i="6" s="1"/>
  <c r="D56" i="6"/>
  <c r="D54" i="6" s="1"/>
  <c r="C56" i="6"/>
  <c r="C54" i="6" s="1"/>
  <c r="B56" i="6"/>
  <c r="AH51" i="6"/>
  <c r="AH49" i="6" s="1"/>
  <c r="AG51" i="6"/>
  <c r="AG49" i="6" s="1"/>
  <c r="AF51" i="6"/>
  <c r="AF49" i="6" s="1"/>
  <c r="AE51" i="6"/>
  <c r="AE49" i="6" s="1"/>
  <c r="AD51" i="6"/>
  <c r="AD49" i="6" s="1"/>
  <c r="AC51" i="6"/>
  <c r="Y51" i="6"/>
  <c r="Y49" i="6" s="1"/>
  <c r="X51" i="6"/>
  <c r="X49" i="6" s="1"/>
  <c r="W51" i="6"/>
  <c r="W49" i="6" s="1"/>
  <c r="V51" i="6"/>
  <c r="V49" i="6" s="1"/>
  <c r="U51" i="6"/>
  <c r="U49" i="6" s="1"/>
  <c r="T51" i="6"/>
  <c r="P51" i="6"/>
  <c r="P49" i="6" s="1"/>
  <c r="O51" i="6"/>
  <c r="O49" i="6" s="1"/>
  <c r="N51" i="6"/>
  <c r="N49" i="6" s="1"/>
  <c r="M51" i="6"/>
  <c r="M49" i="6" s="1"/>
  <c r="L51" i="6"/>
  <c r="L49" i="6" s="1"/>
  <c r="K51" i="6"/>
  <c r="K49" i="6" s="1"/>
  <c r="AH46" i="6"/>
  <c r="AH44" i="6" s="1"/>
  <c r="AG46" i="6"/>
  <c r="AG44" i="6" s="1"/>
  <c r="AF46" i="6"/>
  <c r="AF44" i="6" s="1"/>
  <c r="AE46" i="6"/>
  <c r="AE44" i="6" s="1"/>
  <c r="AD46" i="6"/>
  <c r="AD44" i="6" s="1"/>
  <c r="AC46" i="6"/>
  <c r="Y46" i="6"/>
  <c r="Y44" i="6" s="1"/>
  <c r="X46" i="6"/>
  <c r="X44" i="6" s="1"/>
  <c r="W46" i="6"/>
  <c r="W44" i="6" s="1"/>
  <c r="V46" i="6"/>
  <c r="V44" i="6" s="1"/>
  <c r="U46" i="6"/>
  <c r="U44" i="6" s="1"/>
  <c r="T46" i="6"/>
  <c r="P46" i="6"/>
  <c r="P44" i="6" s="1"/>
  <c r="O46" i="6"/>
  <c r="O44" i="6" s="1"/>
  <c r="N46" i="6"/>
  <c r="N44" i="6" s="1"/>
  <c r="M46" i="6"/>
  <c r="M44" i="6" s="1"/>
  <c r="L46" i="6"/>
  <c r="L44" i="6" s="1"/>
  <c r="K46" i="6"/>
  <c r="B50" i="6"/>
  <c r="C50" i="6"/>
  <c r="D50" i="6"/>
  <c r="E50" i="6"/>
  <c r="F50" i="6"/>
  <c r="G50" i="6"/>
  <c r="B49" i="6"/>
  <c r="C49" i="6"/>
  <c r="D49" i="6"/>
  <c r="E49" i="6"/>
  <c r="F49" i="6"/>
  <c r="G49" i="6"/>
  <c r="B48" i="6"/>
  <c r="C48" i="6"/>
  <c r="D48" i="6"/>
  <c r="E48" i="6"/>
  <c r="F48" i="6"/>
  <c r="G48" i="6"/>
  <c r="B47" i="6"/>
  <c r="C47" i="6"/>
  <c r="D47" i="6"/>
  <c r="E47" i="6"/>
  <c r="F47" i="6"/>
  <c r="G47" i="6"/>
  <c r="G46" i="6"/>
  <c r="F46" i="6"/>
  <c r="E46" i="6"/>
  <c r="D46" i="6"/>
  <c r="C46" i="6"/>
  <c r="B46" i="6"/>
  <c r="AH41" i="6"/>
  <c r="AG41" i="6"/>
  <c r="AF41" i="6"/>
  <c r="AE41" i="6"/>
  <c r="AD41" i="6"/>
  <c r="AC41" i="6"/>
  <c r="AH40" i="6"/>
  <c r="AG40" i="6"/>
  <c r="AF40" i="6"/>
  <c r="AE40" i="6"/>
  <c r="AD40" i="6"/>
  <c r="AC40" i="6"/>
  <c r="T41" i="6"/>
  <c r="U41" i="6"/>
  <c r="V41" i="6"/>
  <c r="W41" i="6"/>
  <c r="X41" i="6"/>
  <c r="Y41" i="6"/>
  <c r="Y40" i="6"/>
  <c r="X40" i="6"/>
  <c r="W40" i="6"/>
  <c r="V40" i="6"/>
  <c r="U40" i="6"/>
  <c r="T40" i="6"/>
  <c r="P40" i="6"/>
  <c r="P38" i="6" s="1"/>
  <c r="O40" i="6"/>
  <c r="O38" i="6" s="1"/>
  <c r="N40" i="6"/>
  <c r="N38" i="6" s="1"/>
  <c r="M40" i="6"/>
  <c r="M38" i="6" s="1"/>
  <c r="L40" i="6"/>
  <c r="L38" i="6" s="1"/>
  <c r="K40" i="6"/>
  <c r="G40" i="6"/>
  <c r="G38" i="6" s="1"/>
  <c r="F40" i="6"/>
  <c r="F38" i="6" s="1"/>
  <c r="E40" i="6"/>
  <c r="E38" i="6" s="1"/>
  <c r="D40" i="6"/>
  <c r="D38" i="6" s="1"/>
  <c r="C40" i="6"/>
  <c r="C38" i="6" s="1"/>
  <c r="B40" i="6"/>
  <c r="AH35" i="6"/>
  <c r="AH33" i="6" s="1"/>
  <c r="AG35" i="6"/>
  <c r="AG33" i="6" s="1"/>
  <c r="AF35" i="6"/>
  <c r="AF33" i="6" s="1"/>
  <c r="AE35" i="6"/>
  <c r="AE33" i="6" s="1"/>
  <c r="AD35" i="6"/>
  <c r="AD33" i="6" s="1"/>
  <c r="AC35" i="6"/>
  <c r="T35" i="6"/>
  <c r="U35" i="6"/>
  <c r="V35" i="6"/>
  <c r="W35" i="6"/>
  <c r="X35" i="6"/>
  <c r="Y35" i="6"/>
  <c r="Y34" i="6"/>
  <c r="X34" i="6"/>
  <c r="W34" i="6"/>
  <c r="V34" i="6"/>
  <c r="U34" i="6"/>
  <c r="T34" i="6"/>
  <c r="P35" i="6"/>
  <c r="P33" i="6" s="1"/>
  <c r="O35" i="6"/>
  <c r="O33" i="6" s="1"/>
  <c r="N35" i="6"/>
  <c r="N33" i="6" s="1"/>
  <c r="M35" i="6"/>
  <c r="M33" i="6" s="1"/>
  <c r="L35" i="6"/>
  <c r="L33" i="6" s="1"/>
  <c r="K35" i="6"/>
  <c r="G35" i="6"/>
  <c r="G33" i="6" s="1"/>
  <c r="F35" i="6"/>
  <c r="F33" i="6" s="1"/>
  <c r="E35" i="6"/>
  <c r="E33" i="6" s="1"/>
  <c r="D35" i="6"/>
  <c r="D33" i="6" s="1"/>
  <c r="C35" i="6"/>
  <c r="C33" i="6" s="1"/>
  <c r="B35" i="6"/>
  <c r="G30" i="6"/>
  <c r="G28" i="6" s="1"/>
  <c r="F30" i="6"/>
  <c r="F28" i="6" s="1"/>
  <c r="E30" i="6"/>
  <c r="E28" i="6" s="1"/>
  <c r="D30" i="6"/>
  <c r="D28" i="6" s="1"/>
  <c r="C30" i="6"/>
  <c r="C28" i="6" s="1"/>
  <c r="B30" i="6"/>
  <c r="P30" i="6"/>
  <c r="P28" i="6" s="1"/>
  <c r="O30" i="6"/>
  <c r="O28" i="6" s="1"/>
  <c r="N30" i="6"/>
  <c r="N28" i="6" s="1"/>
  <c r="M30" i="6"/>
  <c r="M28" i="6" s="1"/>
  <c r="L30" i="6"/>
  <c r="L28" i="6" s="1"/>
  <c r="K30" i="6"/>
  <c r="K28" i="6" s="1"/>
  <c r="AC28" i="6"/>
  <c r="AC29" i="6"/>
  <c r="AD28" i="6"/>
  <c r="AD29" i="6"/>
  <c r="AE28" i="6"/>
  <c r="AE29" i="6"/>
  <c r="AF28" i="6"/>
  <c r="AF29" i="6"/>
  <c r="AG28" i="6"/>
  <c r="AG29" i="6"/>
  <c r="AH28" i="6"/>
  <c r="AH29" i="6"/>
  <c r="AH27" i="6"/>
  <c r="AG27" i="6"/>
  <c r="AF27" i="6"/>
  <c r="AE27" i="6"/>
  <c r="AD27" i="6"/>
  <c r="AC27" i="6"/>
  <c r="AH26" i="6"/>
  <c r="AG26" i="6"/>
  <c r="AF26" i="6"/>
  <c r="AE26" i="6"/>
  <c r="AD26" i="6"/>
  <c r="AC26" i="6"/>
  <c r="AH25" i="6"/>
  <c r="AG25" i="6"/>
  <c r="AF25" i="6"/>
  <c r="AE25" i="6"/>
  <c r="AD25" i="6"/>
  <c r="AC25" i="6"/>
  <c r="T27" i="6"/>
  <c r="U27" i="6"/>
  <c r="V27" i="6"/>
  <c r="W27" i="6"/>
  <c r="X27" i="6"/>
  <c r="Y27" i="6"/>
  <c r="T26" i="6"/>
  <c r="U26" i="6"/>
  <c r="V26" i="6"/>
  <c r="W26" i="6"/>
  <c r="X26" i="6"/>
  <c r="Y26" i="6"/>
  <c r="Y25" i="6"/>
  <c r="X25" i="6"/>
  <c r="W25" i="6"/>
  <c r="V25" i="6"/>
  <c r="U25" i="6"/>
  <c r="T25" i="6"/>
  <c r="AH20" i="6"/>
  <c r="AH18" i="6" s="1"/>
  <c r="AG20" i="6"/>
  <c r="AG18" i="6" s="1"/>
  <c r="AF20" i="6"/>
  <c r="AF18" i="6" s="1"/>
  <c r="AE20" i="6"/>
  <c r="AE18" i="6" s="1"/>
  <c r="AD20" i="6"/>
  <c r="AD18" i="6" s="1"/>
  <c r="AC20" i="6"/>
  <c r="Y20" i="6"/>
  <c r="X20" i="6"/>
  <c r="W20" i="6"/>
  <c r="V20" i="6"/>
  <c r="U20" i="6"/>
  <c r="T20" i="6"/>
  <c r="P25" i="6"/>
  <c r="P23" i="6" s="1"/>
  <c r="O25" i="6"/>
  <c r="O23" i="6" s="1"/>
  <c r="N25" i="6"/>
  <c r="N23" i="6" s="1"/>
  <c r="M25" i="6"/>
  <c r="M23" i="6" s="1"/>
  <c r="L25" i="6"/>
  <c r="L23" i="6" s="1"/>
  <c r="K25" i="6"/>
  <c r="P20" i="6"/>
  <c r="P18" i="6" s="1"/>
  <c r="O20" i="6"/>
  <c r="O18" i="6" s="1"/>
  <c r="N20" i="6"/>
  <c r="N18" i="6" s="1"/>
  <c r="M20" i="6"/>
  <c r="M18" i="6" s="1"/>
  <c r="L20" i="6"/>
  <c r="L18" i="6" s="1"/>
  <c r="K20" i="6"/>
  <c r="AH15" i="6"/>
  <c r="AH13" i="6" s="1"/>
  <c r="AG15" i="6"/>
  <c r="AG13" i="6" s="1"/>
  <c r="AF15" i="6"/>
  <c r="AF13" i="6" s="1"/>
  <c r="AE15" i="6"/>
  <c r="AE13" i="6" s="1"/>
  <c r="AD15" i="6"/>
  <c r="AD13" i="6" s="1"/>
  <c r="AC15" i="6"/>
  <c r="Y15" i="6"/>
  <c r="Y13" i="6" s="1"/>
  <c r="X15" i="6"/>
  <c r="X13" i="6" s="1"/>
  <c r="W15" i="6"/>
  <c r="W13" i="6" s="1"/>
  <c r="V15" i="6"/>
  <c r="V13" i="6" s="1"/>
  <c r="U15" i="6"/>
  <c r="U13" i="6" s="1"/>
  <c r="T15" i="6"/>
  <c r="P15" i="6"/>
  <c r="P13" i="6" s="1"/>
  <c r="O15" i="6"/>
  <c r="O13" i="6" s="1"/>
  <c r="N15" i="6"/>
  <c r="N13" i="6" s="1"/>
  <c r="M15" i="6"/>
  <c r="M13" i="6" s="1"/>
  <c r="L15" i="6"/>
  <c r="L13" i="6" s="1"/>
  <c r="K15" i="6"/>
  <c r="AH10" i="6"/>
  <c r="AH8" i="6" s="1"/>
  <c r="AG10" i="6"/>
  <c r="AG8" i="6" s="1"/>
  <c r="AF10" i="6"/>
  <c r="AF8" i="6" s="1"/>
  <c r="AE10" i="6"/>
  <c r="AE8" i="6" s="1"/>
  <c r="AD10" i="6"/>
  <c r="AD8" i="6" s="1"/>
  <c r="AC10" i="6"/>
  <c r="Y10" i="6"/>
  <c r="Y8" i="6" s="1"/>
  <c r="X10" i="6"/>
  <c r="X8" i="6" s="1"/>
  <c r="W10" i="6"/>
  <c r="W8" i="6" s="1"/>
  <c r="V10" i="6"/>
  <c r="V8" i="6" s="1"/>
  <c r="U10" i="6"/>
  <c r="U8" i="6" s="1"/>
  <c r="T10" i="6"/>
  <c r="K5" i="2"/>
  <c r="L5" i="2"/>
  <c r="M5" i="2"/>
  <c r="N5" i="2"/>
  <c r="O5" i="2"/>
  <c r="P5" i="2"/>
  <c r="K6" i="2"/>
  <c r="L6" i="2"/>
  <c r="M6" i="2"/>
  <c r="N6" i="2"/>
  <c r="O6" i="2"/>
  <c r="P6" i="2"/>
  <c r="K7" i="2"/>
  <c r="L7" i="2"/>
  <c r="M7" i="2"/>
  <c r="N7" i="2"/>
  <c r="O7" i="2"/>
  <c r="P7" i="2"/>
  <c r="K8" i="2"/>
  <c r="L8" i="2"/>
  <c r="M8" i="2"/>
  <c r="N8" i="2"/>
  <c r="O8" i="2"/>
  <c r="P8" i="2"/>
  <c r="K9" i="2"/>
  <c r="L9" i="2"/>
  <c r="M9" i="2"/>
  <c r="N9" i="2"/>
  <c r="O9" i="2"/>
  <c r="P9" i="2"/>
  <c r="K10" i="2"/>
  <c r="L10" i="2"/>
  <c r="M10" i="2"/>
  <c r="N10" i="2"/>
  <c r="O10" i="2"/>
  <c r="P10" i="2"/>
  <c r="K11" i="2"/>
  <c r="L11" i="2"/>
  <c r="M11" i="2"/>
  <c r="N11" i="2"/>
  <c r="O11" i="2"/>
  <c r="P11" i="2"/>
  <c r="K12" i="2"/>
  <c r="K13" i="2"/>
  <c r="K14" i="2"/>
  <c r="K15" i="2"/>
  <c r="L12" i="2"/>
  <c r="L13" i="2"/>
  <c r="L14" i="2"/>
  <c r="L15" i="2"/>
  <c r="M12" i="2"/>
  <c r="M13" i="2"/>
  <c r="M14" i="2"/>
  <c r="M15" i="2"/>
  <c r="N12" i="2"/>
  <c r="N13" i="2"/>
  <c r="N14" i="2"/>
  <c r="N15" i="2"/>
  <c r="O12" i="2"/>
  <c r="O13" i="2"/>
  <c r="O14" i="2"/>
  <c r="O15" i="2"/>
  <c r="P12" i="2"/>
  <c r="P13" i="2"/>
  <c r="P14" i="2"/>
  <c r="P15" i="2"/>
  <c r="B5" i="2"/>
  <c r="B24" i="6"/>
  <c r="C24" i="6"/>
  <c r="D24" i="6"/>
  <c r="E24" i="6"/>
  <c r="F24" i="6"/>
  <c r="G24" i="6"/>
  <c r="B23" i="6"/>
  <c r="C23" i="6"/>
  <c r="D23" i="6"/>
  <c r="E23" i="6"/>
  <c r="F23" i="6"/>
  <c r="G23" i="6"/>
  <c r="B22" i="6"/>
  <c r="C22" i="6"/>
  <c r="D22" i="6"/>
  <c r="E22" i="6"/>
  <c r="F22" i="6"/>
  <c r="G22" i="6"/>
  <c r="B21" i="6"/>
  <c r="C21" i="6"/>
  <c r="D21" i="6"/>
  <c r="E21" i="6"/>
  <c r="F21" i="6"/>
  <c r="G21" i="6"/>
  <c r="B20" i="6"/>
  <c r="C20" i="6"/>
  <c r="D20" i="6"/>
  <c r="E20" i="6"/>
  <c r="F20" i="6"/>
  <c r="G20" i="6"/>
  <c r="B19" i="6"/>
  <c r="C19" i="6"/>
  <c r="D19" i="6"/>
  <c r="E19" i="6"/>
  <c r="F19" i="6"/>
  <c r="G19" i="6"/>
  <c r="B18" i="6"/>
  <c r="C18" i="6"/>
  <c r="D18" i="6"/>
  <c r="E18" i="6"/>
  <c r="F18" i="6"/>
  <c r="G18" i="6"/>
  <c r="B17" i="6"/>
  <c r="C17" i="6"/>
  <c r="D17" i="6"/>
  <c r="E17" i="6"/>
  <c r="F17" i="6"/>
  <c r="G17" i="6"/>
  <c r="B16" i="6"/>
  <c r="C16" i="6"/>
  <c r="D16" i="6"/>
  <c r="E16" i="6"/>
  <c r="F16" i="6"/>
  <c r="G16" i="6"/>
  <c r="B15" i="6"/>
  <c r="C15" i="6"/>
  <c r="D15" i="6"/>
  <c r="E15" i="6"/>
  <c r="F15" i="6"/>
  <c r="G15" i="6"/>
  <c r="B14" i="6"/>
  <c r="C14" i="6"/>
  <c r="D14" i="6"/>
  <c r="E14" i="6"/>
  <c r="F14" i="6"/>
  <c r="G14" i="6"/>
  <c r="B13" i="6"/>
  <c r="C13" i="6"/>
  <c r="D13" i="6"/>
  <c r="E13" i="6"/>
  <c r="F13" i="6"/>
  <c r="G13" i="6"/>
  <c r="B12" i="6"/>
  <c r="C12" i="6"/>
  <c r="D12" i="6"/>
  <c r="E12" i="6"/>
  <c r="F12" i="6"/>
  <c r="G12" i="6"/>
  <c r="K6" i="6"/>
  <c r="L6" i="6"/>
  <c r="M6" i="6"/>
  <c r="N6" i="6"/>
  <c r="O6" i="6"/>
  <c r="P6" i="6"/>
  <c r="K7" i="6"/>
  <c r="L7" i="6"/>
  <c r="M7" i="6"/>
  <c r="N7" i="6"/>
  <c r="O7" i="6"/>
  <c r="P7" i="6"/>
  <c r="K8" i="6"/>
  <c r="L8" i="6"/>
  <c r="M8" i="6"/>
  <c r="N8" i="6"/>
  <c r="O8" i="6"/>
  <c r="P8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AH5" i="6"/>
  <c r="AG5" i="6"/>
  <c r="AF5" i="6"/>
  <c r="AE5" i="6"/>
  <c r="AD5" i="6"/>
  <c r="AC5" i="6"/>
  <c r="Y5" i="6"/>
  <c r="X5" i="6"/>
  <c r="W5" i="6"/>
  <c r="V5" i="6"/>
  <c r="U5" i="6"/>
  <c r="T5" i="6"/>
  <c r="P5" i="6"/>
  <c r="O5" i="6"/>
  <c r="N5" i="6"/>
  <c r="M5" i="6"/>
  <c r="L5" i="6"/>
  <c r="K5" i="6"/>
  <c r="G5" i="6"/>
  <c r="F5" i="6"/>
  <c r="E5" i="6"/>
  <c r="D5" i="6"/>
  <c r="C5" i="6"/>
  <c r="B5" i="6"/>
  <c r="J28" i="6" l="1"/>
  <c r="W81" i="3"/>
  <c r="J49" i="6"/>
  <c r="W80" i="3"/>
  <c r="CN36" i="7"/>
  <c r="DO10" i="7"/>
  <c r="CN35" i="7"/>
  <c r="DO18" i="7"/>
  <c r="DO11" i="7"/>
  <c r="H33" i="2"/>
  <c r="CN39" i="7"/>
  <c r="DO9" i="7"/>
  <c r="CN48" i="7"/>
  <c r="CN43" i="7"/>
  <c r="CN37" i="7"/>
  <c r="CN40" i="7"/>
  <c r="CW11" i="7"/>
  <c r="CN38" i="7"/>
  <c r="CN46" i="7"/>
  <c r="DO17" i="7"/>
  <c r="DO21" i="7"/>
  <c r="DO16" i="7"/>
  <c r="CN42" i="7"/>
  <c r="DO15" i="7"/>
  <c r="CN41" i="7"/>
  <c r="DO12" i="7"/>
  <c r="DO13" i="7"/>
  <c r="DO14" i="7"/>
  <c r="DO24" i="7"/>
  <c r="DO8" i="7"/>
  <c r="CW8" i="7"/>
  <c r="CN47" i="7"/>
  <c r="CN55" i="7"/>
  <c r="CN52" i="7"/>
  <c r="CN53" i="7"/>
  <c r="CN51" i="7"/>
  <c r="CN54" i="7"/>
  <c r="CN50" i="7"/>
  <c r="CN49" i="7"/>
  <c r="CN34" i="7"/>
  <c r="CN28" i="7"/>
  <c r="BV69" i="7"/>
  <c r="CN27" i="7"/>
  <c r="CN31" i="7"/>
  <c r="CN16" i="7"/>
  <c r="CE11" i="7"/>
  <c r="CN9" i="7"/>
  <c r="CN8" i="7"/>
  <c r="CN12" i="7"/>
  <c r="BV55" i="7"/>
  <c r="BV77" i="7"/>
  <c r="CN25" i="7"/>
  <c r="CN23" i="7"/>
  <c r="CN26" i="7"/>
  <c r="CN24" i="7"/>
  <c r="CN22" i="7"/>
  <c r="CN18" i="7"/>
  <c r="CN19" i="7"/>
  <c r="CN17" i="7"/>
  <c r="CN15" i="7"/>
  <c r="CN14" i="7"/>
  <c r="CN13" i="7"/>
  <c r="CN11" i="7"/>
  <c r="CN10" i="7"/>
  <c r="CN7" i="7"/>
  <c r="CN6" i="7"/>
  <c r="CE8" i="7"/>
  <c r="BV68" i="7"/>
  <c r="BV76" i="7"/>
  <c r="BV52" i="7"/>
  <c r="BV75" i="7"/>
  <c r="BV45" i="7"/>
  <c r="BV58" i="7"/>
  <c r="BV74" i="7"/>
  <c r="BV73" i="7"/>
  <c r="BV72" i="7"/>
  <c r="BV67" i="7"/>
  <c r="BV66" i="7"/>
  <c r="BV65" i="7"/>
  <c r="BV64" i="7"/>
  <c r="BV63" i="7"/>
  <c r="BV62" i="7"/>
  <c r="BV61" i="7"/>
  <c r="BV48" i="7"/>
  <c r="BM40" i="7"/>
  <c r="BV17" i="7"/>
  <c r="BV19" i="7"/>
  <c r="BV21" i="7"/>
  <c r="BM66" i="7"/>
  <c r="BD21" i="7"/>
  <c r="BV8" i="7"/>
  <c r="BV23" i="7"/>
  <c r="BM60" i="7"/>
  <c r="BM65" i="7"/>
  <c r="BM73" i="7"/>
  <c r="BM64" i="7"/>
  <c r="BV18" i="7"/>
  <c r="BD10" i="7"/>
  <c r="BV11" i="7"/>
  <c r="BV41" i="7"/>
  <c r="BV37" i="7"/>
  <c r="BV29" i="7"/>
  <c r="BV33" i="7"/>
  <c r="BV36" i="7"/>
  <c r="BV28" i="7"/>
  <c r="BV32" i="7"/>
  <c r="BV31" i="7"/>
  <c r="BV35" i="7"/>
  <c r="BV34" i="7"/>
  <c r="BV30" i="7"/>
  <c r="BV27" i="7"/>
  <c r="BV24" i="7"/>
  <c r="BV22" i="7"/>
  <c r="BV20" i="7"/>
  <c r="BV16" i="7"/>
  <c r="BV15" i="7"/>
  <c r="BM76" i="7"/>
  <c r="BM70" i="7"/>
  <c r="BM67" i="7"/>
  <c r="BM63" i="7"/>
  <c r="BM57" i="7"/>
  <c r="BM53" i="7"/>
  <c r="BM50" i="7"/>
  <c r="BM47" i="7"/>
  <c r="BM44" i="7"/>
  <c r="BM41" i="7"/>
  <c r="BM18" i="7"/>
  <c r="BM33" i="7"/>
  <c r="BM32" i="7"/>
  <c r="BM28" i="7"/>
  <c r="BM11" i="7"/>
  <c r="BM25" i="7"/>
  <c r="BM37" i="7"/>
  <c r="BM36" i="7"/>
  <c r="BM31" i="7"/>
  <c r="BM21" i="7"/>
  <c r="BM14" i="7"/>
  <c r="BM8" i="7"/>
  <c r="BD18" i="7"/>
  <c r="BD15" i="7"/>
  <c r="BD17" i="7"/>
  <c r="BD16" i="7"/>
  <c r="BD14" i="7"/>
  <c r="BD13" i="7"/>
  <c r="AU43" i="7"/>
  <c r="AU46" i="7"/>
  <c r="AU49" i="7"/>
  <c r="AU33" i="7"/>
  <c r="AU40" i="7"/>
  <c r="AU36" i="7"/>
  <c r="AU17" i="7"/>
  <c r="AU12" i="7"/>
  <c r="AU30" i="7"/>
  <c r="AU16" i="7"/>
  <c r="AU29" i="7"/>
  <c r="AU25" i="7"/>
  <c r="AU22" i="7"/>
  <c r="AU21" i="7"/>
  <c r="AU15" i="7"/>
  <c r="AU9" i="7"/>
  <c r="AL64" i="7"/>
  <c r="AL72" i="7"/>
  <c r="AL80" i="7"/>
  <c r="AL99" i="7"/>
  <c r="AL71" i="7"/>
  <c r="AL107" i="7"/>
  <c r="AL76" i="7"/>
  <c r="AL67" i="7"/>
  <c r="AL75" i="7"/>
  <c r="AL103" i="7"/>
  <c r="AL117" i="7"/>
  <c r="AL108" i="7"/>
  <c r="AL68" i="7"/>
  <c r="AL86" i="7"/>
  <c r="AL104" i="7"/>
  <c r="AL114" i="7"/>
  <c r="AL79" i="7"/>
  <c r="AL113" i="7"/>
  <c r="AL112" i="7"/>
  <c r="AL111" i="7"/>
  <c r="AL96" i="7"/>
  <c r="AL93" i="7"/>
  <c r="AL90" i="7"/>
  <c r="AL85" i="7"/>
  <c r="AL84" i="7"/>
  <c r="AL83" i="7"/>
  <c r="AC87" i="7"/>
  <c r="AC89" i="7"/>
  <c r="AC91" i="7"/>
  <c r="AC95" i="7"/>
  <c r="AC106" i="7"/>
  <c r="AC113" i="7"/>
  <c r="AL17" i="7"/>
  <c r="AL30" i="7"/>
  <c r="AL51" i="7"/>
  <c r="AL57" i="7"/>
  <c r="AL13" i="7"/>
  <c r="AL61" i="7"/>
  <c r="AL20" i="7"/>
  <c r="AL26" i="7"/>
  <c r="AL54" i="7"/>
  <c r="AL35" i="7"/>
  <c r="AL40" i="7"/>
  <c r="AL48" i="7"/>
  <c r="AL9" i="7"/>
  <c r="AL34" i="7"/>
  <c r="AL47" i="7"/>
  <c r="AL46" i="7"/>
  <c r="AL45" i="7"/>
  <c r="AL43" i="7"/>
  <c r="AL44" i="7"/>
  <c r="AL39" i="7"/>
  <c r="AL33" i="7"/>
  <c r="AL23" i="7"/>
  <c r="AL8" i="7"/>
  <c r="AC85" i="7"/>
  <c r="AC90" i="7"/>
  <c r="AC92" i="7"/>
  <c r="AC86" i="7"/>
  <c r="AC110" i="7"/>
  <c r="AC88" i="7"/>
  <c r="AC78" i="7"/>
  <c r="AC103" i="7"/>
  <c r="AC75" i="7"/>
  <c r="AC102" i="7"/>
  <c r="AC98" i="7"/>
  <c r="AC81" i="7"/>
  <c r="AC72" i="7"/>
  <c r="T27" i="7"/>
  <c r="AC43" i="7"/>
  <c r="AC66" i="7"/>
  <c r="AC22" i="7"/>
  <c r="AC52" i="7"/>
  <c r="AC21" i="7"/>
  <c r="AC27" i="7"/>
  <c r="AC36" i="7"/>
  <c r="DO5" i="7"/>
  <c r="T16" i="7"/>
  <c r="AC28" i="7"/>
  <c r="AC65" i="7"/>
  <c r="AC26" i="7"/>
  <c r="AC51" i="7"/>
  <c r="AC17" i="7"/>
  <c r="AC29" i="7"/>
  <c r="AC69" i="7"/>
  <c r="T33" i="7"/>
  <c r="AC12" i="7"/>
  <c r="AC42" i="7"/>
  <c r="AC20" i="7"/>
  <c r="AC55" i="7"/>
  <c r="T26" i="7"/>
  <c r="T36" i="7"/>
  <c r="AC13" i="7"/>
  <c r="AC64" i="7"/>
  <c r="AC63" i="7"/>
  <c r="AC62" i="7"/>
  <c r="AC59" i="7"/>
  <c r="AC61" i="7"/>
  <c r="AC60" i="7"/>
  <c r="AC50" i="7"/>
  <c r="AC49" i="7"/>
  <c r="AC48" i="7"/>
  <c r="AC47" i="7"/>
  <c r="AC41" i="7"/>
  <c r="AC40" i="7"/>
  <c r="AC39" i="7"/>
  <c r="AC32" i="7"/>
  <c r="AC25" i="7"/>
  <c r="AC11" i="7"/>
  <c r="T25" i="7"/>
  <c r="T22" i="7"/>
  <c r="AC8" i="7"/>
  <c r="T32" i="7"/>
  <c r="T31" i="7"/>
  <c r="T30" i="7"/>
  <c r="T19" i="7"/>
  <c r="T13" i="7"/>
  <c r="EG5" i="7"/>
  <c r="DX5" i="7"/>
  <c r="CN5" i="7"/>
  <c r="DF5" i="7"/>
  <c r="CE5" i="7"/>
  <c r="CW5" i="7"/>
  <c r="AU5" i="7"/>
  <c r="BM5" i="7"/>
  <c r="AL5" i="7"/>
  <c r="BD5" i="7"/>
  <c r="BV5" i="7"/>
  <c r="K27" i="7"/>
  <c r="K35" i="7"/>
  <c r="K45" i="7"/>
  <c r="T6" i="7"/>
  <c r="BD7" i="7"/>
  <c r="BD6" i="7"/>
  <c r="K38" i="7"/>
  <c r="K44" i="7"/>
  <c r="K49" i="7"/>
  <c r="K61" i="7"/>
  <c r="K67" i="7"/>
  <c r="T9" i="7"/>
  <c r="H68" i="6"/>
  <c r="AC5" i="7"/>
  <c r="K41" i="7"/>
  <c r="K58" i="7"/>
  <c r="K64" i="7"/>
  <c r="K70" i="7"/>
  <c r="K76" i="7"/>
  <c r="T10" i="7"/>
  <c r="K10" i="7"/>
  <c r="K73" i="7"/>
  <c r="K79" i="7"/>
  <c r="K55" i="7"/>
  <c r="K52" i="7"/>
  <c r="K34" i="7"/>
  <c r="K33" i="7"/>
  <c r="K32" i="7"/>
  <c r="K31" i="7"/>
  <c r="K30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T5" i="7"/>
  <c r="K9" i="7"/>
  <c r="K8" i="7"/>
  <c r="K7" i="7"/>
  <c r="K5" i="7"/>
  <c r="H46" i="6"/>
  <c r="Z46" i="6"/>
  <c r="Q56" i="6"/>
  <c r="AI56" i="6"/>
  <c r="Q6" i="2"/>
  <c r="Q63" i="6"/>
  <c r="C59" i="6"/>
  <c r="D59" i="6"/>
  <c r="E59" i="6"/>
  <c r="G59" i="6"/>
  <c r="H63" i="6"/>
  <c r="Q68" i="6"/>
  <c r="Q70" i="6"/>
  <c r="Q72" i="6"/>
  <c r="Q71" i="6"/>
  <c r="Q69" i="6"/>
  <c r="L66" i="6"/>
  <c r="M66" i="6"/>
  <c r="O66" i="6"/>
  <c r="P66" i="6"/>
  <c r="N66" i="6"/>
  <c r="K66" i="6"/>
  <c r="B66" i="6"/>
  <c r="A66" i="6" s="1"/>
  <c r="AI65" i="6"/>
  <c r="AD59" i="6"/>
  <c r="AE59" i="6"/>
  <c r="AI64" i="6"/>
  <c r="AI63" i="6"/>
  <c r="AI62" i="6"/>
  <c r="AI61" i="6"/>
  <c r="AF59" i="6"/>
  <c r="AG59" i="6"/>
  <c r="AH59" i="6"/>
  <c r="AC59" i="6"/>
  <c r="Z61" i="6"/>
  <c r="T59" i="6"/>
  <c r="S59" i="6" s="1"/>
  <c r="AC54" i="6"/>
  <c r="AB54" i="6" s="1"/>
  <c r="Q62" i="6"/>
  <c r="L59" i="6"/>
  <c r="N59" i="6"/>
  <c r="O59" i="6"/>
  <c r="M59" i="6"/>
  <c r="P59" i="6"/>
  <c r="Q61" i="6"/>
  <c r="K59" i="6"/>
  <c r="H62" i="6"/>
  <c r="F59" i="6"/>
  <c r="H61" i="6"/>
  <c r="B59" i="6"/>
  <c r="Z56" i="6"/>
  <c r="T54" i="6"/>
  <c r="S54" i="6" s="1"/>
  <c r="K54" i="6"/>
  <c r="J54" i="6" s="1"/>
  <c r="AI51" i="6"/>
  <c r="H50" i="6"/>
  <c r="AI41" i="6"/>
  <c r="Q46" i="6"/>
  <c r="Z51" i="6"/>
  <c r="H56" i="6"/>
  <c r="B54" i="6"/>
  <c r="A54" i="6" s="1"/>
  <c r="AC49" i="6"/>
  <c r="AB49" i="6" s="1"/>
  <c r="T49" i="6"/>
  <c r="S49" i="6" s="1"/>
  <c r="Q51" i="6"/>
  <c r="AI46" i="6"/>
  <c r="AC44" i="6"/>
  <c r="AB44" i="6" s="1"/>
  <c r="T44" i="6"/>
  <c r="S44" i="6" s="1"/>
  <c r="K44" i="6"/>
  <c r="J44" i="6" s="1"/>
  <c r="H49" i="6"/>
  <c r="C44" i="6"/>
  <c r="F44" i="6"/>
  <c r="H48" i="6"/>
  <c r="H47" i="6"/>
  <c r="D44" i="6"/>
  <c r="E44" i="6"/>
  <c r="G44" i="6"/>
  <c r="B44" i="6"/>
  <c r="AC38" i="6"/>
  <c r="AE38" i="6"/>
  <c r="AF38" i="6"/>
  <c r="AG38" i="6"/>
  <c r="AH38" i="6"/>
  <c r="AD38" i="6"/>
  <c r="AI40" i="6"/>
  <c r="U38" i="6"/>
  <c r="V38" i="6"/>
  <c r="W38" i="6"/>
  <c r="X38" i="6"/>
  <c r="Y38" i="6"/>
  <c r="Z41" i="6"/>
  <c r="Q40" i="6"/>
  <c r="Z40" i="6"/>
  <c r="T38" i="6"/>
  <c r="K38" i="6"/>
  <c r="J38" i="6" s="1"/>
  <c r="H40" i="6"/>
  <c r="W32" i="6"/>
  <c r="B38" i="6"/>
  <c r="A38" i="6" s="1"/>
  <c r="Z25" i="6"/>
  <c r="AI26" i="6"/>
  <c r="H35" i="6"/>
  <c r="T32" i="6"/>
  <c r="Z26" i="6"/>
  <c r="Z35" i="6"/>
  <c r="U32" i="6"/>
  <c r="V32" i="6"/>
  <c r="AI28" i="6"/>
  <c r="AI35" i="6"/>
  <c r="Z27" i="6"/>
  <c r="Q25" i="6"/>
  <c r="H30" i="6"/>
  <c r="Z10" i="6"/>
  <c r="Q15" i="6"/>
  <c r="AI15" i="6"/>
  <c r="AI20" i="6"/>
  <c r="AI25" i="6"/>
  <c r="AI29" i="6"/>
  <c r="AC33" i="6"/>
  <c r="AB33" i="6" s="1"/>
  <c r="X32" i="6"/>
  <c r="Y32" i="6"/>
  <c r="Z34" i="6"/>
  <c r="Q35" i="6"/>
  <c r="K33" i="6"/>
  <c r="J33" i="6" s="1"/>
  <c r="B33" i="6"/>
  <c r="A33" i="6" s="1"/>
  <c r="B28" i="6"/>
  <c r="A28" i="6" s="1"/>
  <c r="Q30" i="6"/>
  <c r="AI27" i="6"/>
  <c r="AE23" i="6"/>
  <c r="AF23" i="6"/>
  <c r="AG23" i="6"/>
  <c r="AH23" i="6"/>
  <c r="AD23" i="6"/>
  <c r="AC23" i="6"/>
  <c r="U23" i="6"/>
  <c r="V23" i="6"/>
  <c r="W23" i="6"/>
  <c r="X23" i="6"/>
  <c r="Y23" i="6"/>
  <c r="T23" i="6"/>
  <c r="AC18" i="6"/>
  <c r="AB18" i="6" s="1"/>
  <c r="T18" i="6"/>
  <c r="U18" i="6"/>
  <c r="V18" i="6"/>
  <c r="W18" i="6"/>
  <c r="X18" i="6"/>
  <c r="Y18" i="6"/>
  <c r="Z15" i="6"/>
  <c r="Z20" i="6"/>
  <c r="K23" i="6"/>
  <c r="J23" i="6" s="1"/>
  <c r="Q20" i="6"/>
  <c r="K18" i="6"/>
  <c r="J18" i="6" s="1"/>
  <c r="AC13" i="6"/>
  <c r="AB13" i="6" s="1"/>
  <c r="T13" i="6"/>
  <c r="S13" i="6" s="1"/>
  <c r="K13" i="6"/>
  <c r="J13" i="6" s="1"/>
  <c r="AI10" i="6"/>
  <c r="AC8" i="6"/>
  <c r="AB8" i="6" s="1"/>
  <c r="T8" i="6"/>
  <c r="S8" i="6" s="1"/>
  <c r="Q12" i="2"/>
  <c r="Q15" i="2"/>
  <c r="Q10" i="2"/>
  <c r="Q8" i="2"/>
  <c r="Q14" i="2"/>
  <c r="Q11" i="2"/>
  <c r="Q9" i="2"/>
  <c r="Q7" i="2"/>
  <c r="Q13" i="2"/>
  <c r="Q5" i="2"/>
  <c r="H24" i="6"/>
  <c r="H23" i="6"/>
  <c r="H22" i="6"/>
  <c r="H21" i="6"/>
  <c r="H20" i="6"/>
  <c r="H19" i="6"/>
  <c r="H18" i="6"/>
  <c r="H17" i="6"/>
  <c r="H16" i="6"/>
  <c r="H15" i="6"/>
  <c r="H14" i="6"/>
  <c r="H13" i="6"/>
  <c r="Q8" i="6"/>
  <c r="H12" i="6"/>
  <c r="AD3" i="6"/>
  <c r="F3" i="6"/>
  <c r="Q7" i="6"/>
  <c r="Q6" i="6"/>
  <c r="L3" i="6"/>
  <c r="AH3" i="6"/>
  <c r="AC3" i="6"/>
  <c r="N3" i="6"/>
  <c r="AG3" i="6"/>
  <c r="B3" i="6"/>
  <c r="G3" i="6"/>
  <c r="M3" i="6"/>
  <c r="D3" i="6"/>
  <c r="E3" i="6"/>
  <c r="O3" i="6"/>
  <c r="P3" i="6"/>
  <c r="Z5" i="6"/>
  <c r="H6" i="6"/>
  <c r="X3" i="6"/>
  <c r="AE3" i="6"/>
  <c r="H9" i="6"/>
  <c r="AF3" i="6"/>
  <c r="H11" i="6"/>
  <c r="C3" i="6"/>
  <c r="V3" i="6"/>
  <c r="U3" i="6"/>
  <c r="H8" i="6"/>
  <c r="W3" i="6"/>
  <c r="H10" i="6"/>
  <c r="Q5" i="6"/>
  <c r="H7" i="6"/>
  <c r="AI5" i="6"/>
  <c r="T3" i="6"/>
  <c r="K3" i="6"/>
  <c r="Y3" i="6"/>
  <c r="H5" i="6"/>
  <c r="AE216" i="3"/>
  <c r="AD216" i="3"/>
  <c r="AC216" i="3"/>
  <c r="AB216" i="3"/>
  <c r="AA216" i="3"/>
  <c r="Z216" i="3"/>
  <c r="V216" i="3"/>
  <c r="U216" i="3"/>
  <c r="T216" i="3"/>
  <c r="S216" i="3"/>
  <c r="R216" i="3"/>
  <c r="Q216" i="3"/>
  <c r="AE215" i="3"/>
  <c r="AD215" i="3"/>
  <c r="AC215" i="3"/>
  <c r="AB215" i="3"/>
  <c r="AA215" i="3"/>
  <c r="Z215" i="3"/>
  <c r="V215" i="3"/>
  <c r="U215" i="3"/>
  <c r="T215" i="3"/>
  <c r="S215" i="3"/>
  <c r="R215" i="3"/>
  <c r="Q215" i="3"/>
  <c r="AE214" i="3"/>
  <c r="AD214" i="3"/>
  <c r="AC214" i="3"/>
  <c r="AB214" i="3"/>
  <c r="AA214" i="3"/>
  <c r="Z214" i="3"/>
  <c r="V214" i="3"/>
  <c r="U214" i="3"/>
  <c r="T214" i="3"/>
  <c r="S214" i="3"/>
  <c r="R214" i="3"/>
  <c r="Q214" i="3"/>
  <c r="AE213" i="3"/>
  <c r="AD213" i="3"/>
  <c r="AC213" i="3"/>
  <c r="AB213" i="3"/>
  <c r="AA213" i="3"/>
  <c r="Z213" i="3"/>
  <c r="V213" i="3"/>
  <c r="U213" i="3"/>
  <c r="T213" i="3"/>
  <c r="S213" i="3"/>
  <c r="R213" i="3"/>
  <c r="Q213" i="3"/>
  <c r="AE212" i="3"/>
  <c r="AD212" i="3"/>
  <c r="AC212" i="3"/>
  <c r="AB212" i="3"/>
  <c r="AA212" i="3"/>
  <c r="Z212" i="3"/>
  <c r="V212" i="3"/>
  <c r="U212" i="3"/>
  <c r="T212" i="3"/>
  <c r="S212" i="3"/>
  <c r="R212" i="3"/>
  <c r="Q212" i="3"/>
  <c r="AE211" i="3"/>
  <c r="AD211" i="3"/>
  <c r="AC211" i="3"/>
  <c r="AB211" i="3"/>
  <c r="AA211" i="3"/>
  <c r="Z211" i="3"/>
  <c r="V211" i="3"/>
  <c r="U211" i="3"/>
  <c r="T211" i="3"/>
  <c r="S211" i="3"/>
  <c r="R211" i="3"/>
  <c r="Q211" i="3"/>
  <c r="AE210" i="3"/>
  <c r="AD210" i="3"/>
  <c r="AC210" i="3"/>
  <c r="AB210" i="3"/>
  <c r="AA210" i="3"/>
  <c r="Z210" i="3"/>
  <c r="V210" i="3"/>
  <c r="U210" i="3"/>
  <c r="T210" i="3"/>
  <c r="S210" i="3"/>
  <c r="R210" i="3"/>
  <c r="Q210" i="3"/>
  <c r="AE209" i="3"/>
  <c r="AD209" i="3"/>
  <c r="AC209" i="3"/>
  <c r="AB209" i="3"/>
  <c r="AA209" i="3"/>
  <c r="Z209" i="3"/>
  <c r="V209" i="3"/>
  <c r="U209" i="3"/>
  <c r="T209" i="3"/>
  <c r="S209" i="3"/>
  <c r="R209" i="3"/>
  <c r="Q209" i="3"/>
  <c r="AE205" i="3"/>
  <c r="AD205" i="3"/>
  <c r="AC205" i="3"/>
  <c r="AB205" i="3"/>
  <c r="AA205" i="3"/>
  <c r="Z205" i="3"/>
  <c r="V205" i="3"/>
  <c r="U205" i="3"/>
  <c r="T205" i="3"/>
  <c r="S205" i="3"/>
  <c r="R205" i="3"/>
  <c r="Q205" i="3"/>
  <c r="AE204" i="3"/>
  <c r="AD204" i="3"/>
  <c r="AC204" i="3"/>
  <c r="AB204" i="3"/>
  <c r="AA204" i="3"/>
  <c r="Z204" i="3"/>
  <c r="V204" i="3"/>
  <c r="U204" i="3"/>
  <c r="T204" i="3"/>
  <c r="S204" i="3"/>
  <c r="R204" i="3"/>
  <c r="Q204" i="3"/>
  <c r="AE203" i="3"/>
  <c r="AD203" i="3"/>
  <c r="AC203" i="3"/>
  <c r="AB203" i="3"/>
  <c r="AA203" i="3"/>
  <c r="Z203" i="3"/>
  <c r="V203" i="3"/>
  <c r="U203" i="3"/>
  <c r="T203" i="3"/>
  <c r="S203" i="3"/>
  <c r="R203" i="3"/>
  <c r="Q203" i="3"/>
  <c r="AE202" i="3"/>
  <c r="AD202" i="3"/>
  <c r="AC202" i="3"/>
  <c r="AB202" i="3"/>
  <c r="AA202" i="3"/>
  <c r="Z202" i="3"/>
  <c r="V202" i="3"/>
  <c r="U202" i="3"/>
  <c r="T202" i="3"/>
  <c r="S202" i="3"/>
  <c r="R202" i="3"/>
  <c r="Q202" i="3"/>
  <c r="AE201" i="3"/>
  <c r="AD201" i="3"/>
  <c r="AC201" i="3"/>
  <c r="AB201" i="3"/>
  <c r="AA201" i="3"/>
  <c r="Z201" i="3"/>
  <c r="V201" i="3"/>
  <c r="U201" i="3"/>
  <c r="T201" i="3"/>
  <c r="S201" i="3"/>
  <c r="R201" i="3"/>
  <c r="Q201" i="3"/>
  <c r="AE200" i="3"/>
  <c r="AD200" i="3"/>
  <c r="AC200" i="3"/>
  <c r="AB200" i="3"/>
  <c r="AA200" i="3"/>
  <c r="Z200" i="3"/>
  <c r="V200" i="3"/>
  <c r="U200" i="3"/>
  <c r="T200" i="3"/>
  <c r="S200" i="3"/>
  <c r="R200" i="3"/>
  <c r="Q200" i="3"/>
  <c r="AE199" i="3"/>
  <c r="AD199" i="3"/>
  <c r="AC199" i="3"/>
  <c r="AB199" i="3"/>
  <c r="AA199" i="3"/>
  <c r="Z199" i="3"/>
  <c r="V199" i="3"/>
  <c r="U199" i="3"/>
  <c r="T199" i="3"/>
  <c r="S199" i="3"/>
  <c r="R199" i="3"/>
  <c r="Q199" i="3"/>
  <c r="AE198" i="3"/>
  <c r="AD198" i="3"/>
  <c r="AC198" i="3"/>
  <c r="AB198" i="3"/>
  <c r="AA198" i="3"/>
  <c r="Z198" i="3"/>
  <c r="V198" i="3"/>
  <c r="U198" i="3"/>
  <c r="T198" i="3"/>
  <c r="S198" i="3"/>
  <c r="R198" i="3"/>
  <c r="Q198" i="3"/>
  <c r="AE194" i="3"/>
  <c r="AD194" i="3"/>
  <c r="AC194" i="3"/>
  <c r="AB194" i="3"/>
  <c r="AA194" i="3"/>
  <c r="Z194" i="3"/>
  <c r="V194" i="3"/>
  <c r="U194" i="3"/>
  <c r="T194" i="3"/>
  <c r="S194" i="3"/>
  <c r="R194" i="3"/>
  <c r="Q194" i="3"/>
  <c r="AE193" i="3"/>
  <c r="AD193" i="3"/>
  <c r="AC193" i="3"/>
  <c r="AB193" i="3"/>
  <c r="AA193" i="3"/>
  <c r="Z193" i="3"/>
  <c r="V193" i="3"/>
  <c r="U193" i="3"/>
  <c r="T193" i="3"/>
  <c r="S193" i="3"/>
  <c r="R193" i="3"/>
  <c r="Q193" i="3"/>
  <c r="AE192" i="3"/>
  <c r="AD192" i="3"/>
  <c r="AC192" i="3"/>
  <c r="AB192" i="3"/>
  <c r="AA192" i="3"/>
  <c r="Z192" i="3"/>
  <c r="V192" i="3"/>
  <c r="U192" i="3"/>
  <c r="T192" i="3"/>
  <c r="S192" i="3"/>
  <c r="R192" i="3"/>
  <c r="Q192" i="3"/>
  <c r="AE191" i="3"/>
  <c r="AD191" i="3"/>
  <c r="AC191" i="3"/>
  <c r="AB191" i="3"/>
  <c r="AA191" i="3"/>
  <c r="Z191" i="3"/>
  <c r="V191" i="3"/>
  <c r="U191" i="3"/>
  <c r="T191" i="3"/>
  <c r="S191" i="3"/>
  <c r="R191" i="3"/>
  <c r="Q191" i="3"/>
  <c r="AE190" i="3"/>
  <c r="AD190" i="3"/>
  <c r="AC190" i="3"/>
  <c r="AB190" i="3"/>
  <c r="AA190" i="3"/>
  <c r="Z190" i="3"/>
  <c r="V190" i="3"/>
  <c r="U190" i="3"/>
  <c r="T190" i="3"/>
  <c r="S190" i="3"/>
  <c r="R190" i="3"/>
  <c r="Q190" i="3"/>
  <c r="AE189" i="3"/>
  <c r="AD189" i="3"/>
  <c r="AC189" i="3"/>
  <c r="AB189" i="3"/>
  <c r="AA189" i="3"/>
  <c r="Z189" i="3"/>
  <c r="V189" i="3"/>
  <c r="U189" i="3"/>
  <c r="T189" i="3"/>
  <c r="S189" i="3"/>
  <c r="R189" i="3"/>
  <c r="Q189" i="3"/>
  <c r="AE188" i="3"/>
  <c r="AD188" i="3"/>
  <c r="AC188" i="3"/>
  <c r="AB188" i="3"/>
  <c r="AA188" i="3"/>
  <c r="Z188" i="3"/>
  <c r="V188" i="3"/>
  <c r="U188" i="3"/>
  <c r="T188" i="3"/>
  <c r="S188" i="3"/>
  <c r="R188" i="3"/>
  <c r="Q188" i="3"/>
  <c r="AE187" i="3"/>
  <c r="AD187" i="3"/>
  <c r="AC187" i="3"/>
  <c r="AB187" i="3"/>
  <c r="AA187" i="3"/>
  <c r="Z187" i="3"/>
  <c r="V187" i="3"/>
  <c r="U187" i="3"/>
  <c r="T187" i="3"/>
  <c r="S187" i="3"/>
  <c r="R187" i="3"/>
  <c r="Q187" i="3"/>
  <c r="AE183" i="3"/>
  <c r="AD183" i="3"/>
  <c r="AC183" i="3"/>
  <c r="AB183" i="3"/>
  <c r="AA183" i="3"/>
  <c r="Z183" i="3"/>
  <c r="V183" i="3"/>
  <c r="U183" i="3"/>
  <c r="T183" i="3"/>
  <c r="S183" i="3"/>
  <c r="R183" i="3"/>
  <c r="Q183" i="3"/>
  <c r="AE182" i="3"/>
  <c r="AD182" i="3"/>
  <c r="AC182" i="3"/>
  <c r="AB182" i="3"/>
  <c r="AA182" i="3"/>
  <c r="Z182" i="3"/>
  <c r="V182" i="3"/>
  <c r="U182" i="3"/>
  <c r="T182" i="3"/>
  <c r="S182" i="3"/>
  <c r="R182" i="3"/>
  <c r="Q182" i="3"/>
  <c r="AE181" i="3"/>
  <c r="AD181" i="3"/>
  <c r="AC181" i="3"/>
  <c r="AB181" i="3"/>
  <c r="AA181" i="3"/>
  <c r="Z181" i="3"/>
  <c r="V181" i="3"/>
  <c r="U181" i="3"/>
  <c r="T181" i="3"/>
  <c r="S181" i="3"/>
  <c r="R181" i="3"/>
  <c r="Q181" i="3"/>
  <c r="AE177" i="3"/>
  <c r="AD177" i="3"/>
  <c r="AC177" i="3"/>
  <c r="AB177" i="3"/>
  <c r="AA177" i="3"/>
  <c r="Z177" i="3"/>
  <c r="V177" i="3"/>
  <c r="U177" i="3"/>
  <c r="T177" i="3"/>
  <c r="S177" i="3"/>
  <c r="R177" i="3"/>
  <c r="Q177" i="3"/>
  <c r="AE176" i="3"/>
  <c r="AD176" i="3"/>
  <c r="AC176" i="3"/>
  <c r="AB176" i="3"/>
  <c r="AA176" i="3"/>
  <c r="Z176" i="3"/>
  <c r="V176" i="3"/>
  <c r="U176" i="3"/>
  <c r="T176" i="3"/>
  <c r="S176" i="3"/>
  <c r="R176" i="3"/>
  <c r="Q176" i="3"/>
  <c r="AE175" i="3"/>
  <c r="AD175" i="3"/>
  <c r="AC175" i="3"/>
  <c r="AB175" i="3"/>
  <c r="AA175" i="3"/>
  <c r="Z175" i="3"/>
  <c r="V175" i="3"/>
  <c r="U175" i="3"/>
  <c r="T175" i="3"/>
  <c r="S175" i="3"/>
  <c r="R175" i="3"/>
  <c r="Q175" i="3"/>
  <c r="AE171" i="3"/>
  <c r="AD171" i="3"/>
  <c r="AC171" i="3"/>
  <c r="AB171" i="3"/>
  <c r="AA171" i="3"/>
  <c r="Z171" i="3"/>
  <c r="V171" i="3"/>
  <c r="U171" i="3"/>
  <c r="T171" i="3"/>
  <c r="S171" i="3"/>
  <c r="R171" i="3"/>
  <c r="Q171" i="3"/>
  <c r="AE170" i="3"/>
  <c r="AD170" i="3"/>
  <c r="AC170" i="3"/>
  <c r="AB170" i="3"/>
  <c r="AA170" i="3"/>
  <c r="Z170" i="3"/>
  <c r="V170" i="3"/>
  <c r="U170" i="3"/>
  <c r="T170" i="3"/>
  <c r="S170" i="3"/>
  <c r="R170" i="3"/>
  <c r="Q170" i="3"/>
  <c r="AE169" i="3"/>
  <c r="AD169" i="3"/>
  <c r="AC169" i="3"/>
  <c r="AB169" i="3"/>
  <c r="AA169" i="3"/>
  <c r="Z169" i="3"/>
  <c r="V169" i="3"/>
  <c r="U169" i="3"/>
  <c r="T169" i="3"/>
  <c r="S169" i="3"/>
  <c r="R169" i="3"/>
  <c r="Q169" i="3"/>
  <c r="AE165" i="3"/>
  <c r="AD165" i="3"/>
  <c r="AC165" i="3"/>
  <c r="AB165" i="3"/>
  <c r="AA165" i="3"/>
  <c r="Z165" i="3"/>
  <c r="V165" i="3"/>
  <c r="U165" i="3"/>
  <c r="T165" i="3"/>
  <c r="S165" i="3"/>
  <c r="R165" i="3"/>
  <c r="Q165" i="3"/>
  <c r="AE164" i="3"/>
  <c r="AD164" i="3"/>
  <c r="AC164" i="3"/>
  <c r="AB164" i="3"/>
  <c r="AA164" i="3"/>
  <c r="Z164" i="3"/>
  <c r="V164" i="3"/>
  <c r="U164" i="3"/>
  <c r="T164" i="3"/>
  <c r="S164" i="3"/>
  <c r="R164" i="3"/>
  <c r="Q164" i="3"/>
  <c r="AE163" i="3"/>
  <c r="AD163" i="3"/>
  <c r="AC163" i="3"/>
  <c r="AB163" i="3"/>
  <c r="AA163" i="3"/>
  <c r="Z163" i="3"/>
  <c r="V163" i="3"/>
  <c r="U163" i="3"/>
  <c r="T163" i="3"/>
  <c r="S163" i="3"/>
  <c r="R163" i="3"/>
  <c r="Q163" i="3"/>
  <c r="AE162" i="3"/>
  <c r="AD162" i="3"/>
  <c r="AC162" i="3"/>
  <c r="AB162" i="3"/>
  <c r="AA162" i="3"/>
  <c r="Z162" i="3"/>
  <c r="V162" i="3"/>
  <c r="U162" i="3"/>
  <c r="T162" i="3"/>
  <c r="S162" i="3"/>
  <c r="R162" i="3"/>
  <c r="Q162" i="3"/>
  <c r="AE161" i="3"/>
  <c r="AD161" i="3"/>
  <c r="AC161" i="3"/>
  <c r="AB161" i="3"/>
  <c r="AA161" i="3"/>
  <c r="Z161" i="3"/>
  <c r="V161" i="3"/>
  <c r="U161" i="3"/>
  <c r="T161" i="3"/>
  <c r="S161" i="3"/>
  <c r="R161" i="3"/>
  <c r="Q161" i="3"/>
  <c r="AE160" i="3"/>
  <c r="AD160" i="3"/>
  <c r="AC160" i="3"/>
  <c r="AB160" i="3"/>
  <c r="AA160" i="3"/>
  <c r="Z160" i="3"/>
  <c r="V160" i="3"/>
  <c r="U160" i="3"/>
  <c r="T160" i="3"/>
  <c r="S160" i="3"/>
  <c r="R160" i="3"/>
  <c r="Q160" i="3"/>
  <c r="AE159" i="3"/>
  <c r="AD159" i="3"/>
  <c r="AC159" i="3"/>
  <c r="AB159" i="3"/>
  <c r="AA159" i="3"/>
  <c r="Z159" i="3"/>
  <c r="V159" i="3"/>
  <c r="U159" i="3"/>
  <c r="T159" i="3"/>
  <c r="S159" i="3"/>
  <c r="R159" i="3"/>
  <c r="Q159" i="3"/>
  <c r="AE155" i="3"/>
  <c r="AD155" i="3"/>
  <c r="AC155" i="3"/>
  <c r="AB155" i="3"/>
  <c r="AA155" i="3"/>
  <c r="Z155" i="3"/>
  <c r="V155" i="3"/>
  <c r="U155" i="3"/>
  <c r="T155" i="3"/>
  <c r="S155" i="3"/>
  <c r="R155" i="3"/>
  <c r="Q155" i="3"/>
  <c r="AE154" i="3"/>
  <c r="AD154" i="3"/>
  <c r="AC154" i="3"/>
  <c r="AB154" i="3"/>
  <c r="AA154" i="3"/>
  <c r="Z154" i="3"/>
  <c r="V154" i="3"/>
  <c r="U154" i="3"/>
  <c r="T154" i="3"/>
  <c r="S154" i="3"/>
  <c r="R154" i="3"/>
  <c r="Q154" i="3"/>
  <c r="AE153" i="3"/>
  <c r="AD153" i="3"/>
  <c r="AC153" i="3"/>
  <c r="AB153" i="3"/>
  <c r="AA153" i="3"/>
  <c r="Z153" i="3"/>
  <c r="V153" i="3"/>
  <c r="U153" i="3"/>
  <c r="T153" i="3"/>
  <c r="S153" i="3"/>
  <c r="R153" i="3"/>
  <c r="Q153" i="3"/>
  <c r="AE152" i="3"/>
  <c r="AD152" i="3"/>
  <c r="AC152" i="3"/>
  <c r="AB152" i="3"/>
  <c r="AA152" i="3"/>
  <c r="Z152" i="3"/>
  <c r="V152" i="3"/>
  <c r="U152" i="3"/>
  <c r="T152" i="3"/>
  <c r="S152" i="3"/>
  <c r="R152" i="3"/>
  <c r="Q152" i="3"/>
  <c r="AE151" i="3"/>
  <c r="AD151" i="3"/>
  <c r="AC151" i="3"/>
  <c r="AB151" i="3"/>
  <c r="AA151" i="3"/>
  <c r="Z151" i="3"/>
  <c r="V151" i="3"/>
  <c r="U151" i="3"/>
  <c r="T151" i="3"/>
  <c r="S151" i="3"/>
  <c r="R151" i="3"/>
  <c r="Q151" i="3"/>
  <c r="AE150" i="3"/>
  <c r="AD150" i="3"/>
  <c r="AC150" i="3"/>
  <c r="AB150" i="3"/>
  <c r="AA150" i="3"/>
  <c r="Z150" i="3"/>
  <c r="V150" i="3"/>
  <c r="U150" i="3"/>
  <c r="T150" i="3"/>
  <c r="S150" i="3"/>
  <c r="R150" i="3"/>
  <c r="Q150" i="3"/>
  <c r="AE149" i="3"/>
  <c r="AD149" i="3"/>
  <c r="AC149" i="3"/>
  <c r="AB149" i="3"/>
  <c r="AA149" i="3"/>
  <c r="Z149" i="3"/>
  <c r="V149" i="3"/>
  <c r="U149" i="3"/>
  <c r="T149" i="3"/>
  <c r="S149" i="3"/>
  <c r="R149" i="3"/>
  <c r="Q149" i="3"/>
  <c r="AE145" i="3"/>
  <c r="AD145" i="3"/>
  <c r="AC145" i="3"/>
  <c r="AB145" i="3"/>
  <c r="AA145" i="3"/>
  <c r="Z145" i="3"/>
  <c r="V145" i="3"/>
  <c r="U145" i="3"/>
  <c r="T145" i="3"/>
  <c r="S145" i="3"/>
  <c r="R145" i="3"/>
  <c r="Q145" i="3"/>
  <c r="AE144" i="3"/>
  <c r="AD144" i="3"/>
  <c r="AC144" i="3"/>
  <c r="AB144" i="3"/>
  <c r="AA144" i="3"/>
  <c r="Z144" i="3"/>
  <c r="V144" i="3"/>
  <c r="U144" i="3"/>
  <c r="T144" i="3"/>
  <c r="S144" i="3"/>
  <c r="R144" i="3"/>
  <c r="Q144" i="3"/>
  <c r="AE143" i="3"/>
  <c r="AD143" i="3"/>
  <c r="AC143" i="3"/>
  <c r="AB143" i="3"/>
  <c r="AA143" i="3"/>
  <c r="Z143" i="3"/>
  <c r="V143" i="3"/>
  <c r="U143" i="3"/>
  <c r="T143" i="3"/>
  <c r="S143" i="3"/>
  <c r="R143" i="3"/>
  <c r="Q143" i="3"/>
  <c r="AE142" i="3"/>
  <c r="AD142" i="3"/>
  <c r="AC142" i="3"/>
  <c r="AB142" i="3"/>
  <c r="AA142" i="3"/>
  <c r="Z142" i="3"/>
  <c r="V142" i="3"/>
  <c r="U142" i="3"/>
  <c r="T142" i="3"/>
  <c r="S142" i="3"/>
  <c r="R142" i="3"/>
  <c r="Q142" i="3"/>
  <c r="AE141" i="3"/>
  <c r="AD141" i="3"/>
  <c r="AC141" i="3"/>
  <c r="AB141" i="3"/>
  <c r="AA141" i="3"/>
  <c r="Z141" i="3"/>
  <c r="V141" i="3"/>
  <c r="U141" i="3"/>
  <c r="T141" i="3"/>
  <c r="S141" i="3"/>
  <c r="R141" i="3"/>
  <c r="Q141" i="3"/>
  <c r="AE140" i="3"/>
  <c r="AD140" i="3"/>
  <c r="AC140" i="3"/>
  <c r="AB140" i="3"/>
  <c r="AA140" i="3"/>
  <c r="Z140" i="3"/>
  <c r="V140" i="3"/>
  <c r="U140" i="3"/>
  <c r="T140" i="3"/>
  <c r="S140" i="3"/>
  <c r="R140" i="3"/>
  <c r="Q140" i="3"/>
  <c r="AE139" i="3"/>
  <c r="AD139" i="3"/>
  <c r="AC139" i="3"/>
  <c r="AB139" i="3"/>
  <c r="AA139" i="3"/>
  <c r="Z139" i="3"/>
  <c r="V139" i="3"/>
  <c r="U139" i="3"/>
  <c r="T139" i="3"/>
  <c r="S139" i="3"/>
  <c r="R139" i="3"/>
  <c r="Q139" i="3"/>
  <c r="AE135" i="3"/>
  <c r="AD135" i="3"/>
  <c r="AC135" i="3"/>
  <c r="AB135" i="3"/>
  <c r="AA135" i="3"/>
  <c r="Z135" i="3"/>
  <c r="V135" i="3"/>
  <c r="U135" i="3"/>
  <c r="T135" i="3"/>
  <c r="S135" i="3"/>
  <c r="R135" i="3"/>
  <c r="Q135" i="3"/>
  <c r="AE134" i="3"/>
  <c r="AD134" i="3"/>
  <c r="AC134" i="3"/>
  <c r="AB134" i="3"/>
  <c r="AA134" i="3"/>
  <c r="Z134" i="3"/>
  <c r="V134" i="3"/>
  <c r="U134" i="3"/>
  <c r="T134" i="3"/>
  <c r="S134" i="3"/>
  <c r="R134" i="3"/>
  <c r="Q134" i="3"/>
  <c r="AE133" i="3"/>
  <c r="AD133" i="3"/>
  <c r="AC133" i="3"/>
  <c r="AB133" i="3"/>
  <c r="AA133" i="3"/>
  <c r="Z133" i="3"/>
  <c r="V133" i="3"/>
  <c r="U133" i="3"/>
  <c r="T133" i="3"/>
  <c r="S133" i="3"/>
  <c r="R133" i="3"/>
  <c r="Q133" i="3"/>
  <c r="AE132" i="3"/>
  <c r="AD132" i="3"/>
  <c r="AC132" i="3"/>
  <c r="AB132" i="3"/>
  <c r="AA132" i="3"/>
  <c r="Z132" i="3"/>
  <c r="V132" i="3"/>
  <c r="U132" i="3"/>
  <c r="T132" i="3"/>
  <c r="S132" i="3"/>
  <c r="R132" i="3"/>
  <c r="Q132" i="3"/>
  <c r="AE131" i="3"/>
  <c r="AD131" i="3"/>
  <c r="AC131" i="3"/>
  <c r="AB131" i="3"/>
  <c r="AA131" i="3"/>
  <c r="Z131" i="3"/>
  <c r="V131" i="3"/>
  <c r="U131" i="3"/>
  <c r="T131" i="3"/>
  <c r="S131" i="3"/>
  <c r="R131" i="3"/>
  <c r="Q131" i="3"/>
  <c r="AE130" i="3"/>
  <c r="AD130" i="3"/>
  <c r="AC130" i="3"/>
  <c r="AB130" i="3"/>
  <c r="AA130" i="3"/>
  <c r="Z130" i="3"/>
  <c r="V130" i="3"/>
  <c r="U130" i="3"/>
  <c r="T130" i="3"/>
  <c r="S130" i="3"/>
  <c r="R130" i="3"/>
  <c r="Q130" i="3"/>
  <c r="AE129" i="3"/>
  <c r="AD129" i="3"/>
  <c r="AC129" i="3"/>
  <c r="AB129" i="3"/>
  <c r="AA129" i="3"/>
  <c r="Z129" i="3"/>
  <c r="V129" i="3"/>
  <c r="U129" i="3"/>
  <c r="T129" i="3"/>
  <c r="S129" i="3"/>
  <c r="R129" i="3"/>
  <c r="Q129" i="3"/>
  <c r="AE128" i="3"/>
  <c r="AD128" i="3"/>
  <c r="AC128" i="3"/>
  <c r="AB128" i="3"/>
  <c r="AA128" i="3"/>
  <c r="Z128" i="3"/>
  <c r="V128" i="3"/>
  <c r="U128" i="3"/>
  <c r="T128" i="3"/>
  <c r="S128" i="3"/>
  <c r="R128" i="3"/>
  <c r="Q128" i="3"/>
  <c r="AE127" i="3"/>
  <c r="AD127" i="3"/>
  <c r="AC127" i="3"/>
  <c r="AB127" i="3"/>
  <c r="AA127" i="3"/>
  <c r="Z127" i="3"/>
  <c r="V127" i="3"/>
  <c r="U127" i="3"/>
  <c r="T127" i="3"/>
  <c r="S127" i="3"/>
  <c r="R127" i="3"/>
  <c r="Q127" i="3"/>
  <c r="AE123" i="3"/>
  <c r="AD123" i="3"/>
  <c r="AC123" i="3"/>
  <c r="AB123" i="3"/>
  <c r="AA123" i="3"/>
  <c r="Z123" i="3"/>
  <c r="V123" i="3"/>
  <c r="U123" i="3"/>
  <c r="T123" i="3"/>
  <c r="S123" i="3"/>
  <c r="R123" i="3"/>
  <c r="Q123" i="3"/>
  <c r="AE122" i="3"/>
  <c r="AD122" i="3"/>
  <c r="AC122" i="3"/>
  <c r="AB122" i="3"/>
  <c r="AA122" i="3"/>
  <c r="Z122" i="3"/>
  <c r="V122" i="3"/>
  <c r="U122" i="3"/>
  <c r="T122" i="3"/>
  <c r="S122" i="3"/>
  <c r="R122" i="3"/>
  <c r="Q122" i="3"/>
  <c r="AE121" i="3"/>
  <c r="AD121" i="3"/>
  <c r="AC121" i="3"/>
  <c r="AB121" i="3"/>
  <c r="AA121" i="3"/>
  <c r="Z121" i="3"/>
  <c r="V121" i="3"/>
  <c r="U121" i="3"/>
  <c r="T121" i="3"/>
  <c r="S121" i="3"/>
  <c r="R121" i="3"/>
  <c r="Q121" i="3"/>
  <c r="AE120" i="3"/>
  <c r="AD120" i="3"/>
  <c r="AC120" i="3"/>
  <c r="AB120" i="3"/>
  <c r="AA120" i="3"/>
  <c r="Z120" i="3"/>
  <c r="V120" i="3"/>
  <c r="U120" i="3"/>
  <c r="T120" i="3"/>
  <c r="S120" i="3"/>
  <c r="R120" i="3"/>
  <c r="Q120" i="3"/>
  <c r="AE119" i="3"/>
  <c r="AD119" i="3"/>
  <c r="AC119" i="3"/>
  <c r="AB119" i="3"/>
  <c r="AA119" i="3"/>
  <c r="Z119" i="3"/>
  <c r="V119" i="3"/>
  <c r="U119" i="3"/>
  <c r="T119" i="3"/>
  <c r="S119" i="3"/>
  <c r="R119" i="3"/>
  <c r="Q119" i="3"/>
  <c r="AE118" i="3"/>
  <c r="AD118" i="3"/>
  <c r="AC118" i="3"/>
  <c r="AB118" i="3"/>
  <c r="AA118" i="3"/>
  <c r="Z118" i="3"/>
  <c r="V118" i="3"/>
  <c r="U118" i="3"/>
  <c r="T118" i="3"/>
  <c r="S118" i="3"/>
  <c r="R118" i="3"/>
  <c r="Q118" i="3"/>
  <c r="AE117" i="3"/>
  <c r="AD117" i="3"/>
  <c r="AC117" i="3"/>
  <c r="AB117" i="3"/>
  <c r="AA117" i="3"/>
  <c r="Z117" i="3"/>
  <c r="V117" i="3"/>
  <c r="U117" i="3"/>
  <c r="T117" i="3"/>
  <c r="S117" i="3"/>
  <c r="R117" i="3"/>
  <c r="Q117" i="3"/>
  <c r="AE116" i="3"/>
  <c r="AD116" i="3"/>
  <c r="AC116" i="3"/>
  <c r="AB116" i="3"/>
  <c r="AA116" i="3"/>
  <c r="Z116" i="3"/>
  <c r="V116" i="3"/>
  <c r="U116" i="3"/>
  <c r="T116" i="3"/>
  <c r="S116" i="3"/>
  <c r="R116" i="3"/>
  <c r="Q116" i="3"/>
  <c r="AE115" i="3"/>
  <c r="AD115" i="3"/>
  <c r="AC115" i="3"/>
  <c r="AB115" i="3"/>
  <c r="AA115" i="3"/>
  <c r="Z115" i="3"/>
  <c r="V115" i="3"/>
  <c r="U115" i="3"/>
  <c r="T115" i="3"/>
  <c r="S115" i="3"/>
  <c r="R115" i="3"/>
  <c r="Q115" i="3"/>
  <c r="AE111" i="3"/>
  <c r="AD111" i="3"/>
  <c r="AC111" i="3"/>
  <c r="AB111" i="3"/>
  <c r="AA111" i="3"/>
  <c r="Z111" i="3"/>
  <c r="V111" i="3"/>
  <c r="U111" i="3"/>
  <c r="T111" i="3"/>
  <c r="S111" i="3"/>
  <c r="R111" i="3"/>
  <c r="Q111" i="3"/>
  <c r="AE110" i="3"/>
  <c r="AD110" i="3"/>
  <c r="AC110" i="3"/>
  <c r="AB110" i="3"/>
  <c r="AA110" i="3"/>
  <c r="Z110" i="3"/>
  <c r="V110" i="3"/>
  <c r="U110" i="3"/>
  <c r="T110" i="3"/>
  <c r="S110" i="3"/>
  <c r="R110" i="3"/>
  <c r="Q110" i="3"/>
  <c r="AE109" i="3"/>
  <c r="AD109" i="3"/>
  <c r="AC109" i="3"/>
  <c r="AB109" i="3"/>
  <c r="AA109" i="3"/>
  <c r="Z109" i="3"/>
  <c r="V109" i="3"/>
  <c r="U109" i="3"/>
  <c r="T109" i="3"/>
  <c r="S109" i="3"/>
  <c r="R109" i="3"/>
  <c r="Q109" i="3"/>
  <c r="AE108" i="3"/>
  <c r="AD108" i="3"/>
  <c r="AC108" i="3"/>
  <c r="AB108" i="3"/>
  <c r="AA108" i="3"/>
  <c r="Z108" i="3"/>
  <c r="V108" i="3"/>
  <c r="U108" i="3"/>
  <c r="T108" i="3"/>
  <c r="S108" i="3"/>
  <c r="R108" i="3"/>
  <c r="Q108" i="3"/>
  <c r="AE107" i="3"/>
  <c r="AD107" i="3"/>
  <c r="AC107" i="3"/>
  <c r="AB107" i="3"/>
  <c r="AA107" i="3"/>
  <c r="Z107" i="3"/>
  <c r="V107" i="3"/>
  <c r="U107" i="3"/>
  <c r="T107" i="3"/>
  <c r="S107" i="3"/>
  <c r="R107" i="3"/>
  <c r="Q107" i="3"/>
  <c r="AE106" i="3"/>
  <c r="AD106" i="3"/>
  <c r="AC106" i="3"/>
  <c r="AB106" i="3"/>
  <c r="AA106" i="3"/>
  <c r="Z106" i="3"/>
  <c r="V106" i="3"/>
  <c r="U106" i="3"/>
  <c r="T106" i="3"/>
  <c r="S106" i="3"/>
  <c r="R106" i="3"/>
  <c r="Q106" i="3"/>
  <c r="AE105" i="3"/>
  <c r="AD105" i="3"/>
  <c r="AC105" i="3"/>
  <c r="AB105" i="3"/>
  <c r="AA105" i="3"/>
  <c r="Z105" i="3"/>
  <c r="V105" i="3"/>
  <c r="U105" i="3"/>
  <c r="T105" i="3"/>
  <c r="S105" i="3"/>
  <c r="R105" i="3"/>
  <c r="Q105" i="3"/>
  <c r="AE104" i="3"/>
  <c r="AD104" i="3"/>
  <c r="AC104" i="3"/>
  <c r="AB104" i="3"/>
  <c r="AA104" i="3"/>
  <c r="Z104" i="3"/>
  <c r="V104" i="3"/>
  <c r="U104" i="3"/>
  <c r="T104" i="3"/>
  <c r="S104" i="3"/>
  <c r="R104" i="3"/>
  <c r="Q104" i="3"/>
  <c r="AE103" i="3"/>
  <c r="AD103" i="3"/>
  <c r="AC103" i="3"/>
  <c r="AB103" i="3"/>
  <c r="AA103" i="3"/>
  <c r="Z103" i="3"/>
  <c r="V103" i="3"/>
  <c r="U103" i="3"/>
  <c r="T103" i="3"/>
  <c r="S103" i="3"/>
  <c r="R103" i="3"/>
  <c r="Q103" i="3"/>
  <c r="AE99" i="3"/>
  <c r="AD99" i="3"/>
  <c r="AC99" i="3"/>
  <c r="AB99" i="3"/>
  <c r="AA99" i="3"/>
  <c r="Z99" i="3"/>
  <c r="V99" i="3"/>
  <c r="U99" i="3"/>
  <c r="T99" i="3"/>
  <c r="S99" i="3"/>
  <c r="R99" i="3"/>
  <c r="Q99" i="3"/>
  <c r="AE98" i="3"/>
  <c r="AD98" i="3"/>
  <c r="AC98" i="3"/>
  <c r="AB98" i="3"/>
  <c r="AA98" i="3"/>
  <c r="Z98" i="3"/>
  <c r="V98" i="3"/>
  <c r="U98" i="3"/>
  <c r="T98" i="3"/>
  <c r="S98" i="3"/>
  <c r="R98" i="3"/>
  <c r="Q98" i="3"/>
  <c r="AE97" i="3"/>
  <c r="AD97" i="3"/>
  <c r="AC97" i="3"/>
  <c r="AB97" i="3"/>
  <c r="AA97" i="3"/>
  <c r="Z97" i="3"/>
  <c r="V97" i="3"/>
  <c r="U97" i="3"/>
  <c r="T97" i="3"/>
  <c r="S97" i="3"/>
  <c r="R97" i="3"/>
  <c r="Q97" i="3"/>
  <c r="AE93" i="3"/>
  <c r="AD93" i="3"/>
  <c r="AC93" i="3"/>
  <c r="AB93" i="3"/>
  <c r="AA93" i="3"/>
  <c r="Z93" i="3"/>
  <c r="V93" i="3"/>
  <c r="U93" i="3"/>
  <c r="T93" i="3"/>
  <c r="S93" i="3"/>
  <c r="R93" i="3"/>
  <c r="Q93" i="3"/>
  <c r="AE92" i="3"/>
  <c r="AD92" i="3"/>
  <c r="AC92" i="3"/>
  <c r="AB92" i="3"/>
  <c r="AA92" i="3"/>
  <c r="Z92" i="3"/>
  <c r="V92" i="3"/>
  <c r="U92" i="3"/>
  <c r="T92" i="3"/>
  <c r="S92" i="3"/>
  <c r="R92" i="3"/>
  <c r="Q92" i="3"/>
  <c r="AE91" i="3"/>
  <c r="AD91" i="3"/>
  <c r="AC91" i="3"/>
  <c r="AB91" i="3"/>
  <c r="AA91" i="3"/>
  <c r="Z91" i="3"/>
  <c r="V91" i="3"/>
  <c r="U91" i="3"/>
  <c r="T91" i="3"/>
  <c r="S91" i="3"/>
  <c r="R91" i="3"/>
  <c r="Q91" i="3"/>
  <c r="AE87" i="3"/>
  <c r="AD87" i="3"/>
  <c r="AC87" i="3"/>
  <c r="AB87" i="3"/>
  <c r="AA87" i="3"/>
  <c r="Z87" i="3"/>
  <c r="V87" i="3"/>
  <c r="U87" i="3"/>
  <c r="T87" i="3"/>
  <c r="S87" i="3"/>
  <c r="R87" i="3"/>
  <c r="Q87" i="3"/>
  <c r="AE86" i="3"/>
  <c r="AD86" i="3"/>
  <c r="AC86" i="3"/>
  <c r="AB86" i="3"/>
  <c r="AA86" i="3"/>
  <c r="Z86" i="3"/>
  <c r="V86" i="3"/>
  <c r="U86" i="3"/>
  <c r="T86" i="3"/>
  <c r="S86" i="3"/>
  <c r="R86" i="3"/>
  <c r="Q86" i="3"/>
  <c r="AE85" i="3"/>
  <c r="AD85" i="3"/>
  <c r="AC85" i="3"/>
  <c r="AB85" i="3"/>
  <c r="AA85" i="3"/>
  <c r="Z85" i="3"/>
  <c r="V85" i="3"/>
  <c r="U85" i="3"/>
  <c r="T85" i="3"/>
  <c r="S85" i="3"/>
  <c r="R85" i="3"/>
  <c r="Q85" i="3"/>
  <c r="V79" i="3"/>
  <c r="U79" i="3"/>
  <c r="T79" i="3"/>
  <c r="S79" i="3"/>
  <c r="R79" i="3"/>
  <c r="Q79" i="3"/>
  <c r="AE75" i="3"/>
  <c r="AD75" i="3"/>
  <c r="AC75" i="3"/>
  <c r="AB75" i="3"/>
  <c r="AA75" i="3"/>
  <c r="Z75" i="3"/>
  <c r="AE74" i="3"/>
  <c r="AD74" i="3"/>
  <c r="AC74" i="3"/>
  <c r="AB74" i="3"/>
  <c r="AA74" i="3"/>
  <c r="Z74" i="3"/>
  <c r="AE73" i="3"/>
  <c r="AD73" i="3"/>
  <c r="AC73" i="3"/>
  <c r="AB73" i="3"/>
  <c r="AA73" i="3"/>
  <c r="Z73" i="3"/>
  <c r="V73" i="3"/>
  <c r="U73" i="3"/>
  <c r="T73" i="3"/>
  <c r="S73" i="3"/>
  <c r="R73" i="3"/>
  <c r="Q73" i="3"/>
  <c r="AE69" i="3"/>
  <c r="AD69" i="3"/>
  <c r="AC69" i="3"/>
  <c r="AB69" i="3"/>
  <c r="AA69" i="3"/>
  <c r="Z69" i="3"/>
  <c r="V69" i="3"/>
  <c r="U69" i="3"/>
  <c r="T69" i="3"/>
  <c r="S69" i="3"/>
  <c r="R69" i="3"/>
  <c r="Q69" i="3"/>
  <c r="AE65" i="3"/>
  <c r="AD65" i="3"/>
  <c r="AC65" i="3"/>
  <c r="AB65" i="3"/>
  <c r="AA65" i="3"/>
  <c r="Z65" i="3"/>
  <c r="V65" i="3"/>
  <c r="U65" i="3"/>
  <c r="T65" i="3"/>
  <c r="S65" i="3"/>
  <c r="R65" i="3"/>
  <c r="Q65" i="3"/>
  <c r="AE61" i="3"/>
  <c r="AD61" i="3"/>
  <c r="AC61" i="3"/>
  <c r="AB61" i="3"/>
  <c r="AA61" i="3"/>
  <c r="Z61" i="3"/>
  <c r="V61" i="3"/>
  <c r="U61" i="3"/>
  <c r="T61" i="3"/>
  <c r="S61" i="3"/>
  <c r="R61" i="3"/>
  <c r="Q61" i="3"/>
  <c r="V57" i="3"/>
  <c r="U57" i="3"/>
  <c r="T57" i="3"/>
  <c r="S57" i="3"/>
  <c r="R57" i="3"/>
  <c r="Q57" i="3"/>
  <c r="V56" i="3"/>
  <c r="U56" i="3"/>
  <c r="T56" i="3"/>
  <c r="S56" i="3"/>
  <c r="R56" i="3"/>
  <c r="Q56" i="3"/>
  <c r="V55" i="3"/>
  <c r="U55" i="3"/>
  <c r="T55" i="3"/>
  <c r="S55" i="3"/>
  <c r="R55" i="3"/>
  <c r="Q55" i="3"/>
  <c r="V54" i="3"/>
  <c r="U54" i="3"/>
  <c r="T54" i="3"/>
  <c r="S54" i="3"/>
  <c r="R54" i="3"/>
  <c r="Q54" i="3"/>
  <c r="AE53" i="3"/>
  <c r="AD53" i="3"/>
  <c r="AC53" i="3"/>
  <c r="AB53" i="3"/>
  <c r="AA53" i="3"/>
  <c r="Z53" i="3"/>
  <c r="V53" i="3"/>
  <c r="U53" i="3"/>
  <c r="T53" i="3"/>
  <c r="S53" i="3"/>
  <c r="R53" i="3"/>
  <c r="Q53" i="3"/>
  <c r="AE49" i="3"/>
  <c r="AD49" i="3"/>
  <c r="AC49" i="3"/>
  <c r="AB49" i="3"/>
  <c r="AA49" i="3"/>
  <c r="Z49" i="3"/>
  <c r="V49" i="3"/>
  <c r="U49" i="3"/>
  <c r="T49" i="3"/>
  <c r="S49" i="3"/>
  <c r="R49" i="3"/>
  <c r="Q49" i="3"/>
  <c r="AE45" i="3"/>
  <c r="AD45" i="3"/>
  <c r="AC45" i="3"/>
  <c r="AB45" i="3"/>
  <c r="AA45" i="3"/>
  <c r="Z45" i="3"/>
  <c r="V45" i="3"/>
  <c r="U45" i="3"/>
  <c r="T45" i="3"/>
  <c r="S45" i="3"/>
  <c r="R45" i="3"/>
  <c r="Q45" i="3"/>
  <c r="AE41" i="3"/>
  <c r="AD41" i="3"/>
  <c r="AC41" i="3"/>
  <c r="AB41" i="3"/>
  <c r="AA41" i="3"/>
  <c r="Z41" i="3"/>
  <c r="V41" i="3"/>
  <c r="U41" i="3"/>
  <c r="T41" i="3"/>
  <c r="S41" i="3"/>
  <c r="R41" i="3"/>
  <c r="Q41" i="3"/>
  <c r="AE37" i="3"/>
  <c r="AD37" i="3"/>
  <c r="AC37" i="3"/>
  <c r="AB37" i="3"/>
  <c r="AA37" i="3"/>
  <c r="Z37" i="3"/>
  <c r="V37" i="3"/>
  <c r="U37" i="3"/>
  <c r="T37" i="3"/>
  <c r="S37" i="3"/>
  <c r="R37" i="3"/>
  <c r="Q37" i="3"/>
  <c r="P37" i="2"/>
  <c r="O37" i="2"/>
  <c r="N37" i="2"/>
  <c r="M37" i="2"/>
  <c r="L37" i="2"/>
  <c r="K37" i="2"/>
  <c r="P36" i="2"/>
  <c r="O36" i="2"/>
  <c r="N36" i="2"/>
  <c r="M36" i="2"/>
  <c r="L36" i="2"/>
  <c r="K36" i="2"/>
  <c r="P35" i="2"/>
  <c r="O35" i="2"/>
  <c r="N35" i="2"/>
  <c r="M35" i="2"/>
  <c r="L35" i="2"/>
  <c r="K35" i="2"/>
  <c r="P34" i="2"/>
  <c r="O34" i="2"/>
  <c r="N34" i="2"/>
  <c r="M34" i="2"/>
  <c r="L34" i="2"/>
  <c r="K34" i="2"/>
  <c r="P33" i="2"/>
  <c r="O33" i="2"/>
  <c r="N33" i="2"/>
  <c r="M33" i="2"/>
  <c r="L33" i="2"/>
  <c r="K33" i="2"/>
  <c r="P32" i="2"/>
  <c r="O32" i="2"/>
  <c r="N32" i="2"/>
  <c r="M32" i="2"/>
  <c r="L32" i="2"/>
  <c r="K32" i="2"/>
  <c r="G32" i="2"/>
  <c r="F32" i="2"/>
  <c r="E32" i="2"/>
  <c r="D32" i="2"/>
  <c r="C32" i="2"/>
  <c r="B32" i="2"/>
  <c r="P31" i="2"/>
  <c r="O31" i="2"/>
  <c r="N31" i="2"/>
  <c r="M31" i="2"/>
  <c r="L31" i="2"/>
  <c r="K31" i="2"/>
  <c r="G31" i="2"/>
  <c r="F31" i="2"/>
  <c r="E31" i="2"/>
  <c r="D31" i="2"/>
  <c r="C31" i="2"/>
  <c r="B31" i="2"/>
  <c r="P26" i="2"/>
  <c r="O26" i="2"/>
  <c r="N26" i="2"/>
  <c r="M26" i="2"/>
  <c r="L26" i="2"/>
  <c r="K26" i="2"/>
  <c r="P25" i="2"/>
  <c r="O25" i="2"/>
  <c r="N25" i="2"/>
  <c r="M25" i="2"/>
  <c r="L25" i="2"/>
  <c r="K25" i="2"/>
  <c r="P24" i="2"/>
  <c r="O24" i="2"/>
  <c r="N24" i="2"/>
  <c r="M24" i="2"/>
  <c r="L24" i="2"/>
  <c r="K24" i="2"/>
  <c r="P23" i="2"/>
  <c r="O23" i="2"/>
  <c r="N23" i="2"/>
  <c r="M23" i="2"/>
  <c r="L23" i="2"/>
  <c r="K23" i="2"/>
  <c r="G23" i="2"/>
  <c r="F23" i="2"/>
  <c r="E23" i="2"/>
  <c r="D23" i="2"/>
  <c r="C23" i="2"/>
  <c r="B23" i="2"/>
  <c r="P22" i="2"/>
  <c r="O22" i="2"/>
  <c r="N22" i="2"/>
  <c r="M22" i="2"/>
  <c r="L22" i="2"/>
  <c r="K22" i="2"/>
  <c r="G22" i="2"/>
  <c r="F22" i="2"/>
  <c r="E22" i="2"/>
  <c r="D22" i="2"/>
  <c r="C22" i="2"/>
  <c r="B22" i="2"/>
  <c r="Y21" i="2"/>
  <c r="X21" i="2"/>
  <c r="W21" i="2"/>
  <c r="V21" i="2"/>
  <c r="U21" i="2"/>
  <c r="T21" i="2"/>
  <c r="P21" i="2"/>
  <c r="O21" i="2"/>
  <c r="N21" i="2"/>
  <c r="M21" i="2"/>
  <c r="L21" i="2"/>
  <c r="K21" i="2"/>
  <c r="G21" i="2"/>
  <c r="F21" i="2"/>
  <c r="E21" i="2"/>
  <c r="D21" i="2"/>
  <c r="C21" i="2"/>
  <c r="B21" i="2"/>
  <c r="AH20" i="2"/>
  <c r="AH18" i="2" s="1"/>
  <c r="AG20" i="2"/>
  <c r="AG18" i="2" s="1"/>
  <c r="AF20" i="2"/>
  <c r="AF18" i="2" s="1"/>
  <c r="AE20" i="2"/>
  <c r="AE18" i="2" s="1"/>
  <c r="AD20" i="2"/>
  <c r="AD18" i="2" s="1"/>
  <c r="AC20" i="2"/>
  <c r="Y20" i="2"/>
  <c r="X20" i="2"/>
  <c r="W20" i="2"/>
  <c r="V20" i="2"/>
  <c r="U20" i="2"/>
  <c r="T20" i="2"/>
  <c r="P20" i="2"/>
  <c r="O20" i="2"/>
  <c r="N20" i="2"/>
  <c r="M20" i="2"/>
  <c r="L20" i="2"/>
  <c r="K20" i="2"/>
  <c r="G20" i="2"/>
  <c r="F20" i="2"/>
  <c r="E20" i="2"/>
  <c r="D20" i="2"/>
  <c r="C20" i="2"/>
  <c r="B20" i="2"/>
  <c r="AH13" i="2"/>
  <c r="AG13" i="2"/>
  <c r="AF13" i="2"/>
  <c r="AE13" i="2"/>
  <c r="AD13" i="2"/>
  <c r="AC13" i="2"/>
  <c r="Y13" i="2"/>
  <c r="X13" i="2"/>
  <c r="W13" i="2"/>
  <c r="V13" i="2"/>
  <c r="U13" i="2"/>
  <c r="T13" i="2"/>
  <c r="AH12" i="2"/>
  <c r="AG12" i="2"/>
  <c r="AF12" i="2"/>
  <c r="AE12" i="2"/>
  <c r="AD12" i="2"/>
  <c r="AC12" i="2"/>
  <c r="Y12" i="2"/>
  <c r="X12" i="2"/>
  <c r="W12" i="2"/>
  <c r="V12" i="2"/>
  <c r="U12" i="2"/>
  <c r="T12" i="2"/>
  <c r="AH11" i="2"/>
  <c r="AG11" i="2"/>
  <c r="AF11" i="2"/>
  <c r="AE11" i="2"/>
  <c r="AD11" i="2"/>
  <c r="AC11" i="2"/>
  <c r="Y11" i="2"/>
  <c r="X11" i="2"/>
  <c r="W11" i="2"/>
  <c r="V11" i="2"/>
  <c r="U11" i="2"/>
  <c r="T11" i="2"/>
  <c r="G11" i="2"/>
  <c r="F11" i="2"/>
  <c r="E11" i="2"/>
  <c r="D11" i="2"/>
  <c r="C11" i="2"/>
  <c r="B11" i="2"/>
  <c r="AH10" i="2"/>
  <c r="AG10" i="2"/>
  <c r="AF10" i="2"/>
  <c r="AE10" i="2"/>
  <c r="AD10" i="2"/>
  <c r="AC10" i="2"/>
  <c r="Y10" i="2"/>
  <c r="X10" i="2"/>
  <c r="W10" i="2"/>
  <c r="V10" i="2"/>
  <c r="U10" i="2"/>
  <c r="T10" i="2"/>
  <c r="G10" i="2"/>
  <c r="F10" i="2"/>
  <c r="E10" i="2"/>
  <c r="D10" i="2"/>
  <c r="C10" i="2"/>
  <c r="B10" i="2"/>
  <c r="AH9" i="2"/>
  <c r="AG9" i="2"/>
  <c r="AF9" i="2"/>
  <c r="AE9" i="2"/>
  <c r="AD9" i="2"/>
  <c r="AC9" i="2"/>
  <c r="Y9" i="2"/>
  <c r="X9" i="2"/>
  <c r="W9" i="2"/>
  <c r="V9" i="2"/>
  <c r="U9" i="2"/>
  <c r="T9" i="2"/>
  <c r="G9" i="2"/>
  <c r="F9" i="2"/>
  <c r="E9" i="2"/>
  <c r="D9" i="2"/>
  <c r="C9" i="2"/>
  <c r="B9" i="2"/>
  <c r="AH8" i="2"/>
  <c r="AG8" i="2"/>
  <c r="AF8" i="2"/>
  <c r="AE8" i="2"/>
  <c r="AD8" i="2"/>
  <c r="AC8" i="2"/>
  <c r="Y8" i="2"/>
  <c r="X8" i="2"/>
  <c r="W8" i="2"/>
  <c r="V8" i="2"/>
  <c r="U8" i="2"/>
  <c r="T8" i="2"/>
  <c r="G8" i="2"/>
  <c r="F8" i="2"/>
  <c r="E8" i="2"/>
  <c r="D8" i="2"/>
  <c r="C8" i="2"/>
  <c r="B8" i="2"/>
  <c r="AH7" i="2"/>
  <c r="AG7" i="2"/>
  <c r="AF7" i="2"/>
  <c r="AE7" i="2"/>
  <c r="AD7" i="2"/>
  <c r="AC7" i="2"/>
  <c r="Y7" i="2"/>
  <c r="X7" i="2"/>
  <c r="W7" i="2"/>
  <c r="V7" i="2"/>
  <c r="U7" i="2"/>
  <c r="T7" i="2"/>
  <c r="G7" i="2"/>
  <c r="F7" i="2"/>
  <c r="E7" i="2"/>
  <c r="D7" i="2"/>
  <c r="C7" i="2"/>
  <c r="B7" i="2"/>
  <c r="AH6" i="2"/>
  <c r="AG6" i="2"/>
  <c r="AF6" i="2"/>
  <c r="AE6" i="2"/>
  <c r="AD6" i="2"/>
  <c r="AC6" i="2"/>
  <c r="Y6" i="2"/>
  <c r="X6" i="2"/>
  <c r="W6" i="2"/>
  <c r="V6" i="2"/>
  <c r="U6" i="2"/>
  <c r="T6" i="2"/>
  <c r="G6" i="2"/>
  <c r="F6" i="2"/>
  <c r="E6" i="2"/>
  <c r="D6" i="2"/>
  <c r="C6" i="2"/>
  <c r="B6" i="2"/>
  <c r="AH5" i="2"/>
  <c r="AG5" i="2"/>
  <c r="AF5" i="2"/>
  <c r="AE5" i="2"/>
  <c r="AD5" i="2"/>
  <c r="AC5" i="2"/>
  <c r="Y5" i="2"/>
  <c r="X5" i="2"/>
  <c r="W5" i="2"/>
  <c r="V5" i="2"/>
  <c r="U5" i="2"/>
  <c r="T5" i="2"/>
  <c r="G5" i="2"/>
  <c r="F5" i="2"/>
  <c r="E5" i="2"/>
  <c r="D5" i="2"/>
  <c r="C5" i="2"/>
  <c r="AB38" i="6" l="1"/>
  <c r="A59" i="6"/>
  <c r="AB23" i="6"/>
  <c r="AB59" i="6"/>
  <c r="J66" i="6"/>
  <c r="J59" i="6"/>
  <c r="J3" i="6"/>
  <c r="A3" i="6"/>
  <c r="S3" i="6"/>
  <c r="S38" i="6"/>
  <c r="S18" i="6"/>
  <c r="AB3" i="6"/>
  <c r="S23" i="6"/>
  <c r="S32" i="6"/>
  <c r="A44" i="6"/>
  <c r="V18" i="2"/>
  <c r="W18" i="2"/>
  <c r="U18" i="2"/>
  <c r="B3" i="2"/>
  <c r="G18" i="2"/>
  <c r="N18" i="2"/>
  <c r="W164" i="3"/>
  <c r="W215" i="3"/>
  <c r="V3" i="2"/>
  <c r="AG3" i="2"/>
  <c r="AF160" i="3"/>
  <c r="AF162" i="3"/>
  <c r="AF216" i="3"/>
  <c r="AF41" i="3"/>
  <c r="F11" i="3" s="1"/>
  <c r="W55" i="3"/>
  <c r="W129" i="3"/>
  <c r="W133" i="3"/>
  <c r="W144" i="3"/>
  <c r="W153" i="3"/>
  <c r="W155" i="3"/>
  <c r="W160" i="3"/>
  <c r="AF3" i="2"/>
  <c r="W93" i="3"/>
  <c r="W107" i="3"/>
  <c r="W122" i="3"/>
  <c r="W212" i="3"/>
  <c r="AI6" i="2"/>
  <c r="D3" i="2"/>
  <c r="AI8" i="2"/>
  <c r="AI10" i="2"/>
  <c r="E29" i="2"/>
  <c r="P29" i="2"/>
  <c r="Q33" i="2"/>
  <c r="Q36" i="2"/>
  <c r="AF69" i="3"/>
  <c r="M19" i="3" s="1"/>
  <c r="W86" i="3"/>
  <c r="W103" i="3"/>
  <c r="W109" i="3"/>
  <c r="W111" i="3"/>
  <c r="W118" i="3"/>
  <c r="AF205" i="3"/>
  <c r="AF210" i="3"/>
  <c r="X18" i="2"/>
  <c r="AF99" i="3"/>
  <c r="W140" i="3"/>
  <c r="W151" i="3"/>
  <c r="W169" i="3"/>
  <c r="W176" i="3"/>
  <c r="W190" i="3"/>
  <c r="W199" i="3"/>
  <c r="W201" i="3"/>
  <c r="W205" i="3"/>
  <c r="M18" i="2"/>
  <c r="D18" i="2"/>
  <c r="AI20" i="2"/>
  <c r="H22" i="2"/>
  <c r="AF87" i="3"/>
  <c r="AF143" i="3"/>
  <c r="W183" i="3"/>
  <c r="W194" i="3"/>
  <c r="N3" i="2"/>
  <c r="Z9" i="2"/>
  <c r="AF73" i="3"/>
  <c r="W85" i="3"/>
  <c r="AF134" i="3"/>
  <c r="AF152" i="3"/>
  <c r="AF189" i="3"/>
  <c r="AH3" i="2"/>
  <c r="F29" i="2"/>
  <c r="W53" i="3"/>
  <c r="W130" i="3"/>
  <c r="W132" i="3"/>
  <c r="AF177" i="3"/>
  <c r="AF213" i="3"/>
  <c r="X3" i="2"/>
  <c r="C29" i="2"/>
  <c r="AF118" i="3"/>
  <c r="AF120" i="3"/>
  <c r="W170" i="3"/>
  <c r="L3" i="2"/>
  <c r="W3" i="2"/>
  <c r="Z6" i="2"/>
  <c r="Z11" i="2"/>
  <c r="AI12" i="2"/>
  <c r="E18" i="2"/>
  <c r="P18" i="2"/>
  <c r="Q24" i="2"/>
  <c r="H32" i="2"/>
  <c r="Q35" i="2"/>
  <c r="W65" i="3"/>
  <c r="M10" i="3" s="1"/>
  <c r="W87" i="3"/>
  <c r="W92" i="3"/>
  <c r="AF97" i="3"/>
  <c r="AF106" i="3"/>
  <c r="W116" i="3"/>
  <c r="AF122" i="3"/>
  <c r="AF127" i="3"/>
  <c r="W134" i="3"/>
  <c r="W139" i="3"/>
  <c r="AF141" i="3"/>
  <c r="AF150" i="3"/>
  <c r="AF164" i="3"/>
  <c r="W175" i="3"/>
  <c r="W177" i="3"/>
  <c r="W182" i="3"/>
  <c r="AF187" i="3"/>
  <c r="AF193" i="3"/>
  <c r="W203" i="3"/>
  <c r="AF212" i="3"/>
  <c r="H5" i="2"/>
  <c r="M3" i="2"/>
  <c r="Z20" i="2"/>
  <c r="F18" i="2"/>
  <c r="Z21" i="2"/>
  <c r="Q25" i="2"/>
  <c r="G29" i="2"/>
  <c r="W45" i="3"/>
  <c r="F13" i="3" s="1"/>
  <c r="AF49" i="3"/>
  <c r="F18" i="3" s="1"/>
  <c r="W79" i="3"/>
  <c r="M16" i="3" s="1"/>
  <c r="W97" i="3"/>
  <c r="W99" i="3"/>
  <c r="AF104" i="3"/>
  <c r="AF110" i="3"/>
  <c r="W120" i="3"/>
  <c r="AF129" i="3"/>
  <c r="AF131" i="3"/>
  <c r="W141" i="3"/>
  <c r="W143" i="3"/>
  <c r="AF145" i="3"/>
  <c r="AF154" i="3"/>
  <c r="W162" i="3"/>
  <c r="AF169" i="3"/>
  <c r="AF171" i="3"/>
  <c r="W187" i="3"/>
  <c r="W189" i="3"/>
  <c r="AF191" i="3"/>
  <c r="AF200" i="3"/>
  <c r="W210" i="3"/>
  <c r="AF214" i="3"/>
  <c r="C3" i="2"/>
  <c r="Y3" i="2"/>
  <c r="H7" i="2"/>
  <c r="Q23" i="2"/>
  <c r="Q31" i="2"/>
  <c r="W41" i="3"/>
  <c r="F10" i="3" s="1"/>
  <c r="W56" i="3"/>
  <c r="AF61" i="3"/>
  <c r="M9" i="3" s="1"/>
  <c r="AF91" i="3"/>
  <c r="W104" i="3"/>
  <c r="W106" i="3"/>
  <c r="AF108" i="3"/>
  <c r="AF117" i="3"/>
  <c r="W127" i="3"/>
  <c r="AF133" i="3"/>
  <c r="AF135" i="3"/>
  <c r="W145" i="3"/>
  <c r="W150" i="3"/>
  <c r="AF159" i="3"/>
  <c r="AF176" i="3"/>
  <c r="AF181" i="3"/>
  <c r="W191" i="3"/>
  <c r="AF198" i="3"/>
  <c r="AF204" i="3"/>
  <c r="H6" i="2"/>
  <c r="AI5" i="2"/>
  <c r="O3" i="2"/>
  <c r="H8" i="2"/>
  <c r="Z8" i="2"/>
  <c r="H9" i="2"/>
  <c r="AI13" i="2"/>
  <c r="Q20" i="2"/>
  <c r="L18" i="2"/>
  <c r="L29" i="2"/>
  <c r="W54" i="3"/>
  <c r="W73" i="3"/>
  <c r="M21" i="3" s="1"/>
  <c r="AF75" i="3"/>
  <c r="AF98" i="3"/>
  <c r="W108" i="3"/>
  <c r="W110" i="3"/>
  <c r="AF115" i="3"/>
  <c r="AF121" i="3"/>
  <c r="W131" i="3"/>
  <c r="AF140" i="3"/>
  <c r="AF142" i="3"/>
  <c r="W152" i="3"/>
  <c r="W154" i="3"/>
  <c r="AF163" i="3"/>
  <c r="W171" i="3"/>
  <c r="AF183" i="3"/>
  <c r="AF188" i="3"/>
  <c r="W193" i="3"/>
  <c r="W198" i="3"/>
  <c r="W200" i="3"/>
  <c r="AF202" i="3"/>
  <c r="AF211" i="3"/>
  <c r="W214" i="3"/>
  <c r="W216" i="3"/>
  <c r="E3" i="2"/>
  <c r="P3" i="2"/>
  <c r="AD3" i="2"/>
  <c r="AI7" i="2"/>
  <c r="H10" i="2"/>
  <c r="Z10" i="2"/>
  <c r="H11" i="2"/>
  <c r="Z12" i="2"/>
  <c r="H23" i="2"/>
  <c r="H31" i="2"/>
  <c r="M29" i="2"/>
  <c r="Q34" i="2"/>
  <c r="AF37" i="3"/>
  <c r="F9" i="3" s="1"/>
  <c r="W49" i="3"/>
  <c r="F14" i="3" s="1"/>
  <c r="W69" i="3"/>
  <c r="M13" i="3" s="1"/>
  <c r="AF86" i="3"/>
  <c r="W91" i="3"/>
  <c r="AF103" i="3"/>
  <c r="AF105" i="3"/>
  <c r="W115" i="3"/>
  <c r="W117" i="3"/>
  <c r="AF119" i="3"/>
  <c r="AF128" i="3"/>
  <c r="W135" i="3"/>
  <c r="AF144" i="3"/>
  <c r="AF149" i="3"/>
  <c r="W159" i="3"/>
  <c r="AF161" i="3"/>
  <c r="W181" i="3"/>
  <c r="AF190" i="3"/>
  <c r="AF192" i="3"/>
  <c r="W202" i="3"/>
  <c r="W204" i="3"/>
  <c r="AF209" i="3"/>
  <c r="O18" i="2"/>
  <c r="F3" i="2"/>
  <c r="Z13" i="2"/>
  <c r="H20" i="2"/>
  <c r="Q21" i="2"/>
  <c r="N29" i="2"/>
  <c r="AF45" i="3"/>
  <c r="F16" i="3" s="1"/>
  <c r="AF53" i="3"/>
  <c r="M14" i="3" s="1"/>
  <c r="W61" i="3"/>
  <c r="M8" i="3" s="1"/>
  <c r="AF85" i="3"/>
  <c r="AF93" i="3"/>
  <c r="W98" i="3"/>
  <c r="AF107" i="3"/>
  <c r="AF109" i="3"/>
  <c r="W119" i="3"/>
  <c r="W121" i="3"/>
  <c r="AF123" i="3"/>
  <c r="AF132" i="3"/>
  <c r="W142" i="3"/>
  <c r="AF151" i="3"/>
  <c r="AF153" i="3"/>
  <c r="W161" i="3"/>
  <c r="W163" i="3"/>
  <c r="AF165" i="3"/>
  <c r="AF175" i="3"/>
  <c r="W188" i="3"/>
  <c r="AF194" i="3"/>
  <c r="AF199" i="3"/>
  <c r="W209" i="3"/>
  <c r="W211" i="3"/>
  <c r="AF215" i="3"/>
  <c r="Z5" i="2"/>
  <c r="AE3" i="2"/>
  <c r="AI9" i="2"/>
  <c r="Q37" i="2"/>
  <c r="G3" i="2"/>
  <c r="U3" i="2"/>
  <c r="Z7" i="2"/>
  <c r="AI11" i="2"/>
  <c r="C18" i="2"/>
  <c r="Y18" i="2"/>
  <c r="Q22" i="2"/>
  <c r="Q26" i="2"/>
  <c r="D29" i="2"/>
  <c r="O29" i="2"/>
  <c r="Q32" i="2"/>
  <c r="W37" i="3"/>
  <c r="F8" i="3" s="1"/>
  <c r="W57" i="3"/>
  <c r="AF65" i="3"/>
  <c r="M11" i="3" s="1"/>
  <c r="AF74" i="3"/>
  <c r="AF92" i="3"/>
  <c r="W105" i="3"/>
  <c r="AF111" i="3"/>
  <c r="AF116" i="3"/>
  <c r="W123" i="3"/>
  <c r="W128" i="3"/>
  <c r="AF130" i="3"/>
  <c r="AF139" i="3"/>
  <c r="W149" i="3"/>
  <c r="AF155" i="3"/>
  <c r="W165" i="3"/>
  <c r="AF170" i="3"/>
  <c r="AF182" i="3"/>
  <c r="W192" i="3"/>
  <c r="AF201" i="3"/>
  <c r="AF203" i="3"/>
  <c r="W213" i="3"/>
  <c r="AC18" i="2"/>
  <c r="AB18" i="2" s="1"/>
  <c r="H21" i="2"/>
  <c r="K29" i="2"/>
  <c r="AC3" i="2"/>
  <c r="T18" i="2"/>
  <c r="B29" i="2"/>
  <c r="T3" i="2"/>
  <c r="K3" i="2"/>
  <c r="K18" i="2"/>
  <c r="B18" i="2"/>
  <c r="A18" i="2" l="1"/>
  <c r="S3" i="2"/>
  <c r="S18" i="2"/>
  <c r="J18" i="2"/>
  <c r="J3" i="2"/>
  <c r="A29" i="2"/>
  <c r="A3" i="2"/>
  <c r="AB3" i="2"/>
  <c r="J29" i="2"/>
  <c r="H26" i="3"/>
  <c r="F21" i="3"/>
  <c r="L26" i="3"/>
  <c r="I28" i="3"/>
  <c r="G27" i="3"/>
  <c r="G26" i="3"/>
  <c r="J29" i="3"/>
  <c r="L28" i="3"/>
  <c r="I30" i="3"/>
  <c r="G28" i="3"/>
  <c r="J30" i="3"/>
  <c r="L30" i="3"/>
  <c r="K27" i="3"/>
  <c r="M22" i="3"/>
  <c r="K29" i="3"/>
  <c r="G29" i="3"/>
  <c r="L27" i="3"/>
  <c r="J27" i="3"/>
  <c r="K30" i="3"/>
  <c r="H30" i="3"/>
  <c r="K28" i="3"/>
  <c r="J28" i="3"/>
  <c r="H28" i="3"/>
  <c r="G30" i="3"/>
  <c r="H27" i="3"/>
  <c r="J26" i="3"/>
  <c r="I26" i="3"/>
  <c r="H29" i="3"/>
  <c r="L29" i="3"/>
  <c r="I29" i="3"/>
  <c r="K26" i="3"/>
  <c r="I27" i="3"/>
  <c r="M26" i="3" l="1"/>
  <c r="M28" i="3"/>
  <c r="M30" i="3"/>
  <c r="M27" i="3"/>
  <c r="M29" i="3"/>
  <c r="J6" i="7"/>
  <c r="I6" i="7"/>
  <c r="K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Elieser Aguilar</author>
    <author>UER Guairá</author>
  </authors>
  <commentList>
    <comment ref="A5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CIE-10:
Mielitis transversa aguda en enfermedad desmielinizante del sistema nervioso central</t>
        </r>
      </text>
    </comment>
    <comment ref="J5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CIE-10:
Escarlatina</t>
        </r>
      </text>
    </comment>
    <comment ref="S5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CIE-10:
Escarlatina</t>
        </r>
      </text>
    </comment>
    <comment ref="AB5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A6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CIE-10:
Polineuropatía inflamatoria</t>
        </r>
      </text>
    </comment>
    <comment ref="J6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CIE-10:
Exantema súbito [sexta enfermedad]</t>
        </r>
      </text>
    </comment>
    <comment ref="S6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CIE-10:
Exantema súbito [sexta enfermedad]</t>
        </r>
      </text>
    </comment>
    <comment ref="AB6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A7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CIE-10:
Miopatía, no especificada</t>
        </r>
      </text>
    </comment>
    <comment ref="J7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CIE-10:
Eritema infeccioso [quinta enfermedad]</t>
        </r>
      </text>
    </comment>
    <comment ref="S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CIE-10:
Eritema infeccioso [quinta enfermedad]</t>
        </r>
      </text>
    </comment>
    <comment ref="AB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CIE-10:
Laringitis y traqueitis aguda</t>
        </r>
      </text>
    </comment>
    <comment ref="A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CIE-10:
Paraplejia (paraparesia) y tetraplejia (tetraparesia)</t>
        </r>
      </text>
    </comment>
    <comment ref="J8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CIE-10:
Dermatitis atópica, no especificada</t>
        </r>
      </text>
    </comment>
    <comment ref="S8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CIE-10:
Dermatitis atópica, no especificada</t>
        </r>
      </text>
    </comment>
    <comment ref="AB8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CIE-10:
Difteria faríngea</t>
        </r>
      </text>
    </comment>
    <comment ref="A9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CIE-10:
Otros síntomas y signos que involucran los sistemas nervioso y osteomuscular y los no especificados</t>
        </r>
      </text>
    </comment>
    <comment ref="J9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CIE-10:
Dermatitis, no especificada</t>
        </r>
      </text>
    </comment>
    <comment ref="S9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CIE-10:
Dermatitis, no especificada</t>
        </r>
      </text>
    </comment>
    <comment ref="AB9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CIE-10:
Difteria nasofaríngea</t>
        </r>
      </text>
    </comment>
    <comment ref="A10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CIE-10:
Efecto tóxico de insecticidas organofosforados y carbamatos</t>
        </r>
      </text>
    </comment>
    <comment ref="J10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CIE-10:
Urticaria, no especificada</t>
        </r>
      </text>
    </comment>
    <comment ref="S10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CIE-10:
Urticaria, no especificada</t>
        </r>
      </text>
    </comment>
    <comment ref="AB10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CIE-10:
Difteria laríngea</t>
        </r>
      </text>
    </comment>
    <comment ref="A11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CIE-10:
Poliomielitis aguda</t>
        </r>
      </text>
    </comment>
    <comment ref="J1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CIE-10:
Afección eritematosa, no especificada</t>
        </r>
      </text>
    </comment>
    <comment ref="S11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CIE-10:
Afección eritematosa, no especificada</t>
        </r>
      </text>
    </comment>
    <comment ref="AB11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CIE-10:
Difteria cutánea</t>
        </r>
      </text>
    </comment>
    <comment ref="J12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CIE-10:
Exantema y otras erupciones cutáneas inespecíficas</t>
        </r>
      </text>
    </comment>
    <comment ref="S12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CIE-10:
Exantema y otras erupciones cutáneas inespecíficas</t>
        </r>
      </text>
    </comment>
    <comment ref="AB12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CIE-10:
Otras difterias</t>
        </r>
      </text>
    </comment>
    <comment ref="J13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CIE-10:
Rubéola [sarampión alemán]</t>
        </r>
      </text>
    </comment>
    <comment ref="S13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CIE-10:
Sarampión</t>
        </r>
      </text>
    </comment>
    <comment ref="AB13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CIE-10:
Difteria, no especificada</t>
        </r>
      </text>
    </comment>
    <comment ref="J14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CIE-10:
Contacto con y exposición a rubéola</t>
        </r>
      </text>
    </comment>
    <comment ref="J15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CIE-10:
Síndrome de rubéola congénita</t>
        </r>
      </text>
    </comment>
    <comment ref="A20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CIE-10:
Tos ferina, no especificada</t>
        </r>
      </text>
    </comment>
    <comment ref="J20" authorId="1" shapeId="0" xr:uid="{019B91E0-2008-46FD-A824-8BA9D8A587DD}">
      <text>
        <r>
          <rPr>
            <sz val="9"/>
            <color indexed="81"/>
            <rFont val="Tahoma"/>
            <family val="2"/>
          </rPr>
          <t>CIE-10:
Parotiditis</t>
        </r>
      </text>
    </comment>
    <comment ref="S20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CIE-10:
Tétanos neonatal</t>
        </r>
      </text>
    </comment>
    <comment ref="AB20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CIE-10:
Otros tétanos</t>
        </r>
      </text>
    </comment>
    <comment ref="A21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CIE-10:
Tos Ferina (Coqueluche)</t>
        </r>
      </text>
    </comment>
    <comment ref="J21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CIE-10:
Parotiditis infecciosa</t>
        </r>
      </text>
    </comment>
    <comment ref="S21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CIE-10:
Tétanos obstétrico</t>
        </r>
      </text>
    </comment>
    <comment ref="A22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CIE-10:
Tos ferina debida a Bordetella parapertussis</t>
        </r>
      </text>
    </comment>
    <comment ref="J22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CIE-10:
 Parotiditis infecciosa con orquitis</t>
        </r>
      </text>
    </comment>
    <comment ref="A23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CIE-10:
Tos ferina debida a otras especies de Bordetella</t>
        </r>
      </text>
    </comment>
    <comment ref="J23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CIE-10:
Parotiditis infecciosa con meningitis</t>
        </r>
      </text>
    </comment>
    <comment ref="J24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CIE-10:
Parotiditis infecciosa con encefalitis, meningoencefalitis</t>
        </r>
      </text>
    </comment>
    <comment ref="J25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CIE-10:
Parotiditis infecciosa con pancreatitis</t>
        </r>
      </text>
    </comment>
    <comment ref="J26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CIE-10:
Parotiditis infecciosa con otras complicaciones</t>
        </r>
      </text>
    </comment>
    <comment ref="A31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CIE-10:
Otros cambios de la piel y los no especificados</t>
        </r>
      </text>
    </comment>
    <comment ref="J31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CIE-10:
 Efectos adversos de otras vacunas y sustancias biológicas, y las no especificadas</t>
        </r>
      </text>
    </comment>
    <comment ref="A32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CIE-10:
Dermatitis de contacto, forma no especificada</t>
        </r>
      </text>
    </comment>
    <comment ref="J32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CIE-10:
Efectos adversos de vacunas virales</t>
        </r>
      </text>
    </comment>
    <comment ref="A33" authorId="1" shapeId="0" xr:uid="{26B0E27A-B0AA-4A9F-9D23-F94059A28092}">
      <text>
        <r>
          <rPr>
            <sz val="9"/>
            <color indexed="81"/>
            <rFont val="Tahoma"/>
            <family val="2"/>
          </rPr>
          <t>CIE-10:
Varicela</t>
        </r>
      </text>
    </comment>
    <comment ref="J33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CIE-10:
Efectos adversos de vacunas contra rickettsias</t>
        </r>
      </text>
    </comment>
    <comment ref="J34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CIE-10:
Efectos adversos de vacunas antiprotozoarias</t>
        </r>
      </text>
    </comment>
    <comment ref="J35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CIE-10:
Efectos adversos de la inmunoglobulina</t>
        </r>
      </text>
    </comment>
    <comment ref="J36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CIE-10:
Efectos adversos de otras vacunas y sustancias biológicas especificadas</t>
        </r>
      </text>
    </comment>
    <comment ref="J37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CIE-10:
Efectos adversos de vacunas o sustancias biológicas no especificadas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Elieser Aguilar</author>
  </authors>
  <commentList>
    <comment ref="P3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CIE-10:
Cólera</t>
        </r>
      </text>
    </comment>
    <comment ref="Y3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CIE-10:
Fiebre amarilla</t>
        </r>
      </text>
    </comment>
    <comment ref="P4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CIE-10:
Peste</t>
        </r>
      </text>
    </comment>
    <comment ref="Y4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A80:
Poliomielitis aguda</t>
        </r>
      </text>
    </comment>
    <comment ref="P4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CIE-10:
Rubéola [sarampión alemán]</t>
        </r>
      </text>
    </comment>
    <comment ref="Y45" authorId="1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CIE-10:
Sarampión</t>
        </r>
      </text>
    </comment>
    <comment ref="P49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CIE-10:
Síndrome de rubéola congénita</t>
        </r>
      </text>
    </comment>
    <comment ref="Y49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CIE-10:
Tétanos neonatal</t>
        </r>
      </text>
    </comment>
    <comment ref="P53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CIE-10:
Paludismo [malaria] debido a Plasmodium falciparum</t>
        </r>
      </text>
    </comment>
    <comment ref="Y53" authorId="1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CIE-10:
Conjuntivitis viral</t>
        </r>
      </text>
    </comment>
    <comment ref="P54" authorId="1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CIE-10:
Paludismo [malaria] debido a Plasmodium vivax</t>
        </r>
      </text>
    </comment>
    <comment ref="P55" authorId="1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CIE-10:
Paludismo [malaria] debido a Plasmodium malariae</t>
        </r>
      </text>
    </comment>
    <comment ref="P56" authorId="1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CIE-10:
Otro paludismo [malaria] confirmado parasitológicamente</t>
        </r>
      </text>
    </comment>
    <comment ref="P57" authorId="1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CIE-10:
Paludismo [malaria] no especificado</t>
        </r>
      </text>
    </comment>
    <comment ref="P61" authorId="1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CIE-10:
Parotiditis infecciosa</t>
        </r>
      </text>
    </comment>
    <comment ref="Y61" authorId="1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CIE-10:
Varicela</t>
        </r>
      </text>
    </comment>
    <comment ref="P65" authorId="1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CIE-10:
Hepatitis aguda tipo A</t>
        </r>
      </text>
    </comment>
    <comment ref="Y65" authorId="1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CIE-10:
Hepatitis viral, sin otra especificación</t>
        </r>
      </text>
    </comment>
    <comment ref="P69" authorId="1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69" authorId="1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CIE-10:
Sífilis congénita</t>
        </r>
      </text>
    </comment>
    <comment ref="P73" authorId="1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CIE-10:
Sífilis que complica el embarazo, el parto y el puerperio</t>
        </r>
      </text>
    </comment>
    <comment ref="Y73" authorId="1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CIE-10:
Sífilis precoz</t>
        </r>
      </text>
    </comment>
    <comment ref="Y74" authorId="1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CIE-10:
Sífilis tardía</t>
        </r>
      </text>
    </comment>
    <comment ref="Y75" authorId="1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CIE-10:
Otras sífilis y las no especificadas</t>
        </r>
      </text>
    </comment>
    <comment ref="P79" authorId="1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CIE-10:
Exantema súbito [sexta enfermedad]</t>
        </r>
      </text>
    </comment>
    <comment ref="P80" authorId="1" shapeId="0" xr:uid="{B7490482-B448-4379-BFD6-FC7AC0FF5E10}">
      <text>
        <r>
          <rPr>
            <sz val="9"/>
            <color indexed="81"/>
            <rFont val="Tahoma"/>
            <family val="2"/>
          </rPr>
          <t>CIE-10:
Eritema infeccioso [quinta enfermedad]</t>
        </r>
      </text>
    </comment>
    <comment ref="P81" authorId="1" shapeId="0" xr:uid="{FB985A86-C64B-4064-B4FD-3EB8737891EE}">
      <text>
        <r>
          <rPr>
            <sz val="9"/>
            <color indexed="81"/>
            <rFont val="Tahoma"/>
            <family val="2"/>
          </rPr>
          <t>CIE-10:
Estomatitis vesicular enteroviral con exantema</t>
        </r>
      </text>
    </comment>
    <comment ref="P85" authorId="1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Y85" authorId="1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P86" authorId="1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Y86" authorId="1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P87" authorId="1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Y87" authorId="1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P91" authorId="1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Y91" authorId="1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P92" authorId="1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Y92" authorId="1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P93" authorId="1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Y93" authorId="1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P97" authorId="1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Y97" authorId="1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CIE-10:
Rinofaringitis aguda [resfriado común]</t>
        </r>
      </text>
    </comment>
    <comment ref="P98" authorId="1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Y98" authorId="1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CIE-10:
Influenza debida a otro virus de la influenza identificado</t>
        </r>
      </text>
    </comment>
    <comment ref="P99" authorId="1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Y99" authorId="1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CIE-10:
Influenza debida a virus no identificado</t>
        </r>
      </text>
    </comment>
    <comment ref="P103" authorId="0" shapeId="0" xr:uid="{625F7DEF-83D3-4564-A9A3-97FF66982730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Y103" authorId="0" shapeId="0" xr:uid="{11D7D941-1EE2-4E8E-B5ED-C3685D948A06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P104" authorId="0" shapeId="0" xr:uid="{CBE2B1BB-AADA-4F4A-BB09-1B760C47FB85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Y104" authorId="0" shapeId="0" xr:uid="{27A67DC2-AF0C-462B-B3A7-EDCE71ED9018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P105" authorId="0" shapeId="0" xr:uid="{8831ECE9-1007-437E-B094-43CAEF3B8BB1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05" authorId="0" shapeId="0" xr:uid="{1D4CCF36-8DBF-4F6A-B8AE-88305B900A07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06" authorId="0" shapeId="0" xr:uid="{452984D8-0E5F-42E6-B790-0B38ECE4FF50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Y106" authorId="0" shapeId="0" xr:uid="{89263B55-A7CF-459E-96ED-E0947342CCC3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P107" authorId="0" shapeId="0" xr:uid="{EE1EB698-E93B-49FA-8C93-19939BBAAD41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Y107" authorId="0" shapeId="0" xr:uid="{42312267-FC7A-4542-A027-992F84347896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P108" authorId="0" shapeId="0" xr:uid="{48952837-430D-4280-B2FB-FDF4BB84CB4B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Y108" authorId="0" shapeId="0" xr:uid="{94382913-4092-4832-8E7A-683A04BF5B52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P109" authorId="0" shapeId="0" xr:uid="{49E659EA-12BF-4EEF-ABE2-96115844B19E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Y109" authorId="0" shapeId="0" xr:uid="{4875CCF9-928B-47B6-B48F-C826958B36CB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P110" authorId="0" shapeId="0" xr:uid="{9292CC0B-C5F7-448E-B153-31A254953D81}">
      <text/>
    </comment>
    <comment ref="Y110" authorId="0" shapeId="0" xr:uid="{68FE84D9-FD55-4703-A794-47633D45BE31}">
      <text/>
    </comment>
    <comment ref="P111" authorId="0" shapeId="0" xr:uid="{5DB069D7-E4B2-4C2F-8D33-D5FE9199E68B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Y111" authorId="0" shapeId="0" xr:uid="{1EC6446C-08FD-4F61-BD30-70783185C057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P115" authorId="0" shapeId="0" xr:uid="{53ADC560-3D78-45C9-8383-431D40BCB7D6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Y115" authorId="0" shapeId="0" xr:uid="{67366A0F-A72B-4894-B0D4-03B50B31F680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P116" authorId="0" shapeId="0" xr:uid="{93E4E927-586C-4208-A966-39FF343BA019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Y116" authorId="0" shapeId="0" xr:uid="{9348911D-0B9B-4093-AF99-AD4FEFAB3B01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P117" authorId="0" shapeId="0" xr:uid="{DF4C0E71-2C87-4230-AA0F-85121A7F4519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17" authorId="0" shapeId="0" xr:uid="{C7AF048C-6453-43CC-B99F-D60712F73F65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18" authorId="0" shapeId="0" xr:uid="{7244DF91-06D8-410F-BEEB-F8772FCDA751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Y118" authorId="0" shapeId="0" xr:uid="{F1307663-2F42-4E33-8913-347247F24773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P119" authorId="0" shapeId="0" xr:uid="{CE5B7B9E-62EF-4D15-A9C1-029ED271EE74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Y119" authorId="0" shapeId="0" xr:uid="{0F81E158-8FCF-4D0D-9BDC-F20B220256F0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P120" authorId="0" shapeId="0" xr:uid="{80BBF5A8-3D70-4E97-BEBD-BADCE5B78137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Y120" authorId="0" shapeId="0" xr:uid="{2A118E29-E2DB-478A-B23A-0DA24116FC2A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P121" authorId="0" shapeId="0" xr:uid="{971FE20A-85E1-49F5-ABEE-78506817A532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Y121" authorId="0" shapeId="0" xr:uid="{0663C926-5C43-4310-B7B7-6262D1574A9E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P122" authorId="0" shapeId="0" xr:uid="{F72C6AEB-6374-4DCB-B26C-97E28F81E751}">
      <text/>
    </comment>
    <comment ref="Y122" authorId="0" shapeId="0" xr:uid="{ED6301BE-C6BE-4339-9B0C-FA2751C07581}">
      <text/>
    </comment>
    <comment ref="P123" authorId="0" shapeId="0" xr:uid="{3C8CE917-6C89-4A34-B9C9-3B140FD84E26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Y123" authorId="0" shapeId="0" xr:uid="{AF1BB03D-B0F4-434A-BA69-5E7748834A47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P127" authorId="0" shapeId="0" xr:uid="{F4A58D52-7BB9-4351-B60C-A5CCBC982B21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Y127" authorId="0" shapeId="0" xr:uid="{C94C35AE-357F-4A76-BC5F-959F8FD72A5F}">
      <text>
        <r>
          <rPr>
            <sz val="11"/>
            <color theme="1"/>
            <rFont val="Calibri"/>
            <family val="2"/>
            <scheme val="minor"/>
          </rPr>
          <t>CIE-10:
Sinusitis aguda</t>
        </r>
      </text>
    </comment>
    <comment ref="P128" authorId="0" shapeId="0" xr:uid="{C9C65E7B-B623-49F6-91F0-C99D649839CA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Y128" authorId="0" shapeId="0" xr:uid="{2D4D402E-7464-4E2B-89E4-42F0C685CBF5}">
      <text>
        <r>
          <rPr>
            <sz val="11"/>
            <color theme="1"/>
            <rFont val="Calibri"/>
            <family val="2"/>
            <scheme val="minor"/>
          </rPr>
          <t>CIE-10:
Faringitis aguda</t>
        </r>
      </text>
    </comment>
    <comment ref="P129" authorId="0" shapeId="0" xr:uid="{F5BE55D4-66DB-449B-9C52-B22344EFA18D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29" authorId="0" shapeId="0" xr:uid="{4D0B311A-567A-49F4-9DA0-68F82389E082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30" authorId="0" shapeId="0" xr:uid="{CA8F1FE3-A72D-4680-911E-92E01077A2B0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Y130" authorId="0" shapeId="0" xr:uid="{A6E6D681-AF55-4451-9E86-930EBAAA34CA}">
      <text>
        <r>
          <rPr>
            <sz val="11"/>
            <color theme="1"/>
            <rFont val="Calibri"/>
            <family val="2"/>
            <scheme val="minor"/>
          </rPr>
          <t>CIE-10:
Laringitis y traqueítis agudas</t>
        </r>
      </text>
    </comment>
    <comment ref="P131" authorId="0" shapeId="0" xr:uid="{ADD8E9DB-5FBB-41D4-B934-5C77ED5B6587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Y131" authorId="0" shapeId="0" xr:uid="{60527834-EF3D-4EED-8F77-B088B925D822}">
      <text>
        <r>
          <rPr>
            <sz val="11"/>
            <color theme="1"/>
            <rFont val="Calibri"/>
            <family val="2"/>
            <scheme val="minor"/>
          </rPr>
          <t>CIE-10:
Laringitis obstructiva aguda [crup] y epiglotitis</t>
        </r>
      </text>
    </comment>
    <comment ref="P132" authorId="0" shapeId="0" xr:uid="{0644F9D3-6E0C-4D65-B14A-D62D0B6D01B3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Y132" authorId="0" shapeId="0" xr:uid="{DE987BBC-EB00-46C4-8F43-D3736FB9B858}">
      <text>
        <r>
          <rPr>
            <sz val="11"/>
            <color theme="1"/>
            <rFont val="Calibri"/>
            <family val="2"/>
            <scheme val="minor"/>
          </rPr>
          <t>CIE-10:
Infecciones agudas de las vías respiratorias superiores, de sitios múltiples o no especificados</t>
        </r>
      </text>
    </comment>
    <comment ref="P133" authorId="0" shapeId="0" xr:uid="{778C9DCF-9ECE-4AF0-B3E8-7317E76FBCBF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Y133" authorId="0" shapeId="0" xr:uid="{ED37C7CD-85AB-4E19-BC04-365147267437}">
      <text>
        <r>
          <rPr>
            <sz val="11"/>
            <color theme="1"/>
            <rFont val="Calibri"/>
            <family val="2"/>
            <scheme val="minor"/>
          </rPr>
          <t>CIE-10:
Bronquitis aguda</t>
        </r>
      </text>
    </comment>
    <comment ref="P134" authorId="0" shapeId="0" xr:uid="{AAB1116D-C743-471D-A281-08B05C776298}">
      <text/>
    </comment>
    <comment ref="Y134" authorId="0" shapeId="0" xr:uid="{9240D04B-D8AD-49B4-AEF5-8CD719F19E10}">
      <text/>
    </comment>
    <comment ref="P135" authorId="0" shapeId="0" xr:uid="{7A74071F-695C-4EC1-8B18-5A1D0CD23CED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Y135" authorId="0" shapeId="0" xr:uid="{DF3EC711-EC67-4F07-AAF2-FF28AECDE39C}">
      <text>
        <r>
          <rPr>
            <sz val="11"/>
            <color theme="1"/>
            <rFont val="Calibri"/>
            <family val="2"/>
            <scheme val="minor"/>
          </rPr>
          <t>CIE-10:
Infección aguda no especificada de las vías respiratorias inferiores</t>
        </r>
      </text>
    </comment>
    <comment ref="P139" authorId="0" shapeId="0" xr:uid="{8A644BEE-26FE-42F3-9FCC-FEB02FE055E8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Y139" authorId="0" shapeId="0" xr:uid="{DA099EB1-E1A0-4F8D-AABB-0060C7B7E0F1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P140" authorId="0" shapeId="0" xr:uid="{44F62AE9-6FD0-45A9-864E-D62DC372104E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40" authorId="0" shapeId="0" xr:uid="{61DE7DFB-D0BF-4087-A94D-034788FC4113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41" authorId="0" shapeId="0" xr:uid="{420F2B8D-1C7C-401D-BAE2-65597D54C87F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Y141" authorId="0" shapeId="0" xr:uid="{60CCF4FC-9C11-4FE2-A0DD-C8CA317DCEAC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P142" authorId="0" shapeId="0" xr:uid="{49A1718F-C0AF-4915-9E37-127098527B59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Y142" authorId="0" shapeId="0" xr:uid="{7B407851-D85B-4018-B9AA-E1CA2F6ACEBD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P143" authorId="0" shapeId="0" xr:uid="{4BF07F23-981A-4EB1-8E27-7E665B724FD7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Y143" authorId="0" shapeId="0" xr:uid="{BDFBABE3-30D8-4607-9217-21EFB02E6978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P144" authorId="0" shapeId="0" xr:uid="{4567B529-7396-414D-AEAE-705026858F9F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Y144" authorId="0" shapeId="0" xr:uid="{459C8E3A-7E05-4E20-85A7-6BEAF950B38C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P145" authorId="0" shapeId="0" xr:uid="{9559248C-0D42-4461-AC91-FC96C9F98668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Y145" authorId="0" shapeId="0" xr:uid="{EA2CE834-B4C1-4038-9250-BA1AC8A8589B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P149" authorId="0" shapeId="0" xr:uid="{F600E806-C150-4DF5-8280-27530300BD7F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Y149" authorId="0" shapeId="0" xr:uid="{5CFA51BE-00FA-4032-A102-DB50B97744AD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P150" authorId="0" shapeId="0" xr:uid="{7EA96473-D62A-48FB-8C38-F3CDB50017E6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50" authorId="0" shapeId="0" xr:uid="{4E9A6F2B-B1E5-4CD8-B385-B05A924CE49B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51" authorId="0" shapeId="0" xr:uid="{21FC9FAE-9BF9-4159-9B72-04E6F8825B25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Y151" authorId="0" shapeId="0" xr:uid="{0E86D6F5-0403-4867-9FC9-3283251E34F5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P152" authorId="0" shapeId="0" xr:uid="{DF2DFAC1-562E-4D20-85F9-879F2A8EC904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Y152" authorId="0" shapeId="0" xr:uid="{007F1CCD-4098-46B1-98C1-F5179CFC1AEE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P153" authorId="0" shapeId="0" xr:uid="{D3E14B7F-C77C-4A10-870B-F87B5C98EAA0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Y153" authorId="0" shapeId="0" xr:uid="{9A3CB915-25D6-4877-921F-702467DA0CC0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P154" authorId="0" shapeId="0" xr:uid="{7015F144-A9F0-4A68-8F57-971F499E0374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Y154" authorId="0" shapeId="0" xr:uid="{E49140D1-ECAA-4C4E-8D0D-13ECF7C5EFA3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P155" authorId="0" shapeId="0" xr:uid="{BB7622E1-81F4-493F-B27C-CBCFF018A461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Y155" authorId="0" shapeId="0" xr:uid="{72346AAF-4374-435A-B3F3-7D08E8A01D83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P159" authorId="0" shapeId="0" xr:uid="{FBA1122A-39F0-4F45-806A-738B6DAEF465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Y159" authorId="0" shapeId="0" xr:uid="{36EC2402-F835-42AB-B0B2-936A3EF76CC4}">
      <text>
        <r>
          <rPr>
            <sz val="11"/>
            <color theme="1"/>
            <rFont val="Calibri"/>
            <family val="2"/>
            <scheme val="minor"/>
          </rPr>
          <t>CIE-10:
Neumonía viral, no clasificada en otra parte</t>
        </r>
      </text>
    </comment>
    <comment ref="P160" authorId="0" shapeId="0" xr:uid="{9FB2E4C8-EA80-4BFD-9427-50B22666E8A3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Y160" authorId="0" shapeId="0" xr:uid="{017A3E0E-6473-410B-B060-829A2836C563}">
      <text>
        <r>
          <rPr>
            <sz val="11"/>
            <color theme="1"/>
            <rFont val="Calibri"/>
            <family val="2"/>
            <scheme val="minor"/>
          </rPr>
          <t>CIE-10:
Amigdalitis aguda</t>
        </r>
      </text>
    </comment>
    <comment ref="P161" authorId="0" shapeId="0" xr:uid="{81D921B5-C157-48F7-8026-B32896C384FF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Y161" authorId="0" shapeId="0" xr:uid="{5D95F806-CA71-46AE-BF75-27564D074D20}">
      <text>
        <r>
          <rPr>
            <sz val="11"/>
            <color theme="1"/>
            <rFont val="Calibri"/>
            <family val="2"/>
            <scheme val="minor"/>
          </rPr>
          <t>CIE-10:
Neumonía debida a Haemophilus influenzae</t>
        </r>
      </text>
    </comment>
    <comment ref="P162" authorId="0" shapeId="0" xr:uid="{DC3474C8-371A-4708-9517-3CFFF5501B56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Y162" authorId="0" shapeId="0" xr:uid="{113F9195-EDC6-4C4D-8388-0DE14F1B5A2F}">
      <text>
        <r>
          <rPr>
            <sz val="11"/>
            <color theme="1"/>
            <rFont val="Calibri"/>
            <family val="2"/>
            <scheme val="minor"/>
          </rPr>
          <t>CIE-10:
Neumonía bacteriana, no clasificada en otra parte</t>
        </r>
      </text>
    </comment>
    <comment ref="P163" authorId="0" shapeId="0" xr:uid="{5224F376-B115-460B-AE17-2E9321F802E3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Y163" authorId="0" shapeId="0" xr:uid="{29181177-B60E-4AA2-9872-3FE73D2217BE}">
      <text>
        <r>
          <rPr>
            <sz val="11"/>
            <color theme="1"/>
            <rFont val="Calibri"/>
            <family val="2"/>
            <scheme val="minor"/>
          </rPr>
          <t>CIE-10:
Neumonía debida a otros microorganismos infecciosos, no clasificados en otra parte</t>
        </r>
      </text>
    </comment>
    <comment ref="P164" authorId="0" shapeId="0" xr:uid="{B600A961-3D31-4D6F-92A0-F490F6AC984F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Y164" authorId="0" shapeId="0" xr:uid="{A0D74BB9-1119-4C79-93F2-2A459EB2E9D5}">
      <text>
        <r>
          <rPr>
            <sz val="11"/>
            <color theme="1"/>
            <rFont val="Calibri"/>
            <family val="2"/>
            <scheme val="minor"/>
          </rPr>
          <t>CIE-10:
Neumonía en enfermedades clasificadas en otra parte</t>
        </r>
      </text>
    </comment>
    <comment ref="P165" authorId="0" shapeId="0" xr:uid="{5A6F5FC9-79AE-44D8-B3E5-AA5DBCEFEAEE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Y165" authorId="0" shapeId="0" xr:uid="{5099ACFA-C00E-4AEC-8266-BCB3E86AF217}">
      <text>
        <r>
          <rPr>
            <sz val="11"/>
            <color theme="1"/>
            <rFont val="Calibri"/>
            <family val="2"/>
            <scheme val="minor"/>
          </rPr>
          <t>CIE-10:
Neumonía, organismo no especificado</t>
        </r>
      </text>
    </comment>
    <comment ref="P169" authorId="0" shapeId="0" xr:uid="{9CE4FC17-DD38-430D-AC45-E4B5922CF198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Y169" authorId="0" shapeId="0" xr:uid="{86C64515-2DE4-4DA3-AB8D-E1D310F24FB2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P170" authorId="0" shapeId="0" xr:uid="{D5EEB432-7DAA-485D-AC8B-0335FD3BF619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Y170" authorId="0" shapeId="0" xr:uid="{E60F8617-1FE1-4150-BF7D-18C6BAB16CA6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P171" authorId="0" shapeId="0" xr:uid="{FFF055FB-3A77-409A-BDF7-A082C7FEF1AF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Y171" authorId="0" shapeId="0" xr:uid="{82AACDA5-8AE8-4A77-AE94-AB64CB26BE76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P175" authorId="0" shapeId="0" xr:uid="{CB4A0B13-F2A6-43EE-B0BB-7B183ABB271C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Y175" authorId="0" shapeId="0" xr:uid="{2186F776-6F8B-476C-A1FD-45185B0FA3C1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P176" authorId="0" shapeId="0" xr:uid="{51651AAE-B24E-4EF0-9029-EE8C7C9A68D7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Y176" authorId="0" shapeId="0" xr:uid="{22354B1B-973B-4003-BD40-6B25CA1E0EEF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P177" authorId="0" shapeId="0" xr:uid="{5F37676E-16EA-4B7D-9BDF-473D468C187F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Y177" authorId="0" shapeId="0" xr:uid="{A69BCCE0-64D6-417E-9864-BB7C61612224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P181" authorId="0" shapeId="0" xr:uid="{EB7F1E4A-2511-46AB-8FEF-672616F8D243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Y181" authorId="0" shapeId="0" xr:uid="{51256FB1-748E-4547-9E00-474909D59799}">
      <text>
        <r>
          <rPr>
            <sz val="11"/>
            <color theme="1"/>
            <rFont val="Calibri"/>
            <family val="2"/>
            <scheme val="minor"/>
          </rPr>
          <t>CIE-10:
Absceso del pulmón y del mediastino</t>
        </r>
      </text>
    </comment>
    <comment ref="P182" authorId="0" shapeId="0" xr:uid="{A75AC2F2-75E9-4776-A1E2-1246B44F60E2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Y182" authorId="0" shapeId="0" xr:uid="{0D82BDC3-CD97-4B44-B01B-F7A082AC1FB4}">
      <text>
        <r>
          <rPr>
            <sz val="11"/>
            <color theme="1"/>
            <rFont val="Calibri"/>
            <family val="2"/>
            <scheme val="minor"/>
          </rPr>
          <t>CIE-10:
Piotórax</t>
        </r>
      </text>
    </comment>
    <comment ref="P183" authorId="0" shapeId="0" xr:uid="{F7402441-8B7D-4177-9FC3-FB589819D6FA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Y183" authorId="0" shapeId="0" xr:uid="{BDA1D914-BA9D-4731-8FF9-26218F094D64}">
      <text>
        <r>
          <rPr>
            <sz val="11"/>
            <color theme="1"/>
            <rFont val="Calibri"/>
            <family val="2"/>
            <scheme val="minor"/>
          </rPr>
          <t>CIE-10:
Derrame pleural no clasificado en otra parte</t>
        </r>
      </text>
    </comment>
    <comment ref="P187" authorId="0" shapeId="0" xr:uid="{E4552C78-370C-499A-A342-8C9D6AD81FBB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Y187" authorId="0" shapeId="0" xr:uid="{AEA36561-ED13-4A56-B195-2891823B7526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P188" authorId="0" shapeId="0" xr:uid="{EA2803E3-E2F5-487D-9E0D-216E4FC3DC40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Y188" authorId="0" shapeId="0" xr:uid="{71D84705-ADA7-413C-B6A0-A279C74A16AC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P189" authorId="0" shapeId="0" xr:uid="{9AB8686A-8772-4668-A775-F2E3C4D3AB6C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Y189" authorId="0" shapeId="0" xr:uid="{A2B55075-0926-43D2-B700-19F2CE4F279A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P190" authorId="0" shapeId="0" xr:uid="{43872836-77F5-4042-B1F0-8677E7816701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190" authorId="0" shapeId="0" xr:uid="{40472943-3D3D-49B2-A3B6-D960DA200F6C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P191" authorId="0" shapeId="0" xr:uid="{4F4A3818-BD14-4327-828C-71AA9782D39D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Y191" authorId="0" shapeId="0" xr:uid="{59FE0D39-ABAC-4582-A9FA-A0BF0EDFDF21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P192" authorId="0" shapeId="0" xr:uid="{78668DC2-7F26-4833-8211-359A9067AE4B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Y192" authorId="0" shapeId="0" xr:uid="{57B65F74-8AE7-4EEC-A6F1-5B238B86F07F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P193" authorId="0" shapeId="0" xr:uid="{D9EEC853-95F6-40D5-838A-F4F768B7C791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Y193" authorId="0" shapeId="0" xr:uid="{DEF1D472-6E3B-4FE3-ADD6-7A69A03177F5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P194" authorId="0" shapeId="0" xr:uid="{6FBA2263-E9A9-42AD-941D-51300D6EFA99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Y194" authorId="0" shapeId="0" xr:uid="{403A0C71-DBAA-4056-A813-DB42E0420D3C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P198" authorId="0" shapeId="0" xr:uid="{4CD422A0-F6F2-46E3-8837-FB7E22EE0839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Y198" authorId="0" shapeId="0" xr:uid="{5D034A0B-712B-45D5-B409-38EDECCBC850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P199" authorId="0" shapeId="0" xr:uid="{7C9E4B9A-FCBF-44CF-A9B1-D2E0A4F4218A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Y199" authorId="0" shapeId="0" xr:uid="{6BE18E4B-1569-424F-B35F-D44161483E99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P200" authorId="0" shapeId="0" xr:uid="{FB83CADE-10F8-4D3A-86EF-BE156F242752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Y200" authorId="0" shapeId="0" xr:uid="{3DE44E65-CEC2-47E3-A101-9AAE58CB46E5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P201" authorId="0" shapeId="0" xr:uid="{A5711024-CED8-4C54-8099-E186897E64EB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201" authorId="0" shapeId="0" xr:uid="{C2E7C15B-40A1-4DC2-8896-A8A3C70B6522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P202" authorId="0" shapeId="0" xr:uid="{C45D33BF-3076-4F1A-8162-D3D6304EDCAC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Y202" authorId="0" shapeId="0" xr:uid="{F771D024-2711-4FEE-AF50-F095C45C2FE6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P203" authorId="0" shapeId="0" xr:uid="{EEA2FF69-340B-42EE-AB0C-BB173DDA7A3A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Y203" authorId="0" shapeId="0" xr:uid="{EA97AFA0-23CD-49D7-B0D4-BCA2434DFB0E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P204" authorId="0" shapeId="0" xr:uid="{581D6DCC-FAA1-4F02-8F93-80BB8960D59A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Y204" authorId="0" shapeId="0" xr:uid="{230EAF1A-6F2A-4EC0-B26D-5E66E40E3410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P205" authorId="0" shapeId="0" xr:uid="{20D75F06-BFD1-4064-B6C0-164B4437ED27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Y205" authorId="0" shapeId="0" xr:uid="{D4281D54-4126-4F92-97D7-E7692F9C65E2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P209" authorId="0" shapeId="0" xr:uid="{D51E4DC0-7ADF-46D3-BCDF-14AFF41529A2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Y209" authorId="0" shapeId="0" xr:uid="{8954330B-BFC2-4244-9F80-3D5C85B97EC3}">
      <text>
        <r>
          <rPr>
            <sz val="11"/>
            <color theme="1"/>
            <rFont val="Calibri"/>
            <family val="2"/>
            <scheme val="minor"/>
          </rPr>
          <t>CIE-10:
Enteritis debida a Salmonella</t>
        </r>
      </text>
    </comment>
    <comment ref="P210" authorId="0" shapeId="0" xr:uid="{B250AC8E-EFFF-4CB9-80B7-0AE492CEB750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Y210" authorId="0" shapeId="0" xr:uid="{4B4F09BF-40C6-4AAA-B30D-4F6D504A5DA4}">
      <text>
        <r>
          <rPr>
            <sz val="11"/>
            <color theme="1"/>
            <rFont val="Calibri"/>
            <family val="2"/>
            <scheme val="minor"/>
          </rPr>
          <t>CIE-10:
Shigelosis</t>
        </r>
      </text>
    </comment>
    <comment ref="P211" authorId="0" shapeId="0" xr:uid="{D1E29249-6864-492E-8579-33179F57AD16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Y211" authorId="0" shapeId="0" xr:uid="{0E6C79BC-725F-4CAA-BC12-20F9BB724FE0}">
      <text>
        <r>
          <rPr>
            <sz val="11"/>
            <color theme="1"/>
            <rFont val="Calibri"/>
            <family val="2"/>
            <scheme val="minor"/>
          </rPr>
          <t>CIE-10:
Otras infecciones intestinales bacterianas</t>
        </r>
      </text>
    </comment>
    <comment ref="P212" authorId="0" shapeId="0" xr:uid="{B9D9E24D-F9B2-4A2F-B2CD-F6CCB083CB3B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Y212" authorId="0" shapeId="0" xr:uid="{7D78AF00-45BD-44FB-8730-7836413F7BF0}">
      <text>
        <r>
          <rPr>
            <sz val="11"/>
            <color theme="1"/>
            <rFont val="Calibri"/>
            <family val="2"/>
            <scheme val="minor"/>
          </rPr>
          <t>CIE-10:
Otras intoxicaciones alimentarias bacterianas, no clasificadas en otra parte</t>
        </r>
      </text>
    </comment>
    <comment ref="P213" authorId="0" shapeId="0" xr:uid="{77B99E23-A7F8-408F-B479-2F6F650CEC11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Y213" authorId="0" shapeId="0" xr:uid="{818F2960-7979-4CC4-8C50-BCF349D69FF8}">
      <text>
        <r>
          <rPr>
            <sz val="11"/>
            <color theme="1"/>
            <rFont val="Calibri"/>
            <family val="2"/>
            <scheme val="minor"/>
          </rPr>
          <t>CIE-10:
Disentería amebiana aguda</t>
        </r>
      </text>
    </comment>
    <comment ref="P214" authorId="0" shapeId="0" xr:uid="{2F913A79-8CB8-4944-A29E-C55A55080D48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Y214" authorId="0" shapeId="0" xr:uid="{7EF6D628-96C9-425D-98B4-E858AF1727A2}">
      <text>
        <r>
          <rPr>
            <sz val="11"/>
            <color theme="1"/>
            <rFont val="Calibri"/>
            <family val="2"/>
            <scheme val="minor"/>
          </rPr>
          <t>CIE-10:
Otras enfermedades intestinales debidas a protozoarios</t>
        </r>
      </text>
    </comment>
    <comment ref="P215" authorId="0" shapeId="0" xr:uid="{423E4EF8-21C3-444A-98D9-9D138D603FE8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Y215" authorId="0" shapeId="0" xr:uid="{4188DF72-79A0-4833-B779-DD376EDA0557}">
      <text>
        <r>
          <rPr>
            <sz val="11"/>
            <color theme="1"/>
            <rFont val="Calibri"/>
            <family val="2"/>
            <scheme val="minor"/>
          </rPr>
          <t>CIE-10:
Infecciones intestinales debidas a virus y otros organismos especificados</t>
        </r>
      </text>
    </comment>
    <comment ref="P216" authorId="0" shapeId="0" xr:uid="{8DDC01E7-7393-4D93-A6E3-BFF97E467F00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  <comment ref="Y216" authorId="0" shapeId="0" xr:uid="{4ED0B7FA-93DF-49B6-BBCF-97EB1D622327}">
      <text>
        <r>
          <rPr>
            <sz val="11"/>
            <color theme="1"/>
            <rFont val="Calibri"/>
            <family val="2"/>
            <scheme val="minor"/>
          </rPr>
          <t>CIE-10:
Diarrea y gastroenteritis de presunto origen infeccioso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UER Guairá</author>
  </authors>
  <commentList>
    <comment ref="A5" authorId="0" shapeId="0" xr:uid="{BB3A9A7F-6999-4EAD-83C1-774391DF5131}">
      <text>
        <r>
          <rPr>
            <sz val="9"/>
            <color indexed="81"/>
            <rFont val="Tahoma"/>
            <family val="2"/>
          </rPr>
          <t>CIE-10:
Fiebres tifoidea y paratifoidea</t>
        </r>
      </text>
    </comment>
    <comment ref="J5" authorId="0" shapeId="0" xr:uid="{8C0276CA-6729-474F-B7E3-11B01286F413}">
      <text>
        <r>
          <rPr>
            <sz val="9"/>
            <color indexed="81"/>
            <rFont val="Tahoma"/>
            <family val="2"/>
          </rPr>
          <t>CIE-10:
Otras intoxicaciones alimentarias bacterianas, no clasificadas en otra parte</t>
        </r>
      </text>
    </comment>
    <comment ref="S5" authorId="0" shapeId="0" xr:uid="{3C9AE5E9-751E-4313-9B2D-EF7352A5F2D7}">
      <text>
        <r>
          <rPr>
            <sz val="9"/>
            <color indexed="81"/>
            <rFont val="Tahoma"/>
            <family val="2"/>
          </rPr>
          <t>CIE-10:
Botulismo</t>
        </r>
      </text>
    </comment>
    <comment ref="AB5" authorId="0" shapeId="0" xr:uid="{9D55C2AC-97AA-452A-922D-A665615549F1}">
      <text>
        <r>
          <rPr>
            <sz val="9"/>
            <color indexed="81"/>
            <rFont val="Tahoma"/>
            <family val="2"/>
          </rPr>
          <t>CIE-10:
Brucelosis</t>
        </r>
      </text>
    </comment>
    <comment ref="A6" authorId="0" shapeId="0" xr:uid="{0B68B9B5-B9B5-4DE5-86DD-E3C73775F405}">
      <text>
        <r>
          <rPr>
            <sz val="9"/>
            <color indexed="81"/>
            <rFont val="Tahoma"/>
            <family val="2"/>
          </rPr>
          <t>CIE-10:
Otras infecciones debidas a Salmonella</t>
        </r>
      </text>
    </comment>
    <comment ref="J6" authorId="0" shapeId="0" xr:uid="{B6351E1B-C2B9-4673-BF8C-500D05607B2D}">
      <text>
        <r>
          <rPr>
            <sz val="9"/>
            <color indexed="81"/>
            <rFont val="Tahoma"/>
            <family val="2"/>
          </rPr>
          <t>CIE-10:
Efecto tóxico del alcohol</t>
        </r>
      </text>
    </comment>
    <comment ref="A7" authorId="0" shapeId="0" xr:uid="{702551F8-AFE8-4BC9-92EE-5E7FC26950AB}">
      <text>
        <r>
          <rPr>
            <sz val="9"/>
            <color indexed="81"/>
            <rFont val="Tahoma"/>
            <family val="2"/>
          </rPr>
          <t>CIE-10:
Shigelosis</t>
        </r>
      </text>
    </comment>
    <comment ref="J7" authorId="0" shapeId="0" xr:uid="{4682B3FA-A15B-4E5A-BC91-7ED853CFAFAE}">
      <text>
        <r>
          <rPr>
            <sz val="9"/>
            <color indexed="81"/>
            <rFont val="Tahoma"/>
            <family val="2"/>
          </rPr>
          <t>CIE-10:
Efecto tóxico de metales</t>
        </r>
      </text>
    </comment>
    <comment ref="A8" authorId="0" shapeId="0" xr:uid="{148BCE53-6D88-425F-9B74-6575BAA2C97B}">
      <text>
        <r>
          <rPr>
            <sz val="9"/>
            <color indexed="81"/>
            <rFont val="Tahoma"/>
            <family val="2"/>
          </rPr>
          <t>CIE-10:
Otras infecciones intestinales bacterianas</t>
        </r>
      </text>
    </comment>
    <comment ref="J8" authorId="0" shapeId="0" xr:uid="{A8045903-4972-4D67-9146-40A21F6499A6}">
      <text>
        <r>
          <rPr>
            <sz val="9"/>
            <color indexed="81"/>
            <rFont val="Tahoma"/>
            <family val="2"/>
          </rPr>
          <t>CIE-10:
Insecticidas organofosforados y carbamatos</t>
        </r>
      </text>
    </comment>
    <comment ref="A9" authorId="0" shapeId="0" xr:uid="{83BF6469-FDEA-47D6-8793-C978FF2B2001}">
      <text>
        <r>
          <rPr>
            <sz val="9"/>
            <color indexed="81"/>
            <rFont val="Tahoma"/>
            <family val="2"/>
          </rPr>
          <t>CIE-10:
Otras intoxicaciones alimentarias bacterianas, no clasificadas en otra parte</t>
        </r>
      </text>
    </comment>
    <comment ref="A10" authorId="0" shapeId="0" xr:uid="{BAB13462-1FCE-44B9-87C5-966580CCC6FC}">
      <text>
        <r>
          <rPr>
            <sz val="9"/>
            <color indexed="81"/>
            <rFont val="Tahoma"/>
            <family val="2"/>
          </rPr>
          <t>CIE-10:
Amebiasis</t>
        </r>
      </text>
    </comment>
    <comment ref="S10" authorId="0" shapeId="0" xr:uid="{A1AA2177-622E-4D56-986A-9356545710F9}">
      <text>
        <r>
          <rPr>
            <sz val="9"/>
            <color indexed="81"/>
            <rFont val="Tahoma"/>
            <family val="2"/>
          </rPr>
          <t>CIE-10:
Carbunco [ántrax]</t>
        </r>
      </text>
    </comment>
    <comment ref="AB10" authorId="0" shapeId="0" xr:uid="{130C89F8-ADF1-4F4D-ACDE-7EC1A59322C6}">
      <text>
        <r>
          <rPr>
            <sz val="9"/>
            <color indexed="81"/>
            <rFont val="Tahoma"/>
            <family val="2"/>
          </rPr>
          <t>CIE-10:
Enfermedad de Chagas</t>
        </r>
      </text>
    </comment>
    <comment ref="A11" authorId="0" shapeId="0" xr:uid="{D293604E-B5D6-404E-97DF-0872A723EC14}">
      <text>
        <r>
          <rPr>
            <sz val="9"/>
            <color indexed="81"/>
            <rFont val="Tahoma"/>
            <family val="2"/>
          </rPr>
          <t>CIE-10:
Otras enfermedades intestinales debidas a protozoarios</t>
        </r>
      </text>
    </comment>
    <comment ref="A12" authorId="0" shapeId="0" xr:uid="{8E3C5616-B8C1-4D1A-BCE2-E88ED91C6E7D}">
      <text>
        <r>
          <rPr>
            <sz val="9"/>
            <color indexed="81"/>
            <rFont val="Tahoma"/>
            <family val="2"/>
          </rPr>
          <t>CIE-10:
Infecciones intestinales debidas a virus y otros organismos especificados</t>
        </r>
      </text>
    </comment>
    <comment ref="A13" authorId="0" shapeId="0" xr:uid="{D4B1D2FB-FAAB-48D8-BFD5-90715604C113}">
      <text>
        <r>
          <rPr>
            <sz val="9"/>
            <color indexed="81"/>
            <rFont val="Tahoma"/>
            <family val="2"/>
          </rPr>
          <t>CIE-10:
Diarrea y gastroenteritis de presunto origen infeccioso</t>
        </r>
      </text>
    </comment>
    <comment ref="A14" authorId="0" shapeId="0" xr:uid="{D0A1C377-000A-4F28-A6AE-B06CD0E66A6C}">
      <text>
        <r>
          <rPr>
            <sz val="9"/>
            <color indexed="81"/>
            <rFont val="Tahoma"/>
            <family val="2"/>
          </rPr>
          <t>CIE-10:
Carbunco [ántrax]</t>
        </r>
      </text>
    </comment>
    <comment ref="A15" authorId="0" shapeId="0" xr:uid="{EDFCE95B-0A70-4705-B8EC-A5C2622F057D}">
      <text>
        <r>
          <rPr>
            <sz val="9"/>
            <color indexed="81"/>
            <rFont val="Tahoma"/>
            <family val="2"/>
          </rPr>
          <t>CIE-10.
Brucelosis</t>
        </r>
      </text>
    </comment>
    <comment ref="J15" authorId="0" shapeId="0" xr:uid="{3F2FB611-EEA8-447D-82C7-2A9F14198202}">
      <text>
        <r>
          <rPr>
            <sz val="9"/>
            <color indexed="81"/>
            <rFont val="Tahoma"/>
            <family val="2"/>
          </rPr>
          <t>CIE-10:
Enfermedad por virus Chikungunya</t>
        </r>
      </text>
    </comment>
    <comment ref="S15" authorId="0" shapeId="0" xr:uid="{7A2DE52A-FC07-40A9-9CDE-191402EF6FE2}">
      <text>
        <r>
          <rPr>
            <sz val="9"/>
            <color indexed="81"/>
            <rFont val="Tahoma"/>
            <family val="2"/>
          </rPr>
          <t>CIE-10:
Cólera</t>
        </r>
      </text>
    </comment>
    <comment ref="AB15" authorId="0" shapeId="0" xr:uid="{7054556C-E0E3-4408-A889-28E031E137AB}">
      <text>
        <r>
          <rPr>
            <sz val="9"/>
            <color indexed="81"/>
            <rFont val="Tahoma"/>
            <family val="2"/>
          </rPr>
          <t>CIE-10:
Tos ferina debida a Bordetella pertussis</t>
        </r>
      </text>
    </comment>
    <comment ref="A16" authorId="0" shapeId="0" xr:uid="{F6FBA71D-C1EB-4DF3-8580-18C826F98E0A}">
      <text>
        <r>
          <rPr>
            <sz val="9"/>
            <color indexed="81"/>
            <rFont val="Tahoma"/>
            <family val="2"/>
          </rPr>
          <t>CIE-10:
Listeriosis</t>
        </r>
      </text>
    </comment>
    <comment ref="A17" authorId="0" shapeId="0" xr:uid="{FAE96684-F476-4D21-B725-6F406DD7ACFE}">
      <text>
        <r>
          <rPr>
            <sz val="9"/>
            <color indexed="81"/>
            <rFont val="Tahoma"/>
            <family val="2"/>
          </rPr>
          <t>CIE-10:
Hepatitis aguda tipo A</t>
        </r>
      </text>
    </comment>
    <comment ref="A18" authorId="0" shapeId="0" xr:uid="{6597CD0F-5349-400F-AAE9-BCF611C73760}">
      <text>
        <r>
          <rPr>
            <sz val="9"/>
            <color indexed="81"/>
            <rFont val="Tahoma"/>
            <family val="2"/>
          </rPr>
          <t>CIE-10:
Otras infecciones debidas a trematodos</t>
        </r>
      </text>
    </comment>
    <comment ref="A19" authorId="0" shapeId="0" xr:uid="{D18914F4-23C1-4415-9F81-F492228000B7}">
      <text>
        <r>
          <rPr>
            <sz val="9"/>
            <color indexed="81"/>
            <rFont val="Tahoma"/>
            <family val="2"/>
          </rPr>
          <t>CIE-10:
Equinococosis</t>
        </r>
      </text>
    </comment>
    <comment ref="A20" authorId="0" shapeId="0" xr:uid="{BBA76B97-FEF3-4243-8CC1-8C1284CBE7F5}">
      <text>
        <r>
          <rPr>
            <sz val="9"/>
            <color indexed="81"/>
            <rFont val="Tahoma"/>
            <family val="2"/>
          </rPr>
          <t>CIE-10:
Teniasis</t>
        </r>
      </text>
    </comment>
    <comment ref="J20" authorId="0" shapeId="0" xr:uid="{B75F641C-40CD-4ACC-AB45-418A653F2B1C}">
      <text>
        <r>
          <rPr>
            <sz val="9"/>
            <color indexed="81"/>
            <rFont val="Tahoma"/>
            <family val="2"/>
          </rPr>
          <t>CIE-10:
Fiebre del dengue [dengue clásico]</t>
        </r>
      </text>
    </comment>
    <comment ref="S20" authorId="0" shapeId="0" xr:uid="{5F0614E5-0AC2-484B-B763-395ED43D1E24}">
      <text>
        <r>
          <rPr>
            <sz val="9"/>
            <color indexed="81"/>
            <rFont val="Tahoma"/>
            <family val="2"/>
          </rPr>
          <t>CIE-10:
Difteria</t>
        </r>
      </text>
    </comment>
    <comment ref="AB20" authorId="0" shapeId="0" xr:uid="{6636859E-72F1-4799-A4E9-8D4997C1FA0F}">
      <text>
        <r>
          <rPr>
            <sz val="9"/>
            <color indexed="81"/>
            <rFont val="Tahoma"/>
            <family val="2"/>
          </rPr>
          <t>CIE-10:
Enfermedad de Creutzfeldt-Jakob</t>
        </r>
      </text>
    </comment>
    <comment ref="A21" authorId="0" shapeId="0" xr:uid="{CA73C17E-15AA-42E7-BC42-43B760A71E0D}">
      <text>
        <r>
          <rPr>
            <sz val="9"/>
            <color indexed="81"/>
            <rFont val="Tahoma"/>
            <family val="2"/>
          </rPr>
          <t>CIE-10:
Cisticercosis</t>
        </r>
      </text>
    </comment>
    <comment ref="A22" authorId="0" shapeId="0" xr:uid="{BD7C8B48-269B-4CAC-8D99-CEF39FD281DD}">
      <text>
        <r>
          <rPr>
            <sz val="9"/>
            <color indexed="81"/>
            <rFont val="Tahoma"/>
            <family val="2"/>
          </rPr>
          <t>CIE-10:
Difilobotriasis y esparganosis</t>
        </r>
      </text>
    </comment>
    <comment ref="A23" authorId="0" shapeId="0" xr:uid="{7D54B7AE-8762-484A-9680-23B4BB402F31}">
      <text>
        <r>
          <rPr>
            <sz val="9"/>
            <color indexed="81"/>
            <rFont val="Tahoma"/>
            <family val="2"/>
          </rPr>
          <t>CIE-10:
Triquinosis</t>
        </r>
      </text>
    </comment>
    <comment ref="A24" authorId="0" shapeId="0" xr:uid="{D90CA752-0048-4203-BC59-297A2D8C9C78}">
      <text>
        <r>
          <rPr>
            <sz val="9"/>
            <color indexed="81"/>
            <rFont val="Tahoma"/>
            <family val="2"/>
          </rPr>
          <t>CIE-10:
Tricuriasis</t>
        </r>
      </text>
    </comment>
    <comment ref="J25" authorId="0" shapeId="0" xr:uid="{CEEBD8AA-A2B0-44DA-BBBD-E314C0CFEAA1}">
      <text>
        <r>
          <rPr>
            <sz val="9"/>
            <color indexed="81"/>
            <rFont val="Tahoma"/>
            <family val="2"/>
          </rPr>
          <t>CIE-10:
Fiebre del dengue hemorrágico</t>
        </r>
      </text>
    </comment>
    <comment ref="S25" authorId="0" shapeId="0" xr:uid="{96E24F39-32F0-4612-858D-C8DE9DB6A7C6}">
      <text>
        <r>
          <rPr>
            <sz val="9"/>
            <color indexed="81"/>
            <rFont val="Tahoma"/>
            <family val="2"/>
          </rPr>
          <t>CIE-10:
Fiebre amarilla selvática</t>
        </r>
      </text>
    </comment>
    <comment ref="AB25" authorId="0" shapeId="0" xr:uid="{26E2CCA9-9083-4248-81D8-9254043FB389}">
      <text>
        <r>
          <rPr>
            <sz val="9"/>
            <color indexed="81"/>
            <rFont val="Tahoma"/>
            <family val="2"/>
          </rPr>
          <t>CIE-10:
Fiebre tifoidea</t>
        </r>
      </text>
    </comment>
    <comment ref="S26" authorId="0" shapeId="0" xr:uid="{E1E64775-3E4E-4511-83EA-974883C914BF}">
      <text>
        <r>
          <rPr>
            <sz val="9"/>
            <color indexed="81"/>
            <rFont val="Tahoma"/>
            <family val="2"/>
          </rPr>
          <t>CIE-10:
Fiebre amarilla urbana</t>
        </r>
      </text>
    </comment>
    <comment ref="AB26" authorId="0" shapeId="0" xr:uid="{0E6460FB-BE89-4983-A958-D0DC2D47A3CA}">
      <text>
        <r>
          <rPr>
            <sz val="9"/>
            <color indexed="81"/>
            <rFont val="Tahoma"/>
            <family val="2"/>
          </rPr>
          <t>CIE-10:
Fiebre paratifoidea A</t>
        </r>
      </text>
    </comment>
    <comment ref="S27" authorId="0" shapeId="0" xr:uid="{E9446F21-170E-481B-96F6-ED7AD34D21FA}">
      <text>
        <r>
          <rPr>
            <sz val="9"/>
            <color indexed="81"/>
            <rFont val="Tahoma"/>
            <family val="2"/>
          </rPr>
          <t>CIE-10:
Fiebre amarilla, no especificada</t>
        </r>
      </text>
    </comment>
    <comment ref="AB27" authorId="0" shapeId="0" xr:uid="{1AFFBCF2-4270-4C54-BB69-D6B88AF6F73E}">
      <text>
        <r>
          <rPr>
            <sz val="9"/>
            <color indexed="81"/>
            <rFont val="Tahoma"/>
            <family val="2"/>
          </rPr>
          <t>CIE-10:
Fiebre paratifoidea B</t>
        </r>
      </text>
    </comment>
    <comment ref="AB28" authorId="0" shapeId="0" xr:uid="{27B76C83-68A1-4963-B42C-CDC3C00E8992}">
      <text>
        <r>
          <rPr>
            <sz val="9"/>
            <color indexed="81"/>
            <rFont val="Tahoma"/>
            <family val="2"/>
          </rPr>
          <t>CIE-10:
Fiebre paratifoidea C</t>
        </r>
      </text>
    </comment>
    <comment ref="AB29" authorId="0" shapeId="0" xr:uid="{87D1059B-3729-47CD-B190-A666E8B7D9D7}">
      <text>
        <r>
          <rPr>
            <sz val="9"/>
            <color indexed="81"/>
            <rFont val="Tahoma"/>
            <family val="2"/>
          </rPr>
          <t>CIE-10:
Fiebre paratifoidea, no especificada</t>
        </r>
      </text>
    </comment>
    <comment ref="A30" authorId="0" shapeId="0" xr:uid="{843ECC9F-9D6E-4E17-878A-2AC9A9FDA431}">
      <text>
        <r>
          <rPr>
            <sz val="9"/>
            <color indexed="81"/>
            <rFont val="Tahoma"/>
            <family val="2"/>
          </rPr>
          <t>CIE-10:
Hepatitis aguda tipo A</t>
        </r>
      </text>
    </comment>
    <comment ref="J30" authorId="0" shapeId="0" xr:uid="{59BA0DBE-8290-4035-9FC8-AE150ACB624D}">
      <text>
        <r>
          <rPr>
            <sz val="9"/>
            <color indexed="81"/>
            <rFont val="Tahoma"/>
            <family val="2"/>
          </rPr>
          <t>CIE-10:
Síndrome (cardio)-pulmonar por hantavirus [SPH] [SCPH] (J17.1)</t>
        </r>
      </text>
    </comment>
    <comment ref="S34" authorId="0" shapeId="0" xr:uid="{6B9DFFF9-961A-4A32-AC00-E507C1BDADF4}">
      <text>
        <r>
          <rPr>
            <sz val="9"/>
            <color indexed="81"/>
            <rFont val="Tahoma"/>
            <family val="2"/>
          </rPr>
          <t>CIE-10:
Leishmaniasis cutánea</t>
        </r>
      </text>
    </comment>
    <comment ref="A35" authorId="0" shapeId="0" xr:uid="{E5A917C5-6F7E-4871-9CB3-9D8440759C1E}">
      <text>
        <r>
          <rPr>
            <sz val="9"/>
            <color indexed="81"/>
            <rFont val="Tahoma"/>
            <family val="2"/>
          </rPr>
          <t>CIE-10:
Hepatitis aguda tipo B</t>
        </r>
      </text>
    </comment>
    <comment ref="J35" authorId="0" shapeId="0" xr:uid="{C983324E-3496-4B1A-8DDB-B57232A37AA3}">
      <text>
        <r>
          <rPr>
            <sz val="9"/>
            <color indexed="81"/>
            <rFont val="Tahoma"/>
            <family val="2"/>
          </rPr>
          <t>CIE-10:
Hepatitis aguda tipo C</t>
        </r>
      </text>
    </comment>
    <comment ref="S35" authorId="0" shapeId="0" xr:uid="{50C827E7-C10C-4058-9BB8-8022A8BD1E1F}">
      <text>
        <r>
          <rPr>
            <sz val="9"/>
            <color indexed="81"/>
            <rFont val="Tahoma"/>
            <family val="2"/>
          </rPr>
          <t>CIE-10:
Leishmaniasis mucocutánea</t>
        </r>
      </text>
    </comment>
    <comment ref="AB35" authorId="0" shapeId="0" xr:uid="{459670E3-69CA-4346-8F1F-577EE6DBF6C9}">
      <text>
        <r>
          <rPr>
            <sz val="9"/>
            <color indexed="81"/>
            <rFont val="Tahoma"/>
            <family val="2"/>
          </rPr>
          <t>CIE-10:
Leishmaniasis visceral</t>
        </r>
      </text>
    </comment>
    <comment ref="A40" authorId="0" shapeId="0" xr:uid="{549EF3C1-FF15-468F-A890-510011B4BD68}">
      <text>
        <r>
          <rPr>
            <sz val="9"/>
            <color indexed="81"/>
            <rFont val="Tahoma"/>
            <family val="2"/>
          </rPr>
          <t>CIE-10:
Lepra [enfermedad de Hansen]</t>
        </r>
      </text>
    </comment>
    <comment ref="J40" authorId="0" shapeId="0" xr:uid="{9E231E12-AC74-40BC-A66F-90C95BCA85DD}">
      <text>
        <r>
          <rPr>
            <sz val="9"/>
            <color indexed="81"/>
            <rFont val="Tahoma"/>
            <family val="2"/>
          </rPr>
          <t>CIE-10:
Leptospirosis</t>
        </r>
      </text>
    </comment>
    <comment ref="S40" authorId="0" shapeId="0" xr:uid="{4DC00019-ED97-4E2F-A0D7-19EFF8055DE2}">
      <text>
        <r>
          <rPr>
            <sz val="9"/>
            <color indexed="81"/>
            <rFont val="Tahoma"/>
            <family val="2"/>
          </rPr>
          <t>CIE-10:
Enfermedad meningocócica</t>
        </r>
      </text>
    </comment>
    <comment ref="AB40" authorId="0" shapeId="0" xr:uid="{424D556E-681E-46EA-9BD4-B4F6C5051B23}">
      <text>
        <r>
          <rPr>
            <sz val="9"/>
            <color indexed="81"/>
            <rFont val="Tahoma"/>
            <family val="2"/>
          </rPr>
          <t>CIE-10:
Meningitis apiógena</t>
        </r>
      </text>
    </comment>
    <comment ref="S41" authorId="0" shapeId="0" xr:uid="{4E23DAED-CCD7-437E-83DB-64AFB69C335D}">
      <text>
        <r>
          <rPr>
            <sz val="9"/>
            <color indexed="81"/>
            <rFont val="Tahoma"/>
            <family val="2"/>
          </rPr>
          <t>CIE-10.
Meningitis bacteriana, no clasificada en otra parte</t>
        </r>
      </text>
    </comment>
    <comment ref="AB41" authorId="0" shapeId="0" xr:uid="{51BB5817-7C1D-42CD-BD23-73C458811195}">
      <text>
        <r>
          <rPr>
            <sz val="9"/>
            <color indexed="81"/>
            <rFont val="Tahoma"/>
            <family val="2"/>
          </rPr>
          <t>CIE-10.
Meningitis viral</t>
        </r>
      </text>
    </comment>
    <comment ref="A46" authorId="0" shapeId="0" xr:uid="{EDC39199-9733-4787-BF50-6CDAA96006B2}">
      <text>
        <r>
          <rPr>
            <sz val="9"/>
            <color indexed="81"/>
            <rFont val="Tahoma"/>
            <family val="2"/>
          </rPr>
          <t>CIE-10:
Paludismo [malaria] debido a Plasmodium falciparum</t>
        </r>
      </text>
    </comment>
    <comment ref="J46" authorId="0" shapeId="0" xr:uid="{F50085BD-39AD-4716-837D-09E550379F65}">
      <text>
        <r>
          <rPr>
            <sz val="9"/>
            <color indexed="81"/>
            <rFont val="Tahoma"/>
            <family val="2"/>
          </rPr>
          <t>CIE-10:
Erisipeloide</t>
        </r>
      </text>
    </comment>
    <comment ref="S46" authorId="0" shapeId="0" xr:uid="{D838BD8E-5138-4AF2-909A-B0F6260A4D03}">
      <text>
        <r>
          <rPr>
            <sz val="9"/>
            <color indexed="81"/>
            <rFont val="Tahoma"/>
            <family val="2"/>
          </rPr>
          <t>CIE-10:
Peste</t>
        </r>
      </text>
    </comment>
    <comment ref="AB46" authorId="0" shapeId="0" xr:uid="{0DDC9D7B-1C99-4861-BD74-2245B51AB6EF}">
      <text>
        <r>
          <rPr>
            <sz val="9"/>
            <color indexed="81"/>
            <rFont val="Tahoma"/>
            <family val="2"/>
          </rPr>
          <t>CIE-10:
Poliomielitis aguda</t>
        </r>
      </text>
    </comment>
    <comment ref="A47" authorId="0" shapeId="0" xr:uid="{F2050FB5-2479-499B-8D7A-68CB40CEE01A}">
      <text>
        <r>
          <rPr>
            <sz val="9"/>
            <color indexed="81"/>
            <rFont val="Tahoma"/>
            <family val="2"/>
          </rPr>
          <t>CIE-10:
Paludismo [malaria] debido a Plasmodium vivax</t>
        </r>
      </text>
    </comment>
    <comment ref="A48" authorId="0" shapeId="0" xr:uid="{CA94ADC0-0439-49DF-9000-25322BA0F949}">
      <text>
        <r>
          <rPr>
            <sz val="9"/>
            <color indexed="81"/>
            <rFont val="Tahoma"/>
            <family val="2"/>
          </rPr>
          <t>CIE-10:
Paludismo [malaria] debido a Plasmodium malariae</t>
        </r>
      </text>
    </comment>
    <comment ref="A49" authorId="0" shapeId="0" xr:uid="{5295DB51-12EC-4FED-8CC9-7E674853B27C}">
      <text>
        <r>
          <rPr>
            <sz val="9"/>
            <color indexed="81"/>
            <rFont val="Tahoma"/>
            <family val="2"/>
          </rPr>
          <t>CIE-10:
Otro paludismo [malaria] confirmado parasitológicamente</t>
        </r>
      </text>
    </comment>
    <comment ref="A50" authorId="0" shapeId="0" xr:uid="{8F577F00-430E-4FB2-A969-17C9ABE590E1}">
      <text>
        <r>
          <rPr>
            <sz val="9"/>
            <color indexed="81"/>
            <rFont val="Tahoma"/>
            <family val="2"/>
          </rPr>
          <t>CIE-10:
Paludismo [malaria] no especificado</t>
        </r>
      </text>
    </comment>
    <comment ref="J51" authorId="0" shapeId="0" xr:uid="{91C5B142-5F82-407E-8937-9A096EE7663A}">
      <text>
        <r>
          <rPr>
            <sz val="9"/>
            <color indexed="81"/>
            <rFont val="Tahoma"/>
            <family val="2"/>
          </rPr>
          <t>CIE-10:
Infección debida a Chlamydia psittaci</t>
        </r>
      </text>
    </comment>
    <comment ref="S51" authorId="0" shapeId="0" xr:uid="{1FD6E0F0-4DF6-47DF-9D0B-453DC7525B60}">
      <text>
        <r>
          <rPr>
            <sz val="9"/>
            <color indexed="81"/>
            <rFont val="Tahoma"/>
            <family val="2"/>
          </rPr>
          <t>CIE-10:
Rabia</t>
        </r>
      </text>
    </comment>
    <comment ref="AB51" authorId="0" shapeId="0" xr:uid="{F2ACEB22-E459-4AD5-9CEC-7C44E0B76844}">
      <text>
        <r>
          <rPr>
            <sz val="9"/>
            <color indexed="81"/>
            <rFont val="Tahoma"/>
            <family val="2"/>
          </rPr>
          <t>CIE-10:
Enteritis debida a rotavirus</t>
        </r>
      </text>
    </comment>
    <comment ref="A56" authorId="0" shapeId="0" xr:uid="{BDE803E9-6B76-4D04-99FB-2179A4DE2414}">
      <text>
        <r>
          <rPr>
            <sz val="9"/>
            <color indexed="81"/>
            <rFont val="Tahoma"/>
            <family val="2"/>
          </rPr>
          <t>CIE-10:
Rubéola [sarampión alemán]</t>
        </r>
      </text>
    </comment>
    <comment ref="J56" authorId="0" shapeId="0" xr:uid="{AB607DFA-384E-4DCE-B1B4-392DAF2F4A10}">
      <text>
        <r>
          <rPr>
            <sz val="9"/>
            <color indexed="81"/>
            <rFont val="Tahoma"/>
            <family val="2"/>
          </rPr>
          <t>CIE-10:
Síndrome de rubéola congénita</t>
        </r>
      </text>
    </comment>
    <comment ref="S56" authorId="0" shapeId="0" xr:uid="{094A7066-F6A5-4238-8D7D-7E9D7FAD014F}">
      <text>
        <r>
          <rPr>
            <sz val="9"/>
            <color indexed="81"/>
            <rFont val="Tahoma"/>
            <family val="2"/>
          </rPr>
          <t>CIE-10:
Sarampión</t>
        </r>
      </text>
    </comment>
    <comment ref="AB56" authorId="0" shapeId="0" xr:uid="{64D8E9E2-3EB2-4381-B0AA-2A0AAB8C27CA}">
      <text>
        <r>
          <rPr>
            <sz val="9"/>
            <color indexed="81"/>
            <rFont val="Tahoma"/>
            <family val="2"/>
          </rPr>
          <t>CIE-10:
Infección debida a Escherichia coli enterohemorrágica</t>
        </r>
      </text>
    </comment>
    <comment ref="A61" authorId="0" shapeId="0" xr:uid="{AEAA402B-989A-4176-B420-6BC8F11F6FD1}">
      <text>
        <r>
          <rPr>
            <sz val="9"/>
            <color indexed="81"/>
            <rFont val="Tahoma"/>
            <family val="2"/>
          </rPr>
          <t>CIE-10:
Sífilis congénita</t>
        </r>
      </text>
    </comment>
    <comment ref="J61" authorId="0" shapeId="0" xr:uid="{BF7F1044-A008-4BDD-9954-2C803D2C89CC}">
      <text>
        <r>
          <rPr>
            <sz val="9"/>
            <color indexed="81"/>
            <rFont val="Tahoma"/>
            <family val="2"/>
          </rPr>
          <t>CIE-10:
Infección debida a Coronavirus, de sitio no especificado</t>
        </r>
      </text>
    </comment>
    <comment ref="S61" authorId="0" shapeId="0" xr:uid="{4BB1A320-9CCD-427C-B1D1-140A9B7FAC3A}">
      <text>
        <r>
          <rPr>
            <sz val="9"/>
            <color indexed="81"/>
            <rFont val="Tahoma"/>
            <family val="2"/>
          </rPr>
          <t>CIE-10:
Tétanos otras edades</t>
        </r>
      </text>
    </comment>
    <comment ref="AB61" authorId="0" shapeId="0" xr:uid="{AAD973DE-17D2-43A4-A6A1-78EB7B7B1F5E}">
      <text>
        <r>
          <rPr>
            <sz val="9"/>
            <color indexed="81"/>
            <rFont val="Tahoma"/>
            <family val="2"/>
          </rPr>
          <t>CIE-10:
Tuberculosis respiratoria, confirmada bacteriológica e histológicamente</t>
        </r>
      </text>
    </comment>
    <comment ref="A62" authorId="0" shapeId="0" xr:uid="{72714CAF-998D-43FD-8FC3-CAECA6BE5BA2}">
      <text>
        <r>
          <rPr>
            <sz val="9"/>
            <color indexed="81"/>
            <rFont val="Tahoma"/>
            <family val="2"/>
          </rPr>
          <t>CIE-10:
Sífilis precoz</t>
        </r>
      </text>
    </comment>
    <comment ref="J62" authorId="0" shapeId="0" xr:uid="{840EE933-6BBE-4191-B26B-EF695666EB93}">
      <text>
        <r>
          <rPr>
            <sz val="9"/>
            <color indexed="81"/>
            <rFont val="Tahoma"/>
            <family val="2"/>
          </rPr>
          <t>CIE-10:
síndrome respiratorio agudo grave [SRAG]</t>
        </r>
      </text>
    </comment>
    <comment ref="AB62" authorId="0" shapeId="0" xr:uid="{D5B268A3-6F60-4255-B274-60B6F91C6669}">
      <text>
        <r>
          <rPr>
            <sz val="9"/>
            <color indexed="81"/>
            <rFont val="Tahoma"/>
            <family val="2"/>
          </rPr>
          <t>CIE-10:
Tuberculosis respiratoria, no confirmada bacteriológica o histológicamente</t>
        </r>
      </text>
    </comment>
    <comment ref="A63" authorId="0" shapeId="0" xr:uid="{8B479FDD-E445-454B-B5D2-E54C4DF7D1EB}">
      <text>
        <r>
          <rPr>
            <sz val="9"/>
            <color indexed="81"/>
            <rFont val="Tahoma"/>
            <family val="2"/>
          </rPr>
          <t>CIE-10:
Sífilis tardía</t>
        </r>
      </text>
    </comment>
    <comment ref="J63" authorId="0" shapeId="0" xr:uid="{5C4C61B6-5E33-43D2-A29B-CC74643864A8}">
      <text>
        <r>
          <rPr>
            <sz val="9"/>
            <color indexed="81"/>
            <rFont val="Tahoma"/>
            <family val="2"/>
          </rPr>
          <t>CIE-10:
COVID-19</t>
        </r>
      </text>
    </comment>
    <comment ref="AB63" authorId="0" shapeId="0" xr:uid="{A9532EE5-0E6E-4BD8-8DBC-A36A6C5A9F35}">
      <text>
        <r>
          <rPr>
            <sz val="9"/>
            <color indexed="81"/>
            <rFont val="Tahoma"/>
            <family val="2"/>
          </rPr>
          <t>CIE-10:
Tuberculosis del sistema nervioso</t>
        </r>
      </text>
    </comment>
    <comment ref="AB64" authorId="0" shapeId="0" xr:uid="{9F13CEDF-5AB7-4ABA-A74F-D648FB6224E2}">
      <text>
        <r>
          <rPr>
            <sz val="9"/>
            <color indexed="81"/>
            <rFont val="Tahoma"/>
            <family val="2"/>
          </rPr>
          <t>CIE-10:
Tuberculosis de otros órganos</t>
        </r>
      </text>
    </comment>
    <comment ref="AB65" authorId="0" shapeId="0" xr:uid="{112F2301-49D7-426C-BE3D-F893601557D4}">
      <text>
        <r>
          <rPr>
            <sz val="9"/>
            <color indexed="81"/>
            <rFont val="Tahoma"/>
            <family val="2"/>
          </rPr>
          <t>CIE-10:
Tuberculosis miliar</t>
        </r>
      </text>
    </comment>
    <comment ref="A68" authorId="0" shapeId="0" xr:uid="{0BB3F904-8FEF-4325-A6CE-C6E98BB6F114}">
      <text>
        <r>
          <rPr>
            <sz val="9"/>
            <color indexed="81"/>
            <rFont val="Tahoma"/>
            <family val="2"/>
          </rPr>
          <t>CIE-10:
Varicela</t>
        </r>
      </text>
    </comment>
    <comment ref="J68" authorId="0" shapeId="0" xr:uid="{51C84AE4-E7B3-4164-899A-4D5896083DC7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enfermedades ­infecciosas y parasitarias</t>
        </r>
      </text>
    </comment>
    <comment ref="J69" authorId="0" shapeId="0" xr:uid="{EE4FA49A-DFED-4FA4-9DB6-84EC50DCBCBD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tumores malignos</t>
        </r>
      </text>
    </comment>
    <comment ref="J70" authorId="0" shapeId="0" xr:uid="{D9B86F0C-DEE8-4FE6-AC1A-895FB76CEB9A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otras enfermedades especificadas</t>
        </r>
      </text>
    </comment>
    <comment ref="J71" authorId="0" shapeId="0" xr:uid="{2EE142AE-4039-444D-9BA0-71DB1F916723}">
      <text>
        <r>
          <rPr>
            <sz val="9"/>
            <color indexed="81"/>
            <rFont val="Tahoma"/>
            <family val="2"/>
          </rPr>
          <t>CIE-10:
Enfermedad por virus de la inmunodeficiencia humana [VIH], resultante en otras afecciones</t>
        </r>
      </text>
    </comment>
    <comment ref="J72" authorId="0" shapeId="0" xr:uid="{8C6C70BE-6634-4670-A2CD-B05ADF52738F}">
      <text>
        <r>
          <rPr>
            <sz val="9"/>
            <color indexed="81"/>
            <rFont val="Tahoma"/>
            <family val="2"/>
          </rPr>
          <t>CIE-10:
Enfermedad por virus de la inmunodeficiencia humana [VIH], sin otra especificación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Elieser Aguilar</author>
    <author>UER Guairá</author>
  </authors>
  <commentList>
    <comment ref="D3" authorId="0" shapeId="0" xr:uid="{6039EE95-84B7-4820-9997-3EF5AE7DD721}">
      <text>
        <r>
          <rPr>
            <sz val="9"/>
            <color indexed="81"/>
            <rFont val="Tahoma"/>
            <family val="2"/>
          </rPr>
          <t>Notificación:
Colectiva Semanal</t>
        </r>
      </text>
    </comment>
    <comment ref="M3" authorId="0" shapeId="0" xr:uid="{59C595A4-31AE-4D18-8C3E-48A2B080BE3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3" authorId="0" shapeId="0" xr:uid="{97BD32B7-28E5-497E-8D6D-1061FE833B8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3" authorId="1" shapeId="0" xr:uid="{D6A4254F-858D-49B4-8A66-E63D9F474BB4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N3" authorId="0" shapeId="0" xr:uid="{5E3829E4-7449-446D-B3BC-675884EB64F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W3" authorId="0" shapeId="0" xr:uid="{85B8E1CE-B4A1-4F87-B659-B3F50584E52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3" authorId="0" shapeId="0" xr:uid="{4EBC5D64-7B63-4210-ADE2-6DCCBA0F72B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O3" authorId="0" shapeId="0" xr:uid="{C23A5CF3-B201-41F5-B13E-FB11E2DC0F2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X3" authorId="0" shapeId="0" xr:uid="{980BAD32-E75B-456B-B391-93A22CD235C3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G3" authorId="0" shapeId="0" xr:uid="{0CE955C9-96AE-4632-8EC7-F0646FF28C81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P3" authorId="0" shapeId="0" xr:uid="{04403AFA-95E3-47F9-82BF-794DC0F26633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Y3" authorId="0" shapeId="0" xr:uid="{1B7EB5A1-D443-4DED-B63C-A42EBE8F88E5}">
      <text>
        <r>
          <rPr>
            <sz val="9"/>
            <color indexed="81"/>
            <rFont val="Tahoma"/>
            <family val="2"/>
          </rPr>
          <t>Notificación:
Individual Inmediata</t>
        </r>
      </text>
    </comment>
    <comment ref="DH3" authorId="0" shapeId="0" xr:uid="{2361E09D-01ED-41D4-B6B3-370850CEC45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Q3" authorId="0" shapeId="0" xr:uid="{1500F551-A591-4893-B784-5B51E7D55119}">
      <text>
        <r>
          <rPr>
            <sz val="9"/>
            <color indexed="81"/>
            <rFont val="Tahoma"/>
            <family val="2"/>
          </rPr>
          <t>Notificación:
Agrupada Mensual</t>
        </r>
      </text>
    </comment>
    <comment ref="DZ3" authorId="0" shapeId="0" xr:uid="{11D45314-214C-4116-90CB-5D1C11E111F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" authorId="0" shapeId="0" xr:uid="{C49A983D-7A5E-446D-9511-73994418B4FB}">
      <text>
        <r>
          <rPr>
            <sz val="9"/>
            <color indexed="81"/>
            <rFont val="Tahoma"/>
            <family val="2"/>
          </rPr>
          <t>CIE-10:
Rinofaringitis aguda [resfriado común]</t>
        </r>
      </text>
    </comment>
    <comment ref="M5" authorId="0" shapeId="0" xr:uid="{183FA906-F3C9-4E31-BC2E-B2999D1E8207}">
      <text>
        <r>
          <rPr>
            <sz val="9"/>
            <color indexed="81"/>
            <rFont val="Tahoma"/>
            <family val="2"/>
          </rPr>
          <t xml:space="preserve">CIE-10:
Meningitis bacteriana, no especificada </t>
        </r>
      </text>
    </comment>
    <comment ref="V5" authorId="0" shapeId="0" xr:uid="{8628A077-AA03-4BF5-8B88-FF227F19BDA9}">
      <text>
        <r>
          <rPr>
            <sz val="9"/>
            <color indexed="81"/>
            <rFont val="Tahoma"/>
            <family val="2"/>
          </rPr>
          <t xml:space="preserve">CIE-10:
Tos ferina, no especificada </t>
        </r>
      </text>
    </comment>
    <comment ref="D6" authorId="0" shapeId="0" xr:uid="{4F1B211B-EDCB-43BF-8D01-9FD758B2A79D}">
      <text>
        <r>
          <rPr>
            <sz val="9"/>
            <color indexed="81"/>
            <rFont val="Tahoma"/>
            <family val="2"/>
          </rPr>
          <t>CIE-10:
Faringitis aguda, no especificada</t>
        </r>
      </text>
    </comment>
    <comment ref="M6" authorId="0" shapeId="0" xr:uid="{64B1F0E0-A289-443D-89CA-85EC108032DB}">
      <text>
        <r>
          <rPr>
            <sz val="9"/>
            <color indexed="81"/>
            <rFont val="Tahoma"/>
            <family val="2"/>
          </rPr>
          <t>CIE-10.
Meningitis apiógena</t>
        </r>
      </text>
    </comment>
    <comment ref="V6" authorId="0" shapeId="0" xr:uid="{9A4F2DF2-5888-4FFC-883E-E6803C2FE866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6" authorId="1" shapeId="0" xr:uid="{86968B69-4E0A-4E63-9413-2E0B12E5D6D1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F6" authorId="0" shapeId="0" xr:uid="{FDCADEB1-81D3-44DA-A879-F7D3B6EBFA0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6" authorId="0" shapeId="0" xr:uid="{7CA98B16-B88D-4B3E-ADD0-15AFC1CE4C4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X6" authorId="0" shapeId="0" xr:uid="{902244EA-C3AF-45FB-A742-7F6245017BD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P6" authorId="0" shapeId="0" xr:uid="{8F259F4A-B809-47DF-9471-372A6FA84470}">
      <text>
        <r>
          <rPr>
            <sz val="9"/>
            <color indexed="81"/>
            <rFont val="Tahoma"/>
            <family val="2"/>
          </rPr>
          <t>Notificación:
Listado de Contactos</t>
        </r>
      </text>
    </comment>
    <comment ref="DH6" authorId="0" shapeId="0" xr:uid="{B1C1AB81-9D5D-4E65-B563-3151989371C8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D7" authorId="0" shapeId="0" xr:uid="{056F50E7-D5C6-4D6F-A8A0-0DAA29559794}">
      <text>
        <r>
          <rPr>
            <sz val="9"/>
            <color indexed="81"/>
            <rFont val="Tahoma"/>
            <family val="2"/>
          </rPr>
          <t>CIE-10:
Laringitis y traqueítis agudas</t>
        </r>
      </text>
    </comment>
    <comment ref="M7" authorId="0" shapeId="0" xr:uid="{6DF38956-295D-4F20-B0C2-8F5BFA5AB72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N7" authorId="1" shapeId="0" xr:uid="{22597594-7A36-4535-9FA0-E0943CC3A45E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8" authorId="0" shapeId="0" xr:uid="{380BC367-42B8-4D21-8B87-C842253EF488}">
      <text>
        <r>
          <rPr>
            <sz val="9"/>
            <color indexed="81"/>
            <rFont val="Tahoma"/>
            <family val="2"/>
          </rPr>
          <t>CIE-10:
Infecciones agudas de las vías respiratorias superiores, de sitios múltiples o no especificados</t>
        </r>
      </text>
    </comment>
    <comment ref="V8" authorId="0" shapeId="0" xr:uid="{FBB4DA4C-E510-4F5A-A7EB-B30FD8C16CF6}">
      <text>
        <r>
          <rPr>
            <sz val="9"/>
            <color indexed="81"/>
            <rFont val="Tahoma"/>
            <family val="2"/>
          </rPr>
          <t xml:space="preserve">CIE-10:
Tos ferina, no especificada </t>
        </r>
      </text>
    </comment>
    <comment ref="AW8" authorId="0" shapeId="0" xr:uid="{F7B468CD-3CF2-4425-A777-BA272785BD1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9" authorId="0" shapeId="0" xr:uid="{D7471EEC-361E-4AFA-9CC3-BFA3EAAF09D5}">
      <text>
        <r>
          <rPr>
            <sz val="9"/>
            <color indexed="81"/>
            <rFont val="Tahoma"/>
            <family val="2"/>
          </rPr>
          <t>CIE-10:
Influenza con otras manifestaciones respiratorias, debida a otro virus de la influenza identificado</t>
        </r>
      </text>
    </comment>
    <comment ref="M9" authorId="0" shapeId="0" xr:uid="{A59AAE20-1E6E-4CDB-B90E-ABB050F09913}">
      <text>
        <r>
          <rPr>
            <sz val="9"/>
            <color indexed="81"/>
            <rFont val="Tahoma"/>
            <family val="2"/>
          </rPr>
          <t xml:space="preserve">CIE-10:
Meningitis bacteriana, no especificada </t>
        </r>
      </text>
    </comment>
    <comment ref="V9" authorId="0" shapeId="0" xr:uid="{CD6AF3F4-F0D6-4F89-9BB7-685E26041CF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9" authorId="0" shapeId="0" xr:uid="{0DFE1D90-44D6-4D25-8181-E9DAC217CDD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9" authorId="0" shapeId="0" xr:uid="{1EF66C80-D5B2-4B09-9575-D43EA694C32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X9" authorId="0" shapeId="0" xr:uid="{7396A79B-2A11-423F-99E7-7B1DB7D9FBFC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CP9" authorId="0" shapeId="0" xr:uid="{645F314C-01EE-41B8-BB37-2CE1C8C6F24F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10" authorId="0" shapeId="0" xr:uid="{017AF429-18AC-45BC-A4C4-83D584E24625}">
      <text>
        <r>
          <rPr>
            <sz val="9"/>
            <color indexed="81"/>
            <rFont val="Tahoma"/>
            <family val="2"/>
          </rPr>
          <t>CIE-10:
Influenza con otras manifestaciones respiratorias, virus no identificado</t>
        </r>
      </text>
    </comment>
    <comment ref="M10" authorId="0" shapeId="0" xr:uid="{515586FD-ECCC-4892-A9BE-81D772A62DAD}">
      <text>
        <r>
          <rPr>
            <sz val="9"/>
            <color indexed="81"/>
            <rFont val="Tahoma"/>
            <family val="2"/>
          </rPr>
          <t>CIE-10.
Meningoencefalitis y meningomielitis bacterianas, no clasificadas en otra parte</t>
        </r>
      </text>
    </comment>
    <comment ref="AN10" authorId="1" shapeId="0" xr:uid="{2B0049CC-E75B-4DE8-83D8-592BA09D8F6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1" authorId="1" shapeId="0" xr:uid="{1F1F6490-8514-4F7C-9EE9-283916FB62D5}">
      <text>
        <r>
          <rPr>
            <sz val="9"/>
            <color indexed="81"/>
            <rFont val="Tahoma"/>
            <family val="2"/>
          </rPr>
          <t>Notificación:
(IRAB) Colectiva Semanal
(IRAG) Individual Semanal
(IRAGi) Individual Inmediato</t>
        </r>
      </text>
    </comment>
    <comment ref="M11" authorId="0" shapeId="0" xr:uid="{93B769CD-5AF7-4DBB-A19A-4A5AAE87F9D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1" authorId="0" shapeId="0" xr:uid="{FF8AF5EC-D83A-44A2-8956-2B856545A8BF}">
      <text>
        <r>
          <rPr>
            <sz val="9"/>
            <color indexed="81"/>
            <rFont val="Tahoma"/>
            <family val="2"/>
          </rPr>
          <t>CIE-10:
Tos ferina debida a Bordetella pertussis</t>
        </r>
      </text>
    </comment>
    <comment ref="AE11" authorId="1" shapeId="0" xr:uid="{992661B4-488D-4EF8-922B-31531EC2F2A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W11" authorId="0" shapeId="0" xr:uid="{1659F4DF-12B9-46DB-BAD6-1C347B0B9EC7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2" authorId="0" shapeId="0" xr:uid="{86DE58C0-6CAB-498B-96B0-A7EE002D5D59}">
      <text>
        <r>
          <rPr>
            <sz val="9"/>
            <color indexed="81"/>
            <rFont val="Tahoma"/>
            <family val="2"/>
          </rPr>
          <t>CIE-10:
Tos ferina debida a Bordetella parapertussis</t>
        </r>
      </text>
    </comment>
    <comment ref="BF12" authorId="0" shapeId="0" xr:uid="{F8C358FB-A7F6-4D73-913F-F4D1EF4FB89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3" authorId="0" shapeId="0" xr:uid="{27F3FC2E-1AD6-4C9D-96CF-1D390FF4B856}">
      <text>
        <r>
          <rPr>
            <sz val="9"/>
            <color indexed="81"/>
            <rFont val="Tahoma"/>
            <family val="2"/>
          </rPr>
          <t>CIE-10:
Influenza debida a virus de la influenza aviar identificado</t>
        </r>
      </text>
    </comment>
    <comment ref="M13" authorId="0" shapeId="0" xr:uid="{7EDA8C79-E26F-4E7F-9A41-92AF53449219}">
      <text>
        <r>
          <rPr>
            <sz val="9"/>
            <color indexed="81"/>
            <rFont val="Tahoma"/>
            <family val="2"/>
          </rPr>
          <t>CIE-10.
Meningitis por hemófilos</t>
        </r>
      </text>
    </comment>
    <comment ref="V13" authorId="0" shapeId="0" xr:uid="{9F1E68EC-106C-4A18-999A-052CC0AB96DC}">
      <text>
        <r>
          <rPr>
            <sz val="9"/>
            <color indexed="81"/>
            <rFont val="Tahoma"/>
            <family val="2"/>
          </rPr>
          <t xml:space="preserve">CIE-10:
Tos ferina debida a otras especies de Bordetella </t>
        </r>
      </text>
    </comment>
    <comment ref="AN13" authorId="1" shapeId="0" xr:uid="{62572941-0447-4FB7-96F3-D7EABE56F07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13" authorId="0" shapeId="0" xr:uid="{6D0B6360-5708-49F3-AFBF-000B50418E7A}">
      <text>
        <r>
          <rPr>
            <sz val="9"/>
            <color indexed="81"/>
            <rFont val="Tahoma"/>
            <family val="2"/>
          </rPr>
          <t>Notificación:
Semanal</t>
        </r>
      </text>
    </comment>
    <comment ref="D14" authorId="0" shapeId="0" xr:uid="{D4BC0552-CBA8-4C73-9ECD-AE1DA98BEBD4}">
      <text>
        <r>
          <rPr>
            <sz val="9"/>
            <color indexed="81"/>
            <rFont val="Tahoma"/>
            <family val="2"/>
          </rPr>
          <t>CIE-10:
Influenza con neumonía, debida a otro virus de la influenza identificado</t>
        </r>
      </text>
    </comment>
    <comment ref="M14" authorId="0" shapeId="0" xr:uid="{C38661F3-5F2D-4282-A304-9DE8C8B1D33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5" authorId="0" shapeId="0" xr:uid="{CB0EB540-E4B8-4F8C-B57F-64CA61129A42}">
      <text>
        <r>
          <rPr>
            <sz val="9"/>
            <color indexed="81"/>
            <rFont val="Tahoma"/>
            <family val="2"/>
          </rPr>
          <t>CIE-10:
Influenza con neumonía, virus no identificado (Bronco)neumonía gripal, no especificada o sin identificación del virus específico</t>
        </r>
      </text>
    </comment>
    <comment ref="V15" authorId="0" shapeId="0" xr:uid="{C55FDC01-80DB-44A0-8578-A7639F932B8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15" authorId="1" shapeId="0" xr:uid="{55BEA9F4-BF68-4A9A-9558-792F06C36A8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6" authorId="0" shapeId="0" xr:uid="{C70CD032-77A9-4192-968B-754EF819A3B4}">
      <text>
        <r>
          <rPr>
            <sz val="9"/>
            <color indexed="81"/>
            <rFont val="Tahoma"/>
            <family val="2"/>
          </rPr>
          <t>CIE-10:
Neumonía viral, no clasificada en otra parte</t>
        </r>
      </text>
    </comment>
    <comment ref="M16" authorId="0" shapeId="0" xr:uid="{7D20D77E-9B72-4067-AD72-FA4544C3043D}">
      <text>
        <r>
          <rPr>
            <sz val="9"/>
            <color indexed="81"/>
            <rFont val="Tahoma"/>
            <family val="2"/>
          </rPr>
          <t>CIE-10:
Meningitis neumocócica</t>
        </r>
      </text>
    </comment>
    <comment ref="BF16" authorId="0" shapeId="0" xr:uid="{70A1C931-C49C-4E73-85A4-6ED875BC332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7" authorId="0" shapeId="0" xr:uid="{B4D67257-BA35-43AF-96A7-7B26ABCE5FE0}">
      <text>
        <r>
          <rPr>
            <sz val="9"/>
            <color indexed="81"/>
            <rFont val="Tahoma"/>
            <family val="2"/>
          </rPr>
          <t>CIE-10:
Neumonía debida a Streptococcus pneumoniae</t>
        </r>
      </text>
    </comment>
    <comment ref="M17" authorId="0" shapeId="0" xr:uid="{BCE30241-8182-4125-9FB2-3A79872ACDB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8" authorId="0" shapeId="0" xr:uid="{A86B74DF-21E9-4CE2-A050-3448BC25771C}">
      <text>
        <r>
          <rPr>
            <sz val="9"/>
            <color indexed="81"/>
            <rFont val="Tahoma"/>
            <family val="2"/>
          </rPr>
          <t>CIE-10:
Neumonía debida a Haemophilus influenzae</t>
        </r>
      </text>
    </comment>
    <comment ref="V18" authorId="0" shapeId="0" xr:uid="{2C19A299-48F9-4A6A-8B9C-502E83D64D1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18" authorId="1" shapeId="0" xr:uid="{59764EA1-906A-49A4-90F7-D318C22912E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19" authorId="0" shapeId="0" xr:uid="{0B3B5418-86C8-4D9A-BC81-1D082CC79D37}">
      <text>
        <r>
          <rPr>
            <sz val="9"/>
            <color indexed="81"/>
            <rFont val="Tahoma"/>
            <family val="2"/>
          </rPr>
          <t>CIE-10:
Neumonía bacteriana, no clasificada en otra parte</t>
        </r>
      </text>
    </comment>
    <comment ref="M19" authorId="0" shapeId="0" xr:uid="{78C01CFA-77AE-4716-B299-FC4414F2DC49}">
      <text>
        <r>
          <rPr>
            <sz val="9"/>
            <color indexed="81"/>
            <rFont val="Tahoma"/>
            <family val="2"/>
          </rPr>
          <t>CIE-10:
Enfermedad meningocócica</t>
        </r>
      </text>
    </comment>
    <comment ref="AN19" authorId="1" shapeId="0" xr:uid="{B4CB8A24-6DCD-4A50-9175-3A043A6352B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W19" authorId="0" shapeId="0" xr:uid="{E4E62AD5-1D1D-4ED4-94F0-AA55A98CA67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19" authorId="0" shapeId="0" xr:uid="{F0CC6570-DF5B-4CBF-898B-F7C98D88242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H19" authorId="0" shapeId="0" xr:uid="{5FCA2E91-1CA1-455C-961A-75007AE9523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0" authorId="0" shapeId="0" xr:uid="{B4D33F28-ED9B-4E80-85D9-162FB2C87938}">
      <text>
        <r>
          <rPr>
            <sz val="9"/>
            <color indexed="81"/>
            <rFont val="Tahoma"/>
            <family val="2"/>
          </rPr>
          <t>CIE-10:
Neumonía debida a otros microorganismos infecciosos, no clasificados en otra parte</t>
        </r>
      </text>
    </comment>
    <comment ref="M20" authorId="0" shapeId="0" xr:uid="{C7069E37-3DE0-4354-B8EB-12D3ECA6320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20" authorId="0" shapeId="0" xr:uid="{8A1B3FB1-DB57-4C1C-B8A4-EC9FF80A51E3}">
      <text>
        <r>
          <rPr>
            <sz val="9"/>
            <color indexed="81"/>
            <rFont val="Tahoma"/>
            <family val="2"/>
          </rPr>
          <t>CIE-10:
Faringitis aguda</t>
        </r>
      </text>
    </comment>
    <comment ref="CG20" authorId="0" shapeId="0" xr:uid="{1B058DB9-CF32-409D-9EC0-BFF7266BC8BD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21" authorId="0" shapeId="0" xr:uid="{C56828EA-281A-48BD-97A3-BB41112BE564}">
      <text>
        <r>
          <rPr>
            <sz val="9"/>
            <color indexed="81"/>
            <rFont val="Tahoma"/>
            <family val="2"/>
          </rPr>
          <t>CIE-10:
Neumonía en enfermedades clasificadas en otra parte</t>
        </r>
      </text>
    </comment>
    <comment ref="V21" authorId="0" shapeId="0" xr:uid="{3ED4E171-745B-413C-81A4-4D6387A498B8}">
      <text>
        <r>
          <rPr>
            <sz val="9"/>
            <color indexed="81"/>
            <rFont val="Tahoma"/>
            <family val="2"/>
          </rPr>
          <t>CIE-10:
Amigdalitis aguda</t>
        </r>
      </text>
    </comment>
    <comment ref="AE21" authorId="1" shapeId="0" xr:uid="{2F7C0F3C-B293-4635-9809-BE85516F5AB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2" authorId="0" shapeId="0" xr:uid="{44911F56-F231-4D48-8CE5-4AB54DB925AA}">
      <text>
        <r>
          <rPr>
            <sz val="9"/>
            <color indexed="81"/>
            <rFont val="Tahoma"/>
            <family val="2"/>
          </rPr>
          <t>CIE-10:
Neumonía, organismo no especificado</t>
        </r>
      </text>
    </comment>
    <comment ref="M22" authorId="0" shapeId="0" xr:uid="{EE389E04-9FB0-45CB-B7A5-FBF0BFCD8E7D}">
      <text>
        <r>
          <rPr>
            <sz val="9"/>
            <color indexed="81"/>
            <rFont val="Tahoma"/>
            <family val="2"/>
          </rPr>
          <t>CIE-10:
Otras meningitis bacterianas</t>
        </r>
      </text>
    </comment>
    <comment ref="V22" authorId="0" shapeId="0" xr:uid="{D5B07265-6225-4EA5-BED4-6978C7530D1C}">
      <text>
        <r>
          <rPr>
            <sz val="9"/>
            <color indexed="81"/>
            <rFont val="Tahoma"/>
            <family val="2"/>
          </rPr>
          <t>CIE-10:
Laringitis y traqueítis agudas</t>
        </r>
      </text>
    </comment>
    <comment ref="DH22" authorId="0" shapeId="0" xr:uid="{27D42B8C-6361-439F-873C-845497E2D527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D23" authorId="0" shapeId="0" xr:uid="{409873C0-C296-4285-A720-2A0C3276B569}">
      <text>
        <r>
          <rPr>
            <sz val="9"/>
            <color indexed="81"/>
            <rFont val="Tahoma"/>
            <family val="2"/>
          </rPr>
          <t>CIE-10:
Enfermedades respiratorias inferiores agudas (Bronquitis aguda - bronquiolitis aguda)</t>
        </r>
      </text>
    </comment>
    <comment ref="M23" authorId="0" shapeId="0" xr:uid="{5D4F1EF8-8271-4200-AA35-3130A7CF2B8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23" authorId="0" shapeId="0" xr:uid="{A0007609-AD40-4E71-BBCD-B00C6F2C5EA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N23" authorId="1" shapeId="0" xr:uid="{694ECB08-CCEF-4167-ADA6-D3C27C0BD28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23" authorId="0" shapeId="0" xr:uid="{431D8616-5972-4CAD-8B90-ADD1DED6DAE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4" authorId="0" shapeId="0" xr:uid="{85CB9B22-B6CB-4EC5-BE10-6B11EA1FD22D}">
      <text>
        <r>
          <rPr>
            <sz val="9"/>
            <color indexed="81"/>
            <rFont val="Tahoma"/>
            <family val="2"/>
          </rPr>
          <t>CIE-10:
Bronquitis aguda</t>
        </r>
      </text>
    </comment>
    <comment ref="AE24" authorId="1" shapeId="0" xr:uid="{6ED423A7-C6B8-49A3-A94E-0F365D8EF85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5" authorId="0" shapeId="0" xr:uid="{2EE92F44-89F5-4835-9E66-FAE965634233}">
      <text>
        <r>
          <rPr>
            <sz val="9"/>
            <color indexed="81"/>
            <rFont val="Tahoma"/>
            <family val="2"/>
          </rPr>
          <t>CIE-10:
Bronquiolitis aguda</t>
        </r>
      </text>
    </comment>
    <comment ref="M25" authorId="0" shapeId="0" xr:uid="{5778EEB0-A33B-4FD0-873F-F32B796A6C05}">
      <text>
        <r>
          <rPr>
            <sz val="9"/>
            <color indexed="81"/>
            <rFont val="Tahoma"/>
            <family val="2"/>
          </rPr>
          <t>CIE-10:
Encefalitis viral, no especificada</t>
        </r>
      </text>
    </comment>
    <comment ref="V25" authorId="0" shapeId="0" xr:uid="{AEAE46A1-1F48-48F3-8620-599570DC0A6D}">
      <text>
        <r>
          <rPr>
            <sz val="9"/>
            <color indexed="81"/>
            <rFont val="Tahoma"/>
            <family val="2"/>
          </rPr>
          <t>CIE-10:
Difteria faríngea</t>
        </r>
      </text>
    </comment>
    <comment ref="BO25" authorId="0" shapeId="0" xr:uid="{6239B40B-3069-4341-9696-8913EC2CF65C}">
      <text>
        <r>
          <rPr>
            <sz val="9"/>
            <color indexed="81"/>
            <rFont val="Tahoma"/>
            <family val="2"/>
          </rPr>
          <t>Notificación:
Semanal</t>
        </r>
      </text>
    </comment>
    <comment ref="D26" authorId="0" shapeId="0" xr:uid="{4B6BFF71-6594-430D-820C-515F998D8E38}">
      <text>
        <r>
          <rPr>
            <sz val="9"/>
            <color indexed="81"/>
            <rFont val="Tahoma"/>
            <family val="2"/>
          </rPr>
          <t>CIE-10:
Infección aguda no especificada de las vías respiratorias inferiores</t>
        </r>
      </text>
    </comment>
    <comment ref="M26" authorId="0" shapeId="0" xr:uid="{7AAC896E-1A15-4099-B404-1BBC6EC7CF72}">
      <text>
        <r>
          <rPr>
            <sz val="9"/>
            <color indexed="81"/>
            <rFont val="Tahoma"/>
            <family val="2"/>
          </rPr>
          <t>CIE-10.
Meningitis viral, sin otra especificación</t>
        </r>
      </text>
    </comment>
    <comment ref="V26" authorId="0" shapeId="0" xr:uid="{54F65E30-0DA8-4BC9-AA39-616D3F2471F5}">
      <text>
        <r>
          <rPr>
            <sz val="9"/>
            <color indexed="81"/>
            <rFont val="Tahoma"/>
            <family val="2"/>
          </rPr>
          <t>CIE-10:
Difteria nasofaríngea</t>
        </r>
      </text>
    </comment>
    <comment ref="BF26" authorId="0" shapeId="0" xr:uid="{100DA608-EA6D-475A-90C5-162D49FB059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27" authorId="0" shapeId="0" xr:uid="{594CEE2F-A96C-44C2-BC13-A0A97BF64962}">
      <text>
        <r>
          <rPr>
            <sz val="9"/>
            <color indexed="81"/>
            <rFont val="Tahoma"/>
            <family val="2"/>
          </rPr>
          <t>CIE-10:
Síndrome respiratorio agudo severo (SARS).</t>
        </r>
      </text>
    </comment>
    <comment ref="M27" authorId="0" shapeId="0" xr:uid="{EE1EDA11-D183-4052-BD26-2805FEC7802F}">
      <text>
        <r>
          <rPr>
            <sz val="9"/>
            <color indexed="81"/>
            <rFont val="Tahoma"/>
            <family val="2"/>
          </rPr>
          <t>CIE-10:
Meningitis apiógena</t>
        </r>
      </text>
    </comment>
    <comment ref="V27" authorId="0" shapeId="0" xr:uid="{BD6B59FD-1F43-4106-BF6B-042E3643CE33}">
      <text>
        <r>
          <rPr>
            <sz val="9"/>
            <color indexed="81"/>
            <rFont val="Tahoma"/>
            <family val="2"/>
          </rPr>
          <t>CIE-10:
Difteria laríngea</t>
        </r>
      </text>
    </comment>
    <comment ref="AN27" authorId="1" shapeId="0" xr:uid="{539659B2-FE5D-478B-88AA-18F6AD78A5E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28" authorId="1" shapeId="0" xr:uid="{90BFB397-AD5C-4C36-A4FA-7C5D3C661C9A}">
      <text>
        <r>
          <rPr>
            <sz val="9"/>
            <color indexed="81"/>
            <rFont val="Tahoma"/>
            <family val="2"/>
          </rPr>
          <t>Notificación:
Individual Semanal</t>
        </r>
      </text>
    </comment>
    <comment ref="M28" authorId="0" shapeId="0" xr:uid="{C239011F-BFBE-4029-AD28-A221F68AEAC7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28" authorId="0" shapeId="0" xr:uid="{8D48219A-5461-49CF-BBB7-68585BBB4750}">
      <text>
        <r>
          <rPr>
            <sz val="9"/>
            <color indexed="81"/>
            <rFont val="Tahoma"/>
            <family val="2"/>
          </rPr>
          <t>CIE-10:
Difteria cutánea</t>
        </r>
      </text>
    </comment>
    <comment ref="AE28" authorId="1" shapeId="0" xr:uid="{D765A59D-0112-4F0D-839E-4CE637A6289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29" authorId="0" shapeId="0" xr:uid="{2DECB0C2-F971-4B03-BA91-D4C0D5D557BA}">
      <text>
        <r>
          <rPr>
            <sz val="9"/>
            <color indexed="81"/>
            <rFont val="Tahoma"/>
            <family val="2"/>
          </rPr>
          <t>CIE-10:
Otras difterias</t>
        </r>
      </text>
    </comment>
    <comment ref="BF29" authorId="0" shapeId="0" xr:uid="{84907FED-B8C8-49B1-B6BE-49060BFC26B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CG29" authorId="0" shapeId="0" xr:uid="{226D1472-3A02-4F83-9031-7A37B926916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30" authorId="0" shapeId="0" xr:uid="{39A085DD-72BB-4BDA-AFAA-7912533A33EC}">
      <text>
        <r>
          <rPr>
            <sz val="9"/>
            <color indexed="81"/>
            <rFont val="Tahoma"/>
            <family val="2"/>
          </rPr>
          <t>CIE-10:
Rinofaringitis aguda [resfriado común]</t>
        </r>
      </text>
    </comment>
    <comment ref="M30" authorId="0" shapeId="0" xr:uid="{E856D14D-03A4-444D-87AA-1BB38D387A3A}">
      <text>
        <r>
          <rPr>
            <sz val="9"/>
            <color indexed="81"/>
            <rFont val="Tahoma"/>
            <family val="2"/>
          </rPr>
          <t>CIE-10:
Encefalitis viral transmitida por mosquitos</t>
        </r>
      </text>
    </comment>
    <comment ref="V30" authorId="0" shapeId="0" xr:uid="{9D135D81-2B4E-444E-9ACB-A1E11899AD9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1" authorId="0" shapeId="0" xr:uid="{5F5FE0ED-6A42-4DBA-A9E2-DB54C8C375D6}">
      <text>
        <r>
          <rPr>
            <sz val="9"/>
            <color indexed="81"/>
            <rFont val="Tahoma"/>
            <family val="2"/>
          </rPr>
          <t>CIE-10:
Faringitis aguda, no especificada</t>
        </r>
      </text>
    </comment>
    <comment ref="M31" authorId="0" shapeId="0" xr:uid="{0A2EBA72-AE1D-4A62-AB4C-672AFD6B6C4B}">
      <text>
        <r>
          <rPr>
            <sz val="9"/>
            <color indexed="81"/>
            <rFont val="Tahoma"/>
            <family val="2"/>
          </rPr>
          <t xml:space="preserve">CIE-10:
Encefalitis viral transmitida por garrapatas </t>
        </r>
      </text>
    </comment>
    <comment ref="AE31" authorId="1" shapeId="0" xr:uid="{F5419034-47C2-4C77-8EA8-7DD8AFC2E9E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N31" authorId="1" shapeId="0" xr:uid="{C3004F60-18E2-4A38-A62D-264782DFA333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32" authorId="0" shapeId="0" xr:uid="{2938F1BB-A1E3-4779-BAF7-E0E0F3492C87}">
      <text>
        <r>
          <rPr>
            <sz val="9"/>
            <color indexed="81"/>
            <rFont val="Tahoma"/>
            <family val="2"/>
          </rPr>
          <t>CIE-10:
Laringitis y traqueítis agudas</t>
        </r>
      </text>
    </comment>
    <comment ref="M32" authorId="0" shapeId="0" xr:uid="{BF7E76E3-9E3C-4142-80FF-4716CC694BF7}">
      <text>
        <r>
          <rPr>
            <sz val="9"/>
            <color indexed="81"/>
            <rFont val="Tahoma"/>
            <family val="2"/>
          </rPr>
          <t>CIE-10:
Otras encefalitis virales, no clasificadas en otra parte</t>
        </r>
      </text>
    </comment>
    <comment ref="V32" authorId="0" shapeId="0" xr:uid="{20E76083-F227-44A7-AB43-9912DF346857}">
      <text>
        <r>
          <rPr>
            <sz val="9"/>
            <color indexed="81"/>
            <rFont val="Tahoma"/>
            <family val="2"/>
          </rPr>
          <t>CIE-10:
Difteria, no especificada</t>
        </r>
      </text>
    </comment>
    <comment ref="CG32" authorId="0" shapeId="0" xr:uid="{281F9143-7E0A-46AA-9211-4227412BFA4F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33" authorId="0" shapeId="0" xr:uid="{243BC747-CBBF-4B77-BE76-B4DA21494FB6}">
      <text>
        <r>
          <rPr>
            <sz val="9"/>
            <color indexed="81"/>
            <rFont val="Tahoma"/>
            <family val="2"/>
          </rPr>
          <t>CIE-10:
Infecciones agudas de las vías respiratorias superiores, de sitios múltiples o no especificados</t>
        </r>
      </text>
    </comment>
    <comment ref="M33" authorId="0" shapeId="0" xr:uid="{836ECA52-9521-4901-BDFC-8CBBA2704B51}">
      <text>
        <r>
          <rPr>
            <sz val="9"/>
            <color indexed="81"/>
            <rFont val="Tahoma"/>
            <family val="2"/>
          </rPr>
          <t>CIE-10:
Meningitis viral</t>
        </r>
      </text>
    </comment>
    <comment ref="D34" authorId="0" shapeId="0" xr:uid="{6340A77E-FB95-4F06-82D6-4000C3489952}">
      <text>
        <r>
          <rPr>
            <sz val="9"/>
            <color indexed="81"/>
            <rFont val="Tahoma"/>
            <family val="2"/>
          </rPr>
          <t>CIE-10:
Influenza con otras manifestaciones respiratorias, debida a otro virus de la i</t>
        </r>
      </text>
    </comment>
    <comment ref="M34" authorId="0" shapeId="0" xr:uid="{7A81B97F-E414-408C-B422-6D1A9BEDD77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34" authorId="0" shapeId="0" xr:uid="{811A7EA2-91C1-4C49-821A-CF851411749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N34" authorId="1" shapeId="0" xr:uid="{AD4F15E1-BE1A-4957-80E3-0146CBBDC20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34" authorId="0" shapeId="0" xr:uid="{FDFDC1F8-1ACF-4553-9944-2B926C26BBC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5" authorId="0" shapeId="0" xr:uid="{88682442-AEDD-45F1-A695-0ABE284FDA4D}">
      <text>
        <r>
          <rPr>
            <sz val="9"/>
            <color indexed="81"/>
            <rFont val="Tahoma"/>
            <family val="2"/>
          </rPr>
          <t>CIE-10:
Influenza con otras manifestaciones respiratorias, virus no identificado</t>
        </r>
      </text>
    </comment>
    <comment ref="D36" authorId="1" shapeId="0" xr:uid="{010AC942-B3D1-4D67-8058-88B09EBD0CFA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M36" authorId="0" shapeId="0" xr:uid="{8B07B88A-E9F1-427A-9B97-C0A56B48D13F}">
      <text>
        <r>
          <rPr>
            <sz val="9"/>
            <color indexed="81"/>
            <rFont val="Tahoma"/>
            <family val="2"/>
          </rPr>
          <t>CIE-10:
Meningitis en otras enfermedades infecciosas y parasitarias clasificadas en otra parte</t>
        </r>
      </text>
    </comment>
    <comment ref="V37" authorId="0" shapeId="0" xr:uid="{7EE464A7-1BBC-44ED-BED4-5159E814B92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37" authorId="1" shapeId="0" xr:uid="{13764E69-E47C-4A00-95C2-9DBE6B6A686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8" authorId="0" shapeId="0" xr:uid="{E4021677-572D-45C9-946D-4ABC1AE893C0}">
      <text>
        <r>
          <rPr>
            <sz val="9"/>
            <color indexed="81"/>
            <rFont val="Tahoma"/>
            <family val="2"/>
          </rPr>
          <t>CIE-10:
Síndrome respiratorio agudo severo, sin especificar.</t>
        </r>
      </text>
    </comment>
    <comment ref="AN38" authorId="1" shapeId="0" xr:uid="{FAE125E3-EC67-464E-B0A7-E2759B9A017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F38" authorId="0" shapeId="0" xr:uid="{90C64F3E-D1E0-4B1F-83EF-7470F9AD700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39" authorId="1" shapeId="0" xr:uid="{C7F61FD8-6593-47F6-9910-EF4E259F351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O39" authorId="0" shapeId="0" xr:uid="{61FB6D5E-902F-455F-BA62-F3327247228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1" authorId="0" shapeId="0" xr:uid="{F08093CA-DF4C-47EE-BAE0-05FE95B8BD91}">
      <text>
        <r>
          <rPr>
            <sz val="9"/>
            <color indexed="81"/>
            <rFont val="Tahoma"/>
            <family val="2"/>
          </rPr>
          <t>CIE-10:
COVID-19, virus no identificado (diagnosticado clínicamente)</t>
        </r>
      </text>
    </comment>
    <comment ref="AE41" authorId="1" shapeId="0" xr:uid="{89472540-717A-4F1B-BAA4-C49933732A78}">
      <text>
        <r>
          <rPr>
            <sz val="9"/>
            <color indexed="81"/>
            <rFont val="Tahoma"/>
            <family val="2"/>
          </rPr>
          <t>Notificación:
Individual dentro de 24hs de la detección de la alteración neurológica</t>
        </r>
      </text>
    </comment>
    <comment ref="AN41" authorId="1" shapeId="0" xr:uid="{FA5CC45E-4A51-4327-8352-7575486FA85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2" authorId="1" shapeId="0" xr:uid="{A18A5982-CB24-467A-BC7C-94A982F8CF2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42" authorId="0" shapeId="0" xr:uid="{33C20083-341B-4D54-8749-3B801810236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43" authorId="0" shapeId="0" xr:uid="{08065EB2-FA1E-4043-89AC-672AF0C98C5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4" authorId="0" shapeId="0" xr:uid="{33ABC9CB-ADCF-4A9B-96B0-C4DBC6399EE3}">
      <text>
        <r>
          <rPr>
            <sz val="9"/>
            <color indexed="81"/>
            <rFont val="Tahoma"/>
            <family val="2"/>
          </rPr>
          <t>CIE-10:
Enfermedad respiratoria aguda debido al coronavirus SARS-CoV-2.</t>
        </r>
      </text>
    </comment>
    <comment ref="AN44" authorId="1" shapeId="0" xr:uid="{EAFE0241-3853-47A4-838D-CD5066EF681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CG44" authorId="0" shapeId="0" xr:uid="{C4625AD4-5625-47B3-A4F4-4697790CDEB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45" authorId="0" shapeId="0" xr:uid="{8938EBEC-22F6-4DA4-99A3-40C18FAB515A}">
      <text>
        <r>
          <rPr>
            <sz val="9"/>
            <color indexed="81"/>
            <rFont val="Tahoma"/>
            <family val="2"/>
          </rPr>
          <t>CIE-10:
 Síndrome inflamatorio multisistémico asociado con COVID-19, no especificado</t>
        </r>
      </text>
    </comment>
    <comment ref="V45" authorId="0" shapeId="0" xr:uid="{3A88C0E6-0F6C-456C-9BB8-877C8A6D7A8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F45" authorId="0" shapeId="0" xr:uid="{2BC8BB2E-29E3-48FE-A146-D258F33C99B3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46" authorId="0" shapeId="0" xr:uid="{146BADCE-9654-4B5D-B8FF-8C49EF67AF40}">
      <text>
        <r>
          <rPr>
            <sz val="9"/>
            <color indexed="81"/>
            <rFont val="Tahoma"/>
            <family val="2"/>
          </rPr>
          <t>Notificación:
Individual dentro de 24hs
Utilice código adicional para identificar: Ej. disentería 
por Shigella asociada  (A03.9) infección por E. Coli asociada 
(B96.2-)</t>
        </r>
      </text>
    </comment>
    <comment ref="D47" authorId="1" shapeId="0" xr:uid="{1CE7B56E-D79E-4046-A240-35484077E48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N47" authorId="1" shapeId="0" xr:uid="{90794353-565B-4686-9271-A1A2F50F1FA4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48" authorId="0" shapeId="0" xr:uid="{184E44A4-CD5A-492B-B423-D594941AA55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49" authorId="0" shapeId="0" xr:uid="{ACF19619-519B-4B61-B358-E3B31179F775}">
      <text>
        <r>
          <rPr>
            <sz val="9"/>
            <color indexed="81"/>
            <rFont val="Tahoma"/>
            <family val="2"/>
          </rPr>
          <t>CIE-10:
Observación por sospecha de tuberculosis</t>
        </r>
      </text>
    </comment>
    <comment ref="AE49" authorId="1" shapeId="0" xr:uid="{BB3E695F-5E7A-442B-914B-7FF05042709E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0" authorId="1" shapeId="0" xr:uid="{01B62C91-4D2F-4F98-8B01-6F455246442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BO50" authorId="0" shapeId="0" xr:uid="{B347DF2D-F2E6-4D35-B0AF-389F2118143F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BF51" authorId="0" shapeId="0" xr:uid="{CAA8B14E-AB6C-4E70-BE0F-59D1A55FA3F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2" authorId="0" shapeId="0" xr:uid="{E4189CD9-6AC9-4BE9-8BA6-DD3699E1D389}">
      <text>
        <r>
          <rPr>
            <sz val="9"/>
            <color indexed="81"/>
            <rFont val="Tahoma"/>
            <family val="2"/>
          </rPr>
          <t>CIE-10:
Hemoptisis</t>
        </r>
      </text>
    </comment>
    <comment ref="AE52" authorId="1" shapeId="0" xr:uid="{67259693-19C4-40AD-BF7B-8EDAEBA2BD8A}">
      <text>
        <r>
          <rPr>
            <sz val="9"/>
            <color indexed="81"/>
            <rFont val="Tahoma"/>
            <family val="2"/>
          </rPr>
          <t>Notificación:
Individual dentro de 24hs de la detección de la microcefalia</t>
        </r>
      </text>
    </comment>
    <comment ref="D53" authorId="1" shapeId="0" xr:uid="{DD2C7102-5A06-4B41-A544-5CD23754E87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53" authorId="0" shapeId="0" xr:uid="{BCB80C36-EFE0-4FC2-8838-F9B3A1AF93C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53" authorId="0" shapeId="0" xr:uid="{3EB0FEAC-6297-429B-994E-014BD535D4E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5" authorId="0" shapeId="0" xr:uid="{B5D69971-64FD-4CA2-B3DB-72A98258B589}">
      <text>
        <r>
          <rPr>
            <sz val="9"/>
            <color indexed="81"/>
            <rFont val="Tahoma"/>
            <family val="2"/>
          </rPr>
          <t>CIE-10:
Tuberculosis respiratoria, confirmada bacteriológica e histológicamente</t>
        </r>
      </text>
    </comment>
    <comment ref="AE55" authorId="1" shapeId="0" xr:uid="{1944F95F-9BF4-4CD6-A41E-66FEC07B295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55" authorId="1" shapeId="0" xr:uid="{B7B6B062-7C5E-4281-8F2D-4444F5BBB2E8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56" authorId="1" shapeId="0" xr:uid="{C71332AD-DB4E-4D14-9CAA-A2196109C3B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56" authorId="0" shapeId="0" xr:uid="{09F7400C-3412-4D2B-8A73-09C2657D17BB}">
      <text>
        <r>
          <rPr>
            <sz val="9"/>
            <color indexed="81"/>
            <rFont val="Tahoma"/>
            <family val="2"/>
          </rPr>
          <t>Notificación:
Caso Sospechoso:
Individual Inmediato
Caso Confirmado:
Individual dentro de 24hs.</t>
        </r>
      </text>
    </comment>
    <comment ref="V57" authorId="0" shapeId="0" xr:uid="{10479447-57B6-43FF-B6FB-A80083049391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58" authorId="0" shapeId="0" xr:uid="{9330C3B3-4D8A-4A35-9413-9C535B5E624E}">
      <text>
        <r>
          <rPr>
            <sz val="9"/>
            <color indexed="81"/>
            <rFont val="Tahoma"/>
            <family val="2"/>
          </rPr>
          <t>CIE-10:
Tuberculosis respiratoria, no confirmada bacteriológica o histológicamente</t>
        </r>
      </text>
    </comment>
    <comment ref="BF58" authorId="0" shapeId="0" xr:uid="{EFBB9FD5-6FD6-4E2B-A5D8-F41389B2528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59" authorId="1" shapeId="0" xr:uid="{23AF0E49-E44C-438C-B626-1AA5D0E6A718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59" authorId="1" shapeId="0" xr:uid="{C520A5B2-B2F5-4072-BF92-844F775417C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59" authorId="0" shapeId="0" xr:uid="{E974F765-5F6D-47C8-9975-4656324F85E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1" authorId="0" shapeId="0" xr:uid="{B6FE67D6-1F67-4E17-9B36-44E88F8E1262}">
      <text>
        <r>
          <rPr>
            <sz val="9"/>
            <color indexed="81"/>
            <rFont val="Tahoma"/>
            <family val="2"/>
          </rPr>
          <t>CIE-10:
Tuberculosis del sistema nervioso</t>
        </r>
      </text>
    </comment>
    <comment ref="BF61" authorId="0" shapeId="0" xr:uid="{15B1AA85-ED4C-4446-8F29-76C106F0E8F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2" authorId="1" shapeId="0" xr:uid="{498CCB7D-A7CD-4EB0-B8AB-35BBB9E2E3C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62" authorId="1" shapeId="0" xr:uid="{6268077B-A2E2-48B6-A635-13C55D894CE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4" authorId="0" shapeId="0" xr:uid="{BCDB258D-F3BD-40A2-B753-2F54385D2EBA}">
      <text>
        <r>
          <rPr>
            <sz val="9"/>
            <color indexed="81"/>
            <rFont val="Tahoma"/>
            <family val="2"/>
          </rPr>
          <t>CIE-10:
Tuberculosis de otros órganos</t>
        </r>
      </text>
    </comment>
    <comment ref="D65" authorId="1" shapeId="0" xr:uid="{04C251E7-2CA3-4379-8D61-D0F677758A42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65" authorId="1" shapeId="0" xr:uid="{3BC36E73-4941-4615-AFA2-6E5DB0F3FBE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67" authorId="0" shapeId="0" xr:uid="{CDB9352F-42A1-4E8D-8E49-C6D6D33FF2FF}">
      <text>
        <r>
          <rPr>
            <sz val="9"/>
            <color indexed="81"/>
            <rFont val="Tahoma"/>
            <family val="2"/>
          </rPr>
          <t>CIE-10:
Tuberculosis miliar</t>
        </r>
      </text>
    </comment>
    <comment ref="V67" authorId="0" shapeId="0" xr:uid="{4628CA92-ADD9-4945-8E69-EAA7539C19EB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D68" authorId="1" shapeId="0" xr:uid="{E20BF422-1861-46D2-9386-3F82F54AB7C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68" authorId="0" shapeId="0" xr:uid="{56132CCA-917D-4EA3-AD79-3A3D48BEF58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69" authorId="1" shapeId="0" xr:uid="{7DBD9917-9437-41D5-A4CC-C80CDACF8D2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0" authorId="0" shapeId="0" xr:uid="{7C8DE05C-9E8A-4FC5-9AC9-281A7A56E1ED}">
      <text>
        <r>
          <rPr>
            <sz val="9"/>
            <color indexed="81"/>
            <rFont val="Tahoma"/>
            <family val="2"/>
          </rPr>
          <t>CIE-10:
Tuberculosis congénita</t>
        </r>
      </text>
    </comment>
    <comment ref="V70" authorId="0" shapeId="0" xr:uid="{9F884B2E-C551-4D6C-8762-CC60BEBB881D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O70" authorId="0" shapeId="0" xr:uid="{0D255F9F-05AC-4CE4-A949-AC9530E89632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1" authorId="1" shapeId="0" xr:uid="{344E15B7-5282-4765-A307-30C98DC9E4F1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71" authorId="0" shapeId="0" xr:uid="{09123038-8CCA-4C6E-A58E-DB1FD546B1AC}">
      <text>
        <r>
          <rPr>
            <sz val="9"/>
            <color indexed="81"/>
            <rFont val="Tahoma"/>
            <family val="2"/>
          </rPr>
          <t>Notificación:
Listado de Contactos</t>
        </r>
      </text>
    </comment>
    <comment ref="D73" authorId="0" shapeId="0" xr:uid="{8659E78E-CC41-4B58-8FDE-363AF16D62AE}">
      <text>
        <r>
          <rPr>
            <sz val="9"/>
            <color indexed="81"/>
            <rFont val="Tahoma"/>
            <family val="2"/>
          </rPr>
          <t>CIE-10:
Enfermedad por VIH, resultante en infección por micobacterias</t>
        </r>
      </text>
    </comment>
    <comment ref="V73" authorId="0" shapeId="0" xr:uid="{B547DCBE-830A-4207-9AA7-DB7B8F978D10}">
      <text>
        <r>
          <rPr>
            <sz val="9"/>
            <color indexed="81"/>
            <rFont val="Tahoma"/>
            <family val="2"/>
          </rPr>
          <t>Notificación:
En listado de contactos</t>
        </r>
      </text>
    </comment>
    <comment ref="AE73" authorId="1" shapeId="0" xr:uid="{E4754B89-073A-4D15-9560-F6EB13F3E1C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4" authorId="1" shapeId="0" xr:uid="{7EFB203C-3828-4C9C-9E26-9DEE6710075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BF74" authorId="0" shapeId="0" xr:uid="{DE398DB6-5D5B-44FB-8B91-39FDFD84102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6" authorId="0" shapeId="0" xr:uid="{0B0391A6-AC75-4C9A-9D38-FFF4FFD2E2F6}">
      <text>
        <r>
          <rPr>
            <sz val="9"/>
            <color indexed="81"/>
            <rFont val="Tahoma"/>
            <family val="2"/>
          </rPr>
          <t>CIE-10:
Portador de agentes de otras enfermedades bacterianas especificadas</t>
        </r>
      </text>
    </comment>
    <comment ref="V76" authorId="0" shapeId="0" xr:uid="{E8B9E238-119A-4823-8FC9-19F6C8FBD94A}">
      <text>
        <r>
          <rPr>
            <sz val="9"/>
            <color indexed="81"/>
            <rFont val="Tahoma"/>
            <family val="2"/>
          </rPr>
          <t>Notificación:
Individual dentro de 24hs del nacimiento</t>
        </r>
      </text>
    </comment>
    <comment ref="D77" authorId="1" shapeId="0" xr:uid="{395FA69E-87BA-4433-9E9A-F29C294BEED6}">
      <text>
        <r>
          <rPr>
            <sz val="9"/>
            <color indexed="81"/>
            <rFont val="Tahoma"/>
            <family val="2"/>
          </rPr>
          <t>Notificación:
En ficha de contactos</t>
        </r>
      </text>
    </comment>
    <comment ref="AE77" authorId="1" shapeId="0" xr:uid="{5749C8E5-2B2E-43CA-8299-1446E0AB45FB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D79" authorId="0" shapeId="0" xr:uid="{4E327F19-8F9F-4150-BD0A-093A6D8A7FF2}">
      <text>
        <r>
          <rPr>
            <sz val="9"/>
            <color indexed="81"/>
            <rFont val="Tahoma"/>
            <family val="2"/>
          </rPr>
          <t>CIE-10:
Contacto con y exposición a tuberculosis</t>
        </r>
      </text>
    </comment>
    <comment ref="V79" authorId="0" shapeId="0" xr:uid="{A3AE34BE-BDE5-4D8A-8D26-CA111B1F286E}">
      <text>
        <r>
          <rPr>
            <sz val="9"/>
            <color indexed="81"/>
            <rFont val="Tahoma"/>
            <family val="2"/>
          </rPr>
          <t>Notificación:
Individual dentro de 24hs de confirmado</t>
        </r>
      </text>
    </comment>
    <comment ref="AE81" authorId="1" shapeId="0" xr:uid="{77DEAF55-4323-467C-8727-5AC9EA346495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83" authorId="0" shapeId="0" xr:uid="{1B4307F7-A532-4B29-B041-7053568A2D17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88" authorId="1" shapeId="0" xr:uid="{E3BF526A-BD1B-4368-80C6-29CB11796C5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91" authorId="1" shapeId="0" xr:uid="{65C02886-EFDB-47E5-972F-7EB79BC5FD2F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93" authorId="0" shapeId="0" xr:uid="{AD578BD3-420C-4749-BC5E-4614CB06C3A9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94" authorId="1" shapeId="0" xr:uid="{217051DD-6991-43CB-8137-C5DCCFCD8AFA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96" authorId="0" shapeId="0" xr:uid="{E658B366-1F67-4624-A4BC-F3D6DAD1CAA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97" authorId="1" shapeId="0" xr:uid="{41198D43-5384-4BCC-957F-6B5696B911D6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00" authorId="0" shapeId="0" xr:uid="{1C47A143-FF3E-4E18-86A9-2D3BBE85CBCC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101" authorId="1" shapeId="0" xr:uid="{7F1706C7-69AB-4061-8B09-66848C8B4BA5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104" authorId="0" shapeId="0" xr:uid="{274E2E05-C5B0-4428-BBB2-9CEDC856CB39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105" authorId="1" shapeId="0" xr:uid="{CE3A7568-B518-4E40-828D-2F55A445D1B2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V108" authorId="0" shapeId="0" xr:uid="{D44C0869-E1D1-48C4-8D61-C1BFF66388E0}">
      <text>
        <r>
          <rPr>
            <sz val="9"/>
            <color indexed="81"/>
            <rFont val="Tahoma"/>
            <family val="2"/>
          </rPr>
          <t>Notificación:
Individual Inmediato</t>
        </r>
      </text>
    </comment>
    <comment ref="AE109" authorId="1" shapeId="0" xr:uid="{F408134A-42B5-43C1-BF8E-C4777AD86A40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V111" authorId="0" shapeId="0" xr:uid="{83FC6E58-9281-42A2-9707-34BD28281132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  <comment ref="AE115" authorId="1" shapeId="0" xr:uid="{F5D48AC4-9F5D-4D09-946B-3512D7683B37}">
      <text>
        <r>
          <rPr>
            <sz val="9"/>
            <color indexed="81"/>
            <rFont val="Tahoma"/>
            <family val="2"/>
          </rPr>
          <t>Notificación:
Individual dentro de 24hs</t>
        </r>
      </text>
    </comment>
  </commentList>
</comments>
</file>

<file path=xl/sharedStrings.xml><?xml version="1.0" encoding="utf-8"?>
<sst xmlns="http://schemas.openxmlformats.org/spreadsheetml/2006/main" count="3158" uniqueCount="766">
  <si>
    <t>Datos de la Dependencia</t>
  </si>
  <si>
    <t>Datos del Paciente</t>
  </si>
  <si>
    <t>Datos del Diagnostico</t>
  </si>
  <si>
    <t>Datos de la Preconsulta</t>
  </si>
  <si>
    <t>Datos del Procedimiento</t>
  </si>
  <si>
    <t>Fecha</t>
  </si>
  <si>
    <t>Fin de consulta</t>
  </si>
  <si>
    <t>Cod.Establecimiento</t>
  </si>
  <si>
    <t>Tipo de Consulta</t>
  </si>
  <si>
    <t>Profesional de la Salud</t>
  </si>
  <si>
    <t>Especialidad</t>
  </si>
  <si>
    <t>Cédula Identidad</t>
  </si>
  <si>
    <t>Nombres y Apellidos PACIENTE</t>
  </si>
  <si>
    <t>Sexo</t>
  </si>
  <si>
    <t>Edad</t>
  </si>
  <si>
    <t>Edad Detallado</t>
  </si>
  <si>
    <t>Etnia</t>
  </si>
  <si>
    <t>Departamento de residencia</t>
  </si>
  <si>
    <t>Distrito de residencia</t>
  </si>
  <si>
    <t>Area de residencia</t>
  </si>
  <si>
    <t>Nuevo en el Año</t>
  </si>
  <si>
    <t>Asegurado</t>
  </si>
  <si>
    <t>Seguro</t>
  </si>
  <si>
    <t>Viene Referido</t>
  </si>
  <si>
    <t>Motivo de Consulta</t>
  </si>
  <si>
    <t>CODCIE10</t>
  </si>
  <si>
    <t>Diagnóstico 1</t>
  </si>
  <si>
    <t>CODCIE10Nuevo</t>
  </si>
  <si>
    <t>CODCIE102</t>
  </si>
  <si>
    <t>Diagnóstico 2</t>
  </si>
  <si>
    <t>CODCIE10Nuevo3</t>
  </si>
  <si>
    <t>CODCIE104</t>
  </si>
  <si>
    <t>Diagnóstico 3</t>
  </si>
  <si>
    <t>CODCIE10Nuevo5</t>
  </si>
  <si>
    <t>CODCIE106</t>
  </si>
  <si>
    <t>Diagnóstico 4</t>
  </si>
  <si>
    <t>CODCIE10Nuevo7</t>
  </si>
  <si>
    <t>CODCIE108</t>
  </si>
  <si>
    <t>Diagnóstico 5</t>
  </si>
  <si>
    <t>CODCIE10Nuevo9</t>
  </si>
  <si>
    <t>CODCIE1010</t>
  </si>
  <si>
    <t>Diagnóstico 6</t>
  </si>
  <si>
    <t>CODCIE10Nuevo11</t>
  </si>
  <si>
    <t>Embarazada</t>
  </si>
  <si>
    <t>Semanas de Gestación</t>
  </si>
  <si>
    <t>Se refiere</t>
  </si>
  <si>
    <t>Se interna</t>
  </si>
  <si>
    <t>Estado Nutricional</t>
  </si>
  <si>
    <t>Presion Arterial Sistólica PAS</t>
  </si>
  <si>
    <t>Presion Arterial diastólica PAD</t>
  </si>
  <si>
    <t>Peso (Kg)</t>
  </si>
  <si>
    <t>Talla (m)</t>
  </si>
  <si>
    <t>IMC</t>
  </si>
  <si>
    <t>HbA1C (%)</t>
  </si>
  <si>
    <t>Alimentación</t>
  </si>
  <si>
    <t>CODCIE9 1</t>
  </si>
  <si>
    <t>Procedimiento</t>
  </si>
  <si>
    <t>CODCIE9 2</t>
  </si>
  <si>
    <t>Procedimiento12</t>
  </si>
  <si>
    <t>CODCIE9 3</t>
  </si>
  <si>
    <t>Procedimiento14</t>
  </si>
  <si>
    <t>CODCIE9 4</t>
  </si>
  <si>
    <t>Procedimiento16</t>
  </si>
  <si>
    <t>CODCIE9 5</t>
  </si>
  <si>
    <t>Procedimiento18</t>
  </si>
  <si>
    <t>CODCIE9 6</t>
  </si>
  <si>
    <t>Procedimiento20</t>
  </si>
  <si>
    <t>GUAIRA</t>
  </si>
  <si>
    <t>L20.9</t>
  </si>
  <si>
    <t>ENFERMEDADES PREVENIBLES POR VACUNA</t>
  </si>
  <si>
    <t>Seleccione Establecimiento</t>
  </si>
  <si>
    <t>PARALISIS FLACIDA AGUDA</t>
  </si>
  <si>
    <t>RUBEOLA</t>
  </si>
  <si>
    <t>&lt;-- ENFERMEDAD FEBRIL EXANTEMATICA --&gt;</t>
  </si>
  <si>
    <t>SARAMPION</t>
  </si>
  <si>
    <t>DIFTERIA</t>
  </si>
  <si>
    <t>(Todas)</t>
  </si>
  <si>
    <t>CIE-10</t>
  </si>
  <si>
    <t>D1</t>
  </si>
  <si>
    <t>D2</t>
  </si>
  <si>
    <t>D3</t>
  </si>
  <si>
    <t>D4</t>
  </si>
  <si>
    <t>D5</t>
  </si>
  <si>
    <t>D6</t>
  </si>
  <si>
    <t>TOT</t>
  </si>
  <si>
    <t>G37.3</t>
  </si>
  <si>
    <t>A38*</t>
  </si>
  <si>
    <t>G61*</t>
  </si>
  <si>
    <t>B08.2</t>
  </si>
  <si>
    <t>G72.9</t>
  </si>
  <si>
    <t>B08.3</t>
  </si>
  <si>
    <t>G82*</t>
  </si>
  <si>
    <t>A36.0</t>
  </si>
  <si>
    <t>R29.8</t>
  </si>
  <si>
    <t>L30.9</t>
  </si>
  <si>
    <t>A36.1</t>
  </si>
  <si>
    <t>T60.0</t>
  </si>
  <si>
    <t>L50.9</t>
  </si>
  <si>
    <t>A36.2</t>
  </si>
  <si>
    <t>A80*</t>
  </si>
  <si>
    <t>L53.9</t>
  </si>
  <si>
    <t>A36.3</t>
  </si>
  <si>
    <t>R21*</t>
  </si>
  <si>
    <t>A36.8</t>
  </si>
  <si>
    <t>B06*</t>
  </si>
  <si>
    <t>B05*</t>
  </si>
  <si>
    <t>A36.9</t>
  </si>
  <si>
    <t>Z20.4</t>
  </si>
  <si>
    <t>P35.0</t>
  </si>
  <si>
    <t>COQUELUCHE</t>
  </si>
  <si>
    <t>PAROTIDITIS</t>
  </si>
  <si>
    <t>TETANOS NEONATAL</t>
  </si>
  <si>
    <t>TETANOS OTRAS EDADES</t>
  </si>
  <si>
    <t>A37.9</t>
  </si>
  <si>
    <t>B26*</t>
  </si>
  <si>
    <t>A33*</t>
  </si>
  <si>
    <t>A35*</t>
  </si>
  <si>
    <t>A37.0</t>
  </si>
  <si>
    <t>B26.9</t>
  </si>
  <si>
    <t>A34*</t>
  </si>
  <si>
    <t>A37.1</t>
  </si>
  <si>
    <t>B26.0</t>
  </si>
  <si>
    <t>A37.8</t>
  </si>
  <si>
    <t>B26.1</t>
  </si>
  <si>
    <t>B26.2</t>
  </si>
  <si>
    <t>B26.3</t>
  </si>
  <si>
    <t>OBSERVACIÓN:  El * Después del CIE-10 significa que contará todos los que empiecen con ese código, por ejemplo: A00*-&gt; contará todos los que empiecen con A00 ej. A00.0 , A00.1, A00.8, etc. Esto es para que no se escapen CIE-10 más específicos no enumerados.</t>
  </si>
  <si>
    <t>B26.8</t>
  </si>
  <si>
    <t>VARICELA</t>
  </si>
  <si>
    <t>ESAVI</t>
  </si>
  <si>
    <t>R23.8</t>
  </si>
  <si>
    <t>B01*</t>
  </si>
  <si>
    <t>Y59.0</t>
  </si>
  <si>
    <t>Y59.1</t>
  </si>
  <si>
    <t>Y59.2</t>
  </si>
  <si>
    <t>Y59.3</t>
  </si>
  <si>
    <t>Y59.8</t>
  </si>
  <si>
    <t>Y59.9</t>
  </si>
  <si>
    <t>PLANILLA SEMANAL DE ENOS (PSENOS)</t>
  </si>
  <si>
    <t>DIRECCIÓN GENERAL DE VIGILANCIA DE LA SALUD</t>
  </si>
  <si>
    <t xml:space="preserve">PLANILLA SEMANAL DE ENFERMEDADES O EVENTOS DE NOTIFICACIÓN OBLIGATORIA (PSENO) </t>
  </si>
  <si>
    <t>Región Sanitaria:</t>
  </si>
  <si>
    <t xml:space="preserve">Semana epidemiológica/año: </t>
  </si>
  <si>
    <t>Grupo 1 (G1): Enfermedades de importancia para el RSI* y aquellas controladas, eliminadas y en vías de eliminación</t>
  </si>
  <si>
    <t>Grupo 2 (G2): Enfermedades infecciosas de importancia para la vigilancia epidemiológica</t>
  </si>
  <si>
    <t>G1-Parte 1: Enfermedades de importancia para el RSI*</t>
  </si>
  <si>
    <t>Enfermedad</t>
  </si>
  <si>
    <t>Código CIE-10</t>
  </si>
  <si>
    <t>N°  Sospechosos</t>
  </si>
  <si>
    <t>N° Confirmados</t>
  </si>
  <si>
    <t>G2-Parte 1: Enfermedades de importancia por riesgo de brotes</t>
  </si>
  <si>
    <t>N° Casos</t>
  </si>
  <si>
    <t>Cólera</t>
  </si>
  <si>
    <t>A00</t>
  </si>
  <si>
    <t>Parotiditis infecciosa/Paperas</t>
  </si>
  <si>
    <t>B26</t>
  </si>
  <si>
    <t>Fiebre amarilla</t>
  </si>
  <si>
    <t>A95</t>
  </si>
  <si>
    <t>Varicela</t>
  </si>
  <si>
    <t>B01</t>
  </si>
  <si>
    <t>Peste</t>
  </si>
  <si>
    <t>A20</t>
  </si>
  <si>
    <t>Hepatitis A</t>
  </si>
  <si>
    <t>B15</t>
  </si>
  <si>
    <t>Poliomielitis aguda</t>
  </si>
  <si>
    <t>A80</t>
  </si>
  <si>
    <t>Hepatitis viral sin otra especificación</t>
  </si>
  <si>
    <t>B19</t>
  </si>
  <si>
    <t>G1-Parte 2: Descripción de la situación país en cuanto a las enfermedades controladas, eliminadas y en vías de eliminación.</t>
  </si>
  <si>
    <t>Rubéola</t>
  </si>
  <si>
    <t>B06</t>
  </si>
  <si>
    <t>Enfermedades transmitidas por alimentos (ETA)</t>
  </si>
  <si>
    <t>A05</t>
  </si>
  <si>
    <t>Síndrome de Rubéola congénita</t>
  </si>
  <si>
    <t>Conjuntivitis viral</t>
  </si>
  <si>
    <t>B30, B30.1, B30.2, B30.3</t>
  </si>
  <si>
    <t>Sarampión</t>
  </si>
  <si>
    <t>B05</t>
  </si>
  <si>
    <t>Otras enfermedades víricas caracterizadas por lesiones en piel y de las membranas mucosas</t>
  </si>
  <si>
    <t>B08.2, B08.3, B08.4</t>
  </si>
  <si>
    <t>Tétanos neonatal</t>
  </si>
  <si>
    <t>A33</t>
  </si>
  <si>
    <t>G2-Parte 2: Infecciones con modo de transmisión predominantemente sexual - ITS**</t>
  </si>
  <si>
    <t>Sífilis congénita</t>
  </si>
  <si>
    <t>A50</t>
  </si>
  <si>
    <t>Paludismo</t>
  </si>
  <si>
    <t>B50, B51, B52, B53, B54</t>
  </si>
  <si>
    <t>Sífilis en la embarazada</t>
  </si>
  <si>
    <t>O98.1</t>
  </si>
  <si>
    <t>Sífilis (todos los casos)</t>
  </si>
  <si>
    <t>A51, A52, A53</t>
  </si>
  <si>
    <t>Grupo 3 (G3): Enfermedades o eventos de importancia para la vigilancia por conjunto de signos y síntomas.</t>
  </si>
  <si>
    <t>Enfermedades o eventos</t>
  </si>
  <si>
    <t>Grupos de edades en años</t>
  </si>
  <si>
    <t>N° totales</t>
  </si>
  <si>
    <t>Menor de 1 año</t>
  </si>
  <si>
    <t>1-4</t>
  </si>
  <si>
    <t>5-19</t>
  </si>
  <si>
    <t>20-59</t>
  </si>
  <si>
    <t>60 y más</t>
  </si>
  <si>
    <t>Sin dato de edad</t>
  </si>
  <si>
    <t>Enfermedad tipo Influenza (ETI)</t>
  </si>
  <si>
    <t>J00, J10, J11</t>
  </si>
  <si>
    <t>IRA- No neumonías</t>
  </si>
  <si>
    <t>J01, J02, J03, J04, J05, J06, J20, J21, J22</t>
  </si>
  <si>
    <t>Neumonías***</t>
  </si>
  <si>
    <t>J12, J13, J14, J15, J16, J17, J18</t>
  </si>
  <si>
    <t>IRAG-Neumonías graves</t>
  </si>
  <si>
    <t>J85, J86, J90</t>
  </si>
  <si>
    <t>Diarreas agudas</t>
  </si>
  <si>
    <t>A02.0, A03, A04, A05, A06.0, A07, A08, A09</t>
  </si>
  <si>
    <t>*RSI: Reglamento Sanitario Internacional, 2015-Anexo 2.</t>
  </si>
  <si>
    <t>**ITS: Según CIE-10, Infecciones con modo de transmisión predominantemente sexual (A50-A53).</t>
  </si>
  <si>
    <t>***Si alguno de estos códigos requiere hospitalización, clasificar como "IRAG-Neumonías graves"</t>
  </si>
  <si>
    <t>Observación: _________________________________________________________________________________</t>
  </si>
  <si>
    <t>Total de Servicios notificantes de la semana:</t>
  </si>
  <si>
    <t>Actualizado Enero/2020</t>
  </si>
  <si>
    <t>Firma y Nombre del responsable del llenado de la Planilla: _________________________________________________________</t>
  </si>
  <si>
    <t>G1: COLERA</t>
  </si>
  <si>
    <t>G1: FIEBRE AMARRILA</t>
  </si>
  <si>
    <t>A00*</t>
  </si>
  <si>
    <t>A95*</t>
  </si>
  <si>
    <t>G1: PESTE</t>
  </si>
  <si>
    <t>G1: POLIOMIELITIS AGUDA</t>
  </si>
  <si>
    <t>A20*</t>
  </si>
  <si>
    <t>G1: RUBEOLA</t>
  </si>
  <si>
    <t>G1: SARAMPION</t>
  </si>
  <si>
    <t>G1: SINDROME DE RUBEOLA CONGENITA</t>
  </si>
  <si>
    <t>G1: TETANOS NEONATAL</t>
  </si>
  <si>
    <t>G1: PALUDISMO</t>
  </si>
  <si>
    <t>G2: CONJUNTIVITIS VIRAL</t>
  </si>
  <si>
    <t>B50*</t>
  </si>
  <si>
    <t>B30*</t>
  </si>
  <si>
    <t>B51*</t>
  </si>
  <si>
    <t>B52*</t>
  </si>
  <si>
    <t>B53*</t>
  </si>
  <si>
    <t>B54*</t>
  </si>
  <si>
    <t>G2: PAROTIDISTIS INFECCIOSA / PAPERAS</t>
  </si>
  <si>
    <t>G2: VARICELA</t>
  </si>
  <si>
    <t>G2: HEPATITIS A</t>
  </si>
  <si>
    <t>G2: HEPATITIS VIRAL SIN OTRA ESPECIFICACION</t>
  </si>
  <si>
    <t>B15*</t>
  </si>
  <si>
    <t>B19*</t>
  </si>
  <si>
    <t>G2: ENF. TRANSMITIDAS POR ALIMENTOS (ETA)</t>
  </si>
  <si>
    <t>G2: SIFILIS CONGENITA</t>
  </si>
  <si>
    <t>A05*</t>
  </si>
  <si>
    <t>A50*</t>
  </si>
  <si>
    <t>G2: SIFILIS EN LA EMBARAZADA</t>
  </si>
  <si>
    <t>G2: SIFILIS (TODOS LOS CASOS)</t>
  </si>
  <si>
    <t>A51*</t>
  </si>
  <si>
    <t>A52*</t>
  </si>
  <si>
    <t>A53*</t>
  </si>
  <si>
    <t>G2: ENF. VIRICAS. LESIONES PIEL Y MEMB. MUCOSAS</t>
  </si>
  <si>
    <t>G3: ENF. TIPO INFLUENZA (ETI) &lt; 1 AÑO</t>
  </si>
  <si>
    <t>G3: ENF. TIPO INFLUENZA (ETI) 1-4 AÑOS</t>
  </si>
  <si>
    <t>J00*</t>
  </si>
  <si>
    <t>J10*</t>
  </si>
  <si>
    <t>J11*</t>
  </si>
  <si>
    <t>G3: ENF. TIPO INFLUENZA (ETI) 5-19 AÑOS</t>
  </si>
  <si>
    <t>G3: ENF. TIPO INFLUENZA (ETI) 20-59 AÑOS</t>
  </si>
  <si>
    <t>G3: ENF. TIPO INFLUENZA (ETI) 60 Y MAS AÑOS</t>
  </si>
  <si>
    <t>G3: ENF. TIPO INFLUENZA (ETI) SD AÑOS</t>
  </si>
  <si>
    <t>G3: IRA - NO NEUMONIAS (IRANN) &lt; 1 AÑO</t>
  </si>
  <si>
    <t>G3: IRA - NO NEUMONIAS (IRANN) 1-4 AÑOS</t>
  </si>
  <si>
    <t>G3: IRA - NO NEUMONIAS (IRANN) 5-19 AÑOS</t>
  </si>
  <si>
    <t>G3: IRA - NO NEUMONIAS (IRANN) 20-59 AÑOS</t>
  </si>
  <si>
    <t>G3: IRA - NO NEUMONIAS (IRANN) 60 Y MAS AÑOS</t>
  </si>
  <si>
    <t>G3: IRA - NO NEUMONIAS (IRANN) SD AÑOS</t>
  </si>
  <si>
    <t>G3: NEUMONIAS (NEU) &lt; 1 AÑO</t>
  </si>
  <si>
    <t>G3: NEUMONIAS (NEU) 1-4 AÑOS</t>
  </si>
  <si>
    <t>G3: NEUMONIAS (NEU) 5-19 AÑOS</t>
  </si>
  <si>
    <t>G3: NEUMONIAS (NEU) 20-59 AÑOS</t>
  </si>
  <si>
    <t>G3: NEUMONIAS (NEU) 60 Y MAS AÑOS</t>
  </si>
  <si>
    <t>G3: NEUMONIAS (NEU) SD AÑOS</t>
  </si>
  <si>
    <t>G3: IRAG - NEU. GRAVES (IRAGNG) &lt; 1 AÑO</t>
  </si>
  <si>
    <t>G3: IRAG - NEU. GRAVES (IRAGNG) 1-4 AÑOS</t>
  </si>
  <si>
    <t>G3: IRAG - NEU. GRAVES (IRAGNG) 5-19 AÑOS</t>
  </si>
  <si>
    <t>G3: IRAG - NEU. GRAVES (IRAGNG) 20-59 AÑOS</t>
  </si>
  <si>
    <t>G3: IRAG - NEU. GRAVES (IRAGNG) 60 Y MAS AÑOS</t>
  </si>
  <si>
    <t>G3: IRAG - NEU. GRAVES (IRAGNG) SD AÑOS</t>
  </si>
  <si>
    <t>G3: DIARREAS AGUDAS (DA) &lt; 1 AÑO</t>
  </si>
  <si>
    <t>G3: DIARREAS AGUDAS (DA) 1-4 AÑOS</t>
  </si>
  <si>
    <t>A02.0</t>
  </si>
  <si>
    <t>A06.0</t>
  </si>
  <si>
    <t>G3: DIARREAS AGUDAS (DA) 5-19 AÑOS</t>
  </si>
  <si>
    <t>G3: DIARREAS AGUDAS (DA) 20-59 AÑOS</t>
  </si>
  <si>
    <t>G3: DIARREAS AGUDAS (DA) 60 Y MAS AÑOS</t>
  </si>
  <si>
    <t>G3: DIARREAS AGUDAS (DA) SD AÑOS</t>
  </si>
  <si>
    <t>J01*</t>
  </si>
  <si>
    <t>J02*</t>
  </si>
  <si>
    <t>J03*</t>
  </si>
  <si>
    <t>J04*</t>
  </si>
  <si>
    <t>J05*</t>
  </si>
  <si>
    <t>J06*</t>
  </si>
  <si>
    <t>J20*</t>
  </si>
  <si>
    <t>J21*</t>
  </si>
  <si>
    <t>J22*</t>
  </si>
  <si>
    <t>J12*</t>
  </si>
  <si>
    <t>J13*</t>
  </si>
  <si>
    <t>J14*</t>
  </si>
  <si>
    <t>J15*</t>
  </si>
  <si>
    <t>J16*</t>
  </si>
  <si>
    <t>J17*</t>
  </si>
  <si>
    <t>J18*</t>
  </si>
  <si>
    <t>J85*</t>
  </si>
  <si>
    <t>J86*</t>
  </si>
  <si>
    <t>J90*</t>
  </si>
  <si>
    <t>A03*</t>
  </si>
  <si>
    <t>A04*</t>
  </si>
  <si>
    <t>A07*</t>
  </si>
  <si>
    <t>A08*</t>
  </si>
  <si>
    <t>A09*</t>
  </si>
  <si>
    <t>Y59*</t>
  </si>
  <si>
    <t>ETA - INFECCIONES ALIMENTARIAS</t>
  </si>
  <si>
    <t>ETA - INTOXICACIONES ALIMENTARIAS</t>
  </si>
  <si>
    <t>A01*</t>
  </si>
  <si>
    <t>A02*</t>
  </si>
  <si>
    <t>A06*</t>
  </si>
  <si>
    <t>A22*</t>
  </si>
  <si>
    <t>A23*</t>
  </si>
  <si>
    <t>A32*</t>
  </si>
  <si>
    <t>B66*</t>
  </si>
  <si>
    <t>B67*</t>
  </si>
  <si>
    <t>B68*</t>
  </si>
  <si>
    <t>B69*</t>
  </si>
  <si>
    <t>B70*</t>
  </si>
  <si>
    <t>B75*</t>
  </si>
  <si>
    <t>B79*</t>
  </si>
  <si>
    <t>T51*</t>
  </si>
  <si>
    <t>T56*</t>
  </si>
  <si>
    <r>
      <t xml:space="preserve">Enf. de Transmisión. Alimentaria         </t>
    </r>
    <r>
      <rPr>
        <b/>
        <sz val="12"/>
        <color theme="3"/>
        <rFont val="Calibri"/>
        <family val="2"/>
        <scheme val="minor"/>
      </rPr>
      <t>↓</t>
    </r>
    <r>
      <rPr>
        <b/>
        <sz val="11"/>
        <color theme="3"/>
        <rFont val="Calibri"/>
        <family val="2"/>
        <scheme val="minor"/>
      </rPr>
      <t xml:space="preserve">             (ETA)            </t>
    </r>
    <r>
      <rPr>
        <b/>
        <sz val="12"/>
        <color theme="3"/>
        <rFont val="Calibri"/>
        <family val="2"/>
        <scheme val="minor"/>
      </rPr>
      <t>↓</t>
    </r>
  </si>
  <si>
    <t>BOTULISMO alimentario, por heridas, del lactante</t>
  </si>
  <si>
    <t>A05.1</t>
  </si>
  <si>
    <t>BRUCELOSIS</t>
  </si>
  <si>
    <t>CARBUNCO (ÁNTRAX)</t>
  </si>
  <si>
    <t>CHAGAS</t>
  </si>
  <si>
    <t>B57*</t>
  </si>
  <si>
    <t>CHIKUNGUNYA</t>
  </si>
  <si>
    <t>A92.0</t>
  </si>
  <si>
    <t>COLERA</t>
  </si>
  <si>
    <t>COQUELUCHE, TOS CONVULSA, TOS FERINA</t>
  </si>
  <si>
    <t>DENGUE SIN SIGNOS DE ALARMA</t>
  </si>
  <si>
    <t>A90*</t>
  </si>
  <si>
    <t>A91*</t>
  </si>
  <si>
    <t>DENGUE CON SIGNOS DE ALAR., DENGUE GRAVE</t>
  </si>
  <si>
    <t>OTRAS (EXTENDIDA) SEGÚN GUIA NACIONAL DE VIGILANCIA</t>
  </si>
  <si>
    <t>A36*</t>
  </si>
  <si>
    <t>ENCEFALOPATIA ESPONGIFORME SUBAGUDA</t>
  </si>
  <si>
    <t>A81.0</t>
  </si>
  <si>
    <t>FIEBRE AMARILLA SELVATICA Y URBANA</t>
  </si>
  <si>
    <t>A95.0</t>
  </si>
  <si>
    <t>A95.1</t>
  </si>
  <si>
    <t>A95.9</t>
  </si>
  <si>
    <t>FIEBRE TIFOIDEA Y PARATIFOIDEA</t>
  </si>
  <si>
    <t>A01.0</t>
  </si>
  <si>
    <t>A01.1</t>
  </si>
  <si>
    <t>A01.2</t>
  </si>
  <si>
    <t>A01.3</t>
  </si>
  <si>
    <t>A01.4</t>
  </si>
  <si>
    <t>B33.4</t>
  </si>
  <si>
    <t>HANTAVIROSIS</t>
  </si>
  <si>
    <t>HEPATITIS VIRICA A</t>
  </si>
  <si>
    <t>HEPATITIS VIRICA B</t>
  </si>
  <si>
    <t>B16*</t>
  </si>
  <si>
    <t>HEPATITIS VIRICA C</t>
  </si>
  <si>
    <t>B17.1</t>
  </si>
  <si>
    <t>B55.1</t>
  </si>
  <si>
    <t>LEISHMANIASIS CUTÁNEA Y MUCOCUTANEA</t>
  </si>
  <si>
    <t>B55.2</t>
  </si>
  <si>
    <t>LEISHMANIASIS VISCERAL</t>
  </si>
  <si>
    <t>B55.0</t>
  </si>
  <si>
    <t>LEPRA</t>
  </si>
  <si>
    <t>A30*</t>
  </si>
  <si>
    <t>LEPTOSPIROSIS</t>
  </si>
  <si>
    <t>A27*</t>
  </si>
  <si>
    <t>A39*</t>
  </si>
  <si>
    <t>G00*</t>
  </si>
  <si>
    <t>MENINGOENCEFALITIS VIRALES Y NO PIÓGENA</t>
  </si>
  <si>
    <t>G03.0</t>
  </si>
  <si>
    <t>A87*</t>
  </si>
  <si>
    <t>MENINGOENCEFALITIS BACTERIANAS/TUBERCULOSA</t>
  </si>
  <si>
    <t>PALUDISMO</t>
  </si>
  <si>
    <t>PESTE</t>
  </si>
  <si>
    <t>POLIOMIELITIS</t>
  </si>
  <si>
    <t>PSITACOSIS</t>
  </si>
  <si>
    <t>A70*</t>
  </si>
  <si>
    <t>RABIA</t>
  </si>
  <si>
    <t>A82*</t>
  </si>
  <si>
    <t>ROTAVIRUS</t>
  </si>
  <si>
    <t>A08.0</t>
  </si>
  <si>
    <t>RUBEOLA CONGÉNITA</t>
  </si>
  <si>
    <t>SIFILIS</t>
  </si>
  <si>
    <t>SRAS - MERS (CORONAVIRUS)</t>
  </si>
  <si>
    <t>U04.9</t>
  </si>
  <si>
    <t>B34.2</t>
  </si>
  <si>
    <t>SINDROME UREMICO HEMOLITICO(SUH)</t>
  </si>
  <si>
    <t>A04.3</t>
  </si>
  <si>
    <t>TUBERCULOSIS</t>
  </si>
  <si>
    <t>U07*</t>
  </si>
  <si>
    <t>A15*</t>
  </si>
  <si>
    <t>A16*</t>
  </si>
  <si>
    <t>A17*</t>
  </si>
  <si>
    <t>A18*</t>
  </si>
  <si>
    <t>A19*</t>
  </si>
  <si>
    <t>VIH-SIDA</t>
  </si>
  <si>
    <t>B20*</t>
  </si>
  <si>
    <t>B21*</t>
  </si>
  <si>
    <t>B22*</t>
  </si>
  <si>
    <t>B23*</t>
  </si>
  <si>
    <t>B24</t>
  </si>
  <si>
    <t>I -Respiratorios</t>
  </si>
  <si>
    <t>Influenza y otros virus respiratorios</t>
  </si>
  <si>
    <t>Infeccion respiratoria aguda superior (IRAS)</t>
  </si>
  <si>
    <t>J02.9</t>
  </si>
  <si>
    <t>J10.1</t>
  </si>
  <si>
    <t>J11.1</t>
  </si>
  <si>
    <t>J09</t>
  </si>
  <si>
    <t>J10.0</t>
  </si>
  <si>
    <t>J11.0</t>
  </si>
  <si>
    <t>J19*</t>
  </si>
  <si>
    <t>U04*</t>
  </si>
  <si>
    <t>Enfermedad tipo influenza (ETI)</t>
  </si>
  <si>
    <t>Infeccion respiratoria aguda (IRAB) (IRAG) (IRAGi)</t>
  </si>
  <si>
    <t>Sindrome respiratorio agudo severo SARS sin especificar ag,</t>
  </si>
  <si>
    <t>SARS-CoV 2 sin agente identificado</t>
  </si>
  <si>
    <t>U07.2</t>
  </si>
  <si>
    <t>SARS-CoV 2 con agente identificado</t>
  </si>
  <si>
    <t>U07.1</t>
  </si>
  <si>
    <t>U10.9</t>
  </si>
  <si>
    <t>Tuberculosis</t>
  </si>
  <si>
    <t>Observación por sospecha de TB: sintomático respirarorio</t>
  </si>
  <si>
    <t>Z03.0</t>
  </si>
  <si>
    <t>Hemoptisis</t>
  </si>
  <si>
    <t>R04.2</t>
  </si>
  <si>
    <t>TB respiratoria CON confirmación bacteriológica o histológia</t>
  </si>
  <si>
    <t>TB respiratoria SIN confirmación bacteriológica o histológia</t>
  </si>
  <si>
    <t>TB del sistema nervioso cualquier localización</t>
  </si>
  <si>
    <t>TB de otros órganos cualquier localización</t>
  </si>
  <si>
    <t>TB miliar</t>
  </si>
  <si>
    <t>TB congénita</t>
  </si>
  <si>
    <t>P37.0</t>
  </si>
  <si>
    <t>TB co-infección con HIV</t>
  </si>
  <si>
    <t>B20.0</t>
  </si>
  <si>
    <t>TB latente</t>
  </si>
  <si>
    <t>Z22.3</t>
  </si>
  <si>
    <t>Contacto o exposición a tuberculosis</t>
  </si>
  <si>
    <t>Z20.1</t>
  </si>
  <si>
    <t>Síndrome meníngeo</t>
  </si>
  <si>
    <t>G00.9</t>
  </si>
  <si>
    <t>G04.2</t>
  </si>
  <si>
    <t>Meningitis con LCR purulento o bacteriana no clasificada</t>
  </si>
  <si>
    <t>II - Meningitis / encefalitis todas</t>
  </si>
  <si>
    <t>Meningitis/encefalitis</t>
  </si>
  <si>
    <t>III - Inmunoprevenibles</t>
  </si>
  <si>
    <t>Coqueluche/tos convulsa</t>
  </si>
  <si>
    <t>Síndrome coqueluchoide</t>
  </si>
  <si>
    <t>IV - Vectoriales</t>
  </si>
  <si>
    <t>Arbovirosis en General</t>
  </si>
  <si>
    <t>Fiebre indiferenciada por picadura de mosq. Sindrome febril</t>
  </si>
  <si>
    <t>A92.9</t>
  </si>
  <si>
    <t>V - Zoonóticos</t>
  </si>
  <si>
    <t>Brucelosis</t>
  </si>
  <si>
    <t>Brucelosis cualquier especie de Brucella sp.</t>
  </si>
  <si>
    <t>VI - Dermatológicos</t>
  </si>
  <si>
    <t>Lepra</t>
  </si>
  <si>
    <t>Zonas cutáneas de anestesia, hipoestesia o parestesia</t>
  </si>
  <si>
    <t>R20.0</t>
  </si>
  <si>
    <t>R20.1</t>
  </si>
  <si>
    <t>R20.2</t>
  </si>
  <si>
    <t>VII - Infec. de transm. sexual - hepatitis B</t>
  </si>
  <si>
    <t>Hepatitis B</t>
  </si>
  <si>
    <t>HBsAg positivo</t>
  </si>
  <si>
    <t>Z22.5</t>
  </si>
  <si>
    <t>VIII - Gastroentéricos</t>
  </si>
  <si>
    <t>Colera</t>
  </si>
  <si>
    <t>Colera no especificado</t>
  </si>
  <si>
    <t>A00.9</t>
  </si>
  <si>
    <t>IX - Eventos por animales ponzoñosos</t>
  </si>
  <si>
    <t>Envenenamiento por animales ponzoñosos</t>
  </si>
  <si>
    <t>Efecto tóxico por serpiente cualquier intencionalidad</t>
  </si>
  <si>
    <t>T63.0</t>
  </si>
  <si>
    <t>X - Intoxicaciones químicas</t>
  </si>
  <si>
    <t>Intoxicaciones por sustancias químicas</t>
  </si>
  <si>
    <t>Intoxicaciones por medicamentos</t>
  </si>
  <si>
    <t>XI - Enfermedades desconocidas</t>
  </si>
  <si>
    <t>Enfermedades desconocidas, exposiciones</t>
  </si>
  <si>
    <t>Observación por sospecha de determinadas enfermedades</t>
  </si>
  <si>
    <t>Z03.8</t>
  </si>
  <si>
    <t>XII - Brotes de cualquier etiología</t>
  </si>
  <si>
    <t>Brote de cualquier etiología bajo sospecha</t>
  </si>
  <si>
    <t>XIII - Enfermedades emergentes</t>
  </si>
  <si>
    <t>Otras enfermedades emergentes</t>
  </si>
  <si>
    <t>Enfermedad de Creutz-feldt-Jakob(Encefalopatía espongiforme)</t>
  </si>
  <si>
    <t>XIV - Infecciones atribuidas a la atención en salud</t>
  </si>
  <si>
    <t>Infecciones atribuidas a la atención de salud</t>
  </si>
  <si>
    <t>IAAS</t>
  </si>
  <si>
    <t>XV - Eventos adversos de vacunación e inmunización</t>
  </si>
  <si>
    <t>Eventos adversos atribuidos a la vacunación</t>
  </si>
  <si>
    <t>G00.0</t>
  </si>
  <si>
    <t>Meningitis por Haemophilus influenzae</t>
  </si>
  <si>
    <t>Meningitis por Streptococcus pneumoniae</t>
  </si>
  <si>
    <t>G00.1</t>
  </si>
  <si>
    <t>Meningitis y otras formas invasivas por Neisseria meningitidis</t>
  </si>
  <si>
    <t>Meningitis por otros agentes bacterianos</t>
  </si>
  <si>
    <t>G00.8</t>
  </si>
  <si>
    <t>A86*</t>
  </si>
  <si>
    <t>A87.9</t>
  </si>
  <si>
    <t>Meningitis/encefalitis a LCR claro</t>
  </si>
  <si>
    <t>Meningo_x0002_encefalitis viral con agente especificado</t>
  </si>
  <si>
    <t>A83*</t>
  </si>
  <si>
    <t>A84*</t>
  </si>
  <si>
    <t>A85*</t>
  </si>
  <si>
    <t>Meningitis por otros agentes infecciosos</t>
  </si>
  <si>
    <t>G02*</t>
  </si>
  <si>
    <t>Tos convulsa sin especificar agente</t>
  </si>
  <si>
    <t>Tos convulsa con agente identificado</t>
  </si>
  <si>
    <t>Pseudomem_x0002_branas en vías respiratorias altas</t>
  </si>
  <si>
    <t>Difteria</t>
  </si>
  <si>
    <t>Amigdalitis/faringitis/laringitis con presencia de membrana</t>
  </si>
  <si>
    <t>Difteria en cualquiera de sus formas</t>
  </si>
  <si>
    <t>Difteria sin especificar forma</t>
  </si>
  <si>
    <t>Parotiditis</t>
  </si>
  <si>
    <t>Parotiditis sin complicaciones Fiebre urliana</t>
  </si>
  <si>
    <t>Parotiditis en cualquiera de sus formas</t>
  </si>
  <si>
    <t>Poliomielitis</t>
  </si>
  <si>
    <t>Parálisis fláccida aguda en menores de 15 años</t>
  </si>
  <si>
    <t>Poliomielitis en cualquiera de sus formas y origen de virus polio</t>
  </si>
  <si>
    <t>Rubeola</t>
  </si>
  <si>
    <t>Erupciones cutáneas febril</t>
  </si>
  <si>
    <t>Sospecha de rubéola</t>
  </si>
  <si>
    <t>Rubéola en cualquiera de sus formas</t>
  </si>
  <si>
    <t>Contacto o exposición a rubéola</t>
  </si>
  <si>
    <t>Hijo de madre positiva para rubéola en periodo agudo durante el embarazo</t>
  </si>
  <si>
    <t>Sospecha de sarampión</t>
  </si>
  <si>
    <t>Sarampión en cualquiera de sus formas</t>
  </si>
  <si>
    <t>Tétanos</t>
  </si>
  <si>
    <t>Tétanos neonatal y obstétrico</t>
  </si>
  <si>
    <t>Tétanos otras edades</t>
  </si>
  <si>
    <t>Varicela en cualquiera de sus formas y sin especificar</t>
  </si>
  <si>
    <t>Erupción papulovesicular</t>
  </si>
  <si>
    <t>Fiebre no especificada / otras fiebres</t>
  </si>
  <si>
    <t>R50.8</t>
  </si>
  <si>
    <t>R50.9</t>
  </si>
  <si>
    <t>Chikungunya</t>
  </si>
  <si>
    <t>Enfermedad por virus Chikungunya (fiebre o grave)</t>
  </si>
  <si>
    <t>Dengue en cualquiera de sus formas</t>
  </si>
  <si>
    <t>Dengue sin signos de alarma (dengue clásico)</t>
  </si>
  <si>
    <t>A97.0</t>
  </si>
  <si>
    <t>Dengue con signos de alarma</t>
  </si>
  <si>
    <t>A97.1</t>
  </si>
  <si>
    <t>Dengue grave</t>
  </si>
  <si>
    <t>A97.2</t>
  </si>
  <si>
    <t>A97.9</t>
  </si>
  <si>
    <t>Dengue sin especificar cuadro clínico</t>
  </si>
  <si>
    <t>R17*</t>
  </si>
  <si>
    <t>Ictericia sin especificar(síndrome ictérico)</t>
  </si>
  <si>
    <t>Fiebre amarilla cualquier ciclo de transmisión</t>
  </si>
  <si>
    <t>Zika</t>
  </si>
  <si>
    <t>Enfermedad por virus Zika</t>
  </si>
  <si>
    <t>U06.9</t>
  </si>
  <si>
    <t>A92.5</t>
  </si>
  <si>
    <t>Síndrome neurológico asociado a virus Zika (SNaZ)</t>
  </si>
  <si>
    <t>G62.9</t>
  </si>
  <si>
    <t>G05*</t>
  </si>
  <si>
    <t>G04*</t>
  </si>
  <si>
    <t>G52*</t>
  </si>
  <si>
    <t>G53*</t>
  </si>
  <si>
    <t>Hijo de madre con infección aguda por virus zika durante el embarazo</t>
  </si>
  <si>
    <t>Z20.8</t>
  </si>
  <si>
    <t>Microcefalia</t>
  </si>
  <si>
    <t>Q02*</t>
  </si>
  <si>
    <t>P35.4</t>
  </si>
  <si>
    <t>Síndrome congénito asociado a virus zika (SCaZ)</t>
  </si>
  <si>
    <t>Chagas</t>
  </si>
  <si>
    <t>Screening para chagas en embarazadas, bancos de sangre y en &lt; de 5 años</t>
  </si>
  <si>
    <t>Z11.6</t>
  </si>
  <si>
    <t>Niño recién nacido de madre positiva</t>
  </si>
  <si>
    <t>Chagas agudo vectorial</t>
  </si>
  <si>
    <t>B57.0</t>
  </si>
  <si>
    <t>B57.1</t>
  </si>
  <si>
    <t>Chagas agudo congénito</t>
  </si>
  <si>
    <t>Chagas agudo transfusional</t>
  </si>
  <si>
    <t>Chagas agudo alimentario</t>
  </si>
  <si>
    <t>B57.2</t>
  </si>
  <si>
    <t>B57.3</t>
  </si>
  <si>
    <t>B57.4</t>
  </si>
  <si>
    <t>B57.5</t>
  </si>
  <si>
    <t>Leishmaniasis</t>
  </si>
  <si>
    <t>Leishmaniasis cutánea</t>
  </si>
  <si>
    <t>Leishmaniasis mucocutánea</t>
  </si>
  <si>
    <t>Leishmaniasis visceral</t>
  </si>
  <si>
    <t>B55.9</t>
  </si>
  <si>
    <t>Leishmaniasis, no especificada</t>
  </si>
  <si>
    <t>Malaria</t>
  </si>
  <si>
    <t xml:space="preserve">Síndrome febril intermitente o paroxístico </t>
  </si>
  <si>
    <t>Malaria por cualquier tipo de Plasmodium</t>
  </si>
  <si>
    <t>Malaria sin confirmación parasitológica</t>
  </si>
  <si>
    <t>L25*</t>
  </si>
  <si>
    <t>https://dgvs.mspbs.gov.py/files/guiaNacional/Guia_de_Vigilancia_2022_act_6_junio.pdf</t>
  </si>
  <si>
    <t>https://dgvs.mspbs.gov.py/files/guiaNacional/Guia-Vigilancia-2015.pdf</t>
  </si>
  <si>
    <t>Fiebres 
hemorrágicas 
virales</t>
  </si>
  <si>
    <t>Fiebre 
hemorrágica sin 
especificar</t>
  </si>
  <si>
    <t>A99*</t>
  </si>
  <si>
    <t>Ébola</t>
  </si>
  <si>
    <t>A98.4</t>
  </si>
  <si>
    <t>A96*</t>
  </si>
  <si>
    <t>A98*</t>
  </si>
  <si>
    <t>Otras fiebres hemorrágicas virales</t>
  </si>
  <si>
    <t>Hantavirosis</t>
  </si>
  <si>
    <t>Síndrome cardiopulmonar por hantavirus</t>
  </si>
  <si>
    <t xml:space="preserve"> Leptospirosis</t>
  </si>
  <si>
    <t>Ictericia sin especificar (síndrome ictérico)</t>
  </si>
  <si>
    <t xml:space="preserve">  Rabia</t>
  </si>
  <si>
    <t>Exposición al virus rábico silvestre o urbano</t>
  </si>
  <si>
    <t>Z20.3</t>
  </si>
  <si>
    <t>Rabia silvestre</t>
  </si>
  <si>
    <t>A82.0</t>
  </si>
  <si>
    <t>Rabia urbana</t>
  </si>
  <si>
    <t>A82.1</t>
  </si>
  <si>
    <t xml:space="preserve"> Rabia</t>
  </si>
  <si>
    <t>A82.9</t>
  </si>
  <si>
    <t>Lepra indeterminada</t>
  </si>
  <si>
    <t>A30.0</t>
  </si>
  <si>
    <t>Lepra en cualquiera de sus formas</t>
  </si>
  <si>
    <t>A30.1</t>
  </si>
  <si>
    <t>A30.2</t>
  </si>
  <si>
    <t>A30.3</t>
  </si>
  <si>
    <t>A30.4</t>
  </si>
  <si>
    <t>A30.5</t>
  </si>
  <si>
    <t>A30.8</t>
  </si>
  <si>
    <t>Lepra no especificada la forma</t>
  </si>
  <si>
    <t>A30.9</t>
  </si>
  <si>
    <t xml:space="preserve"> Hepatitis B aguda</t>
  </si>
  <si>
    <t>Hepatitis B crónica</t>
  </si>
  <si>
    <t>B18*</t>
  </si>
  <si>
    <t>Contacto o exposición a hepatitis viral</t>
  </si>
  <si>
    <t>Z20.5</t>
  </si>
  <si>
    <t>Hepatitis C</t>
  </si>
  <si>
    <t>Hepatitis C aguda</t>
  </si>
  <si>
    <t>Hepatitis C crónica</t>
  </si>
  <si>
    <t>B18.2</t>
  </si>
  <si>
    <t>Sífilis</t>
  </si>
  <si>
    <t>A53.0</t>
  </si>
  <si>
    <t>Infección debida a Treponema pallidum</t>
  </si>
  <si>
    <t>Serología positiva para sífilis</t>
  </si>
  <si>
    <t>A53.9</t>
  </si>
  <si>
    <t>A51.0</t>
  </si>
  <si>
    <t>A51.1</t>
  </si>
  <si>
    <t>A51.2</t>
  </si>
  <si>
    <t>Sífilis primaria cualquier localización</t>
  </si>
  <si>
    <t>Sífilis secundaria</t>
  </si>
  <si>
    <t>A51.3</t>
  </si>
  <si>
    <t>A51.4</t>
  </si>
  <si>
    <t>Sífilis precoz sin especificar</t>
  </si>
  <si>
    <t>A51.5</t>
  </si>
  <si>
    <t>A51.9</t>
  </si>
  <si>
    <t>Sífilis tardía cualquier especificación</t>
  </si>
  <si>
    <t>Sífilis que complica el embarazo, parto o puerperio.</t>
  </si>
  <si>
    <t>098.1</t>
  </si>
  <si>
    <t xml:space="preserve"> Recién nacido de madre positiva</t>
  </si>
  <si>
    <t>Z20.2</t>
  </si>
  <si>
    <t xml:space="preserve"> Sífilis congénita</t>
  </si>
  <si>
    <t xml:space="preserve"> Pruebas de laboratorio no concluyentes</t>
  </si>
  <si>
    <t>R75*</t>
  </si>
  <si>
    <t>Infección por VIH asintomática</t>
  </si>
  <si>
    <t>Z21*</t>
  </si>
  <si>
    <t>Enfermedad por VIH con cualquier resultante</t>
  </si>
  <si>
    <t>B24*</t>
  </si>
  <si>
    <t>Enfermedad por VIH que complica el embarazo, parto o puerperio</t>
  </si>
  <si>
    <t>O98.7</t>
  </si>
  <si>
    <t>Contacto o exposición al VIH</t>
  </si>
  <si>
    <t>Z20.6</t>
  </si>
  <si>
    <t>Recién nacido de madre VIH positivo</t>
  </si>
  <si>
    <t xml:space="preserve"> Cólera debido a Vibrio cholerae O1, biotipo cholerae</t>
  </si>
  <si>
    <t>A00.0</t>
  </si>
  <si>
    <t xml:space="preserve"> Cólera debido a Vibrio cholerae O1, biotipo El Tor</t>
  </si>
  <si>
    <t>A00.1</t>
  </si>
  <si>
    <t>Enfermedad diarreica aguda en menores de 5 años (EDA)</t>
  </si>
  <si>
    <t xml:space="preserve"> Enfermedad diarreica aguda en menores de 5 años (EDA)</t>
  </si>
  <si>
    <t>Rotavirus (enteritis por) en menores de 5 años hospitalizados</t>
  </si>
  <si>
    <t>Hepatitis aguda tipo A</t>
  </si>
  <si>
    <t>Síndrome urémico hemolítico Síndrome urémico hemolítico</t>
  </si>
  <si>
    <t>Síndrome Urémico hemolítico</t>
  </si>
  <si>
    <t>D59.3</t>
  </si>
  <si>
    <t>Síndrome Urémico hemolítico con agente identificado</t>
  </si>
  <si>
    <t xml:space="preserve"> Toxoinfecciones de transmisión alimentaria (agua y alimentos)</t>
  </si>
  <si>
    <t>A22.2</t>
  </si>
  <si>
    <t>Intoxicaciones bacterianas alimentarias otras</t>
  </si>
  <si>
    <t>Infecciones intestinales otras</t>
  </si>
  <si>
    <t>Triquinosis</t>
  </si>
  <si>
    <t>Fiebre tifoidea y paratifoidea</t>
  </si>
  <si>
    <t>Botulismo alimentario</t>
  </si>
  <si>
    <t>T60*</t>
  </si>
  <si>
    <t>T61*</t>
  </si>
  <si>
    <t>T62*</t>
  </si>
  <si>
    <t>Efecto tóxico por escorpión cualquier intencionalidad</t>
  </si>
  <si>
    <t>T63.2</t>
  </si>
  <si>
    <t>Efecto tóxico por araña cualquier intencionalidad</t>
  </si>
  <si>
    <t>T63.3</t>
  </si>
  <si>
    <t>T36*</t>
  </si>
  <si>
    <t>T37*</t>
  </si>
  <si>
    <t>T38*</t>
  </si>
  <si>
    <t>T39*</t>
  </si>
  <si>
    <t>T40*</t>
  </si>
  <si>
    <t>T41*</t>
  </si>
  <si>
    <t>T42*</t>
  </si>
  <si>
    <t>T43*</t>
  </si>
  <si>
    <t>T44*</t>
  </si>
  <si>
    <t>T45*</t>
  </si>
  <si>
    <t>T46*</t>
  </si>
  <si>
    <t>T47*</t>
  </si>
  <si>
    <t>T48*</t>
  </si>
  <si>
    <t>T50*</t>
  </si>
  <si>
    <t>T49*</t>
  </si>
  <si>
    <t>Intoxicaciones por otros químicos</t>
  </si>
  <si>
    <t>Intoxicaciones por monóxido de carbono</t>
  </si>
  <si>
    <t>T58*</t>
  </si>
  <si>
    <t>T52*</t>
  </si>
  <si>
    <t>T53*</t>
  </si>
  <si>
    <t>T54*</t>
  </si>
  <si>
    <t>T55*</t>
  </si>
  <si>
    <t>T57*</t>
  </si>
  <si>
    <t>Intoxicaciones por otros gases y vapores</t>
  </si>
  <si>
    <t>T59.0</t>
  </si>
  <si>
    <t>T59.1</t>
  </si>
  <si>
    <t>T59.2</t>
  </si>
  <si>
    <t>T59.3</t>
  </si>
  <si>
    <t>T59.4</t>
  </si>
  <si>
    <t>T59.5</t>
  </si>
  <si>
    <t>T59.6</t>
  </si>
  <si>
    <t>T59.7</t>
  </si>
  <si>
    <t>T59.8</t>
  </si>
  <si>
    <t>T59.9</t>
  </si>
  <si>
    <t>Intoxicaciones por pesticidas</t>
  </si>
  <si>
    <t>T60.1</t>
  </si>
  <si>
    <t>T60.2</t>
  </si>
  <si>
    <t>T60.3</t>
  </si>
  <si>
    <t>T60.4</t>
  </si>
  <si>
    <t>T60.5</t>
  </si>
  <si>
    <t>T60.6</t>
  </si>
  <si>
    <t>T60.7</t>
  </si>
  <si>
    <t>T60.8</t>
  </si>
  <si>
    <t>T60.9</t>
  </si>
  <si>
    <t>Contacto o exposición a enfermedades transmisibles de notificación inmediata</t>
  </si>
  <si>
    <t>Z20*</t>
  </si>
  <si>
    <t>Enfermedad desconocida</t>
  </si>
  <si>
    <t>Z03.9</t>
  </si>
  <si>
    <t>Peste (todas sus formas)</t>
  </si>
  <si>
    <t>A20.0</t>
  </si>
  <si>
    <t>A20.1</t>
  </si>
  <si>
    <t>A20.2</t>
  </si>
  <si>
    <t>A20.3</t>
  </si>
  <si>
    <t>A20.4</t>
  </si>
  <si>
    <t>A20.5</t>
  </si>
  <si>
    <t>A20.6</t>
  </si>
  <si>
    <t>A20.7</t>
  </si>
  <si>
    <t>A20.8</t>
  </si>
  <si>
    <t>A20.9</t>
  </si>
  <si>
    <t>Virus de Nilo Occidental (fiebre)</t>
  </si>
  <si>
    <t>A92.3</t>
  </si>
  <si>
    <t>Viruela</t>
  </si>
  <si>
    <t>B03*</t>
  </si>
  <si>
    <t>Estos CIE-10 se extrajeron de la Guia Nacional de Vigilancia 2022. Pag. 27 al 41.</t>
  </si>
  <si>
    <t>Estos CIE-10 se extrajeron de la Guia Nacional de Vigilancia 2015. Pag. 32 al 290.</t>
  </si>
  <si>
    <t>B08.4</t>
  </si>
  <si>
    <t>Inicio de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</si>
</sst>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C0A]General"/>
    <numFmt numFmtId="165" formatCode="dd/mm/yyyy;@"/>
  </numFmts>
  <fonts count="35">
    <font>
      <sz val="11"/>
      <color theme="1"/>
      <name val="Calibri"/>
      <family val="2"/>
      <scheme val="minor"/>
    </font>
    <font>
      <b/>
      <sz val="12"/>
      <color theme="1"/>
      <name val="Times News Roman"/>
      <family val="2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Arial1"/>
    </font>
    <font>
      <b/>
      <sz val="10"/>
      <color rgb="FF000000"/>
      <name val="Arial Black"/>
      <family val="2"/>
    </font>
    <font>
      <sz val="9"/>
      <color rgb="FF000000"/>
      <name val="Arial1"/>
    </font>
    <font>
      <b/>
      <sz val="9"/>
      <color rgb="FF000000"/>
      <name val="Arial1"/>
    </font>
    <font>
      <sz val="9"/>
      <color rgb="FF000000"/>
      <name val="Calibri"/>
      <family val="2"/>
    </font>
    <font>
      <sz val="8"/>
      <color rgb="FF000000"/>
      <name val="Arial1"/>
    </font>
    <font>
      <b/>
      <sz val="8"/>
      <color rgb="FF000000"/>
      <name val="Arial1"/>
    </font>
    <font>
      <b/>
      <sz val="7"/>
      <color rgb="FF000000"/>
      <name val="Arial1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8"/>
      <color rgb="FFAFABAB"/>
      <name val="Arial1"/>
    </font>
    <font>
      <sz val="12"/>
      <color rgb="FF006100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3F3F3F"/>
      </top>
      <bottom style="thin">
        <color rgb="FF7F7F7F"/>
      </bottom>
      <diagonal/>
    </border>
    <border>
      <left/>
      <right/>
      <top style="thin">
        <color rgb="FF3F3F3F"/>
      </top>
      <bottom style="thin">
        <color rgb="FF7F7F7F"/>
      </bottom>
      <diagonal/>
    </border>
    <border>
      <left/>
      <right style="thin">
        <color rgb="FF7F7F7F"/>
      </right>
      <top style="thin">
        <color rgb="FF3F3F3F"/>
      </top>
      <bottom style="thin">
        <color rgb="FF7F7F7F"/>
      </bottom>
      <diagonal/>
    </border>
    <border>
      <left style="thin">
        <color rgb="FF3F3F3F"/>
      </left>
      <right/>
      <top style="thick">
        <color theme="4"/>
      </top>
      <bottom style="thin">
        <color rgb="FF3F3F3F"/>
      </bottom>
      <diagonal/>
    </border>
    <border>
      <left/>
      <right/>
      <top style="thick">
        <color theme="4"/>
      </top>
      <bottom style="thin">
        <color rgb="FF3F3F3F"/>
      </bottom>
      <diagonal/>
    </border>
    <border>
      <left/>
      <right style="thin">
        <color rgb="FF3F3F3F"/>
      </right>
      <top style="thick">
        <color theme="4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1"/>
    <xf numFmtId="0" fontId="3" fillId="2" borderId="1"/>
    <xf numFmtId="0" fontId="5" fillId="0" borderId="1"/>
    <xf numFmtId="0" fontId="6" fillId="0" borderId="2"/>
    <xf numFmtId="0" fontId="4" fillId="3" borderId="1"/>
    <xf numFmtId="0" fontId="4" fillId="4" borderId="1"/>
    <xf numFmtId="0" fontId="4" fillId="5" borderId="1"/>
    <xf numFmtId="0" fontId="7" fillId="6" borderId="1"/>
    <xf numFmtId="164" fontId="8" fillId="0" borderId="1">
      <alignment vertical="center"/>
    </xf>
    <xf numFmtId="0" fontId="17" fillId="0" borderId="1"/>
    <xf numFmtId="9" fontId="17" fillId="0" borderId="1"/>
    <xf numFmtId="0" fontId="27" fillId="0" borderId="0" applyNumberFormat="0" applyFill="0" applyBorder="0" applyAlignment="0" applyProtection="0"/>
    <xf numFmtId="0" fontId="30" fillId="0" borderId="47" applyNumberFormat="0" applyFill="0" applyAlignment="0" applyProtection="0"/>
    <xf numFmtId="0" fontId="31" fillId="10" borderId="49" applyNumberFormat="0" applyAlignment="0" applyProtection="0"/>
    <xf numFmtId="0" fontId="32" fillId="10" borderId="48" applyNumberFormat="0" applyAlignment="0" applyProtection="0"/>
    <xf numFmtId="0" fontId="33" fillId="0" borderId="1" applyNumberFormat="0" applyFill="0" applyBorder="0" applyAlignment="0" applyProtection="0"/>
    <xf numFmtId="0" fontId="34" fillId="0" borderId="1"/>
  </cellStyleXfs>
  <cellXfs count="166">
    <xf numFmtId="0" fontId="0" fillId="0" borderId="0" xfId="0" applyBorder="1"/>
    <xf numFmtId="0" fontId="0" fillId="0" borderId="0" xfId="0" pivotButton="1" applyBorder="1"/>
    <xf numFmtId="0" fontId="0" fillId="0" borderId="1" xfId="0"/>
    <xf numFmtId="0" fontId="0" fillId="0" borderId="0" xfId="0" applyBorder="1" applyAlignment="1">
      <alignment horizontal="center"/>
    </xf>
    <xf numFmtId="0" fontId="4" fillId="4" borderId="0" xfId="5" applyBorder="1"/>
    <xf numFmtId="0" fontId="4" fillId="5" borderId="0" xfId="6" applyBorder="1"/>
    <xf numFmtId="0" fontId="4" fillId="3" borderId="0" xfId="4" applyBorder="1"/>
    <xf numFmtId="0" fontId="4" fillId="5" borderId="1" xfId="6"/>
    <xf numFmtId="0" fontId="0" fillId="0" borderId="1" xfId="0" applyAlignment="1">
      <alignment horizontal="center"/>
    </xf>
    <xf numFmtId="0" fontId="4" fillId="5" borderId="1" xfId="6" applyAlignment="1">
      <alignment horizontal="center"/>
    </xf>
    <xf numFmtId="0" fontId="7" fillId="6" borderId="1" xfId="7" applyAlignment="1">
      <alignment horizontal="center"/>
    </xf>
    <xf numFmtId="164" fontId="11" fillId="8" borderId="1" xfId="8" applyFont="1" applyFill="1" applyAlignment="1">
      <alignment horizontal="left"/>
    </xf>
    <xf numFmtId="164" fontId="11" fillId="8" borderId="1" xfId="8" applyFont="1" applyFill="1">
      <alignment vertical="center"/>
    </xf>
    <xf numFmtId="164" fontId="11" fillId="8" borderId="1" xfId="8" applyFont="1" applyFill="1" applyAlignment="1"/>
    <xf numFmtId="164" fontId="12" fillId="8" borderId="1" xfId="8" applyFont="1" applyFill="1" applyAlignment="1">
      <alignment horizontal="center" vertical="center"/>
    </xf>
    <xf numFmtId="164" fontId="12" fillId="8" borderId="5" xfId="8" applyFont="1" applyFill="1" applyBorder="1" applyAlignment="1">
      <alignment horizontal="center" vertical="center"/>
    </xf>
    <xf numFmtId="164" fontId="13" fillId="8" borderId="1" xfId="8" applyFont="1" applyFill="1">
      <alignment vertical="center"/>
    </xf>
    <xf numFmtId="165" fontId="11" fillId="8" borderId="1" xfId="8" applyNumberFormat="1" applyFont="1" applyFill="1" applyAlignment="1">
      <alignment horizontal="right" vertical="center"/>
    </xf>
    <xf numFmtId="164" fontId="11" fillId="8" borderId="1" xfId="8" applyFont="1" applyFill="1" applyAlignment="1">
      <alignment horizontal="left" vertical="center"/>
    </xf>
    <xf numFmtId="164" fontId="13" fillId="8" borderId="1" xfId="8" applyFont="1" applyFill="1" applyAlignment="1"/>
    <xf numFmtId="164" fontId="11" fillId="8" borderId="1" xfId="8" applyFont="1" applyFill="1" applyAlignment="1">
      <alignment horizontal="right" vertical="center"/>
    </xf>
    <xf numFmtId="164" fontId="14" fillId="8" borderId="1" xfId="8" applyFont="1" applyFill="1">
      <alignment vertical="center"/>
    </xf>
    <xf numFmtId="164" fontId="15" fillId="0" borderId="11" xfId="8" applyFont="1" applyBorder="1" applyAlignment="1">
      <alignment horizontal="left" vertical="center"/>
    </xf>
    <xf numFmtId="164" fontId="16" fillId="0" borderId="11" xfId="8" applyFont="1" applyBorder="1" applyAlignment="1">
      <alignment horizontal="center" vertical="center" wrapText="1"/>
    </xf>
    <xf numFmtId="164" fontId="16" fillId="0" borderId="12" xfId="8" applyFont="1" applyBorder="1" applyAlignment="1">
      <alignment horizontal="center" vertical="center" wrapText="1"/>
    </xf>
    <xf numFmtId="164" fontId="15" fillId="0" borderId="11" xfId="8" applyFont="1" applyBorder="1" applyAlignment="1">
      <alignment horizontal="center" vertical="center" wrapText="1"/>
    </xf>
    <xf numFmtId="164" fontId="15" fillId="0" borderId="12" xfId="8" applyFont="1" applyBorder="1" applyAlignment="1">
      <alignment horizontal="center" vertical="center"/>
    </xf>
    <xf numFmtId="164" fontId="14" fillId="0" borderId="15" xfId="8" applyFont="1" applyBorder="1" applyAlignment="1">
      <alignment horizontal="left" vertical="center" wrapText="1"/>
    </xf>
    <xf numFmtId="164" fontId="14" fillId="0" borderId="15" xfId="8" applyFont="1" applyBorder="1" applyAlignment="1">
      <alignment horizontal="center" vertical="center"/>
    </xf>
    <xf numFmtId="164" fontId="17" fillId="0" borderId="15" xfId="8" applyFont="1" applyBorder="1" applyAlignment="1">
      <alignment horizontal="center" vertical="center" wrapText="1"/>
    </xf>
    <xf numFmtId="164" fontId="17" fillId="0" borderId="17" xfId="8" applyFont="1" applyBorder="1" applyAlignment="1">
      <alignment horizontal="center" vertical="center"/>
    </xf>
    <xf numFmtId="0" fontId="4" fillId="4" borderId="1" xfId="5"/>
    <xf numFmtId="164" fontId="14" fillId="0" borderId="15" xfId="8" applyFont="1" applyBorder="1" applyAlignment="1">
      <alignment horizontal="left" vertical="center"/>
    </xf>
    <xf numFmtId="164" fontId="17" fillId="0" borderId="15" xfId="8" applyFont="1" applyBorder="1" applyAlignment="1">
      <alignment horizontal="center" vertical="center"/>
    </xf>
    <xf numFmtId="164" fontId="14" fillId="0" borderId="22" xfId="8" applyFont="1" applyBorder="1">
      <alignment vertical="center"/>
    </xf>
    <xf numFmtId="164" fontId="14" fillId="0" borderId="22" xfId="8" applyFont="1" applyBorder="1" applyAlignment="1">
      <alignment horizontal="center" vertical="center"/>
    </xf>
    <xf numFmtId="164" fontId="17" fillId="0" borderId="22" xfId="8" applyFont="1" applyBorder="1" applyAlignment="1">
      <alignment horizontal="center" vertical="center"/>
    </xf>
    <xf numFmtId="164" fontId="11" fillId="0" borderId="22" xfId="8" applyFont="1" applyBorder="1" applyAlignment="1">
      <alignment horizontal="center" vertical="center" wrapText="1"/>
    </xf>
    <xf numFmtId="164" fontId="17" fillId="0" borderId="23" xfId="8" applyFont="1" applyBorder="1" applyAlignment="1">
      <alignment horizontal="center" vertical="center"/>
    </xf>
    <xf numFmtId="164" fontId="14" fillId="0" borderId="15" xfId="8" applyFont="1" applyBorder="1" applyAlignment="1">
      <alignment horizontal="center" vertical="center" wrapText="1"/>
    </xf>
    <xf numFmtId="164" fontId="14" fillId="0" borderId="29" xfId="8" applyFont="1" applyBorder="1" applyAlignment="1">
      <alignment horizontal="center" vertical="center" wrapText="1"/>
    </xf>
    <xf numFmtId="164" fontId="17" fillId="0" borderId="31" xfId="8" applyFont="1" applyBorder="1" applyAlignment="1">
      <alignment horizontal="center" vertical="center"/>
    </xf>
    <xf numFmtId="164" fontId="14" fillId="0" borderId="16" xfId="8" applyFont="1" applyBorder="1" applyAlignment="1">
      <alignment horizontal="center" vertical="center" wrapText="1"/>
    </xf>
    <xf numFmtId="49" fontId="14" fillId="0" borderId="15" xfId="10" applyNumberFormat="1" applyFont="1" applyBorder="1" applyAlignment="1">
      <alignment horizontal="center" vertical="center"/>
    </xf>
    <xf numFmtId="49" fontId="14" fillId="0" borderId="15" xfId="8" applyNumberFormat="1" applyFont="1" applyBorder="1" applyAlignment="1">
      <alignment horizontal="center" vertical="center"/>
    </xf>
    <xf numFmtId="164" fontId="17" fillId="0" borderId="16" xfId="8" applyFont="1" applyBorder="1" applyAlignment="1">
      <alignment horizontal="center" vertical="center"/>
    </xf>
    <xf numFmtId="164" fontId="17" fillId="0" borderId="30" xfId="8" applyFont="1" applyBorder="1" applyAlignment="1">
      <alignment horizontal="center" vertical="center"/>
    </xf>
    <xf numFmtId="164" fontId="18" fillId="8" borderId="1" xfId="8" applyFont="1" applyFill="1" applyAlignment="1"/>
    <xf numFmtId="164" fontId="18" fillId="8" borderId="1" xfId="8" applyFont="1" applyFill="1">
      <alignment vertical="center"/>
    </xf>
    <xf numFmtId="164" fontId="8" fillId="8" borderId="1" xfId="8" applyFill="1">
      <alignment vertical="center"/>
    </xf>
    <xf numFmtId="164" fontId="0" fillId="8" borderId="1" xfId="8" applyFont="1" applyFill="1">
      <alignment vertical="center"/>
    </xf>
    <xf numFmtId="164" fontId="19" fillId="8" borderId="1" xfId="8" applyFont="1" applyFill="1">
      <alignment vertical="center"/>
    </xf>
    <xf numFmtId="164" fontId="20" fillId="8" borderId="1" xfId="8" applyFont="1" applyFill="1">
      <alignment vertical="center"/>
    </xf>
    <xf numFmtId="164" fontId="18" fillId="8" borderId="1" xfId="8" applyFont="1" applyFill="1" applyAlignment="1">
      <alignment horizontal="right" vertical="center"/>
    </xf>
    <xf numFmtId="164" fontId="13" fillId="8" borderId="35" xfId="8" applyFont="1" applyFill="1" applyBorder="1" applyAlignment="1">
      <alignment horizontal="left" vertical="center"/>
    </xf>
    <xf numFmtId="164" fontId="20" fillId="8" borderId="1" xfId="8" applyFont="1" applyFill="1" applyAlignment="1">
      <alignment horizontal="left" vertical="center" wrapText="1"/>
    </xf>
    <xf numFmtId="164" fontId="20" fillId="8" borderId="1" xfId="8" applyFont="1" applyFill="1" applyAlignment="1">
      <alignment horizontal="left" vertical="center"/>
    </xf>
    <xf numFmtId="164" fontId="13" fillId="8" borderId="1" xfId="8" applyFont="1" applyFill="1" applyAlignment="1">
      <alignment horizontal="center" vertical="center"/>
    </xf>
    <xf numFmtId="164" fontId="13" fillId="8" borderId="1" xfId="8" applyFont="1" applyFill="1" applyAlignment="1">
      <alignment horizontal="left" vertical="top" wrapText="1"/>
    </xf>
    <xf numFmtId="164" fontId="13" fillId="8" borderId="1" xfId="8" applyFont="1" applyFill="1" applyAlignment="1">
      <alignment vertical="center" wrapText="1"/>
    </xf>
    <xf numFmtId="164" fontId="19" fillId="8" borderId="1" xfId="8" applyFont="1" applyFill="1" applyAlignment="1">
      <alignment horizontal="center" vertical="center"/>
    </xf>
    <xf numFmtId="164" fontId="18" fillId="8" borderId="1" xfId="8" applyFont="1" applyFill="1" applyAlignment="1">
      <alignment horizontal="center" vertical="center"/>
    </xf>
    <xf numFmtId="164" fontId="21" fillId="8" borderId="1" xfId="8" applyFont="1" applyFill="1" applyAlignment="1">
      <alignment horizontal="center" vertical="center"/>
    </xf>
    <xf numFmtId="164" fontId="19" fillId="8" borderId="1" xfId="8" applyFont="1" applyFill="1" applyAlignment="1">
      <alignment horizontal="left" vertical="top"/>
    </xf>
    <xf numFmtId="0" fontId="4" fillId="0" borderId="1" xfId="5" applyFill="1"/>
    <xf numFmtId="0" fontId="4" fillId="0" borderId="1" xfId="6" applyFill="1" applyAlignment="1">
      <alignment horizontal="center"/>
    </xf>
    <xf numFmtId="0" fontId="0" fillId="9" borderId="1" xfId="0" applyFill="1" applyAlignment="1">
      <alignment horizontal="center"/>
    </xf>
    <xf numFmtId="0" fontId="25" fillId="0" borderId="1" xfId="0" applyFont="1" applyAlignment="1">
      <alignment horizontal="center" vertical="center" wrapText="1"/>
    </xf>
    <xf numFmtId="0" fontId="5" fillId="0" borderId="1" xfId="2" applyAlignment="1">
      <alignment vertical="center"/>
    </xf>
    <xf numFmtId="0" fontId="25" fillId="0" borderId="1" xfId="0" applyFont="1" applyAlignment="1">
      <alignment vertical="top" wrapText="1"/>
    </xf>
    <xf numFmtId="14" fontId="0" fillId="0" borderId="0" xfId="0" applyNumberFormat="1" applyBorder="1"/>
    <xf numFmtId="14" fontId="0" fillId="0" borderId="1" xfId="0" applyNumberFormat="1"/>
    <xf numFmtId="0" fontId="25" fillId="0" borderId="0" xfId="0" applyFont="1" applyBorder="1" applyAlignment="1">
      <alignment vertical="top" wrapText="1"/>
    </xf>
    <xf numFmtId="14" fontId="2" fillId="0" borderId="43" xfId="0" applyNumberFormat="1" applyFont="1" applyBorder="1" applyAlignment="1">
      <alignment horizontal="center"/>
    </xf>
    <xf numFmtId="0" fontId="34" fillId="0" borderId="45" xfId="16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0" fillId="0" borderId="57" xfId="0" applyBorder="1"/>
    <xf numFmtId="0" fontId="0" fillId="0" borderId="60" xfId="0" applyBorder="1"/>
    <xf numFmtId="0" fontId="1" fillId="0" borderId="57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23" fillId="2" borderId="1" xfId="1" applyFont="1" applyAlignment="1">
      <alignment horizontal="center" vertical="center" wrapText="1"/>
    </xf>
    <xf numFmtId="0" fontId="0" fillId="0" borderId="1" xfId="0"/>
    <xf numFmtId="0" fontId="6" fillId="0" borderId="2" xfId="3" applyAlignment="1">
      <alignment horizontal="center"/>
    </xf>
    <xf numFmtId="0" fontId="0" fillId="0" borderId="2" xfId="0" applyBorder="1"/>
    <xf numFmtId="0" fontId="6" fillId="0" borderId="2" xfId="3" applyAlignment="1">
      <alignment horizontal="right"/>
    </xf>
    <xf numFmtId="0" fontId="5" fillId="0" borderId="1" xfId="2" applyAlignment="1">
      <alignment horizontal="center" vertical="center"/>
    </xf>
    <xf numFmtId="0" fontId="25" fillId="0" borderId="1" xfId="0" applyFont="1" applyAlignment="1">
      <alignment horizontal="center" vertical="center" wrapText="1"/>
    </xf>
    <xf numFmtId="0" fontId="0" fillId="0" borderId="0" xfId="0" applyBorder="1"/>
    <xf numFmtId="0" fontId="24" fillId="0" borderId="1" xfId="3" applyFont="1" applyBorder="1" applyAlignment="1">
      <alignment horizontal="center" vertical="top"/>
    </xf>
    <xf numFmtId="0" fontId="6" fillId="0" borderId="2" xfId="3" applyAlignment="1">
      <alignment horizontal="left"/>
    </xf>
    <xf numFmtId="164" fontId="14" fillId="0" borderId="9" xfId="8" applyFont="1" applyBorder="1" applyAlignment="1">
      <alignment horizontal="left" vertical="center" wrapText="1"/>
    </xf>
    <xf numFmtId="0" fontId="0" fillId="0" borderId="10" xfId="0" applyBorder="1"/>
    <xf numFmtId="0" fontId="0" fillId="0" borderId="14" xfId="0" applyBorder="1"/>
    <xf numFmtId="0" fontId="0" fillId="0" borderId="19" xfId="0" applyBorder="1"/>
    <xf numFmtId="0" fontId="0" fillId="0" borderId="13" xfId="0" applyBorder="1"/>
    <xf numFmtId="164" fontId="10" fillId="7" borderId="1" xfId="8" applyFont="1" applyFill="1" applyAlignment="1">
      <alignment horizontal="center" vertical="center"/>
    </xf>
    <xf numFmtId="164" fontId="17" fillId="0" borderId="17" xfId="8" applyFont="1" applyBorder="1" applyAlignment="1">
      <alignment horizontal="center" vertical="center"/>
    </xf>
    <xf numFmtId="0" fontId="0" fillId="0" borderId="12" xfId="0" applyBorder="1"/>
    <xf numFmtId="164" fontId="14" fillId="0" borderId="15" xfId="8" applyFont="1" applyBorder="1" applyAlignment="1">
      <alignment horizontal="left" vertical="center" wrapText="1"/>
    </xf>
    <xf numFmtId="0" fontId="0" fillId="0" borderId="16" xfId="0" applyBorder="1"/>
    <xf numFmtId="164" fontId="12" fillId="7" borderId="6" xfId="8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164" fontId="14" fillId="0" borderId="15" xfId="8" applyFont="1" applyBorder="1" applyAlignment="1">
      <alignment horizontal="center" vertical="center"/>
    </xf>
    <xf numFmtId="0" fontId="0" fillId="0" borderId="11" xfId="0" applyBorder="1"/>
    <xf numFmtId="164" fontId="14" fillId="0" borderId="41" xfId="8" applyFont="1" applyBorder="1" applyAlignment="1">
      <alignment horizontal="left" vertical="center" wrapText="1"/>
    </xf>
    <xf numFmtId="0" fontId="0" fillId="0" borderId="4" xfId="0" applyBorder="1"/>
    <xf numFmtId="164" fontId="14" fillId="0" borderId="15" xfId="8" applyFont="1" applyBorder="1" applyAlignment="1">
      <alignment horizontal="center" vertical="center" wrapText="1"/>
    </xf>
    <xf numFmtId="0" fontId="0" fillId="0" borderId="25" xfId="0" applyBorder="1"/>
    <xf numFmtId="164" fontId="15" fillId="0" borderId="33" xfId="8" applyFont="1" applyBorder="1" applyAlignment="1">
      <alignment horizontal="center" vertical="center"/>
    </xf>
    <xf numFmtId="0" fontId="0" fillId="0" borderId="34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7" fillId="0" borderId="15" xfId="9" applyBorder="1" applyAlignment="1">
      <alignment horizontal="center" vertical="center"/>
    </xf>
    <xf numFmtId="164" fontId="17" fillId="0" borderId="15" xfId="8" applyFont="1" applyBorder="1" applyAlignment="1">
      <alignment horizontal="center" vertical="center"/>
    </xf>
    <xf numFmtId="164" fontId="14" fillId="0" borderId="29" xfId="8" applyFont="1" applyBorder="1" applyAlignment="1">
      <alignment horizontal="left" vertical="center"/>
    </xf>
    <xf numFmtId="0" fontId="0" fillId="0" borderId="30" xfId="0" applyBorder="1"/>
    <xf numFmtId="164" fontId="14" fillId="0" borderId="42" xfId="8" applyFont="1" applyBorder="1" applyAlignment="1">
      <alignment horizontal="center" vertical="center" wrapText="1"/>
    </xf>
    <xf numFmtId="0" fontId="0" fillId="0" borderId="3" xfId="0" applyBorder="1"/>
    <xf numFmtId="164" fontId="15" fillId="0" borderId="11" xfId="8" applyFont="1" applyBorder="1" applyAlignment="1">
      <alignment horizontal="center" vertical="center"/>
    </xf>
    <xf numFmtId="164" fontId="12" fillId="7" borderId="6" xfId="8" applyFont="1" applyFill="1" applyBorder="1" applyAlignment="1">
      <alignment horizontal="center" vertical="center"/>
    </xf>
    <xf numFmtId="164" fontId="15" fillId="0" borderId="32" xfId="8" applyFont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164" fontId="15" fillId="0" borderId="13" xfId="8" applyFont="1" applyBorder="1" applyAlignment="1">
      <alignment horizontal="center" vertical="center" wrapText="1"/>
    </xf>
    <xf numFmtId="0" fontId="0" fillId="0" borderId="35" xfId="0" applyBorder="1"/>
    <xf numFmtId="164" fontId="14" fillId="0" borderId="15" xfId="8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164" fontId="14" fillId="0" borderId="15" xfId="8" applyFont="1" applyBorder="1" applyAlignment="1">
      <alignment horizontal="left" vertical="top" wrapText="1"/>
    </xf>
    <xf numFmtId="0" fontId="0" fillId="0" borderId="24" xfId="0" applyBorder="1"/>
    <xf numFmtId="164" fontId="14" fillId="0" borderId="43" xfId="8" applyFont="1" applyBorder="1" applyAlignment="1">
      <alignment horizontal="left" vertical="center" wrapText="1"/>
    </xf>
    <xf numFmtId="0" fontId="0" fillId="0" borderId="44" xfId="0" applyBorder="1"/>
    <xf numFmtId="164" fontId="14" fillId="0" borderId="42" xfId="8" applyFont="1" applyBorder="1" applyAlignment="1">
      <alignment horizontal="center" vertical="center"/>
    </xf>
    <xf numFmtId="164" fontId="14" fillId="0" borderId="21" xfId="8" applyFont="1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164" fontId="15" fillId="0" borderId="12" xfId="8" applyFont="1" applyBorder="1" applyAlignment="1">
      <alignment horizontal="center" vertical="center"/>
    </xf>
    <xf numFmtId="0" fontId="18" fillId="8" borderId="1" xfId="9" applyFont="1" applyFill="1" applyAlignment="1">
      <alignment horizontal="right" wrapText="1"/>
    </xf>
    <xf numFmtId="0" fontId="0" fillId="0" borderId="26" xfId="0" applyBorder="1"/>
    <xf numFmtId="0" fontId="22" fillId="2" borderId="1" xfId="1" applyFont="1" applyAlignment="1">
      <alignment horizontal="center" vertical="center"/>
    </xf>
    <xf numFmtId="164" fontId="9" fillId="7" borderId="1" xfId="8" applyFont="1" applyFill="1" applyAlignment="1">
      <alignment horizontal="center" vertical="center"/>
    </xf>
    <xf numFmtId="164" fontId="14" fillId="0" borderId="45" xfId="8" applyFont="1" applyBorder="1" applyAlignment="1">
      <alignment horizontal="center" vertical="center" wrapText="1"/>
    </xf>
    <xf numFmtId="0" fontId="0" fillId="0" borderId="46" xfId="0" applyBorder="1"/>
    <xf numFmtId="0" fontId="33" fillId="0" borderId="0" xfId="15" applyBorder="1" applyAlignment="1">
      <alignment horizontal="center" vertical="top" wrapText="1"/>
    </xf>
    <xf numFmtId="0" fontId="25" fillId="0" borderId="0" xfId="0" applyFont="1" applyBorder="1" applyAlignment="1">
      <alignment horizontal="center" vertical="top" wrapText="1"/>
    </xf>
    <xf numFmtId="0" fontId="25" fillId="0" borderId="1" xfId="0" applyFont="1" applyAlignment="1">
      <alignment horizontal="center" vertical="top" wrapText="1"/>
    </xf>
    <xf numFmtId="0" fontId="28" fillId="0" borderId="2" xfId="3" applyFont="1" applyAlignment="1">
      <alignment horizontal="center"/>
    </xf>
    <xf numFmtId="0" fontId="27" fillId="0" borderId="1" xfId="11" applyBorder="1" applyAlignment="1">
      <alignment horizontal="center" wrapText="1"/>
    </xf>
    <xf numFmtId="0" fontId="32" fillId="10" borderId="50" xfId="14" applyBorder="1" applyAlignment="1">
      <alignment horizontal="center"/>
    </xf>
    <xf numFmtId="0" fontId="32" fillId="10" borderId="51" xfId="14" applyBorder="1" applyAlignment="1">
      <alignment horizontal="center"/>
    </xf>
    <xf numFmtId="0" fontId="32" fillId="10" borderId="52" xfId="14" applyBorder="1" applyAlignment="1">
      <alignment horizontal="center"/>
    </xf>
    <xf numFmtId="0" fontId="32" fillId="10" borderId="48" xfId="14" applyAlignment="1">
      <alignment horizontal="center" wrapText="1"/>
    </xf>
    <xf numFmtId="0" fontId="32" fillId="10" borderId="48" xfId="14" applyAlignment="1">
      <alignment horizontal="center"/>
    </xf>
    <xf numFmtId="0" fontId="31" fillId="10" borderId="49" xfId="13" applyAlignment="1">
      <alignment horizontal="center"/>
    </xf>
    <xf numFmtId="0" fontId="30" fillId="0" borderId="47" xfId="12" applyAlignment="1">
      <alignment horizontal="center"/>
    </xf>
    <xf numFmtId="0" fontId="31" fillId="10" borderId="49" xfId="13" applyAlignment="1">
      <alignment horizontal="center" wrapText="1"/>
    </xf>
    <xf numFmtId="0" fontId="31" fillId="10" borderId="53" xfId="13" applyBorder="1" applyAlignment="1">
      <alignment horizontal="center"/>
    </xf>
    <xf numFmtId="0" fontId="31" fillId="10" borderId="54" xfId="13" applyBorder="1" applyAlignment="1">
      <alignment horizontal="center"/>
    </xf>
    <xf numFmtId="0" fontId="31" fillId="10" borderId="55" xfId="13" applyBorder="1" applyAlignment="1">
      <alignment horizontal="center"/>
    </xf>
  </cellXfs>
  <cellStyles count="17">
    <cellStyle name="20% - Énfasis4" xfId="5" builtinId="42"/>
    <cellStyle name="40% - Énfasis6" xfId="6" builtinId="51"/>
    <cellStyle name="60% - Énfasis3" xfId="4" builtinId="40"/>
    <cellStyle name="Bueno" xfId="1" builtinId="26"/>
    <cellStyle name="Cálculo" xfId="14" builtinId="22"/>
    <cellStyle name="Encabezado 1" xfId="12" builtinId="16"/>
    <cellStyle name="Encabezado 4" xfId="11" builtinId="19"/>
    <cellStyle name="Énfasis4" xfId="7" builtinId="41"/>
    <cellStyle name="Excel Built-in Normal" xfId="8" xr:uid="{00000000-0005-0000-0000-000008000000}"/>
    <cellStyle name="Hipervínculo" xfId="15" builtinId="8"/>
    <cellStyle name="Normal" xfId="0" builtinId="0"/>
    <cellStyle name="Normal 2" xfId="16" xr:uid="{58988935-CF36-4239-B410-911E1CFBEBC2}"/>
    <cellStyle name="Normal 3" xfId="9" xr:uid="{00000000-0005-0000-0000-000009000000}"/>
    <cellStyle name="Porcentaje 2" xfId="10" xr:uid="{00000000-0005-0000-0000-00000A000000}"/>
    <cellStyle name="Salida" xfId="13" builtinId="21"/>
    <cellStyle name="Título" xfId="2" builtinId="15"/>
    <cellStyle name="Título 2" xfId="3" builtinId="17"/>
  </cellStyles>
  <dxfs count="20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numFmt numFmtId="0" formatCode="General"/>
      <alignment horizontal="center" vertical="bottom"/>
    </dxf>
    <dxf>
      <alignment horizontal="center" vertical="bottom"/>
    </dxf>
    <dxf>
      <numFmt numFmtId="19" formatCode="d/m/yyyy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</font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UER Guairá" refreshedDate="45832.381614930557" createdVersion="8" refreshedVersion="8" minRefreshableVersion="3" recordCount="299997" xr:uid="{00000000-000A-0000-FFFF-FFFF04000000}">
  <cacheSource type="worksheet">
    <worksheetSource name="BASE"/>
  </cacheSource>
  <cacheFields count="63">
    <cacheField name="Fecha" numFmtId="14">
      <sharedItems containsNonDate="0" containsString="0" containsBlank="1"/>
    </cacheField>
    <cacheField name="Inicio de consulta" numFmtId="0">
      <sharedItems containsNonDate="0" containsString="0" containsBlank="1"/>
    </cacheField>
    <cacheField name="Fin de consulta" numFmtId="0">
      <sharedItems containsNonDate="0" containsString="0" containsBlank="1"/>
    </cacheField>
    <cacheField name="Cod.Establecimiento" numFmtId="0">
      <sharedItems containsNonDate="0" containsBlank="1" count="32">
        <m/>
        <s v="04.-006-309-GENERAL EUGENIO A. GARAY" u="1"/>
        <s v="04.-007-203-H.D. - COLONIA INDEPENDENCIA" u="1"/>
        <s v="04.-001-101-H.R. - VILLARRICA" u="1"/>
        <s v="04.-009-204-ITURBE" u="1"/>
        <s v="04.-010-209-JOSE FASSARDI" u="1"/>
        <s v="04.-003-210-MAURICIO JOSE TROCHE" u="1"/>
        <s v="04.-012-303-NATALICIO TALAVERA" u="1"/>
        <s v="04.-014-205-SAN SALVADOR" u="1"/>
        <s v="04.-002-356-USF - VALLE PÉ" u="1"/>
        <s v="04.-001-348-USF- 14 DE MAYO" u="1"/>
        <s v="04.-001-370-USF- HOSPITAL-I SAN MIGUEL" u="1"/>
        <s v="04.-001-338-USF- MA. AUXILIADORA" u="1"/>
        <s v="04.-013-306-USF- ÑUMI" u="1"/>
        <s v="04.-008-327-USF-ITAPE" u="1"/>
        <s v="04.-012-332-USF-NATALICIO TALAVERA" u="1"/>
        <s v="04.-001-358-USF-RINCÓN" u="1"/>
        <s v="04.-014-333-USF-SAN SALVADOR" u="1"/>
        <s v="04.-001-206-USF-VILLARRICA" u="1"/>
        <s v="04.-015-334-USF-YATAITY" u="1"/>
        <s v="04.-001-505-CLINICA MUNICIPAL" u="1"/>
        <s v="04.-008-211-ITAPE" u="1"/>
        <s v="04.-017-202-PASO YOBAI" u="1"/>
        <s v="04.-001-504-POLICLINICO SAN MIGUEL" u="1"/>
        <s v="04.-004-314-USF- CORONEL MARTINEZ (TEBICUARY)" u="1"/>
        <s v="04.-005-313-USF- FELIX PEREZ CARDOZO" u="1"/>
        <s v="04.-018-316-USF- LOMA PINDO" u="1"/>
        <s v="04.-006-321-USF-GRAL. A. GARAY" u="1"/>
        <s v="04.-009-336-USF-ITURBE" u="1"/>
        <s v="04.-010-330-USF-JOSE FASSARDI" u="1"/>
        <s v="04.-011-331-USF-MBOCAYATY" u="1"/>
        <s v="04.-017-335-USF-PASO YOBAI" u="1"/>
      </sharedItems>
    </cacheField>
    <cacheField name="Tipo de Consulta" numFmtId="0">
      <sharedItems containsNonDate="0" containsString="0" containsBlank="1"/>
    </cacheField>
    <cacheField name="Profesional de la Salud" numFmtId="0">
      <sharedItems containsNonDate="0" containsString="0" containsBlank="1"/>
    </cacheField>
    <cacheField name="Especialidad" numFmtId="0">
      <sharedItems containsNonDate="0" containsString="0" containsBlank="1"/>
    </cacheField>
    <cacheField name="Cédula Identidad" numFmtId="0">
      <sharedItems containsNonDate="0" containsString="0" containsBlank="1"/>
    </cacheField>
    <cacheField name="Nombres y Apellidos PACIENTE" numFmtId="0">
      <sharedItems containsNonDate="0" containsString="0" containsBlank="1"/>
    </cacheField>
    <cacheField name="Sexo" numFmtId="0">
      <sharedItems containsNonDate="0" containsString="0" containsBlank="1"/>
    </cacheField>
    <cacheField name="Edad" numFmtId="0">
      <sharedItems containsNonDate="0" containsString="0" containsBlank="1"/>
    </cacheField>
    <cacheField name="Edad Detallado" numFmtId="0">
      <sharedItems containsNonDate="0" containsString="0" containsBlank="1"/>
    </cacheField>
    <cacheField name="IMC" numFmtId="0">
      <sharedItems containsNonDate="0" containsString="0" containsBlank="1"/>
    </cacheField>
    <cacheField name="Etnia" numFmtId="0">
      <sharedItems containsNonDate="0" containsString="0" containsBlank="1"/>
    </cacheField>
    <cacheField name="Departamento de residencia" numFmtId="0">
      <sharedItems containsNonDate="0" containsString="0" containsBlank="1"/>
    </cacheField>
    <cacheField name="Distrito de residencia" numFmtId="0">
      <sharedItems containsNonDate="0" containsString="0" containsBlank="1"/>
    </cacheField>
    <cacheField name="Area de residencia" numFmtId="0">
      <sharedItems containsNonDate="0" containsString="0" containsBlank="1"/>
    </cacheField>
    <cacheField name="Nuevo en el Año" numFmtId="0">
      <sharedItems containsNonDate="0" containsString="0" containsBlank="1"/>
    </cacheField>
    <cacheField name="Asegurado" numFmtId="0">
      <sharedItems containsNonDate="0" containsString="0" containsBlank="1"/>
    </cacheField>
    <cacheField name="Seguro" numFmtId="0">
      <sharedItems containsNonDate="0" containsString="0" containsBlank="1"/>
    </cacheField>
    <cacheField name="Viene Referido" numFmtId="0">
      <sharedItems containsNonDate="0" containsString="0" containsBlank="1"/>
    </cacheField>
    <cacheField name="Motivo de Consulta" numFmtId="0">
      <sharedItems containsNonDate="0" containsString="0" containsBlank="1"/>
    </cacheField>
    <cacheField name="CODCIE10" numFmtId="0">
      <sharedItems containsNonDate="0" containsString="0" containsBlank="1"/>
    </cacheField>
    <cacheField name="Diagnóstico 1" numFmtId="0">
      <sharedItems containsNonDate="0" containsString="0" containsBlank="1"/>
    </cacheField>
    <cacheField name="CODCIE10Nuevo" numFmtId="0">
      <sharedItems containsNonDate="0" containsString="0" containsBlank="1"/>
    </cacheField>
    <cacheField name="CODCIE102" numFmtId="0">
      <sharedItems containsNonDate="0" containsString="0" containsBlank="1"/>
    </cacheField>
    <cacheField name="Diagnóstico 2" numFmtId="0">
      <sharedItems containsNonDate="0" containsString="0" containsBlank="1"/>
    </cacheField>
    <cacheField name="CODCIE10Nuevo3" numFmtId="0">
      <sharedItems containsNonDate="0" containsString="0" containsBlank="1"/>
    </cacheField>
    <cacheField name="CODCIE104" numFmtId="0">
      <sharedItems containsNonDate="0" containsString="0" containsBlank="1"/>
    </cacheField>
    <cacheField name="Diagnóstico 3" numFmtId="0">
      <sharedItems containsNonDate="0" containsString="0" containsBlank="1"/>
    </cacheField>
    <cacheField name="CODCIE10Nuevo5" numFmtId="0">
      <sharedItems containsNonDate="0" containsString="0" containsBlank="1"/>
    </cacheField>
    <cacheField name="CODCIE106" numFmtId="0">
      <sharedItems containsNonDate="0" containsString="0" containsBlank="1"/>
    </cacheField>
    <cacheField name="Diagnóstico 4" numFmtId="0">
      <sharedItems containsNonDate="0" containsString="0" containsBlank="1"/>
    </cacheField>
    <cacheField name="CODCIE10Nuevo7" numFmtId="0">
      <sharedItems containsNonDate="0" containsString="0" containsBlank="1"/>
    </cacheField>
    <cacheField name="CODCIE108" numFmtId="0">
      <sharedItems containsNonDate="0" containsString="0" containsBlank="1"/>
    </cacheField>
    <cacheField name="Diagnóstico 5" numFmtId="0">
      <sharedItems containsNonDate="0" containsString="0" containsBlank="1"/>
    </cacheField>
    <cacheField name="CODCIE10Nuevo9" numFmtId="0">
      <sharedItems containsNonDate="0" containsString="0" containsBlank="1"/>
    </cacheField>
    <cacheField name="CODCIE1010" numFmtId="0">
      <sharedItems containsNonDate="0" containsString="0" containsBlank="1"/>
    </cacheField>
    <cacheField name="Diagnóstico 6" numFmtId="0">
      <sharedItems containsNonDate="0" containsString="0" containsBlank="1"/>
    </cacheField>
    <cacheField name="CODCIE10Nuevo11" numFmtId="0">
      <sharedItems containsNonDate="0" containsString="0" containsBlank="1"/>
    </cacheField>
    <cacheField name="Embarazada" numFmtId="0">
      <sharedItems containsNonDate="0" containsString="0" containsBlank="1"/>
    </cacheField>
    <cacheField name="Semanas de Gestación" numFmtId="0">
      <sharedItems containsNonDate="0" containsString="0" containsBlank="1"/>
    </cacheField>
    <cacheField name="Se refiere" numFmtId="0">
      <sharedItems containsNonDate="0" containsString="0" containsBlank="1"/>
    </cacheField>
    <cacheField name="Se interna" numFmtId="0">
      <sharedItems containsNonDate="0" containsString="0" containsBlank="1"/>
    </cacheField>
    <cacheField name="Estado Nutricional" numFmtId="0">
      <sharedItems containsNonDate="0" containsString="0" containsBlank="1"/>
    </cacheField>
    <cacheField name="Presion Arterial Sistólica PAS" numFmtId="0">
      <sharedItems containsNonDate="0" containsString="0" containsBlank="1"/>
    </cacheField>
    <cacheField name="Presion Arterial diastólica PAD" numFmtId="0">
      <sharedItems containsNonDate="0" containsString="0" containsBlank="1"/>
    </cacheField>
    <cacheField name="Peso (Kg)" numFmtId="0">
      <sharedItems containsNonDate="0" containsString="0" containsBlank="1"/>
    </cacheField>
    <cacheField name="Talla (m)" numFmtId="0">
      <sharedItems containsNonDate="0" containsString="0" containsBlank="1"/>
    </cacheField>
    <cacheField name="HbA1C (%)" numFmtId="0">
      <sharedItems containsNonDate="0" containsString="0" containsBlank="1"/>
    </cacheField>
    <cacheField name="Alimentación" numFmtId="0">
      <sharedItems containsNonDate="0" containsString="0" containsBlank="1"/>
    </cacheField>
    <cacheField name="CODCIE9 1" numFmtId="0">
      <sharedItems containsNonDate="0" containsString="0" containsBlank="1"/>
    </cacheField>
    <cacheField name="Procedimiento" numFmtId="0">
      <sharedItems containsNonDate="0" containsString="0" containsBlank="1"/>
    </cacheField>
    <cacheField name="CODCIE9 2" numFmtId="0">
      <sharedItems containsNonDate="0" containsString="0" containsBlank="1"/>
    </cacheField>
    <cacheField name="Procedimiento12" numFmtId="0">
      <sharedItems containsNonDate="0" containsString="0" containsBlank="1"/>
    </cacheField>
    <cacheField name="CODCIE9 3" numFmtId="0">
      <sharedItems containsNonDate="0" containsString="0" containsBlank="1"/>
    </cacheField>
    <cacheField name="Procedimiento14" numFmtId="0">
      <sharedItems containsNonDate="0" containsString="0" containsBlank="1"/>
    </cacheField>
    <cacheField name="CODCIE9 4" numFmtId="0">
      <sharedItems containsNonDate="0" containsString="0" containsBlank="1"/>
    </cacheField>
    <cacheField name="Procedimiento16" numFmtId="0">
      <sharedItems containsNonDate="0" containsString="0" containsBlank="1"/>
    </cacheField>
    <cacheField name="CODCIE9 5" numFmtId="0">
      <sharedItems containsNonDate="0" containsString="0" containsBlank="1"/>
    </cacheField>
    <cacheField name="Procedimiento18" numFmtId="0">
      <sharedItems containsNonDate="0" containsString="0" containsBlank="1"/>
    </cacheField>
    <cacheField name="CODCIE9 6" numFmtId="0">
      <sharedItems containsNonDate="0" containsString="0" containsBlank="1"/>
    </cacheField>
    <cacheField name="Procedimiento2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AJ4" firstHeaderRow="0" firstDataRow="0" firstDataCol="0" rowPageCount="1" colPageCount="1"/>
  <pivotFields count="63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N5" firstHeaderRow="0" firstDataRow="0" firstDataCol="0" rowPageCount="1" colPageCount="1"/>
  <pivotFields count="63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61410-22F4-4859-87AF-1327E409FB1E}" name="TablaDinámica1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AJ4" firstHeaderRow="0" firstDataRow="0" firstDataCol="0" rowPageCount="1" colPageCount="1"/>
  <pivotFields count="63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79574-2A29-4263-87E7-5249848EAFCD}" name="TablaDinámica1" cacheId="4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A4" firstHeaderRow="0" firstDataRow="0" firstDataCol="0" rowPageCount="1" colPageCount="1"/>
  <pivotFields count="63">
    <pivotField showAll="0"/>
    <pivotField showAll="0"/>
    <pivotField showAll="0"/>
    <pivotField axis="axisPage" showAll="0">
      <items count="33">
        <item x="0"/>
        <item m="1" x="20"/>
        <item m="1" x="1"/>
        <item m="1" x="2"/>
        <item m="1" x="3"/>
        <item m="1" x="21"/>
        <item m="1" x="4"/>
        <item m="1" x="5"/>
        <item m="1" x="6"/>
        <item m="1" x="7"/>
        <item m="1" x="22"/>
        <item m="1" x="23"/>
        <item m="1" x="8"/>
        <item m="1" x="9"/>
        <item m="1" x="10"/>
        <item m="1" x="24"/>
        <item m="1" x="25"/>
        <item m="1" x="11"/>
        <item m="1" x="26"/>
        <item m="1" x="12"/>
        <item m="1" x="13"/>
        <item m="1" x="27"/>
        <item m="1" x="14"/>
        <item m="1" x="28"/>
        <item m="1" x="29"/>
        <item m="1" x="30"/>
        <item m="1" x="15"/>
        <item m="1" x="31"/>
        <item m="1" x="16"/>
        <item m="1" x="17"/>
        <item m="1" x="18"/>
        <item m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ageFields count="1">
    <pageField fld="3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" displayName="BASE" ref="A2:BK299999" totalsRowShown="0" headerRowDxfId="2077">
  <autoFilter ref="A2:BK299999" xr:uid="{00000000-0009-0000-0100-000001000000}"/>
  <tableColumns count="63">
    <tableColumn id="1" xr3:uid="{00000000-0010-0000-0000-000001000000}" name="Fecha" dataDxfId="2076"/>
    <tableColumn id="2" xr3:uid="{00000000-0010-0000-0000-000002000000}" name="Inicio de consulta"/>
    <tableColumn id="3" xr3:uid="{00000000-0010-0000-0000-000003000000}" name="Fin de consulta"/>
    <tableColumn id="4" xr3:uid="{00000000-0010-0000-0000-000004000000}" name="Cod.Establecimiento"/>
    <tableColumn id="5" xr3:uid="{00000000-0010-0000-0000-000005000000}" name="Tipo de Consulta"/>
    <tableColumn id="6" xr3:uid="{00000000-0010-0000-0000-000006000000}" name="Profesional de la Salud"/>
    <tableColumn id="7" xr3:uid="{00000000-0010-0000-0000-000007000000}" name="Especialidad"/>
    <tableColumn id="8" xr3:uid="{00000000-0010-0000-0000-000008000000}" name="Cédula Identidad"/>
    <tableColumn id="9" xr3:uid="{00000000-0010-0000-0000-000009000000}" name="Nombres y Apellidos PACIENTE"/>
    <tableColumn id="10" xr3:uid="{00000000-0010-0000-0000-00000A000000}" name="Sexo"/>
    <tableColumn id="11" xr3:uid="{00000000-0010-0000-0000-00000B000000}" name="Edad"/>
    <tableColumn id="12" xr3:uid="{00000000-0010-0000-0000-00000C000000}" name="Edad Detallado"/>
    <tableColumn id="77" xr3:uid="{E8D77619-4B50-457E-9753-3B1DE34E9B55}" name="IMC"/>
    <tableColumn id="13" xr3:uid="{00000000-0010-0000-0000-00000D000000}" name="Etnia"/>
    <tableColumn id="14" xr3:uid="{00000000-0010-0000-0000-00000E000000}" name="Departamento de residencia"/>
    <tableColumn id="15" xr3:uid="{00000000-0010-0000-0000-00000F000000}" name="Distrito de residencia"/>
    <tableColumn id="17" xr3:uid="{00000000-0010-0000-0000-000011000000}" name="Area de residencia"/>
    <tableColumn id="18" xr3:uid="{00000000-0010-0000-0000-000012000000}" name="Nuevo en el Año"/>
    <tableColumn id="19" xr3:uid="{00000000-0010-0000-0000-000013000000}" name="Asegurado"/>
    <tableColumn id="20" xr3:uid="{00000000-0010-0000-0000-000014000000}" name="Seguro"/>
    <tableColumn id="21" xr3:uid="{00000000-0010-0000-0000-000015000000}" name="Viene Referido"/>
    <tableColumn id="22" xr3:uid="{00000000-0010-0000-0000-000016000000}" name="Motivo de Consulta"/>
    <tableColumn id="23" xr3:uid="{00000000-0010-0000-0000-000017000000}" name="CODCIE10"/>
    <tableColumn id="24" xr3:uid="{00000000-0010-0000-0000-000018000000}" name="Diagnóstico 1"/>
    <tableColumn id="25" xr3:uid="{00000000-0010-0000-0000-000019000000}" name="CODCIE10Nuevo"/>
    <tableColumn id="26" xr3:uid="{00000000-0010-0000-0000-00001A000000}" name="CODCIE102"/>
    <tableColumn id="27" xr3:uid="{00000000-0010-0000-0000-00001B000000}" name="Diagnóstico 2"/>
    <tableColumn id="28" xr3:uid="{00000000-0010-0000-0000-00001C000000}" name="CODCIE10Nuevo3"/>
    <tableColumn id="29" xr3:uid="{00000000-0010-0000-0000-00001D000000}" name="CODCIE104"/>
    <tableColumn id="30" xr3:uid="{00000000-0010-0000-0000-00001E000000}" name="Diagnóstico 3"/>
    <tableColumn id="31" xr3:uid="{00000000-0010-0000-0000-00001F000000}" name="CODCIE10Nuevo5"/>
    <tableColumn id="32" xr3:uid="{00000000-0010-0000-0000-000020000000}" name="CODCIE106"/>
    <tableColumn id="33" xr3:uid="{00000000-0010-0000-0000-000021000000}" name="Diagnóstico 4"/>
    <tableColumn id="34" xr3:uid="{00000000-0010-0000-0000-000022000000}" name="CODCIE10Nuevo7"/>
    <tableColumn id="35" xr3:uid="{00000000-0010-0000-0000-000023000000}" name="CODCIE108"/>
    <tableColumn id="36" xr3:uid="{00000000-0010-0000-0000-000024000000}" name="Diagnóstico 5"/>
    <tableColumn id="37" xr3:uid="{00000000-0010-0000-0000-000025000000}" name="CODCIE10Nuevo9"/>
    <tableColumn id="38" xr3:uid="{00000000-0010-0000-0000-000026000000}" name="CODCIE1010"/>
    <tableColumn id="39" xr3:uid="{00000000-0010-0000-0000-000027000000}" name="Diagnóstico 6"/>
    <tableColumn id="40" xr3:uid="{00000000-0010-0000-0000-000028000000}" name="CODCIE10Nuevo11"/>
    <tableColumn id="41" xr3:uid="{00000000-0010-0000-0000-000029000000}" name="Embarazada"/>
    <tableColumn id="42" xr3:uid="{00000000-0010-0000-0000-00002A000000}" name="Semanas de Gestación"/>
    <tableColumn id="43" xr3:uid="{00000000-0010-0000-0000-00002B000000}" name="Se refiere"/>
    <tableColumn id="44" xr3:uid="{00000000-0010-0000-0000-00002C000000}" name="Se interna"/>
    <tableColumn id="46" xr3:uid="{00000000-0010-0000-0000-00002E000000}" name="Estado Nutricional"/>
    <tableColumn id="47" xr3:uid="{00000000-0010-0000-0000-00002F000000}" name="Presion Arterial Sistólica PAS"/>
    <tableColumn id="48" xr3:uid="{00000000-0010-0000-0000-000030000000}" name="Presion Arterial diastólica PAD"/>
    <tableColumn id="49" xr3:uid="{00000000-0010-0000-0000-000031000000}" name="Peso (Kg)"/>
    <tableColumn id="50" xr3:uid="{00000000-0010-0000-0000-000032000000}" name="Talla (m)"/>
    <tableColumn id="53" xr3:uid="{00000000-0010-0000-0000-000035000000}" name="HbA1C (%)"/>
    <tableColumn id="54" xr3:uid="{00000000-0010-0000-0000-000036000000}" name="Alimentación"/>
    <tableColumn id="55" xr3:uid="{00000000-0010-0000-0000-000037000000}" name="CODCIE9 1"/>
    <tableColumn id="56" xr3:uid="{00000000-0010-0000-0000-000038000000}" name="Procedimiento"/>
    <tableColumn id="58" xr3:uid="{00000000-0010-0000-0000-00003A000000}" name="CODCIE9 2"/>
    <tableColumn id="59" xr3:uid="{00000000-0010-0000-0000-00003B000000}" name="Procedimiento12"/>
    <tableColumn id="61" xr3:uid="{00000000-0010-0000-0000-00003D000000}" name="CODCIE9 3"/>
    <tableColumn id="62" xr3:uid="{00000000-0010-0000-0000-00003E000000}" name="Procedimiento14"/>
    <tableColumn id="64" xr3:uid="{00000000-0010-0000-0000-000040000000}" name="CODCIE9 4"/>
    <tableColumn id="65" xr3:uid="{00000000-0010-0000-0000-000041000000}" name="Procedimiento16"/>
    <tableColumn id="67" xr3:uid="{00000000-0010-0000-0000-000043000000}" name="CODCIE9 5"/>
    <tableColumn id="68" xr3:uid="{00000000-0010-0000-0000-000044000000}" name="Procedimiento18"/>
    <tableColumn id="70" xr3:uid="{00000000-0010-0000-0000-000046000000}" name="CODCIE9 6"/>
    <tableColumn id="71" xr3:uid="{00000000-0010-0000-0000-000047000000}" name="Procedimiento2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PV_PARALISIS_FLACIDA_AGUDA" displayName="EPV_PARALISIS_FLACIDA_AGUDA" ref="A4:H11" totalsRowShown="0" headerRowDxfId="2075">
  <autoFilter ref="A4:H11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CIE-10" dataCellStyle="20% - Énfasis4"/>
    <tableColumn id="2" xr3:uid="{00000000-0010-0000-0100-000002000000}" name="D1" dataDxfId="2074">
      <calculatedColumnFormula>IF($AK$2="(Todas)",COUNTIF(BASE[CODCIE10],EPV_PARALISIS_FLACIDA_AGUDA[[#This Row],[CIE-10]]),COUNTIFS(BASE[Cod.Establecimiento],$AK$2,BASE[CODCIE10],EPV_PARALISIS_FLACIDA_AGUDA[[#This Row],[CIE-10]]))</calculatedColumnFormula>
    </tableColumn>
    <tableColumn id="3" xr3:uid="{00000000-0010-0000-0100-000003000000}" name="D2" dataDxfId="2073">
      <calculatedColumnFormula>IF($AK$2="(Todas)",COUNTIF(BASE[CODCIE102],EPV_PARALISIS_FLACIDA_AGUDA[[#This Row],[CIE-10]]),COUNTIFS(BASE[Cod.Establecimiento],$AK$2,BASE[CODCIE102],EPV_PARALISIS_FLACIDA_AGUDA[[#This Row],[CIE-10]]))</calculatedColumnFormula>
    </tableColumn>
    <tableColumn id="4" xr3:uid="{00000000-0010-0000-0100-000004000000}" name="D3" dataDxfId="2072">
      <calculatedColumnFormula>IF($AK$2="(Todas)",COUNTIF(BASE[CODCIE104],EPV_PARALISIS_FLACIDA_AGUDA[[#This Row],[CIE-10]]),COUNTIFS(BASE[Cod.Establecimiento],$AK$2,BASE[CODCIE104],EPV_PARALISIS_FLACIDA_AGUDA[[#This Row],[CIE-10]]))</calculatedColumnFormula>
    </tableColumn>
    <tableColumn id="5" xr3:uid="{00000000-0010-0000-0100-000005000000}" name="D4" dataDxfId="2071">
      <calculatedColumnFormula>IF($AK$2="(Todas)",COUNTIF(BASE[CODCIE106],EPV_PARALISIS_FLACIDA_AGUDA[[#This Row],[CIE-10]]),COUNTIFS(BASE[Cod.Establecimiento],$AK$2,BASE[CODCIE106],EPV_PARALISIS_FLACIDA_AGUDA[[#This Row],[CIE-10]]))</calculatedColumnFormula>
    </tableColumn>
    <tableColumn id="6" xr3:uid="{00000000-0010-0000-0100-000006000000}" name="D5" dataDxfId="2070">
      <calculatedColumnFormula>IF($AK$2="(Todas)",COUNTIF(BASE[CODCIE108],EPV_PARALISIS_FLACIDA_AGUDA[[#This Row],[CIE-10]]),COUNTIFS(BASE[Cod.Establecimiento],$AK$2,BASE[CODCIE108],EPV_PARALISIS_FLACIDA_AGUDA[[#This Row],[CIE-10]]))</calculatedColumnFormula>
    </tableColumn>
    <tableColumn id="7" xr3:uid="{00000000-0010-0000-0100-000007000000}" name="D6" dataDxfId="2069">
      <calculatedColumnFormula>IF($AK$2="(Todas)",COUNTIF(BASE[CODCIE1010],EPV_PARALISIS_FLACIDA_AGUDA[[#This Row],[CIE-10]]),COUNTIFS(BASE[Cod.Establecimiento],$AK$2,BASE[CODCIE1010],EPV_PARALISIS_FLACIDA_AGUDA[[#This Row],[CIE-10]]))</calculatedColumnFormula>
    </tableColumn>
    <tableColumn id="8" xr3:uid="{00000000-0010-0000-0100-000008000000}" name="TOT" dataDxfId="2068">
      <calculatedColumnFormula>SUM(EPV_PARALISIS_FLACIDA_AGUDA[[#This Row],[D1]:[D6]])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PV_RUBEOLA" displayName="EPV_RUBEOLA" ref="J4:Q15" totalsRowShown="0" headerRowDxfId="2067">
  <autoFilter ref="J4:Q15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200-000001000000}" name="CIE-10" dataCellStyle="20% - Énfasis4"/>
    <tableColumn id="2" xr3:uid="{00000000-0010-0000-0200-000002000000}" name="D1" dataDxfId="2066">
      <calculatedColumnFormula>IF($AK$2="(Todas)",COUNTIF(BASE[CODCIE10],EPV_RUBEOLA[[#This Row],[CIE-10]]),COUNTIFS(BASE[Cod.Establecimiento],$AK$2,BASE[CODCIE10],EPV_RUBEOLA[[#This Row],[CIE-10]]))</calculatedColumnFormula>
    </tableColumn>
    <tableColumn id="3" xr3:uid="{00000000-0010-0000-0200-000003000000}" name="D2" dataDxfId="2065">
      <calculatedColumnFormula>IF($AK$2="(Todas)",COUNTIF(BASE[CODCIE102],EPV_RUBEOLA[[#This Row],[CIE-10]]),COUNTIFS(BASE[Cod.Establecimiento],$AK$2,BASE[CODCIE102],EPV_RUBEOLA[[#This Row],[CIE-10]]))</calculatedColumnFormula>
    </tableColumn>
    <tableColumn id="4" xr3:uid="{00000000-0010-0000-0200-000004000000}" name="D3" dataDxfId="2064">
      <calculatedColumnFormula>IF($AK$2="(Todas)",COUNTIF(BASE[CODCIE104],EPV_RUBEOLA[[#This Row],[CIE-10]]),COUNTIFS(BASE[Cod.Establecimiento],$AK$2,BASE[CODCIE104],EPV_RUBEOLA[[#This Row],[CIE-10]]))</calculatedColumnFormula>
    </tableColumn>
    <tableColumn id="5" xr3:uid="{00000000-0010-0000-0200-000005000000}" name="D4" dataDxfId="2063">
      <calculatedColumnFormula>IF($AK$2="(Todas)",COUNTIF(BASE[CODCIE106],EPV_RUBEOLA[[#This Row],[CIE-10]]),COUNTIFS(BASE[Cod.Establecimiento],$AK$2,BASE[CODCIE106],EPV_RUBEOLA[[#This Row],[CIE-10]]))</calculatedColumnFormula>
    </tableColumn>
    <tableColumn id="6" xr3:uid="{00000000-0010-0000-0200-000006000000}" name="D5" dataDxfId="2062">
      <calculatedColumnFormula>IF($AK$2="(Todas)",COUNTIF(BASE[CODCIE108],EPV_RUBEOLA[[#This Row],[CIE-10]]),COUNTIFS(BASE[Cod.Establecimiento],$AK$2,BASE[CODCIE108],EPV_RUBEOLA[[#This Row],[CIE-10]]))</calculatedColumnFormula>
    </tableColumn>
    <tableColumn id="7" xr3:uid="{00000000-0010-0000-0200-000007000000}" name="D6" dataDxfId="2061">
      <calculatedColumnFormula>IF($AK$2="(Todas)",COUNTIF(BASE[CODCIE1010],EPV_RUBEOLA[[#This Row],[CIE-10]]),COUNTIFS(BASE[Cod.Establecimiento],$AK$2,BASE[CODCIE1010],EPV_RUBEOLA[[#This Row],[CIE-10]]))</calculatedColumnFormula>
    </tableColumn>
    <tableColumn id="8" xr3:uid="{00000000-0010-0000-0200-000008000000}" name="TOT" dataDxfId="2060" dataCellStyle="40% - Énfasis6">
      <calculatedColumnFormula>SUM(EPV_RUBEOLA[[#This Row],[D1]:[D6]])</calculatedColumnFormula>
    </tableColumn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PV_SARAMPION" displayName="EPV_SARAMPION" ref="S4:Z13" totalsRowShown="0" headerRowDxfId="2059">
  <autoFilter ref="S4:Z1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300-000001000000}" name="CIE-10" dataCellStyle="20% - Énfasis4"/>
    <tableColumn id="2" xr3:uid="{00000000-0010-0000-0300-000002000000}" name="D1" dataDxfId="2058">
      <calculatedColumnFormula>IF($AK$2="(Todas)",COUNTIF(BASE[CODCIE10],EPV_SARAMPION[[#This Row],[CIE-10]]),COUNTIFS(BASE[Cod.Establecimiento],$AK$2,BASE[CODCIE10],EPV_SARAMPION[[#This Row],[CIE-10]]))</calculatedColumnFormula>
    </tableColumn>
    <tableColumn id="3" xr3:uid="{00000000-0010-0000-0300-000003000000}" name="D2" dataDxfId="2057">
      <calculatedColumnFormula>IF($AK$2="(Todas)",COUNTIF(BASE[CODCIE102],EPV_SARAMPION[[#This Row],[CIE-10]]),COUNTIFS(BASE[Cod.Establecimiento],$AK$2,BASE[CODCIE102],EPV_SARAMPION[[#This Row],[CIE-10]]))</calculatedColumnFormula>
    </tableColumn>
    <tableColumn id="4" xr3:uid="{00000000-0010-0000-0300-000004000000}" name="D3" dataDxfId="2056">
      <calculatedColumnFormula>IF($AK$2="(Todas)",COUNTIF(BASE[CODCIE104],EPV_SARAMPION[[#This Row],[CIE-10]]),COUNTIFS(BASE[Cod.Establecimiento],$AK$2,BASE[CODCIE104],EPV_SARAMPION[[#This Row],[CIE-10]]))</calculatedColumnFormula>
    </tableColumn>
    <tableColumn id="5" xr3:uid="{00000000-0010-0000-0300-000005000000}" name="D4" dataDxfId="2055">
      <calculatedColumnFormula>IF($AK$2="(Todas)",COUNTIF(BASE[CODCIE106],EPV_SARAMPION[[#This Row],[CIE-10]]),COUNTIFS(BASE[Cod.Establecimiento],$AK$2,BASE[CODCIE106],EPV_SARAMPION[[#This Row],[CIE-10]]))</calculatedColumnFormula>
    </tableColumn>
    <tableColumn id="6" xr3:uid="{00000000-0010-0000-0300-000006000000}" name="D5" dataDxfId="2054">
      <calculatedColumnFormula>IF($AK$2="(Todas)",COUNTIF(BASE[CODCIE108],EPV_SARAMPION[[#This Row],[CIE-10]]),COUNTIFS(BASE[Cod.Establecimiento],$AK$2,BASE[CODCIE108],EPV_SARAMPION[[#This Row],[CIE-10]]))</calculatedColumnFormula>
    </tableColumn>
    <tableColumn id="7" xr3:uid="{00000000-0010-0000-0300-000007000000}" name="D6" dataDxfId="2053">
      <calculatedColumnFormula>IF($AK$2="(Todas)",COUNTIF(BASE[CODCIE1010],EPV_SARAMPION[[#This Row],[CIE-10]]),COUNTIFS(BASE[Cod.Establecimiento],$AK$2,BASE[CODCIE1010],EPV_SARAMPION[[#This Row],[CIE-10]]))</calculatedColumnFormula>
    </tableColumn>
    <tableColumn id="8" xr3:uid="{00000000-0010-0000-0300-000008000000}" name="TOT" dataDxfId="2052" dataCellStyle="40% - Énfasis6">
      <calculatedColumnFormula>SUM(EPV_SARAMPION[[#This Row],[D1]:[D6]])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PV_DIFTERIA" displayName="EPV_DIFTERIA" ref="AB4:AI13" totalsRowShown="0" headerRowDxfId="2051">
  <autoFilter ref="AB4:AI13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400-000001000000}" name="CIE-10" dataCellStyle="20% - Énfasis4"/>
    <tableColumn id="2" xr3:uid="{00000000-0010-0000-0400-000002000000}" name="D1" dataDxfId="2050">
      <calculatedColumnFormula>IF($AK$2="(Todas)",COUNTIF(BASE[CODCIE10],EPV_DIFTERIA[[#This Row],[CIE-10]]),COUNTIFS(BASE[Cod.Establecimiento],$AK$2,BASE[CODCIE10],EPV_DIFTERIA[[#This Row],[CIE-10]]))</calculatedColumnFormula>
    </tableColumn>
    <tableColumn id="3" xr3:uid="{00000000-0010-0000-0400-000003000000}" name="D2" dataDxfId="2049">
      <calculatedColumnFormula>IF($AK$2="(Todas)",COUNTIF(BASE[CODCIE102],EPV_DIFTERIA[[#This Row],[CIE-10]]),COUNTIFS(BASE[Cod.Establecimiento],$AK$2,BASE[CODCIE102],EPV_DIFTERIA[[#This Row],[CIE-10]]))</calculatedColumnFormula>
    </tableColumn>
    <tableColumn id="4" xr3:uid="{00000000-0010-0000-0400-000004000000}" name="D3" dataDxfId="2048">
      <calculatedColumnFormula>IF($AK$2="(Todas)",COUNTIF(BASE[CODCIE104],EPV_DIFTERIA[[#This Row],[CIE-10]]),COUNTIFS(BASE[Cod.Establecimiento],$AK$2,BASE[CODCIE104],EPV_DIFTERIA[[#This Row],[CIE-10]]))</calculatedColumnFormula>
    </tableColumn>
    <tableColumn id="5" xr3:uid="{00000000-0010-0000-0400-000005000000}" name="D4" dataDxfId="2047">
      <calculatedColumnFormula>IF($AK$2="(Todas)",COUNTIF(BASE[CODCIE106],EPV_DIFTERIA[[#This Row],[CIE-10]]),COUNTIFS(BASE[Cod.Establecimiento],$AK$2,BASE[CODCIE106],EPV_DIFTERIA[[#This Row],[CIE-10]]))</calculatedColumnFormula>
    </tableColumn>
    <tableColumn id="6" xr3:uid="{00000000-0010-0000-0400-000006000000}" name="D5" dataDxfId="2046">
      <calculatedColumnFormula>IF($AK$2="(Todas)",COUNTIF(BASE[CODCIE108],EPV_DIFTERIA[[#This Row],[CIE-10]]),COUNTIFS(BASE[Cod.Establecimiento],$AK$2,BASE[CODCIE108],EPV_DIFTERIA[[#This Row],[CIE-10]]))</calculatedColumnFormula>
    </tableColumn>
    <tableColumn id="7" xr3:uid="{00000000-0010-0000-0400-000007000000}" name="D6" dataDxfId="2045">
      <calculatedColumnFormula>IF($AK$2="(Todas)",COUNTIF(BASE[CODCIE1010],EPV_DIFTERIA[[#This Row],[CIE-10]]),COUNTIFS(BASE[Cod.Establecimiento],$AK$2,BASE[CODCIE1010],EPV_DIFTERIA[[#This Row],[CIE-10]]))</calculatedColumnFormula>
    </tableColumn>
    <tableColumn id="8" xr3:uid="{00000000-0010-0000-0400-000008000000}" name="TOT" dataDxfId="2044" dataCellStyle="40% - Énfasis6">
      <calculatedColumnFormula>SUM(EPV_DIFTERIA[[#This Row],[D1]:[D6]])</calculatedColumnFormula>
    </tableColumn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PV_COQUELUCHE" displayName="EPV_COQUELUCHE" ref="A19:H23" totalsRowShown="0" headerRowDxfId="2043">
  <autoFilter ref="A19:H23" xr:uid="{00000000-0009-0000-0100-00000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500-000001000000}" name="CIE-10" dataCellStyle="20% - Énfasis4"/>
    <tableColumn id="2" xr3:uid="{00000000-0010-0000-0500-000002000000}" name="D1" dataDxfId="2042">
      <calculatedColumnFormula>IF($AK$2="(Todas)",COUNTIF(BASE[CODCIE10],EPV_COQUELUCHE[[#This Row],[CIE-10]]),COUNTIFS(BASE[Cod.Establecimiento],$AK$2,BASE[CODCIE10],EPV_COQUELUCHE[[#This Row],[CIE-10]]))</calculatedColumnFormula>
    </tableColumn>
    <tableColumn id="3" xr3:uid="{00000000-0010-0000-0500-000003000000}" name="D2" dataDxfId="2041">
      <calculatedColumnFormula>IF($AK$2="(Todas)",COUNTIF(BASE[CODCIE102],EPV_COQUELUCHE[[#This Row],[CIE-10]]),COUNTIFS(BASE[Cod.Establecimiento],$AK$2,BASE[CODCIE102],EPV_COQUELUCHE[[#This Row],[CIE-10]]))</calculatedColumnFormula>
    </tableColumn>
    <tableColumn id="4" xr3:uid="{00000000-0010-0000-0500-000004000000}" name="D3" dataDxfId="2040">
      <calculatedColumnFormula>IF($AK$2="(Todas)",COUNTIF(BASE[CODCIE104],EPV_COQUELUCHE[[#This Row],[CIE-10]]),COUNTIFS(BASE[Cod.Establecimiento],$AK$2,BASE[CODCIE104],EPV_COQUELUCHE[[#This Row],[CIE-10]]))</calculatedColumnFormula>
    </tableColumn>
    <tableColumn id="5" xr3:uid="{00000000-0010-0000-0500-000005000000}" name="D4" dataDxfId="2039">
      <calculatedColumnFormula>IF($AK$2="(Todas)",COUNTIF(BASE[CODCIE106],EPV_COQUELUCHE[[#This Row],[CIE-10]]),COUNTIFS(BASE[Cod.Establecimiento],$AK$2,BASE[CODCIE106],EPV_COQUELUCHE[[#This Row],[CIE-10]]))</calculatedColumnFormula>
    </tableColumn>
    <tableColumn id="6" xr3:uid="{00000000-0010-0000-0500-000006000000}" name="D5" dataDxfId="2038">
      <calculatedColumnFormula>IF($AK$2="(Todas)",COUNTIF(BASE[CODCIE108],EPV_COQUELUCHE[[#This Row],[CIE-10]]),COUNTIFS(BASE[Cod.Establecimiento],$AK$2,BASE[CODCIE108],EPV_COQUELUCHE[[#This Row],[CIE-10]]))</calculatedColumnFormula>
    </tableColumn>
    <tableColumn id="7" xr3:uid="{00000000-0010-0000-0500-000007000000}" name="D6" dataDxfId="2037">
      <calculatedColumnFormula>IF($AK$2="(Todas)",COUNTIF(BASE[CODCIE1010],EPV_COQUELUCHE[[#This Row],[CIE-10]]),COUNTIFS(BASE[Cod.Establecimiento],$AK$2,BASE[CODCIE1010],EPV_COQUELUCHE[[#This Row],[CIE-10]]))</calculatedColumnFormula>
    </tableColumn>
    <tableColumn id="8" xr3:uid="{00000000-0010-0000-0500-000008000000}" name="TOT" dataDxfId="2036" dataCellStyle="40% - Énfasis6">
      <calculatedColumnFormula>SUM(EPV_COQUELUCHE[[#This Row],[D1]:[D6]])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PV_PAROTIDITIS" displayName="EPV_PAROTIDITIS" ref="J19:Q26" totalsRowShown="0" headerRowDxfId="2035">
  <autoFilter ref="J19:Q26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600-000001000000}" name="CIE-10" dataCellStyle="20% - Énfasis4"/>
    <tableColumn id="2" xr3:uid="{00000000-0010-0000-0600-000002000000}" name="D1" dataDxfId="2034">
      <calculatedColumnFormula>IF($AK$2="(Todas)",COUNTIF(BASE[CODCIE10],EPV_PAROTIDITIS[[#This Row],[CIE-10]]),COUNTIFS(BASE[Cod.Establecimiento],$AK$2,BASE[CODCIE10],EPV_PAROTIDITIS[[#This Row],[CIE-10]]))</calculatedColumnFormula>
    </tableColumn>
    <tableColumn id="3" xr3:uid="{00000000-0010-0000-0600-000003000000}" name="D2" dataDxfId="2033">
      <calculatedColumnFormula>IF($AK$2="(Todas)",COUNTIF(BASE[CODCIE102],EPV_PAROTIDITIS[[#This Row],[CIE-10]]),COUNTIFS(BASE[Cod.Establecimiento],$AK$2,BASE[CODCIE102],EPV_PAROTIDITIS[[#This Row],[CIE-10]]))</calculatedColumnFormula>
    </tableColumn>
    <tableColumn id="4" xr3:uid="{00000000-0010-0000-0600-000004000000}" name="D3" dataDxfId="2032">
      <calculatedColumnFormula>IF($AK$2="(Todas)",COUNTIF(BASE[CODCIE104],EPV_PAROTIDITIS[[#This Row],[CIE-10]]),COUNTIFS(BASE[Cod.Establecimiento],$AK$2,BASE[CODCIE104],EPV_PAROTIDITIS[[#This Row],[CIE-10]]))</calculatedColumnFormula>
    </tableColumn>
    <tableColumn id="5" xr3:uid="{00000000-0010-0000-0600-000005000000}" name="D4" dataDxfId="2031">
      <calculatedColumnFormula>IF($AK$2="(Todas)",COUNTIF(BASE[CODCIE106],EPV_PAROTIDITIS[[#This Row],[CIE-10]]),COUNTIFS(BASE[Cod.Establecimiento],$AK$2,BASE[CODCIE106],EPV_PAROTIDITIS[[#This Row],[CIE-10]]))</calculatedColumnFormula>
    </tableColumn>
    <tableColumn id="6" xr3:uid="{00000000-0010-0000-0600-000006000000}" name="D5" dataDxfId="2030">
      <calculatedColumnFormula>IF($AK$2="(Todas)",COUNTIF(BASE[CODCIE108],EPV_PAROTIDITIS[[#This Row],[CIE-10]]),COUNTIFS(BASE[Cod.Establecimiento],$AK$2,BASE[CODCIE108],EPV_PAROTIDITIS[[#This Row],[CIE-10]]))</calculatedColumnFormula>
    </tableColumn>
    <tableColumn id="7" xr3:uid="{00000000-0010-0000-0600-000007000000}" name="D6" dataDxfId="2029">
      <calculatedColumnFormula>IF($AK$2="(Todas)",COUNTIF(BASE[CODCIE1010],EPV_PAROTIDITIS[[#This Row],[CIE-10]]),COUNTIFS(BASE[Cod.Establecimiento],$AK$2,BASE[CODCIE1010],EPV_PAROTIDITIS[[#This Row],[CIE-10]]))</calculatedColumnFormula>
    </tableColumn>
    <tableColumn id="8" xr3:uid="{00000000-0010-0000-0600-000008000000}" name="TOT" dataDxfId="2028" dataCellStyle="40% - Énfasis6">
      <calculatedColumnFormula>SUM(EPV_PAROTIDITIS[[#This Row],[D1]:[D6]])</calculatedColumnFormula>
    </tableColumn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PV_TETANOS_NEONATAL" displayName="EPV_TETANOS_NEONATAL" ref="S19:Z21" totalsRowShown="0" headerRowDxfId="2027">
  <autoFilter ref="S19:Z21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700-000001000000}" name="CIE-10" dataCellStyle="20% - Énfasis4"/>
    <tableColumn id="2" xr3:uid="{00000000-0010-0000-0700-000002000000}" name="D1" dataDxfId="2026">
      <calculatedColumnFormula>IF($AK$2="(Todas)",COUNTIF(BASE[CODCIE10],EPV_TETANOS_NEONATAL[[#This Row],[CIE-10]]),COUNTIFS(BASE[Cod.Establecimiento],$AK$2,BASE[CODCIE10],EPV_TETANOS_NEONATAL[[#This Row],[CIE-10]]))</calculatedColumnFormula>
    </tableColumn>
    <tableColumn id="3" xr3:uid="{00000000-0010-0000-0700-000003000000}" name="D2" dataDxfId="2025">
      <calculatedColumnFormula>IF($AK$2="(Todas)",COUNTIF(BASE[CODCIE102],EPV_TETANOS_NEONATAL[[#This Row],[CIE-10]]),COUNTIFS(BASE[Cod.Establecimiento],$AK$2,BASE[CODCIE102],EPV_TETANOS_NEONATAL[[#This Row],[CIE-10]]))</calculatedColumnFormula>
    </tableColumn>
    <tableColumn id="4" xr3:uid="{00000000-0010-0000-0700-000004000000}" name="D3" dataDxfId="2024">
      <calculatedColumnFormula>IF($AK$2="(Todas)",COUNTIF(BASE[CODCIE104],EPV_TETANOS_NEONATAL[[#This Row],[CIE-10]]),COUNTIFS(BASE[Cod.Establecimiento],$AK$2,BASE[CODCIE104],EPV_TETANOS_NEONATAL[[#This Row],[CIE-10]]))</calculatedColumnFormula>
    </tableColumn>
    <tableColumn id="5" xr3:uid="{00000000-0010-0000-0700-000005000000}" name="D4" dataDxfId="2023">
      <calculatedColumnFormula>IF($AK$2="(Todas)",COUNTIF(BASE[CODCIE106],EPV_TETANOS_NEONATAL[[#This Row],[CIE-10]]),COUNTIFS(BASE[Cod.Establecimiento],$AK$2,BASE[CODCIE106],EPV_TETANOS_NEONATAL[[#This Row],[CIE-10]]))</calculatedColumnFormula>
    </tableColumn>
    <tableColumn id="6" xr3:uid="{00000000-0010-0000-0700-000006000000}" name="D5" dataDxfId="2022">
      <calculatedColumnFormula>IF($AK$2="(Todas)",COUNTIF(BASE[CODCIE108],EPV_TETANOS_NEONATAL[[#This Row],[CIE-10]]),COUNTIFS(BASE[Cod.Establecimiento],$AK$2,BASE[CODCIE108],EPV_TETANOS_NEONATAL[[#This Row],[CIE-10]]))</calculatedColumnFormula>
    </tableColumn>
    <tableColumn id="7" xr3:uid="{00000000-0010-0000-0700-000007000000}" name="D6" dataDxfId="2021">
      <calculatedColumnFormula>IF($AK$2="(Todas)",COUNTIF(BASE[CODCIE1010],EPV_TETANOS_NEONATAL[[#This Row],[CIE-10]]),COUNTIFS(BASE[Cod.Establecimiento],$AK$2,BASE[CODCIE1010],EPV_TETANOS_NEONATAL[[#This Row],[CIE-10]]))</calculatedColumnFormula>
    </tableColumn>
    <tableColumn id="8" xr3:uid="{00000000-0010-0000-0700-000008000000}" name="TOT" dataDxfId="2020" dataCellStyle="40% - Énfasis6">
      <calculatedColumnFormula>SUM(EPV_TETANOS_NEONATAL[[#This Row],[D1]:[D6]])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PV_TETANOS_OTRAS_EDADES" displayName="EPV_TETANOS_OTRAS_EDADES" ref="AB19:AI20" totalsRowShown="0" headerRowDxfId="2019">
  <autoFilter ref="AB19:AI20" xr:uid="{00000000-0009-0000-0100-00000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800-000001000000}" name="CIE-10" dataCellStyle="20% - Énfasis4"/>
    <tableColumn id="2" xr3:uid="{00000000-0010-0000-0800-000002000000}" name="D1" dataDxfId="2018">
      <calculatedColumnFormula>IF($AK$2="(Todas)",COUNTIF(BASE[CODCIE10],EPV_TETANOS_OTRAS_EDADES[[#This Row],[CIE-10]]),COUNTIFS(BASE[Cod.Establecimiento],$AK$2,BASE[CODCIE10],EPV_TETANOS_OTRAS_EDADES[[#This Row],[CIE-10]]))</calculatedColumnFormula>
    </tableColumn>
    <tableColumn id="3" xr3:uid="{00000000-0010-0000-0800-000003000000}" name="D2" dataDxfId="2017">
      <calculatedColumnFormula>IF($AK$2="(Todas)",COUNTIF(BASE[CODCIE102],EPV_TETANOS_OTRAS_EDADES[[#This Row],[CIE-10]]),COUNTIFS(BASE[Cod.Establecimiento],$AK$2,BASE[CODCIE102],EPV_TETANOS_OTRAS_EDADES[[#This Row],[CIE-10]]))</calculatedColumnFormula>
    </tableColumn>
    <tableColumn id="4" xr3:uid="{00000000-0010-0000-0800-000004000000}" name="D3" dataDxfId="2016">
      <calculatedColumnFormula>IF($AK$2="(Todas)",COUNTIF(BASE[CODCIE104],EPV_TETANOS_OTRAS_EDADES[[#This Row],[CIE-10]]),COUNTIFS(BASE[Cod.Establecimiento],$AK$2,BASE[CODCIE104],EPV_TETANOS_OTRAS_EDADES[[#This Row],[CIE-10]]))</calculatedColumnFormula>
    </tableColumn>
    <tableColumn id="5" xr3:uid="{00000000-0010-0000-0800-000005000000}" name="D4" dataDxfId="2015">
      <calculatedColumnFormula>IF($AK$2="(Todas)",COUNTIF(BASE[CODCIE106],EPV_TETANOS_OTRAS_EDADES[[#This Row],[CIE-10]]),COUNTIFS(BASE[Cod.Establecimiento],$AK$2,BASE[CODCIE106],EPV_TETANOS_OTRAS_EDADES[[#This Row],[CIE-10]]))</calculatedColumnFormula>
    </tableColumn>
    <tableColumn id="6" xr3:uid="{00000000-0010-0000-0800-000006000000}" name="D5" dataDxfId="2014">
      <calculatedColumnFormula>IF($AK$2="(Todas)",COUNTIF(BASE[CODCIE108],EPV_TETANOS_OTRAS_EDADES[[#This Row],[CIE-10]]),COUNTIFS(BASE[Cod.Establecimiento],$AK$2,BASE[CODCIE108],EPV_TETANOS_OTRAS_EDADES[[#This Row],[CIE-10]]))</calculatedColumnFormula>
    </tableColumn>
    <tableColumn id="7" xr3:uid="{00000000-0010-0000-0800-000007000000}" name="D6" dataDxfId="2013">
      <calculatedColumnFormula>IF($AK$2="(Todas)",COUNTIF(BASE[CODCIE1010],EPV_TETANOS_OTRAS_EDADES[[#This Row],[CIE-10]]),COUNTIFS(BASE[Cod.Establecimiento],$AK$2,BASE[CODCIE1010],EPV_TETANOS_OTRAS_EDADES[[#This Row],[CIE-10]]))</calculatedColumnFormula>
    </tableColumn>
    <tableColumn id="8" xr3:uid="{00000000-0010-0000-0800-000008000000}" name="TOT" dataDxfId="2012" dataCellStyle="40% - Énfasis6">
      <calculatedColumnFormula>SUM(EPV_TETANOS_OTRAS_EDADES[[#This Row],[D1]:[D6]])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EPV_VARICELA" displayName="EPV_VARICELA" ref="A30:H33" totalsRowShown="0" headerRowDxfId="2011">
  <autoFilter ref="A30:H33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900-000001000000}" name="CIE-10" dataCellStyle="20% - Énfasis4"/>
    <tableColumn id="2" xr3:uid="{00000000-0010-0000-0900-000002000000}" name="D1" dataDxfId="2010">
      <calculatedColumnFormula>IF($AK$2="(Todas)",COUNTIF(BASE[CODCIE10],EPV_VARICELA[[#This Row],[CIE-10]]),COUNTIFS(BASE[Cod.Establecimiento],$AK$2,BASE[CODCIE10],EPV_VARICELA[[#This Row],[CIE-10]]))</calculatedColumnFormula>
    </tableColumn>
    <tableColumn id="3" xr3:uid="{00000000-0010-0000-0900-000003000000}" name="D2" dataDxfId="2009">
      <calculatedColumnFormula>IF($AK$2="(Todas)",COUNTIF(BASE[CODCIE102],EPV_VARICELA[[#This Row],[CIE-10]]),COUNTIFS(BASE[Cod.Establecimiento],$AK$2,BASE[CODCIE102],EPV_VARICELA[[#This Row],[CIE-10]]))</calculatedColumnFormula>
    </tableColumn>
    <tableColumn id="4" xr3:uid="{00000000-0010-0000-0900-000004000000}" name="D3" dataDxfId="2008">
      <calculatedColumnFormula>IF($AK$2="(Todas)",COUNTIF(BASE[CODCIE104],EPV_VARICELA[[#This Row],[CIE-10]]),COUNTIFS(BASE[Cod.Establecimiento],$AK$2,BASE[CODCIE104],EPV_VARICELA[[#This Row],[CIE-10]]))</calculatedColumnFormula>
    </tableColumn>
    <tableColumn id="5" xr3:uid="{00000000-0010-0000-0900-000005000000}" name="D4" dataDxfId="2007">
      <calculatedColumnFormula>IF($AK$2="(Todas)",COUNTIF(BASE[CODCIE106],EPV_VARICELA[[#This Row],[CIE-10]]),COUNTIFS(BASE[Cod.Establecimiento],$AK$2,BASE[CODCIE106],EPV_VARICELA[[#This Row],[CIE-10]]))</calculatedColumnFormula>
    </tableColumn>
    <tableColumn id="6" xr3:uid="{00000000-0010-0000-0900-000006000000}" name="D5" dataDxfId="2006">
      <calculatedColumnFormula>IF($AK$2="(Todas)",COUNTIF(BASE[CODCIE108],EPV_VARICELA[[#This Row],[CIE-10]]),COUNTIFS(BASE[Cod.Establecimiento],$AK$2,BASE[CODCIE108],EPV_VARICELA[[#This Row],[CIE-10]]))</calculatedColumnFormula>
    </tableColumn>
    <tableColumn id="7" xr3:uid="{00000000-0010-0000-0900-000007000000}" name="D6" dataDxfId="2005">
      <calculatedColumnFormula>IF($AK$2="(Todas)",COUNTIF(BASE[CODCIE1010],EPV_VARICELA[[#This Row],[CIE-10]]),COUNTIFS(BASE[Cod.Establecimiento],$AK$2,BASE[CODCIE1010],EPV_VARICELA[[#This Row],[CIE-10]]))</calculatedColumnFormula>
    </tableColumn>
    <tableColumn id="8" xr3:uid="{00000000-0010-0000-0900-000008000000}" name="TOT" dataDxfId="2004" dataCellStyle="40% - Énfasis6">
      <calculatedColumnFormula>SUM(EPV_VARICELA[[#This Row],[D1]:[D6]])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EPV_ESAVI" displayName="EPV_ESAVI" ref="J30:Q37" totalsRowShown="0" headerRowDxfId="2003">
  <autoFilter ref="J30:Q37" xr:uid="{00000000-0009-0000-0100-00000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A00-000001000000}" name="CIE-10" dataCellStyle="20% - Énfasis4"/>
    <tableColumn id="2" xr3:uid="{00000000-0010-0000-0A00-000002000000}" name="D1" dataDxfId="2002">
      <calculatedColumnFormula>IF($AK$2="(Todas)",COUNTIF(BASE[CODCIE10],EPV_ESAVI[[#This Row],[CIE-10]]),COUNTIFS(BASE[Cod.Establecimiento],$AK$2,BASE[CODCIE10],EPV_ESAVI[[#This Row],[CIE-10]]))</calculatedColumnFormula>
    </tableColumn>
    <tableColumn id="3" xr3:uid="{00000000-0010-0000-0A00-000003000000}" name="D2" dataDxfId="2001">
      <calculatedColumnFormula>IF($AK$2="(Todas)",COUNTIF(BASE[CODCIE102],EPV_ESAVI[[#This Row],[CIE-10]]),COUNTIFS(BASE[Cod.Establecimiento],$AK$2,BASE[CODCIE102],EPV_ESAVI[[#This Row],[CIE-10]]))</calculatedColumnFormula>
    </tableColumn>
    <tableColumn id="4" xr3:uid="{00000000-0010-0000-0A00-000004000000}" name="D3" dataDxfId="2000">
      <calculatedColumnFormula>IF($AK$2="(Todas)",COUNTIF(BASE[CODCIE104],EPV_ESAVI[[#This Row],[CIE-10]]),COUNTIFS(BASE[Cod.Establecimiento],$AK$2,BASE[CODCIE104],EPV_ESAVI[[#This Row],[CIE-10]]))</calculatedColumnFormula>
    </tableColumn>
    <tableColumn id="5" xr3:uid="{00000000-0010-0000-0A00-000005000000}" name="D4" dataDxfId="1999">
      <calculatedColumnFormula>IF($AK$2="(Todas)",COUNTIF(BASE[CODCIE106],EPV_ESAVI[[#This Row],[CIE-10]]),COUNTIFS(BASE[Cod.Establecimiento],$AK$2,BASE[CODCIE106],EPV_ESAVI[[#This Row],[CIE-10]]))</calculatedColumnFormula>
    </tableColumn>
    <tableColumn id="6" xr3:uid="{00000000-0010-0000-0A00-000006000000}" name="D5" dataDxfId="1998">
      <calculatedColumnFormula>IF($AK$2="(Todas)",COUNTIF(BASE[CODCIE108],EPV_ESAVI[[#This Row],[CIE-10]]),COUNTIFS(BASE[Cod.Establecimiento],$AK$2,BASE[CODCIE108],EPV_ESAVI[[#This Row],[CIE-10]]))</calculatedColumnFormula>
    </tableColumn>
    <tableColumn id="7" xr3:uid="{00000000-0010-0000-0A00-000007000000}" name="D6" dataDxfId="1997">
      <calculatedColumnFormula>IF($AK$2="(Todas)",COUNTIF(BASE[CODCIE1010],EPV_ESAVI[[#This Row],[CIE-10]]),COUNTIFS(BASE[Cod.Establecimiento],$AK$2,BASE[CODCIE1010],EPV_ESAVI[[#This Row],[CIE-10]]))</calculatedColumnFormula>
    </tableColumn>
    <tableColumn id="8" xr3:uid="{00000000-0010-0000-0A00-000008000000}" name="TOT" dataDxfId="1996" dataCellStyle="40% - Énfasis6">
      <calculatedColumnFormula>SUM(EPV_ESAVI[[#This Row],[D1]:[D6]])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ENOS_G1_COLERA" displayName="ENOS_G1_COLERA" ref="P36:W37" totalsRowShown="0" headerRowDxfId="1995">
  <autoFilter ref="P36:W37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B00-000001000000}" name="CIE-10" dataCellStyle="20% - Énfasis4"/>
    <tableColumn id="2" xr3:uid="{00000000-0010-0000-0B00-000002000000}" name="D1" dataDxfId="1994">
      <calculatedColumnFormula>IF($O$3="(Todas)",COUNTIF(BASE[CODCIE10],ENOS_G1_COLERA[[#This Row],[CIE-10]]),COUNTIFS(BASE[Cod.Establecimiento],$O$3,BASE[CODCIE10],ENOS_G1_COLERA[[#This Row],[CIE-10]]))</calculatedColumnFormula>
    </tableColumn>
    <tableColumn id="3" xr3:uid="{00000000-0010-0000-0B00-000003000000}" name="D2" dataDxfId="1993">
      <calculatedColumnFormula>IF($O$3="(Todas)",COUNTIF(BASE[CODCIE102],ENOS_G1_COLERA[[#This Row],[CIE-10]]),COUNTIFS(BASE[Cod.Establecimiento],$O$3,BASE[CODCIE102],ENOS_G1_COLERA[[#This Row],[CIE-10]]))</calculatedColumnFormula>
    </tableColumn>
    <tableColumn id="4" xr3:uid="{00000000-0010-0000-0B00-000004000000}" name="D3" dataDxfId="1992">
      <calculatedColumnFormula>IF($O$3="(Todas)",COUNTIF(BASE[CODCIE104],ENOS_G1_COLERA[[#This Row],[CIE-10]]),COUNTIFS(BASE[Cod.Establecimiento],$O$3,BASE[CODCIE104],ENOS_G1_COLERA[[#This Row],[CIE-10]]))</calculatedColumnFormula>
    </tableColumn>
    <tableColumn id="5" xr3:uid="{00000000-0010-0000-0B00-000005000000}" name="D4" dataDxfId="1991">
      <calculatedColumnFormula>IF($O$3="(Todas)",COUNTIF(BASE[CODCIE106],ENOS_G1_COLERA[[#This Row],[CIE-10]]),COUNTIFS(BASE[Cod.Establecimiento],$O$3,BASE[CODCIE106],ENOS_G1_COLERA[[#This Row],[CIE-10]]))</calculatedColumnFormula>
    </tableColumn>
    <tableColumn id="6" xr3:uid="{00000000-0010-0000-0B00-000006000000}" name="D5" dataDxfId="1990">
      <calculatedColumnFormula>IF($O$3="(Todas)",COUNTIF(BASE[CODCIE108],ENOS_G1_COLERA[[#This Row],[CIE-10]]),COUNTIFS(BASE[Cod.Establecimiento],$O$3,BASE[CODCIE108],ENOS_G1_COLERA[[#This Row],[CIE-10]]))</calculatedColumnFormula>
    </tableColumn>
    <tableColumn id="7" xr3:uid="{00000000-0010-0000-0B00-000007000000}" name="D6" dataDxfId="1989">
      <calculatedColumnFormula>IF($O$3="(Todas)",COUNTIF(BASE[CODCIE1010],ENOS_G1_COLERA[[#This Row],[CIE-10]]),COUNTIFS(BASE[Cod.Establecimiento],$O$3,BASE[CODCIE1010],ENOS_G1_COLERA[[#This Row],[CIE-10]]))</calculatedColumnFormula>
    </tableColumn>
    <tableColumn id="8" xr3:uid="{00000000-0010-0000-0B00-000008000000}" name="TOT" dataDxfId="1988">
      <calculatedColumnFormula>SUM(ENOS_G1_COLERA[[#This Row],[D1]:[D6]])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NOS_G1_FIEBRE_AMARILLA" displayName="ENOS_G1_FIEBRE_AMARILLA" ref="Y36:AF37" totalsRowShown="0" headerRowDxfId="1987">
  <autoFilter ref="Y36:AF37" xr:uid="{00000000-0009-0000-0100-00000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C00-000001000000}" name="CIE-10" dataCellStyle="20% - Énfasis4"/>
    <tableColumn id="2" xr3:uid="{00000000-0010-0000-0C00-000002000000}" name="D1" dataDxfId="1986">
      <calculatedColumnFormula>IF($O$3="(Todas)",COUNTIF(BASE[CODCIE10],ENOS_G1_FIEBRE_AMARILLA[[#This Row],[CIE-10]]),COUNTIFS(BASE[Cod.Establecimiento],$O$3,BASE[CODCIE10],ENOS_G1_FIEBRE_AMARILLA[[#This Row],[CIE-10]]))</calculatedColumnFormula>
    </tableColumn>
    <tableColumn id="3" xr3:uid="{00000000-0010-0000-0C00-000003000000}" name="D2" dataDxfId="1985">
      <calculatedColumnFormula>IF($O$3="(Todas)",COUNTIF(BASE[CODCIE102],ENOS_G1_FIEBRE_AMARILLA[[#This Row],[CIE-10]]),COUNTIFS(BASE[Cod.Establecimiento],$O$3,BASE[CODCIE102],ENOS_G1_FIEBRE_AMARILLA[[#This Row],[CIE-10]]))</calculatedColumnFormula>
    </tableColumn>
    <tableColumn id="4" xr3:uid="{00000000-0010-0000-0C00-000004000000}" name="D3" dataDxfId="1984">
      <calculatedColumnFormula>IF($O$3="(Todas)",COUNTIF(BASE[CODCIE104],ENOS_G1_FIEBRE_AMARILLA[[#This Row],[CIE-10]]),COUNTIFS(BASE[Cod.Establecimiento],$O$3,BASE[CODCIE104],ENOS_G1_FIEBRE_AMARILLA[[#This Row],[CIE-10]]))</calculatedColumnFormula>
    </tableColumn>
    <tableColumn id="5" xr3:uid="{00000000-0010-0000-0C00-000005000000}" name="D4" dataDxfId="1983">
      <calculatedColumnFormula>IF($O$3="(Todas)",COUNTIF(BASE[CODCIE106],ENOS_G1_FIEBRE_AMARILLA[[#This Row],[CIE-10]]),COUNTIFS(BASE[Cod.Establecimiento],$O$3,BASE[CODCIE106],ENOS_G1_FIEBRE_AMARILLA[[#This Row],[CIE-10]]))</calculatedColumnFormula>
    </tableColumn>
    <tableColumn id="6" xr3:uid="{00000000-0010-0000-0C00-000006000000}" name="D5" dataDxfId="1982">
      <calculatedColumnFormula>IF($O$3="(Todas)",COUNTIF(BASE[CODCIE108],ENOS_G1_FIEBRE_AMARILLA[[#This Row],[CIE-10]]),COUNTIFS(BASE[Cod.Establecimiento],$O$3,BASE[CODCIE108],ENOS_G1_FIEBRE_AMARILLA[[#This Row],[CIE-10]]))</calculatedColumnFormula>
    </tableColumn>
    <tableColumn id="7" xr3:uid="{00000000-0010-0000-0C00-000007000000}" name="D6" dataDxfId="1981">
      <calculatedColumnFormula>IF($O$3="(Todas)",COUNTIF(BASE[CODCIE1010],ENOS_G1_FIEBRE_AMARILLA[[#This Row],[CIE-10]]),COUNTIFS(BASE[Cod.Establecimiento],$O$3,BASE[CODCIE1010],ENOS_G1_FIEBRE_AMARILLA[[#This Row],[CIE-10]]))</calculatedColumnFormula>
    </tableColumn>
    <tableColumn id="8" xr3:uid="{00000000-0010-0000-0C00-000008000000}" name="TOT" dataDxfId="1980">
      <calculatedColumnFormula>SUM(ENOS_G1_FIEBRE_AMARILLA[[#This Row],[D1]:[D6]])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ENOS_G1_PESTE" displayName="ENOS_G1_PESTE" ref="P40:W41" totalsRowShown="0" headerRowDxfId="1979">
  <autoFilter ref="P40:W41" xr:uid="{00000000-0009-0000-0100-00000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D00-000001000000}" name="CIE-10" dataCellStyle="20% - Énfasis4"/>
    <tableColumn id="2" xr3:uid="{00000000-0010-0000-0D00-000002000000}" name="D1" dataDxfId="1978">
      <calculatedColumnFormula>IF($O$3="(Todas)",COUNTIF(BASE[CODCIE10],ENOS_G1_PESTE[[#This Row],[CIE-10]]),COUNTIFS(BASE[Cod.Establecimiento],$O$3,BASE[CODCIE10],ENOS_G1_PESTE[[#This Row],[CIE-10]]))</calculatedColumnFormula>
    </tableColumn>
    <tableColumn id="3" xr3:uid="{00000000-0010-0000-0D00-000003000000}" name="D2" dataDxfId="1977">
      <calculatedColumnFormula>IF($O$3="(Todas)",COUNTIF(BASE[CODCIE102],ENOS_G1_PESTE[[#This Row],[CIE-10]]),COUNTIFS(BASE[Cod.Establecimiento],$O$3,BASE[CODCIE102],ENOS_G1_PESTE[[#This Row],[CIE-10]]))</calculatedColumnFormula>
    </tableColumn>
    <tableColumn id="4" xr3:uid="{00000000-0010-0000-0D00-000004000000}" name="D3" dataDxfId="1976">
      <calculatedColumnFormula>IF($O$3="(Todas)",COUNTIF(BASE[CODCIE104],ENOS_G1_PESTE[[#This Row],[CIE-10]]),COUNTIFS(BASE[Cod.Establecimiento],$O$3,BASE[CODCIE104],ENOS_G1_PESTE[[#This Row],[CIE-10]]))</calculatedColumnFormula>
    </tableColumn>
    <tableColumn id="5" xr3:uid="{00000000-0010-0000-0D00-000005000000}" name="D4" dataDxfId="1975">
      <calculatedColumnFormula>IF($O$3="(Todas)",COUNTIF(BASE[CODCIE106],ENOS_G1_PESTE[[#This Row],[CIE-10]]),COUNTIFS(BASE[Cod.Establecimiento],$O$3,BASE[CODCIE106],ENOS_G1_PESTE[[#This Row],[CIE-10]]))</calculatedColumnFormula>
    </tableColumn>
    <tableColumn id="6" xr3:uid="{00000000-0010-0000-0D00-000006000000}" name="D5" dataDxfId="1974">
      <calculatedColumnFormula>IF($O$3="(Todas)",COUNTIF(BASE[CODCIE108],ENOS_G1_PESTE[[#This Row],[CIE-10]]),COUNTIFS(BASE[Cod.Establecimiento],$O$3,BASE[CODCIE108],ENOS_G1_PESTE[[#This Row],[CIE-10]]))</calculatedColumnFormula>
    </tableColumn>
    <tableColumn id="7" xr3:uid="{00000000-0010-0000-0D00-000007000000}" name="D6" dataDxfId="1973">
      <calculatedColumnFormula>IF($O$3="(Todas)",COUNTIF(BASE[CODCIE1010],ENOS_G1_PESTE[[#This Row],[CIE-10]]),COUNTIFS(BASE[Cod.Establecimiento],$O$3,BASE[CODCIE1010],ENOS_G1_PESTE[[#This Row],[CIE-10]]))</calculatedColumnFormula>
    </tableColumn>
    <tableColumn id="8" xr3:uid="{00000000-0010-0000-0D00-000008000000}" name="TOT" dataDxfId="1972">
      <calculatedColumnFormula>SUM(ENOS_G1_PESTE[[#This Row],[D1]:[D6]])</calculatedColumn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ENOS_G1_POLIOMIELITIS_AGUDA" displayName="ENOS_G1_POLIOMIELITIS_AGUDA" ref="Y40:AF41" totalsRowShown="0" headerRowDxfId="1971">
  <autoFilter ref="Y40:AF41" xr:uid="{00000000-0009-0000-0100-00000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E00-000001000000}" name="CIE-10" dataCellStyle="20% - Énfasis4"/>
    <tableColumn id="2" xr3:uid="{00000000-0010-0000-0E00-000002000000}" name="D1" dataDxfId="1970">
      <calculatedColumnFormula>IF($O$3="(Todas)",COUNTIF(BASE[CODCIE10],ENOS_G1_POLIOMIELITIS_AGUDA[[#This Row],[CIE-10]]),COUNTIFS(BASE[Cod.Establecimiento],$O$3,BASE[CODCIE10],ENOS_G1_POLIOMIELITIS_AGUDA[[#This Row],[CIE-10]]))</calculatedColumnFormula>
    </tableColumn>
    <tableColumn id="3" xr3:uid="{00000000-0010-0000-0E00-000003000000}" name="D2" dataDxfId="1969">
      <calculatedColumnFormula>IF($O$3="(Todas)",COUNTIF(BASE[CODCIE102],ENOS_G1_POLIOMIELITIS_AGUDA[[#This Row],[CIE-10]]),COUNTIFS(BASE[Cod.Establecimiento],$O$3,BASE[CODCIE102],ENOS_G1_POLIOMIELITIS_AGUDA[[#This Row],[CIE-10]]))</calculatedColumnFormula>
    </tableColumn>
    <tableColumn id="4" xr3:uid="{00000000-0010-0000-0E00-000004000000}" name="D3" dataDxfId="1968">
      <calculatedColumnFormula>IF($O$3="(Todas)",COUNTIF(BASE[CODCIE104],ENOS_G1_POLIOMIELITIS_AGUDA[[#This Row],[CIE-10]]),COUNTIFS(BASE[Cod.Establecimiento],$O$3,BASE[CODCIE104],ENOS_G1_POLIOMIELITIS_AGUDA[[#This Row],[CIE-10]]))</calculatedColumnFormula>
    </tableColumn>
    <tableColumn id="5" xr3:uid="{00000000-0010-0000-0E00-000005000000}" name="D4" dataDxfId="1967">
      <calculatedColumnFormula>IF($O$3="(Todas)",COUNTIF(BASE[CODCIE106],ENOS_G1_POLIOMIELITIS_AGUDA[[#This Row],[CIE-10]]),COUNTIFS(BASE[Cod.Establecimiento],$O$3,BASE[CODCIE106],ENOS_G1_POLIOMIELITIS_AGUDA[[#This Row],[CIE-10]]))</calculatedColumnFormula>
    </tableColumn>
    <tableColumn id="6" xr3:uid="{00000000-0010-0000-0E00-000006000000}" name="D5" dataDxfId="1966">
      <calculatedColumnFormula>IF($O$3="(Todas)",COUNTIF(BASE[CODCIE108],ENOS_G1_POLIOMIELITIS_AGUDA[[#This Row],[CIE-10]]),COUNTIFS(BASE[Cod.Establecimiento],$O$3,BASE[CODCIE108],ENOS_G1_POLIOMIELITIS_AGUDA[[#This Row],[CIE-10]]))</calculatedColumnFormula>
    </tableColumn>
    <tableColumn id="7" xr3:uid="{00000000-0010-0000-0E00-000007000000}" name="D6" dataDxfId="1965">
      <calculatedColumnFormula>IF($O$3="(Todas)",COUNTIF(BASE[CODCIE1010],ENOS_G1_POLIOMIELITIS_AGUDA[[#This Row],[CIE-10]]),COUNTIFS(BASE[Cod.Establecimiento],$O$3,BASE[CODCIE1010],ENOS_G1_POLIOMIELITIS_AGUDA[[#This Row],[CIE-10]]))</calculatedColumnFormula>
    </tableColumn>
    <tableColumn id="8" xr3:uid="{00000000-0010-0000-0E00-000008000000}" name="TOT" dataDxfId="1964">
      <calculatedColumnFormula>SUM(ENOS_G1_POLIOMIELITIS_AGUDA[[#This Row],[D1]:[D6]])</calculatedColumnFormula>
    </tableColumn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NOS_G1_RUBEOLA" displayName="ENOS_G1_RUBEOLA" ref="P44:W45" totalsRowShown="0" headerRowDxfId="1963">
  <autoFilter ref="P44:W45" xr:uid="{00000000-0009-0000-0100-00001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F00-000001000000}" name="CIE-10" dataCellStyle="20% - Énfasis4"/>
    <tableColumn id="2" xr3:uid="{00000000-0010-0000-0F00-000002000000}" name="D1" dataDxfId="1962">
      <calculatedColumnFormula>IF($O$3="(Todas)",COUNTIF(BASE[CODCIE10],ENOS_G1_RUBEOLA[[#This Row],[CIE-10]]),COUNTIFS(BASE[Cod.Establecimiento],$O$3,BASE[CODCIE10],ENOS_G1_RUBEOLA[[#This Row],[CIE-10]]))</calculatedColumnFormula>
    </tableColumn>
    <tableColumn id="3" xr3:uid="{00000000-0010-0000-0F00-000003000000}" name="D2" dataDxfId="1961">
      <calculatedColumnFormula>IF($O$3="(Todas)",COUNTIF(BASE[CODCIE102],ENOS_G1_RUBEOLA[[#This Row],[CIE-10]]),COUNTIFS(BASE[Cod.Establecimiento],$O$3,BASE[CODCIE102],ENOS_G1_RUBEOLA[[#This Row],[CIE-10]]))</calculatedColumnFormula>
    </tableColumn>
    <tableColumn id="4" xr3:uid="{00000000-0010-0000-0F00-000004000000}" name="D3" dataDxfId="1960">
      <calculatedColumnFormula>IF($O$3="(Todas)",COUNTIF(BASE[CODCIE104],ENOS_G1_RUBEOLA[[#This Row],[CIE-10]]),COUNTIFS(BASE[Cod.Establecimiento],$O$3,BASE[CODCIE104],ENOS_G1_RUBEOLA[[#This Row],[CIE-10]]))</calculatedColumnFormula>
    </tableColumn>
    <tableColumn id="5" xr3:uid="{00000000-0010-0000-0F00-000005000000}" name="D4" dataDxfId="1959">
      <calculatedColumnFormula>IF($O$3="(Todas)",COUNTIF(BASE[CODCIE106],ENOS_G1_RUBEOLA[[#This Row],[CIE-10]]),COUNTIFS(BASE[Cod.Establecimiento],$O$3,BASE[CODCIE106],ENOS_G1_RUBEOLA[[#This Row],[CIE-10]]))</calculatedColumnFormula>
    </tableColumn>
    <tableColumn id="6" xr3:uid="{00000000-0010-0000-0F00-000006000000}" name="D5" dataDxfId="1958">
      <calculatedColumnFormula>IF($O$3="(Todas)",COUNTIF(BASE[CODCIE108],ENOS_G1_RUBEOLA[[#This Row],[CIE-10]]),COUNTIFS(BASE[Cod.Establecimiento],$O$3,BASE[CODCIE108],ENOS_G1_RUBEOLA[[#This Row],[CIE-10]]))</calculatedColumnFormula>
    </tableColumn>
    <tableColumn id="7" xr3:uid="{00000000-0010-0000-0F00-000007000000}" name="D6" dataDxfId="1957">
      <calculatedColumnFormula>IF($O$3="(Todas)",COUNTIF(BASE[CODCIE1010],ENOS_G1_RUBEOLA[[#This Row],[CIE-10]]),COUNTIFS(BASE[Cod.Establecimiento],$O$3,BASE[CODCIE1010],ENOS_G1_RUBEOLA[[#This Row],[CIE-10]]))</calculatedColumnFormula>
    </tableColumn>
    <tableColumn id="8" xr3:uid="{00000000-0010-0000-0F00-000008000000}" name="TOT" dataDxfId="1956">
      <calculatedColumnFormula>SUM(ENOS_G1_RUBEOLA[[#This Row],[D1]:[D6]])</calculatedColumnFormula>
    </tableColumn>
  </tableColumns>
  <tableStyleInfo name="TableStyleLight1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ENOS_G1_SINDROME_DE_RUBEOLA_CONGENITA" displayName="ENOS_G1_SINDROME_DE_RUBEOLA_CONGENITA" ref="P48:W49" totalsRowShown="0" headerRowDxfId="1955">
  <autoFilter ref="P48:W49" xr:uid="{00000000-0009-0000-0100-00001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000-000001000000}" name="CIE-10" dataCellStyle="20% - Énfasis4"/>
    <tableColumn id="2" xr3:uid="{00000000-0010-0000-1000-000002000000}" name="D1" dataDxfId="1954">
      <calculatedColumnFormula>IF($O$3="(Todas)",COUNTIF(BASE[CODCIE10],ENOS_G1_SINDROME_DE_RUBEOLA_CONGENITA[[#This Row],[CIE-10]]),COUNTIFS(BASE[Cod.Establecimiento],$O$3,BASE[CODCIE10],ENOS_G1_SINDROME_DE_RUBEOLA_CONGENITA[[#This Row],[CIE-10]]))</calculatedColumnFormula>
    </tableColumn>
    <tableColumn id="3" xr3:uid="{00000000-0010-0000-1000-000003000000}" name="D2" dataDxfId="1953">
      <calculatedColumnFormula>IF($O$3="(Todas)",COUNTIF(BASE[CODCIE102],ENOS_G1_SINDROME_DE_RUBEOLA_CONGENITA[[#This Row],[CIE-10]]),COUNTIFS(BASE[Cod.Establecimiento],$O$3,BASE[CODCIE102],ENOS_G1_SINDROME_DE_RUBEOLA_CONGENITA[[#This Row],[CIE-10]]))</calculatedColumnFormula>
    </tableColumn>
    <tableColumn id="4" xr3:uid="{00000000-0010-0000-1000-000004000000}" name="D3" dataDxfId="1952">
      <calculatedColumnFormula>IF($O$3="(Todas)",COUNTIF(BASE[CODCIE104],ENOS_G1_SINDROME_DE_RUBEOLA_CONGENITA[[#This Row],[CIE-10]]),COUNTIFS(BASE[Cod.Establecimiento],$O$3,BASE[CODCIE104],ENOS_G1_SINDROME_DE_RUBEOLA_CONGENITA[[#This Row],[CIE-10]]))</calculatedColumnFormula>
    </tableColumn>
    <tableColumn id="5" xr3:uid="{00000000-0010-0000-1000-000005000000}" name="D4" dataDxfId="1951">
      <calculatedColumnFormula>IF($O$3="(Todas)",COUNTIF(BASE[CODCIE106],ENOS_G1_SINDROME_DE_RUBEOLA_CONGENITA[[#This Row],[CIE-10]]),COUNTIFS(BASE[Cod.Establecimiento],$O$3,BASE[CODCIE106],ENOS_G1_SINDROME_DE_RUBEOLA_CONGENITA[[#This Row],[CIE-10]]))</calculatedColumnFormula>
    </tableColumn>
    <tableColumn id="6" xr3:uid="{00000000-0010-0000-1000-000006000000}" name="D5" dataDxfId="1950">
      <calculatedColumnFormula>IF($O$3="(Todas)",COUNTIF(BASE[CODCIE108],ENOS_G1_SINDROME_DE_RUBEOLA_CONGENITA[[#This Row],[CIE-10]]),COUNTIFS(BASE[Cod.Establecimiento],$O$3,BASE[CODCIE108],ENOS_G1_SINDROME_DE_RUBEOLA_CONGENITA[[#This Row],[CIE-10]]))</calculatedColumnFormula>
    </tableColumn>
    <tableColumn id="7" xr3:uid="{00000000-0010-0000-1000-000007000000}" name="D6" dataDxfId="1949">
      <calculatedColumnFormula>IF($O$3="(Todas)",COUNTIF(BASE[CODCIE1010],ENOS_G1_SINDROME_DE_RUBEOLA_CONGENITA[[#This Row],[CIE-10]]),COUNTIFS(BASE[Cod.Establecimiento],$O$3,BASE[CODCIE1010],ENOS_G1_SINDROME_DE_RUBEOLA_CONGENITA[[#This Row],[CIE-10]]))</calculatedColumnFormula>
    </tableColumn>
    <tableColumn id="8" xr3:uid="{00000000-0010-0000-1000-000008000000}" name="TOT" dataDxfId="1948">
      <calculatedColumnFormula>SUM(ENOS_G1_SINDROME_DE_RUBEOLA_CONGENITA[[#This Row],[D1]:[D6]])</calculatedColumnFormula>
    </tableColumn>
  </tableColumns>
  <tableStyleInfo name="TableStyleLight1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ENOS_G1_SARAMPION" displayName="ENOS_G1_SARAMPION" ref="Y44:AF45" totalsRowShown="0" headerRowDxfId="1947">
  <autoFilter ref="Y44:AF45" xr:uid="{00000000-0009-0000-0100-00001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100-000001000000}" name="CIE-10" dataCellStyle="20% - Énfasis4"/>
    <tableColumn id="2" xr3:uid="{00000000-0010-0000-1100-000002000000}" name="D1" dataDxfId="1946">
      <calculatedColumnFormula>IF($O$3="(Todas)",COUNTIF(BASE[CODCIE10],ENOS_G1_SARAMPION[[#This Row],[CIE-10]]),COUNTIFS(BASE[Cod.Establecimiento],$O$3,BASE[CODCIE10],ENOS_G1_SARAMPION[[#This Row],[CIE-10]]))</calculatedColumnFormula>
    </tableColumn>
    <tableColumn id="3" xr3:uid="{00000000-0010-0000-1100-000003000000}" name="D2" dataDxfId="1945">
      <calculatedColumnFormula>IF($O$3="(Todas)",COUNTIF(BASE[CODCIE102],ENOS_G1_SARAMPION[[#This Row],[CIE-10]]),COUNTIFS(BASE[Cod.Establecimiento],$O$3,BASE[CODCIE102],ENOS_G1_SARAMPION[[#This Row],[CIE-10]]))</calculatedColumnFormula>
    </tableColumn>
    <tableColumn id="4" xr3:uid="{00000000-0010-0000-1100-000004000000}" name="D3" dataDxfId="1944">
      <calculatedColumnFormula>IF($O$3="(Todas)",COUNTIF(BASE[CODCIE104],ENOS_G1_SARAMPION[[#This Row],[CIE-10]]),COUNTIFS(BASE[Cod.Establecimiento],$O$3,BASE[CODCIE104],ENOS_G1_SARAMPION[[#This Row],[CIE-10]]))</calculatedColumnFormula>
    </tableColumn>
    <tableColumn id="5" xr3:uid="{00000000-0010-0000-1100-000005000000}" name="D4" dataDxfId="1943">
      <calculatedColumnFormula>IF($O$3="(Todas)",COUNTIF(BASE[CODCIE106],ENOS_G1_SARAMPION[[#This Row],[CIE-10]]),COUNTIFS(BASE[Cod.Establecimiento],$O$3,BASE[CODCIE106],ENOS_G1_SARAMPION[[#This Row],[CIE-10]]))</calculatedColumnFormula>
    </tableColumn>
    <tableColumn id="6" xr3:uid="{00000000-0010-0000-1100-000006000000}" name="D5" dataDxfId="1942">
      <calculatedColumnFormula>IF($O$3="(Todas)",COUNTIF(BASE[CODCIE108],ENOS_G1_SARAMPION[[#This Row],[CIE-10]]),COUNTIFS(BASE[Cod.Establecimiento],$O$3,BASE[CODCIE108],ENOS_G1_SARAMPION[[#This Row],[CIE-10]]))</calculatedColumnFormula>
    </tableColumn>
    <tableColumn id="7" xr3:uid="{00000000-0010-0000-1100-000007000000}" name="D6" dataDxfId="1941">
      <calculatedColumnFormula>IF($O$3="(Todas)",COUNTIF(BASE[CODCIE1010],ENOS_G1_SARAMPION[[#This Row],[CIE-10]]),COUNTIFS(BASE[Cod.Establecimiento],$O$3,BASE[CODCIE1010],ENOS_G1_SARAMPION[[#This Row],[CIE-10]]))</calculatedColumnFormula>
    </tableColumn>
    <tableColumn id="8" xr3:uid="{00000000-0010-0000-1100-000008000000}" name="TOT" dataDxfId="1940">
      <calculatedColumnFormula>SUM(ENOS_G1_SARAMPION[[#This Row],[D1]:[D6]])</calculatedColumnFormula>
    </tableColumn>
  </tableColumns>
  <tableStyleInfo name="TableStyleLight1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NOS_G1_TETANOS_NEONATAL" displayName="ENOS_G1_TETANOS_NEONATAL" ref="Y48:AF49" totalsRowShown="0" headerRowDxfId="1939">
  <autoFilter ref="Y48:AF49" xr:uid="{00000000-0009-0000-0100-00001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200-000001000000}" name="CIE-10" dataCellStyle="20% - Énfasis4"/>
    <tableColumn id="2" xr3:uid="{00000000-0010-0000-1200-000002000000}" name="D1" dataDxfId="1938">
      <calculatedColumnFormula>IF($O$3="(Todas)",COUNTIF(BASE[CODCIE10],ENOS_G1_TETANOS_NEONATAL[[#This Row],[CIE-10]]),COUNTIFS(BASE[Cod.Establecimiento],$O$3,BASE[CODCIE10],ENOS_G1_TETANOS_NEONATAL[[#This Row],[CIE-10]]))</calculatedColumnFormula>
    </tableColumn>
    <tableColumn id="3" xr3:uid="{00000000-0010-0000-1200-000003000000}" name="D2" dataDxfId="1937">
      <calculatedColumnFormula>IF($O$3="(Todas)",COUNTIF(BASE[CODCIE102],ENOS_G1_TETANOS_NEONATAL[[#This Row],[CIE-10]]),COUNTIFS(BASE[Cod.Establecimiento],$O$3,BASE[CODCIE102],ENOS_G1_TETANOS_NEONATAL[[#This Row],[CIE-10]]))</calculatedColumnFormula>
    </tableColumn>
    <tableColumn id="4" xr3:uid="{00000000-0010-0000-1200-000004000000}" name="D3" dataDxfId="1936">
      <calculatedColumnFormula>IF($O$3="(Todas)",COUNTIF(BASE[CODCIE104],ENOS_G1_TETANOS_NEONATAL[[#This Row],[CIE-10]]),COUNTIFS(BASE[Cod.Establecimiento],$O$3,BASE[CODCIE104],ENOS_G1_TETANOS_NEONATAL[[#This Row],[CIE-10]]))</calculatedColumnFormula>
    </tableColumn>
    <tableColumn id="5" xr3:uid="{00000000-0010-0000-1200-000005000000}" name="D4" dataDxfId="1935">
      <calculatedColumnFormula>IF($O$3="(Todas)",COUNTIF(BASE[CODCIE106],ENOS_G1_TETANOS_NEONATAL[[#This Row],[CIE-10]]),COUNTIFS(BASE[Cod.Establecimiento],$O$3,BASE[CODCIE106],ENOS_G1_TETANOS_NEONATAL[[#This Row],[CIE-10]]))</calculatedColumnFormula>
    </tableColumn>
    <tableColumn id="6" xr3:uid="{00000000-0010-0000-1200-000006000000}" name="D5" dataDxfId="1934">
      <calculatedColumnFormula>IF($O$3="(Todas)",COUNTIF(BASE[CODCIE108],ENOS_G1_TETANOS_NEONATAL[[#This Row],[CIE-10]]),COUNTIFS(BASE[Cod.Establecimiento],$O$3,BASE[CODCIE108],ENOS_G1_TETANOS_NEONATAL[[#This Row],[CIE-10]]))</calculatedColumnFormula>
    </tableColumn>
    <tableColumn id="7" xr3:uid="{00000000-0010-0000-1200-000007000000}" name="D6" dataDxfId="1933">
      <calculatedColumnFormula>IF($O$3="(Todas)",COUNTIF(BASE[CODCIE1010],ENOS_G1_TETANOS_NEONATAL[[#This Row],[CIE-10]]),COUNTIFS(BASE[Cod.Establecimiento],$O$3,BASE[CODCIE1010],ENOS_G1_TETANOS_NEONATAL[[#This Row],[CIE-10]]))</calculatedColumnFormula>
    </tableColumn>
    <tableColumn id="8" xr3:uid="{00000000-0010-0000-1200-000008000000}" name="TOT" dataDxfId="1932">
      <calculatedColumnFormula>SUM(ENOS_G1_TETANOS_NEONATAL[[#This Row],[D1]:[D6]])</calculatedColumnFormula>
    </tableColumn>
  </tableColumns>
  <tableStyleInfo name="TableStyleLight1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ENOS_G1_PALUDISMO" displayName="ENOS_G1_PALUDISMO" ref="P52:W57" totalsRowShown="0" headerRowDxfId="1931">
  <autoFilter ref="P52:W57" xr:uid="{00000000-0009-0000-0100-00001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300-000001000000}" name="CIE-10" dataCellStyle="20% - Énfasis4"/>
    <tableColumn id="2" xr3:uid="{00000000-0010-0000-1300-000002000000}" name="D1" dataDxfId="1930">
      <calculatedColumnFormula>IF($O$3="(Todas)",COUNTIF(BASE[CODCIE10],ENOS_G1_PALUDISMO[[#This Row],[CIE-10]]),COUNTIFS(BASE[Cod.Establecimiento],$O$3,BASE[CODCIE10],ENOS_G1_PALUDISMO[[#This Row],[CIE-10]]))</calculatedColumnFormula>
    </tableColumn>
    <tableColumn id="3" xr3:uid="{00000000-0010-0000-1300-000003000000}" name="D2" dataDxfId="1929">
      <calculatedColumnFormula>IF($O$3="(Todas)",COUNTIF(BASE[CODCIE102],ENOS_G1_PALUDISMO[[#This Row],[CIE-10]]),COUNTIFS(BASE[Cod.Establecimiento],$O$3,BASE[CODCIE102],ENOS_G1_PALUDISMO[[#This Row],[CIE-10]]))</calculatedColumnFormula>
    </tableColumn>
    <tableColumn id="4" xr3:uid="{00000000-0010-0000-1300-000004000000}" name="D3" dataDxfId="1928">
      <calculatedColumnFormula>IF($O$3="(Todas)",COUNTIF(BASE[CODCIE104],ENOS_G1_PALUDISMO[[#This Row],[CIE-10]]),COUNTIFS(BASE[Cod.Establecimiento],$O$3,BASE[CODCIE104],ENOS_G1_PALUDISMO[[#This Row],[CIE-10]]))</calculatedColumnFormula>
    </tableColumn>
    <tableColumn id="5" xr3:uid="{00000000-0010-0000-1300-000005000000}" name="D4" dataDxfId="1927">
      <calculatedColumnFormula>IF($O$3="(Todas)",COUNTIF(BASE[CODCIE106],ENOS_G1_PALUDISMO[[#This Row],[CIE-10]]),COUNTIFS(BASE[Cod.Establecimiento],$O$3,BASE[CODCIE106],ENOS_G1_PALUDISMO[[#This Row],[CIE-10]]))</calculatedColumnFormula>
    </tableColumn>
    <tableColumn id="6" xr3:uid="{00000000-0010-0000-1300-000006000000}" name="D5" dataDxfId="1926">
      <calculatedColumnFormula>IF($O$3="(Todas)",COUNTIF(BASE[CODCIE108],ENOS_G1_PALUDISMO[[#This Row],[CIE-10]]),COUNTIFS(BASE[Cod.Establecimiento],$O$3,BASE[CODCIE108],ENOS_G1_PALUDISMO[[#This Row],[CIE-10]]))</calculatedColumnFormula>
    </tableColumn>
    <tableColumn id="7" xr3:uid="{00000000-0010-0000-1300-000007000000}" name="D6" dataDxfId="1925">
      <calculatedColumnFormula>IF($O$3="(Todas)",COUNTIF(BASE[CODCIE1010],ENOS_G1_PALUDISMO[[#This Row],[CIE-10]]),COUNTIFS(BASE[Cod.Establecimiento],$O$3,BASE[CODCIE1010],ENOS_G1_PALUDISMO[[#This Row],[CIE-10]]))</calculatedColumnFormula>
    </tableColumn>
    <tableColumn id="8" xr3:uid="{00000000-0010-0000-1300-000008000000}" name="TOT" dataDxfId="1924" dataCellStyle="40% - Énfasis6">
      <calculatedColumnFormula>SUM(ENOS_G1_PALUDISMO[[#This Row],[D1]:[D6]])</calculatedColumnFormula>
    </tableColumn>
  </tableColumns>
  <tableStyleInfo name="TableStyleLight1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ENOS_G2_CONJUNTIVITIS_VIRAL" displayName="ENOS_G2_CONJUNTIVITIS_VIRAL" ref="Y52:AF53" totalsRowShown="0" headerRowDxfId="1923">
  <autoFilter ref="Y52:AF53" xr:uid="{00000000-0009-0000-0100-00001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400-000001000000}" name="CIE-10" dataCellStyle="20% - Énfasis4"/>
    <tableColumn id="2" xr3:uid="{00000000-0010-0000-1400-000002000000}" name="D1" dataDxfId="1922">
      <calculatedColumnFormula>IF($O$3="(Todas)",COUNTIF(BASE[CODCIE10],ENOS_G2_CONJUNTIVITIS_VIRAL[[#This Row],[CIE-10]]),COUNTIFS(BASE[Cod.Establecimiento],$O$3,BASE[CODCIE10],ENOS_G2_CONJUNTIVITIS_VIRAL[[#This Row],[CIE-10]]))</calculatedColumnFormula>
    </tableColumn>
    <tableColumn id="3" xr3:uid="{00000000-0010-0000-1400-000003000000}" name="D2" dataDxfId="1921">
      <calculatedColumnFormula>IF($O$3="(Todas)",COUNTIF(BASE[CODCIE102],ENOS_G2_CONJUNTIVITIS_VIRAL[[#This Row],[CIE-10]]),COUNTIFS(BASE[Cod.Establecimiento],$O$3,BASE[CODCIE102],ENOS_G2_CONJUNTIVITIS_VIRAL[[#This Row],[CIE-10]]))</calculatedColumnFormula>
    </tableColumn>
    <tableColumn id="4" xr3:uid="{00000000-0010-0000-1400-000004000000}" name="D3" dataDxfId="1920">
      <calculatedColumnFormula>IF($O$3="(Todas)",COUNTIF(BASE[CODCIE104],ENOS_G2_CONJUNTIVITIS_VIRAL[[#This Row],[CIE-10]]),COUNTIFS(BASE[Cod.Establecimiento],$O$3,BASE[CODCIE104],ENOS_G2_CONJUNTIVITIS_VIRAL[[#This Row],[CIE-10]]))</calculatedColumnFormula>
    </tableColumn>
    <tableColumn id="5" xr3:uid="{00000000-0010-0000-1400-000005000000}" name="D4" dataDxfId="1919">
      <calculatedColumnFormula>IF($O$3="(Todas)",COUNTIF(BASE[CODCIE106],ENOS_G2_CONJUNTIVITIS_VIRAL[[#This Row],[CIE-10]]),COUNTIFS(BASE[Cod.Establecimiento],$O$3,BASE[CODCIE106],ENOS_G2_CONJUNTIVITIS_VIRAL[[#This Row],[CIE-10]]))</calculatedColumnFormula>
    </tableColumn>
    <tableColumn id="6" xr3:uid="{00000000-0010-0000-1400-000006000000}" name="D5" dataDxfId="1918">
      <calculatedColumnFormula>IF($O$3="(Todas)",COUNTIF(BASE[CODCIE108],ENOS_G2_CONJUNTIVITIS_VIRAL[[#This Row],[CIE-10]]),COUNTIFS(BASE[Cod.Establecimiento],$O$3,BASE[CODCIE108],ENOS_G2_CONJUNTIVITIS_VIRAL[[#This Row],[CIE-10]]))</calculatedColumnFormula>
    </tableColumn>
    <tableColumn id="7" xr3:uid="{00000000-0010-0000-1400-000007000000}" name="D6" dataDxfId="1917">
      <calculatedColumnFormula>IF($O$3="(Todas)",COUNTIF(BASE[CODCIE1010],ENOS_G2_CONJUNTIVITIS_VIRAL[[#This Row],[CIE-10]]),COUNTIFS(BASE[Cod.Establecimiento],$O$3,BASE[CODCIE1010],ENOS_G2_CONJUNTIVITIS_VIRAL[[#This Row],[CIE-10]]))</calculatedColumnFormula>
    </tableColumn>
    <tableColumn id="8" xr3:uid="{00000000-0010-0000-1400-000008000000}" name="TOT" dataDxfId="1916" dataCellStyle="40% - Énfasis6">
      <calculatedColumnFormula>SUM(ENOS_G2_CONJUNTIVITIS_VIRAL[[#This Row],[D1]:[D6]])</calculatedColumnFormula>
    </tableColumn>
  </tableColumns>
  <tableStyleInfo name="TableStyleLight1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ENOS_G2_PAROTIDITIS_INFECCIOSA_PAPERAS" displayName="ENOS_G2_PAROTIDITIS_INFECCIOSA_PAPERAS" ref="P60:W61" totalsRowShown="0" headerRowDxfId="1915">
  <autoFilter ref="P60:W61" xr:uid="{00000000-0009-0000-0100-00001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500-000001000000}" name="CIE-10" dataCellStyle="20% - Énfasis4"/>
    <tableColumn id="2" xr3:uid="{00000000-0010-0000-1500-000002000000}" name="D1" dataDxfId="1914">
      <calculatedColumnFormula>IF($O$3="(Todas)",COUNTIF(BASE[CODCIE10],ENOS_G2_PAROTIDITIS_INFECCIOSA_PAPERAS[[#This Row],[CIE-10]]),COUNTIFS(BASE[Cod.Establecimiento],$O$3,BASE[CODCIE10],ENOS_G2_PAROTIDITIS_INFECCIOSA_PAPERAS[[#This Row],[CIE-10]]))</calculatedColumnFormula>
    </tableColumn>
    <tableColumn id="3" xr3:uid="{00000000-0010-0000-1500-000003000000}" name="D2" dataDxfId="1913">
      <calculatedColumnFormula>IF($O$3="(Todas)",COUNTIF(BASE[CODCIE102],ENOS_G2_PAROTIDITIS_INFECCIOSA_PAPERAS[[#This Row],[CIE-10]]),COUNTIFS(BASE[Cod.Establecimiento],$O$3,BASE[CODCIE102],ENOS_G2_PAROTIDITIS_INFECCIOSA_PAPERAS[[#This Row],[CIE-10]]))</calculatedColumnFormula>
    </tableColumn>
    <tableColumn id="4" xr3:uid="{00000000-0010-0000-1500-000004000000}" name="D3" dataDxfId="1912">
      <calculatedColumnFormula>IF($O$3="(Todas)",COUNTIF(BASE[CODCIE104],ENOS_G2_PAROTIDITIS_INFECCIOSA_PAPERAS[[#This Row],[CIE-10]]),COUNTIFS(BASE[Cod.Establecimiento],$O$3,BASE[CODCIE104],ENOS_G2_PAROTIDITIS_INFECCIOSA_PAPERAS[[#This Row],[CIE-10]]))</calculatedColumnFormula>
    </tableColumn>
    <tableColumn id="5" xr3:uid="{00000000-0010-0000-1500-000005000000}" name="D4" dataDxfId="1911">
      <calculatedColumnFormula>IF($O$3="(Todas)",COUNTIF(BASE[CODCIE106],ENOS_G2_PAROTIDITIS_INFECCIOSA_PAPERAS[[#This Row],[CIE-10]]),COUNTIFS(BASE[Cod.Establecimiento],$O$3,BASE[CODCIE106],ENOS_G2_PAROTIDITIS_INFECCIOSA_PAPERAS[[#This Row],[CIE-10]]))</calculatedColumnFormula>
    </tableColumn>
    <tableColumn id="6" xr3:uid="{00000000-0010-0000-1500-000006000000}" name="D5" dataDxfId="1910">
      <calculatedColumnFormula>IF($O$3="(Todas)",COUNTIF(BASE[CODCIE108],ENOS_G2_PAROTIDITIS_INFECCIOSA_PAPERAS[[#This Row],[CIE-10]]),COUNTIFS(BASE[Cod.Establecimiento],$O$3,BASE[CODCIE108],ENOS_G2_PAROTIDITIS_INFECCIOSA_PAPERAS[[#This Row],[CIE-10]]))</calculatedColumnFormula>
    </tableColumn>
    <tableColumn id="7" xr3:uid="{00000000-0010-0000-1500-000007000000}" name="D6" dataDxfId="1909">
      <calculatedColumnFormula>IF($O$3="(Todas)",COUNTIF(BASE[CODCIE1010],ENOS_G2_PAROTIDITIS_INFECCIOSA_PAPERAS[[#This Row],[CIE-10]]),COUNTIFS(BASE[Cod.Establecimiento],$O$3,BASE[CODCIE1010],ENOS_G2_PAROTIDITIS_INFECCIOSA_PAPERAS[[#This Row],[CIE-10]]))</calculatedColumnFormula>
    </tableColumn>
    <tableColumn id="8" xr3:uid="{00000000-0010-0000-1500-000008000000}" name="TOT" dataDxfId="1908" dataCellStyle="40% - Énfasis6">
      <calculatedColumnFormula>SUM(ENOS_G2_PAROTIDITIS_INFECCIOSA_PAPERAS[[#This Row],[D1]:[D6]])</calculatedColumnFormula>
    </tableColumn>
  </tableColumns>
  <tableStyleInfo name="TableStyleLight1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ENOS_G2_VARICELA" displayName="ENOS_G2_VARICELA" ref="Y60:AF61" totalsRowShown="0" headerRowDxfId="1907">
  <autoFilter ref="Y60:AF61" xr:uid="{00000000-0009-0000-0100-00001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600-000001000000}" name="CIE-10" dataCellStyle="20% - Énfasis4"/>
    <tableColumn id="2" xr3:uid="{00000000-0010-0000-1600-000002000000}" name="D1" dataDxfId="1906">
      <calculatedColumnFormula>IF($O$3="(Todas)",COUNTIF(BASE[CODCIE10],ENOS_G2_VARICELA[[#This Row],[CIE-10]]),COUNTIFS(BASE[Cod.Establecimiento],$O$3,BASE[CODCIE10],ENOS_G2_VARICELA[[#This Row],[CIE-10]]))</calculatedColumnFormula>
    </tableColumn>
    <tableColumn id="3" xr3:uid="{00000000-0010-0000-1600-000003000000}" name="D2" dataDxfId="1905">
      <calculatedColumnFormula>IF($O$3="(Todas)",COUNTIF(BASE[CODCIE102],ENOS_G2_VARICELA[[#This Row],[CIE-10]]),COUNTIFS(BASE[Cod.Establecimiento],$O$3,BASE[CODCIE102],ENOS_G2_VARICELA[[#This Row],[CIE-10]]))</calculatedColumnFormula>
    </tableColumn>
    <tableColumn id="4" xr3:uid="{00000000-0010-0000-1600-000004000000}" name="D3" dataDxfId="1904">
      <calculatedColumnFormula>IF($O$3="(Todas)",COUNTIF(BASE[CODCIE104],ENOS_G2_VARICELA[[#This Row],[CIE-10]]),COUNTIFS(BASE[Cod.Establecimiento],$O$3,BASE[CODCIE104],ENOS_G2_VARICELA[[#This Row],[CIE-10]]))</calculatedColumnFormula>
    </tableColumn>
    <tableColumn id="5" xr3:uid="{00000000-0010-0000-1600-000005000000}" name="D4" dataDxfId="1903">
      <calculatedColumnFormula>IF($O$3="(Todas)",COUNTIF(BASE[CODCIE106],ENOS_G2_VARICELA[[#This Row],[CIE-10]]),COUNTIFS(BASE[Cod.Establecimiento],$O$3,BASE[CODCIE106],ENOS_G2_VARICELA[[#This Row],[CIE-10]]))</calculatedColumnFormula>
    </tableColumn>
    <tableColumn id="6" xr3:uid="{00000000-0010-0000-1600-000006000000}" name="D5" dataDxfId="1902">
      <calculatedColumnFormula>IF($O$3="(Todas)",COUNTIF(BASE[CODCIE108],ENOS_G2_VARICELA[[#This Row],[CIE-10]]),COUNTIFS(BASE[Cod.Establecimiento],$O$3,BASE[CODCIE108],ENOS_G2_VARICELA[[#This Row],[CIE-10]]))</calculatedColumnFormula>
    </tableColumn>
    <tableColumn id="7" xr3:uid="{00000000-0010-0000-1600-000007000000}" name="D6" dataDxfId="1901">
      <calculatedColumnFormula>IF($O$3="(Todas)",COUNTIF(BASE[CODCIE1010],ENOS_G2_VARICELA[[#This Row],[CIE-10]]),COUNTIFS(BASE[Cod.Establecimiento],$O$3,BASE[CODCIE1010],ENOS_G2_VARICELA[[#This Row],[CIE-10]]))</calculatedColumnFormula>
    </tableColumn>
    <tableColumn id="8" xr3:uid="{00000000-0010-0000-1600-000008000000}" name="TOT" dataDxfId="1900" dataCellStyle="40% - Énfasis6">
      <calculatedColumnFormula>SUM(ENOS_G2_VARICELA[[#This Row],[D1]:[D6]])</calculatedColumnFormula>
    </tableColumn>
  </tableColumns>
  <tableStyleInfo name="TableStyleLight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ENOS_G2_HEPATITIS_A" displayName="ENOS_G2_HEPATITIS_A" ref="P64:W65" totalsRowShown="0" headerRowDxfId="1899">
  <autoFilter ref="P64:W65" xr:uid="{00000000-0009-0000-0100-00001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700-000001000000}" name="CIE-10" dataCellStyle="20% - Énfasis4"/>
    <tableColumn id="2" xr3:uid="{00000000-0010-0000-1700-000002000000}" name="D1" dataDxfId="1898">
      <calculatedColumnFormula>IF($O$3="(Todas)",COUNTIF(BASE[CODCIE10],ENOS_G2_HEPATITIS_A[[#This Row],[CIE-10]]),COUNTIFS(BASE[Cod.Establecimiento],$O$3,BASE[CODCIE10],ENOS_G2_HEPATITIS_A[[#This Row],[CIE-10]]))</calculatedColumnFormula>
    </tableColumn>
    <tableColumn id="3" xr3:uid="{00000000-0010-0000-1700-000003000000}" name="D2" dataDxfId="1897">
      <calculatedColumnFormula>IF($O$3="(Todas)",COUNTIF(BASE[CODCIE102],ENOS_G2_HEPATITIS_A[[#This Row],[CIE-10]]),COUNTIFS(BASE[Cod.Establecimiento],$O$3,BASE[CODCIE102],ENOS_G2_HEPATITIS_A[[#This Row],[CIE-10]]))</calculatedColumnFormula>
    </tableColumn>
    <tableColumn id="4" xr3:uid="{00000000-0010-0000-1700-000004000000}" name="D3" dataDxfId="1896">
      <calculatedColumnFormula>IF($O$3="(Todas)",COUNTIF(BASE[CODCIE104],ENOS_G2_HEPATITIS_A[[#This Row],[CIE-10]]),COUNTIFS(BASE[Cod.Establecimiento],$O$3,BASE[CODCIE104],ENOS_G2_HEPATITIS_A[[#This Row],[CIE-10]]))</calculatedColumnFormula>
    </tableColumn>
    <tableColumn id="5" xr3:uid="{00000000-0010-0000-1700-000005000000}" name="D4" dataDxfId="1895">
      <calculatedColumnFormula>IF($O$3="(Todas)",COUNTIF(BASE[CODCIE106],ENOS_G2_HEPATITIS_A[[#This Row],[CIE-10]]),COUNTIFS(BASE[Cod.Establecimiento],$O$3,BASE[CODCIE106],ENOS_G2_HEPATITIS_A[[#This Row],[CIE-10]]))</calculatedColumnFormula>
    </tableColumn>
    <tableColumn id="6" xr3:uid="{00000000-0010-0000-1700-000006000000}" name="D5" dataDxfId="1894">
      <calculatedColumnFormula>IF($O$3="(Todas)",COUNTIF(BASE[CODCIE108],ENOS_G2_HEPATITIS_A[[#This Row],[CIE-10]]),COUNTIFS(BASE[Cod.Establecimiento],$O$3,BASE[CODCIE108],ENOS_G2_HEPATITIS_A[[#This Row],[CIE-10]]))</calculatedColumnFormula>
    </tableColumn>
    <tableColumn id="7" xr3:uid="{00000000-0010-0000-1700-000007000000}" name="D6" dataDxfId="1893">
      <calculatedColumnFormula>IF($O$3="(Todas)",COUNTIF(BASE[CODCIE1010],ENOS_G2_HEPATITIS_A[[#This Row],[CIE-10]]),COUNTIFS(BASE[Cod.Establecimiento],$O$3,BASE[CODCIE1010],ENOS_G2_HEPATITIS_A[[#This Row],[CIE-10]]))</calculatedColumnFormula>
    </tableColumn>
    <tableColumn id="8" xr3:uid="{00000000-0010-0000-1700-000008000000}" name="TOT" dataDxfId="1892" dataCellStyle="40% - Énfasis6">
      <calculatedColumnFormula>SUM(ENOS_G2_HEPATITIS_A[[#This Row],[D1]:[D6]])</calculatedColumnFormula>
    </tableColumn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ENOS_G2_HEPATITIS_VIRAL_SIN_OTRA_ESPECIFIACION" displayName="ENOS_G2_HEPATITIS_VIRAL_SIN_OTRA_ESPECIFIACION" ref="Y64:AF65" totalsRowShown="0" headerRowDxfId="1891">
  <autoFilter ref="Y64:AF65" xr:uid="{00000000-0009-0000-0100-00001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800-000001000000}" name="CIE-10" dataCellStyle="20% - Énfasis4"/>
    <tableColumn id="2" xr3:uid="{00000000-0010-0000-1800-000002000000}" name="D1" dataDxfId="1890">
      <calculatedColumnFormula>IF($O$3="(Todas)",COUNTIF(BASE[CODCIE10],ENOS_G2_HEPATITIS_VIRAL_SIN_OTRA_ESPECIFIACION[[#This Row],[CIE-10]]),COUNTIFS(BASE[Cod.Establecimiento],$O$3,BASE[CODCIE10],ENOS_G2_HEPATITIS_VIRAL_SIN_OTRA_ESPECIFIACION[[#This Row],[CIE-10]]))</calculatedColumnFormula>
    </tableColumn>
    <tableColumn id="3" xr3:uid="{00000000-0010-0000-1800-000003000000}" name="D2" dataDxfId="1889">
      <calculatedColumnFormula>IF($O$3="(Todas)",COUNTIF(BASE[CODCIE102],ENOS_G2_HEPATITIS_VIRAL_SIN_OTRA_ESPECIFIACION[[#This Row],[CIE-10]]),COUNTIFS(BASE[Cod.Establecimiento],$O$3,BASE[CODCIE102],ENOS_G2_HEPATITIS_VIRAL_SIN_OTRA_ESPECIFIACION[[#This Row],[CIE-10]]))</calculatedColumnFormula>
    </tableColumn>
    <tableColumn id="4" xr3:uid="{00000000-0010-0000-1800-000004000000}" name="D3" dataDxfId="1888">
      <calculatedColumnFormula>IF($O$3="(Todas)",COUNTIF(BASE[CODCIE104],ENOS_G2_HEPATITIS_VIRAL_SIN_OTRA_ESPECIFIACION[[#This Row],[CIE-10]]),COUNTIFS(BASE[Cod.Establecimiento],$O$3,BASE[CODCIE104],ENOS_G2_HEPATITIS_VIRAL_SIN_OTRA_ESPECIFIACION[[#This Row],[CIE-10]]))</calculatedColumnFormula>
    </tableColumn>
    <tableColumn id="5" xr3:uid="{00000000-0010-0000-1800-000005000000}" name="D4" dataDxfId="1887">
      <calculatedColumnFormula>IF($O$3="(Todas)",COUNTIF(BASE[CODCIE106],ENOS_G2_HEPATITIS_VIRAL_SIN_OTRA_ESPECIFIACION[[#This Row],[CIE-10]]),COUNTIFS(BASE[Cod.Establecimiento],$O$3,BASE[CODCIE106],ENOS_G2_HEPATITIS_VIRAL_SIN_OTRA_ESPECIFIACION[[#This Row],[CIE-10]]))</calculatedColumnFormula>
    </tableColumn>
    <tableColumn id="6" xr3:uid="{00000000-0010-0000-1800-000006000000}" name="D5" dataDxfId="1886">
      <calculatedColumnFormula>IF($O$3="(Todas)",COUNTIF(BASE[CODCIE108],ENOS_G2_HEPATITIS_VIRAL_SIN_OTRA_ESPECIFIACION[[#This Row],[CIE-10]]),COUNTIFS(BASE[Cod.Establecimiento],$O$3,BASE[CODCIE108],ENOS_G2_HEPATITIS_VIRAL_SIN_OTRA_ESPECIFIACION[[#This Row],[CIE-10]]))</calculatedColumnFormula>
    </tableColumn>
    <tableColumn id="7" xr3:uid="{00000000-0010-0000-1800-000007000000}" name="D6" dataDxfId="1885">
      <calculatedColumnFormula>IF($O$3="(Todas)",COUNTIF(BASE[CODCIE1010],ENOS_G2_HEPATITIS_VIRAL_SIN_OTRA_ESPECIFIACION[[#This Row],[CIE-10]]),COUNTIFS(BASE[Cod.Establecimiento],$O$3,BASE[CODCIE1010],ENOS_G2_HEPATITIS_VIRAL_SIN_OTRA_ESPECIFIACION[[#This Row],[CIE-10]]))</calculatedColumnFormula>
    </tableColumn>
    <tableColumn id="8" xr3:uid="{00000000-0010-0000-1800-000008000000}" name="TOT" dataDxfId="1884" dataCellStyle="40% - Énfasis6">
      <calculatedColumnFormula>SUM(ENOS_G2_HEPATITIS_VIRAL_SIN_OTRA_ESPECIFIACION[[#This Row],[D1]:[D6]])</calculatedColumnFormula>
    </tableColumn>
  </tableColumns>
  <tableStyleInfo name="TableStyleLight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ENOS_G2_ETA" displayName="ENOS_G2_ETA" ref="P68:W69" totalsRowShown="0" headerRowDxfId="1883">
  <autoFilter ref="P68:W69" xr:uid="{00000000-0009-0000-0100-00001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900-000001000000}" name="CIE-10" dataCellStyle="20% - Énfasis4"/>
    <tableColumn id="2" xr3:uid="{00000000-0010-0000-1900-000002000000}" name="D1" dataDxfId="1882">
      <calculatedColumnFormula>IF($O$3="(Todas)",COUNTIF(BASE[CODCIE10],ENOS_G2_ETA[[#This Row],[CIE-10]]),COUNTIFS(BASE[Cod.Establecimiento],$O$3,BASE[CODCIE10],ENOS_G2_ETA[[#This Row],[CIE-10]]))</calculatedColumnFormula>
    </tableColumn>
    <tableColumn id="3" xr3:uid="{00000000-0010-0000-1900-000003000000}" name="D2" dataDxfId="1881">
      <calculatedColumnFormula>IF($O$3="(Todas)",COUNTIF(BASE[CODCIE102],ENOS_G2_ETA[[#This Row],[CIE-10]]),COUNTIFS(BASE[Cod.Establecimiento],$O$3,BASE[CODCIE102],ENOS_G2_ETA[[#This Row],[CIE-10]]))</calculatedColumnFormula>
    </tableColumn>
    <tableColumn id="4" xr3:uid="{00000000-0010-0000-1900-000004000000}" name="D3" dataDxfId="1880">
      <calculatedColumnFormula>IF($O$3="(Todas)",COUNTIF(BASE[CODCIE104],ENOS_G2_ETA[[#This Row],[CIE-10]]),COUNTIFS(BASE[Cod.Establecimiento],$O$3,BASE[CODCIE104],ENOS_G2_ETA[[#This Row],[CIE-10]]))</calculatedColumnFormula>
    </tableColumn>
    <tableColumn id="5" xr3:uid="{00000000-0010-0000-1900-000005000000}" name="D4" dataDxfId="1879">
      <calculatedColumnFormula>IF($O$3="(Todas)",COUNTIF(BASE[CODCIE106],ENOS_G2_ETA[[#This Row],[CIE-10]]),COUNTIFS(BASE[Cod.Establecimiento],$O$3,BASE[CODCIE106],ENOS_G2_ETA[[#This Row],[CIE-10]]))</calculatedColumnFormula>
    </tableColumn>
    <tableColumn id="6" xr3:uid="{00000000-0010-0000-1900-000006000000}" name="D5" dataDxfId="1878">
      <calculatedColumnFormula>IF($O$3="(Todas)",COUNTIF(BASE[CODCIE108],ENOS_G2_ETA[[#This Row],[CIE-10]]),COUNTIFS(BASE[Cod.Establecimiento],$O$3,BASE[CODCIE108],ENOS_G2_ETA[[#This Row],[CIE-10]]))</calculatedColumnFormula>
    </tableColumn>
    <tableColumn id="7" xr3:uid="{00000000-0010-0000-1900-000007000000}" name="D6" dataDxfId="1877">
      <calculatedColumnFormula>IF($O$3="(Todas)",COUNTIF(BASE[CODCIE1010],ENOS_G2_ETA[[#This Row],[CIE-10]]),COUNTIFS(BASE[Cod.Establecimiento],$O$3,BASE[CODCIE1010],ENOS_G2_ETA[[#This Row],[CIE-10]]))</calculatedColumnFormula>
    </tableColumn>
    <tableColumn id="8" xr3:uid="{00000000-0010-0000-1900-000008000000}" name="TOT" dataDxfId="1876" dataCellStyle="40% - Énfasis6">
      <calculatedColumnFormula>SUM(ENOS_G2_ETA[[#This Row],[D1]:[D6]])</calculatedColumnFormula>
    </tableColumn>
  </tableColumns>
  <tableStyleInfo name="TableStyleLight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ENOS_G2_SIFILIS_CONGENITA" displayName="ENOS_G2_SIFILIS_CONGENITA" ref="Y68:AF69" totalsRowShown="0" headerRowDxfId="1875">
  <autoFilter ref="Y68:AF69" xr:uid="{00000000-0009-0000-0100-00001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A00-000001000000}" name="CIE-10" dataCellStyle="20% - Énfasis4"/>
    <tableColumn id="2" xr3:uid="{00000000-0010-0000-1A00-000002000000}" name="D1" dataDxfId="1874">
      <calculatedColumnFormula>IF($O$3="(Todas)",COUNTIF(BASE[CODCIE10],ENOS_G2_SIFILIS_CONGENITA[[#This Row],[CIE-10]]),COUNTIFS(BASE[Cod.Establecimiento],$O$3,BASE[CODCIE10],ENOS_G2_SIFILIS_CONGENITA[[#This Row],[CIE-10]]))</calculatedColumnFormula>
    </tableColumn>
    <tableColumn id="3" xr3:uid="{00000000-0010-0000-1A00-000003000000}" name="D2" dataDxfId="1873">
      <calculatedColumnFormula>IF($O$3="(Todas)",COUNTIF(BASE[CODCIE102],ENOS_G2_SIFILIS_CONGENITA[[#This Row],[CIE-10]]),COUNTIFS(BASE[Cod.Establecimiento],$O$3,BASE[CODCIE102],ENOS_G2_SIFILIS_CONGENITA[[#This Row],[CIE-10]]))</calculatedColumnFormula>
    </tableColumn>
    <tableColumn id="4" xr3:uid="{00000000-0010-0000-1A00-000004000000}" name="D3" dataDxfId="1872">
      <calculatedColumnFormula>IF($O$3="(Todas)",COUNTIF(BASE[CODCIE104],ENOS_G2_SIFILIS_CONGENITA[[#This Row],[CIE-10]]),COUNTIFS(BASE[Cod.Establecimiento],$O$3,BASE[CODCIE104],ENOS_G2_SIFILIS_CONGENITA[[#This Row],[CIE-10]]))</calculatedColumnFormula>
    </tableColumn>
    <tableColumn id="5" xr3:uid="{00000000-0010-0000-1A00-000005000000}" name="D4" dataDxfId="1871">
      <calculatedColumnFormula>IF($O$3="(Todas)",COUNTIF(BASE[CODCIE106],ENOS_G2_SIFILIS_CONGENITA[[#This Row],[CIE-10]]),COUNTIFS(BASE[Cod.Establecimiento],$O$3,BASE[CODCIE106],ENOS_G2_SIFILIS_CONGENITA[[#This Row],[CIE-10]]))</calculatedColumnFormula>
    </tableColumn>
    <tableColumn id="6" xr3:uid="{00000000-0010-0000-1A00-000006000000}" name="D5" dataDxfId="1870">
      <calculatedColumnFormula>IF($O$3="(Todas)",COUNTIF(BASE[CODCIE108],ENOS_G2_SIFILIS_CONGENITA[[#This Row],[CIE-10]]),COUNTIFS(BASE[Cod.Establecimiento],$O$3,BASE[CODCIE108],ENOS_G2_SIFILIS_CONGENITA[[#This Row],[CIE-10]]))</calculatedColumnFormula>
    </tableColumn>
    <tableColumn id="7" xr3:uid="{00000000-0010-0000-1A00-000007000000}" name="D6" dataDxfId="1869">
      <calculatedColumnFormula>IF($O$3="(Todas)",COUNTIF(BASE[CODCIE1010],ENOS_G2_SIFILIS_CONGENITA[[#This Row],[CIE-10]]),COUNTIFS(BASE[Cod.Establecimiento],$O$3,BASE[CODCIE1010],ENOS_G2_SIFILIS_CONGENITA[[#This Row],[CIE-10]]))</calculatedColumnFormula>
    </tableColumn>
    <tableColumn id="8" xr3:uid="{00000000-0010-0000-1A00-000008000000}" name="TOT" dataDxfId="1868" dataCellStyle="40% - Énfasis6">
      <calculatedColumnFormula>SUM(ENOS_G2_SIFILIS_CONGENITA[[#This Row],[D1]:[D6]])</calculatedColumnFormula>
    </tableColumn>
  </tableColumns>
  <tableStyleInfo name="TableStyleLight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ENOS_G2_SIFILIS_EMBARAZADA" displayName="ENOS_G2_SIFILIS_EMBARAZADA" ref="P72:W73" totalsRowShown="0" headerRowDxfId="1867">
  <autoFilter ref="P72:W73" xr:uid="{00000000-0009-0000-0100-00001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B00-000001000000}" name="CIE-10" dataCellStyle="20% - Énfasis4"/>
    <tableColumn id="2" xr3:uid="{00000000-0010-0000-1B00-000002000000}" name="D1" dataDxfId="1866">
      <calculatedColumnFormula>IF($O$3="(Todas)",COUNTIF(BASE[CODCIE10],ENOS_G2_SIFILIS_EMBARAZADA[[#This Row],[CIE-10]]),COUNTIFS(BASE[Cod.Establecimiento],$O$3,BASE[CODCIE10],ENOS_G2_SIFILIS_EMBARAZADA[[#This Row],[CIE-10]]))</calculatedColumnFormula>
    </tableColumn>
    <tableColumn id="3" xr3:uid="{00000000-0010-0000-1B00-000003000000}" name="D2" dataDxfId="1865">
      <calculatedColumnFormula>IF($O$3="(Todas)",COUNTIF(BASE[CODCIE102],ENOS_G2_SIFILIS_EMBARAZADA[[#This Row],[CIE-10]]),COUNTIFS(BASE[Cod.Establecimiento],$O$3,BASE[CODCIE102],ENOS_G2_SIFILIS_EMBARAZADA[[#This Row],[CIE-10]]))</calculatedColumnFormula>
    </tableColumn>
    <tableColumn id="4" xr3:uid="{00000000-0010-0000-1B00-000004000000}" name="D3" dataDxfId="1864">
      <calculatedColumnFormula>IF($O$3="(Todas)",COUNTIF(BASE[CODCIE104],ENOS_G2_SIFILIS_EMBARAZADA[[#This Row],[CIE-10]]),COUNTIFS(BASE[Cod.Establecimiento],$O$3,BASE[CODCIE104],ENOS_G2_SIFILIS_EMBARAZADA[[#This Row],[CIE-10]]))</calculatedColumnFormula>
    </tableColumn>
    <tableColumn id="5" xr3:uid="{00000000-0010-0000-1B00-000005000000}" name="D4" dataDxfId="1863">
      <calculatedColumnFormula>IF($O$3="(Todas)",COUNTIF(BASE[CODCIE106],ENOS_G2_SIFILIS_EMBARAZADA[[#This Row],[CIE-10]]),COUNTIFS(BASE[Cod.Establecimiento],$O$3,BASE[CODCIE106],ENOS_G2_SIFILIS_EMBARAZADA[[#This Row],[CIE-10]]))</calculatedColumnFormula>
    </tableColumn>
    <tableColumn id="6" xr3:uid="{00000000-0010-0000-1B00-000006000000}" name="D5" dataDxfId="1862">
      <calculatedColumnFormula>IF($O$3="(Todas)",COUNTIF(BASE[CODCIE108],ENOS_G2_SIFILIS_EMBARAZADA[[#This Row],[CIE-10]]),COUNTIFS(BASE[Cod.Establecimiento],$O$3,BASE[CODCIE108],ENOS_G2_SIFILIS_EMBARAZADA[[#This Row],[CIE-10]]))</calculatedColumnFormula>
    </tableColumn>
    <tableColumn id="7" xr3:uid="{00000000-0010-0000-1B00-000007000000}" name="D6" dataDxfId="1861">
      <calculatedColumnFormula>IF($O$3="(Todas)",COUNTIF(BASE[CODCIE1010],ENOS_G2_SIFILIS_EMBARAZADA[[#This Row],[CIE-10]]),COUNTIFS(BASE[Cod.Establecimiento],$O$3,BASE[CODCIE1010],ENOS_G2_SIFILIS_EMBARAZADA[[#This Row],[CIE-10]]))</calculatedColumnFormula>
    </tableColumn>
    <tableColumn id="8" xr3:uid="{00000000-0010-0000-1B00-000008000000}" name="TOT" dataDxfId="1860" dataCellStyle="40% - Énfasis6">
      <calculatedColumnFormula>SUM(ENOS_G2_SIFILIS_EMBARAZADA[[#This Row],[D1]:[D6]])</calculatedColumnFormula>
    </tableColumn>
  </tableColumns>
  <tableStyleInfo name="TableStyleLight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ENOS_G2_SIFILIS_TODOS_LOS_CASOS" displayName="ENOS_G2_SIFILIS_TODOS_LOS_CASOS" ref="Y72:AF75" totalsRowShown="0" headerRowDxfId="1859">
  <autoFilter ref="Y72:AF75" xr:uid="{00000000-0009-0000-0100-00001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C00-000001000000}" name="CIE-10" dataCellStyle="20% - Énfasis4"/>
    <tableColumn id="2" xr3:uid="{00000000-0010-0000-1C00-000002000000}" name="D1" dataDxfId="1858">
      <calculatedColumnFormula>IF($O$3="(Todas)",COUNTIF(BASE[CODCIE10],ENOS_G2_SIFILIS_TODOS_LOS_CASOS[[#This Row],[CIE-10]]),COUNTIFS(BASE[Cod.Establecimiento],$O$3,BASE[CODCIE10],ENOS_G2_SIFILIS_TODOS_LOS_CASOS[[#This Row],[CIE-10]]))</calculatedColumnFormula>
    </tableColumn>
    <tableColumn id="3" xr3:uid="{00000000-0010-0000-1C00-000003000000}" name="D2" dataDxfId="1857">
      <calculatedColumnFormula>IF($O$3="(Todas)",COUNTIF(BASE[CODCIE102],ENOS_G2_SIFILIS_TODOS_LOS_CASOS[[#This Row],[CIE-10]]),COUNTIFS(BASE[Cod.Establecimiento],$O$3,BASE[CODCIE102],ENOS_G2_SIFILIS_TODOS_LOS_CASOS[[#This Row],[CIE-10]]))</calculatedColumnFormula>
    </tableColumn>
    <tableColumn id="4" xr3:uid="{00000000-0010-0000-1C00-000004000000}" name="D3" dataDxfId="1856">
      <calculatedColumnFormula>IF($O$3="(Todas)",COUNTIF(BASE[CODCIE104],ENOS_G2_SIFILIS_TODOS_LOS_CASOS[[#This Row],[CIE-10]]),COUNTIFS(BASE[Cod.Establecimiento],$O$3,BASE[CODCIE104],ENOS_G2_SIFILIS_TODOS_LOS_CASOS[[#This Row],[CIE-10]]))</calculatedColumnFormula>
    </tableColumn>
    <tableColumn id="5" xr3:uid="{00000000-0010-0000-1C00-000005000000}" name="D4" dataDxfId="1855">
      <calculatedColumnFormula>IF($O$3="(Todas)",COUNTIF(BASE[CODCIE106],ENOS_G2_SIFILIS_TODOS_LOS_CASOS[[#This Row],[CIE-10]]),COUNTIFS(BASE[Cod.Establecimiento],$O$3,BASE[CODCIE106],ENOS_G2_SIFILIS_TODOS_LOS_CASOS[[#This Row],[CIE-10]]))</calculatedColumnFormula>
    </tableColumn>
    <tableColumn id="6" xr3:uid="{00000000-0010-0000-1C00-000006000000}" name="D5" dataDxfId="1854">
      <calculatedColumnFormula>IF($O$3="(Todas)",COUNTIF(BASE[CODCIE108],ENOS_G2_SIFILIS_TODOS_LOS_CASOS[[#This Row],[CIE-10]]),COUNTIFS(BASE[Cod.Establecimiento],$O$3,BASE[CODCIE108],ENOS_G2_SIFILIS_TODOS_LOS_CASOS[[#This Row],[CIE-10]]))</calculatedColumnFormula>
    </tableColumn>
    <tableColumn id="7" xr3:uid="{00000000-0010-0000-1C00-000007000000}" name="D6" dataDxfId="1853">
      <calculatedColumnFormula>IF($O$3="(Todas)",COUNTIF(BASE[CODCIE1010],ENOS_G2_SIFILIS_TODOS_LOS_CASOS[[#This Row],[CIE-10]]),COUNTIFS(BASE[Cod.Establecimiento],$O$3,BASE[CODCIE1010],ENOS_G2_SIFILIS_TODOS_LOS_CASOS[[#This Row],[CIE-10]]))</calculatedColumnFormula>
    </tableColumn>
    <tableColumn id="8" xr3:uid="{00000000-0010-0000-1C00-000008000000}" name="TOT" dataDxfId="1852" dataCellStyle="40% - Énfasis6">
      <calculatedColumnFormula>SUM(ENOS_G2_SIFILIS_TODOS_LOS_CASOS[[#This Row],[D1]:[D6]])</calculatedColumnFormula>
    </tableColumn>
  </tableColumns>
  <tableStyleInfo name="TableStyleLight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ENOS_G2_ENF_VIRICAS_LESIONES_PIEL_Y_MEMB_MUCOSAS" displayName="ENOS_G2_ENF_VIRICAS_LESIONES_PIEL_Y_MEMB_MUCOSAS" ref="P78:W81" totalsRowShown="0" headerRowDxfId="1851">
  <autoFilter ref="P78:W81" xr:uid="{00000000-0009-0000-0100-00001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D00-000001000000}" name="CIE-10" dataCellStyle="20% - Énfasis4"/>
    <tableColumn id="2" xr3:uid="{00000000-0010-0000-1D00-000002000000}" name="D1" dataDxfId="1850">
      <calculatedColumnFormula>IF($O$3="(Todas)",COUNTIF(BASE[CODCIE10],ENOS_G2_ENF_VIRICAS_LESIONES_PIEL_Y_MEMB_MUCOSAS[[#This Row],[CIE-10]]),COUNTIFS(BASE[Cod.Establecimiento],$O$3,BASE[CODCIE10],ENOS_G2_ENF_VIRICAS_LESIONES_PIEL_Y_MEMB_MUCOSAS[[#This Row],[CIE-10]]))</calculatedColumnFormula>
    </tableColumn>
    <tableColumn id="3" xr3:uid="{00000000-0010-0000-1D00-000003000000}" name="D2" dataDxfId="1849">
      <calculatedColumnFormula>IF($O$3="(Todas)",COUNTIF(BASE[CODCIE102],ENOS_G2_ENF_VIRICAS_LESIONES_PIEL_Y_MEMB_MUCOSAS[[#This Row],[CIE-10]]),COUNTIFS(BASE[Cod.Establecimiento],$O$3,BASE[CODCIE102],ENOS_G2_ENF_VIRICAS_LESIONES_PIEL_Y_MEMB_MUCOSAS[[#This Row],[CIE-10]]))</calculatedColumnFormula>
    </tableColumn>
    <tableColumn id="4" xr3:uid="{00000000-0010-0000-1D00-000004000000}" name="D3" dataDxfId="1848">
      <calculatedColumnFormula>IF($O$3="(Todas)",COUNTIF(BASE[CODCIE104],ENOS_G2_ENF_VIRICAS_LESIONES_PIEL_Y_MEMB_MUCOSAS[[#This Row],[CIE-10]]),COUNTIFS(BASE[Cod.Establecimiento],$O$3,BASE[CODCIE104],ENOS_G2_ENF_VIRICAS_LESIONES_PIEL_Y_MEMB_MUCOSAS[[#This Row],[CIE-10]]))</calculatedColumnFormula>
    </tableColumn>
    <tableColumn id="5" xr3:uid="{00000000-0010-0000-1D00-000005000000}" name="D4" dataDxfId="1847">
      <calculatedColumnFormula>IF($O$3="(Todas)",COUNTIF(BASE[CODCIE106],ENOS_G2_ENF_VIRICAS_LESIONES_PIEL_Y_MEMB_MUCOSAS[[#This Row],[CIE-10]]),COUNTIFS(BASE[Cod.Establecimiento],$O$3,BASE[CODCIE106],ENOS_G2_ENF_VIRICAS_LESIONES_PIEL_Y_MEMB_MUCOSAS[[#This Row],[CIE-10]]))</calculatedColumnFormula>
    </tableColumn>
    <tableColumn id="6" xr3:uid="{00000000-0010-0000-1D00-000006000000}" name="D5" dataDxfId="1846">
      <calculatedColumnFormula>IF($O$3="(Todas)",COUNTIF(BASE[CODCIE108],ENOS_G2_ENF_VIRICAS_LESIONES_PIEL_Y_MEMB_MUCOSAS[[#This Row],[CIE-10]]),COUNTIFS(BASE[Cod.Establecimiento],$O$3,BASE[CODCIE108],ENOS_G2_ENF_VIRICAS_LESIONES_PIEL_Y_MEMB_MUCOSAS[[#This Row],[CIE-10]]))</calculatedColumnFormula>
    </tableColumn>
    <tableColumn id="7" xr3:uid="{00000000-0010-0000-1D00-000007000000}" name="D6" dataDxfId="1845">
      <calculatedColumnFormula>IF($O$3="(Todas)",COUNTIF(BASE[CODCIE1010],ENOS_G2_ENF_VIRICAS_LESIONES_PIEL_Y_MEMB_MUCOSAS[[#This Row],[CIE-10]]),COUNTIFS(BASE[Cod.Establecimiento],$O$3,BASE[CODCIE1010],ENOS_G2_ENF_VIRICAS_LESIONES_PIEL_Y_MEMB_MUCOSAS[[#This Row],[CIE-10]]))</calculatedColumnFormula>
    </tableColumn>
    <tableColumn id="8" xr3:uid="{00000000-0010-0000-1D00-000008000000}" name="TOT" dataDxfId="1844" dataCellStyle="40% - Énfasis6">
      <calculatedColumnFormula>SUM(ENOS_G2_ENF_VIRICAS_LESIONES_PIEL_Y_MEMB_MUCOSAS[[#This Row],[D1]:[D6]])</calculatedColumnFormula>
    </tableColumn>
  </tableColumns>
  <tableStyleInfo name="TableStyleLight1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ENOS_G3_ETI_MENOR_QUE_1_AÑO" displayName="ENOS_G3_ETI_MENOR_QUE_1_AÑO" ref="P84:W87" totalsRowShown="0" headerRowDxfId="1843">
  <autoFilter ref="P84:W87" xr:uid="{00000000-0009-0000-0100-00001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E00-000001000000}" name="CIE-10" dataCellStyle="20% - Énfasis4"/>
    <tableColumn id="2" xr3:uid="{00000000-0010-0000-1E00-000002000000}" name="D1" dataDxfId="1842">
      <calculatedColumnFormula>IF($O$3="(Todas)",COUNTIFS(BASE[CODCIE10],ENOS_G3_ETI_MENOR_QUE_1_AÑO[[#This Row],[CIE-10]],BASE[Edad],"&lt;1"),COUNTIFS(BASE[Cod.Establecimiento],$O$3,BASE[CODCIE10],ENOS_G3_ETI_MENOR_QUE_1_AÑO[[#This Row],[CIE-10]],BASE[Edad],"&lt;1"))</calculatedColumnFormula>
    </tableColumn>
    <tableColumn id="3" xr3:uid="{00000000-0010-0000-1E00-000003000000}" name="D2" dataDxfId="1841">
      <calculatedColumnFormula>IF($O$3="(Todas)",COUNTIFS(BASE[CODCIE102],ENOS_G3_ETI_MENOR_QUE_1_AÑO[[#This Row],[CIE-10]],BASE[Edad],"&lt;1"),COUNTIFS(BASE[Cod.Establecimiento],$O$3,BASE[CODCIE102],ENOS_G3_ETI_MENOR_QUE_1_AÑO[[#This Row],[CIE-10]],BASE[Edad],"&lt;1"))</calculatedColumnFormula>
    </tableColumn>
    <tableColumn id="4" xr3:uid="{00000000-0010-0000-1E00-000004000000}" name="D3" dataDxfId="1840">
      <calculatedColumnFormula>IF($O$3="(Todas)",COUNTIFS(BASE[CODCIE104],ENOS_G3_ETI_MENOR_QUE_1_AÑO[[#This Row],[CIE-10]],BASE[Edad],"&lt;1"),COUNTIFS(BASE[Cod.Establecimiento],$O$3,BASE[CODCIE104],ENOS_G3_ETI_MENOR_QUE_1_AÑO[[#This Row],[CIE-10]],BASE[Edad],"&lt;1"))</calculatedColumnFormula>
    </tableColumn>
    <tableColumn id="5" xr3:uid="{00000000-0010-0000-1E00-000005000000}" name="D4" dataDxfId="1839">
      <calculatedColumnFormula>IF($O$3="(Todas)",COUNTIFS(BASE[CODCIE106],ENOS_G3_ETI_MENOR_QUE_1_AÑO[[#This Row],[CIE-10]],BASE[Edad],"&lt;1"),COUNTIFS(BASE[Cod.Establecimiento],$O$3,BASE[CODCIE106],ENOS_G3_ETI_MENOR_QUE_1_AÑO[[#This Row],[CIE-10]],BASE[Edad],"&lt;1"))</calculatedColumnFormula>
    </tableColumn>
    <tableColumn id="6" xr3:uid="{00000000-0010-0000-1E00-000006000000}" name="D5" dataDxfId="1838">
      <calculatedColumnFormula>IF($O$3="(Todas)",COUNTIFS(BASE[CODCIE108],ENOS_G3_ETI_MENOR_QUE_1_AÑO[[#This Row],[CIE-10]],BASE[Edad],"&lt;1"),COUNTIFS(BASE[Cod.Establecimiento],$O$3,BASE[CODCIE108],ENOS_G3_ETI_MENOR_QUE_1_AÑO[[#This Row],[CIE-10]],BASE[Edad],"&lt;1"))</calculatedColumnFormula>
    </tableColumn>
    <tableColumn id="7" xr3:uid="{00000000-0010-0000-1E00-000007000000}" name="D6" dataDxfId="1837">
      <calculatedColumnFormula>IF($O$3="(Todas)",COUNTIFS(BASE[CODCIE1010],ENOS_G3_ETI_MENOR_QUE_1_AÑO[[#This Row],[CIE-10]],BASE[Edad],"&lt;1"),COUNTIFS(BASE[Cod.Establecimiento],$O$3,BASE[CODCIE1010],ENOS_G3_ETI_MENOR_QUE_1_AÑO[[#This Row],[CIE-10]],BASE[Edad],"&lt;1"))</calculatedColumnFormula>
    </tableColumn>
    <tableColumn id="8" xr3:uid="{00000000-0010-0000-1E00-000008000000}" name="TOT" dataDxfId="1836" dataCellStyle="40% - Énfasis6">
      <calculatedColumnFormula>SUM(ENOS_G3_ETI_MENOR_QUE_1_AÑO[[#This Row],[D1]:[D6]])</calculatedColumnFormula>
    </tableColumn>
  </tableColumns>
  <tableStyleInfo name="TableStyleLight1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ENOS_G3_ETI_1_4_AÑOS" displayName="ENOS_G3_ETI_1_4_AÑOS" ref="Y84:AF87" totalsRowShown="0" headerRowDxfId="1835">
  <autoFilter ref="Y84:AF87" xr:uid="{00000000-0009-0000-0100-00002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1F00-000001000000}" name="CIE-10" dataCellStyle="20% - Énfasis4"/>
    <tableColumn id="2" xr3:uid="{00000000-0010-0000-1F00-000002000000}" name="D1" dataDxfId="1834">
      <calculatedColumnFormula>IF($O$3="(Todas)",COUNTIFS(BASE[CODCIE10],ENOS_G3_ETI_1_4_AÑOS[[#This Row],[CIE-10]],BASE[Edad],"&gt;=1",BASE[Edad],"&lt;=4"),COUNTIFS(BASE[Cod.Establecimiento],$O$3,BASE[CODCIE10],ENOS_G3_ETI_1_4_AÑOS[[#This Row],[CIE-10]],BASE[Edad],"&gt;=1",BASE[Edad],"&lt;=4"))</calculatedColumnFormula>
    </tableColumn>
    <tableColumn id="3" xr3:uid="{00000000-0010-0000-1F00-000003000000}" name="D2" dataDxfId="1833">
      <calculatedColumnFormula>IF($O$3="(Todas)",COUNTIFS(BASE[CODCIE102],ENOS_G3_ETI_1_4_AÑOS[[#This Row],[CIE-10]],BASE[Edad],"&gt;=1",BASE[Edad],"&lt;=4"),COUNTIFS(BASE[Cod.Establecimiento],$O$3,BASE[CODCIE102],ENOS_G3_ETI_1_4_AÑOS[[#This Row],[CIE-10]],BASE[Edad],"&gt;=1",BASE[Edad],"&lt;=4"))</calculatedColumnFormula>
    </tableColumn>
    <tableColumn id="4" xr3:uid="{00000000-0010-0000-1F00-000004000000}" name="D3" dataDxfId="1832">
      <calculatedColumnFormula>IF($O$3="(Todas)",COUNTIFS(BASE[CODCIE104],ENOS_G3_ETI_1_4_AÑOS[[#This Row],[CIE-10]],BASE[Edad],"&gt;=1",BASE[Edad],"&lt;=4"),COUNTIFS(BASE[Cod.Establecimiento],$O$3,BASE[CODCIE104],ENOS_G3_ETI_1_4_AÑOS[[#This Row],[CIE-10]],BASE[Edad],"&gt;=1",BASE[Edad],"&lt;=4"))</calculatedColumnFormula>
    </tableColumn>
    <tableColumn id="5" xr3:uid="{00000000-0010-0000-1F00-000005000000}" name="D4" dataDxfId="1831">
      <calculatedColumnFormula>IF($O$3="(Todas)",COUNTIFS(BASE[CODCIE106],ENOS_G3_ETI_1_4_AÑOS[[#This Row],[CIE-10]],BASE[Edad],"&gt;=1",BASE[Edad],"&lt;=4"),COUNTIFS(BASE[Cod.Establecimiento],$O$3,BASE[CODCIE106],ENOS_G3_ETI_1_4_AÑOS[[#This Row],[CIE-10]],BASE[Edad],"&gt;=1",BASE[Edad],"&lt;=4"))</calculatedColumnFormula>
    </tableColumn>
    <tableColumn id="6" xr3:uid="{00000000-0010-0000-1F00-000006000000}" name="D5" dataDxfId="1830">
      <calculatedColumnFormula>IF($O$3="(Todas)",COUNTIFS(BASE[CODCIE108],ENOS_G3_ETI_1_4_AÑOS[[#This Row],[CIE-10]],BASE[Edad],"&gt;=1",BASE[Edad],"&lt;=4"),COUNTIFS(BASE[Cod.Establecimiento],$O$3,BASE[CODCIE108],ENOS_G3_ETI_1_4_AÑOS[[#This Row],[CIE-10]],BASE[Edad],"&gt;=1",BASE[Edad],"&lt;=4"))</calculatedColumnFormula>
    </tableColumn>
    <tableColumn id="7" xr3:uid="{00000000-0010-0000-1F00-000007000000}" name="D6" dataDxfId="1829">
      <calculatedColumnFormula>IF($O$3="(Todas)",COUNTIFS(BASE[CODCIE1010],ENOS_G3_ETI_1_4_AÑOS[[#This Row],[CIE-10]],BASE[Edad],"&gt;=1",BASE[Edad],"&lt;=4"),COUNTIFS(BASE[Cod.Establecimiento],$O$3,BASE[CODCIE1010],ENOS_G3_ETI_1_4_AÑOS[[#This Row],[CIE-10]],BASE[Edad],"&gt;=1",BASE[Edad],"&lt;=4"))</calculatedColumnFormula>
    </tableColumn>
    <tableColumn id="8" xr3:uid="{00000000-0010-0000-1F00-000008000000}" name="TOT" dataDxfId="1828" dataCellStyle="40% - Énfasis6">
      <calculatedColumnFormula>SUM(ENOS_G3_ETI_1_4_AÑOS[[#This Row],[D1]:[D6]])</calculatedColumnFormula>
    </tableColumn>
  </tableColumns>
  <tableStyleInfo name="TableStyleLight1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ENOS_G3_ETI_5_19_AÑOS" displayName="ENOS_G3_ETI_5_19_AÑOS" ref="P90:W93" totalsRowShown="0" headerRowDxfId="1827">
  <autoFilter ref="P90:W93" xr:uid="{00000000-0009-0000-0100-00002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000-000001000000}" name="CIE-10" dataCellStyle="20% - Énfasis4"/>
    <tableColumn id="2" xr3:uid="{00000000-0010-0000-2000-000002000000}" name="D1" dataDxfId="1826">
      <calculatedColumnFormula>IF($O$3="(Todas)",COUNTIFS(BASE[CODCIE10],ENOS_G3_ETI_5_19_AÑOS[[#This Row],[CIE-10]],BASE[Edad],"&gt;=5",BASE[Edad],"&lt;=19"),COUNTIFS(BASE[Cod.Establecimiento],$O$3,BASE[CODCIE10],ENOS_G3_ETI_5_19_AÑOS[[#This Row],[CIE-10]],BASE[Edad],"&gt;=5",BASE[Edad],"&lt;=19"))</calculatedColumnFormula>
    </tableColumn>
    <tableColumn id="3" xr3:uid="{00000000-0010-0000-2000-000003000000}" name="D2" dataDxfId="1825">
      <calculatedColumnFormula>IF($O$3="(Todas)",COUNTIFS(BASE[CODCIE102],ENOS_G3_ETI_5_19_AÑOS[[#This Row],[CIE-10]],BASE[Edad],"&gt;=5",BASE[Edad],"&lt;=19"),COUNTIFS(BASE[Cod.Establecimiento],$O$3,BASE[CODCIE102],ENOS_G3_ETI_5_19_AÑOS[[#This Row],[CIE-10]],BASE[Edad],"&gt;=5",BASE[Edad],"&lt;=19"))</calculatedColumnFormula>
    </tableColumn>
    <tableColumn id="4" xr3:uid="{00000000-0010-0000-2000-000004000000}" name="D3" dataDxfId="1824">
      <calculatedColumnFormula>IF($O$3="(Todas)",COUNTIFS(BASE[CODCIE104],ENOS_G3_ETI_5_19_AÑOS[[#This Row],[CIE-10]],BASE[Edad],"&gt;=5",BASE[Edad],"&lt;=19"),COUNTIFS(BASE[Cod.Establecimiento],$O$3,BASE[CODCIE104],ENOS_G3_ETI_5_19_AÑOS[[#This Row],[CIE-10]],BASE[Edad],"&gt;=5",BASE[Edad],"&lt;=19"))</calculatedColumnFormula>
    </tableColumn>
    <tableColumn id="5" xr3:uid="{00000000-0010-0000-2000-000005000000}" name="D4" dataDxfId="1823">
      <calculatedColumnFormula>IF($O$3="(Todas)",COUNTIFS(BASE[CODCIE106],ENOS_G3_ETI_5_19_AÑOS[[#This Row],[CIE-10]],BASE[Edad],"&gt;=5",BASE[Edad],"&lt;=19"),COUNTIFS(BASE[Cod.Establecimiento],$O$3,BASE[CODCIE106],ENOS_G3_ETI_5_19_AÑOS[[#This Row],[CIE-10]],BASE[Edad],"&gt;=5",BASE[Edad],"&lt;=19"))</calculatedColumnFormula>
    </tableColumn>
    <tableColumn id="6" xr3:uid="{00000000-0010-0000-2000-000006000000}" name="D5" dataDxfId="1822">
      <calculatedColumnFormula>IF($O$3="(Todas)",COUNTIFS(BASE[CODCIE108],ENOS_G3_ETI_5_19_AÑOS[[#This Row],[CIE-10]],BASE[Edad],"&gt;=5",BASE[Edad],"&lt;=19"),COUNTIFS(BASE[Cod.Establecimiento],$O$3,BASE[CODCIE108],ENOS_G3_ETI_5_19_AÑOS[[#This Row],[CIE-10]],BASE[Edad],"&gt;=5",BASE[Edad],"&lt;=19"))</calculatedColumnFormula>
    </tableColumn>
    <tableColumn id="7" xr3:uid="{00000000-0010-0000-2000-000007000000}" name="D6" dataDxfId="1821">
      <calculatedColumnFormula>IF($O$3="(Todas)",COUNTIFS(BASE[CODCIE1010],ENOS_G3_ETI_5_19_AÑOS[[#This Row],[CIE-10]],BASE[Edad],"&gt;=5",BASE[Edad],"&lt;=19"),COUNTIFS(BASE[Cod.Establecimiento],$O$3,BASE[CODCIE1010],ENOS_G3_ETI_5_19_AÑOS[[#This Row],[CIE-10]],BASE[Edad],"&gt;=5",BASE[Edad],"&lt;=19"))</calculatedColumnFormula>
    </tableColumn>
    <tableColumn id="8" xr3:uid="{00000000-0010-0000-2000-000008000000}" name="TOT" dataDxfId="1820" dataCellStyle="40% - Énfasis6">
      <calculatedColumnFormula>SUM(ENOS_G3_ETI_5_19_AÑOS[[#This Row],[D1]:[D6]])</calculatedColumnFormula>
    </tableColumn>
  </tableColumns>
  <tableStyleInfo name="TableStyleLight1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ENOS_G3_ETI_20_59_AÑOS" displayName="ENOS_G3_ETI_20_59_AÑOS" ref="Y90:AF93" totalsRowShown="0" headerRowDxfId="1819">
  <autoFilter ref="Y90:AF93" xr:uid="{00000000-0009-0000-0100-00002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100-000001000000}" name="CIE-10" dataCellStyle="20% - Énfasis4"/>
    <tableColumn id="2" xr3:uid="{00000000-0010-0000-2100-000002000000}" name="D1" dataDxfId="1818">
      <calculatedColumnFormula>IF($O$3="(Todas)",COUNTIFS(BASE[CODCIE10],ENOS_G3_ETI_20_59_AÑOS[[#This Row],[CIE-10]],BASE[Edad],"&gt;=20",BASE[Edad],"&lt;=59"),COUNTIFS(BASE[Cod.Establecimiento],$O$3,BASE[CODCIE10],ENOS_G3_ETI_20_59_AÑOS[[#This Row],[CIE-10]],BASE[Edad],"&gt;=20",BASE[Edad],"&lt;=59"))</calculatedColumnFormula>
    </tableColumn>
    <tableColumn id="3" xr3:uid="{00000000-0010-0000-2100-000003000000}" name="D2" dataDxfId="1817">
      <calculatedColumnFormula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calculatedColumnFormula>
    </tableColumn>
    <tableColumn id="4" xr3:uid="{00000000-0010-0000-2100-000004000000}" name="D3" dataDxfId="1816">
      <calculatedColumnFormula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calculatedColumnFormula>
    </tableColumn>
    <tableColumn id="5" xr3:uid="{00000000-0010-0000-2100-000005000000}" name="D4" dataDxfId="1815">
      <calculatedColumnFormula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calculatedColumnFormula>
    </tableColumn>
    <tableColumn id="6" xr3:uid="{00000000-0010-0000-2100-000006000000}" name="D5" dataDxfId="1814">
      <calculatedColumnFormula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calculatedColumnFormula>
    </tableColumn>
    <tableColumn id="7" xr3:uid="{00000000-0010-0000-2100-000007000000}" name="D6" dataDxfId="1813">
      <calculatedColumnFormula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calculatedColumnFormula>
    </tableColumn>
    <tableColumn id="8" xr3:uid="{00000000-0010-0000-2100-000008000000}" name="TOT" dataDxfId="1812" dataCellStyle="40% - Énfasis6">
      <calculatedColumnFormula>SUM(ENOS_G3_ETI_20_59_AÑOS[[#This Row],[D1]:[D6]])</calculatedColumnFormula>
    </tableColumn>
  </tableColumns>
  <tableStyleInfo name="TableStyleLight1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ENOS_G3_ETI_60_MAS_AÑOS" displayName="ENOS_G3_ETI_60_MAS_AÑOS" ref="P96:W99" totalsRowShown="0" headerRowDxfId="1811">
  <autoFilter ref="P96:W99" xr:uid="{00000000-0009-0000-0100-00002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200-000001000000}" name="CIE-10" dataCellStyle="20% - Énfasis4"/>
    <tableColumn id="2" xr3:uid="{00000000-0010-0000-2200-000002000000}" name="D1" dataDxfId="1810">
      <calculatedColumnFormula>IF($O$3="(Todas)",COUNTIFS(BASE[CODCIE10],ENOS_G3_ETI_60_MAS_AÑOS[[#This Row],[CIE-10]],BASE[Edad],"&gt;=60"),COUNTIFS(BASE[Cod.Establecimiento],$O$3,BASE[CODCIE10],ENOS_G3_ETI_60_MAS_AÑOS[[#This Row],[CIE-10]],BASE[Edad],"&gt;=60"))</calculatedColumnFormula>
    </tableColumn>
    <tableColumn id="3" xr3:uid="{00000000-0010-0000-2200-000003000000}" name="D2" dataDxfId="1809">
      <calculatedColumnFormula>IF($O$3="(Todas)",COUNTIFS(BASE[CODCIE102],ENOS_G3_ETI_60_MAS_AÑOS[[#This Row],[CIE-10]],BASE[Edad],"&gt;=60"),COUNTIFS(BASE[Cod.Establecimiento],$O$3,BASE[CODCIE102],ENOS_G3_ETI_60_MAS_AÑOS[[#This Row],[CIE-10]],BASE[Edad],"&gt;=60"))</calculatedColumnFormula>
    </tableColumn>
    <tableColumn id="4" xr3:uid="{00000000-0010-0000-2200-000004000000}" name="D3" dataDxfId="1808">
      <calculatedColumnFormula>IF($O$3="(Todas)",COUNTIFS(BASE[CODCIE104],ENOS_G3_ETI_60_MAS_AÑOS[[#This Row],[CIE-10]],BASE[Edad],"&gt;=60"),COUNTIFS(BASE[Cod.Establecimiento],$O$3,BASE[CODCIE104],ENOS_G3_ETI_60_MAS_AÑOS[[#This Row],[CIE-10]],BASE[Edad],"&gt;=60"))</calculatedColumnFormula>
    </tableColumn>
    <tableColumn id="5" xr3:uid="{00000000-0010-0000-2200-000005000000}" name="D4" dataDxfId="1807">
      <calculatedColumnFormula>IF($O$3="(Todas)",COUNTIFS(BASE[CODCIE106],ENOS_G3_ETI_60_MAS_AÑOS[[#This Row],[CIE-10]],BASE[Edad],"&gt;=60"),COUNTIFS(BASE[Cod.Establecimiento],$O$3,BASE[CODCIE106],ENOS_G3_ETI_60_MAS_AÑOS[[#This Row],[CIE-10]],BASE[Edad],"&gt;=60"))</calculatedColumnFormula>
    </tableColumn>
    <tableColumn id="6" xr3:uid="{00000000-0010-0000-2200-000006000000}" name="D5" dataDxfId="1806">
      <calculatedColumnFormula>IF($O$3="(Todas)",COUNTIFS(BASE[CODCIE108],ENOS_G3_ETI_60_MAS_AÑOS[[#This Row],[CIE-10]],BASE[Edad],"&gt;=60"),COUNTIFS(BASE[Cod.Establecimiento],$O$3,BASE[CODCIE108],ENOS_G3_ETI_60_MAS_AÑOS[[#This Row],[CIE-10]],BASE[Edad],"&gt;=60"))</calculatedColumnFormula>
    </tableColumn>
    <tableColumn id="7" xr3:uid="{00000000-0010-0000-2200-000007000000}" name="D6" dataDxfId="1805">
      <calculatedColumnFormula>IF($O$3="(Todas)",COUNTIFS(BASE[CODCIE1010],ENOS_G3_ETI_60_MAS_AÑOS[[#This Row],[CIE-10]],BASE[Edad],"&gt;=60"),COUNTIFS(BASE[Cod.Establecimiento],$O$3,BASE[CODCIE1010],ENOS_G3_ETI_60_MAS_AÑOS[[#This Row],[CIE-10]],BASE[Edad],"&gt;=60"))</calculatedColumnFormula>
    </tableColumn>
    <tableColumn id="8" xr3:uid="{00000000-0010-0000-2200-000008000000}" name="TOT" dataDxfId="1804" dataCellStyle="40% - Énfasis6">
      <calculatedColumnFormula>SUM(ENOS_G3_ETI_60_MAS_AÑOS[[#This Row],[D1]:[D6]])</calculatedColumnFormula>
    </tableColumn>
  </tableColumns>
  <tableStyleInfo name="TableStyleLight1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ENOS_G3_ETI_SD_AÑOS" displayName="ENOS_G3_ETI_SD_AÑOS" ref="Y96:AF99" totalsRowShown="0" headerRowDxfId="1803">
  <autoFilter ref="Y96:AF99" xr:uid="{00000000-0009-0000-0100-00002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300-000001000000}" name="CIE-10" dataCellStyle="20% - Énfasis4"/>
    <tableColumn id="2" xr3:uid="{00000000-0010-0000-2300-000002000000}" name="D1" dataDxfId="1802">
      <calculatedColumnFormula>IF($O$3="(Todas)",COUNTIFS(BASE[CODCIE10],ENOS_G3_ETI_SD_AÑOS[[#This Row],[CIE-10]],BASE[Edad],""),COUNTIFS(BASE[Cod.Establecimiento],$O$3,BASE[CODCIE10],ENOS_G3_ETI_SD_AÑOS[[#This Row],[CIE-10]],BASE[Edad],""))</calculatedColumnFormula>
    </tableColumn>
    <tableColumn id="3" xr3:uid="{00000000-0010-0000-2300-000003000000}" name="D2" dataDxfId="1801">
      <calculatedColumnFormula>IF($O$3="(Todas)",COUNTIFS(BASE[CODCIE102],ENOS_G3_ETI_SD_AÑOS[[#This Row],[CIE-10]],BASE[Edad],""),COUNTIFS(BASE[Cod.Establecimiento],$O$3,BASE[CODCIE102],ENOS_G3_ETI_SD_AÑOS[[#This Row],[CIE-10]],BASE[Edad],""))</calculatedColumnFormula>
    </tableColumn>
    <tableColumn id="4" xr3:uid="{00000000-0010-0000-2300-000004000000}" name="D3" dataDxfId="1800">
      <calculatedColumnFormula>IF($O$3="(Todas)",COUNTIFS(BASE[CODCIE104],ENOS_G3_ETI_SD_AÑOS[[#This Row],[CIE-10]],BASE[Edad],""),COUNTIFS(BASE[Cod.Establecimiento],$O$3,BASE[CODCIE104],ENOS_G3_ETI_SD_AÑOS[[#This Row],[CIE-10]],BASE[Edad],""))</calculatedColumnFormula>
    </tableColumn>
    <tableColumn id="5" xr3:uid="{00000000-0010-0000-2300-000005000000}" name="D4" dataDxfId="1799">
      <calculatedColumnFormula>IF($O$3="(Todas)",COUNTIFS(BASE[CODCIE106],ENOS_G3_ETI_SD_AÑOS[[#This Row],[CIE-10]],BASE[Edad],""),COUNTIFS(BASE[Cod.Establecimiento],$O$3,BASE[CODCIE106],ENOS_G3_ETI_SD_AÑOS[[#This Row],[CIE-10]],BASE[Edad],""))</calculatedColumnFormula>
    </tableColumn>
    <tableColumn id="6" xr3:uid="{00000000-0010-0000-2300-000006000000}" name="D5" dataDxfId="1798">
      <calculatedColumnFormula>IF($O$3="(Todas)",COUNTIFS(BASE[CODCIE108],ENOS_G3_ETI_SD_AÑOS[[#This Row],[CIE-10]],BASE[Edad],""),COUNTIFS(BASE[Cod.Establecimiento],$O$3,BASE[CODCIE108],ENOS_G3_ETI_SD_AÑOS[[#This Row],[CIE-10]],BASE[Edad],""))</calculatedColumnFormula>
    </tableColumn>
    <tableColumn id="7" xr3:uid="{00000000-0010-0000-2300-000007000000}" name="D6" dataDxfId="1797">
      <calculatedColumnFormula>IF($O$3="(Todas)",COUNTIFS(BASE[CODCIE1010],ENOS_G3_ETI_SD_AÑOS[[#This Row],[CIE-10]],BASE[Edad],""),COUNTIFS(BASE[Cod.Establecimiento],$O$3,BASE[CODCIE1010],ENOS_G3_ETI_SD_AÑOS[[#This Row],[CIE-10]],BASE[Edad],""))</calculatedColumnFormula>
    </tableColumn>
    <tableColumn id="8" xr3:uid="{00000000-0010-0000-2300-000008000000}" name="TOT" dataDxfId="1796" dataCellStyle="40% - Énfasis6">
      <calculatedColumnFormula>SUM(ENOS_G3_ETI_SD_AÑOS[[#This Row],[D1]:[D6]])</calculatedColumnFormula>
    </tableColumn>
  </tableColumns>
  <tableStyleInfo name="TableStyleLight1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ENOS_G3_IRANN_MENOR_QUE_1_AÑO" displayName="ENOS_G3_IRANN_MENOR_QUE_1_AÑO" ref="P102:W111" totalsRowShown="0" headerRowDxfId="1795">
  <autoFilter ref="P102:W111" xr:uid="{00000000-0009-0000-0100-00002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400-000001000000}" name="CIE-10" dataCellStyle="20% - Énfasis4"/>
    <tableColumn id="2" xr3:uid="{00000000-0010-0000-2400-000002000000}" name="D1" dataDxfId="1794">
      <calculatedColumnFormula>IF($O$3="(Todas)",COUNTIFS(BASE[CODCIE10],ENOS_G3_IRANN_MENOR_QUE_1_AÑO[[#This Row],[CIE-10]],BASE[Edad],"&lt;1"),COUNTIFS(BASE[Cod.Establecimiento],$O$3,BASE[CODCIE10],ENOS_G3_IRANN_MENOR_QUE_1_AÑO[[#This Row],[CIE-10]],BASE[Edad],"&lt;1"))</calculatedColumnFormula>
    </tableColumn>
    <tableColumn id="3" xr3:uid="{00000000-0010-0000-2400-000003000000}" name="D2" dataDxfId="1793">
      <calculatedColumnFormula>IF($O$3="(Todas)",COUNTIFS(BASE[CODCIE102],ENOS_G3_IRANN_MENOR_QUE_1_AÑO[[#This Row],[CIE-10]],BASE[Edad],"&lt;1"),COUNTIFS(BASE[Cod.Establecimiento],$O$3,BASE[CODCIE102],ENOS_G3_IRANN_MENOR_QUE_1_AÑO[[#This Row],[CIE-10]],BASE[Edad],"&lt;1"))</calculatedColumnFormula>
    </tableColumn>
    <tableColumn id="4" xr3:uid="{00000000-0010-0000-2400-000004000000}" name="D3" dataDxfId="1792">
      <calculatedColumnFormula>IF($O$3="(Todas)",COUNTIFS(BASE[CODCIE104],ENOS_G3_IRANN_MENOR_QUE_1_AÑO[[#This Row],[CIE-10]],BASE[Edad],"&lt;1"),COUNTIFS(BASE[Cod.Establecimiento],$O$3,BASE[CODCIE104],ENOS_G3_IRANN_MENOR_QUE_1_AÑO[[#This Row],[CIE-10]],BASE[Edad],"&lt;1"))</calculatedColumnFormula>
    </tableColumn>
    <tableColumn id="5" xr3:uid="{00000000-0010-0000-2400-000005000000}" name="D4" dataDxfId="1791">
      <calculatedColumnFormula>IF($O$3="(Todas)",COUNTIFS(BASE[CODCIE106],ENOS_G3_IRANN_MENOR_QUE_1_AÑO[[#This Row],[CIE-10]],BASE[Edad],"&lt;1"),COUNTIFS(BASE[Cod.Establecimiento],$O$3,BASE[CODCIE106],ENOS_G3_IRANN_MENOR_QUE_1_AÑO[[#This Row],[CIE-10]],BASE[Edad],"&lt;1"))</calculatedColumnFormula>
    </tableColumn>
    <tableColumn id="6" xr3:uid="{00000000-0010-0000-2400-000006000000}" name="D5" dataDxfId="1790">
      <calculatedColumnFormula>IF($O$3="(Todas)",COUNTIFS(BASE[CODCIE108],ENOS_G3_IRANN_MENOR_QUE_1_AÑO[[#This Row],[CIE-10]],BASE[Edad],"&lt;1"),COUNTIFS(BASE[Cod.Establecimiento],$O$3,BASE[CODCIE108],ENOS_G3_IRANN_MENOR_QUE_1_AÑO[[#This Row],[CIE-10]],BASE[Edad],"&lt;1"))</calculatedColumnFormula>
    </tableColumn>
    <tableColumn id="7" xr3:uid="{00000000-0010-0000-2400-000007000000}" name="D6" dataDxfId="1789">
      <calculatedColumnFormula>IF($O$3="(Todas)",COUNTIFS(BASE[CODCIE1010],ENOS_G3_IRANN_MENOR_QUE_1_AÑO[[#This Row],[CIE-10]],BASE[Edad],"&lt;1"),COUNTIFS(BASE[Cod.Establecimiento],$O$3,BASE[CODCIE1010],ENOS_G3_IRANN_MENOR_QUE_1_AÑO[[#This Row],[CIE-10]],BASE[Edad],"&lt;1"))</calculatedColumnFormula>
    </tableColumn>
    <tableColumn id="8" xr3:uid="{00000000-0010-0000-2400-000008000000}" name="TOT" dataDxfId="1788" dataCellStyle="40% - Énfasis6">
      <calculatedColumnFormula>SUM(ENOS_G3_IRANN_MENOR_QUE_1_AÑO[[#This Row],[D1]:[D6]])</calculatedColumnFormula>
    </tableColumn>
  </tableColumns>
  <tableStyleInfo name="TableStyleLight1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ENOS_G3_IRANN_1_4_AÑOS" displayName="ENOS_G3_IRANN_1_4_AÑOS" ref="Y102:AF111" totalsRowShown="0" headerRowDxfId="1787">
  <autoFilter ref="Y102:AF111" xr:uid="{00000000-0009-0000-0100-00002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500-000001000000}" name="CIE-10" dataCellStyle="20% - Énfasis4"/>
    <tableColumn id="2" xr3:uid="{00000000-0010-0000-2500-000002000000}" name="D1" dataDxfId="1786">
      <calculatedColumnFormula>IF($O$3="(Todas)",COUNTIFS(BASE[CODCIE10],ENOS_G3_IRANN_1_4_AÑOS[[#This Row],[CIE-10]],BASE[Edad],"&gt;=1",BASE[Edad],"&lt;=4"),COUNTIFS(BASE[Cod.Establecimiento],$O$3,BASE[CODCIE10],ENOS_G3_IRANN_1_4_AÑOS[[#This Row],[CIE-10]],BASE[Edad],"&gt;=1",BASE[Edad],"&lt;=4"))</calculatedColumnFormula>
    </tableColumn>
    <tableColumn id="3" xr3:uid="{00000000-0010-0000-2500-000003000000}" name="D2" dataDxfId="1785">
      <calculatedColumnFormula>IF($O$3="(Todas)",COUNTIFS(BASE[CODCIE102],ENOS_G3_IRANN_1_4_AÑOS[[#This Row],[CIE-10]],BASE[Edad],"&gt;=1",BASE[Edad],"&lt;=4"),COUNTIFS(BASE[Cod.Establecimiento],$O$3,BASE[CODCIE102],ENOS_G3_IRANN_1_4_AÑOS[[#This Row],[CIE-10]],BASE[Edad],"&gt;=1",BASE[Edad],"&lt;=4"))</calculatedColumnFormula>
    </tableColumn>
    <tableColumn id="4" xr3:uid="{00000000-0010-0000-2500-000004000000}" name="D3" dataDxfId="1784">
      <calculatedColumnFormula>IF($O$3="(Todas)",COUNTIFS(BASE[CODCIE104],ENOS_G3_IRANN_1_4_AÑOS[[#This Row],[CIE-10]],BASE[Edad],"&gt;=1",BASE[Edad],"&lt;=4"),COUNTIFS(BASE[Cod.Establecimiento],$O$3,BASE[CODCIE104],ENOS_G3_IRANN_1_4_AÑOS[[#This Row],[CIE-10]],BASE[Edad],"&gt;=1",BASE[Edad],"&lt;=4"))</calculatedColumnFormula>
    </tableColumn>
    <tableColumn id="5" xr3:uid="{00000000-0010-0000-2500-000005000000}" name="D4" dataDxfId="1783">
      <calculatedColumnFormula>IF($O$3="(Todas)",COUNTIFS(BASE[CODCIE106],ENOS_G3_IRANN_1_4_AÑOS[[#This Row],[CIE-10]],BASE[Edad],"&gt;=1",BASE[Edad],"&lt;=4"),COUNTIFS(BASE[Cod.Establecimiento],$O$3,BASE[CODCIE106],ENOS_G3_IRANN_1_4_AÑOS[[#This Row],[CIE-10]],BASE[Edad],"&gt;=1",BASE[Edad],"&lt;=4"))</calculatedColumnFormula>
    </tableColumn>
    <tableColumn id="6" xr3:uid="{00000000-0010-0000-2500-000006000000}" name="D5" dataDxfId="1782">
      <calculatedColumnFormula>IF($O$3="(Todas)",COUNTIFS(BASE[CODCIE108],ENOS_G3_IRANN_1_4_AÑOS[[#This Row],[CIE-10]],BASE[Edad],"&gt;=1",BASE[Edad],"&lt;=4"),COUNTIFS(BASE[Cod.Establecimiento],$O$3,BASE[CODCIE108],ENOS_G3_IRANN_1_4_AÑOS[[#This Row],[CIE-10]],BASE[Edad],"&gt;=1",BASE[Edad],"&lt;=4"))</calculatedColumnFormula>
    </tableColumn>
    <tableColumn id="7" xr3:uid="{00000000-0010-0000-2500-000007000000}" name="D6" dataDxfId="1781">
      <calculatedColumnFormula>IF($O$3="(Todas)",COUNTIFS(BASE[CODCIE1010],ENOS_G3_IRANN_1_4_AÑOS[[#This Row],[CIE-10]],BASE[Edad],"&gt;=1",BASE[Edad],"&lt;=4"),COUNTIFS(BASE[Cod.Establecimiento],$O$3,BASE[CODCIE1010],ENOS_G3_IRANN_1_4_AÑOS[[#This Row],[CIE-10]],BASE[Edad],"&gt;=1",BASE[Edad],"&lt;=4"))</calculatedColumnFormula>
    </tableColumn>
    <tableColumn id="8" xr3:uid="{00000000-0010-0000-2500-000008000000}" name="TOT" dataDxfId="1780" dataCellStyle="40% - Énfasis6">
      <calculatedColumnFormula>SUM(ENOS_G3_IRANN_1_4_AÑOS[[#This Row],[D1]:[D6]])</calculatedColumnFormula>
    </tableColumn>
  </tableColumns>
  <tableStyleInfo name="TableStyleLight1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ENOS_G3_IRANN_5_19_AÑOS" displayName="ENOS_G3_IRANN_5_19_AÑOS" ref="P114:W123" totalsRowShown="0" headerRowDxfId="1779">
  <autoFilter ref="P114:W123" xr:uid="{00000000-0009-0000-0100-00002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600-000001000000}" name="CIE-10" dataCellStyle="20% - Énfasis4"/>
    <tableColumn id="2" xr3:uid="{00000000-0010-0000-2600-000002000000}" name="D1" dataDxfId="1778">
      <calculatedColumnFormula>IF($O$3="(Todas)",COUNTIFS(BASE[CODCIE10],ENOS_G3_IRANN_5_19_AÑOS[[#This Row],[CIE-10]],BASE[Edad],"&gt;=5",BASE[Edad],"&lt;=19"),COUNTIFS(BASE[Cod.Establecimiento],$O$3,BASE[CODCIE10],ENOS_G3_IRANN_5_19_AÑOS[[#This Row],[CIE-10]],BASE[Edad],"&gt;=5",BASE[Edad],"&lt;=19"))</calculatedColumnFormula>
    </tableColumn>
    <tableColumn id="3" xr3:uid="{00000000-0010-0000-2600-000003000000}" name="D2" dataDxfId="1777">
      <calculatedColumnFormula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calculatedColumnFormula>
    </tableColumn>
    <tableColumn id="4" xr3:uid="{00000000-0010-0000-2600-000004000000}" name="D3" dataDxfId="1776">
      <calculatedColumnFormula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calculatedColumnFormula>
    </tableColumn>
    <tableColumn id="5" xr3:uid="{00000000-0010-0000-2600-000005000000}" name="D4" dataDxfId="1775">
      <calculatedColumnFormula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calculatedColumnFormula>
    </tableColumn>
    <tableColumn id="6" xr3:uid="{00000000-0010-0000-2600-000006000000}" name="D5" dataDxfId="1774">
      <calculatedColumnFormula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calculatedColumnFormula>
    </tableColumn>
    <tableColumn id="7" xr3:uid="{00000000-0010-0000-2600-000007000000}" name="D6" dataDxfId="1773">
      <calculatedColumnFormula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calculatedColumnFormula>
    </tableColumn>
    <tableColumn id="8" xr3:uid="{00000000-0010-0000-2600-000008000000}" name="TOT" dataDxfId="1772" dataCellStyle="40% - Énfasis6">
      <calculatedColumnFormula>SUM(ENOS_G3_IRANN_5_19_AÑOS[[#This Row],[D1]:[D6]])</calculatedColumnFormula>
    </tableColumn>
  </tableColumns>
  <tableStyleInfo name="TableStyleLight1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ENOS_G3_IRANN_20_59_AÑOS" displayName="ENOS_G3_IRANN_20_59_AÑOS" ref="Y114:AF123" totalsRowShown="0" headerRowDxfId="1771">
  <autoFilter ref="Y114:AF123" xr:uid="{00000000-0009-0000-0100-00002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700-000001000000}" name="CIE-10" dataCellStyle="20% - Énfasis4"/>
    <tableColumn id="2" xr3:uid="{00000000-0010-0000-2700-000002000000}" name="D1" dataDxfId="1770">
      <calculatedColumnFormula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calculatedColumnFormula>
    </tableColumn>
    <tableColumn id="3" xr3:uid="{00000000-0010-0000-2700-000003000000}" name="D2" dataDxfId="1769">
      <calculatedColumnFormula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calculatedColumnFormula>
    </tableColumn>
    <tableColumn id="4" xr3:uid="{00000000-0010-0000-2700-000004000000}" name="D3" dataDxfId="1768">
      <calculatedColumnFormula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calculatedColumnFormula>
    </tableColumn>
    <tableColumn id="5" xr3:uid="{00000000-0010-0000-2700-000005000000}" name="D4" dataDxfId="1767">
      <calculatedColumnFormula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calculatedColumnFormula>
    </tableColumn>
    <tableColumn id="6" xr3:uid="{00000000-0010-0000-2700-000006000000}" name="D5" dataDxfId="1766">
      <calculatedColumnFormula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calculatedColumnFormula>
    </tableColumn>
    <tableColumn id="7" xr3:uid="{00000000-0010-0000-2700-000007000000}" name="D6" dataDxfId="1765">
      <calculatedColumnFormula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calculatedColumnFormula>
    </tableColumn>
    <tableColumn id="8" xr3:uid="{00000000-0010-0000-2700-000008000000}" name="TOT" dataDxfId="1764" dataCellStyle="40% - Énfasis6">
      <calculatedColumnFormula>SUM(ENOS_G3_IRANN_20_59_AÑOS[[#This Row],[D1]:[D6]])</calculatedColumnFormula>
    </tableColumn>
  </tableColumns>
  <tableStyleInfo name="TableStyleLight1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ENOS_G3_IRANN_60_MAS_AÑOS" displayName="ENOS_G3_IRANN_60_MAS_AÑOS" ref="P126:W135" totalsRowShown="0" headerRowDxfId="1763">
  <autoFilter ref="P126:W135" xr:uid="{00000000-0009-0000-0100-00002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800-000001000000}" name="CIE-10" dataCellStyle="20% - Énfasis4"/>
    <tableColumn id="2" xr3:uid="{00000000-0010-0000-2800-000002000000}" name="D1" dataDxfId="1762">
      <calculatedColumnFormula>IF($O$3="(Todas)",COUNTIFS(BASE[CODCIE10],ENOS_G3_IRANN_60_MAS_AÑOS[[#This Row],[CIE-10]],BASE[Edad],"&gt;=60"),COUNTIFS(BASE[Cod.Establecimiento],$O$3,BASE[CODCIE10],ENOS_G3_IRANN_60_MAS_AÑOS[[#This Row],[CIE-10]],BASE[Edad],"&gt;=60"))</calculatedColumnFormula>
    </tableColumn>
    <tableColumn id="3" xr3:uid="{00000000-0010-0000-2800-000003000000}" name="D2" dataDxfId="1761">
      <calculatedColumnFormula>IF($O$3="(Todas)",COUNTIFS(BASE[CODCIE102],ENOS_G3_IRANN_60_MAS_AÑOS[[#This Row],[CIE-10]],BASE[Edad],"&gt;=60"),COUNTIFS(BASE[Cod.Establecimiento],$O$3,BASE[CODCIE102],ENOS_G3_IRANN_60_MAS_AÑOS[[#This Row],[CIE-10]],BASE[Edad],"&gt;=60"))</calculatedColumnFormula>
    </tableColumn>
    <tableColumn id="4" xr3:uid="{00000000-0010-0000-2800-000004000000}" name="D3" dataDxfId="1760">
      <calculatedColumnFormula>IF($O$3="(Todas)",COUNTIFS(BASE[CODCIE104],ENOS_G3_IRANN_60_MAS_AÑOS[[#This Row],[CIE-10]],BASE[Edad],"&gt;=60"),COUNTIFS(BASE[Cod.Establecimiento],$O$3,BASE[CODCIE104],ENOS_G3_IRANN_60_MAS_AÑOS[[#This Row],[CIE-10]],BASE[Edad],"&gt;=60"))</calculatedColumnFormula>
    </tableColumn>
    <tableColumn id="5" xr3:uid="{00000000-0010-0000-2800-000005000000}" name="D4" dataDxfId="1759">
      <calculatedColumnFormula>IF($O$3="(Todas)",COUNTIFS(BASE[CODCIE106],ENOS_G3_IRANN_60_MAS_AÑOS[[#This Row],[CIE-10]],BASE[Edad],"&gt;=60"),COUNTIFS(BASE[Cod.Establecimiento],$O$3,BASE[CODCIE106],ENOS_G3_IRANN_60_MAS_AÑOS[[#This Row],[CIE-10]],BASE[Edad],"&gt;=60"))</calculatedColumnFormula>
    </tableColumn>
    <tableColumn id="6" xr3:uid="{00000000-0010-0000-2800-000006000000}" name="D5" dataDxfId="1758">
      <calculatedColumnFormula>IF($O$3="(Todas)",COUNTIFS(BASE[CODCIE108],ENOS_G3_IRANN_60_MAS_AÑOS[[#This Row],[CIE-10]],BASE[Edad],"&gt;=60"),COUNTIFS(BASE[Cod.Establecimiento],$O$3,BASE[CODCIE108],ENOS_G3_IRANN_60_MAS_AÑOS[[#This Row],[CIE-10]],BASE[Edad],"&gt;=60"))</calculatedColumnFormula>
    </tableColumn>
    <tableColumn id="7" xr3:uid="{00000000-0010-0000-2800-000007000000}" name="D6" dataDxfId="1757">
      <calculatedColumnFormula>IF($O$3="(Todas)",COUNTIFS(BASE[CODCIE1010],ENOS_G3_IRANN_60_MAS_AÑOS[[#This Row],[CIE-10]],BASE[Edad],"&gt;=60"),COUNTIFS(BASE[Cod.Establecimiento],$O$3,BASE[CODCIE1010],ENOS_G3_IRANN_60_MAS_AÑOS[[#This Row],[CIE-10]],BASE[Edad],"&gt;=60"))</calculatedColumnFormula>
    </tableColumn>
    <tableColumn id="8" xr3:uid="{00000000-0010-0000-2800-000008000000}" name="TOT" dataDxfId="1756" dataCellStyle="40% - Énfasis6">
      <calculatedColumnFormula>SUM(ENOS_G3_IRANN_60_MAS_AÑOS[[#This Row],[D1]:[D6]])</calculatedColumnFormula>
    </tableColumn>
  </tableColumns>
  <tableStyleInfo name="TableStyleLight1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ENOS_G3_IRANN_SD_AÑOS" displayName="ENOS_G3_IRANN_SD_AÑOS" ref="Y126:AF135" totalsRowShown="0" headerRowDxfId="1755">
  <autoFilter ref="Y126:AF135" xr:uid="{00000000-0009-0000-0100-00002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900-000001000000}" name="CIE-10" dataCellStyle="20% - Énfasis4"/>
    <tableColumn id="2" xr3:uid="{00000000-0010-0000-2900-000002000000}" name="D1" dataDxfId="1754">
      <calculatedColumnFormula>IF($O$3="(Todas)",COUNTIFS(BASE[CODCIE10],ENOS_G3_IRANN_SD_AÑOS[[#This Row],[CIE-10]],BASE[Edad],""),COUNTIFS(BASE[Cod.Establecimiento],$O$3,BASE[CODCIE10],ENOS_G3_IRANN_SD_AÑOS[[#This Row],[CIE-10]],BASE[Edad],""))</calculatedColumnFormula>
    </tableColumn>
    <tableColumn id="3" xr3:uid="{00000000-0010-0000-2900-000003000000}" name="D2" dataDxfId="1753">
      <calculatedColumnFormula>IF($O$3="(Todas)",COUNTIFS(BASE[CODCIE102],ENOS_G3_IRANN_SD_AÑOS[[#This Row],[CIE-10]],BASE[Edad],""),COUNTIFS(BASE[Cod.Establecimiento],$O$3,BASE[CODCIE102],ENOS_G3_IRANN_SD_AÑOS[[#This Row],[CIE-10]],BASE[Edad],""))</calculatedColumnFormula>
    </tableColumn>
    <tableColumn id="4" xr3:uid="{00000000-0010-0000-2900-000004000000}" name="D3" dataDxfId="1752">
      <calculatedColumnFormula>IF($O$3="(Todas)",COUNTIFS(BASE[CODCIE104],ENOS_G3_IRANN_SD_AÑOS[[#This Row],[CIE-10]],BASE[Edad],""),COUNTIFS(BASE[Cod.Establecimiento],$O$3,BASE[CODCIE104],ENOS_G3_IRANN_SD_AÑOS[[#This Row],[CIE-10]],BASE[Edad],""))</calculatedColumnFormula>
    </tableColumn>
    <tableColumn id="5" xr3:uid="{00000000-0010-0000-2900-000005000000}" name="D4" dataDxfId="1751">
      <calculatedColumnFormula>IF($O$3="(Todas)",COUNTIFS(BASE[CODCIE106],ENOS_G3_IRANN_SD_AÑOS[[#This Row],[CIE-10]],BASE[Edad],""),COUNTIFS(BASE[Cod.Establecimiento],$O$3,BASE[CODCIE106],ENOS_G3_IRANN_SD_AÑOS[[#This Row],[CIE-10]],BASE[Edad],""))</calculatedColumnFormula>
    </tableColumn>
    <tableColumn id="6" xr3:uid="{00000000-0010-0000-2900-000006000000}" name="D5" dataDxfId="1750">
      <calculatedColumnFormula>IF($O$3="(Todas)",COUNTIFS(BASE[CODCIE108],ENOS_G3_IRANN_SD_AÑOS[[#This Row],[CIE-10]],BASE[Edad],""),COUNTIFS(BASE[Cod.Establecimiento],$O$3,BASE[CODCIE108],ENOS_G3_IRANN_SD_AÑOS[[#This Row],[CIE-10]],BASE[Edad],""))</calculatedColumnFormula>
    </tableColumn>
    <tableColumn id="7" xr3:uid="{00000000-0010-0000-2900-000007000000}" name="D6" dataDxfId="1749">
      <calculatedColumnFormula>IF($O$3="(Todas)",COUNTIFS(BASE[CODCIE1010],ENOS_G3_IRANN_SD_AÑOS[[#This Row],[CIE-10]],BASE[Edad],""),COUNTIFS(BASE[Cod.Establecimiento],$O$3,BASE[CODCIE1010],ENOS_G3_IRANN_SD_AÑOS[[#This Row],[CIE-10]],BASE[Edad],""))</calculatedColumnFormula>
    </tableColumn>
    <tableColumn id="8" xr3:uid="{00000000-0010-0000-2900-000008000000}" name="TOT" dataDxfId="1748" dataCellStyle="40% - Énfasis6">
      <calculatedColumnFormula>SUM(ENOS_G3_IRANN_SD_AÑOS[[#This Row],[D1]:[D6]])</calculatedColumnFormula>
    </tableColumn>
  </tableColumns>
  <tableStyleInfo name="TableStyleLight1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ENOS_G3_NEU_MENOR_QUE_1_AÑO" displayName="ENOS_G3_NEU_MENOR_QUE_1_AÑO" ref="P138:W145" totalsRowShown="0" headerRowDxfId="1747">
  <autoFilter ref="P138:W145" xr:uid="{00000000-0009-0000-0100-00002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A00-000001000000}" name="CIE-10" dataCellStyle="20% - Énfasis4"/>
    <tableColumn id="2" xr3:uid="{00000000-0010-0000-2A00-000002000000}" name="D1" dataDxfId="1746">
      <calculatedColumnFormula>IF($O$3="(Todas)",COUNTIFS(BASE[CODCIE10],ENOS_G3_NEU_MENOR_QUE_1_AÑO[[#This Row],[CIE-10]],BASE[Edad],"&lt;1"),COUNTIFS(BASE[Cod.Establecimiento],$O$3,BASE[CODCIE10],ENOS_G3_NEU_MENOR_QUE_1_AÑO[[#This Row],[CIE-10]],BASE[Edad],"&lt;1"))</calculatedColumnFormula>
    </tableColumn>
    <tableColumn id="3" xr3:uid="{00000000-0010-0000-2A00-000003000000}" name="D2" dataDxfId="1745">
      <calculatedColumnFormula>IF($O$3="(Todas)",COUNTIFS(BASE[CODCIE102],ENOS_G3_NEU_MENOR_QUE_1_AÑO[[#This Row],[CIE-10]],BASE[Edad],"&lt;1"),COUNTIFS(BASE[Cod.Establecimiento],$O$3,BASE[CODCIE102],ENOS_G3_NEU_MENOR_QUE_1_AÑO[[#This Row],[CIE-10]],BASE[Edad],"&lt;1"))</calculatedColumnFormula>
    </tableColumn>
    <tableColumn id="4" xr3:uid="{00000000-0010-0000-2A00-000004000000}" name="D3" dataDxfId="1744">
      <calculatedColumnFormula>IF($O$3="(Todas)",COUNTIFS(BASE[CODCIE104],ENOS_G3_NEU_MENOR_QUE_1_AÑO[[#This Row],[CIE-10]],BASE[Edad],"&lt;1"),COUNTIFS(BASE[Cod.Establecimiento],$O$3,BASE[CODCIE104],ENOS_G3_NEU_MENOR_QUE_1_AÑO[[#This Row],[CIE-10]],BASE[Edad],"&lt;1"))</calculatedColumnFormula>
    </tableColumn>
    <tableColumn id="5" xr3:uid="{00000000-0010-0000-2A00-000005000000}" name="D4" dataDxfId="1743">
      <calculatedColumnFormula>IF($O$3="(Todas)",COUNTIFS(BASE[CODCIE106],ENOS_G3_NEU_MENOR_QUE_1_AÑO[[#This Row],[CIE-10]],BASE[Edad],"&lt;1"),COUNTIFS(BASE[Cod.Establecimiento],$O$3,BASE[CODCIE106],ENOS_G3_NEU_MENOR_QUE_1_AÑO[[#This Row],[CIE-10]],BASE[Edad],"&lt;1"))</calculatedColumnFormula>
    </tableColumn>
    <tableColumn id="6" xr3:uid="{00000000-0010-0000-2A00-000006000000}" name="D5" dataDxfId="1742">
      <calculatedColumnFormula>IF($O$3="(Todas)",COUNTIFS(BASE[CODCIE108],ENOS_G3_NEU_MENOR_QUE_1_AÑO[[#This Row],[CIE-10]],BASE[Edad],"&lt;1"),COUNTIFS(BASE[Cod.Establecimiento],$O$3,BASE[CODCIE108],ENOS_G3_NEU_MENOR_QUE_1_AÑO[[#This Row],[CIE-10]],BASE[Edad],"&lt;1"))</calculatedColumnFormula>
    </tableColumn>
    <tableColumn id="7" xr3:uid="{00000000-0010-0000-2A00-000007000000}" name="D6" dataDxfId="1741">
      <calculatedColumnFormula>IF($O$3="(Todas)",COUNTIFS(BASE[CODCIE1010],ENOS_G3_NEU_MENOR_QUE_1_AÑO[[#This Row],[CIE-10]],BASE[Edad],"&lt;1"),COUNTIFS(BASE[Cod.Establecimiento],$O$3,BASE[CODCIE1010],ENOS_G3_NEU_MENOR_QUE_1_AÑO[[#This Row],[CIE-10]],BASE[Edad],"&lt;1"))</calculatedColumnFormula>
    </tableColumn>
    <tableColumn id="8" xr3:uid="{00000000-0010-0000-2A00-000008000000}" name="TOT" dataDxfId="1740" dataCellStyle="40% - Énfasis6">
      <calculatedColumnFormula>SUM(ENOS_G3_NEU_MENOR_QUE_1_AÑO[[#This Row],[D1]:[D6]])</calculatedColumnFormula>
    </tableColumn>
  </tableColumns>
  <tableStyleInfo name="TableStyleLight1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ENOS_G3_NEU_1_4_AÑOS" displayName="ENOS_G3_NEU_1_4_AÑOS" ref="Y138:AF145" totalsRowShown="0" headerRowDxfId="1739">
  <autoFilter ref="Y138:AF145" xr:uid="{00000000-0009-0000-0100-00002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B00-000001000000}" name="CIE-10" dataCellStyle="20% - Énfasis4"/>
    <tableColumn id="2" xr3:uid="{00000000-0010-0000-2B00-000002000000}" name="D1" dataDxfId="1738">
      <calculatedColumnFormula>IF($O$3="(Todas)",COUNTIFS(BASE[CODCIE10],ENOS_G3_NEU_1_4_AÑOS[[#This Row],[CIE-10]],BASE[Edad],"&gt;=1",BASE[Edad],"&lt;=4"),COUNTIFS(BASE[Cod.Establecimiento],$O$3,BASE[CODCIE10],ENOS_G3_NEU_1_4_AÑOS[[#This Row],[CIE-10]],BASE[Edad],"&gt;=1",BASE[Edad],"&lt;=4"))</calculatedColumnFormula>
    </tableColumn>
    <tableColumn id="3" xr3:uid="{00000000-0010-0000-2B00-000003000000}" name="D2" dataDxfId="1737">
      <calculatedColumnFormula>IF($O$3="(Todas)",COUNTIFS(BASE[CODCIE102],ENOS_G3_NEU_1_4_AÑOS[[#This Row],[CIE-10]],BASE[Edad],"&gt;=1",BASE[Edad],"&lt;=4"),COUNTIFS(BASE[Cod.Establecimiento],$O$3,BASE[CODCIE102],ENOS_G3_NEU_1_4_AÑOS[[#This Row],[CIE-10]],BASE[Edad],"&gt;=1",BASE[Edad],"&lt;=4"))</calculatedColumnFormula>
    </tableColumn>
    <tableColumn id="4" xr3:uid="{00000000-0010-0000-2B00-000004000000}" name="D3" dataDxfId="1736">
      <calculatedColumnFormula>IF($O$3="(Todas)",COUNTIFS(BASE[CODCIE104],ENOS_G3_NEU_1_4_AÑOS[[#This Row],[CIE-10]],BASE[Edad],"&gt;=1",BASE[Edad],"&lt;=4"),COUNTIFS(BASE[Cod.Establecimiento],$O$3,BASE[CODCIE104],ENOS_G3_NEU_1_4_AÑOS[[#This Row],[CIE-10]],BASE[Edad],"&gt;=1",BASE[Edad],"&lt;=4"))</calculatedColumnFormula>
    </tableColumn>
    <tableColumn id="5" xr3:uid="{00000000-0010-0000-2B00-000005000000}" name="D4" dataDxfId="1735">
      <calculatedColumnFormula>IF($O$3="(Todas)",COUNTIFS(BASE[CODCIE106],ENOS_G3_NEU_1_4_AÑOS[[#This Row],[CIE-10]],BASE[Edad],"&gt;=1",BASE[Edad],"&lt;=4"),COUNTIFS(BASE[Cod.Establecimiento],$O$3,BASE[CODCIE106],ENOS_G3_NEU_1_4_AÑOS[[#This Row],[CIE-10]],BASE[Edad],"&gt;=1",BASE[Edad],"&lt;=4"))</calculatedColumnFormula>
    </tableColumn>
    <tableColumn id="6" xr3:uid="{00000000-0010-0000-2B00-000006000000}" name="D5" dataDxfId="1734">
      <calculatedColumnFormula>IF($O$3="(Todas)",COUNTIFS(BASE[CODCIE108],ENOS_G3_NEU_1_4_AÑOS[[#This Row],[CIE-10]],BASE[Edad],"&gt;=1",BASE[Edad],"&lt;=4"),COUNTIFS(BASE[Cod.Establecimiento],$O$3,BASE[CODCIE108],ENOS_G3_NEU_1_4_AÑOS[[#This Row],[CIE-10]],BASE[Edad],"&gt;=1",BASE[Edad],"&lt;=4"))</calculatedColumnFormula>
    </tableColumn>
    <tableColumn id="7" xr3:uid="{00000000-0010-0000-2B00-000007000000}" name="D6" dataDxfId="1733">
      <calculatedColumnFormula>IF($O$3="(Todas)",COUNTIFS(BASE[CODCIE1010],ENOS_G3_NEU_1_4_AÑOS[[#This Row],[CIE-10]],BASE[Edad],"&gt;=1",BASE[Edad],"&lt;=4"),COUNTIFS(BASE[Cod.Establecimiento],$O$3,BASE[CODCIE1010],ENOS_G3_NEU_1_4_AÑOS[[#This Row],[CIE-10]],BASE[Edad],"&gt;=1",BASE[Edad],"&lt;=4"))</calculatedColumnFormula>
    </tableColumn>
    <tableColumn id="8" xr3:uid="{00000000-0010-0000-2B00-000008000000}" name="TOT" dataDxfId="1732" dataCellStyle="40% - Énfasis6">
      <calculatedColumnFormula>SUM(ENOS_G3_NEU_1_4_AÑOS[[#This Row],[D1]:[D6]])</calculatedColumnFormula>
    </tableColumn>
  </tableColumns>
  <tableStyleInfo name="TableStyleLight1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ENOS_G3_NEU_5_19_AÑOS" displayName="ENOS_G3_NEU_5_19_AÑOS" ref="P148:W155" totalsRowShown="0" headerRowDxfId="1731">
  <autoFilter ref="P148:W155" xr:uid="{00000000-0009-0000-0100-00002D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C00-000001000000}" name="CIE-10" dataCellStyle="20% - Énfasis4"/>
    <tableColumn id="2" xr3:uid="{00000000-0010-0000-2C00-000002000000}" name="D1" dataDxfId="1730">
      <calculatedColumnFormula>IF($O$3="(Todas)",COUNTIFS(BASE[CODCIE10],ENOS_G3_NEU_5_19_AÑOS[[#This Row],[CIE-10]],BASE[Edad],"&gt;=5",BASE[Edad],"&lt;=19"),COUNTIFS(BASE[Cod.Establecimiento],$O$3,BASE[CODCIE10],ENOS_G3_NEU_5_19_AÑOS[[#This Row],[CIE-10]],BASE[Edad],"&gt;=5",BASE[Edad],"&lt;=19"))</calculatedColumnFormula>
    </tableColumn>
    <tableColumn id="3" xr3:uid="{00000000-0010-0000-2C00-000003000000}" name="D2" dataDxfId="1729">
      <calculatedColumnFormula>IF($O$3="(Todas)",COUNTIFS(BASE[CODCIE102],ENOS_G3_NEU_5_19_AÑOS[[#This Row],[CIE-10]],BASE[Edad],"&gt;=5",BASE[Edad],"&lt;=19"),COUNTIFS(BASE[Cod.Establecimiento],$O$3,BASE[CODCIE102],ENOS_G3_NEU_5_19_AÑOS[[#This Row],[CIE-10]],BASE[Edad],"&gt;=5",BASE[Edad],"&lt;=19"))</calculatedColumnFormula>
    </tableColumn>
    <tableColumn id="4" xr3:uid="{00000000-0010-0000-2C00-000004000000}" name="D3" dataDxfId="1728">
      <calculatedColumnFormula>IF($O$3="(Todas)",COUNTIFS(BASE[CODCIE104],ENOS_G3_NEU_5_19_AÑOS[[#This Row],[CIE-10]],BASE[Edad],"&gt;=5",BASE[Edad],"&lt;=19"),COUNTIFS(BASE[Cod.Establecimiento],$O$3,BASE[CODCIE104],ENOS_G3_NEU_5_19_AÑOS[[#This Row],[CIE-10]],BASE[Edad],"&gt;=5",BASE[Edad],"&lt;=19"))</calculatedColumnFormula>
    </tableColumn>
    <tableColumn id="5" xr3:uid="{00000000-0010-0000-2C00-000005000000}" name="D4" dataDxfId="1727">
      <calculatedColumnFormula>IF($O$3="(Todas)",COUNTIFS(BASE[CODCIE106],ENOS_G3_NEU_5_19_AÑOS[[#This Row],[CIE-10]],BASE[Edad],"&gt;=5",BASE[Edad],"&lt;=19"),COUNTIFS(BASE[Cod.Establecimiento],$O$3,BASE[CODCIE106],ENOS_G3_NEU_5_19_AÑOS[[#This Row],[CIE-10]],BASE[Edad],"&gt;=5",BASE[Edad],"&lt;=19"))</calculatedColumnFormula>
    </tableColumn>
    <tableColumn id="6" xr3:uid="{00000000-0010-0000-2C00-000006000000}" name="D5" dataDxfId="1726">
      <calculatedColumnFormula>IF($O$3="(Todas)",COUNTIFS(BASE[CODCIE108],ENOS_G3_NEU_5_19_AÑOS[[#This Row],[CIE-10]],BASE[Edad],"&gt;=5",BASE[Edad],"&lt;=19"),COUNTIFS(BASE[Cod.Establecimiento],$O$3,BASE[CODCIE108],ENOS_G3_NEU_5_19_AÑOS[[#This Row],[CIE-10]],BASE[Edad],"&gt;=5",BASE[Edad],"&lt;=19"))</calculatedColumnFormula>
    </tableColumn>
    <tableColumn id="7" xr3:uid="{00000000-0010-0000-2C00-000007000000}" name="D6" dataDxfId="1725">
      <calculatedColumnFormula>IF($O$3="(Todas)",COUNTIFS(BASE[CODCIE1010],ENOS_G3_NEU_5_19_AÑOS[[#This Row],[CIE-10]],BASE[Edad],"&gt;=5",BASE[Edad],"&lt;=19"),COUNTIFS(BASE[Cod.Establecimiento],$O$3,BASE[CODCIE1010],ENOS_G3_NEU_5_19_AÑOS[[#This Row],[CIE-10]],BASE[Edad],"&gt;=5",BASE[Edad],"&lt;=19"))</calculatedColumnFormula>
    </tableColumn>
    <tableColumn id="8" xr3:uid="{00000000-0010-0000-2C00-000008000000}" name="TOT" dataDxfId="1724" dataCellStyle="40% - Énfasis6">
      <calculatedColumnFormula>SUM(ENOS_G3_NEU_5_19_AÑOS[[#This Row],[D1]:[D6]])</calculatedColumnFormula>
    </tableColumn>
  </tableColumns>
  <tableStyleInfo name="TableStyleLight1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ENOS_G3_NEU_20_59_AÑOS" displayName="ENOS_G3_NEU_20_59_AÑOS" ref="Y148:AF155" totalsRowShown="0" headerRowDxfId="1723">
  <autoFilter ref="Y148:AF155" xr:uid="{00000000-0009-0000-0100-00002E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D00-000001000000}" name="CIE-10" dataCellStyle="20% - Énfasis4"/>
    <tableColumn id="2" xr3:uid="{00000000-0010-0000-2D00-000002000000}" name="D1" dataDxfId="1722">
      <calculatedColumnFormula>IF($O$3="(Todas)",COUNTIFS(BASE[CODCIE10],ENOS_G3_NEU_20_59_AÑOS[[#This Row],[CIE-10]],BASE[Edad],"&gt;=20",BASE[Edad],"&lt;=59"),COUNTIFS(BASE[Cod.Establecimiento],$O$3,BASE[CODCIE10],ENOS_G3_NEU_20_59_AÑOS[[#This Row],[CIE-10]],BASE[Edad],"&gt;=20",BASE[Edad],"&lt;=59"))</calculatedColumnFormula>
    </tableColumn>
    <tableColumn id="3" xr3:uid="{00000000-0010-0000-2D00-000003000000}" name="D2" dataDxfId="1721">
      <calculatedColumnFormula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calculatedColumnFormula>
    </tableColumn>
    <tableColumn id="4" xr3:uid="{00000000-0010-0000-2D00-000004000000}" name="D3" dataDxfId="1720">
      <calculatedColumnFormula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calculatedColumnFormula>
    </tableColumn>
    <tableColumn id="5" xr3:uid="{00000000-0010-0000-2D00-000005000000}" name="D4" dataDxfId="1719">
      <calculatedColumnFormula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calculatedColumnFormula>
    </tableColumn>
    <tableColumn id="6" xr3:uid="{00000000-0010-0000-2D00-000006000000}" name="D5" dataDxfId="1718">
      <calculatedColumnFormula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calculatedColumnFormula>
    </tableColumn>
    <tableColumn id="7" xr3:uid="{00000000-0010-0000-2D00-000007000000}" name="D6" dataDxfId="1717">
      <calculatedColumnFormula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calculatedColumnFormula>
    </tableColumn>
    <tableColumn id="8" xr3:uid="{00000000-0010-0000-2D00-000008000000}" name="TOT" dataDxfId="1716" dataCellStyle="40% - Énfasis6">
      <calculatedColumnFormula>SUM(ENOS_G3_NEU_20_59_AÑOS[[#This Row],[D1]:[D6]])</calculatedColumnFormula>
    </tableColumn>
  </tableColumns>
  <tableStyleInfo name="TableStyleLight1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ENOS_G3_NEU_60_MAS_AÑOS" displayName="ENOS_G3_NEU_60_MAS_AÑOS" ref="P158:W165" totalsRowShown="0" headerRowDxfId="1715">
  <autoFilter ref="P158:W165" xr:uid="{00000000-0009-0000-0100-00002F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E00-000001000000}" name="CIE-10" dataCellStyle="20% - Énfasis4"/>
    <tableColumn id="2" xr3:uid="{00000000-0010-0000-2E00-000002000000}" name="D1" dataDxfId="1714">
      <calculatedColumnFormula>IF($O$3="(Todas)",COUNTIFS(BASE[CODCIE10],ENOS_G3_NEU_60_MAS_AÑOS[[#This Row],[CIE-10]],BASE[Edad],"&gt;=60"),COUNTIFS(BASE[Cod.Establecimiento],$O$3,BASE[CODCIE10],ENOS_G3_NEU_60_MAS_AÑOS[[#This Row],[CIE-10]],BASE[Edad],"&gt;=60"))</calculatedColumnFormula>
    </tableColumn>
    <tableColumn id="3" xr3:uid="{00000000-0010-0000-2E00-000003000000}" name="D2" dataDxfId="1713">
      <calculatedColumnFormula>IF($O$3="(Todas)",COUNTIFS(BASE[CODCIE102],ENOS_G3_NEU_60_MAS_AÑOS[[#This Row],[CIE-10]],BASE[Edad],"&gt;=60"),COUNTIFS(BASE[Cod.Establecimiento],$O$3,BASE[CODCIE102],ENOS_G3_NEU_60_MAS_AÑOS[[#This Row],[CIE-10]],BASE[Edad],"&gt;=60"))</calculatedColumnFormula>
    </tableColumn>
    <tableColumn id="4" xr3:uid="{00000000-0010-0000-2E00-000004000000}" name="D3" dataDxfId="1712">
      <calculatedColumnFormula>IF($O$3="(Todas)",COUNTIFS(BASE[CODCIE104],ENOS_G3_NEU_60_MAS_AÑOS[[#This Row],[CIE-10]],BASE[Edad],"&gt;=60"),COUNTIFS(BASE[Cod.Establecimiento],$O$3,BASE[CODCIE104],ENOS_G3_NEU_60_MAS_AÑOS[[#This Row],[CIE-10]],BASE[Edad],"&gt;=60"))</calculatedColumnFormula>
    </tableColumn>
    <tableColumn id="5" xr3:uid="{00000000-0010-0000-2E00-000005000000}" name="D4" dataDxfId="1711">
      <calculatedColumnFormula>IF($O$3="(Todas)",COUNTIFS(BASE[CODCIE106],ENOS_G3_NEU_60_MAS_AÑOS[[#This Row],[CIE-10]],BASE[Edad],"&gt;=60"),COUNTIFS(BASE[Cod.Establecimiento],$O$3,BASE[CODCIE106],ENOS_G3_NEU_60_MAS_AÑOS[[#This Row],[CIE-10]],BASE[Edad],"&gt;=60"))</calculatedColumnFormula>
    </tableColumn>
    <tableColumn id="6" xr3:uid="{00000000-0010-0000-2E00-000006000000}" name="D5" dataDxfId="1710">
      <calculatedColumnFormula>IF($O$3="(Todas)",COUNTIFS(BASE[CODCIE108],ENOS_G3_NEU_60_MAS_AÑOS[[#This Row],[CIE-10]],BASE[Edad],"&gt;=60"),COUNTIFS(BASE[Cod.Establecimiento],$O$3,BASE[CODCIE108],ENOS_G3_NEU_60_MAS_AÑOS[[#This Row],[CIE-10]],BASE[Edad],"&gt;=60"))</calculatedColumnFormula>
    </tableColumn>
    <tableColumn id="7" xr3:uid="{00000000-0010-0000-2E00-000007000000}" name="D6" dataDxfId="1709">
      <calculatedColumnFormula>IF($O$3="(Todas)",COUNTIFS(BASE[CODCIE1010],ENOS_G3_NEU_60_MAS_AÑOS[[#This Row],[CIE-10]],BASE[Edad],"&gt;=60"),COUNTIFS(BASE[Cod.Establecimiento],$O$3,BASE[CODCIE1010],ENOS_G3_NEU_60_MAS_AÑOS[[#This Row],[CIE-10]],BASE[Edad],"&gt;=60"))</calculatedColumnFormula>
    </tableColumn>
    <tableColumn id="8" xr3:uid="{00000000-0010-0000-2E00-000008000000}" name="TOT" dataDxfId="1708" dataCellStyle="40% - Énfasis6">
      <calculatedColumnFormula>SUM(ENOS_G3_NEU_60_MAS_AÑOS[[#This Row],[D1]:[D6]])</calculatedColumnFormula>
    </tableColumn>
  </tableColumns>
  <tableStyleInfo name="TableStyleLight1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ENOS_G3_NEU_SD_AÑOS" displayName="ENOS_G3_NEU_SD_AÑOS" ref="Y158:AF165" totalsRowShown="0" headerRowDxfId="1707">
  <autoFilter ref="Y158:AF165" xr:uid="{00000000-0009-0000-0100-000030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2F00-000001000000}" name="CIE-10" dataCellStyle="20% - Énfasis4"/>
    <tableColumn id="2" xr3:uid="{00000000-0010-0000-2F00-000002000000}" name="D1" dataDxfId="1706">
      <calculatedColumnFormula>IF($O$3="(Todas)",COUNTIFS(BASE[CODCIE10],ENOS_G3_NEU_SD_AÑOS[[#This Row],[CIE-10]],BASE[Edad],""),COUNTIFS(BASE[Cod.Establecimiento],$O$3,BASE[CODCIE10],ENOS_G3_NEU_SD_AÑOS[[#This Row],[CIE-10]],BASE[Edad],""))</calculatedColumnFormula>
    </tableColumn>
    <tableColumn id="3" xr3:uid="{00000000-0010-0000-2F00-000003000000}" name="D2" dataDxfId="1705">
      <calculatedColumnFormula>IF($O$3="(Todas)",COUNTIFS(BASE[CODCIE102],ENOS_G3_NEU_SD_AÑOS[[#This Row],[CIE-10]],BASE[Edad],""),COUNTIFS(BASE[Cod.Establecimiento],$O$3,BASE[CODCIE102],ENOS_G3_NEU_SD_AÑOS[[#This Row],[CIE-10]],BASE[Edad],""))</calculatedColumnFormula>
    </tableColumn>
    <tableColumn id="4" xr3:uid="{00000000-0010-0000-2F00-000004000000}" name="D3" dataDxfId="1704">
      <calculatedColumnFormula>IF($O$3="(Todas)",COUNTIFS(BASE[CODCIE104],ENOS_G3_NEU_SD_AÑOS[[#This Row],[CIE-10]],BASE[Edad],""),COUNTIFS(BASE[Cod.Establecimiento],$O$3,BASE[CODCIE104],ENOS_G3_NEU_SD_AÑOS[[#This Row],[CIE-10]],BASE[Edad],""))</calculatedColumnFormula>
    </tableColumn>
    <tableColumn id="5" xr3:uid="{00000000-0010-0000-2F00-000005000000}" name="D4" dataDxfId="1703">
      <calculatedColumnFormula>IF($O$3="(Todas)",COUNTIFS(BASE[CODCIE106],ENOS_G3_NEU_SD_AÑOS[[#This Row],[CIE-10]],BASE[Edad],""),COUNTIFS(BASE[Cod.Establecimiento],$O$3,BASE[CODCIE106],ENOS_G3_NEU_SD_AÑOS[[#This Row],[CIE-10]],BASE[Edad],""))</calculatedColumnFormula>
    </tableColumn>
    <tableColumn id="6" xr3:uid="{00000000-0010-0000-2F00-000006000000}" name="D5" dataDxfId="1702">
      <calculatedColumnFormula>IF($O$3="(Todas)",COUNTIFS(BASE[CODCIE108],ENOS_G3_NEU_SD_AÑOS[[#This Row],[CIE-10]],BASE[Edad],""),COUNTIFS(BASE[Cod.Establecimiento],$O$3,BASE[CODCIE108],ENOS_G3_NEU_SD_AÑOS[[#This Row],[CIE-10]],BASE[Edad],""))</calculatedColumnFormula>
    </tableColumn>
    <tableColumn id="7" xr3:uid="{00000000-0010-0000-2F00-000007000000}" name="D6" dataDxfId="1701">
      <calculatedColumnFormula>IF($O$3="(Todas)",COUNTIFS(BASE[CODCIE1010],ENOS_G3_NEU_SD_AÑOS[[#This Row],[CIE-10]],BASE[Edad],""),COUNTIFS(BASE[Cod.Establecimiento],$O$3,BASE[CODCIE1010],ENOS_G3_NEU_SD_AÑOS[[#This Row],[CIE-10]],BASE[Edad],""))</calculatedColumnFormula>
    </tableColumn>
    <tableColumn id="8" xr3:uid="{00000000-0010-0000-2F00-000008000000}" name="TOT" dataDxfId="1700" dataCellStyle="40% - Énfasis6">
      <calculatedColumnFormula>SUM(ENOS_G3_NEU_SD_AÑOS[[#This Row],[D1]:[D6]])</calculatedColumnFormula>
    </tableColumn>
  </tableColumns>
  <tableStyleInfo name="TableStyleLight1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ENOS_G3_IRAGNG_MENOR_QUE_1_AÑO" displayName="ENOS_G3_IRAGNG_MENOR_QUE_1_AÑO" ref="P168:W171" totalsRowShown="0" headerRowDxfId="1699">
  <autoFilter ref="P168:W171" xr:uid="{00000000-0009-0000-0100-00003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000-000001000000}" name="CIE-10" dataCellStyle="20% - Énfasis4"/>
    <tableColumn id="2" xr3:uid="{00000000-0010-0000-3000-000002000000}" name="D1" dataDxfId="1698">
      <calculatedColumnFormula>IF($O$3="(Todas)",COUNTIFS(BASE[CODCIE10],ENOS_G3_IRAGNG_MENOR_QUE_1_AÑO[[#This Row],[CIE-10]],BASE[Edad],"&lt;1"),COUNTIFS(BASE[Cod.Establecimiento],$O$3,BASE[CODCIE10],ENOS_G3_IRAGNG_MENOR_QUE_1_AÑO[[#This Row],[CIE-10]],BASE[Edad],"&lt;1"))</calculatedColumnFormula>
    </tableColumn>
    <tableColumn id="3" xr3:uid="{00000000-0010-0000-3000-000003000000}" name="D2" dataDxfId="1697">
      <calculatedColumnFormula>IF($O$3="(Todas)",COUNTIFS(BASE[CODCIE102],ENOS_G3_IRAGNG_MENOR_QUE_1_AÑO[[#This Row],[CIE-10]],BASE[Edad],"&lt;1"),COUNTIFS(BASE[Cod.Establecimiento],$O$3,BASE[CODCIE102],ENOS_G3_IRAGNG_MENOR_QUE_1_AÑO[[#This Row],[CIE-10]],BASE[Edad],"&lt;1"))</calculatedColumnFormula>
    </tableColumn>
    <tableColumn id="4" xr3:uid="{00000000-0010-0000-3000-000004000000}" name="D3" dataDxfId="1696">
      <calculatedColumnFormula>IF($O$3="(Todas)",COUNTIFS(BASE[CODCIE104],ENOS_G3_IRAGNG_MENOR_QUE_1_AÑO[[#This Row],[CIE-10]],BASE[Edad],"&lt;1"),COUNTIFS(BASE[Cod.Establecimiento],$O$3,BASE[CODCIE104],ENOS_G3_IRAGNG_MENOR_QUE_1_AÑO[[#This Row],[CIE-10]],BASE[Edad],"&lt;1"))</calculatedColumnFormula>
    </tableColumn>
    <tableColumn id="5" xr3:uid="{00000000-0010-0000-3000-000005000000}" name="D4" dataDxfId="1695">
      <calculatedColumnFormula>IF($O$3="(Todas)",COUNTIFS(BASE[CODCIE106],ENOS_G3_IRAGNG_MENOR_QUE_1_AÑO[[#This Row],[CIE-10]],BASE[Edad],"&lt;1"),COUNTIFS(BASE[Cod.Establecimiento],$O$3,BASE[CODCIE106],ENOS_G3_IRAGNG_MENOR_QUE_1_AÑO[[#This Row],[CIE-10]],BASE[Edad],"&lt;1"))</calculatedColumnFormula>
    </tableColumn>
    <tableColumn id="6" xr3:uid="{00000000-0010-0000-3000-000006000000}" name="D5" dataDxfId="1694">
      <calculatedColumnFormula>IF($O$3="(Todas)",COUNTIFS(BASE[CODCIE108],ENOS_G3_IRAGNG_MENOR_QUE_1_AÑO[[#This Row],[CIE-10]],BASE[Edad],"&lt;1"),COUNTIFS(BASE[Cod.Establecimiento],$O$3,BASE[CODCIE108],ENOS_G3_IRAGNG_MENOR_QUE_1_AÑO[[#This Row],[CIE-10]],BASE[Edad],"&lt;1"))</calculatedColumnFormula>
    </tableColumn>
    <tableColumn id="7" xr3:uid="{00000000-0010-0000-3000-000007000000}" name="D6" dataDxfId="1693">
      <calculatedColumnFormula>IF($O$3="(Todas)",COUNTIFS(BASE[CODCIE1010],ENOS_G3_IRAGNG_MENOR_QUE_1_AÑO[[#This Row],[CIE-10]],BASE[Edad],"&lt;1"),COUNTIFS(BASE[Cod.Establecimiento],$O$3,BASE[CODCIE1010],ENOS_G3_IRAGNG_MENOR_QUE_1_AÑO[[#This Row],[CIE-10]],BASE[Edad],"&lt;1"))</calculatedColumnFormula>
    </tableColumn>
    <tableColumn id="8" xr3:uid="{00000000-0010-0000-3000-000008000000}" name="TOT" dataDxfId="1692" dataCellStyle="40% - Énfasis6">
      <calculatedColumnFormula>SUM(ENOS_G3_IRAGNG_MENOR_QUE_1_AÑO[[#This Row],[D1]:[D6]])</calculatedColumnFormula>
    </tableColumn>
  </tableColumns>
  <tableStyleInfo name="TableStyleLight1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ENOS_G3_IRAGNG_1_4_AÑOS" displayName="ENOS_G3_IRAGNG_1_4_AÑOS" ref="Y168:AF171" totalsRowShown="0" headerRowDxfId="1691">
  <autoFilter ref="Y168:AF171" xr:uid="{00000000-0009-0000-0100-00003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100-000001000000}" name="CIE-10" dataCellStyle="20% - Énfasis4"/>
    <tableColumn id="2" xr3:uid="{00000000-0010-0000-3100-000002000000}" name="D1" dataDxfId="1690">
      <calculatedColumnFormula>IF($O$3="(Todas)",COUNTIFS(BASE[CODCIE10],ENOS_G3_IRAGNG_1_4_AÑOS[[#This Row],[CIE-10]],BASE[Edad],"&gt;=1",BASE[Edad],"&lt;=4"),COUNTIFS(BASE[Cod.Establecimiento],$O$3,BASE[CODCIE10],ENOS_G3_IRAGNG_1_4_AÑOS[[#This Row],[CIE-10]],BASE[Edad],"&gt;=1",BASE[Edad],"&lt;=4"))</calculatedColumnFormula>
    </tableColumn>
    <tableColumn id="3" xr3:uid="{00000000-0010-0000-3100-000003000000}" name="D2" dataDxfId="1689">
      <calculatedColumnFormula>IF($O$3="(Todas)",COUNTIFS(BASE[CODCIE102],ENOS_G3_IRAGNG_1_4_AÑOS[[#This Row],[CIE-10]],BASE[Edad],"&gt;=1",BASE[Edad],"&lt;=4"),COUNTIFS(BASE[Cod.Establecimiento],$O$3,BASE[CODCIE102],ENOS_G3_IRAGNG_1_4_AÑOS[[#This Row],[CIE-10]],BASE[Edad],"&gt;=1",BASE[Edad],"&lt;=4"))</calculatedColumnFormula>
    </tableColumn>
    <tableColumn id="4" xr3:uid="{00000000-0010-0000-3100-000004000000}" name="D3" dataDxfId="1688">
      <calculatedColumnFormula>IF($O$3="(Todas)",COUNTIFS(BASE[CODCIE104],ENOS_G3_IRAGNG_1_4_AÑOS[[#This Row],[CIE-10]],BASE[Edad],"&gt;=1",BASE[Edad],"&lt;=4"),COUNTIFS(BASE[Cod.Establecimiento],$O$3,BASE[CODCIE104],ENOS_G3_IRAGNG_1_4_AÑOS[[#This Row],[CIE-10]],BASE[Edad],"&gt;=1",BASE[Edad],"&lt;=4"))</calculatedColumnFormula>
    </tableColumn>
    <tableColumn id="5" xr3:uid="{00000000-0010-0000-3100-000005000000}" name="D4" dataDxfId="1687">
      <calculatedColumnFormula>IF($O$3="(Todas)",COUNTIFS(BASE[CODCIE106],ENOS_G3_IRAGNG_1_4_AÑOS[[#This Row],[CIE-10]],BASE[Edad],"&gt;=1",BASE[Edad],"&lt;=4"),COUNTIFS(BASE[Cod.Establecimiento],$O$3,BASE[CODCIE106],ENOS_G3_IRAGNG_1_4_AÑOS[[#This Row],[CIE-10]],BASE[Edad],"&gt;=1",BASE[Edad],"&lt;=4"))</calculatedColumnFormula>
    </tableColumn>
    <tableColumn id="6" xr3:uid="{00000000-0010-0000-3100-000006000000}" name="D5" dataDxfId="1686">
      <calculatedColumnFormula>IF($O$3="(Todas)",COUNTIFS(BASE[CODCIE108],ENOS_G3_IRAGNG_1_4_AÑOS[[#This Row],[CIE-10]],BASE[Edad],"&gt;=1",BASE[Edad],"&lt;=4"),COUNTIFS(BASE[Cod.Establecimiento],$O$3,BASE[CODCIE108],ENOS_G3_IRAGNG_1_4_AÑOS[[#This Row],[CIE-10]],BASE[Edad],"&gt;=1",BASE[Edad],"&lt;=4"))</calculatedColumnFormula>
    </tableColumn>
    <tableColumn id="7" xr3:uid="{00000000-0010-0000-3100-000007000000}" name="D6" dataDxfId="1685">
      <calculatedColumnFormula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calculatedColumnFormula>
    </tableColumn>
    <tableColumn id="8" xr3:uid="{00000000-0010-0000-3100-000008000000}" name="TOT" dataDxfId="1684" dataCellStyle="40% - Énfasis6">
      <calculatedColumnFormula>SUM(ENOS_G3_IRAGNG_1_4_AÑOS[[#This Row],[D1]:[D6]])</calculatedColumnFormula>
    </tableColumn>
  </tableColumns>
  <tableStyleInfo name="TableStyleLight1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ENOS_G3_IRAGNG_5_19_AÑOS" displayName="ENOS_G3_IRAGNG_5_19_AÑOS" ref="P174:W177" totalsRowShown="0" headerRowDxfId="1683">
  <autoFilter ref="P174:W177" xr:uid="{00000000-0009-0000-0100-00003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200-000001000000}" name="CIE-10" dataCellStyle="20% - Énfasis4"/>
    <tableColumn id="2" xr3:uid="{00000000-0010-0000-3200-000002000000}" name="D1" dataDxfId="1682">
      <calculatedColumnFormula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calculatedColumnFormula>
    </tableColumn>
    <tableColumn id="3" xr3:uid="{00000000-0010-0000-3200-000003000000}" name="D2" dataDxfId="1681">
      <calculatedColumnFormula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calculatedColumnFormula>
    </tableColumn>
    <tableColumn id="4" xr3:uid="{00000000-0010-0000-3200-000004000000}" name="D3" dataDxfId="1680">
      <calculatedColumnFormula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calculatedColumnFormula>
    </tableColumn>
    <tableColumn id="5" xr3:uid="{00000000-0010-0000-3200-000005000000}" name="D4" dataDxfId="1679">
      <calculatedColumnFormula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calculatedColumnFormula>
    </tableColumn>
    <tableColumn id="6" xr3:uid="{00000000-0010-0000-3200-000006000000}" name="D5" dataDxfId="1678">
      <calculatedColumnFormula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calculatedColumnFormula>
    </tableColumn>
    <tableColumn id="7" xr3:uid="{00000000-0010-0000-3200-000007000000}" name="D6" dataDxfId="1677">
      <calculatedColumnFormula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calculatedColumnFormula>
    </tableColumn>
    <tableColumn id="8" xr3:uid="{00000000-0010-0000-3200-000008000000}" name="TOT" dataDxfId="1676" dataCellStyle="40% - Énfasis6">
      <calculatedColumnFormula>SUM(ENOS_G3_IRAGNG_5_19_AÑOS[[#This Row],[D1]:[D6]])</calculatedColumnFormula>
    </tableColumn>
  </tableColumns>
  <tableStyleInfo name="TableStyleLight1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ENOS_G3_IRAGNG_20_59_AÑOS" displayName="ENOS_G3_IRAGNG_20_59_AÑOS" ref="Y174:AF177" totalsRowShown="0" headerRowDxfId="1675">
  <autoFilter ref="Y174:AF177" xr:uid="{00000000-0009-0000-0100-00003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300-000001000000}" name="CIE-10" dataCellStyle="20% - Énfasis4"/>
    <tableColumn id="2" xr3:uid="{00000000-0010-0000-3300-000002000000}" name="D1" dataDxfId="1674">
      <calculatedColumnFormula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calculatedColumnFormula>
    </tableColumn>
    <tableColumn id="3" xr3:uid="{00000000-0010-0000-3300-000003000000}" name="D2" dataDxfId="1673">
      <calculatedColumnFormula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calculatedColumnFormula>
    </tableColumn>
    <tableColumn id="4" xr3:uid="{00000000-0010-0000-3300-000004000000}" name="D3" dataDxfId="1672">
      <calculatedColumnFormula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calculatedColumnFormula>
    </tableColumn>
    <tableColumn id="5" xr3:uid="{00000000-0010-0000-3300-000005000000}" name="D4" dataDxfId="1671">
      <calculatedColumnFormula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calculatedColumnFormula>
    </tableColumn>
    <tableColumn id="6" xr3:uid="{00000000-0010-0000-3300-000006000000}" name="D5" dataDxfId="1670">
      <calculatedColumnFormula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calculatedColumnFormula>
    </tableColumn>
    <tableColumn id="7" xr3:uid="{00000000-0010-0000-3300-000007000000}" name="D6" dataDxfId="1669">
      <calculatedColumnFormula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calculatedColumnFormula>
    </tableColumn>
    <tableColumn id="8" xr3:uid="{00000000-0010-0000-3300-000008000000}" name="TOT" dataDxfId="1668" dataCellStyle="40% - Énfasis6">
      <calculatedColumnFormula>SUM(ENOS_G3_IRAGNG_20_59_AÑOS[[#This Row],[D1]:[D6]])</calculatedColumnFormula>
    </tableColumn>
  </tableColumns>
  <tableStyleInfo name="TableStyleLight1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ENOS_G3_IRAGNG_60_MAS_AÑOS" displayName="ENOS_G3_IRAGNG_60_MAS_AÑOS" ref="P180:W183" totalsRowShown="0" headerRowDxfId="1667">
  <autoFilter ref="P180:W183" xr:uid="{00000000-0009-0000-0100-00003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400-000001000000}" name="CIE-10" dataCellStyle="20% - Énfasis4"/>
    <tableColumn id="2" xr3:uid="{00000000-0010-0000-3400-000002000000}" name="D1" dataDxfId="1666">
      <calculatedColumnFormula>IF($O$3="(Todas)",COUNTIFS(BASE[CODCIE10],ENOS_G3_IRAGNG_60_MAS_AÑOS[[#This Row],[CIE-10]],BASE[Edad],"&gt;=60"),COUNTIFS(BASE[Cod.Establecimiento],$O$3,BASE[CODCIE10],ENOS_G3_IRAGNG_60_MAS_AÑOS[[#This Row],[CIE-10]],BASE[Edad],"&gt;=60"))</calculatedColumnFormula>
    </tableColumn>
    <tableColumn id="3" xr3:uid="{00000000-0010-0000-3400-000003000000}" name="D2" dataDxfId="1665">
      <calculatedColumnFormula>IF($O$3="(Todas)",COUNTIFS(BASE[CODCIE102],ENOS_G3_IRAGNG_60_MAS_AÑOS[[#This Row],[CIE-10]],BASE[Edad],"&gt;=60"),COUNTIFS(BASE[Cod.Establecimiento],$O$3,BASE[CODCIE102],ENOS_G3_IRAGNG_60_MAS_AÑOS[[#This Row],[CIE-10]],BASE[Edad],"&gt;=60"))</calculatedColumnFormula>
    </tableColumn>
    <tableColumn id="4" xr3:uid="{00000000-0010-0000-3400-000004000000}" name="D3" dataDxfId="1664">
      <calculatedColumnFormula>IF($O$3="(Todas)",COUNTIFS(BASE[CODCIE104],ENOS_G3_IRAGNG_60_MAS_AÑOS[[#This Row],[CIE-10]],BASE[Edad],"&gt;=60"),COUNTIFS(BASE[Cod.Establecimiento],$O$3,BASE[CODCIE104],ENOS_G3_IRAGNG_60_MAS_AÑOS[[#This Row],[CIE-10]],BASE[Edad],"&gt;=60"))</calculatedColumnFormula>
    </tableColumn>
    <tableColumn id="5" xr3:uid="{00000000-0010-0000-3400-000005000000}" name="D4" dataDxfId="1663">
      <calculatedColumnFormula>IF($O$3="(Todas)",COUNTIFS(BASE[CODCIE106],ENOS_G3_IRAGNG_60_MAS_AÑOS[[#This Row],[CIE-10]],BASE[Edad],"&gt;=60"),COUNTIFS(BASE[Cod.Establecimiento],$O$3,BASE[CODCIE106],ENOS_G3_IRAGNG_60_MAS_AÑOS[[#This Row],[CIE-10]],BASE[Edad],"&gt;=60"))</calculatedColumnFormula>
    </tableColumn>
    <tableColumn id="6" xr3:uid="{00000000-0010-0000-3400-000006000000}" name="D5" dataDxfId="1662">
      <calculatedColumnFormula>IF($O$3="(Todas)",COUNTIFS(BASE[CODCIE108],ENOS_G3_IRAGNG_60_MAS_AÑOS[[#This Row],[CIE-10]],BASE[Edad],"&gt;=60"),COUNTIFS(BASE[Cod.Establecimiento],$O$3,BASE[CODCIE108],ENOS_G3_IRAGNG_60_MAS_AÑOS[[#This Row],[CIE-10]],BASE[Edad],"&gt;=60"))</calculatedColumnFormula>
    </tableColumn>
    <tableColumn id="7" xr3:uid="{00000000-0010-0000-3400-000007000000}" name="D6" dataDxfId="1661">
      <calculatedColumnFormula>IF($O$3="(Todas)",COUNTIFS(BASE[CODCIE1010],ENOS_G3_IRAGNG_60_MAS_AÑOS[[#This Row],[CIE-10]],BASE[Edad],"&gt;=60"),COUNTIFS(BASE[Cod.Establecimiento],$O$3,BASE[CODCIE1010],ENOS_G3_IRAGNG_60_MAS_AÑOS[[#This Row],[CIE-10]],BASE[Edad],"&gt;=60"))</calculatedColumnFormula>
    </tableColumn>
    <tableColumn id="8" xr3:uid="{00000000-0010-0000-3400-000008000000}" name="TOT" dataDxfId="1660" dataCellStyle="40% - Énfasis6">
      <calculatedColumnFormula>SUM(ENOS_G3_IRAGNG_60_MAS_AÑOS[[#This Row],[D1]:[D6]])</calculatedColumnFormula>
    </tableColumn>
  </tableColumns>
  <tableStyleInfo name="TableStyleLight1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ENOS_G3_IRAGNG_SD_AÑOS" displayName="ENOS_G3_IRAGNG_SD_AÑOS" ref="Y180:AF183" totalsRowShown="0" headerRowDxfId="1659">
  <autoFilter ref="Y180:AF183" xr:uid="{00000000-0009-0000-0100-000036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500-000001000000}" name="CIE-10" dataCellStyle="20% - Énfasis4"/>
    <tableColumn id="2" xr3:uid="{00000000-0010-0000-3500-000002000000}" name="D1" dataDxfId="1658">
      <calculatedColumnFormula>IF($O$3="(Todas)",COUNTIFS(BASE[CODCIE10],ENOS_G3_IRAGNG_SD_AÑOS[[#This Row],[CIE-10]],BASE[Edad],""),COUNTIFS(BASE[Cod.Establecimiento],$O$3,BASE[CODCIE10],ENOS_G3_IRAGNG_SD_AÑOS[[#This Row],[CIE-10]],BASE[Edad],""))</calculatedColumnFormula>
    </tableColumn>
    <tableColumn id="3" xr3:uid="{00000000-0010-0000-3500-000003000000}" name="D2" dataDxfId="1657">
      <calculatedColumnFormula>IF($O$3="(Todas)",COUNTIFS(BASE[CODCIE102],ENOS_G3_IRAGNG_SD_AÑOS[[#This Row],[CIE-10]],BASE[Edad],""),COUNTIFS(BASE[Cod.Establecimiento],$O$3,BASE[CODCIE102],ENOS_G3_IRAGNG_SD_AÑOS[[#This Row],[CIE-10]],BASE[Edad],""))</calculatedColumnFormula>
    </tableColumn>
    <tableColumn id="4" xr3:uid="{00000000-0010-0000-3500-000004000000}" name="D3" dataDxfId="1656">
      <calculatedColumnFormula>IF($O$3="(Todas)",COUNTIFS(BASE[CODCIE104],ENOS_G3_IRAGNG_SD_AÑOS[[#This Row],[CIE-10]],BASE[Edad],""),COUNTIFS(BASE[Cod.Establecimiento],$O$3,BASE[CODCIE104],ENOS_G3_IRAGNG_SD_AÑOS[[#This Row],[CIE-10]],BASE[Edad],""))</calculatedColumnFormula>
    </tableColumn>
    <tableColumn id="5" xr3:uid="{00000000-0010-0000-3500-000005000000}" name="D4" dataDxfId="1655">
      <calculatedColumnFormula>IF($O$3="(Todas)",COUNTIFS(BASE[CODCIE106],ENOS_G3_IRAGNG_SD_AÑOS[[#This Row],[CIE-10]],BASE[Edad],""),COUNTIFS(BASE[Cod.Establecimiento],$O$3,BASE[CODCIE106],ENOS_G3_IRAGNG_SD_AÑOS[[#This Row],[CIE-10]],BASE[Edad],""))</calculatedColumnFormula>
    </tableColumn>
    <tableColumn id="6" xr3:uid="{00000000-0010-0000-3500-000006000000}" name="D5" dataDxfId="1654">
      <calculatedColumnFormula>IF($O$3="(Todas)",COUNTIFS(BASE[CODCIE108],ENOS_G3_IRAGNG_SD_AÑOS[[#This Row],[CIE-10]],BASE[Edad],""),COUNTIFS(BASE[Cod.Establecimiento],$O$3,BASE[CODCIE108],ENOS_G3_IRAGNG_SD_AÑOS[[#This Row],[CIE-10]],BASE[Edad],""))</calculatedColumnFormula>
    </tableColumn>
    <tableColumn id="7" xr3:uid="{00000000-0010-0000-3500-000007000000}" name="D6" dataDxfId="1653">
      <calculatedColumnFormula>IF($O$3="(Todas)",COUNTIFS(BASE[CODCIE1010],ENOS_G3_IRAGNG_SD_AÑOS[[#This Row],[CIE-10]],BASE[Edad],""),COUNTIFS(BASE[Cod.Establecimiento],$O$3,BASE[CODCIE1010],ENOS_G3_IRAGNG_SD_AÑOS[[#This Row],[CIE-10]],BASE[Edad],""))</calculatedColumnFormula>
    </tableColumn>
    <tableColumn id="8" xr3:uid="{00000000-0010-0000-3500-000008000000}" name="TOT" dataDxfId="1652" dataCellStyle="40% - Énfasis6">
      <calculatedColumnFormula>SUM(ENOS_G3_IRAGNG_SD_AÑOS[[#This Row],[D1]:[D6]])</calculatedColumnFormula>
    </tableColumn>
  </tableColumns>
  <tableStyleInfo name="TableStyleLight1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ENOS_G3_DA_MENOR_QUE_1_AÑO" displayName="ENOS_G3_DA_MENOR_QUE_1_AÑO" ref="P186:W194" totalsRowShown="0" headerRowDxfId="1651">
  <autoFilter ref="P186:W194" xr:uid="{00000000-0009-0000-0100-00003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600-000001000000}" name="CIE-10" dataCellStyle="20% - Énfasis4"/>
    <tableColumn id="2" xr3:uid="{00000000-0010-0000-3600-000002000000}" name="D1" dataDxfId="1650">
      <calculatedColumnFormula>IF($O$3="(Todas)",COUNTIFS(BASE[CODCIE10],ENOS_G3_DA_MENOR_QUE_1_AÑO[[#This Row],[CIE-10]],BASE[Edad],"&lt;1"),COUNTIFS(BASE[Cod.Establecimiento],$O$3,BASE[CODCIE10],ENOS_G3_DA_MENOR_QUE_1_AÑO[[#This Row],[CIE-10]],BASE[Edad],"&lt;1"))</calculatedColumnFormula>
    </tableColumn>
    <tableColumn id="3" xr3:uid="{00000000-0010-0000-3600-000003000000}" name="D2" dataDxfId="1649">
      <calculatedColumnFormula>IF($O$3="(Todas)",COUNTIFS(BASE[CODCIE102],ENOS_G3_DA_MENOR_QUE_1_AÑO[[#This Row],[CIE-10]],BASE[Edad],"&lt;1"),COUNTIFS(BASE[Cod.Establecimiento],$O$3,BASE[CODCIE102],ENOS_G3_DA_MENOR_QUE_1_AÑO[[#This Row],[CIE-10]],BASE[Edad],"&lt;1"))</calculatedColumnFormula>
    </tableColumn>
    <tableColumn id="4" xr3:uid="{00000000-0010-0000-3600-000004000000}" name="D3" dataDxfId="1648">
      <calculatedColumnFormula>IF($O$3="(Todas)",COUNTIFS(BASE[CODCIE104],ENOS_G3_DA_MENOR_QUE_1_AÑO[[#This Row],[CIE-10]],BASE[Edad],"&lt;1"),COUNTIFS(BASE[Cod.Establecimiento],$O$3,BASE[CODCIE104],ENOS_G3_DA_MENOR_QUE_1_AÑO[[#This Row],[CIE-10]],BASE[Edad],"&lt;1"))</calculatedColumnFormula>
    </tableColumn>
    <tableColumn id="5" xr3:uid="{00000000-0010-0000-3600-000005000000}" name="D4" dataDxfId="1647">
      <calculatedColumnFormula>IF($O$3="(Todas)",COUNTIFS(BASE[CODCIE106],ENOS_G3_DA_MENOR_QUE_1_AÑO[[#This Row],[CIE-10]],BASE[Edad],"&lt;1"),COUNTIFS(BASE[Cod.Establecimiento],$O$3,BASE[CODCIE106],ENOS_G3_DA_MENOR_QUE_1_AÑO[[#This Row],[CIE-10]],BASE[Edad],"&lt;1"))</calculatedColumnFormula>
    </tableColumn>
    <tableColumn id="6" xr3:uid="{00000000-0010-0000-3600-000006000000}" name="D5" dataDxfId="1646">
      <calculatedColumnFormula>IF($O$3="(Todas)",COUNTIFS(BASE[CODCIE108],ENOS_G3_DA_MENOR_QUE_1_AÑO[[#This Row],[CIE-10]],BASE[Edad],"&lt;1"),COUNTIFS(BASE[Cod.Establecimiento],$O$3,BASE[CODCIE108],ENOS_G3_DA_MENOR_QUE_1_AÑO[[#This Row],[CIE-10]],BASE[Edad],"&lt;1"))</calculatedColumnFormula>
    </tableColumn>
    <tableColumn id="7" xr3:uid="{00000000-0010-0000-3600-000007000000}" name="D6" dataDxfId="1645">
      <calculatedColumnFormula>IF($O$3="(Todas)",COUNTIFS(BASE[CODCIE1010],ENOS_G3_DA_MENOR_QUE_1_AÑO[[#This Row],[CIE-10]],BASE[Edad],"&lt;1"),COUNTIFS(BASE[Cod.Establecimiento],$O$3,BASE[CODCIE1010],ENOS_G3_DA_MENOR_QUE_1_AÑO[[#This Row],[CIE-10]],BASE[Edad],"&lt;1"))</calculatedColumnFormula>
    </tableColumn>
    <tableColumn id="8" xr3:uid="{00000000-0010-0000-3600-000008000000}" name="TOT" dataDxfId="1644" dataCellStyle="40% - Énfasis6">
      <calculatedColumnFormula>SUM(ENOS_G3_DA_MENOR_QUE_1_AÑO[[#This Row],[D1]:[D6]])</calculatedColumnFormula>
    </tableColumn>
  </tableColumns>
  <tableStyleInfo name="TableStyleLight1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ENOS_G3_DA_1_4_AÑOS" displayName="ENOS_G3_DA_1_4_AÑOS" ref="Y186:AF194" totalsRowShown="0" headerRowDxfId="1643">
  <autoFilter ref="Y186:AF194" xr:uid="{00000000-0009-0000-0100-00003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700-000001000000}" name="CIE-10" dataCellStyle="20% - Énfasis4"/>
    <tableColumn id="2" xr3:uid="{00000000-0010-0000-3700-000002000000}" name="D1" dataDxfId="1642">
      <calculatedColumnFormula>IF($O$3="(Todas)",COUNTIFS(BASE[CODCIE10],ENOS_G3_DA_1_4_AÑOS[[#This Row],[CIE-10]],BASE[Edad],"&gt;=1",BASE[Edad],"&lt;=4"),COUNTIFS(BASE[Cod.Establecimiento],$O$3,BASE[CODCIE10],ENOS_G3_DA_1_4_AÑOS[[#This Row],[CIE-10]],BASE[Edad],"&gt;=1",BASE[Edad],"&lt;=4"))</calculatedColumnFormula>
    </tableColumn>
    <tableColumn id="3" xr3:uid="{00000000-0010-0000-3700-000003000000}" name="D2" dataDxfId="1641">
      <calculatedColumnFormula>IF($O$3="(Todas)",COUNTIFS(BASE[CODCIE102],ENOS_G3_DA_1_4_AÑOS[[#This Row],[CIE-10]],BASE[Edad],"&gt;=1",BASE[Edad],"&lt;=4"),COUNTIFS(BASE[Cod.Establecimiento],$O$3,BASE[CODCIE102],ENOS_G3_DA_1_4_AÑOS[[#This Row],[CIE-10]],BASE[Edad],"&gt;=1",BASE[Edad],"&lt;=4"))</calculatedColumnFormula>
    </tableColumn>
    <tableColumn id="4" xr3:uid="{00000000-0010-0000-3700-000004000000}" name="D3" dataDxfId="1640">
      <calculatedColumnFormula>IF($O$3="(Todas)",COUNTIFS(BASE[CODCIE104],ENOS_G3_DA_1_4_AÑOS[[#This Row],[CIE-10]],BASE[Edad],"&gt;=1",BASE[Edad],"&lt;=4"),COUNTIFS(BASE[Cod.Establecimiento],$O$3,BASE[CODCIE104],ENOS_G3_DA_1_4_AÑOS[[#This Row],[CIE-10]],BASE[Edad],"&gt;=1",BASE[Edad],"&lt;=4"))</calculatedColumnFormula>
    </tableColumn>
    <tableColumn id="5" xr3:uid="{00000000-0010-0000-3700-000005000000}" name="D4" dataDxfId="1639">
      <calculatedColumnFormula>IF($O$3="(Todas)",COUNTIFS(BASE[CODCIE106],ENOS_G3_DA_1_4_AÑOS[[#This Row],[CIE-10]],BASE[Edad],"&gt;=1",BASE[Edad],"&lt;=4"),COUNTIFS(BASE[Cod.Establecimiento],$O$3,BASE[CODCIE106],ENOS_G3_DA_1_4_AÑOS[[#This Row],[CIE-10]],BASE[Edad],"&gt;=1",BASE[Edad],"&lt;=4"))</calculatedColumnFormula>
    </tableColumn>
    <tableColumn id="6" xr3:uid="{00000000-0010-0000-3700-000006000000}" name="D5" dataDxfId="1638">
      <calculatedColumnFormula>IF($O$3="(Todas)",COUNTIFS(BASE[CODCIE108],ENOS_G3_DA_1_4_AÑOS[[#This Row],[CIE-10]],BASE[Edad],"&gt;=1",BASE[Edad],"&lt;=4"),COUNTIFS(BASE[Cod.Establecimiento],$O$3,BASE[CODCIE108],ENOS_G3_DA_1_4_AÑOS[[#This Row],[CIE-10]],BASE[Edad],"&gt;=1",BASE[Edad],"&lt;=4"))</calculatedColumnFormula>
    </tableColumn>
    <tableColumn id="7" xr3:uid="{00000000-0010-0000-3700-000007000000}" name="D6" dataDxfId="1637">
      <calculatedColumnFormula>IF($O$3="(Todas)",COUNTIFS(BASE[CODCIE1010],ENOS_G3_DA_1_4_AÑOS[[#This Row],[CIE-10]],BASE[Edad],"&gt;=1",BASE[Edad],"&lt;=4"),COUNTIFS(BASE[Cod.Establecimiento],$O$3,BASE[CODCIE1010],ENOS_G3_DA_1_4_AÑOS[[#This Row],[CIE-10]],BASE[Edad],"&gt;=1",BASE[Edad],"&lt;=4"))</calculatedColumnFormula>
    </tableColumn>
    <tableColumn id="8" xr3:uid="{00000000-0010-0000-3700-000008000000}" name="TOT" dataDxfId="1636" dataCellStyle="40% - Énfasis6">
      <calculatedColumnFormula>SUM(ENOS_G3_DA_1_4_AÑOS[[#This Row],[D1]:[D6]])</calculatedColumnFormula>
    </tableColumn>
  </tableColumns>
  <tableStyleInfo name="TableStyleLight1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ENOS_G3_DA_5_19_AÑOS" displayName="ENOS_G3_DA_5_19_AÑOS" ref="P197:W205" totalsRowShown="0" headerRowDxfId="1635">
  <autoFilter ref="P197:W205" xr:uid="{00000000-0009-0000-0100-000039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800-000001000000}" name="CIE-10" dataCellStyle="20% - Énfasis4"/>
    <tableColumn id="2" xr3:uid="{00000000-0010-0000-3800-000002000000}" name="D1" dataDxfId="1634">
      <calculatedColumnFormula>IF($O$3="(Todas)",COUNTIFS(BASE[CODCIE10],ENOS_G3_DA_5_19_AÑOS[[#This Row],[CIE-10]],BASE[Edad],"&gt;=5",BASE[Edad],"&lt;=19"),COUNTIFS(BASE[Cod.Establecimiento],$O$3,BASE[CODCIE10],ENOS_G3_DA_5_19_AÑOS[[#This Row],[CIE-10]],BASE[Edad],"&gt;=5",BASE[Edad],"&lt;=19"))</calculatedColumnFormula>
    </tableColumn>
    <tableColumn id="3" xr3:uid="{00000000-0010-0000-3800-000003000000}" name="D2" dataDxfId="1633">
      <calculatedColumnFormula>IF($O$3="(Todas)",COUNTIFS(BASE[CODCIE102],ENOS_G3_DA_5_19_AÑOS[[#This Row],[CIE-10]],BASE[Edad],"&gt;=5",BASE[Edad],"&lt;=19"),COUNTIFS(BASE[Cod.Establecimiento],$O$3,BASE[CODCIE102],ENOS_G3_DA_5_19_AÑOS[[#This Row],[CIE-10]],BASE[Edad],"&gt;=5",BASE[Edad],"&lt;=19"))</calculatedColumnFormula>
    </tableColumn>
    <tableColumn id="4" xr3:uid="{00000000-0010-0000-3800-000004000000}" name="D3" dataDxfId="1632">
      <calculatedColumnFormula>IF($O$3="(Todas)",COUNTIFS(BASE[CODCIE104],ENOS_G3_DA_5_19_AÑOS[[#This Row],[CIE-10]],BASE[Edad],"&gt;=5",BASE[Edad],"&lt;=19"),COUNTIFS(BASE[Cod.Establecimiento],$O$3,BASE[CODCIE104],ENOS_G3_DA_5_19_AÑOS[[#This Row],[CIE-10]],BASE[Edad],"&gt;=5",BASE[Edad],"&lt;=19"))</calculatedColumnFormula>
    </tableColumn>
    <tableColumn id="5" xr3:uid="{00000000-0010-0000-3800-000005000000}" name="D4" dataDxfId="1631">
      <calculatedColumnFormula>IF($O$3="(Todas)",COUNTIFS(BASE[CODCIE106],ENOS_G3_DA_5_19_AÑOS[[#This Row],[CIE-10]],BASE[Edad],"&gt;=5",BASE[Edad],"&lt;=19"),COUNTIFS(BASE[Cod.Establecimiento],$O$3,BASE[CODCIE106],ENOS_G3_DA_5_19_AÑOS[[#This Row],[CIE-10]],BASE[Edad],"&gt;=5",BASE[Edad],"&lt;=19"))</calculatedColumnFormula>
    </tableColumn>
    <tableColumn id="6" xr3:uid="{00000000-0010-0000-3800-000006000000}" name="D5" dataDxfId="1630">
      <calculatedColumnFormula>IF($O$3="(Todas)",COUNTIFS(BASE[CODCIE108],ENOS_G3_DA_5_19_AÑOS[[#This Row],[CIE-10]],BASE[Edad],"&gt;=5",BASE[Edad],"&lt;=19"),COUNTIFS(BASE[Cod.Establecimiento],$O$3,BASE[CODCIE108],ENOS_G3_DA_5_19_AÑOS[[#This Row],[CIE-10]],BASE[Edad],"&gt;=5",BASE[Edad],"&lt;=19"))</calculatedColumnFormula>
    </tableColumn>
    <tableColumn id="7" xr3:uid="{00000000-0010-0000-3800-000007000000}" name="D6" dataDxfId="1629">
      <calculatedColumnFormula>IF($O$3="(Todas)",COUNTIFS(BASE[CODCIE1010],ENOS_G3_DA_5_19_AÑOS[[#This Row],[CIE-10]],BASE[Edad],"&gt;=5",BASE[Edad],"&lt;=19"),COUNTIFS(BASE[Cod.Establecimiento],$O$3,BASE[CODCIE1010],ENOS_G3_DA_5_19_AÑOS[[#This Row],[CIE-10]],BASE[Edad],"&gt;=5",BASE[Edad],"&lt;=19"))</calculatedColumnFormula>
    </tableColumn>
    <tableColumn id="8" xr3:uid="{00000000-0010-0000-3800-000008000000}" name="TOT" dataDxfId="1628" dataCellStyle="40% - Énfasis6">
      <calculatedColumnFormula>SUM(ENOS_G3_DA_5_19_AÑOS[[#This Row],[D1]:[D6]])</calculatedColumnFormula>
    </tableColumn>
  </tableColumns>
  <tableStyleInfo name="TableStyleLight1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ENOS_G3_DA_20_59_AÑOS" displayName="ENOS_G3_DA_20_59_AÑOS" ref="Y197:AF205" totalsRowShown="0" headerRowDxfId="1627">
  <autoFilter ref="Y197:AF205" xr:uid="{00000000-0009-0000-0100-00003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900-000001000000}" name="CIE-10" dataCellStyle="20% - Énfasis4"/>
    <tableColumn id="2" xr3:uid="{00000000-0010-0000-3900-000002000000}" name="D1" dataDxfId="1626">
      <calculatedColumnFormula>IF($O$3="(Todas)",COUNTIFS(BASE[CODCIE10],ENOS_G3_DA_20_59_AÑOS[[#This Row],[CIE-10]],BASE[Edad],"&gt;=20",BASE[Edad],"&lt;=59"),COUNTIFS(BASE[Cod.Establecimiento],$O$3,BASE[CODCIE10],ENOS_G3_DA_20_59_AÑOS[[#This Row],[CIE-10]],BASE[Edad],"&gt;=20",BASE[Edad],"&lt;=59"))</calculatedColumnFormula>
    </tableColumn>
    <tableColumn id="3" xr3:uid="{00000000-0010-0000-3900-000003000000}" name="D2" dataDxfId="1625">
      <calculatedColumnFormula>IF($O$3="(Todas)",COUNTIFS(BASE[CODCIE102],ENOS_G3_DA_20_59_AÑOS[[#This Row],[CIE-10]],BASE[Edad],"&gt;=20",BASE[Edad],"&lt;=59"),COUNTIFS(BASE[Cod.Establecimiento],$O$3,BASE[CODCIE102],ENOS_G3_DA_20_59_AÑOS[[#This Row],[CIE-10]],BASE[Edad],"&gt;=20",BASE[Edad],"&lt;=59"))</calculatedColumnFormula>
    </tableColumn>
    <tableColumn id="4" xr3:uid="{00000000-0010-0000-3900-000004000000}" name="D3" dataDxfId="1624">
      <calculatedColumnFormula>IF($O$3="(Todas)",COUNTIFS(BASE[CODCIE104],ENOS_G3_DA_20_59_AÑOS[[#This Row],[CIE-10]],BASE[Edad],"&gt;=20",BASE[Edad],"&lt;=59"),COUNTIFS(BASE[Cod.Establecimiento],$O$3,BASE[CODCIE104],ENOS_G3_DA_20_59_AÑOS[[#This Row],[CIE-10]],BASE[Edad],"&gt;=20",BASE[Edad],"&lt;=59"))</calculatedColumnFormula>
    </tableColumn>
    <tableColumn id="5" xr3:uid="{00000000-0010-0000-3900-000005000000}" name="D4" dataDxfId="1623">
      <calculatedColumnFormula>IF($O$3="(Todas)",COUNTIFS(BASE[CODCIE106],ENOS_G3_DA_20_59_AÑOS[[#This Row],[CIE-10]],BASE[Edad],"&gt;=20",BASE[Edad],"&lt;=59"),COUNTIFS(BASE[Cod.Establecimiento],$O$3,BASE[CODCIE106],ENOS_G3_DA_20_59_AÑOS[[#This Row],[CIE-10]],BASE[Edad],"&gt;=20",BASE[Edad],"&lt;=59"))</calculatedColumnFormula>
    </tableColumn>
    <tableColumn id="6" xr3:uid="{00000000-0010-0000-3900-000006000000}" name="D5" dataDxfId="1622">
      <calculatedColumnFormula>IF($O$3="(Todas)",COUNTIFS(BASE[CODCIE108],ENOS_G3_DA_20_59_AÑOS[[#This Row],[CIE-10]],BASE[Edad],"&gt;=20",BASE[Edad],"&lt;=59"),COUNTIFS(BASE[Cod.Establecimiento],$O$3,BASE[CODCIE108],ENOS_G3_DA_20_59_AÑOS[[#This Row],[CIE-10]],BASE[Edad],"&gt;=20",BASE[Edad],"&lt;=59"))</calculatedColumnFormula>
    </tableColumn>
    <tableColumn id="7" xr3:uid="{00000000-0010-0000-3900-000007000000}" name="D6" dataDxfId="1621">
      <calculatedColumnFormula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calculatedColumnFormula>
    </tableColumn>
    <tableColumn id="8" xr3:uid="{00000000-0010-0000-3900-000008000000}" name="TOT" dataDxfId="1620" dataCellStyle="40% - Énfasis6">
      <calculatedColumnFormula>SUM(ENOS_G3_DA_20_59_AÑOS[[#This Row],[D1]:[D6]])</calculatedColumnFormula>
    </tableColumn>
  </tableColumns>
  <tableStyleInfo name="TableStyleLight1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ENOS_G3_DA_60_MAS_AÑOS" displayName="ENOS_G3_DA_60_MAS_AÑOS" ref="P208:W216" totalsRowShown="0" headerRowDxfId="1619">
  <autoFilter ref="P208:W216" xr:uid="{00000000-0009-0000-0100-00003B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A00-000001000000}" name="CIE-10" dataCellStyle="20% - Énfasis4"/>
    <tableColumn id="2" xr3:uid="{00000000-0010-0000-3A00-000002000000}" name="D1" dataDxfId="1618">
      <calculatedColumnFormula>IF($O$3="(Todas)",COUNTIFS(BASE[CODCIE10],ENOS_G3_DA_60_MAS_AÑOS[[#This Row],[CIE-10]],BASE[Edad],"&gt;=60"),COUNTIFS(BASE[Cod.Establecimiento],$O$3,BASE[CODCIE10],ENOS_G3_DA_60_MAS_AÑOS[[#This Row],[CIE-10]],BASE[Edad],"&gt;=60"))</calculatedColumnFormula>
    </tableColumn>
    <tableColumn id="3" xr3:uid="{00000000-0010-0000-3A00-000003000000}" name="D2" dataDxfId="1617">
      <calculatedColumnFormula>IF($O$3="(Todas)",COUNTIFS(BASE[CODCIE102],ENOS_G3_DA_60_MAS_AÑOS[[#This Row],[CIE-10]],BASE[Edad],"&gt;=60"),COUNTIFS(BASE[Cod.Establecimiento],$O$3,BASE[CODCIE102],ENOS_G3_DA_60_MAS_AÑOS[[#This Row],[CIE-10]],BASE[Edad],"&gt;=60"))</calculatedColumnFormula>
    </tableColumn>
    <tableColumn id="4" xr3:uid="{00000000-0010-0000-3A00-000004000000}" name="D3" dataDxfId="1616">
      <calculatedColumnFormula>IF($O$3="(Todas)",COUNTIFS(BASE[CODCIE104],ENOS_G3_DA_60_MAS_AÑOS[[#This Row],[CIE-10]],BASE[Edad],"&gt;=60"),COUNTIFS(BASE[Cod.Establecimiento],$O$3,BASE[CODCIE104],ENOS_G3_DA_60_MAS_AÑOS[[#This Row],[CIE-10]],BASE[Edad],"&gt;=60"))</calculatedColumnFormula>
    </tableColumn>
    <tableColumn id="5" xr3:uid="{00000000-0010-0000-3A00-000005000000}" name="D4" dataDxfId="1615">
      <calculatedColumnFormula>IF($O$3="(Todas)",COUNTIFS(BASE[CODCIE106],ENOS_G3_DA_60_MAS_AÑOS[[#This Row],[CIE-10]],BASE[Edad],"&gt;=60"),COUNTIFS(BASE[Cod.Establecimiento],$O$3,BASE[CODCIE106],ENOS_G3_DA_60_MAS_AÑOS[[#This Row],[CIE-10]],BASE[Edad],"&gt;=60"))</calculatedColumnFormula>
    </tableColumn>
    <tableColumn id="6" xr3:uid="{00000000-0010-0000-3A00-000006000000}" name="D5" dataDxfId="1614">
      <calculatedColumnFormula>IF($O$3="(Todas)",COUNTIFS(BASE[CODCIE108],ENOS_G3_DA_60_MAS_AÑOS[[#This Row],[CIE-10]],BASE[Edad],"&gt;=60"),COUNTIFS(BASE[Cod.Establecimiento],$O$3,BASE[CODCIE108],ENOS_G3_DA_60_MAS_AÑOS[[#This Row],[CIE-10]],BASE[Edad],"&gt;=60"))</calculatedColumnFormula>
    </tableColumn>
    <tableColumn id="7" xr3:uid="{00000000-0010-0000-3A00-000007000000}" name="D6" dataDxfId="1613">
      <calculatedColumnFormula>IF($O$3="(Todas)",COUNTIFS(BASE[CODCIE1010],ENOS_G3_DA_60_MAS_AÑOS[[#This Row],[CIE-10]],BASE[Edad],"&gt;=60"),COUNTIFS(BASE[Cod.Establecimiento],$O$3,BASE[CODCIE1010],ENOS_G3_DA_60_MAS_AÑOS[[#This Row],[CIE-10]],BASE[Edad],"&gt;=60"))</calculatedColumnFormula>
    </tableColumn>
    <tableColumn id="8" xr3:uid="{00000000-0010-0000-3A00-000008000000}" name="TOT" dataDxfId="1612" dataCellStyle="40% - Énfasis6">
      <calculatedColumnFormula>SUM(ENOS_G3_DA_60_MAS_AÑOS[[#This Row],[D1]:[D6]])</calculatedColumnFormula>
    </tableColumn>
  </tableColumns>
  <tableStyleInfo name="TableStyleLight1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ENOS_G3_DA_SD_AÑOS" displayName="ENOS_G3_DA_SD_AÑOS" ref="Y208:AF216" totalsRowShown="0" headerRowDxfId="1611">
  <autoFilter ref="Y208:AF216" xr:uid="{00000000-0009-0000-0100-00003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3B00-000001000000}" name="CIE-10" dataCellStyle="20% - Énfasis4"/>
    <tableColumn id="2" xr3:uid="{00000000-0010-0000-3B00-000002000000}" name="D1" dataDxfId="1610">
      <calculatedColumnFormula>IF($O$3="(Todas)",COUNTIFS(BASE[CODCIE10],ENOS_G3_DA_SD_AÑOS[[#This Row],[CIE-10]],BASE[Edad],""),COUNTIFS(BASE[Cod.Establecimiento],$O$3,BASE[CODCIE10],ENOS_G3_DA_SD_AÑOS[[#This Row],[CIE-10]],BASE[Edad],""))</calculatedColumnFormula>
    </tableColumn>
    <tableColumn id="3" xr3:uid="{00000000-0010-0000-3B00-000003000000}" name="D2" dataDxfId="1609">
      <calculatedColumnFormula>IF($O$3="(Todas)",COUNTIFS(BASE[CODCIE102],ENOS_G3_DA_SD_AÑOS[[#This Row],[CIE-10]],BASE[Edad],""),COUNTIFS(BASE[Cod.Establecimiento],$O$3,BASE[CODCIE102],ENOS_G3_DA_SD_AÑOS[[#This Row],[CIE-10]],BASE[Edad],""))</calculatedColumnFormula>
    </tableColumn>
    <tableColumn id="4" xr3:uid="{00000000-0010-0000-3B00-000004000000}" name="D3" dataDxfId="1608">
      <calculatedColumnFormula>IF($O$3="(Todas)",COUNTIFS(BASE[CODCIE104],ENOS_G3_DA_SD_AÑOS[[#This Row],[CIE-10]],BASE[Edad],""),COUNTIFS(BASE[Cod.Establecimiento],$O$3,BASE[CODCIE104],ENOS_G3_DA_SD_AÑOS[[#This Row],[CIE-10]],BASE[Edad],""))</calculatedColumnFormula>
    </tableColumn>
    <tableColumn id="5" xr3:uid="{00000000-0010-0000-3B00-000005000000}" name="D4" dataDxfId="1607">
      <calculatedColumnFormula>IF($O$3="(Todas)",COUNTIFS(BASE[CODCIE106],ENOS_G3_DA_SD_AÑOS[[#This Row],[CIE-10]],BASE[Edad],""),COUNTIFS(BASE[Cod.Establecimiento],$O$3,BASE[CODCIE106],ENOS_G3_DA_SD_AÑOS[[#This Row],[CIE-10]],BASE[Edad],""))</calculatedColumnFormula>
    </tableColumn>
    <tableColumn id="6" xr3:uid="{00000000-0010-0000-3B00-000006000000}" name="D5" dataDxfId="1606">
      <calculatedColumnFormula>IF($O$3="(Todas)",COUNTIFS(BASE[CODCIE108],ENOS_G3_DA_SD_AÑOS[[#This Row],[CIE-10]],BASE[Edad],""),COUNTIFS(BASE[Cod.Establecimiento],$O$3,BASE[CODCIE108],ENOS_G3_DA_SD_AÑOS[[#This Row],[CIE-10]],BASE[Edad],""))</calculatedColumnFormula>
    </tableColumn>
    <tableColumn id="7" xr3:uid="{00000000-0010-0000-3B00-000007000000}" name="D6" dataDxfId="1605">
      <calculatedColumnFormula>IF($O$3="(Todas)",COUNTIFS(BASE[CODCIE1010],ENOS_G3_DA_SD_AÑOS[[#This Row],[CIE-10]],BASE[Edad],""),COUNTIFS(BASE[Cod.Establecimiento],$O$3,BASE[CODCIE1010],ENOS_G3_DA_SD_AÑOS[[#This Row],[CIE-10]],BASE[Edad],""))</calculatedColumnFormula>
    </tableColumn>
    <tableColumn id="8" xr3:uid="{00000000-0010-0000-3B00-000008000000}" name="TOT" dataDxfId="1604" dataCellStyle="40% - Énfasis6">
      <calculatedColumnFormula>SUM(ENOS_G3_DA_SD_AÑOS[[#This Row],[D1]:[D6]])</calculatedColumnFormula>
    </tableColumn>
  </tableColumns>
  <tableStyleInfo name="TableStyleLight1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3F13FA4-3AEC-4CA5-85E6-E52654968246}" name="EPV_PARALISIS_FLACIDA_AGUDA62" displayName="EPV_PARALISIS_FLACIDA_AGUDA62" ref="A4:H24" totalsRowShown="0" headerRowDxfId="1603">
  <autoFilter ref="A4:H2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23C81F-0ED1-4645-96FC-0FD42A4C2EE8}" name="CIE-10" dataCellStyle="20% - Énfasis4"/>
    <tableColumn id="2" xr3:uid="{B4B46142-9045-4652-B05C-7A8ED2CDB91A}" name="D1" dataDxfId="1602">
      <calculatedColumnFormula>IF($AK$2="(Todas)",COUNTIF(BASE[CODCIE10],EPV_PARALISIS_FLACIDA_AGUDA62[[#This Row],[CIE-10]]),COUNTIFS(BASE[Cod.Establecimiento],$AK$2,BASE[CODCIE10],EPV_PARALISIS_FLACIDA_AGUDA62[[#This Row],[CIE-10]]))</calculatedColumnFormula>
    </tableColumn>
    <tableColumn id="3" xr3:uid="{D8D83546-6B4C-4FEA-938F-FE13E66762E1}" name="D2" dataDxfId="1601">
      <calculatedColumnFormula>IF($AK$2="(Todas)",COUNTIF(BASE[CODCIE102],EPV_PARALISIS_FLACIDA_AGUDA62[[#This Row],[CIE-10]]),COUNTIFS(BASE[Cod.Establecimiento],$AK$2,BASE[CODCIE102],EPV_PARALISIS_FLACIDA_AGUDA62[[#This Row],[CIE-10]]))</calculatedColumnFormula>
    </tableColumn>
    <tableColumn id="4" xr3:uid="{B8580DC6-B333-44FE-989C-A9BED9FBCBCA}" name="D3" dataDxfId="1600">
      <calculatedColumnFormula>IF($AK$2="(Todas)",COUNTIF(BASE[CODCIE104],EPV_PARALISIS_FLACIDA_AGUDA62[[#This Row],[CIE-10]]),COUNTIFS(BASE[Cod.Establecimiento],$AK$2,BASE[CODCIE104],EPV_PARALISIS_FLACIDA_AGUDA62[[#This Row],[CIE-10]]))</calculatedColumnFormula>
    </tableColumn>
    <tableColumn id="5" xr3:uid="{6F7EE3FC-0E79-4041-9B8E-E3C761383EAB}" name="D4" dataDxfId="1599">
      <calculatedColumnFormula>IF($AK$2="(Todas)",COUNTIF(BASE[CODCIE106],EPV_PARALISIS_FLACIDA_AGUDA62[[#This Row],[CIE-10]]),COUNTIFS(BASE[Cod.Establecimiento],$AK$2,BASE[CODCIE106],EPV_PARALISIS_FLACIDA_AGUDA62[[#This Row],[CIE-10]]))</calculatedColumnFormula>
    </tableColumn>
    <tableColumn id="6" xr3:uid="{00B77666-54EE-43FD-92F5-69C9935F31CD}" name="D5" dataDxfId="1598">
      <calculatedColumnFormula>IF($AK$2="(Todas)",COUNTIF(BASE[CODCIE108],EPV_PARALISIS_FLACIDA_AGUDA62[[#This Row],[CIE-10]]),COUNTIFS(BASE[Cod.Establecimiento],$AK$2,BASE[CODCIE108],EPV_PARALISIS_FLACIDA_AGUDA62[[#This Row],[CIE-10]]))</calculatedColumnFormula>
    </tableColumn>
    <tableColumn id="7" xr3:uid="{D03BB791-5454-41C3-B7F3-1A4EA87C9B7C}" name="D6" dataDxfId="1597">
      <calculatedColumnFormula>IF($AK$2="(Todas)",COUNTIF(BASE[CODCIE1010],EPV_PARALISIS_FLACIDA_AGUDA62[[#This Row],[CIE-10]]),COUNTIFS(BASE[Cod.Establecimiento],$AK$2,BASE[CODCIE1010],EPV_PARALISIS_FLACIDA_AGUDA62[[#This Row],[CIE-10]]))</calculatedColumnFormula>
    </tableColumn>
    <tableColumn id="8" xr3:uid="{2212AF58-376C-4BE7-A186-140CB21B73BE}" name="TOT" dataDxfId="1596">
      <calculatedColumnFormula>SUM(EPV_PARALISIS_FLACIDA_AGUDA62[[#This Row],[D1]:[D6]])</calculatedColumnFormula>
    </tableColumn>
  </tableColumns>
  <tableStyleInfo name="TableStyleLight1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A57DFF7-2665-4669-B81A-DE387F174362}" name="EPV_RUBEOLA63" displayName="EPV_RUBEOLA63" ref="J4:Q8" totalsRowShown="0" headerRowDxfId="1595">
  <autoFilter ref="J4:Q8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4F546A-C21F-4FE3-A2F6-0E01924C2E4A}" name="CIE-10" dataCellStyle="20% - Énfasis4"/>
    <tableColumn id="2" xr3:uid="{1ABC3470-8AF5-48A4-B4F1-8FC3294CEFC9}" name="D1" dataDxfId="1594">
      <calculatedColumnFormula>IF($AK$2="(Todas)",COUNTIF(BASE[CODCIE10],EPV_RUBEOLA63[[#This Row],[CIE-10]]),COUNTIFS(BASE[Cod.Establecimiento],$AK$2,BASE[CODCIE10],EPV_RUBEOLA63[[#This Row],[CIE-10]]))</calculatedColumnFormula>
    </tableColumn>
    <tableColumn id="3" xr3:uid="{7A5AD759-77CB-41E6-B0E5-4D4A9BC8138F}" name="D2" dataDxfId="1593">
      <calculatedColumnFormula>IF($AK$2="(Todas)",COUNTIF(BASE[CODCIE102],EPV_RUBEOLA63[[#This Row],[CIE-10]]),COUNTIFS(BASE[Cod.Establecimiento],$AK$2,BASE[CODCIE102],EPV_RUBEOLA63[[#This Row],[CIE-10]]))</calculatedColumnFormula>
    </tableColumn>
    <tableColumn id="4" xr3:uid="{AD429FD3-1839-4EF9-B7EC-648593681E70}" name="D3" dataDxfId="1592">
      <calculatedColumnFormula>IF($AK$2="(Todas)",COUNTIF(BASE[CODCIE104],EPV_RUBEOLA63[[#This Row],[CIE-10]]),COUNTIFS(BASE[Cod.Establecimiento],$AK$2,BASE[CODCIE104],EPV_RUBEOLA63[[#This Row],[CIE-10]]))</calculatedColumnFormula>
    </tableColumn>
    <tableColumn id="5" xr3:uid="{69581973-7B7D-4F70-957A-6D9471377369}" name="D4" dataDxfId="1591">
      <calculatedColumnFormula>IF($AK$2="(Todas)",COUNTIF(BASE[CODCIE106],EPV_RUBEOLA63[[#This Row],[CIE-10]]),COUNTIFS(BASE[Cod.Establecimiento],$AK$2,BASE[CODCIE106],EPV_RUBEOLA63[[#This Row],[CIE-10]]))</calculatedColumnFormula>
    </tableColumn>
    <tableColumn id="6" xr3:uid="{3120DBF6-601F-4D46-992F-0A8860C114E7}" name="D5" dataDxfId="1590">
      <calculatedColumnFormula>IF($AK$2="(Todas)",COUNTIF(BASE[CODCIE108],EPV_RUBEOLA63[[#This Row],[CIE-10]]),COUNTIFS(BASE[Cod.Establecimiento],$AK$2,BASE[CODCIE108],EPV_RUBEOLA63[[#This Row],[CIE-10]]))</calculatedColumnFormula>
    </tableColumn>
    <tableColumn id="7" xr3:uid="{D6CE3B5D-6F9A-45BC-9034-0F14EEDBC0D8}" name="D6" dataDxfId="1589">
      <calculatedColumnFormula>IF($AK$2="(Todas)",COUNTIF(BASE[CODCIE1010],EPV_RUBEOLA63[[#This Row],[CIE-10]]),COUNTIFS(BASE[Cod.Establecimiento],$AK$2,BASE[CODCIE1010],EPV_RUBEOLA63[[#This Row],[CIE-10]]))</calculatedColumnFormula>
    </tableColumn>
    <tableColumn id="8" xr3:uid="{D9178D6C-A7FE-4FC0-A980-69B38EF827E6}" name="TOT" dataDxfId="1588" dataCellStyle="40% - Énfasis6">
      <calculatedColumnFormula>SUM(EPV_RUBEOLA63[[#This Row],[D1]:[D6]])</calculatedColumnFormula>
    </tableColumn>
  </tableColumns>
  <tableStyleInfo name="TableStyleLight1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B8C60B6-A60F-4588-BEB2-67A3C3922F94}" name="EPV_SARAMPION64" displayName="EPV_SARAMPION64" ref="S4:Z5" totalsRowShown="0" headerRowDxfId="1587">
  <autoFilter ref="S4:Z5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15E9B6-521F-47E5-B510-82682227D5C5}" name="CIE-10" dataCellStyle="20% - Énfasis4"/>
    <tableColumn id="2" xr3:uid="{33AD3036-B588-4B32-8C05-5188257D0D14}" name="D1" dataDxfId="1586">
      <calculatedColumnFormula>IF($AK$2="(Todas)",COUNTIF(BASE[CODCIE10],EPV_SARAMPION64[[#This Row],[CIE-10]]),COUNTIFS(BASE[Cod.Establecimiento],$AK$2,BASE[CODCIE10],EPV_SARAMPION64[[#This Row],[CIE-10]]))</calculatedColumnFormula>
    </tableColumn>
    <tableColumn id="3" xr3:uid="{0D2FD9C3-13D5-4810-ABB3-EFB0F357854D}" name="D2" dataDxfId="1585">
      <calculatedColumnFormula>IF($AK$2="(Todas)",COUNTIF(BASE[CODCIE102],EPV_SARAMPION64[[#This Row],[CIE-10]]),COUNTIFS(BASE[Cod.Establecimiento],$AK$2,BASE[CODCIE102],EPV_SARAMPION64[[#This Row],[CIE-10]]))</calculatedColumnFormula>
    </tableColumn>
    <tableColumn id="4" xr3:uid="{F3122303-F6CB-4C37-8C7D-C13708CBC5A8}" name="D3" dataDxfId="1584">
      <calculatedColumnFormula>IF($AK$2="(Todas)",COUNTIF(BASE[CODCIE104],EPV_SARAMPION64[[#This Row],[CIE-10]]),COUNTIFS(BASE[Cod.Establecimiento],$AK$2,BASE[CODCIE104],EPV_SARAMPION64[[#This Row],[CIE-10]]))</calculatedColumnFormula>
    </tableColumn>
    <tableColumn id="5" xr3:uid="{9AB0CFD0-8EC5-4483-A3FB-9CC5CA79D05C}" name="D4" dataDxfId="1583">
      <calculatedColumnFormula>IF($AK$2="(Todas)",COUNTIF(BASE[CODCIE106],EPV_SARAMPION64[[#This Row],[CIE-10]]),COUNTIFS(BASE[Cod.Establecimiento],$AK$2,BASE[CODCIE106],EPV_SARAMPION64[[#This Row],[CIE-10]]))</calculatedColumnFormula>
    </tableColumn>
    <tableColumn id="6" xr3:uid="{CBE7AAD3-AAAA-42B8-B0C8-BDD32F5EC28F}" name="D5" dataDxfId="1582">
      <calculatedColumnFormula>IF($AK$2="(Todas)",COUNTIF(BASE[CODCIE108],EPV_SARAMPION64[[#This Row],[CIE-10]]),COUNTIFS(BASE[Cod.Establecimiento],$AK$2,BASE[CODCIE108],EPV_SARAMPION64[[#This Row],[CIE-10]]))</calculatedColumnFormula>
    </tableColumn>
    <tableColumn id="7" xr3:uid="{B8AD53E9-776E-4CD3-B7BB-75E3C5652FB6}" name="D6" dataDxfId="1581">
      <calculatedColumnFormula>IF($AK$2="(Todas)",COUNTIF(BASE[CODCIE1010],EPV_SARAMPION64[[#This Row],[CIE-10]]),COUNTIFS(BASE[Cod.Establecimiento],$AK$2,BASE[CODCIE1010],EPV_SARAMPION64[[#This Row],[CIE-10]]))</calculatedColumnFormula>
    </tableColumn>
    <tableColumn id="8" xr3:uid="{60450E1A-3601-42F5-89CB-FEB78C2F51BF}" name="TOT" dataDxfId="1580" dataCellStyle="40% - Énfasis6">
      <calculatedColumnFormula>SUM(EPV_SARAMPION64[[#This Row],[D1]:[D6]])</calculatedColumnFormula>
    </tableColumn>
  </tableColumns>
  <tableStyleInfo name="TableStyleLight1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9EF0B2E1-5669-4B58-B9CD-EA330ABCDCC4}" name="EPV_DIFTERIA65" displayName="EPV_DIFTERIA65" ref="AB4:AI5" totalsRowShown="0" headerRowDxfId="1579">
  <autoFilter ref="AB4:AI5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A44CEFC-2958-4659-AE8B-16D5C275564A}" name="CIE-10" dataCellStyle="20% - Énfasis4"/>
    <tableColumn id="2" xr3:uid="{76B9CCC4-4A74-48E6-B72F-E8C14D5A981C}" name="D1" dataDxfId="1578">
      <calculatedColumnFormula>IF($AK$2="(Todas)",COUNTIF(BASE[CODCIE10],EPV_DIFTERIA65[[#This Row],[CIE-10]]),COUNTIFS(BASE[Cod.Establecimiento],$AK$2,BASE[CODCIE10],EPV_DIFTERIA65[[#This Row],[CIE-10]]))</calculatedColumnFormula>
    </tableColumn>
    <tableColumn id="3" xr3:uid="{1CF97495-2B6E-4122-AEDE-BDA518107496}" name="D2" dataDxfId="1577">
      <calculatedColumnFormula>IF($AK$2="(Todas)",COUNTIF(BASE[CODCIE102],EPV_DIFTERIA65[[#This Row],[CIE-10]]),COUNTIFS(BASE[Cod.Establecimiento],$AK$2,BASE[CODCIE102],EPV_DIFTERIA65[[#This Row],[CIE-10]]))</calculatedColumnFormula>
    </tableColumn>
    <tableColumn id="4" xr3:uid="{F05C382F-5E8B-495B-85C5-21A9DF462BAC}" name="D3" dataDxfId="1576">
      <calculatedColumnFormula>IF($AK$2="(Todas)",COUNTIF(BASE[CODCIE104],EPV_DIFTERIA65[[#This Row],[CIE-10]]),COUNTIFS(BASE[Cod.Establecimiento],$AK$2,BASE[CODCIE104],EPV_DIFTERIA65[[#This Row],[CIE-10]]))</calculatedColumnFormula>
    </tableColumn>
    <tableColumn id="5" xr3:uid="{37020E37-2165-4336-B882-C923D7E5E8FC}" name="D4" dataDxfId="1575">
      <calculatedColumnFormula>IF($AK$2="(Todas)",COUNTIF(BASE[CODCIE106],EPV_DIFTERIA65[[#This Row],[CIE-10]]),COUNTIFS(BASE[Cod.Establecimiento],$AK$2,BASE[CODCIE106],EPV_DIFTERIA65[[#This Row],[CIE-10]]))</calculatedColumnFormula>
    </tableColumn>
    <tableColumn id="6" xr3:uid="{87BAD790-F34C-4A1E-815A-B3ABA3541CCF}" name="D5" dataDxfId="1574">
      <calculatedColumnFormula>IF($AK$2="(Todas)",COUNTIF(BASE[CODCIE108],EPV_DIFTERIA65[[#This Row],[CIE-10]]),COUNTIFS(BASE[Cod.Establecimiento],$AK$2,BASE[CODCIE108],EPV_DIFTERIA65[[#This Row],[CIE-10]]))</calculatedColumnFormula>
    </tableColumn>
    <tableColumn id="7" xr3:uid="{21A51CA7-3840-4D1C-A3F0-C07814C891B8}" name="D6" dataDxfId="1573">
      <calculatedColumnFormula>IF($AK$2="(Todas)",COUNTIF(BASE[CODCIE1010],EPV_DIFTERIA65[[#This Row],[CIE-10]]),COUNTIFS(BASE[Cod.Establecimiento],$AK$2,BASE[CODCIE1010],EPV_DIFTERIA65[[#This Row],[CIE-10]]))</calculatedColumnFormula>
    </tableColumn>
    <tableColumn id="8" xr3:uid="{36616E31-DAE8-4F42-B07F-31D1305F9BDC}" name="TOT" dataDxfId="1572" dataCellStyle="40% - Énfasis6">
      <calculatedColumnFormula>SUM(EPV_DIFTERIA65[[#This Row],[D1]:[D6]])</calculatedColumnFormula>
    </tableColumn>
  </tableColumns>
  <tableStyleInfo name="TableStyleLight1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FB51FE38-31BD-46E0-A51C-16635163149B}" name="EPV_SARAMPION6466" displayName="EPV_SARAMPION6466" ref="S9:Z10" totalsRowShown="0" headerRowDxfId="1571">
  <autoFilter ref="S9:Z10" xr:uid="{FB51FE38-31BD-46E0-A51C-1663516314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DFECBA-6F9A-4AAF-BF9C-B88F13788F43}" name="CIE-10" dataCellStyle="20% - Énfasis4"/>
    <tableColumn id="2" xr3:uid="{CD1FA7BA-C634-42C3-ABA1-9F276F75EE55}" name="D1" dataDxfId="1570">
      <calculatedColumnFormula>IF($AK$2="(Todas)",COUNTIF(BASE[CODCIE10],EPV_SARAMPION6466[[#This Row],[CIE-10]]),COUNTIFS(BASE[Cod.Establecimiento],$AK$2,BASE[CODCIE10],EPV_SARAMPION6466[[#This Row],[CIE-10]]))</calculatedColumnFormula>
    </tableColumn>
    <tableColumn id="3" xr3:uid="{FE7E333A-A9FF-4F28-A6A7-051886212EA1}" name="D2" dataDxfId="1569">
      <calculatedColumnFormula>IF($AK$2="(Todas)",COUNTIF(BASE[CODCIE102],EPV_SARAMPION6466[[#This Row],[CIE-10]]),COUNTIFS(BASE[Cod.Establecimiento],$AK$2,BASE[CODCIE102],EPV_SARAMPION6466[[#This Row],[CIE-10]]))</calculatedColumnFormula>
    </tableColumn>
    <tableColumn id="4" xr3:uid="{3022C22B-BF05-49B5-A20C-70DE7952FA5E}" name="D3" dataDxfId="1568">
      <calculatedColumnFormula>IF($AK$2="(Todas)",COUNTIF(BASE[CODCIE104],EPV_SARAMPION6466[[#This Row],[CIE-10]]),COUNTIFS(BASE[Cod.Establecimiento],$AK$2,BASE[CODCIE104],EPV_SARAMPION6466[[#This Row],[CIE-10]]))</calculatedColumnFormula>
    </tableColumn>
    <tableColumn id="5" xr3:uid="{543E2605-D224-42C2-8EF8-D775B9DC461A}" name="D4" dataDxfId="1567">
      <calculatedColumnFormula>IF($AK$2="(Todas)",COUNTIF(BASE[CODCIE106],EPV_SARAMPION6466[[#This Row],[CIE-10]]),COUNTIFS(BASE[Cod.Establecimiento],$AK$2,BASE[CODCIE106],EPV_SARAMPION6466[[#This Row],[CIE-10]]))</calculatedColumnFormula>
    </tableColumn>
    <tableColumn id="6" xr3:uid="{75C89E45-E514-444A-AAD5-DA5DA9D64BEF}" name="D5" dataDxfId="1566">
      <calculatedColumnFormula>IF($AK$2="(Todas)",COUNTIF(BASE[CODCIE108],EPV_SARAMPION6466[[#This Row],[CIE-10]]),COUNTIFS(BASE[Cod.Establecimiento],$AK$2,BASE[CODCIE108],EPV_SARAMPION6466[[#This Row],[CIE-10]]))</calculatedColumnFormula>
    </tableColumn>
    <tableColumn id="7" xr3:uid="{17A2F05F-CEA5-4FC9-AD06-4F7DC0B88B70}" name="D6" dataDxfId="1565">
      <calculatedColumnFormula>IF($AK$2="(Todas)",COUNTIF(BASE[CODCIE1010],EPV_SARAMPION6466[[#This Row],[CIE-10]]),COUNTIFS(BASE[Cod.Establecimiento],$AK$2,BASE[CODCIE1010],EPV_SARAMPION6466[[#This Row],[CIE-10]]))</calculatedColumnFormula>
    </tableColumn>
    <tableColumn id="8" xr3:uid="{4EA3E4D5-441A-40A5-B29F-8C24BF7F8248}" name="TOT" dataDxfId="1564" dataCellStyle="40% - Énfasis6">
      <calculatedColumnFormula>SUM(EPV_SARAMPION6466[[#This Row],[D1]:[D6]])</calculatedColumnFormula>
    </tableColumn>
  </tableColumns>
  <tableStyleInfo name="TableStyleLight1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5EF3DCEA-75AA-41B2-8BB9-90DB4BCD519F}" name="EPV_SARAMPION646667" displayName="EPV_SARAMPION646667" ref="AB9:AI10" totalsRowShown="0" headerRowDxfId="1563">
  <autoFilter ref="AB9:AI10" xr:uid="{5EF3DCEA-75AA-41B2-8BB9-90DB4BCD51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8868B14-8EDE-451D-BE9B-A2F4DB5A9663}" name="CIE-10" dataCellStyle="20% - Énfasis4"/>
    <tableColumn id="2" xr3:uid="{3CD560C2-2E2E-4CA7-88CB-7A037103725C}" name="D1" dataDxfId="1562">
      <calculatedColumnFormula>IF($AK$2="(Todas)",COUNTIF(BASE[CODCIE10],EPV_SARAMPION646667[[#This Row],[CIE-10]]),COUNTIFS(BASE[Cod.Establecimiento],$AK$2,BASE[CODCIE10],EPV_SARAMPION646667[[#This Row],[CIE-10]]))</calculatedColumnFormula>
    </tableColumn>
    <tableColumn id="3" xr3:uid="{F89B7E4B-113C-4775-BEAD-E0FE100F7200}" name="D2" dataDxfId="1561">
      <calculatedColumnFormula>IF($AK$2="(Todas)",COUNTIF(BASE[CODCIE102],EPV_SARAMPION646667[[#This Row],[CIE-10]]),COUNTIFS(BASE[Cod.Establecimiento],$AK$2,BASE[CODCIE102],EPV_SARAMPION646667[[#This Row],[CIE-10]]))</calculatedColumnFormula>
    </tableColumn>
    <tableColumn id="4" xr3:uid="{0B8685B8-E5ED-40FE-A0D8-7CB794D7A078}" name="D3" dataDxfId="1560">
      <calculatedColumnFormula>IF($AK$2="(Todas)",COUNTIF(BASE[CODCIE104],EPV_SARAMPION646667[[#This Row],[CIE-10]]),COUNTIFS(BASE[Cod.Establecimiento],$AK$2,BASE[CODCIE104],EPV_SARAMPION646667[[#This Row],[CIE-10]]))</calculatedColumnFormula>
    </tableColumn>
    <tableColumn id="5" xr3:uid="{17EFC107-BDC8-487D-B9E6-4082F7959AD3}" name="D4" dataDxfId="1559">
      <calculatedColumnFormula>IF($AK$2="(Todas)",COUNTIF(BASE[CODCIE106],EPV_SARAMPION646667[[#This Row],[CIE-10]]),COUNTIFS(BASE[Cod.Establecimiento],$AK$2,BASE[CODCIE106],EPV_SARAMPION646667[[#This Row],[CIE-10]]))</calculatedColumnFormula>
    </tableColumn>
    <tableColumn id="6" xr3:uid="{99E39ECA-C830-4668-BA00-BEFC89591BEC}" name="D5" dataDxfId="1558">
      <calculatedColumnFormula>IF($AK$2="(Todas)",COUNTIF(BASE[CODCIE108],EPV_SARAMPION646667[[#This Row],[CIE-10]]),COUNTIFS(BASE[Cod.Establecimiento],$AK$2,BASE[CODCIE108],EPV_SARAMPION646667[[#This Row],[CIE-10]]))</calculatedColumnFormula>
    </tableColumn>
    <tableColumn id="7" xr3:uid="{FF5746C8-CAA9-443E-9567-6F23C925B8CB}" name="D6" dataDxfId="1557">
      <calculatedColumnFormula>IF($AK$2="(Todas)",COUNTIF(BASE[CODCIE1010],EPV_SARAMPION646667[[#This Row],[CIE-10]]),COUNTIFS(BASE[Cod.Establecimiento],$AK$2,BASE[CODCIE1010],EPV_SARAMPION646667[[#This Row],[CIE-10]]))</calculatedColumnFormula>
    </tableColumn>
    <tableColumn id="8" xr3:uid="{82C40B3E-2A87-4583-B3E7-802611DF6167}" name="TOT" dataDxfId="1556" dataCellStyle="40% - Énfasis6">
      <calculatedColumnFormula>SUM(EPV_SARAMPION646667[[#This Row],[D1]:[D6]])</calculatedColumnFormula>
    </tableColumn>
  </tableColumns>
  <tableStyleInfo name="TableStyleLight1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1FAFF953-2103-4B3F-AF79-FCD4B91A9CE8}" name="EPV_SARAMPION646669" displayName="EPV_SARAMPION646669" ref="J14:Q15" totalsRowShown="0" headerRowDxfId="1555">
  <autoFilter ref="J14:Q15" xr:uid="{1FAFF953-2103-4B3F-AF79-FCD4B91A9C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DF1C762-E4F3-40EB-9D31-8C90AEB5C55E}" name="CIE-10" dataCellStyle="20% - Énfasis4"/>
    <tableColumn id="2" xr3:uid="{8AC04638-9889-42A1-B20B-EEA3586418E8}" name="D1" dataDxfId="1554">
      <calculatedColumnFormula>IF($AK$2="(Todas)",COUNTIF(BASE[CODCIE10],EPV_SARAMPION646669[[#This Row],[CIE-10]]),COUNTIFS(BASE[Cod.Establecimiento],$AK$2,BASE[CODCIE10],EPV_SARAMPION646669[[#This Row],[CIE-10]]))</calculatedColumnFormula>
    </tableColumn>
    <tableColumn id="3" xr3:uid="{0C78112E-3BDC-41B2-90E6-A4DC00C6E05B}" name="D2" dataDxfId="1553">
      <calculatedColumnFormula>IF($AK$2="(Todas)",COUNTIF(BASE[CODCIE102],EPV_SARAMPION646669[[#This Row],[CIE-10]]),COUNTIFS(BASE[Cod.Establecimiento],$AK$2,BASE[CODCIE102],EPV_SARAMPION646669[[#This Row],[CIE-10]]))</calculatedColumnFormula>
    </tableColumn>
    <tableColumn id="4" xr3:uid="{00CA6C97-5695-430F-81B7-329C758C0622}" name="D3" dataDxfId="1552">
      <calculatedColumnFormula>IF($AK$2="(Todas)",COUNTIF(BASE[CODCIE104],EPV_SARAMPION646669[[#This Row],[CIE-10]]),COUNTIFS(BASE[Cod.Establecimiento],$AK$2,BASE[CODCIE104],EPV_SARAMPION646669[[#This Row],[CIE-10]]))</calculatedColumnFormula>
    </tableColumn>
    <tableColumn id="5" xr3:uid="{0B22FB28-4C00-4BF8-BEBB-70570CB8EA5E}" name="D4" dataDxfId="1551">
      <calculatedColumnFormula>IF($AK$2="(Todas)",COUNTIF(BASE[CODCIE106],EPV_SARAMPION646669[[#This Row],[CIE-10]]),COUNTIFS(BASE[Cod.Establecimiento],$AK$2,BASE[CODCIE106],EPV_SARAMPION646669[[#This Row],[CIE-10]]))</calculatedColumnFormula>
    </tableColumn>
    <tableColumn id="6" xr3:uid="{7202E959-8BDA-404A-AC53-6EEDDB27808C}" name="D5" dataDxfId="1550">
      <calculatedColumnFormula>IF($AK$2="(Todas)",COUNTIF(BASE[CODCIE108],EPV_SARAMPION646669[[#This Row],[CIE-10]]),COUNTIFS(BASE[Cod.Establecimiento],$AK$2,BASE[CODCIE108],EPV_SARAMPION646669[[#This Row],[CIE-10]]))</calculatedColumnFormula>
    </tableColumn>
    <tableColumn id="7" xr3:uid="{BEC6A924-3CF0-4C9B-9FE2-F741DCEF9D66}" name="D6" dataDxfId="1549">
      <calculatedColumnFormula>IF($AK$2="(Todas)",COUNTIF(BASE[CODCIE1010],EPV_SARAMPION646669[[#This Row],[CIE-10]]),COUNTIFS(BASE[Cod.Establecimiento],$AK$2,BASE[CODCIE1010],EPV_SARAMPION646669[[#This Row],[CIE-10]]))</calculatedColumnFormula>
    </tableColumn>
    <tableColumn id="8" xr3:uid="{6974CF82-F9BC-4726-BC74-C5EC564A534D}" name="TOT" dataDxfId="1548" dataCellStyle="40% - Énfasis6">
      <calculatedColumnFormula>SUM(EPV_SARAMPION646669[[#This Row],[D1]:[D6]])</calculatedColumnFormula>
    </tableColumn>
  </tableColumns>
  <tableStyleInfo name="TableStyleLight1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16E9F08-F8A6-4B73-901E-2CFF79F7173B}" name="EPV_SARAMPION646670" displayName="EPV_SARAMPION646670" ref="S14:Z15" totalsRowShown="0" headerRowDxfId="1547">
  <autoFilter ref="S14:Z15" xr:uid="{A16E9F08-F8A6-4B73-901E-2CFF79F717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C79FE31-3122-4EE1-88FA-705D7D7C02D2}" name="CIE-10" dataCellStyle="20% - Énfasis4"/>
    <tableColumn id="2" xr3:uid="{9C078C2D-2B83-4592-A7E4-46922716F5F4}" name="D1" dataDxfId="1546">
      <calculatedColumnFormula>IF($AK$2="(Todas)",COUNTIF(BASE[CODCIE10],EPV_SARAMPION646670[[#This Row],[CIE-10]]),COUNTIFS(BASE[Cod.Establecimiento],$AK$2,BASE[CODCIE10],EPV_SARAMPION646670[[#This Row],[CIE-10]]))</calculatedColumnFormula>
    </tableColumn>
    <tableColumn id="3" xr3:uid="{C1ECA015-6545-4006-9960-5093F5A09692}" name="D2" dataDxfId="1545">
      <calculatedColumnFormula>IF($AK$2="(Todas)",COUNTIF(BASE[CODCIE102],EPV_SARAMPION646670[[#This Row],[CIE-10]]),COUNTIFS(BASE[Cod.Establecimiento],$AK$2,BASE[CODCIE102],EPV_SARAMPION646670[[#This Row],[CIE-10]]))</calculatedColumnFormula>
    </tableColumn>
    <tableColumn id="4" xr3:uid="{426B7827-307C-4F3F-A27A-023304D88E6A}" name="D3" dataDxfId="1544">
      <calculatedColumnFormula>IF($AK$2="(Todas)",COUNTIF(BASE[CODCIE104],EPV_SARAMPION646670[[#This Row],[CIE-10]]),COUNTIFS(BASE[Cod.Establecimiento],$AK$2,BASE[CODCIE104],EPV_SARAMPION646670[[#This Row],[CIE-10]]))</calculatedColumnFormula>
    </tableColumn>
    <tableColumn id="5" xr3:uid="{5CB74C07-C4F5-4FD1-8155-C05EE96BACAE}" name="D4" dataDxfId="1543">
      <calculatedColumnFormula>IF($AK$2="(Todas)",COUNTIF(BASE[CODCIE106],EPV_SARAMPION646670[[#This Row],[CIE-10]]),COUNTIFS(BASE[Cod.Establecimiento],$AK$2,BASE[CODCIE106],EPV_SARAMPION646670[[#This Row],[CIE-10]]))</calculatedColumnFormula>
    </tableColumn>
    <tableColumn id="6" xr3:uid="{A50B0798-32D6-4CD0-9B9D-71A2564F1B80}" name="D5" dataDxfId="1542">
      <calculatedColumnFormula>IF($AK$2="(Todas)",COUNTIF(BASE[CODCIE108],EPV_SARAMPION646670[[#This Row],[CIE-10]]),COUNTIFS(BASE[Cod.Establecimiento],$AK$2,BASE[CODCIE108],EPV_SARAMPION646670[[#This Row],[CIE-10]]))</calculatedColumnFormula>
    </tableColumn>
    <tableColumn id="7" xr3:uid="{389C4DB1-CD8B-4D61-BEEF-C132D864E480}" name="D6" dataDxfId="1541">
      <calculatedColumnFormula>IF($AK$2="(Todas)",COUNTIF(BASE[CODCIE1010],EPV_SARAMPION646670[[#This Row],[CIE-10]]),COUNTIFS(BASE[Cod.Establecimiento],$AK$2,BASE[CODCIE1010],EPV_SARAMPION646670[[#This Row],[CIE-10]]))</calculatedColumnFormula>
    </tableColumn>
    <tableColumn id="8" xr3:uid="{3C81530E-5BCA-4916-90BB-EBC8EEEAF548}" name="TOT" dataDxfId="1540" dataCellStyle="40% - Énfasis6">
      <calculatedColumnFormula>SUM(EPV_SARAMPION646670[[#This Row],[D1]:[D6]])</calculatedColumnFormula>
    </tableColumn>
  </tableColumns>
  <tableStyleInfo name="TableStyleLight1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71C85D-95B4-41BF-8D46-94752F4C62D7}" name="EPV_SARAMPION646671" displayName="EPV_SARAMPION646671" ref="AB14:AI15" totalsRowShown="0" headerRowDxfId="1539">
  <autoFilter ref="AB14:AI15" xr:uid="{F671C85D-95B4-41BF-8D46-94752F4C62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1AEB40-0E87-463C-9970-1C9F5DB24A7F}" name="CIE-10" dataCellStyle="20% - Énfasis4"/>
    <tableColumn id="2" xr3:uid="{F669145D-A2F8-4E24-994B-371A6709D035}" name="D1" dataDxfId="1538">
      <calculatedColumnFormula>IF($AK$2="(Todas)",COUNTIF(BASE[CODCIE10],EPV_SARAMPION646671[[#This Row],[CIE-10]]),COUNTIFS(BASE[Cod.Establecimiento],$AK$2,BASE[CODCIE10],EPV_SARAMPION646671[[#This Row],[CIE-10]]))</calculatedColumnFormula>
    </tableColumn>
    <tableColumn id="3" xr3:uid="{C54985AB-D894-4BFE-BEB5-6701AB4D366B}" name="D2" dataDxfId="1537">
      <calculatedColumnFormula>IF($AK$2="(Todas)",COUNTIF(BASE[CODCIE102],EPV_SARAMPION646671[[#This Row],[CIE-10]]),COUNTIFS(BASE[Cod.Establecimiento],$AK$2,BASE[CODCIE102],EPV_SARAMPION646671[[#This Row],[CIE-10]]))</calculatedColumnFormula>
    </tableColumn>
    <tableColumn id="4" xr3:uid="{1459E6F2-BBFA-477C-9ACD-7ABBDD09662E}" name="D3" dataDxfId="1536">
      <calculatedColumnFormula>IF($AK$2="(Todas)",COUNTIF(BASE[CODCIE104],EPV_SARAMPION646671[[#This Row],[CIE-10]]),COUNTIFS(BASE[Cod.Establecimiento],$AK$2,BASE[CODCIE104],EPV_SARAMPION646671[[#This Row],[CIE-10]]))</calculatedColumnFormula>
    </tableColumn>
    <tableColumn id="5" xr3:uid="{58658A07-0FCC-4F90-A9F7-2E01BD7E9978}" name="D4" dataDxfId="1535">
      <calculatedColumnFormula>IF($AK$2="(Todas)",COUNTIF(BASE[CODCIE106],EPV_SARAMPION646671[[#This Row],[CIE-10]]),COUNTIFS(BASE[Cod.Establecimiento],$AK$2,BASE[CODCIE106],EPV_SARAMPION646671[[#This Row],[CIE-10]]))</calculatedColumnFormula>
    </tableColumn>
    <tableColumn id="6" xr3:uid="{D99D62FD-2EF4-470F-A8E5-780FC528B840}" name="D5" dataDxfId="1534">
      <calculatedColumnFormula>IF($AK$2="(Todas)",COUNTIF(BASE[CODCIE108],EPV_SARAMPION646671[[#This Row],[CIE-10]]),COUNTIFS(BASE[Cod.Establecimiento],$AK$2,BASE[CODCIE108],EPV_SARAMPION646671[[#This Row],[CIE-10]]))</calculatedColumnFormula>
    </tableColumn>
    <tableColumn id="7" xr3:uid="{DCC8BD2B-AD2A-46E9-9482-C3DB50A01135}" name="D6" dataDxfId="1533">
      <calculatedColumnFormula>IF($AK$2="(Todas)",COUNTIF(BASE[CODCIE1010],EPV_SARAMPION646671[[#This Row],[CIE-10]]),COUNTIFS(BASE[Cod.Establecimiento],$AK$2,BASE[CODCIE1010],EPV_SARAMPION646671[[#This Row],[CIE-10]]))</calculatedColumnFormula>
    </tableColumn>
    <tableColumn id="8" xr3:uid="{322F59E6-AD54-4DF1-B249-907C52F7EC3C}" name="TOT" dataDxfId="1532" dataCellStyle="40% - Énfasis6">
      <calculatedColumnFormula>SUM(EPV_SARAMPION646671[[#This Row],[D1]:[D6]])</calculatedColumnFormula>
    </tableColumn>
  </tableColumns>
  <tableStyleInfo name="TableStyleLight1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81B938C-8099-483F-9E6E-D467972AC99D}" name="EPV_SARAMPION64666972" displayName="EPV_SARAMPION64666972" ref="J19:Q20" totalsRowShown="0" headerRowDxfId="1531">
  <autoFilter ref="J19:Q20" xr:uid="{181B938C-8099-483F-9E6E-D467972AC9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5AA5B8F-4C76-4019-B93B-6FACA3C236FD}" name="CIE-10" dataCellStyle="20% - Énfasis4"/>
    <tableColumn id="2" xr3:uid="{406A6D3C-2575-44BB-8C9E-7B0A6A96CC80}" name="D1" dataDxfId="1530">
      <calculatedColumnFormula>IF($AK$2="(Todas)",COUNTIF(BASE[CODCIE10],EPV_SARAMPION64666972[[#This Row],[CIE-10]]),COUNTIFS(BASE[Cod.Establecimiento],$AK$2,BASE[CODCIE10],EPV_SARAMPION64666972[[#This Row],[CIE-10]]))</calculatedColumnFormula>
    </tableColumn>
    <tableColumn id="3" xr3:uid="{37D83C66-F006-4A09-BB66-C7DE19A2064E}" name="D2" dataDxfId="1529">
      <calculatedColumnFormula>IF($AK$2="(Todas)",COUNTIF(BASE[CODCIE102],EPV_SARAMPION64666972[[#This Row],[CIE-10]]),COUNTIFS(BASE[Cod.Establecimiento],$AK$2,BASE[CODCIE102],EPV_SARAMPION64666972[[#This Row],[CIE-10]]))</calculatedColumnFormula>
    </tableColumn>
    <tableColumn id="4" xr3:uid="{04F51DF8-B531-47C0-BC53-EB20DEB31D54}" name="D3" dataDxfId="1528">
      <calculatedColumnFormula>IF($AK$2="(Todas)",COUNTIF(BASE[CODCIE104],EPV_SARAMPION64666972[[#This Row],[CIE-10]]),COUNTIFS(BASE[Cod.Establecimiento],$AK$2,BASE[CODCIE104],EPV_SARAMPION64666972[[#This Row],[CIE-10]]))</calculatedColumnFormula>
    </tableColumn>
    <tableColumn id="5" xr3:uid="{0D15CFF3-E2DA-41BD-8DE1-EB897435197E}" name="D4" dataDxfId="1527">
      <calculatedColumnFormula>IF($AK$2="(Todas)",COUNTIF(BASE[CODCIE106],EPV_SARAMPION64666972[[#This Row],[CIE-10]]),COUNTIFS(BASE[Cod.Establecimiento],$AK$2,BASE[CODCIE106],EPV_SARAMPION64666972[[#This Row],[CIE-10]]))</calculatedColumnFormula>
    </tableColumn>
    <tableColumn id="6" xr3:uid="{A3F864DA-EE68-42B3-93FD-06562AC14A4D}" name="D5" dataDxfId="1526">
      <calculatedColumnFormula>IF($AK$2="(Todas)",COUNTIF(BASE[CODCIE108],EPV_SARAMPION64666972[[#This Row],[CIE-10]]),COUNTIFS(BASE[Cod.Establecimiento],$AK$2,BASE[CODCIE108],EPV_SARAMPION64666972[[#This Row],[CIE-10]]))</calculatedColumnFormula>
    </tableColumn>
    <tableColumn id="7" xr3:uid="{4207AF59-D9E5-449C-B992-3837606E84AC}" name="D6" dataDxfId="1525">
      <calculatedColumnFormula>IF($AK$2="(Todas)",COUNTIF(BASE[CODCIE1010],EPV_SARAMPION64666972[[#This Row],[CIE-10]]),COUNTIFS(BASE[Cod.Establecimiento],$AK$2,BASE[CODCIE1010],EPV_SARAMPION64666972[[#This Row],[CIE-10]]))</calculatedColumnFormula>
    </tableColumn>
    <tableColumn id="8" xr3:uid="{F36CEEC2-4115-4EDC-AD47-90B14083F215}" name="TOT" dataDxfId="1524" dataCellStyle="40% - Énfasis6">
      <calculatedColumnFormula>SUM(EPV_SARAMPION64666972[[#This Row],[D1]:[D6]])</calculatedColumnFormula>
    </tableColumn>
  </tableColumns>
  <tableStyleInfo name="TableStyleLight1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864736C-5A8F-499B-A5C5-018D3B4FF9DC}" name="EPV_SARAMPION6466697273" displayName="EPV_SARAMPION6466697273" ref="J24:Q25" totalsRowShown="0" headerRowDxfId="1523">
  <autoFilter ref="J24:Q25" xr:uid="{C864736C-5A8F-499B-A5C5-018D3B4FF9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58DA3E-D316-47E1-8C8C-A2DB787C723C}" name="CIE-10" dataCellStyle="20% - Énfasis4"/>
    <tableColumn id="2" xr3:uid="{B8972D20-F918-429E-BB6C-E482AAEBCC0A}" name="D1" dataDxfId="1522">
      <calculatedColumnFormula>IF($AK$2="(Todas)",COUNTIF(BASE[CODCIE10],EPV_SARAMPION6466697273[[#This Row],[CIE-10]]),COUNTIFS(BASE[Cod.Establecimiento],$AK$2,BASE[CODCIE10],EPV_SARAMPION6466697273[[#This Row],[CIE-10]]))</calculatedColumnFormula>
    </tableColumn>
    <tableColumn id="3" xr3:uid="{34B24403-B009-4166-92D0-43A5ADE5404B}" name="D2" dataDxfId="1521">
      <calculatedColumnFormula>IF($AK$2="(Todas)",COUNTIF(BASE[CODCIE102],EPV_SARAMPION6466697273[[#This Row],[CIE-10]]),COUNTIFS(BASE[Cod.Establecimiento],$AK$2,BASE[CODCIE102],EPV_SARAMPION6466697273[[#This Row],[CIE-10]]))</calculatedColumnFormula>
    </tableColumn>
    <tableColumn id="4" xr3:uid="{2632F2DC-CE96-43C8-B4D7-A7FA45483CD3}" name="D3" dataDxfId="1520">
      <calculatedColumnFormula>IF($AK$2="(Todas)",COUNTIF(BASE[CODCIE104],EPV_SARAMPION6466697273[[#This Row],[CIE-10]]),COUNTIFS(BASE[Cod.Establecimiento],$AK$2,BASE[CODCIE104],EPV_SARAMPION6466697273[[#This Row],[CIE-10]]))</calculatedColumnFormula>
    </tableColumn>
    <tableColumn id="5" xr3:uid="{2D506845-130B-4BB9-85E6-70E4EA2CCBB0}" name="D4" dataDxfId="1519">
      <calculatedColumnFormula>IF($AK$2="(Todas)",COUNTIF(BASE[CODCIE106],EPV_SARAMPION6466697273[[#This Row],[CIE-10]]),COUNTIFS(BASE[Cod.Establecimiento],$AK$2,BASE[CODCIE106],EPV_SARAMPION6466697273[[#This Row],[CIE-10]]))</calculatedColumnFormula>
    </tableColumn>
    <tableColumn id="6" xr3:uid="{6E423950-1824-4C65-84D9-6C32D669A6E1}" name="D5" dataDxfId="1518">
      <calculatedColumnFormula>IF($AK$2="(Todas)",COUNTIF(BASE[CODCIE108],EPV_SARAMPION6466697273[[#This Row],[CIE-10]]),COUNTIFS(BASE[Cod.Establecimiento],$AK$2,BASE[CODCIE108],EPV_SARAMPION6466697273[[#This Row],[CIE-10]]))</calculatedColumnFormula>
    </tableColumn>
    <tableColumn id="7" xr3:uid="{4AFC3E79-B7BB-4B6B-896D-5DF53ADFC323}" name="D6" dataDxfId="1517">
      <calculatedColumnFormula>IF($AK$2="(Todas)",COUNTIF(BASE[CODCIE1010],EPV_SARAMPION6466697273[[#This Row],[CIE-10]]),COUNTIFS(BASE[Cod.Establecimiento],$AK$2,BASE[CODCIE1010],EPV_SARAMPION6466697273[[#This Row],[CIE-10]]))</calculatedColumnFormula>
    </tableColumn>
    <tableColumn id="8" xr3:uid="{5C38998B-EC7E-4236-B9ED-1DBA6824CA08}" name="TOT" dataDxfId="1516" dataCellStyle="40% - Énfasis6">
      <calculatedColumnFormula>SUM(EPV_SARAMPION6466697273[[#This Row],[D1]:[D6]])</calculatedColumnFormula>
    </tableColumn>
  </tableColumns>
  <tableStyleInfo name="TableStyleLight1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1E3E00F-9D92-45A7-BC8E-579ADFB6B738}" name="EPV_SARAMPION6466697274" displayName="EPV_SARAMPION6466697274" ref="S19:Z20" totalsRowShown="0" headerRowDxfId="1515">
  <autoFilter ref="S19:Z20" xr:uid="{F1E3E00F-9D92-45A7-BC8E-579ADFB6B7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F7905EF-BC59-442B-9E04-EEC2C1D2AFCE}" name="CIE-10" dataCellStyle="20% - Énfasis4"/>
    <tableColumn id="2" xr3:uid="{57CE4816-1BBD-4231-B89D-71162E07F5B1}" name="D1" dataDxfId="1514">
      <calculatedColumnFormula>IF($AK$2="(Todas)",COUNTIF(BASE[CODCIE10],EPV_SARAMPION6466697274[[#This Row],[CIE-10]]),COUNTIFS(BASE[Cod.Establecimiento],$AK$2,BASE[CODCIE10],EPV_SARAMPION6466697274[[#This Row],[CIE-10]]))</calculatedColumnFormula>
    </tableColumn>
    <tableColumn id="3" xr3:uid="{C69E5B2D-2D2E-4D9E-91AD-36FA303705C6}" name="D2" dataDxfId="1513">
      <calculatedColumnFormula>IF($AK$2="(Todas)",COUNTIF(BASE[CODCIE102],EPV_SARAMPION6466697274[[#This Row],[CIE-10]]),COUNTIFS(BASE[Cod.Establecimiento],$AK$2,BASE[CODCIE102],EPV_SARAMPION6466697274[[#This Row],[CIE-10]]))</calculatedColumnFormula>
    </tableColumn>
    <tableColumn id="4" xr3:uid="{F6E698BB-2D08-4654-A8C6-E4DA07418F80}" name="D3" dataDxfId="1512">
      <calculatedColumnFormula>IF($AK$2="(Todas)",COUNTIF(BASE[CODCIE104],EPV_SARAMPION6466697274[[#This Row],[CIE-10]]),COUNTIFS(BASE[Cod.Establecimiento],$AK$2,BASE[CODCIE104],EPV_SARAMPION6466697274[[#This Row],[CIE-10]]))</calculatedColumnFormula>
    </tableColumn>
    <tableColumn id="5" xr3:uid="{726146E1-5FF8-4BF2-BEF3-AF3778C8FD04}" name="D4" dataDxfId="1511">
      <calculatedColumnFormula>IF($AK$2="(Todas)",COUNTIF(BASE[CODCIE106],EPV_SARAMPION6466697274[[#This Row],[CIE-10]]),COUNTIFS(BASE[Cod.Establecimiento],$AK$2,BASE[CODCIE106],EPV_SARAMPION6466697274[[#This Row],[CIE-10]]))</calculatedColumnFormula>
    </tableColumn>
    <tableColumn id="6" xr3:uid="{0A26477A-BE52-47D2-BAA0-D0FAD12EB52C}" name="D5" dataDxfId="1510">
      <calculatedColumnFormula>IF($AK$2="(Todas)",COUNTIF(BASE[CODCIE108],EPV_SARAMPION6466697274[[#This Row],[CIE-10]]),COUNTIFS(BASE[Cod.Establecimiento],$AK$2,BASE[CODCIE108],EPV_SARAMPION6466697274[[#This Row],[CIE-10]]))</calculatedColumnFormula>
    </tableColumn>
    <tableColumn id="7" xr3:uid="{E104BDC5-A829-4F50-97CA-AA7D6668BA68}" name="D6" dataDxfId="1509">
      <calculatedColumnFormula>IF($AK$2="(Todas)",COUNTIF(BASE[CODCIE1010],EPV_SARAMPION6466697274[[#This Row],[CIE-10]]),COUNTIFS(BASE[Cod.Establecimiento],$AK$2,BASE[CODCIE1010],EPV_SARAMPION6466697274[[#This Row],[CIE-10]]))</calculatedColumnFormula>
    </tableColumn>
    <tableColumn id="8" xr3:uid="{1B76F0B7-F775-4DF4-9C36-8D0259DC56AB}" name="TOT" dataDxfId="1508" dataCellStyle="40% - Énfasis6">
      <calculatedColumnFormula>SUM(EPV_SARAMPION6466697274[[#This Row],[D1]:[D6]])</calculatedColumnFormula>
    </tableColumn>
  </tableColumns>
  <tableStyleInfo name="TableStyleLight1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EF28F0B-AAF4-4758-AFF5-11ACC9CA1980}" name="EPV_SARAMPION646669727475" displayName="EPV_SARAMPION646669727475" ref="AB19:AI20" totalsRowShown="0" headerRowDxfId="1507">
  <autoFilter ref="AB19:AI20" xr:uid="{DEF28F0B-AAF4-4758-AFF5-11ACC9CA19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8F0AAD0-4FA4-4982-8BF3-798224A2650A}" name="CIE-10" dataCellStyle="20% - Énfasis4"/>
    <tableColumn id="2" xr3:uid="{57A237A9-A18A-410B-BA69-D77FD613042F}" name="D1" dataDxfId="1506">
      <calculatedColumnFormula>IF($AK$2="(Todas)",COUNTIF(BASE[CODCIE10],EPV_SARAMPION646669727475[[#This Row],[CIE-10]]),COUNTIFS(BASE[Cod.Establecimiento],$AK$2,BASE[CODCIE10],EPV_SARAMPION646669727475[[#This Row],[CIE-10]]))</calculatedColumnFormula>
    </tableColumn>
    <tableColumn id="3" xr3:uid="{07412771-01CE-4DDB-8A32-70468F4CA06C}" name="D2" dataDxfId="1505">
      <calculatedColumnFormula>IF($AK$2="(Todas)",COUNTIF(BASE[CODCIE102],EPV_SARAMPION646669727475[[#This Row],[CIE-10]]),COUNTIFS(BASE[Cod.Establecimiento],$AK$2,BASE[CODCIE102],EPV_SARAMPION646669727475[[#This Row],[CIE-10]]))</calculatedColumnFormula>
    </tableColumn>
    <tableColumn id="4" xr3:uid="{E93D36AA-10F7-4BE8-B68C-1D065416A621}" name="D3" dataDxfId="1504">
      <calculatedColumnFormula>IF($AK$2="(Todas)",COUNTIF(BASE[CODCIE104],EPV_SARAMPION646669727475[[#This Row],[CIE-10]]),COUNTIFS(BASE[Cod.Establecimiento],$AK$2,BASE[CODCIE104],EPV_SARAMPION646669727475[[#This Row],[CIE-10]]))</calculatedColumnFormula>
    </tableColumn>
    <tableColumn id="5" xr3:uid="{90B4924E-CABD-4064-9B16-CC0F58256160}" name="D4" dataDxfId="1503">
      <calculatedColumnFormula>IF($AK$2="(Todas)",COUNTIF(BASE[CODCIE106],EPV_SARAMPION646669727475[[#This Row],[CIE-10]]),COUNTIFS(BASE[Cod.Establecimiento],$AK$2,BASE[CODCIE106],EPV_SARAMPION646669727475[[#This Row],[CIE-10]]))</calculatedColumnFormula>
    </tableColumn>
    <tableColumn id="6" xr3:uid="{5137362F-8375-4988-94F7-39CB54DC50BC}" name="D5" dataDxfId="1502">
      <calculatedColumnFormula>IF($AK$2="(Todas)",COUNTIF(BASE[CODCIE108],EPV_SARAMPION646669727475[[#This Row],[CIE-10]]),COUNTIFS(BASE[Cod.Establecimiento],$AK$2,BASE[CODCIE108],EPV_SARAMPION646669727475[[#This Row],[CIE-10]]))</calculatedColumnFormula>
    </tableColumn>
    <tableColumn id="7" xr3:uid="{FDBCF1E9-01BE-4522-8627-2881D99B5748}" name="D6" dataDxfId="1501">
      <calculatedColumnFormula>IF($AK$2="(Todas)",COUNTIF(BASE[CODCIE1010],EPV_SARAMPION646669727475[[#This Row],[CIE-10]]),COUNTIFS(BASE[Cod.Establecimiento],$AK$2,BASE[CODCIE1010],EPV_SARAMPION646669727475[[#This Row],[CIE-10]]))</calculatedColumnFormula>
    </tableColumn>
    <tableColumn id="8" xr3:uid="{A4716834-148B-4553-9328-1D12AFD1F9E2}" name="TOT" dataDxfId="1500" dataCellStyle="40% - Énfasis6">
      <calculatedColumnFormula>SUM(EPV_SARAMPION646669727475[[#This Row],[D1]:[D6]])</calculatedColumnFormula>
    </tableColumn>
  </tableColumns>
  <tableStyleInfo name="TableStyleLight1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80BE51F-FD1B-4089-B21D-BFE2B5D1AFF2}" name="EPV_SARAMPION646669727376" displayName="EPV_SARAMPION646669727376" ref="S24:Z27" totalsRowShown="0" headerRowDxfId="1499">
  <autoFilter ref="S24:Z27" xr:uid="{080BE51F-FD1B-4089-B21D-BFE2B5D1AF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8D30201-DE6B-4AE3-AF17-6DAE2AE72928}" name="CIE-10" dataCellStyle="20% - Énfasis4"/>
    <tableColumn id="2" xr3:uid="{4F9985FB-3662-4E35-872C-EEB11D3BB732}" name="D1" dataDxfId="1498">
      <calculatedColumnFormula>IF($AK$2="(Todas)",COUNTIF(BASE[CODCIE10],EPV_SARAMPION646669727376[[#This Row],[CIE-10]]),COUNTIFS(BASE[Cod.Establecimiento],$AK$2,BASE[CODCIE10],EPV_SARAMPION646669727376[[#This Row],[CIE-10]]))</calculatedColumnFormula>
    </tableColumn>
    <tableColumn id="3" xr3:uid="{44375EC3-3DC2-4C1B-A333-1E352F7D507E}" name="D2" dataDxfId="1497">
      <calculatedColumnFormula>IF($AK$2="(Todas)",COUNTIF(BASE[CODCIE102],EPV_SARAMPION646669727376[[#This Row],[CIE-10]]),COUNTIFS(BASE[Cod.Establecimiento],$AK$2,BASE[CODCIE102],EPV_SARAMPION646669727376[[#This Row],[CIE-10]]))</calculatedColumnFormula>
    </tableColumn>
    <tableColumn id="4" xr3:uid="{2D0C32A8-EC83-44CD-B6E8-EDB8466155E9}" name="D3" dataDxfId="1496">
      <calculatedColumnFormula>IF($AK$2="(Todas)",COUNTIF(BASE[CODCIE104],EPV_SARAMPION646669727376[[#This Row],[CIE-10]]),COUNTIFS(BASE[Cod.Establecimiento],$AK$2,BASE[CODCIE104],EPV_SARAMPION646669727376[[#This Row],[CIE-10]]))</calculatedColumnFormula>
    </tableColumn>
    <tableColumn id="5" xr3:uid="{E4B64A65-8020-49F4-98CD-C4CCA3EBF507}" name="D4" dataDxfId="1495">
      <calculatedColumnFormula>IF($AK$2="(Todas)",COUNTIF(BASE[CODCIE106],EPV_SARAMPION646669727376[[#This Row],[CIE-10]]),COUNTIFS(BASE[Cod.Establecimiento],$AK$2,BASE[CODCIE106],EPV_SARAMPION646669727376[[#This Row],[CIE-10]]))</calculatedColumnFormula>
    </tableColumn>
    <tableColumn id="6" xr3:uid="{6144EFFE-6C91-4F0B-ABB9-E35276688218}" name="D5" dataDxfId="1494">
      <calculatedColumnFormula>IF($AK$2="(Todas)",COUNTIF(BASE[CODCIE108],EPV_SARAMPION646669727376[[#This Row],[CIE-10]]),COUNTIFS(BASE[Cod.Establecimiento],$AK$2,BASE[CODCIE108],EPV_SARAMPION646669727376[[#This Row],[CIE-10]]))</calculatedColumnFormula>
    </tableColumn>
    <tableColumn id="7" xr3:uid="{CABEC90F-123C-43D0-B13A-C2C78847CAC4}" name="D6" dataDxfId="1493">
      <calculatedColumnFormula>IF($AK$2="(Todas)",COUNTIF(BASE[CODCIE1010],EPV_SARAMPION646669727376[[#This Row],[CIE-10]]),COUNTIFS(BASE[Cod.Establecimiento],$AK$2,BASE[CODCIE1010],EPV_SARAMPION646669727376[[#This Row],[CIE-10]]))</calculatedColumnFormula>
    </tableColumn>
    <tableColumn id="8" xr3:uid="{2D15FC29-F665-4C0F-8296-1B738ACBCDAC}" name="TOT" dataDxfId="1492" dataCellStyle="40% - Énfasis6">
      <calculatedColumnFormula>SUM(EPV_SARAMPION646669727376[[#This Row],[D1]:[D6]])</calculatedColumnFormula>
    </tableColumn>
  </tableColumns>
  <tableStyleInfo name="TableStyleLight1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AC59B77A-66F7-4B24-AE9A-E4784209A4CE}" name="EPV_SARAMPION64666972737677" displayName="EPV_SARAMPION64666972737677" ref="AB24:AI29" totalsRowShown="0" headerRowDxfId="1491">
  <autoFilter ref="AB24:AI29" xr:uid="{AC59B77A-66F7-4B24-AE9A-E4784209A4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041B23-2751-4FA3-BF01-DFE003A97DAB}" name="CIE-10" dataCellStyle="20% - Énfasis4"/>
    <tableColumn id="2" xr3:uid="{2F8456AD-58AB-4C0D-AFEC-0C85740599C1}" name="D1" dataDxfId="1490">
      <calculatedColumnFormula>IF($AK$2="(Todas)",COUNTIF(BASE[CODCIE10],EPV_SARAMPION64666972737677[[#This Row],[CIE-10]]),COUNTIFS(BASE[Cod.Establecimiento],$AK$2,BASE[CODCIE10],EPV_SARAMPION64666972737677[[#This Row],[CIE-10]]))</calculatedColumnFormula>
    </tableColumn>
    <tableColumn id="3" xr3:uid="{62E8E614-4B8A-4A36-94B1-0FEBEE55A505}" name="D2" dataDxfId="1489">
      <calculatedColumnFormula>IF($AK$2="(Todas)",COUNTIF(BASE[CODCIE102],EPV_SARAMPION64666972737677[[#This Row],[CIE-10]]),COUNTIFS(BASE[Cod.Establecimiento],$AK$2,BASE[CODCIE102],EPV_SARAMPION64666972737677[[#This Row],[CIE-10]]))</calculatedColumnFormula>
    </tableColumn>
    <tableColumn id="4" xr3:uid="{F52413A9-2E13-4E65-8C86-FAE4400BBA16}" name="D3" dataDxfId="1488">
      <calculatedColumnFormula>IF($AK$2="(Todas)",COUNTIF(BASE[CODCIE104],EPV_SARAMPION64666972737677[[#This Row],[CIE-10]]),COUNTIFS(BASE[Cod.Establecimiento],$AK$2,BASE[CODCIE104],EPV_SARAMPION64666972737677[[#This Row],[CIE-10]]))</calculatedColumnFormula>
    </tableColumn>
    <tableColumn id="5" xr3:uid="{4D017478-9355-45FE-865C-00474C963773}" name="D4" dataDxfId="1487">
      <calculatedColumnFormula>IF($AK$2="(Todas)",COUNTIF(BASE[CODCIE106],EPV_SARAMPION64666972737677[[#This Row],[CIE-10]]),COUNTIFS(BASE[Cod.Establecimiento],$AK$2,BASE[CODCIE106],EPV_SARAMPION64666972737677[[#This Row],[CIE-10]]))</calculatedColumnFormula>
    </tableColumn>
    <tableColumn id="6" xr3:uid="{AE657896-49B9-4BAD-832A-680A6710811A}" name="D5" dataDxfId="1486">
      <calculatedColumnFormula>IF($AK$2="(Todas)",COUNTIF(BASE[CODCIE108],EPV_SARAMPION64666972737677[[#This Row],[CIE-10]]),COUNTIFS(BASE[Cod.Establecimiento],$AK$2,BASE[CODCIE108],EPV_SARAMPION64666972737677[[#This Row],[CIE-10]]))</calculatedColumnFormula>
    </tableColumn>
    <tableColumn id="7" xr3:uid="{DB9FC35B-9BD2-42BC-997F-4E0BD1313E55}" name="D6" dataDxfId="1485">
      <calculatedColumnFormula>IF($AK$2="(Todas)",COUNTIF(BASE[CODCIE1010],EPV_SARAMPION64666972737677[[#This Row],[CIE-10]]),COUNTIFS(BASE[Cod.Establecimiento],$AK$2,BASE[CODCIE1010],EPV_SARAMPION64666972737677[[#This Row],[CIE-10]]))</calculatedColumnFormula>
    </tableColumn>
    <tableColumn id="8" xr3:uid="{FF950028-BB65-4236-9A19-7DEC52AA5F87}" name="TOT" dataDxfId="1484" dataCellStyle="40% - Énfasis6">
      <calculatedColumnFormula>SUM(EPV_SARAMPION64666972737677[[#This Row],[D1]:[D6]])</calculatedColumnFormula>
    </tableColumn>
  </tableColumns>
  <tableStyleInfo name="TableStyleLight1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CD8B7555-CC99-4ECD-81CB-580FEA3241C4}" name="EPV_SARAMPION646669727378" displayName="EPV_SARAMPION646669727378" ref="J29:Q30" totalsRowShown="0" headerRowDxfId="1483">
  <autoFilter ref="J29:Q30" xr:uid="{CD8B7555-CC99-4ECD-81CB-580FEA3241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1E65A6C-2FF6-4848-86F7-F66B19031379}" name="CIE-10" dataCellStyle="20% - Énfasis4"/>
    <tableColumn id="2" xr3:uid="{AB2CB325-B267-4818-9FE1-5F85DA7A538E}" name="D1" dataDxfId="1482">
      <calculatedColumnFormula>IF($AK$2="(Todas)",COUNTIF(BASE[CODCIE10],EPV_SARAMPION646669727378[[#This Row],[CIE-10]]),COUNTIFS(BASE[Cod.Establecimiento],$AK$2,BASE[CODCIE10],EPV_SARAMPION646669727378[[#This Row],[CIE-10]]))</calculatedColumnFormula>
    </tableColumn>
    <tableColumn id="3" xr3:uid="{19C247AD-4F05-4E1B-92BD-39D5296E8449}" name="D2" dataDxfId="1481">
      <calculatedColumnFormula>IF($AK$2="(Todas)",COUNTIF(BASE[CODCIE102],EPV_SARAMPION646669727378[[#This Row],[CIE-10]]),COUNTIFS(BASE[Cod.Establecimiento],$AK$2,BASE[CODCIE102],EPV_SARAMPION646669727378[[#This Row],[CIE-10]]))</calculatedColumnFormula>
    </tableColumn>
    <tableColumn id="4" xr3:uid="{37011B31-AE9B-463C-AB89-3F81D6508AA7}" name="D3" dataDxfId="1480">
      <calculatedColumnFormula>IF($AK$2="(Todas)",COUNTIF(BASE[CODCIE104],EPV_SARAMPION646669727378[[#This Row],[CIE-10]]),COUNTIFS(BASE[Cod.Establecimiento],$AK$2,BASE[CODCIE104],EPV_SARAMPION646669727378[[#This Row],[CIE-10]]))</calculatedColumnFormula>
    </tableColumn>
    <tableColumn id="5" xr3:uid="{4BB16CC2-B4BD-458E-B78F-B0C0791E7F74}" name="D4" dataDxfId="1479">
      <calculatedColumnFormula>IF($AK$2="(Todas)",COUNTIF(BASE[CODCIE106],EPV_SARAMPION646669727378[[#This Row],[CIE-10]]),COUNTIFS(BASE[Cod.Establecimiento],$AK$2,BASE[CODCIE106],EPV_SARAMPION646669727378[[#This Row],[CIE-10]]))</calculatedColumnFormula>
    </tableColumn>
    <tableColumn id="6" xr3:uid="{394A810F-6907-44BB-8A08-A237446DF331}" name="D5" dataDxfId="1478">
      <calculatedColumnFormula>IF($AK$2="(Todas)",COUNTIF(BASE[CODCIE108],EPV_SARAMPION646669727378[[#This Row],[CIE-10]]),COUNTIFS(BASE[Cod.Establecimiento],$AK$2,BASE[CODCIE108],EPV_SARAMPION646669727378[[#This Row],[CIE-10]]))</calculatedColumnFormula>
    </tableColumn>
    <tableColumn id="7" xr3:uid="{50F9A43E-009E-4103-B217-816702B35ECD}" name="D6" dataDxfId="1477">
      <calculatedColumnFormula>IF($AK$2="(Todas)",COUNTIF(BASE[CODCIE1010],EPV_SARAMPION646669727378[[#This Row],[CIE-10]]),COUNTIFS(BASE[Cod.Establecimiento],$AK$2,BASE[CODCIE1010],EPV_SARAMPION646669727378[[#This Row],[CIE-10]]))</calculatedColumnFormula>
    </tableColumn>
    <tableColumn id="8" xr3:uid="{8D0534A7-6B17-47D2-A552-AFAF0B0364E5}" name="TOT" dataDxfId="1476" dataCellStyle="40% - Énfasis6">
      <calculatedColumnFormula>SUM(EPV_SARAMPION646669727378[[#This Row],[D1]:[D6]])</calculatedColumnFormula>
    </tableColumn>
  </tableColumns>
  <tableStyleInfo name="TableStyleLight1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BE88982A-7569-4CA7-A42B-0A80DED0D2BB}" name="EPV_SARAMPION64666972737880" displayName="EPV_SARAMPION64666972737880" ref="A29:H30" totalsRowShown="0" headerRowDxfId="1475">
  <autoFilter ref="A29:H30" xr:uid="{BE88982A-7569-4CA7-A42B-0A80DED0D2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F525249-9D36-4C30-B488-3E8005883285}" name="CIE-10" dataCellStyle="20% - Énfasis4"/>
    <tableColumn id="2" xr3:uid="{25B04F12-782B-46D8-88DA-A089A7B72DE8}" name="D1" dataDxfId="1474">
      <calculatedColumnFormula>IF($AK$2="(Todas)",COUNTIF(BASE[CODCIE10],EPV_SARAMPION64666972737880[[#This Row],[CIE-10]]),COUNTIFS(BASE[Cod.Establecimiento],$AK$2,BASE[CODCIE10],EPV_SARAMPION64666972737880[[#This Row],[CIE-10]]))</calculatedColumnFormula>
    </tableColumn>
    <tableColumn id="3" xr3:uid="{C12ABA4B-0BE4-428F-8FDC-9305150A9734}" name="D2" dataDxfId="1473">
      <calculatedColumnFormula>IF($AK$2="(Todas)",COUNTIF(BASE[CODCIE102],EPV_SARAMPION64666972737880[[#This Row],[CIE-10]]),COUNTIFS(BASE[Cod.Establecimiento],$AK$2,BASE[CODCIE102],EPV_SARAMPION64666972737880[[#This Row],[CIE-10]]))</calculatedColumnFormula>
    </tableColumn>
    <tableColumn id="4" xr3:uid="{43201D9D-E7E8-4B31-8837-B55C0EE5BC2E}" name="D3" dataDxfId="1472">
      <calculatedColumnFormula>IF($AK$2="(Todas)",COUNTIF(BASE[CODCIE104],EPV_SARAMPION64666972737880[[#This Row],[CIE-10]]),COUNTIFS(BASE[Cod.Establecimiento],$AK$2,BASE[CODCIE104],EPV_SARAMPION64666972737880[[#This Row],[CIE-10]]))</calculatedColumnFormula>
    </tableColumn>
    <tableColumn id="5" xr3:uid="{A737D774-7E8C-4EDC-AC6C-1F19F207EF2B}" name="D4" dataDxfId="1471">
      <calculatedColumnFormula>IF($AK$2="(Todas)",COUNTIF(BASE[CODCIE106],EPV_SARAMPION64666972737880[[#This Row],[CIE-10]]),COUNTIFS(BASE[Cod.Establecimiento],$AK$2,BASE[CODCIE106],EPV_SARAMPION64666972737880[[#This Row],[CIE-10]]))</calculatedColumnFormula>
    </tableColumn>
    <tableColumn id="6" xr3:uid="{282F77BD-7B9C-4214-A3EC-D89DCC16A3B5}" name="D5" dataDxfId="1470">
      <calculatedColumnFormula>IF($AK$2="(Todas)",COUNTIF(BASE[CODCIE108],EPV_SARAMPION64666972737880[[#This Row],[CIE-10]]),COUNTIFS(BASE[Cod.Establecimiento],$AK$2,BASE[CODCIE108],EPV_SARAMPION64666972737880[[#This Row],[CIE-10]]))</calculatedColumnFormula>
    </tableColumn>
    <tableColumn id="7" xr3:uid="{14F0EC76-846F-4A6D-90CF-758A25664E1F}" name="D6" dataDxfId="1469">
      <calculatedColumnFormula>IF($AK$2="(Todas)",COUNTIF(BASE[CODCIE1010],EPV_SARAMPION64666972737880[[#This Row],[CIE-10]]),COUNTIFS(BASE[Cod.Establecimiento],$AK$2,BASE[CODCIE1010],EPV_SARAMPION64666972737880[[#This Row],[CIE-10]]))</calculatedColumnFormula>
    </tableColumn>
    <tableColumn id="8" xr3:uid="{592C5F95-FE8E-41BF-AB65-6CA7B298DC37}" name="TOT" dataDxfId="1468" dataCellStyle="40% - Énfasis6">
      <calculatedColumnFormula>SUM(EPV_SARAMPION64666972737880[[#This Row],[D1]:[D6]])</calculatedColumnFormula>
    </tableColumn>
  </tableColumns>
  <tableStyleInfo name="TableStyleLight1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DB0F9BC-1C6E-4D93-8FCC-1320C4515207}" name="EPV_SARAMPION6466697273788081" displayName="EPV_SARAMPION6466697273788081" ref="A34:H35" totalsRowShown="0" headerRowDxfId="1467">
  <autoFilter ref="A34:H35" xr:uid="{8DB0F9BC-1C6E-4D93-8FCC-1320C45152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341597-7E1E-4DD5-B5A6-8E293817FA47}" name="CIE-10" dataCellStyle="20% - Énfasis4"/>
    <tableColumn id="2" xr3:uid="{78DB53C7-7B64-4D1B-80AE-A3345D694847}" name="D1" dataDxfId="1466">
      <calculatedColumnFormula>IF($AK$2="(Todas)",COUNTIF(BASE[CODCIE10],EPV_SARAMPION6466697273788081[[#This Row],[CIE-10]]),COUNTIFS(BASE[Cod.Establecimiento],$AK$2,BASE[CODCIE10],EPV_SARAMPION6466697273788081[[#This Row],[CIE-10]]))</calculatedColumnFormula>
    </tableColumn>
    <tableColumn id="3" xr3:uid="{CD63E51D-3DCB-42F3-9CAA-13A33E30773E}" name="D2" dataDxfId="1465">
      <calculatedColumnFormula>IF($AK$2="(Todas)",COUNTIF(BASE[CODCIE102],EPV_SARAMPION6466697273788081[[#This Row],[CIE-10]]),COUNTIFS(BASE[Cod.Establecimiento],$AK$2,BASE[CODCIE102],EPV_SARAMPION6466697273788081[[#This Row],[CIE-10]]))</calculatedColumnFormula>
    </tableColumn>
    <tableColumn id="4" xr3:uid="{2ECAA573-1DD1-4C57-9D53-226690A088B7}" name="D3" dataDxfId="1464">
      <calculatedColumnFormula>IF($AK$2="(Todas)",COUNTIF(BASE[CODCIE104],EPV_SARAMPION6466697273788081[[#This Row],[CIE-10]]),COUNTIFS(BASE[Cod.Establecimiento],$AK$2,BASE[CODCIE104],EPV_SARAMPION6466697273788081[[#This Row],[CIE-10]]))</calculatedColumnFormula>
    </tableColumn>
    <tableColumn id="5" xr3:uid="{BAEB662B-7136-42EA-8030-75689A385809}" name="D4" dataDxfId="1463">
      <calculatedColumnFormula>IF($AK$2="(Todas)",COUNTIF(BASE[CODCIE106],EPV_SARAMPION6466697273788081[[#This Row],[CIE-10]]),COUNTIFS(BASE[Cod.Establecimiento],$AK$2,BASE[CODCIE106],EPV_SARAMPION6466697273788081[[#This Row],[CIE-10]]))</calculatedColumnFormula>
    </tableColumn>
    <tableColumn id="6" xr3:uid="{54819674-0B98-4162-B319-F3694F200F64}" name="D5" dataDxfId="1462">
      <calculatedColumnFormula>IF($AK$2="(Todas)",COUNTIF(BASE[CODCIE108],EPV_SARAMPION6466697273788081[[#This Row],[CIE-10]]),COUNTIFS(BASE[Cod.Establecimiento],$AK$2,BASE[CODCIE108],EPV_SARAMPION6466697273788081[[#This Row],[CIE-10]]))</calculatedColumnFormula>
    </tableColumn>
    <tableColumn id="7" xr3:uid="{281E3ABF-8CA2-4B17-8215-8039362EA495}" name="D6" dataDxfId="1461">
      <calculatedColumnFormula>IF($AK$2="(Todas)",COUNTIF(BASE[CODCIE1010],EPV_SARAMPION6466697273788081[[#This Row],[CIE-10]]),COUNTIFS(BASE[Cod.Establecimiento],$AK$2,BASE[CODCIE1010],EPV_SARAMPION6466697273788081[[#This Row],[CIE-10]]))</calculatedColumnFormula>
    </tableColumn>
    <tableColumn id="8" xr3:uid="{1C43DCDB-526A-4139-866E-ACF0E04B2FB6}" name="TOT" dataDxfId="1460" dataCellStyle="40% - Énfasis6">
      <calculatedColumnFormula>SUM(EPV_SARAMPION6466697273788081[[#This Row],[D1]:[D6]])</calculatedColumnFormula>
    </tableColumn>
  </tableColumns>
  <tableStyleInfo name="TableStyleLight1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F506441-DF14-4F5C-85BA-983175B9B2C4}" name="EPV_SARAMPION646669727378808182" displayName="EPV_SARAMPION646669727378808182" ref="J34:Q35" totalsRowShown="0" headerRowDxfId="1459">
  <autoFilter ref="J34:Q35" xr:uid="{6F506441-DF14-4F5C-85BA-983175B9B2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D6AACDF-49AA-4C92-9F2E-5A9E54F58FB6}" name="CIE-10" dataCellStyle="20% - Énfasis4"/>
    <tableColumn id="2" xr3:uid="{96046818-1450-4FFE-90FA-B24DE80F70D4}" name="D1" dataDxfId="1458">
      <calculatedColumnFormula>IF($AK$2="(Todas)",COUNTIF(BASE[CODCIE10],EPV_SARAMPION646669727378808182[[#This Row],[CIE-10]]),COUNTIFS(BASE[Cod.Establecimiento],$AK$2,BASE[CODCIE10],EPV_SARAMPION646669727378808182[[#This Row],[CIE-10]]))</calculatedColumnFormula>
    </tableColumn>
    <tableColumn id="3" xr3:uid="{FED6D3E1-5598-44D3-91C8-9DE947D6AF64}" name="D2" dataDxfId="1457">
      <calculatedColumnFormula>IF($AK$2="(Todas)",COUNTIF(BASE[CODCIE102],EPV_SARAMPION646669727378808182[[#This Row],[CIE-10]]),COUNTIFS(BASE[Cod.Establecimiento],$AK$2,BASE[CODCIE102],EPV_SARAMPION646669727378808182[[#This Row],[CIE-10]]))</calculatedColumnFormula>
    </tableColumn>
    <tableColumn id="4" xr3:uid="{CC8A9C7C-5217-4ACD-9E32-BBAF0286BB6C}" name="D3" dataDxfId="1456">
      <calculatedColumnFormula>IF($AK$2="(Todas)",COUNTIF(BASE[CODCIE104],EPV_SARAMPION646669727378808182[[#This Row],[CIE-10]]),COUNTIFS(BASE[Cod.Establecimiento],$AK$2,BASE[CODCIE104],EPV_SARAMPION646669727378808182[[#This Row],[CIE-10]]))</calculatedColumnFormula>
    </tableColumn>
    <tableColumn id="5" xr3:uid="{8C291FF7-B40F-4B96-8799-03AF5CD89C06}" name="D4" dataDxfId="1455">
      <calculatedColumnFormula>IF($AK$2="(Todas)",COUNTIF(BASE[CODCIE106],EPV_SARAMPION646669727378808182[[#This Row],[CIE-10]]),COUNTIFS(BASE[Cod.Establecimiento],$AK$2,BASE[CODCIE106],EPV_SARAMPION646669727378808182[[#This Row],[CIE-10]]))</calculatedColumnFormula>
    </tableColumn>
    <tableColumn id="6" xr3:uid="{D8044B61-CC22-4B80-ABB6-1D71A659B316}" name="D5" dataDxfId="1454">
      <calculatedColumnFormula>IF($AK$2="(Todas)",COUNTIF(BASE[CODCIE108],EPV_SARAMPION646669727378808182[[#This Row],[CIE-10]]),COUNTIFS(BASE[Cod.Establecimiento],$AK$2,BASE[CODCIE108],EPV_SARAMPION646669727378808182[[#This Row],[CIE-10]]))</calculatedColumnFormula>
    </tableColumn>
    <tableColumn id="7" xr3:uid="{EFAB595F-B726-4DA7-9270-4E307423DE61}" name="D6" dataDxfId="1453">
      <calculatedColumnFormula>IF($AK$2="(Todas)",COUNTIF(BASE[CODCIE1010],EPV_SARAMPION646669727378808182[[#This Row],[CIE-10]]),COUNTIFS(BASE[Cod.Establecimiento],$AK$2,BASE[CODCIE1010],EPV_SARAMPION646669727378808182[[#This Row],[CIE-10]]))</calculatedColumnFormula>
    </tableColumn>
    <tableColumn id="8" xr3:uid="{C140EB41-EF1F-4E94-B390-53C53BEAAA71}" name="TOT" dataDxfId="1452" dataCellStyle="40% - Énfasis6">
      <calculatedColumnFormula>SUM(EPV_SARAMPION646669727378808182[[#This Row],[D1]:[D6]])</calculatedColumnFormula>
    </tableColumn>
  </tableColumns>
  <tableStyleInfo name="TableStyleLight1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C6072002-962B-4371-A003-0049BB15659F}" name="EPV_SARAMPION64666972737880818283" displayName="EPV_SARAMPION64666972737880818283" ref="S33:Z35" totalsRowShown="0" headerRowDxfId="1451">
  <autoFilter ref="S33:Z35" xr:uid="{C6072002-962B-4371-A003-0049BB1565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5B58955-DD9F-45A2-B5B5-416FFE80B5FB}" name="CIE-10" dataCellStyle="20% - Énfasis4"/>
    <tableColumn id="2" xr3:uid="{6DB35FC3-B989-4381-AB3D-A27E949A82C0}" name="D1" dataDxfId="1450">
      <calculatedColumnFormula>IF($AK$2="(Todas)",COUNTIF(BASE[CODCIE10],EPV_SARAMPION64666972737880818283[[#This Row],[CIE-10]]),COUNTIFS(BASE[Cod.Establecimiento],$AK$2,BASE[CODCIE10],EPV_SARAMPION64666972737880818283[[#This Row],[CIE-10]]))</calculatedColumnFormula>
    </tableColumn>
    <tableColumn id="3" xr3:uid="{2CC4BE9D-2256-423E-9D85-53D87C5F3484}" name="D2" dataDxfId="1449">
      <calculatedColumnFormula>IF($AK$2="(Todas)",COUNTIF(BASE[CODCIE102],EPV_SARAMPION64666972737880818283[[#This Row],[CIE-10]]),COUNTIFS(BASE[Cod.Establecimiento],$AK$2,BASE[CODCIE102],EPV_SARAMPION64666972737880818283[[#This Row],[CIE-10]]))</calculatedColumnFormula>
    </tableColumn>
    <tableColumn id="4" xr3:uid="{20569E90-DFE9-4FE4-8ACC-B950B8946242}" name="D3" dataDxfId="1448">
      <calculatedColumnFormula>IF($AK$2="(Todas)",COUNTIF(BASE[CODCIE104],EPV_SARAMPION64666972737880818283[[#This Row],[CIE-10]]),COUNTIFS(BASE[Cod.Establecimiento],$AK$2,BASE[CODCIE104],EPV_SARAMPION64666972737880818283[[#This Row],[CIE-10]]))</calculatedColumnFormula>
    </tableColumn>
    <tableColumn id="5" xr3:uid="{52D918C9-DFBB-4ED9-B86A-97944A63E4A6}" name="D4" dataDxfId="1447">
      <calculatedColumnFormula>IF($AK$2="(Todas)",COUNTIF(BASE[CODCIE106],EPV_SARAMPION64666972737880818283[[#This Row],[CIE-10]]),COUNTIFS(BASE[Cod.Establecimiento],$AK$2,BASE[CODCIE106],EPV_SARAMPION64666972737880818283[[#This Row],[CIE-10]]))</calculatedColumnFormula>
    </tableColumn>
    <tableColumn id="6" xr3:uid="{16C97CCB-5BF8-4957-805B-DAD83C9B2A8D}" name="D5" dataDxfId="1446">
      <calculatedColumnFormula>IF($AK$2="(Todas)",COUNTIF(BASE[CODCIE108],EPV_SARAMPION64666972737880818283[[#This Row],[CIE-10]]),COUNTIFS(BASE[Cod.Establecimiento],$AK$2,BASE[CODCIE108],EPV_SARAMPION64666972737880818283[[#This Row],[CIE-10]]))</calculatedColumnFormula>
    </tableColumn>
    <tableColumn id="7" xr3:uid="{1466D71C-3D79-421F-98C3-32AB97F25503}" name="D6" dataDxfId="1445">
      <calculatedColumnFormula>IF($AK$2="(Todas)",COUNTIF(BASE[CODCIE1010],EPV_SARAMPION64666972737880818283[[#This Row],[CIE-10]]),COUNTIFS(BASE[Cod.Establecimiento],$AK$2,BASE[CODCIE1010],EPV_SARAMPION64666972737880818283[[#This Row],[CIE-10]]))</calculatedColumnFormula>
    </tableColumn>
    <tableColumn id="8" xr3:uid="{7DFDF05E-10EC-45B6-9C90-A2C595EB6821}" name="TOT" dataDxfId="1444" dataCellStyle="40% - Énfasis6">
      <calculatedColumnFormula>SUM(EPV_SARAMPION64666972737880818283[[#This Row],[D1]:[D6]])</calculatedColumnFormula>
    </tableColumn>
  </tableColumns>
  <tableStyleInfo name="TableStyleLight1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4FC94E2F-51BC-4489-9175-07A87609F36C}" name="EPV_SARAMPION6466697273788081828384" displayName="EPV_SARAMPION6466697273788081828384" ref="AB34:AI35" totalsRowShown="0" headerRowDxfId="1443">
  <autoFilter ref="AB34:AI35" xr:uid="{4FC94E2F-51BC-4489-9175-07A87609F3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F832530-E120-42D5-BC70-6200853568B1}" name="CIE-10" dataCellStyle="20% - Énfasis4"/>
    <tableColumn id="2" xr3:uid="{AFFC74E5-A843-4C1B-A0E8-1533D66FFBC8}" name="D1" dataDxfId="1442">
      <calculatedColumnFormula>IF($AK$2="(Todas)",COUNTIF(BASE[CODCIE10],EPV_SARAMPION6466697273788081828384[[#This Row],[CIE-10]]),COUNTIFS(BASE[Cod.Establecimiento],$AK$2,BASE[CODCIE10],EPV_SARAMPION6466697273788081828384[[#This Row],[CIE-10]]))</calculatedColumnFormula>
    </tableColumn>
    <tableColumn id="3" xr3:uid="{99ACBCEB-2E24-49EB-AD05-C16874CCFC5C}" name="D2" dataDxfId="1441">
      <calculatedColumnFormula>IF($AK$2="(Todas)",COUNTIF(BASE[CODCIE102],EPV_SARAMPION6466697273788081828384[[#This Row],[CIE-10]]),COUNTIFS(BASE[Cod.Establecimiento],$AK$2,BASE[CODCIE102],EPV_SARAMPION6466697273788081828384[[#This Row],[CIE-10]]))</calculatedColumnFormula>
    </tableColumn>
    <tableColumn id="4" xr3:uid="{C4BC990C-DD77-47EA-9EE9-1F9CF4D6FACD}" name="D3" dataDxfId="1440">
      <calculatedColumnFormula>IF($AK$2="(Todas)",COUNTIF(BASE[CODCIE104],EPV_SARAMPION6466697273788081828384[[#This Row],[CIE-10]]),COUNTIFS(BASE[Cod.Establecimiento],$AK$2,BASE[CODCIE104],EPV_SARAMPION6466697273788081828384[[#This Row],[CIE-10]]))</calculatedColumnFormula>
    </tableColumn>
    <tableColumn id="5" xr3:uid="{CCF0B1DB-B9AD-46BB-993B-F6ADE73DD0BD}" name="D4" dataDxfId="1439">
      <calculatedColumnFormula>IF($AK$2="(Todas)",COUNTIF(BASE[CODCIE106],EPV_SARAMPION6466697273788081828384[[#This Row],[CIE-10]]),COUNTIFS(BASE[Cod.Establecimiento],$AK$2,BASE[CODCIE106],EPV_SARAMPION6466697273788081828384[[#This Row],[CIE-10]]))</calculatedColumnFormula>
    </tableColumn>
    <tableColumn id="6" xr3:uid="{9054C5D2-2782-4566-9DCA-F4CB1312B867}" name="D5" dataDxfId="1438">
      <calculatedColumnFormula>IF($AK$2="(Todas)",COUNTIF(BASE[CODCIE108],EPV_SARAMPION6466697273788081828384[[#This Row],[CIE-10]]),COUNTIFS(BASE[Cod.Establecimiento],$AK$2,BASE[CODCIE108],EPV_SARAMPION6466697273788081828384[[#This Row],[CIE-10]]))</calculatedColumnFormula>
    </tableColumn>
    <tableColumn id="7" xr3:uid="{705CB5F4-E6F1-438C-90AC-4C3DFB10D1D5}" name="D6" dataDxfId="1437">
      <calculatedColumnFormula>IF($AK$2="(Todas)",COUNTIF(BASE[CODCIE1010],EPV_SARAMPION6466697273788081828384[[#This Row],[CIE-10]]),COUNTIFS(BASE[Cod.Establecimiento],$AK$2,BASE[CODCIE1010],EPV_SARAMPION6466697273788081828384[[#This Row],[CIE-10]]))</calculatedColumnFormula>
    </tableColumn>
    <tableColumn id="8" xr3:uid="{ADCECE35-BB48-4150-B4DB-4F7673E54518}" name="TOT" dataDxfId="1436" dataCellStyle="40% - Énfasis6">
      <calculatedColumnFormula>SUM(EPV_SARAMPION6466697273788081828384[[#This Row],[D1]:[D6]])</calculatedColumnFormula>
    </tableColumn>
  </tableColumns>
  <tableStyleInfo name="TableStyleLight1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986FA0F-5E27-4B64-AD52-B88A4D301AD2}" name="EPV_SARAMPION646669727378808185" displayName="EPV_SARAMPION646669727378808185" ref="A39:H40" totalsRowShown="0" headerRowDxfId="1435">
  <autoFilter ref="A39:H40" xr:uid="{C986FA0F-5E27-4B64-AD52-B88A4D301A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E0200BA-1172-4007-8F42-4543FCECB797}" name="CIE-10" dataCellStyle="20% - Énfasis4"/>
    <tableColumn id="2" xr3:uid="{2887AB9C-625F-4E35-A59B-68DB2CBCE450}" name="D1" dataDxfId="1434">
      <calculatedColumnFormula>IF($AK$2="(Todas)",COUNTIF(BASE[CODCIE10],EPV_SARAMPION646669727378808185[[#This Row],[CIE-10]]),COUNTIFS(BASE[Cod.Establecimiento],$AK$2,BASE[CODCIE10],EPV_SARAMPION646669727378808185[[#This Row],[CIE-10]]))</calculatedColumnFormula>
    </tableColumn>
    <tableColumn id="3" xr3:uid="{EC931176-4989-442F-84E2-DCA864B9037A}" name="D2" dataDxfId="1433">
      <calculatedColumnFormula>IF($AK$2="(Todas)",COUNTIF(BASE[CODCIE102],EPV_SARAMPION646669727378808185[[#This Row],[CIE-10]]),COUNTIFS(BASE[Cod.Establecimiento],$AK$2,BASE[CODCIE102],EPV_SARAMPION646669727378808185[[#This Row],[CIE-10]]))</calculatedColumnFormula>
    </tableColumn>
    <tableColumn id="4" xr3:uid="{B225BAC5-A63B-4891-A43D-85F9E6CE28F0}" name="D3" dataDxfId="1432">
      <calculatedColumnFormula>IF($AK$2="(Todas)",COUNTIF(BASE[CODCIE104],EPV_SARAMPION646669727378808185[[#This Row],[CIE-10]]),COUNTIFS(BASE[Cod.Establecimiento],$AK$2,BASE[CODCIE104],EPV_SARAMPION646669727378808185[[#This Row],[CIE-10]]))</calculatedColumnFormula>
    </tableColumn>
    <tableColumn id="5" xr3:uid="{C1B76034-1307-48FC-9322-F8C595FED77E}" name="D4" dataDxfId="1431">
      <calculatedColumnFormula>IF($AK$2="(Todas)",COUNTIF(BASE[CODCIE106],EPV_SARAMPION646669727378808185[[#This Row],[CIE-10]]),COUNTIFS(BASE[Cod.Establecimiento],$AK$2,BASE[CODCIE106],EPV_SARAMPION646669727378808185[[#This Row],[CIE-10]]))</calculatedColumnFormula>
    </tableColumn>
    <tableColumn id="6" xr3:uid="{69FA3B56-E39F-4D1D-B082-8FB72A25534F}" name="D5" dataDxfId="1430">
      <calculatedColumnFormula>IF($AK$2="(Todas)",COUNTIF(BASE[CODCIE108],EPV_SARAMPION646669727378808185[[#This Row],[CIE-10]]),COUNTIFS(BASE[Cod.Establecimiento],$AK$2,BASE[CODCIE108],EPV_SARAMPION646669727378808185[[#This Row],[CIE-10]]))</calculatedColumnFormula>
    </tableColumn>
    <tableColumn id="7" xr3:uid="{A9DAF539-5034-4975-B8DC-86DD08080422}" name="D6" dataDxfId="1429">
      <calculatedColumnFormula>IF($AK$2="(Todas)",COUNTIF(BASE[CODCIE1010],EPV_SARAMPION646669727378808185[[#This Row],[CIE-10]]),COUNTIFS(BASE[Cod.Establecimiento],$AK$2,BASE[CODCIE1010],EPV_SARAMPION646669727378808185[[#This Row],[CIE-10]]))</calculatedColumnFormula>
    </tableColumn>
    <tableColumn id="8" xr3:uid="{5A96F474-7881-40A2-BC4B-BE32CC7B8533}" name="TOT" dataDxfId="1428" dataCellStyle="40% - Énfasis6">
      <calculatedColumnFormula>SUM(EPV_SARAMPION646669727378808185[[#This Row],[D1]:[D6]])</calculatedColumnFormula>
    </tableColumn>
  </tableColumns>
  <tableStyleInfo name="TableStyleLight1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A4CEFF5-F3BB-4A12-9D8A-A9B939AD7394}" name="EPV_SARAMPION64666972737880818586" displayName="EPV_SARAMPION64666972737880818586" ref="J39:Q40" totalsRowShown="0" headerRowDxfId="1427">
  <autoFilter ref="J39:Q40" xr:uid="{EA4CEFF5-F3BB-4A12-9D8A-A9B939AD73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0B9B7B2-1108-4C5F-89EA-3E2549D63B5A}" name="CIE-10" dataCellStyle="20% - Énfasis4"/>
    <tableColumn id="2" xr3:uid="{993BCDEE-8F5E-4E3A-BCC1-F3685498D7C5}" name="D1" dataDxfId="1426">
      <calculatedColumnFormula>IF($AK$2="(Todas)",COUNTIF(BASE[CODCIE10],EPV_SARAMPION64666972737880818586[[#This Row],[CIE-10]]),COUNTIFS(BASE[Cod.Establecimiento],$AK$2,BASE[CODCIE10],EPV_SARAMPION64666972737880818586[[#This Row],[CIE-10]]))</calculatedColumnFormula>
    </tableColumn>
    <tableColumn id="3" xr3:uid="{A0B34C8D-D5C6-4006-B49B-17B2504E3409}" name="D2" dataDxfId="1425">
      <calculatedColumnFormula>IF($AK$2="(Todas)",COUNTIF(BASE[CODCIE102],EPV_SARAMPION64666972737880818586[[#This Row],[CIE-10]]),COUNTIFS(BASE[Cod.Establecimiento],$AK$2,BASE[CODCIE102],EPV_SARAMPION64666972737880818586[[#This Row],[CIE-10]]))</calculatedColumnFormula>
    </tableColumn>
    <tableColumn id="4" xr3:uid="{E15DE1C5-5909-4264-871C-EAA9091C8CCA}" name="D3" dataDxfId="1424">
      <calculatedColumnFormula>IF($AK$2="(Todas)",COUNTIF(BASE[CODCIE104],EPV_SARAMPION64666972737880818586[[#This Row],[CIE-10]]),COUNTIFS(BASE[Cod.Establecimiento],$AK$2,BASE[CODCIE104],EPV_SARAMPION64666972737880818586[[#This Row],[CIE-10]]))</calculatedColumnFormula>
    </tableColumn>
    <tableColumn id="5" xr3:uid="{EB4AD385-994E-4E90-8AF1-5BB6F92845EA}" name="D4" dataDxfId="1423">
      <calculatedColumnFormula>IF($AK$2="(Todas)",COUNTIF(BASE[CODCIE106],EPV_SARAMPION64666972737880818586[[#This Row],[CIE-10]]),COUNTIFS(BASE[Cod.Establecimiento],$AK$2,BASE[CODCIE106],EPV_SARAMPION64666972737880818586[[#This Row],[CIE-10]]))</calculatedColumnFormula>
    </tableColumn>
    <tableColumn id="6" xr3:uid="{63BC610B-120F-4766-A7BA-C670F28C5F8F}" name="D5" dataDxfId="1422">
      <calculatedColumnFormula>IF($AK$2="(Todas)",COUNTIF(BASE[CODCIE108],EPV_SARAMPION64666972737880818586[[#This Row],[CIE-10]]),COUNTIFS(BASE[Cod.Establecimiento],$AK$2,BASE[CODCIE108],EPV_SARAMPION64666972737880818586[[#This Row],[CIE-10]]))</calculatedColumnFormula>
    </tableColumn>
    <tableColumn id="7" xr3:uid="{8571CF24-12A5-482D-A101-B942A316A791}" name="D6" dataDxfId="1421">
      <calculatedColumnFormula>IF($AK$2="(Todas)",COUNTIF(BASE[CODCIE1010],EPV_SARAMPION64666972737880818586[[#This Row],[CIE-10]]),COUNTIFS(BASE[Cod.Establecimiento],$AK$2,BASE[CODCIE1010],EPV_SARAMPION64666972737880818586[[#This Row],[CIE-10]]))</calculatedColumnFormula>
    </tableColumn>
    <tableColumn id="8" xr3:uid="{DD8A0425-182C-4A2A-A739-C0DEEA58FF10}" name="TOT" dataDxfId="1420" dataCellStyle="40% - Énfasis6">
      <calculatedColumnFormula>SUM(EPV_SARAMPION64666972737880818586[[#This Row],[D1]:[D6]])</calculatedColumnFormula>
    </tableColumn>
  </tableColumns>
  <tableStyleInfo name="TableStyleLight1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AD36954-B0C2-473A-8270-F14E9B3843AB}" name="EPV_SARAMPION6466697273788081858687" displayName="EPV_SARAMPION6466697273788081858687" ref="S39:Z41" totalsRowShown="0" headerRowDxfId="1419">
  <autoFilter ref="S39:Z41" xr:uid="{AAD36954-B0C2-473A-8270-F14E9B3843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B953D17-99F1-4A38-BA8A-52C5B8647C86}" name="CIE-10" dataCellStyle="20% - Énfasis4"/>
    <tableColumn id="2" xr3:uid="{86FF2480-A389-4F90-8AC4-773E5D4717B1}" name="D1" dataDxfId="1418">
      <calculatedColumnFormula>IF($AK$2="(Todas)",COUNTIF(BASE[CODCIE10],EPV_SARAMPION6466697273788081858687[[#This Row],[CIE-10]]),COUNTIFS(BASE[Cod.Establecimiento],$AK$2,BASE[CODCIE10],EPV_SARAMPION6466697273788081858687[[#This Row],[CIE-10]]))</calculatedColumnFormula>
    </tableColumn>
    <tableColumn id="3" xr3:uid="{6167700C-8D9D-4EEA-98BF-33865236E533}" name="D2" dataDxfId="1417">
      <calculatedColumnFormula>IF($AK$2="(Todas)",COUNTIF(BASE[CODCIE102],EPV_SARAMPION6466697273788081858687[[#This Row],[CIE-10]]),COUNTIFS(BASE[Cod.Establecimiento],$AK$2,BASE[CODCIE102],EPV_SARAMPION6466697273788081858687[[#This Row],[CIE-10]]))</calculatedColumnFormula>
    </tableColumn>
    <tableColumn id="4" xr3:uid="{115F457F-399F-4C88-8927-BAEB5A64E935}" name="D3" dataDxfId="1416">
      <calculatedColumnFormula>IF($AK$2="(Todas)",COUNTIF(BASE[CODCIE104],EPV_SARAMPION6466697273788081858687[[#This Row],[CIE-10]]),COUNTIFS(BASE[Cod.Establecimiento],$AK$2,BASE[CODCIE104],EPV_SARAMPION6466697273788081858687[[#This Row],[CIE-10]]))</calculatedColumnFormula>
    </tableColumn>
    <tableColumn id="5" xr3:uid="{F448266E-B4F5-46AB-A9E9-9B7C8A684A63}" name="D4" dataDxfId="1415">
      <calculatedColumnFormula>IF($AK$2="(Todas)",COUNTIF(BASE[CODCIE106],EPV_SARAMPION6466697273788081858687[[#This Row],[CIE-10]]),COUNTIFS(BASE[Cod.Establecimiento],$AK$2,BASE[CODCIE106],EPV_SARAMPION6466697273788081858687[[#This Row],[CIE-10]]))</calculatedColumnFormula>
    </tableColumn>
    <tableColumn id="6" xr3:uid="{62BC0C53-84E4-4C7C-9A79-E7C0CF309086}" name="D5" dataDxfId="1414">
      <calculatedColumnFormula>IF($AK$2="(Todas)",COUNTIF(BASE[CODCIE108],EPV_SARAMPION6466697273788081858687[[#This Row],[CIE-10]]),COUNTIFS(BASE[Cod.Establecimiento],$AK$2,BASE[CODCIE108],EPV_SARAMPION6466697273788081858687[[#This Row],[CIE-10]]))</calculatedColumnFormula>
    </tableColumn>
    <tableColumn id="7" xr3:uid="{3577EB8D-C4C6-4F81-BCC7-837AB0242E8C}" name="D6" dataDxfId="1413">
      <calculatedColumnFormula>IF($AK$2="(Todas)",COUNTIF(BASE[CODCIE1010],EPV_SARAMPION6466697273788081858687[[#This Row],[CIE-10]]),COUNTIFS(BASE[Cod.Establecimiento],$AK$2,BASE[CODCIE1010],EPV_SARAMPION6466697273788081858687[[#This Row],[CIE-10]]))</calculatedColumnFormula>
    </tableColumn>
    <tableColumn id="8" xr3:uid="{8186FA2B-3778-4AB6-944A-80C062848345}" name="TOT" dataDxfId="1412" dataCellStyle="40% - Énfasis6">
      <calculatedColumnFormula>SUM(EPV_SARAMPION6466697273788081858687[[#This Row],[D1]:[D6]])</calculatedColumnFormula>
    </tableColumn>
  </tableColumns>
  <tableStyleInfo name="TableStyleLight1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AA25D953-2384-49FD-88BC-084551B2B219}" name="EPV_SARAMPION646669727378808185868788" displayName="EPV_SARAMPION646669727378808185868788" ref="AB39:AI41" totalsRowShown="0" headerRowDxfId="1411">
  <autoFilter ref="AB39:AI41" xr:uid="{AA25D953-2384-49FD-88BC-084551B2B2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AD94C7B-67C1-46EA-85A3-43C5C5CD042A}" name="CIE-10" dataCellStyle="20% - Énfasis4"/>
    <tableColumn id="2" xr3:uid="{2E748B0C-CD0B-4C14-8BC4-767A7814094F}" name="D1" dataDxfId="1410">
      <calculatedColumnFormula>IF($AK$2="(Todas)",COUNTIF(BASE[CODCIE10],EPV_SARAMPION646669727378808185868788[[#This Row],[CIE-10]]),COUNTIFS(BASE[Cod.Establecimiento],$AK$2,BASE[CODCIE10],EPV_SARAMPION646669727378808185868788[[#This Row],[CIE-10]]))</calculatedColumnFormula>
    </tableColumn>
    <tableColumn id="3" xr3:uid="{8184DABB-D90D-4184-A1E0-FCF9EF58DAA1}" name="D2" dataDxfId="1409">
      <calculatedColumnFormula>IF($AK$2="(Todas)",COUNTIF(BASE[CODCIE102],EPV_SARAMPION646669727378808185868788[[#This Row],[CIE-10]]),COUNTIFS(BASE[Cod.Establecimiento],$AK$2,BASE[CODCIE102],EPV_SARAMPION646669727378808185868788[[#This Row],[CIE-10]]))</calculatedColumnFormula>
    </tableColumn>
    <tableColumn id="4" xr3:uid="{7C2F76C6-BBD8-4F79-9CD9-060EBC690DB8}" name="D3" dataDxfId="1408">
      <calculatedColumnFormula>IF($AK$2="(Todas)",COUNTIF(BASE[CODCIE104],EPV_SARAMPION646669727378808185868788[[#This Row],[CIE-10]]),COUNTIFS(BASE[Cod.Establecimiento],$AK$2,BASE[CODCIE104],EPV_SARAMPION646669727378808185868788[[#This Row],[CIE-10]]))</calculatedColumnFormula>
    </tableColumn>
    <tableColumn id="5" xr3:uid="{DE177BAA-6842-485F-BF67-8B8699681A3D}" name="D4" dataDxfId="1407">
      <calculatedColumnFormula>IF($AK$2="(Todas)",COUNTIF(BASE[CODCIE106],EPV_SARAMPION646669727378808185868788[[#This Row],[CIE-10]]),COUNTIFS(BASE[Cod.Establecimiento],$AK$2,BASE[CODCIE106],EPV_SARAMPION646669727378808185868788[[#This Row],[CIE-10]]))</calculatedColumnFormula>
    </tableColumn>
    <tableColumn id="6" xr3:uid="{6BDC30B5-5E1E-4F09-9202-084412913366}" name="D5" dataDxfId="1406">
      <calculatedColumnFormula>IF($AK$2="(Todas)",COUNTIF(BASE[CODCIE108],EPV_SARAMPION646669727378808185868788[[#This Row],[CIE-10]]),COUNTIFS(BASE[Cod.Establecimiento],$AK$2,BASE[CODCIE108],EPV_SARAMPION646669727378808185868788[[#This Row],[CIE-10]]))</calculatedColumnFormula>
    </tableColumn>
    <tableColumn id="7" xr3:uid="{8E989589-413B-4E17-861B-CC0B93A3E2B7}" name="D6" dataDxfId="1405">
      <calculatedColumnFormula>IF($AK$2="(Todas)",COUNTIF(BASE[CODCIE1010],EPV_SARAMPION646669727378808185868788[[#This Row],[CIE-10]]),COUNTIFS(BASE[Cod.Establecimiento],$AK$2,BASE[CODCIE1010],EPV_SARAMPION646669727378808185868788[[#This Row],[CIE-10]]))</calculatedColumnFormula>
    </tableColumn>
    <tableColumn id="8" xr3:uid="{634AC89E-D3C3-4A8B-B371-E93A1F81275C}" name="TOT" dataDxfId="1404" dataCellStyle="40% - Énfasis6">
      <calculatedColumnFormula>SUM(EPV_SARAMPION646669727378808185868788[[#This Row],[D1]:[D6]])</calculatedColumnFormula>
    </tableColumn>
  </tableColumns>
  <tableStyleInfo name="TableStyleLight1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C23BC29-F8EB-4A73-88CA-77D4802F22C9}" name="EPV_SARAMPION64666972737880818591" displayName="EPV_SARAMPION64666972737880818591" ref="A45:H50" totalsRowShown="0" headerRowDxfId="1403">
  <autoFilter ref="A45:H50" xr:uid="{9C23BC29-F8EB-4A73-88CA-77D4802F22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C57B95-424A-4FBF-B0A8-8B467114D50D}" name="CIE-10" dataCellStyle="20% - Énfasis4"/>
    <tableColumn id="2" xr3:uid="{5BB34AED-539D-43C4-B27B-CF7E6E0E939E}" name="D1" dataDxfId="1402">
      <calculatedColumnFormula>IF($AK$2="(Todas)",COUNTIF(BASE[CODCIE10],EPV_SARAMPION64666972737880818591[[#This Row],[CIE-10]]),COUNTIFS(BASE[Cod.Establecimiento],$AK$2,BASE[CODCIE10],EPV_SARAMPION64666972737880818591[[#This Row],[CIE-10]]))</calculatedColumnFormula>
    </tableColumn>
    <tableColumn id="3" xr3:uid="{B4BF248F-6CE8-4076-92A7-747C709CEA17}" name="D2" dataDxfId="1401">
      <calculatedColumnFormula>IF($AK$2="(Todas)",COUNTIF(BASE[CODCIE102],EPV_SARAMPION64666972737880818591[[#This Row],[CIE-10]]),COUNTIFS(BASE[Cod.Establecimiento],$AK$2,BASE[CODCIE102],EPV_SARAMPION64666972737880818591[[#This Row],[CIE-10]]))</calculatedColumnFormula>
    </tableColumn>
    <tableColumn id="4" xr3:uid="{4259D659-0D12-41B7-96C1-CDA41BE8FAD0}" name="D3" dataDxfId="1400">
      <calculatedColumnFormula>IF($AK$2="(Todas)",COUNTIF(BASE[CODCIE104],EPV_SARAMPION64666972737880818591[[#This Row],[CIE-10]]),COUNTIFS(BASE[Cod.Establecimiento],$AK$2,BASE[CODCIE104],EPV_SARAMPION64666972737880818591[[#This Row],[CIE-10]]))</calculatedColumnFormula>
    </tableColumn>
    <tableColumn id="5" xr3:uid="{0387E141-4975-4D83-8425-9FA99FB25022}" name="D4" dataDxfId="1399">
      <calculatedColumnFormula>IF($AK$2="(Todas)",COUNTIF(BASE[CODCIE106],EPV_SARAMPION64666972737880818591[[#This Row],[CIE-10]]),COUNTIFS(BASE[Cod.Establecimiento],$AK$2,BASE[CODCIE106],EPV_SARAMPION64666972737880818591[[#This Row],[CIE-10]]))</calculatedColumnFormula>
    </tableColumn>
    <tableColumn id="6" xr3:uid="{DA7668A0-29A8-4F6F-9D92-05A91849EE28}" name="D5" dataDxfId="1398">
      <calculatedColumnFormula>IF($AK$2="(Todas)",COUNTIF(BASE[CODCIE108],EPV_SARAMPION64666972737880818591[[#This Row],[CIE-10]]),COUNTIFS(BASE[Cod.Establecimiento],$AK$2,BASE[CODCIE108],EPV_SARAMPION64666972737880818591[[#This Row],[CIE-10]]))</calculatedColumnFormula>
    </tableColumn>
    <tableColumn id="7" xr3:uid="{2D03AF7A-677D-41AF-8795-086A5949E4C6}" name="D6" dataDxfId="1397">
      <calculatedColumnFormula>IF($AK$2="(Todas)",COUNTIF(BASE[CODCIE1010],EPV_SARAMPION64666972737880818591[[#This Row],[CIE-10]]),COUNTIFS(BASE[Cod.Establecimiento],$AK$2,BASE[CODCIE1010],EPV_SARAMPION64666972737880818591[[#This Row],[CIE-10]]))</calculatedColumnFormula>
    </tableColumn>
    <tableColumn id="8" xr3:uid="{27BD4DB2-2C63-495D-A89E-2392E6158311}" name="TOT" dataDxfId="1396" dataCellStyle="40% - Énfasis6">
      <calculatedColumnFormula>SUM(EPV_SARAMPION64666972737880818591[[#This Row],[D1]:[D6]])</calculatedColumnFormula>
    </tableColumn>
  </tableColumns>
  <tableStyleInfo name="TableStyleLight1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95963621-B5F3-4B5D-895E-30D52AD5A193}" name="EPV_SARAMPION64666972737880818592" displayName="EPV_SARAMPION64666972737880818592" ref="J45:Q46" totalsRowShown="0" headerRowDxfId="1395">
  <autoFilter ref="J45:Q46" xr:uid="{95963621-B5F3-4B5D-895E-30D52AD5A1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2E08FD-5EB4-4C77-8B65-F2B24C982739}" name="CIE-10" dataCellStyle="20% - Énfasis4"/>
    <tableColumn id="2" xr3:uid="{FC8BD2BA-0F1D-410C-B2FC-FCB5AF7E5DF4}" name="D1" dataDxfId="1394">
      <calculatedColumnFormula>IF($AK$2="(Todas)",COUNTIF(BASE[CODCIE10],EPV_SARAMPION64666972737880818592[[#This Row],[CIE-10]]),COUNTIFS(BASE[Cod.Establecimiento],$AK$2,BASE[CODCIE10],EPV_SARAMPION64666972737880818592[[#This Row],[CIE-10]]))</calculatedColumnFormula>
    </tableColumn>
    <tableColumn id="3" xr3:uid="{223603B8-E1E1-4244-A889-D92A3365B066}" name="D2" dataDxfId="1393">
      <calculatedColumnFormula>IF($AK$2="(Todas)",COUNTIF(BASE[CODCIE102],EPV_SARAMPION64666972737880818592[[#This Row],[CIE-10]]),COUNTIFS(BASE[Cod.Establecimiento],$AK$2,BASE[CODCIE102],EPV_SARAMPION64666972737880818592[[#This Row],[CIE-10]]))</calculatedColumnFormula>
    </tableColumn>
    <tableColumn id="4" xr3:uid="{3DA53427-B5D1-41FB-8EC8-48892D8976C7}" name="D3" dataDxfId="1392">
      <calculatedColumnFormula>IF($AK$2="(Todas)",COUNTIF(BASE[CODCIE104],EPV_SARAMPION64666972737880818592[[#This Row],[CIE-10]]),COUNTIFS(BASE[Cod.Establecimiento],$AK$2,BASE[CODCIE104],EPV_SARAMPION64666972737880818592[[#This Row],[CIE-10]]))</calculatedColumnFormula>
    </tableColumn>
    <tableColumn id="5" xr3:uid="{A124FE21-BBDE-4FB1-9FFD-EF94FE6926C2}" name="D4" dataDxfId="1391">
      <calculatedColumnFormula>IF($AK$2="(Todas)",COUNTIF(BASE[CODCIE106],EPV_SARAMPION64666972737880818592[[#This Row],[CIE-10]]),COUNTIFS(BASE[Cod.Establecimiento],$AK$2,BASE[CODCIE106],EPV_SARAMPION64666972737880818592[[#This Row],[CIE-10]]))</calculatedColumnFormula>
    </tableColumn>
    <tableColumn id="6" xr3:uid="{3D9CDDD5-3914-4C5D-B04A-053128970EAF}" name="D5" dataDxfId="1390">
      <calculatedColumnFormula>IF($AK$2="(Todas)",COUNTIF(BASE[CODCIE108],EPV_SARAMPION64666972737880818592[[#This Row],[CIE-10]]),COUNTIFS(BASE[Cod.Establecimiento],$AK$2,BASE[CODCIE108],EPV_SARAMPION64666972737880818592[[#This Row],[CIE-10]]))</calculatedColumnFormula>
    </tableColumn>
    <tableColumn id="7" xr3:uid="{56B7485A-C652-4401-9FC3-968E7293E2ED}" name="D6" dataDxfId="1389">
      <calculatedColumnFormula>IF($AK$2="(Todas)",COUNTIF(BASE[CODCIE1010],EPV_SARAMPION64666972737880818592[[#This Row],[CIE-10]]),COUNTIFS(BASE[Cod.Establecimiento],$AK$2,BASE[CODCIE1010],EPV_SARAMPION64666972737880818592[[#This Row],[CIE-10]]))</calculatedColumnFormula>
    </tableColumn>
    <tableColumn id="8" xr3:uid="{69B042F9-AB0E-426D-ACEE-09127DD0077E}" name="TOT" dataDxfId="1388" dataCellStyle="40% - Énfasis6">
      <calculatedColumnFormula>SUM(EPV_SARAMPION64666972737880818592[[#This Row],[D1]:[D6]])</calculatedColumnFormula>
    </tableColumn>
  </tableColumns>
  <tableStyleInfo name="TableStyleLight1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FA52E70C-E36C-49B1-B46D-F99C50D58672}" name="EPV_SARAMPION6466697273788081859294" displayName="EPV_SARAMPION6466697273788081859294" ref="S45:Z46" totalsRowShown="0" headerRowDxfId="1387">
  <autoFilter ref="S45:Z46" xr:uid="{FA52E70C-E36C-49B1-B46D-F99C50D586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02DD1D8-65D3-45EB-9412-FDB7E3C82DAA}" name="CIE-10" dataCellStyle="20% - Énfasis4"/>
    <tableColumn id="2" xr3:uid="{13A4942E-8E8F-4255-B1C2-AE7E57A14E0C}" name="D1" dataDxfId="1386">
      <calculatedColumnFormula>IF($AK$2="(Todas)",COUNTIF(BASE[CODCIE10],EPV_SARAMPION6466697273788081859294[[#This Row],[CIE-10]]),COUNTIFS(BASE[Cod.Establecimiento],$AK$2,BASE[CODCIE10],EPV_SARAMPION6466697273788081859294[[#This Row],[CIE-10]]))</calculatedColumnFormula>
    </tableColumn>
    <tableColumn id="3" xr3:uid="{3FC81637-758A-43E8-8E28-29B3B0711E3C}" name="D2" dataDxfId="1385">
      <calculatedColumnFormula>IF($AK$2="(Todas)",COUNTIF(BASE[CODCIE102],EPV_SARAMPION6466697273788081859294[[#This Row],[CIE-10]]),COUNTIFS(BASE[Cod.Establecimiento],$AK$2,BASE[CODCIE102],EPV_SARAMPION6466697273788081859294[[#This Row],[CIE-10]]))</calculatedColumnFormula>
    </tableColumn>
    <tableColumn id="4" xr3:uid="{9860198B-F8D6-456C-AB9A-AEC25703ED84}" name="D3" dataDxfId="1384">
      <calculatedColumnFormula>IF($AK$2="(Todas)",COUNTIF(BASE[CODCIE104],EPV_SARAMPION6466697273788081859294[[#This Row],[CIE-10]]),COUNTIFS(BASE[Cod.Establecimiento],$AK$2,BASE[CODCIE104],EPV_SARAMPION6466697273788081859294[[#This Row],[CIE-10]]))</calculatedColumnFormula>
    </tableColumn>
    <tableColumn id="5" xr3:uid="{AD370675-ABE9-45C0-94A5-D6051D11D36B}" name="D4" dataDxfId="1383">
      <calculatedColumnFormula>IF($AK$2="(Todas)",COUNTIF(BASE[CODCIE106],EPV_SARAMPION6466697273788081859294[[#This Row],[CIE-10]]),COUNTIFS(BASE[Cod.Establecimiento],$AK$2,BASE[CODCIE106],EPV_SARAMPION6466697273788081859294[[#This Row],[CIE-10]]))</calculatedColumnFormula>
    </tableColumn>
    <tableColumn id="6" xr3:uid="{3536EF4C-84F4-4C6D-B668-672C17A1E63C}" name="D5" dataDxfId="1382">
      <calculatedColumnFormula>IF($AK$2="(Todas)",COUNTIF(BASE[CODCIE108],EPV_SARAMPION6466697273788081859294[[#This Row],[CIE-10]]),COUNTIFS(BASE[Cod.Establecimiento],$AK$2,BASE[CODCIE108],EPV_SARAMPION6466697273788081859294[[#This Row],[CIE-10]]))</calculatedColumnFormula>
    </tableColumn>
    <tableColumn id="7" xr3:uid="{B567B408-B180-49B1-8E54-5B571CB827EB}" name="D6" dataDxfId="1381">
      <calculatedColumnFormula>IF($AK$2="(Todas)",COUNTIF(BASE[CODCIE1010],EPV_SARAMPION6466697273788081859294[[#This Row],[CIE-10]]),COUNTIFS(BASE[Cod.Establecimiento],$AK$2,BASE[CODCIE1010],EPV_SARAMPION6466697273788081859294[[#This Row],[CIE-10]]))</calculatedColumnFormula>
    </tableColumn>
    <tableColumn id="8" xr3:uid="{E94E04B5-16DC-44F7-8EC6-6645076D9D63}" name="TOT" dataDxfId="1380" dataCellStyle="40% - Énfasis6">
      <calculatedColumnFormula>SUM(EPV_SARAMPION6466697273788081859294[[#This Row],[D1]:[D6]])</calculatedColumnFormula>
    </tableColumn>
  </tableColumns>
  <tableStyleInfo name="TableStyleLight1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BE9E47FB-C722-42C3-AE8E-462C77D51FA1}" name="EPV_SARAMPION646669727378808185929495" displayName="EPV_SARAMPION646669727378808185929495" ref="AB45:AI46" totalsRowShown="0" headerRowDxfId="1379">
  <autoFilter ref="AB45:AI46" xr:uid="{BE9E47FB-C722-42C3-AE8E-462C77D51F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7D91ACD-38EC-44E7-9372-FBC7384778AB}" name="CIE-10" dataCellStyle="20% - Énfasis4"/>
    <tableColumn id="2" xr3:uid="{CE75A479-60BE-435C-823B-FB1C6A54C46A}" name="D1" dataDxfId="1378">
      <calculatedColumnFormula>IF($AK$2="(Todas)",COUNTIF(BASE[CODCIE10],EPV_SARAMPION646669727378808185929495[[#This Row],[CIE-10]]),COUNTIFS(BASE[Cod.Establecimiento],$AK$2,BASE[CODCIE10],EPV_SARAMPION646669727378808185929495[[#This Row],[CIE-10]]))</calculatedColumnFormula>
    </tableColumn>
    <tableColumn id="3" xr3:uid="{23E66158-9D20-42BB-8E10-B93E741C3DDE}" name="D2" dataDxfId="1377">
      <calculatedColumnFormula>IF($AK$2="(Todas)",COUNTIF(BASE[CODCIE102],EPV_SARAMPION646669727378808185929495[[#This Row],[CIE-10]]),COUNTIFS(BASE[Cod.Establecimiento],$AK$2,BASE[CODCIE102],EPV_SARAMPION646669727378808185929495[[#This Row],[CIE-10]]))</calculatedColumnFormula>
    </tableColumn>
    <tableColumn id="4" xr3:uid="{3820E649-DFBC-499E-A8FE-E4D51A0172F6}" name="D3" dataDxfId="1376">
      <calculatedColumnFormula>IF($AK$2="(Todas)",COUNTIF(BASE[CODCIE104],EPV_SARAMPION646669727378808185929495[[#This Row],[CIE-10]]),COUNTIFS(BASE[Cod.Establecimiento],$AK$2,BASE[CODCIE104],EPV_SARAMPION646669727378808185929495[[#This Row],[CIE-10]]))</calculatedColumnFormula>
    </tableColumn>
    <tableColumn id="5" xr3:uid="{1791C673-D43F-4B63-9856-494E43E785B0}" name="D4" dataDxfId="1375">
      <calculatedColumnFormula>IF($AK$2="(Todas)",COUNTIF(BASE[CODCIE106],EPV_SARAMPION646669727378808185929495[[#This Row],[CIE-10]]),COUNTIFS(BASE[Cod.Establecimiento],$AK$2,BASE[CODCIE106],EPV_SARAMPION646669727378808185929495[[#This Row],[CIE-10]]))</calculatedColumnFormula>
    </tableColumn>
    <tableColumn id="6" xr3:uid="{22533AF6-B00C-4A65-B86D-650E3AE25FBF}" name="D5" dataDxfId="1374">
      <calculatedColumnFormula>IF($AK$2="(Todas)",COUNTIF(BASE[CODCIE108],EPV_SARAMPION646669727378808185929495[[#This Row],[CIE-10]]),COUNTIFS(BASE[Cod.Establecimiento],$AK$2,BASE[CODCIE108],EPV_SARAMPION646669727378808185929495[[#This Row],[CIE-10]]))</calculatedColumnFormula>
    </tableColumn>
    <tableColumn id="7" xr3:uid="{15EC2CC2-2BDA-4650-A19A-C2EEF9B89ED3}" name="D6" dataDxfId="1373">
      <calculatedColumnFormula>IF($AK$2="(Todas)",COUNTIF(BASE[CODCIE1010],EPV_SARAMPION646669727378808185929495[[#This Row],[CIE-10]]),COUNTIFS(BASE[Cod.Establecimiento],$AK$2,BASE[CODCIE1010],EPV_SARAMPION646669727378808185929495[[#This Row],[CIE-10]]))</calculatedColumnFormula>
    </tableColumn>
    <tableColumn id="8" xr3:uid="{AAB22664-C648-475D-A109-1137CDE3F3D7}" name="TOT" dataDxfId="1372" dataCellStyle="40% - Énfasis6">
      <calculatedColumnFormula>SUM(EPV_SARAMPION646669727378808185929495[[#This Row],[D1]:[D6]])</calculatedColumnFormula>
    </tableColumn>
  </tableColumns>
  <tableStyleInfo name="TableStyleLight1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9A27300-640E-46A4-82EC-AEBD6F12FBCA}" name="EPV_SARAMPION6466697273788081859296" displayName="EPV_SARAMPION6466697273788081859296" ref="J50:Q51" totalsRowShown="0" headerRowDxfId="1371">
  <autoFilter ref="J50:Q51" xr:uid="{D9A27300-640E-46A4-82EC-AEBD6F12F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237DC00-8984-401B-8F07-0B30F2CE4119}" name="CIE-10" dataCellStyle="20% - Énfasis4"/>
    <tableColumn id="2" xr3:uid="{F587C5AB-95A4-4E67-A14C-ECA2B29ECA52}" name="D1" dataDxfId="1370">
      <calculatedColumnFormula>IF($AK$2="(Todas)",COUNTIF(BASE[CODCIE10],EPV_SARAMPION6466697273788081859296[[#This Row],[CIE-10]]),COUNTIFS(BASE[Cod.Establecimiento],$AK$2,BASE[CODCIE10],EPV_SARAMPION6466697273788081859296[[#This Row],[CIE-10]]))</calculatedColumnFormula>
    </tableColumn>
    <tableColumn id="3" xr3:uid="{EA762E63-4728-4B62-8EC2-2937AD2A9053}" name="D2" dataDxfId="1369">
      <calculatedColumnFormula>IF($AK$2="(Todas)",COUNTIF(BASE[CODCIE102],EPV_SARAMPION6466697273788081859296[[#This Row],[CIE-10]]),COUNTIFS(BASE[Cod.Establecimiento],$AK$2,BASE[CODCIE102],EPV_SARAMPION6466697273788081859296[[#This Row],[CIE-10]]))</calculatedColumnFormula>
    </tableColumn>
    <tableColumn id="4" xr3:uid="{16F6C650-5A2C-4702-ACE1-B6DD8E0EB11A}" name="D3" dataDxfId="1368">
      <calculatedColumnFormula>IF($AK$2="(Todas)",COUNTIF(BASE[CODCIE104],EPV_SARAMPION6466697273788081859296[[#This Row],[CIE-10]]),COUNTIFS(BASE[Cod.Establecimiento],$AK$2,BASE[CODCIE104],EPV_SARAMPION6466697273788081859296[[#This Row],[CIE-10]]))</calculatedColumnFormula>
    </tableColumn>
    <tableColumn id="5" xr3:uid="{F019AA70-6F31-45EE-B38C-B56F012B491F}" name="D4" dataDxfId="1367">
      <calculatedColumnFormula>IF($AK$2="(Todas)",COUNTIF(BASE[CODCIE106],EPV_SARAMPION6466697273788081859296[[#This Row],[CIE-10]]),COUNTIFS(BASE[Cod.Establecimiento],$AK$2,BASE[CODCIE106],EPV_SARAMPION6466697273788081859296[[#This Row],[CIE-10]]))</calculatedColumnFormula>
    </tableColumn>
    <tableColumn id="6" xr3:uid="{D8933E45-697A-4046-ABE3-259E3E20A997}" name="D5" dataDxfId="1366">
      <calculatedColumnFormula>IF($AK$2="(Todas)",COUNTIF(BASE[CODCIE108],EPV_SARAMPION6466697273788081859296[[#This Row],[CIE-10]]),COUNTIFS(BASE[Cod.Establecimiento],$AK$2,BASE[CODCIE108],EPV_SARAMPION6466697273788081859296[[#This Row],[CIE-10]]))</calculatedColumnFormula>
    </tableColumn>
    <tableColumn id="7" xr3:uid="{6CCF512D-C69F-4703-A512-A406D3B37EFB}" name="D6" dataDxfId="1365">
      <calculatedColumnFormula>IF($AK$2="(Todas)",COUNTIF(BASE[CODCIE1010],EPV_SARAMPION6466697273788081859296[[#This Row],[CIE-10]]),COUNTIFS(BASE[Cod.Establecimiento],$AK$2,BASE[CODCIE1010],EPV_SARAMPION6466697273788081859296[[#This Row],[CIE-10]]))</calculatedColumnFormula>
    </tableColumn>
    <tableColumn id="8" xr3:uid="{194224B7-B3D5-4E9A-ABC4-5A31A4E80FC9}" name="TOT" dataDxfId="1364" dataCellStyle="40% - Énfasis6">
      <calculatedColumnFormula>SUM(EPV_SARAMPION6466697273788081859296[[#This Row],[D1]:[D6]])</calculatedColumnFormula>
    </tableColumn>
  </tableColumns>
  <tableStyleInfo name="TableStyleLight1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F9971295-2306-4C2B-8E32-8A9D2789CFC7}" name="EPV_SARAMPION646669727378808185929697" displayName="EPV_SARAMPION646669727378808185929697" ref="S50:Z51" totalsRowShown="0" headerRowDxfId="1363">
  <autoFilter ref="S50:Z51" xr:uid="{F9971295-2306-4C2B-8E32-8A9D2789CF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0063A0E-36C5-4577-B936-DBEEF6ACDB97}" name="CIE-10" dataCellStyle="20% - Énfasis4"/>
    <tableColumn id="2" xr3:uid="{24929F87-0A46-41E1-A6C4-1F2BDCFC161E}" name="D1" dataDxfId="1362">
      <calculatedColumnFormula>IF($AK$2="(Todas)",COUNTIF(BASE[CODCIE10],EPV_SARAMPION646669727378808185929697[[#This Row],[CIE-10]]),COUNTIFS(BASE[Cod.Establecimiento],$AK$2,BASE[CODCIE10],EPV_SARAMPION646669727378808185929697[[#This Row],[CIE-10]]))</calculatedColumnFormula>
    </tableColumn>
    <tableColumn id="3" xr3:uid="{E51A96B6-CEEA-44EB-AAE7-516F3A528D26}" name="D2" dataDxfId="1361">
      <calculatedColumnFormula>IF($AK$2="(Todas)",COUNTIF(BASE[CODCIE102],EPV_SARAMPION646669727378808185929697[[#This Row],[CIE-10]]),COUNTIFS(BASE[Cod.Establecimiento],$AK$2,BASE[CODCIE102],EPV_SARAMPION646669727378808185929697[[#This Row],[CIE-10]]))</calculatedColumnFormula>
    </tableColumn>
    <tableColumn id="4" xr3:uid="{F0504F55-F3BF-43FF-9489-02F9DCF94815}" name="D3" dataDxfId="1360">
      <calculatedColumnFormula>IF($AK$2="(Todas)",COUNTIF(BASE[CODCIE104],EPV_SARAMPION646669727378808185929697[[#This Row],[CIE-10]]),COUNTIFS(BASE[Cod.Establecimiento],$AK$2,BASE[CODCIE104],EPV_SARAMPION646669727378808185929697[[#This Row],[CIE-10]]))</calculatedColumnFormula>
    </tableColumn>
    <tableColumn id="5" xr3:uid="{EFDA1F8D-A9CE-44B6-8B06-8340857A3D58}" name="D4" dataDxfId="1359">
      <calculatedColumnFormula>IF($AK$2="(Todas)",COUNTIF(BASE[CODCIE106],EPV_SARAMPION646669727378808185929697[[#This Row],[CIE-10]]),COUNTIFS(BASE[Cod.Establecimiento],$AK$2,BASE[CODCIE106],EPV_SARAMPION646669727378808185929697[[#This Row],[CIE-10]]))</calculatedColumnFormula>
    </tableColumn>
    <tableColumn id="6" xr3:uid="{10DE1CB9-A7C9-482C-845C-DFC468A52085}" name="D5" dataDxfId="1358">
      <calculatedColumnFormula>IF($AK$2="(Todas)",COUNTIF(BASE[CODCIE108],EPV_SARAMPION646669727378808185929697[[#This Row],[CIE-10]]),COUNTIFS(BASE[Cod.Establecimiento],$AK$2,BASE[CODCIE108],EPV_SARAMPION646669727378808185929697[[#This Row],[CIE-10]]))</calculatedColumnFormula>
    </tableColumn>
    <tableColumn id="7" xr3:uid="{1C390C1D-D4FE-4EF0-B392-1508DACB5FF5}" name="D6" dataDxfId="1357">
      <calculatedColumnFormula>IF($AK$2="(Todas)",COUNTIF(BASE[CODCIE1010],EPV_SARAMPION646669727378808185929697[[#This Row],[CIE-10]]),COUNTIFS(BASE[Cod.Establecimiento],$AK$2,BASE[CODCIE1010],EPV_SARAMPION646669727378808185929697[[#This Row],[CIE-10]]))</calculatedColumnFormula>
    </tableColumn>
    <tableColumn id="8" xr3:uid="{F3D08597-9E25-4AB4-B47E-8BB0DCF224D4}" name="TOT" dataDxfId="1356" dataCellStyle="40% - Énfasis6">
      <calculatedColumnFormula>SUM(EPV_SARAMPION646669727378808185929697[[#This Row],[D1]:[D6]])</calculatedColumnFormula>
    </tableColumn>
  </tableColumns>
  <tableStyleInfo name="TableStyleLight1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B76880D-F4A4-409F-9FC2-CEAB7F439F9B}" name="EPV_SARAMPION64666972737880818592969798" displayName="EPV_SARAMPION64666972737880818592969798" ref="AB50:AI51" totalsRowShown="0" headerRowDxfId="1355">
  <autoFilter ref="AB50:AI51" xr:uid="{0B76880D-F4A4-409F-9FC2-CEAB7F439F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0CEBA50-94AE-4E04-B5B6-D0D1C943A88A}" name="CIE-10" dataCellStyle="20% - Énfasis4"/>
    <tableColumn id="2" xr3:uid="{AEE9D4E5-F1A1-47F5-9A42-134BB72E9EDE}" name="D1" dataDxfId="1354">
      <calculatedColumnFormula>IF($AK$2="(Todas)",COUNTIF(BASE[CODCIE10],EPV_SARAMPION64666972737880818592969798[[#This Row],[CIE-10]]),COUNTIFS(BASE[Cod.Establecimiento],$AK$2,BASE[CODCIE10],EPV_SARAMPION64666972737880818592969798[[#This Row],[CIE-10]]))</calculatedColumnFormula>
    </tableColumn>
    <tableColumn id="3" xr3:uid="{669882AE-EC8E-424C-8164-CD9D0CE03F01}" name="D2" dataDxfId="1353">
      <calculatedColumnFormula>IF($AK$2="(Todas)",COUNTIF(BASE[CODCIE102],EPV_SARAMPION64666972737880818592969798[[#This Row],[CIE-10]]),COUNTIFS(BASE[Cod.Establecimiento],$AK$2,BASE[CODCIE102],EPV_SARAMPION64666972737880818592969798[[#This Row],[CIE-10]]))</calculatedColumnFormula>
    </tableColumn>
    <tableColumn id="4" xr3:uid="{236E0395-8D44-427B-9A61-3ECE9E4BE61F}" name="D3" dataDxfId="1352">
      <calculatedColumnFormula>IF($AK$2="(Todas)",COUNTIF(BASE[CODCIE104],EPV_SARAMPION64666972737880818592969798[[#This Row],[CIE-10]]),COUNTIFS(BASE[Cod.Establecimiento],$AK$2,BASE[CODCIE104],EPV_SARAMPION64666972737880818592969798[[#This Row],[CIE-10]]))</calculatedColumnFormula>
    </tableColumn>
    <tableColumn id="5" xr3:uid="{F67B9E07-F09A-4B3F-97A3-F260AB4BD175}" name="D4" dataDxfId="1351">
      <calculatedColumnFormula>IF($AK$2="(Todas)",COUNTIF(BASE[CODCIE106],EPV_SARAMPION64666972737880818592969798[[#This Row],[CIE-10]]),COUNTIFS(BASE[Cod.Establecimiento],$AK$2,BASE[CODCIE106],EPV_SARAMPION64666972737880818592969798[[#This Row],[CIE-10]]))</calculatedColumnFormula>
    </tableColumn>
    <tableColumn id="6" xr3:uid="{DAEADD49-89E2-49A0-8D8E-D9F679E879E0}" name="D5" dataDxfId="1350">
      <calculatedColumnFormula>IF($AK$2="(Todas)",COUNTIF(BASE[CODCIE108],EPV_SARAMPION64666972737880818592969798[[#This Row],[CIE-10]]),COUNTIFS(BASE[Cod.Establecimiento],$AK$2,BASE[CODCIE108],EPV_SARAMPION64666972737880818592969798[[#This Row],[CIE-10]]))</calculatedColumnFormula>
    </tableColumn>
    <tableColumn id="7" xr3:uid="{72BFC934-DFFB-4BE3-BD1A-1DFE0F316E7E}" name="D6" dataDxfId="1349">
      <calculatedColumnFormula>IF($AK$2="(Todas)",COUNTIF(BASE[CODCIE1010],EPV_SARAMPION64666972737880818592969798[[#This Row],[CIE-10]]),COUNTIFS(BASE[Cod.Establecimiento],$AK$2,BASE[CODCIE1010],EPV_SARAMPION64666972737880818592969798[[#This Row],[CIE-10]]))</calculatedColumnFormula>
    </tableColumn>
    <tableColumn id="8" xr3:uid="{65C517C0-FE5B-488A-B2F3-1C474D735609}" name="TOT" dataDxfId="1348" dataCellStyle="40% - Énfasis6">
      <calculatedColumnFormula>SUM(EPV_SARAMPION64666972737880818592969798[[#This Row],[D1]:[D6]])</calculatedColumnFormula>
    </tableColumn>
  </tableColumns>
  <tableStyleInfo name="TableStyleLight1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B8C7D233-E4A5-43E5-8771-EA8A2E3C3A0A}" name="EPV_SARAMPION64666972737880818592969798100" displayName="EPV_SARAMPION64666972737880818592969798100" ref="A55:H56" totalsRowShown="0" headerRowDxfId="1347">
  <autoFilter ref="A55:H56" xr:uid="{B8C7D233-E4A5-43E5-8771-EA8A2E3C3A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051965D-58BD-45A0-BD99-99FDBC956DEE}" name="CIE-10" dataCellStyle="20% - Énfasis4"/>
    <tableColumn id="2" xr3:uid="{1349AB3A-8106-4005-B2AC-8D24126AC24D}" name="D1" dataDxfId="1346">
      <calculatedColumnFormula>IF($AK$2="(Todas)",COUNTIF(BASE[CODCIE10],EPV_SARAMPION64666972737880818592969798100[[#This Row],[CIE-10]]),COUNTIFS(BASE[Cod.Establecimiento],$AK$2,BASE[CODCIE10],EPV_SARAMPION64666972737880818592969798100[[#This Row],[CIE-10]]))</calculatedColumnFormula>
    </tableColumn>
    <tableColumn id="3" xr3:uid="{1E02A14F-C904-4BD0-8041-9E24225F659E}" name="D2" dataDxfId="1345">
      <calculatedColumnFormula>IF($AK$2="(Todas)",COUNTIF(BASE[CODCIE102],EPV_SARAMPION64666972737880818592969798100[[#This Row],[CIE-10]]),COUNTIFS(BASE[Cod.Establecimiento],$AK$2,BASE[CODCIE102],EPV_SARAMPION64666972737880818592969798100[[#This Row],[CIE-10]]))</calculatedColumnFormula>
    </tableColumn>
    <tableColumn id="4" xr3:uid="{17CCD88A-9AD7-457D-AF23-3CCA40BF64AB}" name="D3" dataDxfId="1344">
      <calculatedColumnFormula>IF($AK$2="(Todas)",COUNTIF(BASE[CODCIE104],EPV_SARAMPION64666972737880818592969798100[[#This Row],[CIE-10]]),COUNTIFS(BASE[Cod.Establecimiento],$AK$2,BASE[CODCIE104],EPV_SARAMPION64666972737880818592969798100[[#This Row],[CIE-10]]))</calculatedColumnFormula>
    </tableColumn>
    <tableColumn id="5" xr3:uid="{D006C0CB-18B0-4A6E-BB1E-AE9091B2FC9B}" name="D4" dataDxfId="1343">
      <calculatedColumnFormula>IF($AK$2="(Todas)",COUNTIF(BASE[CODCIE106],EPV_SARAMPION64666972737880818592969798100[[#This Row],[CIE-10]]),COUNTIFS(BASE[Cod.Establecimiento],$AK$2,BASE[CODCIE106],EPV_SARAMPION64666972737880818592969798100[[#This Row],[CIE-10]]))</calculatedColumnFormula>
    </tableColumn>
    <tableColumn id="6" xr3:uid="{457ABB58-6ED8-441A-A376-A8C903FC7C7E}" name="D5" dataDxfId="1342">
      <calculatedColumnFormula>IF($AK$2="(Todas)",COUNTIF(BASE[CODCIE108],EPV_SARAMPION64666972737880818592969798100[[#This Row],[CIE-10]]),COUNTIFS(BASE[Cod.Establecimiento],$AK$2,BASE[CODCIE108],EPV_SARAMPION64666972737880818592969798100[[#This Row],[CIE-10]]))</calculatedColumnFormula>
    </tableColumn>
    <tableColumn id="7" xr3:uid="{F6E61348-ACD6-4ADC-BAEC-43FBFD75DF64}" name="D6" dataDxfId="1341">
      <calculatedColumnFormula>IF($AK$2="(Todas)",COUNTIF(BASE[CODCIE1010],EPV_SARAMPION64666972737880818592969798100[[#This Row],[CIE-10]]),COUNTIFS(BASE[Cod.Establecimiento],$AK$2,BASE[CODCIE1010],EPV_SARAMPION64666972737880818592969798100[[#This Row],[CIE-10]]))</calculatedColumnFormula>
    </tableColumn>
    <tableColumn id="8" xr3:uid="{D3730F58-FBC0-4585-BBE9-CC0ECE501D6B}" name="TOT" dataDxfId="1340" dataCellStyle="40% - Énfasis6">
      <calculatedColumnFormula>SUM(EPV_SARAMPION64666972737880818592969798100[[#This Row],[D1]:[D6]])</calculatedColumnFormula>
    </tableColumn>
  </tableColumns>
  <tableStyleInfo name="TableStyleLight1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95CE918-C255-4ACA-81A0-33ADEACDB2E2}" name="EPV_SARAMPION6466697273788081859296979810068" displayName="EPV_SARAMPION6466697273788081859296979810068" ref="J55:Q56" totalsRowShown="0" headerRowDxfId="1339">
  <autoFilter ref="J55:Q56" xr:uid="{295CE918-C255-4ACA-81A0-33ADEACDB2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1F52E2B-A291-488D-8B13-7FC4C0D38FC5}" name="CIE-10" dataCellStyle="20% - Énfasis4"/>
    <tableColumn id="2" xr3:uid="{7AB0ACF7-CD53-4CF2-9AA3-BDCDE26025FE}" name="D1" dataDxfId="1338">
      <calculatedColumnFormula>IF($AK$2="(Todas)",COUNTIF(BASE[CODCIE10],EPV_SARAMPION6466697273788081859296979810068[[#This Row],[CIE-10]]),COUNTIFS(BASE[Cod.Establecimiento],$AK$2,BASE[CODCIE10],EPV_SARAMPION6466697273788081859296979810068[[#This Row],[CIE-10]]))</calculatedColumnFormula>
    </tableColumn>
    <tableColumn id="3" xr3:uid="{E77D908F-0BFB-4489-9D66-EDEC29A66EB2}" name="D2" dataDxfId="1337">
      <calculatedColumnFormula>IF($AK$2="(Todas)",COUNTIF(BASE[CODCIE102],EPV_SARAMPION6466697273788081859296979810068[[#This Row],[CIE-10]]),COUNTIFS(BASE[Cod.Establecimiento],$AK$2,BASE[CODCIE102],EPV_SARAMPION6466697273788081859296979810068[[#This Row],[CIE-10]]))</calculatedColumnFormula>
    </tableColumn>
    <tableColumn id="4" xr3:uid="{A4AA87F4-A1D7-40EE-9FEB-3784CF8136A5}" name="D3" dataDxfId="1336">
      <calculatedColumnFormula>IF($AK$2="(Todas)",COUNTIF(BASE[CODCIE104],EPV_SARAMPION6466697273788081859296979810068[[#This Row],[CIE-10]]),COUNTIFS(BASE[Cod.Establecimiento],$AK$2,BASE[CODCIE104],EPV_SARAMPION6466697273788081859296979810068[[#This Row],[CIE-10]]))</calculatedColumnFormula>
    </tableColumn>
    <tableColumn id="5" xr3:uid="{D8C32128-AE63-4096-A95F-7255582B1C16}" name="D4" dataDxfId="1335">
      <calculatedColumnFormula>IF($AK$2="(Todas)",COUNTIF(BASE[CODCIE106],EPV_SARAMPION6466697273788081859296979810068[[#This Row],[CIE-10]]),COUNTIFS(BASE[Cod.Establecimiento],$AK$2,BASE[CODCIE106],EPV_SARAMPION6466697273788081859296979810068[[#This Row],[CIE-10]]))</calculatedColumnFormula>
    </tableColumn>
    <tableColumn id="6" xr3:uid="{5487BE99-957B-4298-B634-130588B17F0E}" name="D5" dataDxfId="1334">
      <calculatedColumnFormula>IF($AK$2="(Todas)",COUNTIF(BASE[CODCIE108],EPV_SARAMPION6466697273788081859296979810068[[#This Row],[CIE-10]]),COUNTIFS(BASE[Cod.Establecimiento],$AK$2,BASE[CODCIE108],EPV_SARAMPION6466697273788081859296979810068[[#This Row],[CIE-10]]))</calculatedColumnFormula>
    </tableColumn>
    <tableColumn id="7" xr3:uid="{9655F28A-E26E-4A7E-93D8-20FD0641C00D}" name="D6" dataDxfId="1333">
      <calculatedColumnFormula>IF($AK$2="(Todas)",COUNTIF(BASE[CODCIE1010],EPV_SARAMPION6466697273788081859296979810068[[#This Row],[CIE-10]]),COUNTIFS(BASE[Cod.Establecimiento],$AK$2,BASE[CODCIE1010],EPV_SARAMPION6466697273788081859296979810068[[#This Row],[CIE-10]]))</calculatedColumnFormula>
    </tableColumn>
    <tableColumn id="8" xr3:uid="{AA21050B-FE91-49E7-972A-E846C2C72E39}" name="TOT" dataDxfId="1332" dataCellStyle="40% - Énfasis6">
      <calculatedColumnFormula>SUM(EPV_SARAMPION6466697273788081859296979810068[[#This Row],[D1]:[D6]])</calculatedColumnFormula>
    </tableColumn>
  </tableColumns>
  <tableStyleInfo name="TableStyleLight1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68BDBDF-D572-4549-8427-37A4218A1152}" name="EPV_SARAMPION646669727378808185929697981006879" displayName="EPV_SARAMPION646669727378808185929697981006879" ref="S55:Z56" totalsRowShown="0" headerRowDxfId="1331">
  <autoFilter ref="S55:Z56" xr:uid="{068BDBDF-D572-4549-8427-37A4218A11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8F53AEB-E403-4685-BE95-3367064108C7}" name="CIE-10" dataCellStyle="20% - Énfasis4"/>
    <tableColumn id="2" xr3:uid="{57B749B8-6C69-4920-8F9A-8536482F7E7E}" name="D1" dataDxfId="1330">
      <calculatedColumnFormula>IF($AK$2="(Todas)",COUNTIF(BASE[CODCIE10],EPV_SARAMPION646669727378808185929697981006879[[#This Row],[CIE-10]]),COUNTIFS(BASE[Cod.Establecimiento],$AK$2,BASE[CODCIE10],EPV_SARAMPION646669727378808185929697981006879[[#This Row],[CIE-10]]))</calculatedColumnFormula>
    </tableColumn>
    <tableColumn id="3" xr3:uid="{D325EAB3-0D69-4B66-BFC5-C5C30A99A181}" name="D2" dataDxfId="1329">
      <calculatedColumnFormula>IF($AK$2="(Todas)",COUNTIF(BASE[CODCIE102],EPV_SARAMPION646669727378808185929697981006879[[#This Row],[CIE-10]]),COUNTIFS(BASE[Cod.Establecimiento],$AK$2,BASE[CODCIE102],EPV_SARAMPION646669727378808185929697981006879[[#This Row],[CIE-10]]))</calculatedColumnFormula>
    </tableColumn>
    <tableColumn id="4" xr3:uid="{4EEF2292-2C69-47E0-B98D-3513DF124BB4}" name="D3" dataDxfId="1328">
      <calculatedColumnFormula>IF($AK$2="(Todas)",COUNTIF(BASE[CODCIE104],EPV_SARAMPION646669727378808185929697981006879[[#This Row],[CIE-10]]),COUNTIFS(BASE[Cod.Establecimiento],$AK$2,BASE[CODCIE104],EPV_SARAMPION646669727378808185929697981006879[[#This Row],[CIE-10]]))</calculatedColumnFormula>
    </tableColumn>
    <tableColumn id="5" xr3:uid="{13F14828-8915-4BD8-9893-E2E82E2F8DA0}" name="D4" dataDxfId="1327">
      <calculatedColumnFormula>IF($AK$2="(Todas)",COUNTIF(BASE[CODCIE106],EPV_SARAMPION646669727378808185929697981006879[[#This Row],[CIE-10]]),COUNTIFS(BASE[Cod.Establecimiento],$AK$2,BASE[CODCIE106],EPV_SARAMPION646669727378808185929697981006879[[#This Row],[CIE-10]]))</calculatedColumnFormula>
    </tableColumn>
    <tableColumn id="6" xr3:uid="{53E8E14B-3E0C-43E5-84C9-7E613E7BC872}" name="D5" dataDxfId="1326">
      <calculatedColumnFormula>IF($AK$2="(Todas)",COUNTIF(BASE[CODCIE108],EPV_SARAMPION646669727378808185929697981006879[[#This Row],[CIE-10]]),COUNTIFS(BASE[Cod.Establecimiento],$AK$2,BASE[CODCIE108],EPV_SARAMPION646669727378808185929697981006879[[#This Row],[CIE-10]]))</calculatedColumnFormula>
    </tableColumn>
    <tableColumn id="7" xr3:uid="{86B7CE63-5D40-43FD-A669-D4C040F0135E}" name="D6" dataDxfId="1325">
      <calculatedColumnFormula>IF($AK$2="(Todas)",COUNTIF(BASE[CODCIE1010],EPV_SARAMPION646669727378808185929697981006879[[#This Row],[CIE-10]]),COUNTIFS(BASE[Cod.Establecimiento],$AK$2,BASE[CODCIE1010],EPV_SARAMPION646669727378808185929697981006879[[#This Row],[CIE-10]]))</calculatedColumnFormula>
    </tableColumn>
    <tableColumn id="8" xr3:uid="{EA67C55C-B68A-4DA3-9FC1-F688A795470F}" name="TOT" dataDxfId="1324" dataCellStyle="40% - Énfasis6">
      <calculatedColumnFormula>SUM(EPV_SARAMPION646669727378808185929697981006879[[#This Row],[D1]:[D6]])</calculatedColumnFormula>
    </tableColumn>
  </tableColumns>
  <tableStyleInfo name="TableStyleLight1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6F6E8278-C56E-4707-A064-C74ABF262CEC}" name="EPV_SARAMPION64666972737880818592969798100687989" displayName="EPV_SARAMPION64666972737880818592969798100687989" ref="A60:H63" totalsRowShown="0" headerRowDxfId="1323">
  <autoFilter ref="A60:H63" xr:uid="{6F6E8278-C56E-4707-A064-C74ABF262C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6A887AA-6223-4F4C-A5D7-2119B5DF8D17}" name="CIE-10" dataCellStyle="20% - Énfasis4"/>
    <tableColumn id="2" xr3:uid="{B875CF0A-DE84-4B0E-B83A-E21A9D40E850}" name="D1" dataDxfId="1322">
      <calculatedColumnFormula>IF($AK$2="(Todas)",COUNTIF(BASE[CODCIE10],EPV_SARAMPION64666972737880818592969798100687989[[#This Row],[CIE-10]]),COUNTIFS(BASE[Cod.Establecimiento],$AK$2,BASE[CODCIE10],EPV_SARAMPION64666972737880818592969798100687989[[#This Row],[CIE-10]]))</calculatedColumnFormula>
    </tableColumn>
    <tableColumn id="3" xr3:uid="{42860E92-B5DE-43E2-8EEA-32912E7A6276}" name="D2" dataDxfId="1321">
      <calculatedColumnFormula>IF($AK$2="(Todas)",COUNTIF(BASE[CODCIE102],EPV_SARAMPION64666972737880818592969798100687989[[#This Row],[CIE-10]]),COUNTIFS(BASE[Cod.Establecimiento],$AK$2,BASE[CODCIE102],EPV_SARAMPION64666972737880818592969798100687989[[#This Row],[CIE-10]]))</calculatedColumnFormula>
    </tableColumn>
    <tableColumn id="4" xr3:uid="{40C248E3-DA90-4F56-93CD-2E656D207A0E}" name="D3" dataDxfId="1320">
      <calculatedColumnFormula>IF($AK$2="(Todas)",COUNTIF(BASE[CODCIE104],EPV_SARAMPION64666972737880818592969798100687989[[#This Row],[CIE-10]]),COUNTIFS(BASE[Cod.Establecimiento],$AK$2,BASE[CODCIE104],EPV_SARAMPION64666972737880818592969798100687989[[#This Row],[CIE-10]]))</calculatedColumnFormula>
    </tableColumn>
    <tableColumn id="5" xr3:uid="{08D8B2B3-DABD-43EC-927C-9309AA280432}" name="D4" dataDxfId="1319">
      <calculatedColumnFormula>IF($AK$2="(Todas)",COUNTIF(BASE[CODCIE106],EPV_SARAMPION64666972737880818592969798100687989[[#This Row],[CIE-10]]),COUNTIFS(BASE[Cod.Establecimiento],$AK$2,BASE[CODCIE106],EPV_SARAMPION64666972737880818592969798100687989[[#This Row],[CIE-10]]))</calculatedColumnFormula>
    </tableColumn>
    <tableColumn id="6" xr3:uid="{ACE02ED0-CBB8-4F19-B82B-43B2D907EF9F}" name="D5" dataDxfId="1318">
      <calculatedColumnFormula>IF($AK$2="(Todas)",COUNTIF(BASE[CODCIE108],EPV_SARAMPION64666972737880818592969798100687989[[#This Row],[CIE-10]]),COUNTIFS(BASE[Cod.Establecimiento],$AK$2,BASE[CODCIE108],EPV_SARAMPION64666972737880818592969798100687989[[#This Row],[CIE-10]]))</calculatedColumnFormula>
    </tableColumn>
    <tableColumn id="7" xr3:uid="{63629720-898A-4B17-AEEE-D201C8136919}" name="D6" dataDxfId="1317">
      <calculatedColumnFormula>IF($AK$2="(Todas)",COUNTIF(BASE[CODCIE1010],EPV_SARAMPION64666972737880818592969798100687989[[#This Row],[CIE-10]]),COUNTIFS(BASE[Cod.Establecimiento],$AK$2,BASE[CODCIE1010],EPV_SARAMPION64666972737880818592969798100687989[[#This Row],[CIE-10]]))</calculatedColumnFormula>
    </tableColumn>
    <tableColumn id="8" xr3:uid="{88B31914-7FB7-4700-B7A8-8AE51B2A18B1}" name="TOT" dataDxfId="1316" dataCellStyle="40% - Énfasis6">
      <calculatedColumnFormula>SUM(EPV_SARAMPION64666972737880818592969798100687989[[#This Row],[D1]:[D6]])</calculatedColumnFormula>
    </tableColumn>
  </tableColumns>
  <tableStyleInfo name="TableStyleLight1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10F3F8C-23CA-4B11-8D19-C1E21BEFA7B5}" name="EPV_SARAMPION646669727378808185929697981006890" displayName="EPV_SARAMPION646669727378808185929697981006890" ref="J60:Q63" totalsRowShown="0" headerRowDxfId="1315">
  <autoFilter ref="J60:Q63" xr:uid="{D10F3F8C-23CA-4B11-8D19-C1E21BEFA7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C79574-9F0E-4816-8E24-9F07521BCCC3}" name="CIE-10" dataCellStyle="20% - Énfasis4"/>
    <tableColumn id="2" xr3:uid="{6BBBE1FE-E38D-4B85-97BB-FB840078576C}" name="D1" dataDxfId="1314">
      <calculatedColumnFormula>IF($AK$2="(Todas)",COUNTIF(BASE[CODCIE10],EPV_SARAMPION646669727378808185929697981006890[[#This Row],[CIE-10]]),COUNTIFS(BASE[Cod.Establecimiento],$AK$2,BASE[CODCIE10],EPV_SARAMPION646669727378808185929697981006890[[#This Row],[CIE-10]]))</calculatedColumnFormula>
    </tableColumn>
    <tableColumn id="3" xr3:uid="{E30165AB-0543-4CDF-B8E6-0E860474035E}" name="D2" dataDxfId="1313">
      <calculatedColumnFormula>IF($AK$2="(Todas)",COUNTIF(BASE[CODCIE102],EPV_SARAMPION646669727378808185929697981006890[[#This Row],[CIE-10]]),COUNTIFS(BASE[Cod.Establecimiento],$AK$2,BASE[CODCIE102],EPV_SARAMPION646669727378808185929697981006890[[#This Row],[CIE-10]]))</calculatedColumnFormula>
    </tableColumn>
    <tableColumn id="4" xr3:uid="{FF39CF53-F369-4825-88ED-8550926C8020}" name="D3" dataDxfId="1312">
      <calculatedColumnFormula>IF($AK$2="(Todas)",COUNTIF(BASE[CODCIE104],EPV_SARAMPION646669727378808185929697981006890[[#This Row],[CIE-10]]),COUNTIFS(BASE[Cod.Establecimiento],$AK$2,BASE[CODCIE104],EPV_SARAMPION646669727378808185929697981006890[[#This Row],[CIE-10]]))</calculatedColumnFormula>
    </tableColumn>
    <tableColumn id="5" xr3:uid="{64F8C0D2-90A8-46EC-ABDD-4718AF0B5C88}" name="D4" dataDxfId="1311">
      <calculatedColumnFormula>IF($AK$2="(Todas)",COUNTIF(BASE[CODCIE106],EPV_SARAMPION646669727378808185929697981006890[[#This Row],[CIE-10]]),COUNTIFS(BASE[Cod.Establecimiento],$AK$2,BASE[CODCIE106],EPV_SARAMPION646669727378808185929697981006890[[#This Row],[CIE-10]]))</calculatedColumnFormula>
    </tableColumn>
    <tableColumn id="6" xr3:uid="{ABAEE529-27DE-49A5-9C0C-3151F4194BA4}" name="D5" dataDxfId="1310">
      <calculatedColumnFormula>IF($AK$2="(Todas)",COUNTIF(BASE[CODCIE108],EPV_SARAMPION646669727378808185929697981006890[[#This Row],[CIE-10]]),COUNTIFS(BASE[Cod.Establecimiento],$AK$2,BASE[CODCIE108],EPV_SARAMPION646669727378808185929697981006890[[#This Row],[CIE-10]]))</calculatedColumnFormula>
    </tableColumn>
    <tableColumn id="7" xr3:uid="{3240DA8D-9032-48A0-9ED0-81546C9D0CC0}" name="D6" dataDxfId="1309">
      <calculatedColumnFormula>IF($AK$2="(Todas)",COUNTIF(BASE[CODCIE1010],EPV_SARAMPION646669727378808185929697981006890[[#This Row],[CIE-10]]),COUNTIFS(BASE[Cod.Establecimiento],$AK$2,BASE[CODCIE1010],EPV_SARAMPION646669727378808185929697981006890[[#This Row],[CIE-10]]))</calculatedColumnFormula>
    </tableColumn>
    <tableColumn id="8" xr3:uid="{295090EB-045F-4004-8818-67ACD00EE95B}" name="TOT" dataDxfId="1308" dataCellStyle="40% - Énfasis6">
      <calculatedColumnFormula>SUM(EPV_SARAMPION646669727378808185929697981006890[[#This Row],[D1]:[D6]])</calculatedColumnFormula>
    </tableColumn>
  </tableColumns>
  <tableStyleInfo name="TableStyleLight1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F312EFCF-8005-481C-9722-1DF1F2A25295}" name="EPV_SARAMPION64666972737880818592969798100687993" displayName="EPV_SARAMPION64666972737880818592969798100687993" ref="AB55:AI56" totalsRowShown="0" headerRowDxfId="1307">
  <autoFilter ref="AB55:AI56" xr:uid="{F312EFCF-8005-481C-9722-1DF1F2A252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3A41008-930A-4C3F-9853-7880800BB913}" name="CIE-10" dataCellStyle="20% - Énfasis4"/>
    <tableColumn id="2" xr3:uid="{127D509E-A4C7-4D08-9D62-8F9454679A9D}" name="D1" dataDxfId="1306">
      <calculatedColumnFormula>IF($AK$2="(Todas)",COUNTIF(BASE[CODCIE10],EPV_SARAMPION64666972737880818592969798100687993[[#This Row],[CIE-10]]),COUNTIFS(BASE[Cod.Establecimiento],$AK$2,BASE[CODCIE10],EPV_SARAMPION64666972737880818592969798100687993[[#This Row],[CIE-10]]))</calculatedColumnFormula>
    </tableColumn>
    <tableColumn id="3" xr3:uid="{F623C382-67CD-494C-BBEE-D0B88CD0C95D}" name="D2" dataDxfId="1305">
      <calculatedColumnFormula>IF($AK$2="(Todas)",COUNTIF(BASE[CODCIE102],EPV_SARAMPION64666972737880818592969798100687993[[#This Row],[CIE-10]]),COUNTIFS(BASE[Cod.Establecimiento],$AK$2,BASE[CODCIE102],EPV_SARAMPION64666972737880818592969798100687993[[#This Row],[CIE-10]]))</calculatedColumnFormula>
    </tableColumn>
    <tableColumn id="4" xr3:uid="{ACFD90E8-0D94-4EC2-A9FC-75ABB1B40DFF}" name="D3" dataDxfId="1304">
      <calculatedColumnFormula>IF($AK$2="(Todas)",COUNTIF(BASE[CODCIE104],EPV_SARAMPION64666972737880818592969798100687993[[#This Row],[CIE-10]]),COUNTIFS(BASE[Cod.Establecimiento],$AK$2,BASE[CODCIE104],EPV_SARAMPION64666972737880818592969798100687993[[#This Row],[CIE-10]]))</calculatedColumnFormula>
    </tableColumn>
    <tableColumn id="5" xr3:uid="{5C87E943-5D44-4A4D-9B97-78928BFFE71E}" name="D4" dataDxfId="1303">
      <calculatedColumnFormula>IF($AK$2="(Todas)",COUNTIF(BASE[CODCIE106],EPV_SARAMPION64666972737880818592969798100687993[[#This Row],[CIE-10]]),COUNTIFS(BASE[Cod.Establecimiento],$AK$2,BASE[CODCIE106],EPV_SARAMPION64666972737880818592969798100687993[[#This Row],[CIE-10]]))</calculatedColumnFormula>
    </tableColumn>
    <tableColumn id="6" xr3:uid="{06B5F8F9-E5EB-4D89-AD81-34E9EE0C174D}" name="D5" dataDxfId="1302">
      <calculatedColumnFormula>IF($AK$2="(Todas)",COUNTIF(BASE[CODCIE108],EPV_SARAMPION64666972737880818592969798100687993[[#This Row],[CIE-10]]),COUNTIFS(BASE[Cod.Establecimiento],$AK$2,BASE[CODCIE108],EPV_SARAMPION64666972737880818592969798100687993[[#This Row],[CIE-10]]))</calculatedColumnFormula>
    </tableColumn>
    <tableColumn id="7" xr3:uid="{FCF60094-ED10-4538-A9F5-E5D40A703227}" name="D6" dataDxfId="1301">
      <calculatedColumnFormula>IF($AK$2="(Todas)",COUNTIF(BASE[CODCIE1010],EPV_SARAMPION64666972737880818592969798100687993[[#This Row],[CIE-10]]),COUNTIFS(BASE[Cod.Establecimiento],$AK$2,BASE[CODCIE1010],EPV_SARAMPION64666972737880818592969798100687993[[#This Row],[CIE-10]]))</calculatedColumnFormula>
    </tableColumn>
    <tableColumn id="8" xr3:uid="{C920B1A5-0750-47BC-B48E-2DD443320B04}" name="TOT" dataDxfId="1300" dataCellStyle="40% - Énfasis6">
      <calculatedColumnFormula>SUM(EPV_SARAMPION64666972737880818592969798100687993[[#This Row],[D1]:[D6]])</calculatedColumnFormula>
    </tableColumn>
  </tableColumns>
  <tableStyleInfo name="TableStyleLight1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C7FB744-87EB-4527-B8AA-4BD9CDDB5AE3}" name="EPV_SARAMPION6466697273788081859296979810068799399" displayName="EPV_SARAMPION6466697273788081859296979810068799399" ref="S60:Z61" totalsRowShown="0" headerRowDxfId="1299">
  <autoFilter ref="S60:Z61" xr:uid="{DC7FB744-87EB-4527-B8AA-4BD9CDDB5A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CE87BC7-7C23-4F21-B790-125689E48E25}" name="CIE-10" dataCellStyle="20% - Énfasis4"/>
    <tableColumn id="2" xr3:uid="{8261FB9E-E5D5-46FE-B598-75E696466991}" name="D1" dataDxfId="1298">
      <calculatedColumnFormula>IF($AK$2="(Todas)",COUNTIF(BASE[CODCIE10],EPV_SARAMPION6466697273788081859296979810068799399[[#This Row],[CIE-10]]),COUNTIFS(BASE[Cod.Establecimiento],$AK$2,BASE[CODCIE10],EPV_SARAMPION6466697273788081859296979810068799399[[#This Row],[CIE-10]]))</calculatedColumnFormula>
    </tableColumn>
    <tableColumn id="3" xr3:uid="{967FD669-699D-4F88-8C3B-1C5939332303}" name="D2" dataDxfId="1297">
      <calculatedColumnFormula>IF($AK$2="(Todas)",COUNTIF(BASE[CODCIE102],EPV_SARAMPION6466697273788081859296979810068799399[[#This Row],[CIE-10]]),COUNTIFS(BASE[Cod.Establecimiento],$AK$2,BASE[CODCIE102],EPV_SARAMPION6466697273788081859296979810068799399[[#This Row],[CIE-10]]))</calculatedColumnFormula>
    </tableColumn>
    <tableColumn id="4" xr3:uid="{40C4F931-C220-4C88-9CF3-A27693666942}" name="D3" dataDxfId="1296">
      <calculatedColumnFormula>IF($AK$2="(Todas)",COUNTIF(BASE[CODCIE104],EPV_SARAMPION6466697273788081859296979810068799399[[#This Row],[CIE-10]]),COUNTIFS(BASE[Cod.Establecimiento],$AK$2,BASE[CODCIE104],EPV_SARAMPION6466697273788081859296979810068799399[[#This Row],[CIE-10]]))</calculatedColumnFormula>
    </tableColumn>
    <tableColumn id="5" xr3:uid="{8560A242-D085-46ED-B8DF-EE39240EE880}" name="D4" dataDxfId="1295">
      <calculatedColumnFormula>IF($AK$2="(Todas)",COUNTIF(BASE[CODCIE106],EPV_SARAMPION6466697273788081859296979810068799399[[#This Row],[CIE-10]]),COUNTIFS(BASE[Cod.Establecimiento],$AK$2,BASE[CODCIE106],EPV_SARAMPION6466697273788081859296979810068799399[[#This Row],[CIE-10]]))</calculatedColumnFormula>
    </tableColumn>
    <tableColumn id="6" xr3:uid="{A76999FF-0C48-4F96-A443-4B5B44E0FF63}" name="D5" dataDxfId="1294">
      <calculatedColumnFormula>IF($AK$2="(Todas)",COUNTIF(BASE[CODCIE108],EPV_SARAMPION6466697273788081859296979810068799399[[#This Row],[CIE-10]]),COUNTIFS(BASE[Cod.Establecimiento],$AK$2,BASE[CODCIE108],EPV_SARAMPION6466697273788081859296979810068799399[[#This Row],[CIE-10]]))</calculatedColumnFormula>
    </tableColumn>
    <tableColumn id="7" xr3:uid="{FCCB57B5-C246-4968-869E-9ADBC4948836}" name="D6" dataDxfId="1293">
      <calculatedColumnFormula>IF($AK$2="(Todas)",COUNTIF(BASE[CODCIE1010],EPV_SARAMPION6466697273788081859296979810068799399[[#This Row],[CIE-10]]),COUNTIFS(BASE[Cod.Establecimiento],$AK$2,BASE[CODCIE1010],EPV_SARAMPION6466697273788081859296979810068799399[[#This Row],[CIE-10]]))</calculatedColumnFormula>
    </tableColumn>
    <tableColumn id="8" xr3:uid="{696A387C-CACA-4FF6-899A-C8AD5DAA96EE}" name="TOT" dataDxfId="1292" dataCellStyle="40% - Énfasis6">
      <calculatedColumnFormula>SUM(EPV_SARAMPION6466697273788081859296979810068799399[[#This Row],[D1]:[D6]])</calculatedColumnFormula>
    </tableColumn>
  </tableColumns>
  <tableStyleInfo name="TableStyleLight1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2303F1F-1B93-45D5-9CDD-18531145E7C4}" name="EPV_SARAMPION6466697273788081859296979810068799399101" displayName="EPV_SARAMPION6466697273788081859296979810068799399101" ref="AB60:AI65" totalsRowShown="0" headerRowDxfId="1291">
  <autoFilter ref="AB60:AI65" xr:uid="{02303F1F-1B93-45D5-9CDD-18531145E7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E366B8E-880B-4E61-B78E-76B3D3559D83}" name="CIE-10" dataCellStyle="20% - Énfasis4"/>
    <tableColumn id="2" xr3:uid="{AACE1BB2-719F-43B2-A510-C2D30B0F25F5}" name="D1" dataDxfId="1290">
      <calculatedColumnFormula>IF($AK$2="(Todas)",COUNTIF(BASE[CODCIE10],EPV_SARAMPION6466697273788081859296979810068799399101[[#This Row],[CIE-10]]),COUNTIFS(BASE[Cod.Establecimiento],$AK$2,BASE[CODCIE10],EPV_SARAMPION6466697273788081859296979810068799399101[[#This Row],[CIE-10]]))</calculatedColumnFormula>
    </tableColumn>
    <tableColumn id="3" xr3:uid="{A5A48434-0363-472A-9913-7E9C2D5EF93B}" name="D2" dataDxfId="1289">
      <calculatedColumnFormula>IF($AK$2="(Todas)",COUNTIF(BASE[CODCIE102],EPV_SARAMPION6466697273788081859296979810068799399101[[#This Row],[CIE-10]]),COUNTIFS(BASE[Cod.Establecimiento],$AK$2,BASE[CODCIE102],EPV_SARAMPION6466697273788081859296979810068799399101[[#This Row],[CIE-10]]))</calculatedColumnFormula>
    </tableColumn>
    <tableColumn id="4" xr3:uid="{DD4FF218-B034-40F7-BE76-AE46D33DD141}" name="D3" dataDxfId="1288">
      <calculatedColumnFormula>IF($AK$2="(Todas)",COUNTIF(BASE[CODCIE104],EPV_SARAMPION6466697273788081859296979810068799399101[[#This Row],[CIE-10]]),COUNTIFS(BASE[Cod.Establecimiento],$AK$2,BASE[CODCIE104],EPV_SARAMPION6466697273788081859296979810068799399101[[#This Row],[CIE-10]]))</calculatedColumnFormula>
    </tableColumn>
    <tableColumn id="5" xr3:uid="{11F6D78D-C623-494D-B05C-8BDEFAB65E85}" name="D4" dataDxfId="1287">
      <calculatedColumnFormula>IF($AK$2="(Todas)",COUNTIF(BASE[CODCIE106],EPV_SARAMPION6466697273788081859296979810068799399101[[#This Row],[CIE-10]]),COUNTIFS(BASE[Cod.Establecimiento],$AK$2,BASE[CODCIE106],EPV_SARAMPION6466697273788081859296979810068799399101[[#This Row],[CIE-10]]))</calculatedColumnFormula>
    </tableColumn>
    <tableColumn id="6" xr3:uid="{F62DEE9E-D72C-4EE2-A963-4460C528F6B7}" name="D5" dataDxfId="1286">
      <calculatedColumnFormula>IF($AK$2="(Todas)",COUNTIF(BASE[CODCIE108],EPV_SARAMPION6466697273788081859296979810068799399101[[#This Row],[CIE-10]]),COUNTIFS(BASE[Cod.Establecimiento],$AK$2,BASE[CODCIE108],EPV_SARAMPION6466697273788081859296979810068799399101[[#This Row],[CIE-10]]))</calculatedColumnFormula>
    </tableColumn>
    <tableColumn id="7" xr3:uid="{EB7306A8-FCA2-44A7-B5E9-F0A51554204A}" name="D6" dataDxfId="1285">
      <calculatedColumnFormula>IF($AK$2="(Todas)",COUNTIF(BASE[CODCIE1010],EPV_SARAMPION6466697273788081859296979810068799399101[[#This Row],[CIE-10]]),COUNTIFS(BASE[Cod.Establecimiento],$AK$2,BASE[CODCIE1010],EPV_SARAMPION6466697273788081859296979810068799399101[[#This Row],[CIE-10]]))</calculatedColumnFormula>
    </tableColumn>
    <tableColumn id="8" xr3:uid="{480F30FA-243E-4E3A-8A77-68561A641A60}" name="TOT" dataDxfId="1284" dataCellStyle="40% - Énfasis6">
      <calculatedColumnFormula>SUM(EPV_SARAMPION6466697273788081859296979810068799399101[[#This Row],[D1]:[D6]])</calculatedColumnFormula>
    </tableColumn>
  </tableColumns>
  <tableStyleInfo name="TableStyleLight1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C1525AD-22D3-4FC0-8A1D-702830CADE1B}" name="EPV_SARAMPION6466697273788081859296979810068799399102" displayName="EPV_SARAMPION6466697273788081859296979810068799399102" ref="A67:H68" totalsRowShown="0" headerRowDxfId="1283">
  <autoFilter ref="A67:H68" xr:uid="{0C1525AD-22D3-4FC0-8A1D-702830CADE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F0FB87B-9695-4E9F-AD7E-02633E24FCA5}" name="CIE-10" dataCellStyle="20% - Énfasis4"/>
    <tableColumn id="2" xr3:uid="{B8068AC7-30D0-4052-B98B-BB2C12C81FF3}" name="D1" dataDxfId="1282">
      <calculatedColumnFormula>IF($AK$2="(Todas)",COUNTIF(BASE[CODCIE10],EPV_SARAMPION6466697273788081859296979810068799399102[[#This Row],[CIE-10]]),COUNTIFS(BASE[Cod.Establecimiento],$AK$2,BASE[CODCIE10],EPV_SARAMPION6466697273788081859296979810068799399102[[#This Row],[CIE-10]]))</calculatedColumnFormula>
    </tableColumn>
    <tableColumn id="3" xr3:uid="{D42C8149-A5AD-418B-A8B7-4FF016C03F17}" name="D2" dataDxfId="1281">
      <calculatedColumnFormula>IF($AK$2="(Todas)",COUNTIF(BASE[CODCIE102],EPV_SARAMPION6466697273788081859296979810068799399102[[#This Row],[CIE-10]]),COUNTIFS(BASE[Cod.Establecimiento],$AK$2,BASE[CODCIE102],EPV_SARAMPION6466697273788081859296979810068799399102[[#This Row],[CIE-10]]))</calculatedColumnFormula>
    </tableColumn>
    <tableColumn id="4" xr3:uid="{43E446C9-D2B6-4522-973F-E8A667E8EB81}" name="D3" dataDxfId="1280">
      <calculatedColumnFormula>IF($AK$2="(Todas)",COUNTIF(BASE[CODCIE104],EPV_SARAMPION6466697273788081859296979810068799399102[[#This Row],[CIE-10]]),COUNTIFS(BASE[Cod.Establecimiento],$AK$2,BASE[CODCIE104],EPV_SARAMPION6466697273788081859296979810068799399102[[#This Row],[CIE-10]]))</calculatedColumnFormula>
    </tableColumn>
    <tableColumn id="5" xr3:uid="{2307BFB7-32C3-4A45-A3A8-9C2D162DD4C9}" name="D4" dataDxfId="1279">
      <calculatedColumnFormula>IF($AK$2="(Todas)",COUNTIF(BASE[CODCIE106],EPV_SARAMPION6466697273788081859296979810068799399102[[#This Row],[CIE-10]]),COUNTIFS(BASE[Cod.Establecimiento],$AK$2,BASE[CODCIE106],EPV_SARAMPION6466697273788081859296979810068799399102[[#This Row],[CIE-10]]))</calculatedColumnFormula>
    </tableColumn>
    <tableColumn id="6" xr3:uid="{A75363AB-80C4-41A4-B65E-FB3E5180A3A0}" name="D5" dataDxfId="1278">
      <calculatedColumnFormula>IF($AK$2="(Todas)",COUNTIF(BASE[CODCIE108],EPV_SARAMPION6466697273788081859296979810068799399102[[#This Row],[CIE-10]]),COUNTIFS(BASE[Cod.Establecimiento],$AK$2,BASE[CODCIE108],EPV_SARAMPION6466697273788081859296979810068799399102[[#This Row],[CIE-10]]))</calculatedColumnFormula>
    </tableColumn>
    <tableColumn id="7" xr3:uid="{EE46FEAE-FE43-4CE4-A1D6-843ABDB6F59D}" name="D6" dataDxfId="1277">
      <calculatedColumnFormula>IF($AK$2="(Todas)",COUNTIF(BASE[CODCIE1010],EPV_SARAMPION6466697273788081859296979810068799399102[[#This Row],[CIE-10]]),COUNTIFS(BASE[Cod.Establecimiento],$AK$2,BASE[CODCIE1010],EPV_SARAMPION6466697273788081859296979810068799399102[[#This Row],[CIE-10]]))</calculatedColumnFormula>
    </tableColumn>
    <tableColumn id="8" xr3:uid="{5A2D54FB-08A3-43AB-A215-E16BCCD9BD8B}" name="TOT" dataDxfId="1276" dataCellStyle="40% - Énfasis6">
      <calculatedColumnFormula>SUM(EPV_SARAMPION6466697273788081859296979810068799399102[[#This Row],[D1]:[D6]])</calculatedColumnFormula>
    </tableColumn>
  </tableColumns>
  <tableStyleInfo name="TableStyleLight1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A0D0C2BF-3528-4625-9CC1-EA6D9778F0AD}" name="EPV_SARAMPION6466697273788081859296979810068799399101104" displayName="EPV_SARAMPION6466697273788081859296979810068799399101104" ref="J67:Q72" totalsRowShown="0" headerRowDxfId="1275">
  <autoFilter ref="J67:Q72" xr:uid="{A0D0C2BF-3528-4625-9CC1-EA6D9778F0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D0235A-8052-4025-93E1-32C7F7AFA9AA}" name="CIE-10" dataCellStyle="20% - Énfasis4"/>
    <tableColumn id="2" xr3:uid="{322820E2-446C-4EB4-970E-BC8E85B83EB1}" name="D1" dataDxfId="1274">
      <calculatedColumnFormula>IF($AK$2="(Todas)",COUNTIF(BASE[CODCIE10],EPV_SARAMPION6466697273788081859296979810068799399101104[[#This Row],[CIE-10]]),COUNTIFS(BASE[Cod.Establecimiento],$AK$2,BASE[CODCIE10],EPV_SARAMPION6466697273788081859296979810068799399101104[[#This Row],[CIE-10]]))</calculatedColumnFormula>
    </tableColumn>
    <tableColumn id="3" xr3:uid="{0B10A43B-E43F-439F-8B57-7DA19D0A43D3}" name="D2" dataDxfId="1273">
      <calculatedColumnFormula>IF($AK$2="(Todas)",COUNTIF(BASE[CODCIE102],EPV_SARAMPION6466697273788081859296979810068799399101104[[#This Row],[CIE-10]]),COUNTIFS(BASE[Cod.Establecimiento],$AK$2,BASE[CODCIE102],EPV_SARAMPION6466697273788081859296979810068799399101104[[#This Row],[CIE-10]]))</calculatedColumnFormula>
    </tableColumn>
    <tableColumn id="4" xr3:uid="{2068172D-BA0E-4DA0-8DB1-F92CD0B6A441}" name="D3" dataDxfId="1272">
      <calculatedColumnFormula>IF($AK$2="(Todas)",COUNTIF(BASE[CODCIE104],EPV_SARAMPION6466697273788081859296979810068799399101104[[#This Row],[CIE-10]]),COUNTIFS(BASE[Cod.Establecimiento],$AK$2,BASE[CODCIE104],EPV_SARAMPION6466697273788081859296979810068799399101104[[#This Row],[CIE-10]]))</calculatedColumnFormula>
    </tableColumn>
    <tableColumn id="5" xr3:uid="{06BBE17F-F2EA-4B22-9297-9DC9DAF26D0C}" name="D4" dataDxfId="1271">
      <calculatedColumnFormula>IF($AK$2="(Todas)",COUNTIF(BASE[CODCIE106],EPV_SARAMPION6466697273788081859296979810068799399101104[[#This Row],[CIE-10]]),COUNTIFS(BASE[Cod.Establecimiento],$AK$2,BASE[CODCIE106],EPV_SARAMPION6466697273788081859296979810068799399101104[[#This Row],[CIE-10]]))</calculatedColumnFormula>
    </tableColumn>
    <tableColumn id="6" xr3:uid="{375EDD2F-AE6E-40C4-9FB5-4644C54266B6}" name="D5" dataDxfId="1270">
      <calculatedColumnFormula>IF($AK$2="(Todas)",COUNTIF(BASE[CODCIE108],EPV_SARAMPION6466697273788081859296979810068799399101104[[#This Row],[CIE-10]]),COUNTIFS(BASE[Cod.Establecimiento],$AK$2,BASE[CODCIE108],EPV_SARAMPION6466697273788081859296979810068799399101104[[#This Row],[CIE-10]]))</calculatedColumnFormula>
    </tableColumn>
    <tableColumn id="7" xr3:uid="{75AFBF5D-7DA0-46C6-A997-4F1668651DB2}" name="D6" dataDxfId="1269">
      <calculatedColumnFormula>IF($AK$2="(Todas)",COUNTIF(BASE[CODCIE1010],EPV_SARAMPION6466697273788081859296979810068799399101104[[#This Row],[CIE-10]]),COUNTIFS(BASE[Cod.Establecimiento],$AK$2,BASE[CODCIE1010],EPV_SARAMPION6466697273788081859296979810068799399101104[[#This Row],[CIE-10]]))</calculatedColumnFormula>
    </tableColumn>
    <tableColumn id="8" xr3:uid="{5AC2671D-9E08-462C-B5DA-0D4A137EA6FD}" name="TOT" dataDxfId="1268" dataCellStyle="40% - Énfasis6">
      <calculatedColumnFormula>SUM(EPV_SARAMPION6466697273788081859296979810068799399101104[[#This Row],[D1]:[D6]])</calculatedColumnFormula>
    </tableColumn>
  </tableColumns>
  <tableStyleInfo name="TableStyleLight1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55CB474B-C896-4A73-A678-5CBB97614F7F}" name="GUIA_NACIONAL_2022_1" displayName="GUIA_NACIONAL_2022_1" ref="D4:K10" totalsRowShown="0" headerRowDxfId="1267">
  <autoFilter ref="D4:K10" xr:uid="{55CB474B-C896-4A73-A678-5CBB97614F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3CE19ED-FD26-41DC-B535-575A186083E1}" name="CIE-10" dataCellStyle="20% - Énfasis4"/>
    <tableColumn id="2" xr3:uid="{4F375EC5-0F2A-4C51-89B2-4FCE6BD38D0C}" name="D1" dataDxfId="1266">
      <calculatedColumnFormula>IF($B$2="(Todas)",COUNTIF(BASE[CODCIE10],GUIA_NACIONAL_2022_1[[#This Row],[CIE-10]]),COUNTIFS(BASE[Cod.Establecimiento],$B$2,BASE[CODCIE10],GUIA_NACIONAL_2022_1[[#This Row],[CIE-10]]))</calculatedColumnFormula>
    </tableColumn>
    <tableColumn id="3" xr3:uid="{41A1A5F9-36F7-4528-87EC-1BD943980479}" name="D2" dataDxfId="1265">
      <calculatedColumnFormula>IF($B$2="(Todas)",COUNTIF(BASE[CODCIE102],GUIA_NACIONAL_2022_1[[#This Row],[CIE-10]]),COUNTIFS(BASE[Cod.Establecimiento],$B$2,BASE[CODCIE102],GUIA_NACIONAL_2022_1[[#This Row],[CIE-10]]))</calculatedColumnFormula>
    </tableColumn>
    <tableColumn id="4" xr3:uid="{7E3C4332-825B-4F9D-9A57-88FB6CA8CFD5}" name="D3" dataDxfId="1264">
      <calculatedColumnFormula>IF($B$2="(Todas)",COUNTIF(BASE[CODCIE104],GUIA_NACIONAL_2022_1[[#This Row],[CIE-10]]),COUNTIFS(BASE[Cod.Establecimiento],$B$2,BASE[CODCIE104],GUIA_NACIONAL_2022_1[[#This Row],[CIE-10]]))</calculatedColumnFormula>
    </tableColumn>
    <tableColumn id="5" xr3:uid="{97A57F12-C658-4629-9A57-0C169AC5AB66}" name="D4" dataDxfId="1263">
      <calculatedColumnFormula>IF($B$2="(Todas)",COUNTIF(BASE[CODCIE106],GUIA_NACIONAL_2022_1[[#This Row],[CIE-10]]),COUNTIFS(BASE[Cod.Establecimiento],$B$2,BASE[CODCIE106],GUIA_NACIONAL_2022_1[[#This Row],[CIE-10]]))</calculatedColumnFormula>
    </tableColumn>
    <tableColumn id="6" xr3:uid="{C2A6E53A-F378-4C91-9CC9-77148FDC76B8}" name="D5" dataDxfId="1262">
      <calculatedColumnFormula>IF($B$2="(Todas)",COUNTIF(BASE[CODCIE108],GUIA_NACIONAL_2022_1[[#This Row],[CIE-10]]),COUNTIFS(BASE[Cod.Establecimiento],$B$2,BASE[CODCIE108],GUIA_NACIONAL_2022_1[[#This Row],[CIE-10]]))</calculatedColumnFormula>
    </tableColumn>
    <tableColumn id="7" xr3:uid="{AB81BF8A-1810-4506-9916-733453BF5A3E}" name="D6" dataDxfId="1261">
      <calculatedColumnFormula>IF($B$2="(Todas)",COUNTIF(BASE[CODCIE1010],GUIA_NACIONAL_2022_1[[#This Row],[CIE-10]]),COUNTIFS(BASE[Cod.Establecimiento],$B$2,BASE[CODCIE1010],GUIA_NACIONAL_2022_1[[#This Row],[CIE-10]]))</calculatedColumnFormula>
    </tableColumn>
    <tableColumn id="8" xr3:uid="{3601EFB1-0A23-49BB-9C31-6309F9538BD1}" name="TOT" dataDxfId="1260" dataCellStyle="40% - Énfasis6">
      <calculatedColumnFormula>SUM(GUIA_NACIONAL_2022_1[[#This Row],[D1]:[D6]])</calculatedColumnFormula>
    </tableColumn>
  </tableColumns>
  <tableStyleInfo name="TableStyleLight1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73D721CD-6FEE-4F52-99B4-5DFA542BBA78}" name="GUIA_NACIONAL_2022_1106" displayName="GUIA_NACIONAL_2022_1106" ref="M4:T6" totalsRowShown="0" headerRowDxfId="1259">
  <autoFilter ref="M4:T6" xr:uid="{73D721CD-6FEE-4F52-99B4-5DFA542BBA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F704B75-AE62-46BE-9924-F7CFE1004115}" name="CIE-10" dataCellStyle="20% - Énfasis4"/>
    <tableColumn id="2" xr3:uid="{A2B24F11-EBA2-44CE-AAD8-C15D8826527A}" name="D1" dataDxfId="1258">
      <calculatedColumnFormula>IF($B$2="(Todas)",COUNTIF(BASE[CODCIE10],GUIA_NACIONAL_2022_1106[[#This Row],[CIE-10]]),COUNTIFS(BASE[Cod.Establecimiento],$B$2,BASE[CODCIE10],GUIA_NACIONAL_2022_1106[[#This Row],[CIE-10]]))</calculatedColumnFormula>
    </tableColumn>
    <tableColumn id="3" xr3:uid="{C39E74D7-5B7C-4974-BF38-8EE311967586}" name="D2" dataDxfId="1257">
      <calculatedColumnFormula>IF($B$2="(Todas)",COUNTIF(BASE[CODCIE102],GUIA_NACIONAL_2022_1106[[#This Row],[CIE-10]]),COUNTIFS(BASE[Cod.Establecimiento],$B$2,BASE[CODCIE102],GUIA_NACIONAL_2022_1106[[#This Row],[CIE-10]]))</calculatedColumnFormula>
    </tableColumn>
    <tableColumn id="4" xr3:uid="{BA932410-801D-4BA9-9FCD-214153919402}" name="D3" dataDxfId="1256">
      <calculatedColumnFormula>IF($B$2="(Todas)",COUNTIF(BASE[CODCIE104],GUIA_NACIONAL_2022_1106[[#This Row],[CIE-10]]),COUNTIFS(BASE[Cod.Establecimiento],$B$2,BASE[CODCIE104],GUIA_NACIONAL_2022_1106[[#This Row],[CIE-10]]))</calculatedColumnFormula>
    </tableColumn>
    <tableColumn id="5" xr3:uid="{BA79AB5D-0AE8-4A5E-B427-B991F6C1479F}" name="D4" dataDxfId="1255">
      <calculatedColumnFormula>IF($B$2="(Todas)",COUNTIF(BASE[CODCIE106],GUIA_NACIONAL_2022_1106[[#This Row],[CIE-10]]),COUNTIFS(BASE[Cod.Establecimiento],$B$2,BASE[CODCIE106],GUIA_NACIONAL_2022_1106[[#This Row],[CIE-10]]))</calculatedColumnFormula>
    </tableColumn>
    <tableColumn id="6" xr3:uid="{3B771E4D-8333-4145-970D-9A0B12C56A93}" name="D5" dataDxfId="1254">
      <calculatedColumnFormula>IF($B$2="(Todas)",COUNTIF(BASE[CODCIE108],GUIA_NACIONAL_2022_1106[[#This Row],[CIE-10]]),COUNTIFS(BASE[Cod.Establecimiento],$B$2,BASE[CODCIE108],GUIA_NACIONAL_2022_1106[[#This Row],[CIE-10]]))</calculatedColumnFormula>
    </tableColumn>
    <tableColumn id="7" xr3:uid="{E43BCA30-3012-4989-8479-A2D801C06DA8}" name="D6" dataDxfId="1253">
      <calculatedColumnFormula>IF($B$2="(Todas)",COUNTIF(BASE[CODCIE1010],GUIA_NACIONAL_2022_1106[[#This Row],[CIE-10]]),COUNTIFS(BASE[Cod.Establecimiento],$B$2,BASE[CODCIE1010],GUIA_NACIONAL_2022_1106[[#This Row],[CIE-10]]))</calculatedColumnFormula>
    </tableColumn>
    <tableColumn id="8" xr3:uid="{9614F23F-D8B7-4944-A8ED-2579CAE69D16}" name="TOT" dataDxfId="1252" dataCellStyle="40% - Énfasis6">
      <calculatedColumnFormula>SUM(GUIA_NACIONAL_2022_1106[[#This Row],[D1]:[D6]])</calculatedColumnFormula>
    </tableColumn>
  </tableColumns>
  <tableStyleInfo name="TableStyleLight1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AF7B225A-4FB2-4863-B128-6556A74EA001}" name="GUIA_NACIONAL_2022_1106108" displayName="GUIA_NACIONAL_2022_1106108" ref="D12:K27" totalsRowShown="0" headerRowDxfId="1251">
  <autoFilter ref="D12:K27" xr:uid="{AF7B225A-4FB2-4863-B128-6556A74EA0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B492CFB-2A45-4397-BA27-C3A75EE28074}" name="CIE-10" dataCellStyle="20% - Énfasis4"/>
    <tableColumn id="2" xr3:uid="{63DE8360-F762-46FB-8B87-3561C0FD1F8A}" name="D1" dataDxfId="1250">
      <calculatedColumnFormula>IF($B$2="(Todas)",COUNTIF(BASE[CODCIE10],GUIA_NACIONAL_2022_1106108[[#This Row],[CIE-10]]),COUNTIFS(BASE[Cod.Establecimiento],$B$2,BASE[CODCIE10],GUIA_NACIONAL_2022_1106108[[#This Row],[CIE-10]]))</calculatedColumnFormula>
    </tableColumn>
    <tableColumn id="3" xr3:uid="{6670DEC0-2690-4999-8277-7038A9595298}" name="D2" dataDxfId="1249">
      <calculatedColumnFormula>IF($B$2="(Todas)",COUNTIF(BASE[CODCIE102],GUIA_NACIONAL_2022_1106108[[#This Row],[CIE-10]]),COUNTIFS(BASE[Cod.Establecimiento],$B$2,BASE[CODCIE102],GUIA_NACIONAL_2022_1106108[[#This Row],[CIE-10]]))</calculatedColumnFormula>
    </tableColumn>
    <tableColumn id="4" xr3:uid="{FC792AC4-201A-4F4D-9D51-2D39FDD01860}" name="D3" dataDxfId="1248">
      <calculatedColumnFormula>IF($B$2="(Todas)",COUNTIF(BASE[CODCIE104],GUIA_NACIONAL_2022_1106108[[#This Row],[CIE-10]]),COUNTIFS(BASE[Cod.Establecimiento],$B$2,BASE[CODCIE104],GUIA_NACIONAL_2022_1106108[[#This Row],[CIE-10]]))</calculatedColumnFormula>
    </tableColumn>
    <tableColumn id="5" xr3:uid="{8B8A11D7-2E6D-4FB2-8322-A79A1AB7BC81}" name="D4" dataDxfId="1247">
      <calculatedColumnFormula>IF($B$2="(Todas)",COUNTIF(BASE[CODCIE106],GUIA_NACIONAL_2022_1106108[[#This Row],[CIE-10]]),COUNTIFS(BASE[Cod.Establecimiento],$B$2,BASE[CODCIE106],GUIA_NACIONAL_2022_1106108[[#This Row],[CIE-10]]))</calculatedColumnFormula>
    </tableColumn>
    <tableColumn id="6" xr3:uid="{703EEE76-5A29-480B-87FE-6029F6B83030}" name="D5" dataDxfId="1246">
      <calculatedColumnFormula>IF($B$2="(Todas)",COUNTIF(BASE[CODCIE108],GUIA_NACIONAL_2022_1106108[[#This Row],[CIE-10]]),COUNTIFS(BASE[Cod.Establecimiento],$B$2,BASE[CODCIE108],GUIA_NACIONAL_2022_1106108[[#This Row],[CIE-10]]))</calculatedColumnFormula>
    </tableColumn>
    <tableColumn id="7" xr3:uid="{F113BC00-1F48-4347-BB9A-9297290E471A}" name="D6" dataDxfId="1245">
      <calculatedColumnFormula>IF($B$2="(Todas)",COUNTIF(BASE[CODCIE1010],GUIA_NACIONAL_2022_1106108[[#This Row],[CIE-10]]),COUNTIFS(BASE[Cod.Establecimiento],$B$2,BASE[CODCIE1010],GUIA_NACIONAL_2022_1106108[[#This Row],[CIE-10]]))</calculatedColumnFormula>
    </tableColumn>
    <tableColumn id="8" xr3:uid="{C2CD0DF9-6431-4099-89D6-ECB1DE08160D}" name="TOT" dataDxfId="1244" dataCellStyle="40% - Énfasis6">
      <calculatedColumnFormula>SUM(GUIA_NACIONAL_2022_1106108[[#This Row],[D1]:[D6]])</calculatedColumnFormula>
    </tableColumn>
  </tableColumns>
  <tableStyleInfo name="TableStyleLight1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72792431-CBBE-4060-9DE0-33427FEC9420}" name="GUIA_NACIONAL_2022_1106109" displayName="GUIA_NACIONAL_2022_1106109" ref="D29:K35" totalsRowShown="0" headerRowDxfId="1243">
  <autoFilter ref="D29:K35" xr:uid="{72792431-CBBE-4060-9DE0-33427FEC94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CBE3F44-78E6-46CD-BEF6-CE4D3AD9F66E}" name="CIE-10" dataCellStyle="20% - Énfasis4"/>
    <tableColumn id="2" xr3:uid="{B87B89B1-65C9-41E2-9616-BF091DBC9289}" name="D1" dataDxfId="1242">
      <calculatedColumnFormula>IF($B$2="(Todas)",COUNTIF(BASE[CODCIE10],GUIA_NACIONAL_2022_1106109[[#This Row],[CIE-10]]),COUNTIFS(BASE[Cod.Establecimiento],$B$2,BASE[CODCIE10],GUIA_NACIONAL_2022_1106109[[#This Row],[CIE-10]]))</calculatedColumnFormula>
    </tableColumn>
    <tableColumn id="3" xr3:uid="{F0418302-0D22-4834-9610-F6891CA9C2D7}" name="D2" dataDxfId="1241">
      <calculatedColumnFormula>IF($B$2="(Todas)",COUNTIF(BASE[CODCIE102],GUIA_NACIONAL_2022_1106109[[#This Row],[CIE-10]]),COUNTIFS(BASE[Cod.Establecimiento],$B$2,BASE[CODCIE102],GUIA_NACIONAL_2022_1106109[[#This Row],[CIE-10]]))</calculatedColumnFormula>
    </tableColumn>
    <tableColumn id="4" xr3:uid="{6321DACA-73B6-4F21-AD46-3A2519EF076C}" name="D3" dataDxfId="1240">
      <calculatedColumnFormula>IF($B$2="(Todas)",COUNTIF(BASE[CODCIE104],GUIA_NACIONAL_2022_1106109[[#This Row],[CIE-10]]),COUNTIFS(BASE[Cod.Establecimiento],$B$2,BASE[CODCIE104],GUIA_NACIONAL_2022_1106109[[#This Row],[CIE-10]]))</calculatedColumnFormula>
    </tableColumn>
    <tableColumn id="5" xr3:uid="{79E16DE7-B2C0-4EE3-B228-4CDF8B116F3B}" name="D4" dataDxfId="1239">
      <calculatedColumnFormula>IF($B$2="(Todas)",COUNTIF(BASE[CODCIE106],GUIA_NACIONAL_2022_1106109[[#This Row],[CIE-10]]),COUNTIFS(BASE[Cod.Establecimiento],$B$2,BASE[CODCIE106],GUIA_NACIONAL_2022_1106109[[#This Row],[CIE-10]]))</calculatedColumnFormula>
    </tableColumn>
    <tableColumn id="6" xr3:uid="{B8B8C942-DCB2-451D-A464-AB61D4FCADB2}" name="D5" dataDxfId="1238">
      <calculatedColumnFormula>IF($B$2="(Todas)",COUNTIF(BASE[CODCIE108],GUIA_NACIONAL_2022_1106109[[#This Row],[CIE-10]]),COUNTIFS(BASE[Cod.Establecimiento],$B$2,BASE[CODCIE108],GUIA_NACIONAL_2022_1106109[[#This Row],[CIE-10]]))</calculatedColumnFormula>
    </tableColumn>
    <tableColumn id="7" xr3:uid="{6E1722B9-4B84-4843-9E57-C5D379F08640}" name="D6" dataDxfId="1237">
      <calculatedColumnFormula>IF($B$2="(Todas)",COUNTIF(BASE[CODCIE1010],GUIA_NACIONAL_2022_1106109[[#This Row],[CIE-10]]),COUNTIFS(BASE[Cod.Establecimiento],$B$2,BASE[CODCIE1010],GUIA_NACIONAL_2022_1106109[[#This Row],[CIE-10]]))</calculatedColumnFormula>
    </tableColumn>
    <tableColumn id="8" xr3:uid="{7245B6D3-DFAB-4468-A05F-1B830CCD1318}" name="TOT" dataDxfId="1236" dataCellStyle="40% - Énfasis6">
      <calculatedColumnFormula>SUM(GUIA_NACIONAL_2022_1106109[[#This Row],[D1]:[D6]])</calculatedColumnFormula>
    </tableColumn>
  </tableColumns>
  <tableStyleInfo name="TableStyleLight1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D63BA19B-099A-43FB-B816-4E62CAC529C0}" name="GUIA_NACIONAL_2022_1106112" displayName="GUIA_NACIONAL_2022_1106112" ref="D37:K38" totalsRowShown="0" headerRowDxfId="1235">
  <autoFilter ref="D37:K38" xr:uid="{D63BA19B-099A-43FB-B816-4E62CAC529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8E6C906-AA28-4C14-960C-A49A6AE9ABE5}" name="CIE-10" dataCellStyle="20% - Énfasis4"/>
    <tableColumn id="2" xr3:uid="{D40A15E2-1A2E-43E3-B235-3211EAAEE960}" name="D1" dataDxfId="1234">
      <calculatedColumnFormula>IF($B$2="(Todas)",COUNTIF(BASE[CODCIE10],GUIA_NACIONAL_2022_1106112[[#This Row],[CIE-10]]),COUNTIFS(BASE[Cod.Establecimiento],$B$2,BASE[CODCIE10],GUIA_NACIONAL_2022_1106112[[#This Row],[CIE-10]]))</calculatedColumnFormula>
    </tableColumn>
    <tableColumn id="3" xr3:uid="{70F6C554-9882-42E7-A474-F7F76A39D177}" name="D2" dataDxfId="1233">
      <calculatedColumnFormula>IF($B$2="(Todas)",COUNTIF(BASE[CODCIE102],GUIA_NACIONAL_2022_1106112[[#This Row],[CIE-10]]),COUNTIFS(BASE[Cod.Establecimiento],$B$2,BASE[CODCIE102],GUIA_NACIONAL_2022_1106112[[#This Row],[CIE-10]]))</calculatedColumnFormula>
    </tableColumn>
    <tableColumn id="4" xr3:uid="{B37CF176-149E-4C83-B344-49B8A8A7F53F}" name="D3" dataDxfId="1232">
      <calculatedColumnFormula>IF($B$2="(Todas)",COUNTIF(BASE[CODCIE104],GUIA_NACIONAL_2022_1106112[[#This Row],[CIE-10]]),COUNTIFS(BASE[Cod.Establecimiento],$B$2,BASE[CODCIE104],GUIA_NACIONAL_2022_1106112[[#This Row],[CIE-10]]))</calculatedColumnFormula>
    </tableColumn>
    <tableColumn id="5" xr3:uid="{AF08A59D-7363-492A-A626-220FEC726336}" name="D4" dataDxfId="1231">
      <calculatedColumnFormula>IF($B$2="(Todas)",COUNTIF(BASE[CODCIE106],GUIA_NACIONAL_2022_1106112[[#This Row],[CIE-10]]),COUNTIFS(BASE[Cod.Establecimiento],$B$2,BASE[CODCIE106],GUIA_NACIONAL_2022_1106112[[#This Row],[CIE-10]]))</calculatedColumnFormula>
    </tableColumn>
    <tableColumn id="6" xr3:uid="{D8EAFACA-E701-4618-A349-6DC2FD07739F}" name="D5" dataDxfId="1230">
      <calculatedColumnFormula>IF($B$2="(Todas)",COUNTIF(BASE[CODCIE108],GUIA_NACIONAL_2022_1106112[[#This Row],[CIE-10]]),COUNTIFS(BASE[Cod.Establecimiento],$B$2,BASE[CODCIE108],GUIA_NACIONAL_2022_1106112[[#This Row],[CIE-10]]))</calculatedColumnFormula>
    </tableColumn>
    <tableColumn id="7" xr3:uid="{0457F6DD-52AC-4629-89D7-45D2479DEE2F}" name="D6" dataDxfId="1229">
      <calculatedColumnFormula>IF($B$2="(Todas)",COUNTIF(BASE[CODCIE1010],GUIA_NACIONAL_2022_1106112[[#This Row],[CIE-10]]),COUNTIFS(BASE[Cod.Establecimiento],$B$2,BASE[CODCIE1010],GUIA_NACIONAL_2022_1106112[[#This Row],[CIE-10]]))</calculatedColumnFormula>
    </tableColumn>
    <tableColumn id="8" xr3:uid="{B58EFAC9-081E-40DC-853C-565FB8D21D31}" name="TOT" dataDxfId="1228" dataCellStyle="40% - Énfasis6">
      <calculatedColumnFormula>SUM(GUIA_NACIONAL_2022_1106112[[#This Row],[D1]:[D6]])</calculatedColumnFormula>
    </tableColumn>
  </tableColumns>
  <tableStyleInfo name="TableStyleLight1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A1EBCC6E-73BE-4F75-A15F-F7174DC95735}" name="GUIA_NACIONAL_2022_1106112113" displayName="GUIA_NACIONAL_2022_1106112113" ref="D40:K41" totalsRowShown="0" headerRowDxfId="1227">
  <autoFilter ref="D40:K41" xr:uid="{A1EBCC6E-73BE-4F75-A15F-F7174DC957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01CE65C-6D8C-4D80-A761-2E1AFF1F1CD6}" name="CIE-10" dataCellStyle="20% - Énfasis4"/>
    <tableColumn id="2" xr3:uid="{1D964C33-74C2-47AA-8FC9-BEDC45687A7C}" name="D1" dataDxfId="1226">
      <calculatedColumnFormula>IF($B$2="(Todas)",COUNTIF(BASE[CODCIE10],GUIA_NACIONAL_2022_1106112113[[#This Row],[CIE-10]]),COUNTIFS(BASE[Cod.Establecimiento],$B$2,BASE[CODCIE10],GUIA_NACIONAL_2022_1106112113[[#This Row],[CIE-10]]))</calculatedColumnFormula>
    </tableColumn>
    <tableColumn id="3" xr3:uid="{9D5AD6B4-F147-43CF-A3C7-1B2E9010674D}" name="D2" dataDxfId="1225">
      <calculatedColumnFormula>IF($B$2="(Todas)",COUNTIF(BASE[CODCIE102],GUIA_NACIONAL_2022_1106112113[[#This Row],[CIE-10]]),COUNTIFS(BASE[Cod.Establecimiento],$B$2,BASE[CODCIE102],GUIA_NACIONAL_2022_1106112113[[#This Row],[CIE-10]]))</calculatedColumnFormula>
    </tableColumn>
    <tableColumn id="4" xr3:uid="{7F719D6F-8938-45E5-B8FD-1BA6B7E5E167}" name="D3" dataDxfId="1224">
      <calculatedColumnFormula>IF($B$2="(Todas)",COUNTIF(BASE[CODCIE104],GUIA_NACIONAL_2022_1106112113[[#This Row],[CIE-10]]),COUNTIFS(BASE[Cod.Establecimiento],$B$2,BASE[CODCIE104],GUIA_NACIONAL_2022_1106112113[[#This Row],[CIE-10]]))</calculatedColumnFormula>
    </tableColumn>
    <tableColumn id="5" xr3:uid="{F114A9B6-8BEF-4044-8DBB-EC236974386D}" name="D4" dataDxfId="1223">
      <calculatedColumnFormula>IF($B$2="(Todas)",COUNTIF(BASE[CODCIE106],GUIA_NACIONAL_2022_1106112113[[#This Row],[CIE-10]]),COUNTIFS(BASE[Cod.Establecimiento],$B$2,BASE[CODCIE106],GUIA_NACIONAL_2022_1106112113[[#This Row],[CIE-10]]))</calculatedColumnFormula>
    </tableColumn>
    <tableColumn id="6" xr3:uid="{5D4C198D-1C5E-41A1-B815-CC5FDE692CBF}" name="D5" dataDxfId="1222">
      <calculatedColumnFormula>IF($B$2="(Todas)",COUNTIF(BASE[CODCIE108],GUIA_NACIONAL_2022_1106112113[[#This Row],[CIE-10]]),COUNTIFS(BASE[Cod.Establecimiento],$B$2,BASE[CODCIE108],GUIA_NACIONAL_2022_1106112113[[#This Row],[CIE-10]]))</calculatedColumnFormula>
    </tableColumn>
    <tableColumn id="7" xr3:uid="{1CB0D9CA-BB1D-4E4A-A019-7EF889850E5E}" name="D6" dataDxfId="1221">
      <calculatedColumnFormula>IF($B$2="(Todas)",COUNTIF(BASE[CODCIE1010],GUIA_NACIONAL_2022_1106112113[[#This Row],[CIE-10]]),COUNTIFS(BASE[Cod.Establecimiento],$B$2,BASE[CODCIE1010],GUIA_NACIONAL_2022_1106112113[[#This Row],[CIE-10]]))</calculatedColumnFormula>
    </tableColumn>
    <tableColumn id="8" xr3:uid="{96C02F76-D4A1-4BA9-94AB-DCA4D56E657D}" name="TOT" dataDxfId="1220" dataCellStyle="40% - Énfasis6">
      <calculatedColumnFormula>SUM(GUIA_NACIONAL_2022_1106112113[[#This Row],[D1]:[D6]])</calculatedColumnFormula>
    </tableColumn>
  </tableColumns>
  <tableStyleInfo name="TableStyleLight1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CAC10555-833A-42D1-8E84-C5BD2D516CC0}" name="GUIA_NACIONAL_2022_1106112113114" displayName="GUIA_NACIONAL_2022_1106112113114" ref="D43:K45" totalsRowShown="0" headerRowDxfId="1219">
  <autoFilter ref="D43:K45" xr:uid="{CAC10555-833A-42D1-8E84-C5BD2D516C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C0165D-FEA8-4D71-9747-726AB6EF18CE}" name="CIE-10" dataCellStyle="20% - Énfasis4"/>
    <tableColumn id="2" xr3:uid="{9DC4E932-9570-4683-A395-7452E6A9A6C0}" name="D1" dataDxfId="1218">
      <calculatedColumnFormula>IF($B$2="(Todas)",COUNTIF(BASE[CODCIE10],GUIA_NACIONAL_2022_1106112113114[[#This Row],[CIE-10]]),COUNTIFS(BASE[Cod.Establecimiento],$B$2,BASE[CODCIE10],GUIA_NACIONAL_2022_1106112113114[[#This Row],[CIE-10]]))</calculatedColumnFormula>
    </tableColumn>
    <tableColumn id="3" xr3:uid="{33E4D190-2EEF-4CED-AA3F-79386423D5E9}" name="D2" dataDxfId="1217">
      <calculatedColumnFormula>IF($B$2="(Todas)",COUNTIF(BASE[CODCIE102],GUIA_NACIONAL_2022_1106112113114[[#This Row],[CIE-10]]),COUNTIFS(BASE[Cod.Establecimiento],$B$2,BASE[CODCIE102],GUIA_NACIONAL_2022_1106112113114[[#This Row],[CIE-10]]))</calculatedColumnFormula>
    </tableColumn>
    <tableColumn id="4" xr3:uid="{F4FE7667-BEB6-4929-B742-83A057C40DED}" name="D3" dataDxfId="1216">
      <calculatedColumnFormula>IF($B$2="(Todas)",COUNTIF(BASE[CODCIE104],GUIA_NACIONAL_2022_1106112113114[[#This Row],[CIE-10]]),COUNTIFS(BASE[Cod.Establecimiento],$B$2,BASE[CODCIE104],GUIA_NACIONAL_2022_1106112113114[[#This Row],[CIE-10]]))</calculatedColumnFormula>
    </tableColumn>
    <tableColumn id="5" xr3:uid="{C5CEBE25-C02B-4A99-80D7-522E377B96BA}" name="D4" dataDxfId="1215">
      <calculatedColumnFormula>IF($B$2="(Todas)",COUNTIF(BASE[CODCIE106],GUIA_NACIONAL_2022_1106112113114[[#This Row],[CIE-10]]),COUNTIFS(BASE[Cod.Establecimiento],$B$2,BASE[CODCIE106],GUIA_NACIONAL_2022_1106112113114[[#This Row],[CIE-10]]))</calculatedColumnFormula>
    </tableColumn>
    <tableColumn id="6" xr3:uid="{5671D10F-12E1-40C4-A0EB-5B5E1F1E7F8B}" name="D5" dataDxfId="1214">
      <calculatedColumnFormula>IF($B$2="(Todas)",COUNTIF(BASE[CODCIE108],GUIA_NACIONAL_2022_1106112113114[[#This Row],[CIE-10]]),COUNTIFS(BASE[Cod.Establecimiento],$B$2,BASE[CODCIE108],GUIA_NACIONAL_2022_1106112113114[[#This Row],[CIE-10]]))</calculatedColumnFormula>
    </tableColumn>
    <tableColumn id="7" xr3:uid="{1E4378CF-EA22-4ED4-89F5-3FC4823D3EAC}" name="D6" dataDxfId="1213">
      <calculatedColumnFormula>IF($B$2="(Todas)",COUNTIF(BASE[CODCIE1010],GUIA_NACIONAL_2022_1106112113114[[#This Row],[CIE-10]]),COUNTIFS(BASE[Cod.Establecimiento],$B$2,BASE[CODCIE1010],GUIA_NACIONAL_2022_1106112113114[[#This Row],[CIE-10]]))</calculatedColumnFormula>
    </tableColumn>
    <tableColumn id="8" xr3:uid="{6C038AED-E249-4ABB-9D82-D797A8684899}" name="TOT" dataDxfId="1212" dataCellStyle="40% - Énfasis6">
      <calculatedColumnFormula>SUM(GUIA_NACIONAL_2022_1106112113114[[#This Row],[D1]:[D6]])</calculatedColumnFormula>
    </tableColumn>
  </tableColumns>
  <tableStyleInfo name="TableStyleLight1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9B106B90-26C6-4F76-875B-976581C6B5EE}" name="GUIA_NACIONAL_2022_1106112113116" displayName="GUIA_NACIONAL_2022_1106112113116" ref="D48:K49" totalsRowShown="0" headerRowDxfId="1211">
  <autoFilter ref="D48:K49" xr:uid="{9B106B90-26C6-4F76-875B-976581C6B5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8ECB2C0-99F6-4AE0-902C-21CA0D6F3C43}" name="CIE-10" dataCellStyle="20% - Énfasis4"/>
    <tableColumn id="2" xr3:uid="{9F9DECC2-FCF2-4EDB-92C5-80B36F66D1B9}" name="D1" dataDxfId="1210">
      <calculatedColumnFormula>IF($B$2="(Todas)",COUNTIF(BASE[CODCIE10],GUIA_NACIONAL_2022_1106112113116[[#This Row],[CIE-10]]),COUNTIFS(BASE[Cod.Establecimiento],$B$2,BASE[CODCIE10],GUIA_NACIONAL_2022_1106112113116[[#This Row],[CIE-10]]))</calculatedColumnFormula>
    </tableColumn>
    <tableColumn id="3" xr3:uid="{990C37A6-C532-44B0-849B-50DBACD370DE}" name="D2" dataDxfId="1209">
      <calculatedColumnFormula>IF($B$2="(Todas)",COUNTIF(BASE[CODCIE102],GUIA_NACIONAL_2022_1106112113116[[#This Row],[CIE-10]]),COUNTIFS(BASE[Cod.Establecimiento],$B$2,BASE[CODCIE102],GUIA_NACIONAL_2022_1106112113116[[#This Row],[CIE-10]]))</calculatedColumnFormula>
    </tableColumn>
    <tableColumn id="4" xr3:uid="{6DB93C2E-4F3D-4950-99F4-760E2A8A6E8B}" name="D3" dataDxfId="1208">
      <calculatedColumnFormula>IF($B$2="(Todas)",COUNTIF(BASE[CODCIE104],GUIA_NACIONAL_2022_1106112113116[[#This Row],[CIE-10]]),COUNTIFS(BASE[Cod.Establecimiento],$B$2,BASE[CODCIE104],GUIA_NACIONAL_2022_1106112113116[[#This Row],[CIE-10]]))</calculatedColumnFormula>
    </tableColumn>
    <tableColumn id="5" xr3:uid="{FB997BA7-960D-4B14-A69B-0946520C42D6}" name="D4" dataDxfId="1207">
      <calculatedColumnFormula>IF($B$2="(Todas)",COUNTIF(BASE[CODCIE106],GUIA_NACIONAL_2022_1106112113116[[#This Row],[CIE-10]]),COUNTIFS(BASE[Cod.Establecimiento],$B$2,BASE[CODCIE106],GUIA_NACIONAL_2022_1106112113116[[#This Row],[CIE-10]]))</calculatedColumnFormula>
    </tableColumn>
    <tableColumn id="6" xr3:uid="{A8A2D1A2-C87F-4378-9AB1-E86DD20E2E3A}" name="D5" dataDxfId="1206">
      <calculatedColumnFormula>IF($B$2="(Todas)",COUNTIF(BASE[CODCIE108],GUIA_NACIONAL_2022_1106112113116[[#This Row],[CIE-10]]),COUNTIFS(BASE[Cod.Establecimiento],$B$2,BASE[CODCIE108],GUIA_NACIONAL_2022_1106112113116[[#This Row],[CIE-10]]))</calculatedColumnFormula>
    </tableColumn>
    <tableColumn id="7" xr3:uid="{C77F3D70-F55B-480C-974B-44D028059893}" name="D6" dataDxfId="1205">
      <calculatedColumnFormula>IF($B$2="(Todas)",COUNTIF(BASE[CODCIE1010],GUIA_NACIONAL_2022_1106112113116[[#This Row],[CIE-10]]),COUNTIFS(BASE[Cod.Establecimiento],$B$2,BASE[CODCIE1010],GUIA_NACIONAL_2022_1106112113116[[#This Row],[CIE-10]]))</calculatedColumnFormula>
    </tableColumn>
    <tableColumn id="8" xr3:uid="{37E63D9C-DC38-4C2E-959C-02B1CBD31DF1}" name="TOT" dataDxfId="1204" dataCellStyle="40% - Énfasis6">
      <calculatedColumnFormula>SUM(GUIA_NACIONAL_2022_1106112113116[[#This Row],[D1]:[D6]])</calculatedColumnFormula>
    </tableColumn>
  </tableColumns>
  <tableStyleInfo name="TableStyleLight1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631191E7-A2D9-4C39-8B84-C155AB7C1D12}" name="GUIA_NACIONAL_2022_1106112113116117" displayName="GUIA_NACIONAL_2022_1106112113116117" ref="D51:K52" totalsRowShown="0" headerRowDxfId="1203">
  <autoFilter ref="D51:K52" xr:uid="{631191E7-A2D9-4C39-8B84-C155AB7C1D1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91D4CB8-7183-4D73-B42F-A5D6B7D8B2D8}" name="CIE-10" dataCellStyle="20% - Énfasis4"/>
    <tableColumn id="2" xr3:uid="{26A33030-DCB0-4344-9549-C0003B89A413}" name="D1" dataDxfId="1202">
      <calculatedColumnFormula>IF($B$2="(Todas)",COUNTIF(BASE[CODCIE10],GUIA_NACIONAL_2022_1106112113116117[[#This Row],[CIE-10]]),COUNTIFS(BASE[Cod.Establecimiento],$B$2,BASE[CODCIE10],GUIA_NACIONAL_2022_1106112113116117[[#This Row],[CIE-10]]))</calculatedColumnFormula>
    </tableColumn>
    <tableColumn id="3" xr3:uid="{6CC0C965-C925-4F36-96C7-344A7F7F5E59}" name="D2" dataDxfId="1201">
      <calculatedColumnFormula>IF($B$2="(Todas)",COUNTIF(BASE[CODCIE102],GUIA_NACIONAL_2022_1106112113116117[[#This Row],[CIE-10]]),COUNTIFS(BASE[Cod.Establecimiento],$B$2,BASE[CODCIE102],GUIA_NACIONAL_2022_1106112113116117[[#This Row],[CIE-10]]))</calculatedColumnFormula>
    </tableColumn>
    <tableColumn id="4" xr3:uid="{C1B4E896-E2D3-42A9-AAC2-F383D90B6F05}" name="D3" dataDxfId="1200">
      <calculatedColumnFormula>IF($B$2="(Todas)",COUNTIF(BASE[CODCIE104],GUIA_NACIONAL_2022_1106112113116117[[#This Row],[CIE-10]]),COUNTIFS(BASE[Cod.Establecimiento],$B$2,BASE[CODCIE104],GUIA_NACIONAL_2022_1106112113116117[[#This Row],[CIE-10]]))</calculatedColumnFormula>
    </tableColumn>
    <tableColumn id="5" xr3:uid="{CF0E55D5-08E2-44CB-B220-5FD477D28927}" name="D4" dataDxfId="1199">
      <calculatedColumnFormula>IF($B$2="(Todas)",COUNTIF(BASE[CODCIE106],GUIA_NACIONAL_2022_1106112113116117[[#This Row],[CIE-10]]),COUNTIFS(BASE[Cod.Establecimiento],$B$2,BASE[CODCIE106],GUIA_NACIONAL_2022_1106112113116117[[#This Row],[CIE-10]]))</calculatedColumnFormula>
    </tableColumn>
    <tableColumn id="6" xr3:uid="{1890DF9B-9CB6-4981-9DED-89504E6523E5}" name="D5" dataDxfId="1198">
      <calculatedColumnFormula>IF($B$2="(Todas)",COUNTIF(BASE[CODCIE108],GUIA_NACIONAL_2022_1106112113116117[[#This Row],[CIE-10]]),COUNTIFS(BASE[Cod.Establecimiento],$B$2,BASE[CODCIE108],GUIA_NACIONAL_2022_1106112113116117[[#This Row],[CIE-10]]))</calculatedColumnFormula>
    </tableColumn>
    <tableColumn id="7" xr3:uid="{4DBC9711-0CA9-47BF-AA4A-29C689BCE184}" name="D6" dataDxfId="1197">
      <calculatedColumnFormula>IF($B$2="(Todas)",COUNTIF(BASE[CODCIE1010],GUIA_NACIONAL_2022_1106112113116117[[#This Row],[CIE-10]]),COUNTIFS(BASE[Cod.Establecimiento],$B$2,BASE[CODCIE1010],GUIA_NACIONAL_2022_1106112113116117[[#This Row],[CIE-10]]))</calculatedColumnFormula>
    </tableColumn>
    <tableColumn id="8" xr3:uid="{598056DA-5FBA-402E-8B23-6DBD50293FA6}" name="TOT" dataDxfId="1196" dataCellStyle="40% - Énfasis6">
      <calculatedColumnFormula>SUM(GUIA_NACIONAL_2022_1106112113116117[[#This Row],[D1]:[D6]])</calculatedColumnFormula>
    </tableColumn>
  </tableColumns>
  <tableStyleInfo name="TableStyleLight1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83E4E05A-4B7A-495F-BABC-459E4E9F3480}" name="GUIA_NACIONAL_2022_1106112113116117118" displayName="GUIA_NACIONAL_2022_1106112113116117118" ref="D54:K55" totalsRowShown="0" headerRowDxfId="1195">
  <autoFilter ref="D54:K55" xr:uid="{83E4E05A-4B7A-495F-BABC-459E4E9F34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B8393E9-98BC-400D-B1A2-9CBAFAE4B830}" name="CIE-10" dataCellStyle="20% - Énfasis4"/>
    <tableColumn id="2" xr3:uid="{9A07446F-9AB6-4D7F-9C01-06FBE126FF26}" name="D1" dataDxfId="1194">
      <calculatedColumnFormula>IF($B$2="(Todas)",COUNTIF(BASE[CODCIE10],GUIA_NACIONAL_2022_1106112113116117118[[#This Row],[CIE-10]]),COUNTIFS(BASE[Cod.Establecimiento],$B$2,BASE[CODCIE10],GUIA_NACIONAL_2022_1106112113116117118[[#This Row],[CIE-10]]))</calculatedColumnFormula>
    </tableColumn>
    <tableColumn id="3" xr3:uid="{E030DED6-5C48-424C-AE7B-EF7089F6C8E3}" name="D2" dataDxfId="1193">
      <calculatedColumnFormula>IF($B$2="(Todas)",COUNTIF(BASE[CODCIE102],GUIA_NACIONAL_2022_1106112113116117118[[#This Row],[CIE-10]]),COUNTIFS(BASE[Cod.Establecimiento],$B$2,BASE[CODCIE102],GUIA_NACIONAL_2022_1106112113116117118[[#This Row],[CIE-10]]))</calculatedColumnFormula>
    </tableColumn>
    <tableColumn id="4" xr3:uid="{A21734DE-5758-417F-A3E0-9198B65BE12A}" name="D3" dataDxfId="1192">
      <calculatedColumnFormula>IF($B$2="(Todas)",COUNTIF(BASE[CODCIE104],GUIA_NACIONAL_2022_1106112113116117118[[#This Row],[CIE-10]]),COUNTIFS(BASE[Cod.Establecimiento],$B$2,BASE[CODCIE104],GUIA_NACIONAL_2022_1106112113116117118[[#This Row],[CIE-10]]))</calculatedColumnFormula>
    </tableColumn>
    <tableColumn id="5" xr3:uid="{FD7F7BE5-3F96-4609-BEEE-A3A1EC23DE2D}" name="D4" dataDxfId="1191">
      <calculatedColumnFormula>IF($B$2="(Todas)",COUNTIF(BASE[CODCIE106],GUIA_NACIONAL_2022_1106112113116117118[[#This Row],[CIE-10]]),COUNTIFS(BASE[Cod.Establecimiento],$B$2,BASE[CODCIE106],GUIA_NACIONAL_2022_1106112113116117118[[#This Row],[CIE-10]]))</calculatedColumnFormula>
    </tableColumn>
    <tableColumn id="6" xr3:uid="{69652713-944A-4333-B9D2-AC91CC35F256}" name="D5" dataDxfId="1190">
      <calculatedColumnFormula>IF($B$2="(Todas)",COUNTIF(BASE[CODCIE108],GUIA_NACIONAL_2022_1106112113116117118[[#This Row],[CIE-10]]),COUNTIFS(BASE[Cod.Establecimiento],$B$2,BASE[CODCIE108],GUIA_NACIONAL_2022_1106112113116117118[[#This Row],[CIE-10]]))</calculatedColumnFormula>
    </tableColumn>
    <tableColumn id="7" xr3:uid="{F2C82884-B523-4703-9084-30618AFB51B6}" name="D6" dataDxfId="1189">
      <calculatedColumnFormula>IF($B$2="(Todas)",COUNTIF(BASE[CODCIE1010],GUIA_NACIONAL_2022_1106112113116117118[[#This Row],[CIE-10]]),COUNTIFS(BASE[Cod.Establecimiento],$B$2,BASE[CODCIE1010],GUIA_NACIONAL_2022_1106112113116117118[[#This Row],[CIE-10]]))</calculatedColumnFormula>
    </tableColumn>
    <tableColumn id="8" xr3:uid="{68739282-4F28-4715-A4CE-5F0144B1BF70}" name="TOT" dataDxfId="1188" dataCellStyle="40% - Énfasis6">
      <calculatedColumnFormula>SUM(GUIA_NACIONAL_2022_1106112113116117118[[#This Row],[D1]:[D6]])</calculatedColumnFormula>
    </tableColumn>
  </tableColumns>
  <tableStyleInfo name="TableStyleLight1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48E170B-BE17-4880-A273-C80BFBCDD31E}" name="GUIA_NACIONAL_2022_1106112113116117118119" displayName="GUIA_NACIONAL_2022_1106112113116117118119" ref="D57:K58" totalsRowShown="0" headerRowDxfId="1187">
  <autoFilter ref="D57:K58" xr:uid="{548E170B-BE17-4880-A273-C80BFBCDD3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1400FC7-8FD2-4888-AD9D-5B5F915DC7FC}" name="CIE-10" dataCellStyle="20% - Énfasis4"/>
    <tableColumn id="2" xr3:uid="{C859F080-4938-47D0-9A0C-63FBF85F6FBD}" name="D1" dataDxfId="1186">
      <calculatedColumnFormula>IF($B$2="(Todas)",COUNTIF(BASE[CODCIE10],GUIA_NACIONAL_2022_1106112113116117118119[[#This Row],[CIE-10]]),COUNTIFS(BASE[Cod.Establecimiento],$B$2,BASE[CODCIE10],GUIA_NACIONAL_2022_1106112113116117118119[[#This Row],[CIE-10]]))</calculatedColumnFormula>
    </tableColumn>
    <tableColumn id="3" xr3:uid="{2609E3DB-0B20-4540-9A40-EDBB207F5B1D}" name="D2" dataDxfId="1185">
      <calculatedColumnFormula>IF($B$2="(Todas)",COUNTIF(BASE[CODCIE102],GUIA_NACIONAL_2022_1106112113116117118119[[#This Row],[CIE-10]]),COUNTIFS(BASE[Cod.Establecimiento],$B$2,BASE[CODCIE102],GUIA_NACIONAL_2022_1106112113116117118119[[#This Row],[CIE-10]]))</calculatedColumnFormula>
    </tableColumn>
    <tableColumn id="4" xr3:uid="{CC3B7F12-F4FD-44DA-9E0B-32EFFB53DCAB}" name="D3" dataDxfId="1184">
      <calculatedColumnFormula>IF($B$2="(Todas)",COUNTIF(BASE[CODCIE104],GUIA_NACIONAL_2022_1106112113116117118119[[#This Row],[CIE-10]]),COUNTIFS(BASE[Cod.Establecimiento],$B$2,BASE[CODCIE104],GUIA_NACIONAL_2022_1106112113116117118119[[#This Row],[CIE-10]]))</calculatedColumnFormula>
    </tableColumn>
    <tableColumn id="5" xr3:uid="{B059A627-0874-4FA5-85E6-7B871E857F13}" name="D4" dataDxfId="1183">
      <calculatedColumnFormula>IF($B$2="(Todas)",COUNTIF(BASE[CODCIE106],GUIA_NACIONAL_2022_1106112113116117118119[[#This Row],[CIE-10]]),COUNTIFS(BASE[Cod.Establecimiento],$B$2,BASE[CODCIE106],GUIA_NACIONAL_2022_1106112113116117118119[[#This Row],[CIE-10]]))</calculatedColumnFormula>
    </tableColumn>
    <tableColumn id="6" xr3:uid="{532DF726-8A47-41EC-AB9E-C7E71DD0BCF0}" name="D5" dataDxfId="1182">
      <calculatedColumnFormula>IF($B$2="(Todas)",COUNTIF(BASE[CODCIE108],GUIA_NACIONAL_2022_1106112113116117118119[[#This Row],[CIE-10]]),COUNTIFS(BASE[Cod.Establecimiento],$B$2,BASE[CODCIE108],GUIA_NACIONAL_2022_1106112113116117118119[[#This Row],[CIE-10]]))</calculatedColumnFormula>
    </tableColumn>
    <tableColumn id="7" xr3:uid="{61ED266B-CF18-48F0-9571-1399E3DD34A3}" name="D6" dataDxfId="1181">
      <calculatedColumnFormula>IF($B$2="(Todas)",COUNTIF(BASE[CODCIE1010],GUIA_NACIONAL_2022_1106112113116117118119[[#This Row],[CIE-10]]),COUNTIFS(BASE[Cod.Establecimiento],$B$2,BASE[CODCIE1010],GUIA_NACIONAL_2022_1106112113116117118119[[#This Row],[CIE-10]]))</calculatedColumnFormula>
    </tableColumn>
    <tableColumn id="8" xr3:uid="{29D5C600-1E9D-4EDA-BBCF-B7A7C9593ACE}" name="TOT" dataDxfId="1180" dataCellStyle="40% - Énfasis6">
      <calculatedColumnFormula>SUM(GUIA_NACIONAL_2022_1106112113116117118119[[#This Row],[D1]:[D6]])</calculatedColumnFormula>
    </tableColumn>
  </tableColumns>
  <tableStyleInfo name="TableStyleLight1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1902D996-436F-4E38-8B4D-2A409EF9B82F}" name="GUIA_NACIONAL_2022_1106112113116117118119120" displayName="GUIA_NACIONAL_2022_1106112113116117118119120" ref="D60:K61" totalsRowShown="0" headerRowDxfId="1179">
  <autoFilter ref="D60:K61" xr:uid="{1902D996-436F-4E38-8B4D-2A409EF9B8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35E7A57-9700-4367-8B77-F7AB11568C40}" name="CIE-10" dataCellStyle="20% - Énfasis4"/>
    <tableColumn id="2" xr3:uid="{81D2CB52-3163-4ACF-ABB4-C6AF76743EC9}" name="D1" dataDxfId="1178">
      <calculatedColumnFormula>IF($B$2="(Todas)",COUNTIF(BASE[CODCIE10],GUIA_NACIONAL_2022_1106112113116117118119120[[#This Row],[CIE-10]]),COUNTIFS(BASE[Cod.Establecimiento],$B$2,BASE[CODCIE10],GUIA_NACIONAL_2022_1106112113116117118119120[[#This Row],[CIE-10]]))</calculatedColumnFormula>
    </tableColumn>
    <tableColumn id="3" xr3:uid="{80EE710B-9878-44A8-8C8A-011F7DA8B480}" name="D2" dataDxfId="1177">
      <calculatedColumnFormula>IF($B$2="(Todas)",COUNTIF(BASE[CODCIE102],GUIA_NACIONAL_2022_1106112113116117118119120[[#This Row],[CIE-10]]),COUNTIFS(BASE[Cod.Establecimiento],$B$2,BASE[CODCIE102],GUIA_NACIONAL_2022_1106112113116117118119120[[#This Row],[CIE-10]]))</calculatedColumnFormula>
    </tableColumn>
    <tableColumn id="4" xr3:uid="{67F2AA01-5135-43A5-AC15-A21B1EDC4CCD}" name="D3" dataDxfId="1176">
      <calculatedColumnFormula>IF($B$2="(Todas)",COUNTIF(BASE[CODCIE104],GUIA_NACIONAL_2022_1106112113116117118119120[[#This Row],[CIE-10]]),COUNTIFS(BASE[Cod.Establecimiento],$B$2,BASE[CODCIE104],GUIA_NACIONAL_2022_1106112113116117118119120[[#This Row],[CIE-10]]))</calculatedColumnFormula>
    </tableColumn>
    <tableColumn id="5" xr3:uid="{CAD5E285-CA76-4F6F-8E91-290626005A54}" name="D4" dataDxfId="1175">
      <calculatedColumnFormula>IF($B$2="(Todas)",COUNTIF(BASE[CODCIE106],GUIA_NACIONAL_2022_1106112113116117118119120[[#This Row],[CIE-10]]),COUNTIFS(BASE[Cod.Establecimiento],$B$2,BASE[CODCIE106],GUIA_NACIONAL_2022_1106112113116117118119120[[#This Row],[CIE-10]]))</calculatedColumnFormula>
    </tableColumn>
    <tableColumn id="6" xr3:uid="{3F762EDA-5FC1-412D-996C-05A927493B59}" name="D5" dataDxfId="1174">
      <calculatedColumnFormula>IF($B$2="(Todas)",COUNTIF(BASE[CODCIE108],GUIA_NACIONAL_2022_1106112113116117118119120[[#This Row],[CIE-10]]),COUNTIFS(BASE[Cod.Establecimiento],$B$2,BASE[CODCIE108],GUIA_NACIONAL_2022_1106112113116117118119120[[#This Row],[CIE-10]]))</calculatedColumnFormula>
    </tableColumn>
    <tableColumn id="7" xr3:uid="{8DFB7B62-7C70-4F0A-8A55-C772AF46EFCD}" name="D6" dataDxfId="1173">
      <calculatedColumnFormula>IF($B$2="(Todas)",COUNTIF(BASE[CODCIE1010],GUIA_NACIONAL_2022_1106112113116117118119120[[#This Row],[CIE-10]]),COUNTIFS(BASE[Cod.Establecimiento],$B$2,BASE[CODCIE1010],GUIA_NACIONAL_2022_1106112113116117118119120[[#This Row],[CIE-10]]))</calculatedColumnFormula>
    </tableColumn>
    <tableColumn id="8" xr3:uid="{A7117DF2-80FD-4C0D-8680-2DBC8AFEF12C}" name="TOT" dataDxfId="1172" dataCellStyle="40% - Énfasis6">
      <calculatedColumnFormula>SUM(GUIA_NACIONAL_2022_1106112113116117118119120[[#This Row],[D1]:[D6]])</calculatedColumnFormula>
    </tableColumn>
  </tableColumns>
  <tableStyleInfo name="TableStyleLight1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42125944-C108-4CB4-BAB7-A741D12877F1}" name="GUIA_NACIONAL_2022_1106112113116117118119120121" displayName="GUIA_NACIONAL_2022_1106112113116117118119120121" ref="D63:K64" totalsRowShown="0" headerRowDxfId="1171">
  <autoFilter ref="D63:K64" xr:uid="{42125944-C108-4CB4-BAB7-A741D12877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BAC9A34-9E16-438A-AC5F-B018F5261B58}" name="CIE-10" dataCellStyle="20% - Énfasis4"/>
    <tableColumn id="2" xr3:uid="{06BD88E0-D143-4459-9A03-F66C06E665FD}" name="D1" dataDxfId="1170">
      <calculatedColumnFormula>IF($B$2="(Todas)",COUNTIF(BASE[CODCIE10],GUIA_NACIONAL_2022_1106112113116117118119120121[[#This Row],[CIE-10]]),COUNTIFS(BASE[Cod.Establecimiento],$B$2,BASE[CODCIE10],GUIA_NACIONAL_2022_1106112113116117118119120121[[#This Row],[CIE-10]]))</calculatedColumnFormula>
    </tableColumn>
    <tableColumn id="3" xr3:uid="{C2E01309-B0AC-4B0F-B870-F10F4019A568}" name="D2" dataDxfId="1169">
      <calculatedColumnFormula>IF($B$2="(Todas)",COUNTIF(BASE[CODCIE102],GUIA_NACIONAL_2022_1106112113116117118119120121[[#This Row],[CIE-10]]),COUNTIFS(BASE[Cod.Establecimiento],$B$2,BASE[CODCIE102],GUIA_NACIONAL_2022_1106112113116117118119120121[[#This Row],[CIE-10]]))</calculatedColumnFormula>
    </tableColumn>
    <tableColumn id="4" xr3:uid="{F073AD3D-9C6C-4A4F-B995-F2BDECA65DD1}" name="D3" dataDxfId="1168">
      <calculatedColumnFormula>IF($B$2="(Todas)",COUNTIF(BASE[CODCIE104],GUIA_NACIONAL_2022_1106112113116117118119120121[[#This Row],[CIE-10]]),COUNTIFS(BASE[Cod.Establecimiento],$B$2,BASE[CODCIE104],GUIA_NACIONAL_2022_1106112113116117118119120121[[#This Row],[CIE-10]]))</calculatedColumnFormula>
    </tableColumn>
    <tableColumn id="5" xr3:uid="{648AACCB-00D2-46E5-B37C-965784A59A12}" name="D4" dataDxfId="1167">
      <calculatedColumnFormula>IF($B$2="(Todas)",COUNTIF(BASE[CODCIE106],GUIA_NACIONAL_2022_1106112113116117118119120121[[#This Row],[CIE-10]]),COUNTIFS(BASE[Cod.Establecimiento],$B$2,BASE[CODCIE106],GUIA_NACIONAL_2022_1106112113116117118119120121[[#This Row],[CIE-10]]))</calculatedColumnFormula>
    </tableColumn>
    <tableColumn id="6" xr3:uid="{FA3F7913-8F0E-4735-B79A-49D2582CAB01}" name="D5" dataDxfId="1166">
      <calculatedColumnFormula>IF($B$2="(Todas)",COUNTIF(BASE[CODCIE108],GUIA_NACIONAL_2022_1106112113116117118119120121[[#This Row],[CIE-10]]),COUNTIFS(BASE[Cod.Establecimiento],$B$2,BASE[CODCIE108],GUIA_NACIONAL_2022_1106112113116117118119120121[[#This Row],[CIE-10]]))</calculatedColumnFormula>
    </tableColumn>
    <tableColumn id="7" xr3:uid="{E565E724-ABF9-4B50-8F55-34325AC27777}" name="D6" dataDxfId="1165">
      <calculatedColumnFormula>IF($B$2="(Todas)",COUNTIF(BASE[CODCIE1010],GUIA_NACIONAL_2022_1106112113116117118119120121[[#This Row],[CIE-10]]),COUNTIFS(BASE[Cod.Establecimiento],$B$2,BASE[CODCIE1010],GUIA_NACIONAL_2022_1106112113116117118119120121[[#This Row],[CIE-10]]))</calculatedColumnFormula>
    </tableColumn>
    <tableColumn id="8" xr3:uid="{95FD9480-AE00-4709-A453-6C27B70D58C6}" name="TOT" dataDxfId="1164" dataCellStyle="40% - Énfasis6">
      <calculatedColumnFormula>SUM(GUIA_NACIONAL_2022_1106112113116117118119120121[[#This Row],[D1]:[D6]])</calculatedColumnFormula>
    </tableColumn>
  </tableColumns>
  <tableStyleInfo name="TableStyleLight1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B7143A3-FBD5-4A4E-A6EF-628796D0551A}" name="GUIA_NACIONAL_2022_1106112113116117118119120121122" displayName="GUIA_NACIONAL_2022_1106112113116117118119120121122" ref="D66:K67" totalsRowShown="0" headerRowDxfId="1163">
  <autoFilter ref="D66:K67" xr:uid="{8B7143A3-FBD5-4A4E-A6EF-628796D055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405A51D-60CB-4771-BAC1-AF7E50E79CD7}" name="CIE-10" dataCellStyle="20% - Énfasis4"/>
    <tableColumn id="2" xr3:uid="{CB9CE276-8E7F-42C4-B634-BC3BE262953E}" name="D1" dataDxfId="1162">
      <calculatedColumnFormula>IF($B$2="(Todas)",COUNTIF(BASE[CODCIE10],GUIA_NACIONAL_2022_1106112113116117118119120121122[[#This Row],[CIE-10]]),COUNTIFS(BASE[Cod.Establecimiento],$B$2,BASE[CODCIE10],GUIA_NACIONAL_2022_1106112113116117118119120121122[[#This Row],[CIE-10]]))</calculatedColumnFormula>
    </tableColumn>
    <tableColumn id="3" xr3:uid="{267D65AF-6E45-4F23-B7A3-DC5F7BEE4C92}" name="D2" dataDxfId="1161">
      <calculatedColumnFormula>IF($B$2="(Todas)",COUNTIF(BASE[CODCIE102],GUIA_NACIONAL_2022_1106112113116117118119120121122[[#This Row],[CIE-10]]),COUNTIFS(BASE[Cod.Establecimiento],$B$2,BASE[CODCIE102],GUIA_NACIONAL_2022_1106112113116117118119120121122[[#This Row],[CIE-10]]))</calculatedColumnFormula>
    </tableColumn>
    <tableColumn id="4" xr3:uid="{1AD6BE36-59D5-48DF-8D24-A5D830C69182}" name="D3" dataDxfId="1160">
      <calculatedColumnFormula>IF($B$2="(Todas)",COUNTIF(BASE[CODCIE104],GUIA_NACIONAL_2022_1106112113116117118119120121122[[#This Row],[CIE-10]]),COUNTIFS(BASE[Cod.Establecimiento],$B$2,BASE[CODCIE104],GUIA_NACIONAL_2022_1106112113116117118119120121122[[#This Row],[CIE-10]]))</calculatedColumnFormula>
    </tableColumn>
    <tableColumn id="5" xr3:uid="{81F9D151-B26B-43A8-BFF0-9552AC71AA17}" name="D4" dataDxfId="1159">
      <calculatedColumnFormula>IF($B$2="(Todas)",COUNTIF(BASE[CODCIE106],GUIA_NACIONAL_2022_1106112113116117118119120121122[[#This Row],[CIE-10]]),COUNTIFS(BASE[Cod.Establecimiento],$B$2,BASE[CODCIE106],GUIA_NACIONAL_2022_1106112113116117118119120121122[[#This Row],[CIE-10]]))</calculatedColumnFormula>
    </tableColumn>
    <tableColumn id="6" xr3:uid="{2BE57979-A54E-49C9-A93D-16112D84A9D6}" name="D5" dataDxfId="1158">
      <calculatedColumnFormula>IF($B$2="(Todas)",COUNTIF(BASE[CODCIE108],GUIA_NACIONAL_2022_1106112113116117118119120121122[[#This Row],[CIE-10]]),COUNTIFS(BASE[Cod.Establecimiento],$B$2,BASE[CODCIE108],GUIA_NACIONAL_2022_1106112113116117118119120121122[[#This Row],[CIE-10]]))</calculatedColumnFormula>
    </tableColumn>
    <tableColumn id="7" xr3:uid="{E2EE8011-1A73-48EA-8DAA-915559335F00}" name="D6" dataDxfId="1157">
      <calculatedColumnFormula>IF($B$2="(Todas)",COUNTIF(BASE[CODCIE1010],GUIA_NACIONAL_2022_1106112113116117118119120121122[[#This Row],[CIE-10]]),COUNTIFS(BASE[Cod.Establecimiento],$B$2,BASE[CODCIE1010],GUIA_NACIONAL_2022_1106112113116117118119120121122[[#This Row],[CIE-10]]))</calculatedColumnFormula>
    </tableColumn>
    <tableColumn id="8" xr3:uid="{55A571C6-8BA5-4298-806A-E1433DFA138D}" name="TOT" dataDxfId="1156" dataCellStyle="40% - Énfasis6">
      <calculatedColumnFormula>SUM(GUIA_NACIONAL_2022_1106112113116117118119120121122[[#This Row],[D1]:[D6]])</calculatedColumnFormula>
    </tableColumn>
  </tableColumns>
  <tableStyleInfo name="TableStyleLight1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529BC2C1-6B3D-42E4-8E4C-C2879997B9A2}" name="GUIA_NACIONAL_2022_1106112113116117118119120121122123" displayName="GUIA_NACIONAL_2022_1106112113116117118119120121122123" ref="D69:K70" totalsRowShown="0" headerRowDxfId="1155">
  <autoFilter ref="D69:K70" xr:uid="{529BC2C1-6B3D-42E4-8E4C-C2879997B9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F1D862-8E62-4DEC-9C2A-9C3D5E004BC8}" name="CIE-10" dataCellStyle="20% - Énfasis4"/>
    <tableColumn id="2" xr3:uid="{C00FC888-15B5-4A46-A55A-D79FE29A17E5}" name="D1" dataDxfId="1154">
      <calculatedColumnFormula>IF($B$2="(Todas)",COUNTIF(BASE[CODCIE10],GUIA_NACIONAL_2022_1106112113116117118119120121122123[[#This Row],[CIE-10]]),COUNTIFS(BASE[Cod.Establecimiento],$B$2,BASE[CODCIE10],GUIA_NACIONAL_2022_1106112113116117118119120121122123[[#This Row],[CIE-10]]))</calculatedColumnFormula>
    </tableColumn>
    <tableColumn id="3" xr3:uid="{CED72D02-D434-4EC3-AF07-AF3F271C93F9}" name="D2" dataDxfId="1153">
      <calculatedColumnFormula>IF($B$2="(Todas)",COUNTIF(BASE[CODCIE102],GUIA_NACIONAL_2022_1106112113116117118119120121122123[[#This Row],[CIE-10]]),COUNTIFS(BASE[Cod.Establecimiento],$B$2,BASE[CODCIE102],GUIA_NACIONAL_2022_1106112113116117118119120121122123[[#This Row],[CIE-10]]))</calculatedColumnFormula>
    </tableColumn>
    <tableColumn id="4" xr3:uid="{13CC3B07-D30B-41DC-89AB-4F896064E44D}" name="D3" dataDxfId="1152">
      <calculatedColumnFormula>IF($B$2="(Todas)",COUNTIF(BASE[CODCIE104],GUIA_NACIONAL_2022_1106112113116117118119120121122123[[#This Row],[CIE-10]]),COUNTIFS(BASE[Cod.Establecimiento],$B$2,BASE[CODCIE104],GUIA_NACIONAL_2022_1106112113116117118119120121122123[[#This Row],[CIE-10]]))</calculatedColumnFormula>
    </tableColumn>
    <tableColumn id="5" xr3:uid="{E3723A55-0A9A-4BA6-87F6-A548B5C07DB8}" name="D4" dataDxfId="1151">
      <calculatedColumnFormula>IF($B$2="(Todas)",COUNTIF(BASE[CODCIE106],GUIA_NACIONAL_2022_1106112113116117118119120121122123[[#This Row],[CIE-10]]),COUNTIFS(BASE[Cod.Establecimiento],$B$2,BASE[CODCIE106],GUIA_NACIONAL_2022_1106112113116117118119120121122123[[#This Row],[CIE-10]]))</calculatedColumnFormula>
    </tableColumn>
    <tableColumn id="6" xr3:uid="{E187AEB9-B623-4C56-A243-BD9A47DE6789}" name="D5" dataDxfId="1150">
      <calculatedColumnFormula>IF($B$2="(Todas)",COUNTIF(BASE[CODCIE108],GUIA_NACIONAL_2022_1106112113116117118119120121122123[[#This Row],[CIE-10]]),COUNTIFS(BASE[Cod.Establecimiento],$B$2,BASE[CODCIE108],GUIA_NACIONAL_2022_1106112113116117118119120121122123[[#This Row],[CIE-10]]))</calculatedColumnFormula>
    </tableColumn>
    <tableColumn id="7" xr3:uid="{6D81D699-98E4-4761-B398-1C976CC2805A}" name="D6" dataDxfId="1149">
      <calculatedColumnFormula>IF($B$2="(Todas)",COUNTIF(BASE[CODCIE1010],GUIA_NACIONAL_2022_1106112113116117118119120121122123[[#This Row],[CIE-10]]),COUNTIFS(BASE[Cod.Establecimiento],$B$2,BASE[CODCIE1010],GUIA_NACIONAL_2022_1106112113116117118119120121122123[[#This Row],[CIE-10]]))</calculatedColumnFormula>
    </tableColumn>
    <tableColumn id="8" xr3:uid="{4755CE8D-5E57-4E9E-83B9-FB80C3A3FC01}" name="TOT" dataDxfId="1148" dataCellStyle="40% - Énfasis6">
      <calculatedColumnFormula>SUM(GUIA_NACIONAL_2022_1106112113116117118119120121122123[[#This Row],[D1]:[D6]])</calculatedColumnFormula>
    </tableColumn>
  </tableColumns>
  <tableStyleInfo name="TableStyleLight1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3F284FA1-2256-4F14-BD3C-479BC3D97DF1}" name="GUIA_NACIONAL_2022_1106112113116117118119120121122123124" displayName="GUIA_NACIONAL_2022_1106112113116117118119120121122123124" ref="D72:K73" totalsRowShown="0" headerRowDxfId="1147">
  <autoFilter ref="D72:K73" xr:uid="{3F284FA1-2256-4F14-BD3C-479BC3D97DF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298275-971A-460A-8A13-0F738FFAC28A}" name="CIE-10" dataCellStyle="20% - Énfasis4"/>
    <tableColumn id="2" xr3:uid="{103BC5D0-203C-456A-A312-987851045F2E}" name="D1" dataDxfId="1146">
      <calculatedColumnFormula>IF($B$2="(Todas)",COUNTIF(BASE[CODCIE10],GUIA_NACIONAL_2022_1106112113116117118119120121122123124[[#This Row],[CIE-10]]),COUNTIFS(BASE[Cod.Establecimiento],$B$2,BASE[CODCIE10],GUIA_NACIONAL_2022_1106112113116117118119120121122123124[[#This Row],[CIE-10]]))</calculatedColumnFormula>
    </tableColumn>
    <tableColumn id="3" xr3:uid="{95D2BB07-4CB8-4AD7-82F1-BC73079637E9}" name="D2" dataDxfId="1145">
      <calculatedColumnFormula>IF($B$2="(Todas)",COUNTIF(BASE[CODCIE102],GUIA_NACIONAL_2022_1106112113116117118119120121122123124[[#This Row],[CIE-10]]),COUNTIFS(BASE[Cod.Establecimiento],$B$2,BASE[CODCIE102],GUIA_NACIONAL_2022_1106112113116117118119120121122123124[[#This Row],[CIE-10]]))</calculatedColumnFormula>
    </tableColumn>
    <tableColumn id="4" xr3:uid="{92733285-2B4D-40E8-9A98-CBB8249D6309}" name="D3" dataDxfId="1144">
      <calculatedColumnFormula>IF($B$2="(Todas)",COUNTIF(BASE[CODCIE104],GUIA_NACIONAL_2022_1106112113116117118119120121122123124[[#This Row],[CIE-10]]),COUNTIFS(BASE[Cod.Establecimiento],$B$2,BASE[CODCIE104],GUIA_NACIONAL_2022_1106112113116117118119120121122123124[[#This Row],[CIE-10]]))</calculatedColumnFormula>
    </tableColumn>
    <tableColumn id="5" xr3:uid="{501740B8-38C9-40D8-A7C5-154E53EC7C8F}" name="D4" dataDxfId="1143">
      <calculatedColumnFormula>IF($B$2="(Todas)",COUNTIF(BASE[CODCIE106],GUIA_NACIONAL_2022_1106112113116117118119120121122123124[[#This Row],[CIE-10]]),COUNTIFS(BASE[Cod.Establecimiento],$B$2,BASE[CODCIE106],GUIA_NACIONAL_2022_1106112113116117118119120121122123124[[#This Row],[CIE-10]]))</calculatedColumnFormula>
    </tableColumn>
    <tableColumn id="6" xr3:uid="{DA34B1F3-738F-41E8-A450-5C70044C41AB}" name="D5" dataDxfId="1142">
      <calculatedColumnFormula>IF($B$2="(Todas)",COUNTIF(BASE[CODCIE108],GUIA_NACIONAL_2022_1106112113116117118119120121122123124[[#This Row],[CIE-10]]),COUNTIFS(BASE[Cod.Establecimiento],$B$2,BASE[CODCIE108],GUIA_NACIONAL_2022_1106112113116117118119120121122123124[[#This Row],[CIE-10]]))</calculatedColumnFormula>
    </tableColumn>
    <tableColumn id="7" xr3:uid="{90DA5F46-7E12-4733-B7EA-C4B4C1CC64AD}" name="D6" dataDxfId="1141">
      <calculatedColumnFormula>IF($B$2="(Todas)",COUNTIF(BASE[CODCIE1010],GUIA_NACIONAL_2022_1106112113116117118119120121122123124[[#This Row],[CIE-10]]),COUNTIFS(BASE[Cod.Establecimiento],$B$2,BASE[CODCIE1010],GUIA_NACIONAL_2022_1106112113116117118119120121122123124[[#This Row],[CIE-10]]))</calculatedColumnFormula>
    </tableColumn>
    <tableColumn id="8" xr3:uid="{7ED0BE9E-6525-49E1-881C-CCAADC1F26B8}" name="TOT" dataDxfId="1140" dataCellStyle="40% - Énfasis6">
      <calculatedColumnFormula>SUM(GUIA_NACIONAL_2022_1106112113116117118119120121122123124[[#This Row],[D1]:[D6]])</calculatedColumnFormula>
    </tableColumn>
  </tableColumns>
  <tableStyleInfo name="TableStyleLight1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478197EE-AF7B-438F-BBC5-50669223F0AD}" name="GUIA_NACIONAL_2022_1106112113116117118119120121122123124125" displayName="GUIA_NACIONAL_2022_1106112113116117118119120121122123124125" ref="D75:K76" totalsRowShown="0" headerRowDxfId="1139">
  <autoFilter ref="D75:K76" xr:uid="{478197EE-AF7B-438F-BBC5-50669223F0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1772198-9119-4CA5-A68C-9F92D7CFC033}" name="CIE-10" dataCellStyle="20% - Énfasis4"/>
    <tableColumn id="2" xr3:uid="{242FEA7C-FA2B-4A0A-A2D4-2515325513C9}" name="D1" dataDxfId="1138">
      <calculatedColumnFormula>IF($B$2="(Todas)",COUNTIF(BASE[CODCIE10],GUIA_NACIONAL_2022_1106112113116117118119120121122123124125[[#This Row],[CIE-10]]),COUNTIFS(BASE[Cod.Establecimiento],$B$2,BASE[CODCIE10],GUIA_NACIONAL_2022_1106112113116117118119120121122123124125[[#This Row],[CIE-10]]))</calculatedColumnFormula>
    </tableColumn>
    <tableColumn id="3" xr3:uid="{9F50AD87-5D11-4D6D-BF65-CAF5FC950EC4}" name="D2" dataDxfId="1137">
      <calculatedColumnFormula>IF($B$2="(Todas)",COUNTIF(BASE[CODCIE102],GUIA_NACIONAL_2022_1106112113116117118119120121122123124125[[#This Row],[CIE-10]]),COUNTIFS(BASE[Cod.Establecimiento],$B$2,BASE[CODCIE102],GUIA_NACIONAL_2022_1106112113116117118119120121122123124125[[#This Row],[CIE-10]]))</calculatedColumnFormula>
    </tableColumn>
    <tableColumn id="4" xr3:uid="{02C2C34B-5E90-4542-9D3E-CB4FF79C88D7}" name="D3" dataDxfId="1136">
      <calculatedColumnFormula>IF($B$2="(Todas)",COUNTIF(BASE[CODCIE104],GUIA_NACIONAL_2022_1106112113116117118119120121122123124125[[#This Row],[CIE-10]]),COUNTIFS(BASE[Cod.Establecimiento],$B$2,BASE[CODCIE104],GUIA_NACIONAL_2022_1106112113116117118119120121122123124125[[#This Row],[CIE-10]]))</calculatedColumnFormula>
    </tableColumn>
    <tableColumn id="5" xr3:uid="{47D8A47E-7D79-4218-B51E-EF9AD9A75F72}" name="D4" dataDxfId="1135">
      <calculatedColumnFormula>IF($B$2="(Todas)",COUNTIF(BASE[CODCIE106],GUIA_NACIONAL_2022_1106112113116117118119120121122123124125[[#This Row],[CIE-10]]),COUNTIFS(BASE[Cod.Establecimiento],$B$2,BASE[CODCIE106],GUIA_NACIONAL_2022_1106112113116117118119120121122123124125[[#This Row],[CIE-10]]))</calculatedColumnFormula>
    </tableColumn>
    <tableColumn id="6" xr3:uid="{383DCF2D-6988-4322-8919-6793DE2AE682}" name="D5" dataDxfId="1134">
      <calculatedColumnFormula>IF($B$2="(Todas)",COUNTIF(BASE[CODCIE108],GUIA_NACIONAL_2022_1106112113116117118119120121122123124125[[#This Row],[CIE-10]]),COUNTIFS(BASE[Cod.Establecimiento],$B$2,BASE[CODCIE108],GUIA_NACIONAL_2022_1106112113116117118119120121122123124125[[#This Row],[CIE-10]]))</calculatedColumnFormula>
    </tableColumn>
    <tableColumn id="7" xr3:uid="{9C06448F-9A32-4CF2-AD70-5B5BBB2BA697}" name="D6" dataDxfId="1133">
      <calculatedColumnFormula>IF($B$2="(Todas)",COUNTIF(BASE[CODCIE1010],GUIA_NACIONAL_2022_1106112113116117118119120121122123124125[[#This Row],[CIE-10]]),COUNTIFS(BASE[Cod.Establecimiento],$B$2,BASE[CODCIE1010],GUIA_NACIONAL_2022_1106112113116117118119120121122123124125[[#This Row],[CIE-10]]))</calculatedColumnFormula>
    </tableColumn>
    <tableColumn id="8" xr3:uid="{C50E990D-4432-4015-A5B7-42E4A406E381}" name="TOT" dataDxfId="1132" dataCellStyle="40% - Énfasis6">
      <calculatedColumnFormula>SUM(GUIA_NACIONAL_2022_1106112113116117118119120121122123124125[[#This Row],[D1]:[D6]])</calculatedColumnFormula>
    </tableColumn>
  </tableColumns>
  <tableStyleInfo name="TableStyleLight1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8344A223-7B03-4962-8993-7513D0241C09}" name="GUIA_NACIONAL_2022_1106112113116117118119120121122123124125126" displayName="GUIA_NACIONAL_2022_1106112113116117118119120121122123124125126" ref="D78:K79" totalsRowShown="0" headerRowDxfId="1131">
  <autoFilter ref="D78:K79" xr:uid="{8344A223-7B03-4962-8993-7513D0241C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F2DB46-9DB7-495D-B051-6749482C30E5}" name="CIE-10" dataCellStyle="20% - Énfasis4"/>
    <tableColumn id="2" xr3:uid="{28ED0041-2571-4A22-8EA5-DC448CB254F1}" name="D1" dataDxfId="1130">
      <calculatedColumnFormula>IF($B$2="(Todas)",COUNTIF(BASE[CODCIE10],GUIA_NACIONAL_2022_1106112113116117118119120121122123124125126[[#This Row],[CIE-10]]),COUNTIFS(BASE[Cod.Establecimiento],$B$2,BASE[CODCIE10],GUIA_NACIONAL_2022_1106112113116117118119120121122123124125126[[#This Row],[CIE-10]]))</calculatedColumnFormula>
    </tableColumn>
    <tableColumn id="3" xr3:uid="{F928A0C7-7B7E-4301-965E-E602AEC46C62}" name="D2" dataDxfId="1129">
      <calculatedColumnFormula>IF($B$2="(Todas)",COUNTIF(BASE[CODCIE102],GUIA_NACIONAL_2022_1106112113116117118119120121122123124125126[[#This Row],[CIE-10]]),COUNTIFS(BASE[Cod.Establecimiento],$B$2,BASE[CODCIE102],GUIA_NACIONAL_2022_1106112113116117118119120121122123124125126[[#This Row],[CIE-10]]))</calculatedColumnFormula>
    </tableColumn>
    <tableColumn id="4" xr3:uid="{52A68832-6C57-4B13-AF8E-B2542150C1A9}" name="D3" dataDxfId="1128">
      <calculatedColumnFormula>IF($B$2="(Todas)",COUNTIF(BASE[CODCIE104],GUIA_NACIONAL_2022_1106112113116117118119120121122123124125126[[#This Row],[CIE-10]]),COUNTIFS(BASE[Cod.Establecimiento],$B$2,BASE[CODCIE104],GUIA_NACIONAL_2022_1106112113116117118119120121122123124125126[[#This Row],[CIE-10]]))</calculatedColumnFormula>
    </tableColumn>
    <tableColumn id="5" xr3:uid="{FCC7291B-E741-42EE-B139-2C2C855B010A}" name="D4" dataDxfId="1127">
      <calculatedColumnFormula>IF($B$2="(Todas)",COUNTIF(BASE[CODCIE106],GUIA_NACIONAL_2022_1106112113116117118119120121122123124125126[[#This Row],[CIE-10]]),COUNTIFS(BASE[Cod.Establecimiento],$B$2,BASE[CODCIE106],GUIA_NACIONAL_2022_1106112113116117118119120121122123124125126[[#This Row],[CIE-10]]))</calculatedColumnFormula>
    </tableColumn>
    <tableColumn id="6" xr3:uid="{0C5A058A-4967-4B87-9339-47103B44302F}" name="D5" dataDxfId="1126">
      <calculatedColumnFormula>IF($B$2="(Todas)",COUNTIF(BASE[CODCIE108],GUIA_NACIONAL_2022_1106112113116117118119120121122123124125126[[#This Row],[CIE-10]]),COUNTIFS(BASE[Cod.Establecimiento],$B$2,BASE[CODCIE108],GUIA_NACIONAL_2022_1106112113116117118119120121122123124125126[[#This Row],[CIE-10]]))</calculatedColumnFormula>
    </tableColumn>
    <tableColumn id="7" xr3:uid="{8C454EFA-D621-4E40-8C52-BAD5165E86A2}" name="D6" dataDxfId="1125">
      <calculatedColumnFormula>IF($B$2="(Todas)",COUNTIF(BASE[CODCIE1010],GUIA_NACIONAL_2022_1106112113116117118119120121122123124125126[[#This Row],[CIE-10]]),COUNTIFS(BASE[Cod.Establecimiento],$B$2,BASE[CODCIE1010],GUIA_NACIONAL_2022_1106112113116117118119120121122123124125126[[#This Row],[CIE-10]]))</calculatedColumnFormula>
    </tableColumn>
    <tableColumn id="8" xr3:uid="{FB8C0505-A3E1-4578-9D07-4D999E45B3A5}" name="TOT" dataDxfId="1124" dataCellStyle="40% - Énfasis6">
      <calculatedColumnFormula>SUM(GUIA_NACIONAL_2022_1106112113116117118119120121122123124125126[[#This Row],[D1]:[D6]])</calculatedColumnFormula>
    </tableColumn>
  </tableColumns>
  <tableStyleInfo name="TableStyleLight1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A88707FD-6E4C-49D8-B801-27AD03E31F92}" name="GUIA_NACIONAL_2022_1106127" displayName="GUIA_NACIONAL_2022_1106127" ref="M8:T10" totalsRowShown="0" headerRowDxfId="1123">
  <autoFilter ref="M8:T10" xr:uid="{A88707FD-6E4C-49D8-B801-27AD03E31F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60741B8-2F02-415A-97B2-93B27909C8B0}" name="CIE-10" dataCellStyle="20% - Énfasis4"/>
    <tableColumn id="2" xr3:uid="{A3DE5F73-3B57-448C-B8C3-C5FC4B9CBDB3}" name="D1" dataDxfId="1122">
      <calculatedColumnFormula>IF($B$2="(Todas)",COUNTIF(BASE[CODCIE10],GUIA_NACIONAL_2022_1106127[[#This Row],[CIE-10]]),COUNTIFS(BASE[Cod.Establecimiento],$B$2,BASE[CODCIE10],GUIA_NACIONAL_2022_1106127[[#This Row],[CIE-10]]))</calculatedColumnFormula>
    </tableColumn>
    <tableColumn id="3" xr3:uid="{DA4A1784-D5DE-4943-A829-2DA5504A9B51}" name="D2" dataDxfId="1121">
      <calculatedColumnFormula>IF($B$2="(Todas)",COUNTIF(BASE[CODCIE102],GUIA_NACIONAL_2022_1106127[[#This Row],[CIE-10]]),COUNTIFS(BASE[Cod.Establecimiento],$B$2,BASE[CODCIE102],GUIA_NACIONAL_2022_1106127[[#This Row],[CIE-10]]))</calculatedColumnFormula>
    </tableColumn>
    <tableColumn id="4" xr3:uid="{F2BCE698-E660-4937-8783-908BC801A925}" name="D3" dataDxfId="1120">
      <calculatedColumnFormula>IF($B$2="(Todas)",COUNTIF(BASE[CODCIE104],GUIA_NACIONAL_2022_1106127[[#This Row],[CIE-10]]),COUNTIFS(BASE[Cod.Establecimiento],$B$2,BASE[CODCIE104],GUIA_NACIONAL_2022_1106127[[#This Row],[CIE-10]]))</calculatedColumnFormula>
    </tableColumn>
    <tableColumn id="5" xr3:uid="{6AF21485-487E-4642-9F04-0E786010E108}" name="D4" dataDxfId="1119">
      <calculatedColumnFormula>IF($B$2="(Todas)",COUNTIF(BASE[CODCIE106],GUIA_NACIONAL_2022_1106127[[#This Row],[CIE-10]]),COUNTIFS(BASE[Cod.Establecimiento],$B$2,BASE[CODCIE106],GUIA_NACIONAL_2022_1106127[[#This Row],[CIE-10]]))</calculatedColumnFormula>
    </tableColumn>
    <tableColumn id="6" xr3:uid="{19A18CB8-21AC-43DF-BA78-1DE4D1F30735}" name="D5" dataDxfId="1118">
      <calculatedColumnFormula>IF($B$2="(Todas)",COUNTIF(BASE[CODCIE108],GUIA_NACIONAL_2022_1106127[[#This Row],[CIE-10]]),COUNTIFS(BASE[Cod.Establecimiento],$B$2,BASE[CODCIE108],GUIA_NACIONAL_2022_1106127[[#This Row],[CIE-10]]))</calculatedColumnFormula>
    </tableColumn>
    <tableColumn id="7" xr3:uid="{D5338236-97FC-408D-ACB2-B58EFED02CDA}" name="D6" dataDxfId="1117">
      <calculatedColumnFormula>IF($B$2="(Todas)",COUNTIF(BASE[CODCIE1010],GUIA_NACIONAL_2022_1106127[[#This Row],[CIE-10]]),COUNTIFS(BASE[Cod.Establecimiento],$B$2,BASE[CODCIE1010],GUIA_NACIONAL_2022_1106127[[#This Row],[CIE-10]]))</calculatedColumnFormula>
    </tableColumn>
    <tableColumn id="8" xr3:uid="{F2BD8CF5-E29C-4759-BD82-1145CDB945DF}" name="TOT" dataDxfId="1116" dataCellStyle="40% - Énfasis6">
      <calculatedColumnFormula>SUM(GUIA_NACIONAL_2022_1106127[[#This Row],[D1]:[D6]])</calculatedColumnFormula>
    </tableColumn>
  </tableColumns>
  <tableStyleInfo name="TableStyleLight1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32532C6A-1E20-4931-8921-56B2726AB351}" name="GUIA_NACIONAL_2022_1106128" displayName="GUIA_NACIONAL_2022_1106128" ref="V4:AC5" totalsRowShown="0" headerRowDxfId="1115">
  <autoFilter ref="V4:AC5" xr:uid="{32532C6A-1E20-4931-8921-56B2726AB3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ECE2364-599F-4C38-805C-6D531CF4D2D7}" name="CIE-10" dataCellStyle="20% - Énfasis4"/>
    <tableColumn id="2" xr3:uid="{14AD9032-EC33-47DB-9256-85857E6AA48A}" name="D1" dataDxfId="1114">
      <calculatedColumnFormula>IF($B$2="(Todas)",COUNTIF(BASE[CODCIE10],GUIA_NACIONAL_2022_1106128[[#This Row],[CIE-10]]),COUNTIFS(BASE[Cod.Establecimiento],$B$2,BASE[CODCIE10],GUIA_NACIONAL_2022_1106128[[#This Row],[CIE-10]]))</calculatedColumnFormula>
    </tableColumn>
    <tableColumn id="3" xr3:uid="{E4A346D6-A319-4B46-9B13-BC363022B1EF}" name="D2" dataDxfId="1113">
      <calculatedColumnFormula>IF($B$2="(Todas)",COUNTIF(BASE[CODCIE102],GUIA_NACIONAL_2022_1106128[[#This Row],[CIE-10]]),COUNTIFS(BASE[Cod.Establecimiento],$B$2,BASE[CODCIE102],GUIA_NACIONAL_2022_1106128[[#This Row],[CIE-10]]))</calculatedColumnFormula>
    </tableColumn>
    <tableColumn id="4" xr3:uid="{CD353A31-1348-4CA3-B1F5-610DEFF393E0}" name="D3" dataDxfId="1112">
      <calculatedColumnFormula>IF($B$2="(Todas)",COUNTIF(BASE[CODCIE104],GUIA_NACIONAL_2022_1106128[[#This Row],[CIE-10]]),COUNTIFS(BASE[Cod.Establecimiento],$B$2,BASE[CODCIE104],GUIA_NACIONAL_2022_1106128[[#This Row],[CIE-10]]))</calculatedColumnFormula>
    </tableColumn>
    <tableColumn id="5" xr3:uid="{687E47E6-0F58-4705-9141-1F96F4FCBDB3}" name="D4" dataDxfId="1111">
      <calculatedColumnFormula>IF($B$2="(Todas)",COUNTIF(BASE[CODCIE106],GUIA_NACIONAL_2022_1106128[[#This Row],[CIE-10]]),COUNTIFS(BASE[Cod.Establecimiento],$B$2,BASE[CODCIE106],GUIA_NACIONAL_2022_1106128[[#This Row],[CIE-10]]))</calculatedColumnFormula>
    </tableColumn>
    <tableColumn id="6" xr3:uid="{191FB1F0-EC6F-454A-8315-A30924DD6C31}" name="D5" dataDxfId="1110">
      <calculatedColumnFormula>IF($B$2="(Todas)",COUNTIF(BASE[CODCIE108],GUIA_NACIONAL_2022_1106128[[#This Row],[CIE-10]]),COUNTIFS(BASE[Cod.Establecimiento],$B$2,BASE[CODCIE108],GUIA_NACIONAL_2022_1106128[[#This Row],[CIE-10]]))</calculatedColumnFormula>
    </tableColumn>
    <tableColumn id="7" xr3:uid="{E9FF408B-BA2B-459A-8EBA-2201844F7ED5}" name="D6" dataDxfId="1109">
      <calculatedColumnFormula>IF($B$2="(Todas)",COUNTIF(BASE[CODCIE1010],GUIA_NACIONAL_2022_1106128[[#This Row],[CIE-10]]),COUNTIFS(BASE[Cod.Establecimiento],$B$2,BASE[CODCIE1010],GUIA_NACIONAL_2022_1106128[[#This Row],[CIE-10]]))</calculatedColumnFormula>
    </tableColumn>
    <tableColumn id="8" xr3:uid="{9AC44597-34A1-4B1D-B0A1-61766E888ACB}" name="TOT" dataDxfId="1108" dataCellStyle="40% - Énfasis6">
      <calculatedColumnFormula>SUM(GUIA_NACIONAL_2022_1106128[[#This Row],[D1]:[D6]])</calculatedColumnFormula>
    </tableColumn>
  </tableColumns>
  <tableStyleInfo name="TableStyleLight1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191793C2-73D4-4E6D-8FDF-27212AA807C6}" name="GUIA_NACIONAL_2022_1106128105" displayName="GUIA_NACIONAL_2022_1106128105" ref="AE4:AL5" totalsRowShown="0" headerRowDxfId="1107">
  <autoFilter ref="AE4:AL5" xr:uid="{191793C2-73D4-4E6D-8FDF-27212AA807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B77DC2E-7C47-4697-A961-4AE6B8FD48FF}" name="CIE-10" dataCellStyle="20% - Énfasis4"/>
    <tableColumn id="2" xr3:uid="{E4ABC639-217D-44CF-97ED-DBE36FC8A71B}" name="D1" dataDxfId="1106">
      <calculatedColumnFormula>IF($B$2="(Todas)",COUNTIF(BASE[CODCIE10],GUIA_NACIONAL_2022_1106128105[[#This Row],[CIE-10]]),COUNTIFS(BASE[Cod.Establecimiento],$B$2,BASE[CODCIE10],GUIA_NACIONAL_2022_1106128105[[#This Row],[CIE-10]]))</calculatedColumnFormula>
    </tableColumn>
    <tableColumn id="3" xr3:uid="{8FF1F526-229E-4371-855A-28FF1F81C7B4}" name="D2" dataDxfId="1105">
      <calculatedColumnFormula>IF($B$2="(Todas)",COUNTIF(BASE[CODCIE102],GUIA_NACIONAL_2022_1106128105[[#This Row],[CIE-10]]),COUNTIFS(BASE[Cod.Establecimiento],$B$2,BASE[CODCIE102],GUIA_NACIONAL_2022_1106128105[[#This Row],[CIE-10]]))</calculatedColumnFormula>
    </tableColumn>
    <tableColumn id="4" xr3:uid="{C9FCCE67-A339-402C-AAF0-DDF5816C77AE}" name="D3" dataDxfId="1104">
      <calculatedColumnFormula>IF($B$2="(Todas)",COUNTIF(BASE[CODCIE104],GUIA_NACIONAL_2022_1106128105[[#This Row],[CIE-10]]),COUNTIFS(BASE[Cod.Establecimiento],$B$2,BASE[CODCIE104],GUIA_NACIONAL_2022_1106128105[[#This Row],[CIE-10]]))</calculatedColumnFormula>
    </tableColumn>
    <tableColumn id="5" xr3:uid="{C2BC5A46-D5AF-4951-8210-3C5B4EF3368A}" name="D4" dataDxfId="1103">
      <calculatedColumnFormula>IF($B$2="(Todas)",COUNTIF(BASE[CODCIE106],GUIA_NACIONAL_2022_1106128105[[#This Row],[CIE-10]]),COUNTIFS(BASE[Cod.Establecimiento],$B$2,BASE[CODCIE106],GUIA_NACIONAL_2022_1106128105[[#This Row],[CIE-10]]))</calculatedColumnFormula>
    </tableColumn>
    <tableColumn id="6" xr3:uid="{C5567C1D-85C1-423A-AAEF-97836A1367E9}" name="D5" dataDxfId="1102">
      <calculatedColumnFormula>IF($B$2="(Todas)",COUNTIF(BASE[CODCIE108],GUIA_NACIONAL_2022_1106128105[[#This Row],[CIE-10]]),COUNTIFS(BASE[Cod.Establecimiento],$B$2,BASE[CODCIE108],GUIA_NACIONAL_2022_1106128105[[#This Row],[CIE-10]]))</calculatedColumnFormula>
    </tableColumn>
    <tableColumn id="7" xr3:uid="{6CA9E4F6-BE25-4BFE-9C82-C2D70EE8A35E}" name="D6" dataDxfId="1101">
      <calculatedColumnFormula>IF($B$2="(Todas)",COUNTIF(BASE[CODCIE1010],GUIA_NACIONAL_2022_1106128105[[#This Row],[CIE-10]]),COUNTIFS(BASE[Cod.Establecimiento],$B$2,BASE[CODCIE1010],GUIA_NACIONAL_2022_1106128105[[#This Row],[CIE-10]]))</calculatedColumnFormula>
    </tableColumn>
    <tableColumn id="8" xr3:uid="{43276A52-1A96-471C-BB44-53322416E5E3}" name="TOT" dataDxfId="1100" dataCellStyle="40% - Énfasis6">
      <calculatedColumnFormula>SUM(GUIA_NACIONAL_2022_1106128105[[#This Row],[D1]:[D6]])</calculatedColumnFormula>
    </tableColumn>
  </tableColumns>
  <tableStyleInfo name="TableStyleLight1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F8CD1D07-4394-4FED-9656-76C6B3C4B1D1}" name="GUIA_NACIONAL_2022_1106128105107" displayName="GUIA_NACIONAL_2022_1106128105107" ref="AN4:AU5" totalsRowShown="0" headerRowDxfId="1099">
  <tableColumns count="8">
    <tableColumn id="1" xr3:uid="{6C000DDB-1222-4878-9DEC-AFE57A380D8F}" name="CIE-10" dataCellStyle="20% - Énfasis4"/>
    <tableColumn id="2" xr3:uid="{11BFF063-84CD-4C06-B884-CF42FBC10B3E}" name="D1" dataDxfId="1098">
      <calculatedColumnFormula>IF($B$2="(Todas)",COUNTIF(BASE[CODCIE10],GUIA_NACIONAL_2022_1106128105107[[#This Row],[CIE-10]]),COUNTIFS(BASE[Cod.Establecimiento],$B$2,BASE[CODCIE10],GUIA_NACIONAL_2022_1106128105107[[#This Row],[CIE-10]]))</calculatedColumnFormula>
    </tableColumn>
    <tableColumn id="3" xr3:uid="{14B4940B-FBF4-42B7-8F46-C2D322B1F652}" name="D2" dataDxfId="1097">
      <calculatedColumnFormula>IF($B$2="(Todas)",COUNTIF(BASE[CODCIE102],GUIA_NACIONAL_2022_1106128105107[[#This Row],[CIE-10]]),COUNTIFS(BASE[Cod.Establecimiento],$B$2,BASE[CODCIE102],GUIA_NACIONAL_2022_1106128105107[[#This Row],[CIE-10]]))</calculatedColumnFormula>
    </tableColumn>
    <tableColumn id="4" xr3:uid="{8833179F-2F50-494C-9AEE-32D0377AC7A6}" name="D3" dataDxfId="1096">
      <calculatedColumnFormula>IF($B$2="(Todas)",COUNTIF(BASE[CODCIE104],GUIA_NACIONAL_2022_1106128105107[[#This Row],[CIE-10]]),COUNTIFS(BASE[Cod.Establecimiento],$B$2,BASE[CODCIE104],GUIA_NACIONAL_2022_1106128105107[[#This Row],[CIE-10]]))</calculatedColumnFormula>
    </tableColumn>
    <tableColumn id="5" xr3:uid="{9CCD68A6-13B0-4AAC-883A-5F134D32D80C}" name="D4" dataDxfId="1095">
      <calculatedColumnFormula>IF($B$2="(Todas)",COUNTIF(BASE[CODCIE106],GUIA_NACIONAL_2022_1106128105107[[#This Row],[CIE-10]]),COUNTIFS(BASE[Cod.Establecimiento],$B$2,BASE[CODCIE106],GUIA_NACIONAL_2022_1106128105107[[#This Row],[CIE-10]]))</calculatedColumnFormula>
    </tableColumn>
    <tableColumn id="6" xr3:uid="{CA2D859E-804A-4E66-8B74-3207F875229C}" name="D5" dataDxfId="1094">
      <calculatedColumnFormula>IF($B$2="(Todas)",COUNTIF(BASE[CODCIE108],GUIA_NACIONAL_2022_1106128105107[[#This Row],[CIE-10]]),COUNTIFS(BASE[Cod.Establecimiento],$B$2,BASE[CODCIE108],GUIA_NACIONAL_2022_1106128105107[[#This Row],[CIE-10]]))</calculatedColumnFormula>
    </tableColumn>
    <tableColumn id="7" xr3:uid="{D3763ABE-CBFD-4DC3-8AB2-E3FC7432E7B8}" name="D6" dataDxfId="1093">
      <calculatedColumnFormula>IF($B$2="(Todas)",COUNTIF(BASE[CODCIE1010],GUIA_NACIONAL_2022_1106128105107[[#This Row],[CIE-10]]),COUNTIFS(BASE[Cod.Establecimiento],$B$2,BASE[CODCIE1010],GUIA_NACIONAL_2022_1106128105107[[#This Row],[CIE-10]]))</calculatedColumnFormula>
    </tableColumn>
    <tableColumn id="8" xr3:uid="{9E30B6BB-B900-473F-A877-07289772DF9E}" name="TOT" dataDxfId="1092" dataCellStyle="40% - Énfasis6">
      <calculatedColumnFormula>SUM(GUIA_NACIONAL_2022_1106128105107[[#This Row],[D1]:[D6]])</calculatedColumnFormula>
    </tableColumn>
  </tableColumns>
  <tableStyleInfo name="TableStyleLight1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A431FC17-BC2D-440C-86F0-8D7EF9E810E7}" name="GUIA_NACIONAL_2022_1106128105107110" displayName="GUIA_NACIONAL_2022_1106128105107110" ref="AW4:BD7" totalsRowShown="0" headerRowDxfId="1091">
  <tableColumns count="8">
    <tableColumn id="1" xr3:uid="{6EA4F35A-E808-408B-859E-1FDCFB690D57}" name="CIE-10" dataCellStyle="20% - Énfasis4"/>
    <tableColumn id="2" xr3:uid="{77EC5C26-0D73-46F5-BDA1-822594DFFADB}" name="D1" dataDxfId="1090">
      <calculatedColumnFormula>IF($B$2="(Todas)",COUNTIF(BASE[CODCIE10],GUIA_NACIONAL_2022_1106128105107110[[#This Row],[CIE-10]]),COUNTIFS(BASE[Cod.Establecimiento],$B$2,BASE[CODCIE10],GUIA_NACIONAL_2022_1106128105107110[[#This Row],[CIE-10]]))</calculatedColumnFormula>
    </tableColumn>
    <tableColumn id="3" xr3:uid="{D193E83D-9B4B-48F3-A47C-09450370CBFC}" name="D2" dataDxfId="1089">
      <calculatedColumnFormula>IF($B$2="(Todas)",COUNTIF(BASE[CODCIE102],GUIA_NACIONAL_2022_1106128105107110[[#This Row],[CIE-10]]),COUNTIFS(BASE[Cod.Establecimiento],$B$2,BASE[CODCIE102],GUIA_NACIONAL_2022_1106128105107110[[#This Row],[CIE-10]]))</calculatedColumnFormula>
    </tableColumn>
    <tableColumn id="4" xr3:uid="{BADD8202-213E-4C3D-BEE7-ED39BD2812FF}" name="D3" dataDxfId="1088">
      <calculatedColumnFormula>IF($B$2="(Todas)",COUNTIF(BASE[CODCIE104],GUIA_NACIONAL_2022_1106128105107110[[#This Row],[CIE-10]]),COUNTIFS(BASE[Cod.Establecimiento],$B$2,BASE[CODCIE104],GUIA_NACIONAL_2022_1106128105107110[[#This Row],[CIE-10]]))</calculatedColumnFormula>
    </tableColumn>
    <tableColumn id="5" xr3:uid="{7D88083F-72A8-4D61-AD68-432D4F6826EC}" name="D4" dataDxfId="1087">
      <calculatedColumnFormula>IF($B$2="(Todas)",COUNTIF(BASE[CODCIE106],GUIA_NACIONAL_2022_1106128105107110[[#This Row],[CIE-10]]),COUNTIFS(BASE[Cod.Establecimiento],$B$2,BASE[CODCIE106],GUIA_NACIONAL_2022_1106128105107110[[#This Row],[CIE-10]]))</calculatedColumnFormula>
    </tableColumn>
    <tableColumn id="6" xr3:uid="{DD1DE268-CA06-429F-BCB2-025F24AEE55E}" name="D5" dataDxfId="1086">
      <calculatedColumnFormula>IF($B$2="(Todas)",COUNTIF(BASE[CODCIE108],GUIA_NACIONAL_2022_1106128105107110[[#This Row],[CIE-10]]),COUNTIFS(BASE[Cod.Establecimiento],$B$2,BASE[CODCIE108],GUIA_NACIONAL_2022_1106128105107110[[#This Row],[CIE-10]]))</calculatedColumnFormula>
    </tableColumn>
    <tableColumn id="7" xr3:uid="{694C3C62-CD7A-4005-A637-8383A7D36186}" name="D6" dataDxfId="1085">
      <calculatedColumnFormula>IF($B$2="(Todas)",COUNTIF(BASE[CODCIE1010],GUIA_NACIONAL_2022_1106128105107110[[#This Row],[CIE-10]]),COUNTIFS(BASE[Cod.Establecimiento],$B$2,BASE[CODCIE1010],GUIA_NACIONAL_2022_1106128105107110[[#This Row],[CIE-10]]))</calculatedColumnFormula>
    </tableColumn>
    <tableColumn id="8" xr3:uid="{F6745467-F527-4682-B6B4-D2C650745B6A}" name="TOT" dataDxfId="1084" dataCellStyle="40% - Énfasis6">
      <calculatedColumnFormula>SUM(GUIA_NACIONAL_2022_1106128105107110[[#This Row],[D1]:[D6]])</calculatedColumnFormula>
    </tableColumn>
  </tableColumns>
  <tableStyleInfo name="TableStyleLight1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BC6D24D9-8B78-46D3-AE01-4170DD5BAE16}" name="GUIA_NACIONAL_2022_1106128105107111" displayName="GUIA_NACIONAL_2022_1106128105107111" ref="BF4:BM5" totalsRowShown="0" headerRowDxfId="1083">
  <tableColumns count="8">
    <tableColumn id="1" xr3:uid="{2809381C-CFE0-4FA3-9100-0AA10CEEB457}" name="CIE-10" dataCellStyle="20% - Énfasis4"/>
    <tableColumn id="2" xr3:uid="{284C0F9B-B43D-452F-813C-2FE19A8E16BF}" name="D1" dataDxfId="1082">
      <calculatedColumnFormula>IF($B$2="(Todas)",COUNTIF(BASE[CODCIE10],GUIA_NACIONAL_2022_1106128105107111[[#This Row],[CIE-10]]),COUNTIFS(BASE[Cod.Establecimiento],$B$2,BASE[CODCIE10],GUIA_NACIONAL_2022_1106128105107111[[#This Row],[CIE-10]]))</calculatedColumnFormula>
    </tableColumn>
    <tableColumn id="3" xr3:uid="{052F292D-3682-468D-96B5-DABCACE50868}" name="D2" dataDxfId="1081">
      <calculatedColumnFormula>IF($B$2="(Todas)",COUNTIF(BASE[CODCIE102],GUIA_NACIONAL_2022_1106128105107111[[#This Row],[CIE-10]]),COUNTIFS(BASE[Cod.Establecimiento],$B$2,BASE[CODCIE102],GUIA_NACIONAL_2022_1106128105107111[[#This Row],[CIE-10]]))</calculatedColumnFormula>
    </tableColumn>
    <tableColumn id="4" xr3:uid="{FAA392EC-FDD1-4536-80E0-19515DA90F4A}" name="D3" dataDxfId="1080">
      <calculatedColumnFormula>IF($B$2="(Todas)",COUNTIF(BASE[CODCIE104],GUIA_NACIONAL_2022_1106128105107111[[#This Row],[CIE-10]]),COUNTIFS(BASE[Cod.Establecimiento],$B$2,BASE[CODCIE104],GUIA_NACIONAL_2022_1106128105107111[[#This Row],[CIE-10]]))</calculatedColumnFormula>
    </tableColumn>
    <tableColumn id="5" xr3:uid="{5C2253D3-F920-4002-BE32-25F7A08D97D2}" name="D4" dataDxfId="1079">
      <calculatedColumnFormula>IF($B$2="(Todas)",COUNTIF(BASE[CODCIE106],GUIA_NACIONAL_2022_1106128105107111[[#This Row],[CIE-10]]),COUNTIFS(BASE[Cod.Establecimiento],$B$2,BASE[CODCIE106],GUIA_NACIONAL_2022_1106128105107111[[#This Row],[CIE-10]]))</calculatedColumnFormula>
    </tableColumn>
    <tableColumn id="6" xr3:uid="{55AF480A-9DD4-4431-97D8-DA4E37213ED3}" name="D5" dataDxfId="1078">
      <calculatedColumnFormula>IF($B$2="(Todas)",COUNTIF(BASE[CODCIE108],GUIA_NACIONAL_2022_1106128105107111[[#This Row],[CIE-10]]),COUNTIFS(BASE[Cod.Establecimiento],$B$2,BASE[CODCIE108],GUIA_NACIONAL_2022_1106128105107111[[#This Row],[CIE-10]]))</calculatedColumnFormula>
    </tableColumn>
    <tableColumn id="7" xr3:uid="{F741CFE2-0011-47F8-9821-6D42A62CD831}" name="D6" dataDxfId="1077">
      <calculatedColumnFormula>IF($B$2="(Todas)",COUNTIF(BASE[CODCIE1010],GUIA_NACIONAL_2022_1106128105107111[[#This Row],[CIE-10]]),COUNTIFS(BASE[Cod.Establecimiento],$B$2,BASE[CODCIE1010],GUIA_NACIONAL_2022_1106128105107111[[#This Row],[CIE-10]]))</calculatedColumnFormula>
    </tableColumn>
    <tableColumn id="8" xr3:uid="{5B1EC419-2109-4DA0-8156-0B6E41589583}" name="TOT" dataDxfId="1076" dataCellStyle="40% - Énfasis6">
      <calculatedColumnFormula>SUM(GUIA_NACIONAL_2022_1106128105107111[[#This Row],[D1]:[D6]])</calculatedColumnFormula>
    </tableColumn>
  </tableColumns>
  <tableStyleInfo name="TableStyleLight1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AA1FC2EE-23E7-4FA2-80DB-134284C2F653}" name="GUIA_NACIONAL_2022_1106128105107111115" displayName="GUIA_NACIONAL_2022_1106128105107111115" ref="BO4:BV5" totalsRowShown="0" headerRowDxfId="1075">
  <tableColumns count="8">
    <tableColumn id="1" xr3:uid="{6743B90F-E67E-4EDD-861F-DBE7821435FF}" name="CIE-10" dataCellStyle="20% - Énfasis4"/>
    <tableColumn id="2" xr3:uid="{7A1FD372-E9B2-44EB-8C0D-8B6ACE7D772E}" name="D1" dataDxfId="1074">
      <calculatedColumnFormula>IF($B$2="(Todas)",COUNTIF(BASE[CODCIE10],GUIA_NACIONAL_2022_1106128105107111115[[#This Row],[CIE-10]]),COUNTIFS(BASE[Cod.Establecimiento],$B$2,BASE[CODCIE10],GUIA_NACIONAL_2022_1106128105107111115[[#This Row],[CIE-10]]))</calculatedColumnFormula>
    </tableColumn>
    <tableColumn id="3" xr3:uid="{1F09AFE7-63A1-4F1D-A761-7BA024FBAE94}" name="D2" dataDxfId="1073">
      <calculatedColumnFormula>IF($B$2="(Todas)",COUNTIF(BASE[CODCIE102],GUIA_NACIONAL_2022_1106128105107111115[[#This Row],[CIE-10]]),COUNTIFS(BASE[Cod.Establecimiento],$B$2,BASE[CODCIE102],GUIA_NACIONAL_2022_1106128105107111115[[#This Row],[CIE-10]]))</calculatedColumnFormula>
    </tableColumn>
    <tableColumn id="4" xr3:uid="{7AC67EA5-1450-4CF6-A19F-98403FEBB9BC}" name="D3" dataDxfId="1072">
      <calculatedColumnFormula>IF($B$2="(Todas)",COUNTIF(BASE[CODCIE104],GUIA_NACIONAL_2022_1106128105107111115[[#This Row],[CIE-10]]),COUNTIFS(BASE[Cod.Establecimiento],$B$2,BASE[CODCIE104],GUIA_NACIONAL_2022_1106128105107111115[[#This Row],[CIE-10]]))</calculatedColumnFormula>
    </tableColumn>
    <tableColumn id="5" xr3:uid="{D58D0CE1-6B09-44FA-BFD9-6D2611A074A4}" name="D4" dataDxfId="1071">
      <calculatedColumnFormula>IF($B$2="(Todas)",COUNTIF(BASE[CODCIE106],GUIA_NACIONAL_2022_1106128105107111115[[#This Row],[CIE-10]]),COUNTIFS(BASE[Cod.Establecimiento],$B$2,BASE[CODCIE106],GUIA_NACIONAL_2022_1106128105107111115[[#This Row],[CIE-10]]))</calculatedColumnFormula>
    </tableColumn>
    <tableColumn id="6" xr3:uid="{DBDACCCA-9FA1-4E9B-8FE6-46150A39919A}" name="D5" dataDxfId="1070">
      <calculatedColumnFormula>IF($B$2="(Todas)",COUNTIF(BASE[CODCIE108],GUIA_NACIONAL_2022_1106128105107111115[[#This Row],[CIE-10]]),COUNTIFS(BASE[Cod.Establecimiento],$B$2,BASE[CODCIE108],GUIA_NACIONAL_2022_1106128105107111115[[#This Row],[CIE-10]]))</calculatedColumnFormula>
    </tableColumn>
    <tableColumn id="7" xr3:uid="{BF7E4CA8-21A4-4B37-8743-01202934A113}" name="D6" dataDxfId="1069">
      <calculatedColumnFormula>IF($B$2="(Todas)",COUNTIF(BASE[CODCIE1010],GUIA_NACIONAL_2022_1106128105107111115[[#This Row],[CIE-10]]),COUNTIFS(BASE[Cod.Establecimiento],$B$2,BASE[CODCIE1010],GUIA_NACIONAL_2022_1106128105107111115[[#This Row],[CIE-10]]))</calculatedColumnFormula>
    </tableColumn>
    <tableColumn id="8" xr3:uid="{200515E8-1F0E-433B-82A7-20BCB27C6743}" name="TOT" dataDxfId="1068" dataCellStyle="40% - Énfasis6">
      <calculatedColumnFormula>SUM(GUIA_NACIONAL_2022_1106128105107111115[[#This Row],[D1]:[D6]])</calculatedColumnFormula>
    </tableColumn>
  </tableColumns>
  <tableStyleInfo name="TableStyleLight1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BCAC63EE-C42C-42F2-BE4A-EE9DAE57E5DF}" name="GUIA_NACIONAL_2022_1106128105107111115129" displayName="GUIA_NACIONAL_2022_1106128105107111115129" ref="BX4:CE5" totalsRowShown="0" headerRowDxfId="1067">
  <tableColumns count="8">
    <tableColumn id="1" xr3:uid="{3B90A657-A3FD-4334-A8BD-67CFBADE17CF}" name="CIE-10" dataCellStyle="20% - Énfasis4"/>
    <tableColumn id="2" xr3:uid="{49C6E7F2-A2EB-48DA-BB48-34D39EF589A7}" name="D1" dataDxfId="1066">
      <calculatedColumnFormula>IF($B$2="(Todas)",COUNTIF(BASE[CODCIE10],GUIA_NACIONAL_2022_1106128105107111115129[[#This Row],[CIE-10]]),COUNTIFS(BASE[Cod.Establecimiento],$B$2,BASE[CODCIE10],GUIA_NACIONAL_2022_1106128105107111115129[[#This Row],[CIE-10]]))</calculatedColumnFormula>
    </tableColumn>
    <tableColumn id="3" xr3:uid="{45C27236-2689-477A-92B6-38A6D304DC6C}" name="D2" dataDxfId="1065">
      <calculatedColumnFormula>IF($B$2="(Todas)",COUNTIF(BASE[CODCIE102],GUIA_NACIONAL_2022_1106128105107111115129[[#This Row],[CIE-10]]),COUNTIFS(BASE[Cod.Establecimiento],$B$2,BASE[CODCIE102],GUIA_NACIONAL_2022_1106128105107111115129[[#This Row],[CIE-10]]))</calculatedColumnFormula>
    </tableColumn>
    <tableColumn id="4" xr3:uid="{6A2D419F-27CD-4D09-A308-F44D6F53FCBE}" name="D3" dataDxfId="1064">
      <calculatedColumnFormula>IF($B$2="(Todas)",COUNTIF(BASE[CODCIE104],GUIA_NACIONAL_2022_1106128105107111115129[[#This Row],[CIE-10]]),COUNTIFS(BASE[Cod.Establecimiento],$B$2,BASE[CODCIE104],GUIA_NACIONAL_2022_1106128105107111115129[[#This Row],[CIE-10]]))</calculatedColumnFormula>
    </tableColumn>
    <tableColumn id="5" xr3:uid="{25582167-FDF9-45B1-87A8-B8ADEDDA2368}" name="D4" dataDxfId="1063">
      <calculatedColumnFormula>IF($B$2="(Todas)",COUNTIF(BASE[CODCIE106],GUIA_NACIONAL_2022_1106128105107111115129[[#This Row],[CIE-10]]),COUNTIFS(BASE[Cod.Establecimiento],$B$2,BASE[CODCIE106],GUIA_NACIONAL_2022_1106128105107111115129[[#This Row],[CIE-10]]))</calculatedColumnFormula>
    </tableColumn>
    <tableColumn id="6" xr3:uid="{C737FBCC-5322-46AD-973B-1FBCFF61CAC2}" name="D5" dataDxfId="1062">
      <calculatedColumnFormula>IF($B$2="(Todas)",COUNTIF(BASE[CODCIE108],GUIA_NACIONAL_2022_1106128105107111115129[[#This Row],[CIE-10]]),COUNTIFS(BASE[Cod.Establecimiento],$B$2,BASE[CODCIE108],GUIA_NACIONAL_2022_1106128105107111115129[[#This Row],[CIE-10]]))</calculatedColumnFormula>
    </tableColumn>
    <tableColumn id="7" xr3:uid="{DACCBA26-CDFF-46D8-9843-14480DF277AF}" name="D6" dataDxfId="1061">
      <calculatedColumnFormula>IF($B$2="(Todas)",COUNTIF(BASE[CODCIE1010],GUIA_NACIONAL_2022_1106128105107111115129[[#This Row],[CIE-10]]),COUNTIFS(BASE[Cod.Establecimiento],$B$2,BASE[CODCIE1010],GUIA_NACIONAL_2022_1106128105107111115129[[#This Row],[CIE-10]]))</calculatedColumnFormula>
    </tableColumn>
    <tableColumn id="8" xr3:uid="{123C6FC5-FAE0-4DCC-9A4E-40ABB6B49F34}" name="TOT" dataDxfId="1060" dataCellStyle="40% - Énfasis6">
      <calculatedColumnFormula>SUM(GUIA_NACIONAL_2022_1106128105107111115129[[#This Row],[D1]:[D6]])</calculatedColumnFormula>
    </tableColumn>
  </tableColumns>
  <tableStyleInfo name="TableStyleLight1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1F65CCDB-F005-4598-A351-2452C13D2A20}" name="GUIA_NACIONAL_2022_1106128105107111115129130" displayName="GUIA_NACIONAL_2022_1106128105107111115129130" ref="CG4:CN19" totalsRowShown="0" headerRowDxfId="1059">
  <tableColumns count="8">
    <tableColumn id="1" xr3:uid="{F5F29B47-2361-4C95-8215-40408148D3AC}" name="CIE-10" dataCellStyle="20% - Énfasis4"/>
    <tableColumn id="2" xr3:uid="{D64F5C68-7319-40F7-9267-AE4FAB43A1B3}" name="D1" dataDxfId="1058">
      <calculatedColumnFormula>IF($B$2="(Todas)",COUNTIF(BASE[CODCIE10],GUIA_NACIONAL_2022_1106128105107111115129130[[#This Row],[CIE-10]]),COUNTIFS(BASE[Cod.Establecimiento],$B$2,BASE[CODCIE10],GUIA_NACIONAL_2022_1106128105107111115129130[[#This Row],[CIE-10]]))</calculatedColumnFormula>
    </tableColumn>
    <tableColumn id="3" xr3:uid="{0EC8BFED-6161-412A-86D7-AC44AB34B1A7}" name="D2" dataDxfId="1057">
      <calculatedColumnFormula>IF($B$2="(Todas)",COUNTIF(BASE[CODCIE102],GUIA_NACIONAL_2022_1106128105107111115129130[[#This Row],[CIE-10]]),COUNTIFS(BASE[Cod.Establecimiento],$B$2,BASE[CODCIE102],GUIA_NACIONAL_2022_1106128105107111115129130[[#This Row],[CIE-10]]))</calculatedColumnFormula>
    </tableColumn>
    <tableColumn id="4" xr3:uid="{CD9CFF5E-BF5A-4514-8AF6-5A6798ECC428}" name="D3" dataDxfId="1056">
      <calculatedColumnFormula>IF($B$2="(Todas)",COUNTIF(BASE[CODCIE104],GUIA_NACIONAL_2022_1106128105107111115129130[[#This Row],[CIE-10]]),COUNTIFS(BASE[Cod.Establecimiento],$B$2,BASE[CODCIE104],GUIA_NACIONAL_2022_1106128105107111115129130[[#This Row],[CIE-10]]))</calculatedColumnFormula>
    </tableColumn>
    <tableColumn id="5" xr3:uid="{2DE9EBA1-AE0C-48E7-8FC1-612D3E571BF9}" name="D4" dataDxfId="1055">
      <calculatedColumnFormula>IF($B$2="(Todas)",COUNTIF(BASE[CODCIE106],GUIA_NACIONAL_2022_1106128105107111115129130[[#This Row],[CIE-10]]),COUNTIFS(BASE[Cod.Establecimiento],$B$2,BASE[CODCIE106],GUIA_NACIONAL_2022_1106128105107111115129130[[#This Row],[CIE-10]]))</calculatedColumnFormula>
    </tableColumn>
    <tableColumn id="6" xr3:uid="{37373994-FA04-43B5-919F-909AA81B416B}" name="D5" dataDxfId="1054">
      <calculatedColumnFormula>IF($B$2="(Todas)",COUNTIF(BASE[CODCIE108],GUIA_NACIONAL_2022_1106128105107111115129130[[#This Row],[CIE-10]]),COUNTIFS(BASE[Cod.Establecimiento],$B$2,BASE[CODCIE108],GUIA_NACIONAL_2022_1106128105107111115129130[[#This Row],[CIE-10]]))</calculatedColumnFormula>
    </tableColumn>
    <tableColumn id="7" xr3:uid="{06EC494B-309E-47D9-A4F1-38597B6FAB98}" name="D6" dataDxfId="1053">
      <calculatedColumnFormula>IF($B$2="(Todas)",COUNTIF(BASE[CODCIE1010],GUIA_NACIONAL_2022_1106128105107111115129130[[#This Row],[CIE-10]]),COUNTIFS(BASE[Cod.Establecimiento],$B$2,BASE[CODCIE1010],GUIA_NACIONAL_2022_1106128105107111115129130[[#This Row],[CIE-10]]))</calculatedColumnFormula>
    </tableColumn>
    <tableColumn id="8" xr3:uid="{16CBEF2E-11C2-45B3-8ACB-EE398AED9041}" name="TOT" dataDxfId="1052" dataCellStyle="40% - Énfasis6">
      <calculatedColumnFormula>SUM(GUIA_NACIONAL_2022_1106128105107111115129130[[#This Row],[D1]:[D6]])</calculatedColumnFormula>
    </tableColumn>
  </tableColumns>
  <tableStyleInfo name="TableStyleLight1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FF56BB4-706E-4305-9519-F8451D480B96}" name="GUIA_NACIONAL_2022_1106128105107111115129130131" displayName="GUIA_NACIONAL_2022_1106128105107111115129130131" ref="CP4:CW5" totalsRowShown="0" headerRowDxfId="1051">
  <tableColumns count="8">
    <tableColumn id="1" xr3:uid="{0978FF8D-467C-49EB-8BE3-211E0D49D649}" name="CIE-10" dataCellStyle="20% - Énfasis4"/>
    <tableColumn id="2" xr3:uid="{BAB19BA6-4B71-47EE-9247-2AC0972406E1}" name="D1" dataDxfId="1050">
      <calculatedColumnFormula>IF($B$2="(Todas)",COUNTIF(BASE[CODCIE10],GUIA_NACIONAL_2022_1106128105107111115129130131[[#This Row],[CIE-10]]),COUNTIFS(BASE[Cod.Establecimiento],$B$2,BASE[CODCIE10],GUIA_NACIONAL_2022_1106128105107111115129130131[[#This Row],[CIE-10]]))</calculatedColumnFormula>
    </tableColumn>
    <tableColumn id="3" xr3:uid="{48959523-0F7F-4999-88F3-9FFDBA65EF42}" name="D2" dataDxfId="1049">
      <calculatedColumnFormula>IF($B$2="(Todas)",COUNTIF(BASE[CODCIE102],GUIA_NACIONAL_2022_1106128105107111115129130131[[#This Row],[CIE-10]]),COUNTIFS(BASE[Cod.Establecimiento],$B$2,BASE[CODCIE102],GUIA_NACIONAL_2022_1106128105107111115129130131[[#This Row],[CIE-10]]))</calculatedColumnFormula>
    </tableColumn>
    <tableColumn id="4" xr3:uid="{2A7E2AD1-456A-4AE7-9BC6-F781967F9FC8}" name="D3" dataDxfId="1048">
      <calculatedColumnFormula>IF($B$2="(Todas)",COUNTIF(BASE[CODCIE104],GUIA_NACIONAL_2022_1106128105107111115129130131[[#This Row],[CIE-10]]),COUNTIFS(BASE[Cod.Establecimiento],$B$2,BASE[CODCIE104],GUIA_NACIONAL_2022_1106128105107111115129130131[[#This Row],[CIE-10]]))</calculatedColumnFormula>
    </tableColumn>
    <tableColumn id="5" xr3:uid="{920F8D56-9016-4CDE-9ED3-6404F62020C7}" name="D4" dataDxfId="1047">
      <calculatedColumnFormula>IF($B$2="(Todas)",COUNTIF(BASE[CODCIE106],GUIA_NACIONAL_2022_1106128105107111115129130131[[#This Row],[CIE-10]]),COUNTIFS(BASE[Cod.Establecimiento],$B$2,BASE[CODCIE106],GUIA_NACIONAL_2022_1106128105107111115129130131[[#This Row],[CIE-10]]))</calculatedColumnFormula>
    </tableColumn>
    <tableColumn id="6" xr3:uid="{90800B6A-CD81-4262-A5C2-AA3F0E483777}" name="D5" dataDxfId="1046">
      <calculatedColumnFormula>IF($B$2="(Todas)",COUNTIF(BASE[CODCIE108],GUIA_NACIONAL_2022_1106128105107111115129130131[[#This Row],[CIE-10]]),COUNTIFS(BASE[Cod.Establecimiento],$B$2,BASE[CODCIE108],GUIA_NACIONAL_2022_1106128105107111115129130131[[#This Row],[CIE-10]]))</calculatedColumnFormula>
    </tableColumn>
    <tableColumn id="7" xr3:uid="{AC6995A3-8239-438E-9FE7-08BD7567C109}" name="D6" dataDxfId="1045">
      <calculatedColumnFormula>IF($B$2="(Todas)",COUNTIF(BASE[CODCIE1010],GUIA_NACIONAL_2022_1106128105107111115129130131[[#This Row],[CIE-10]]),COUNTIFS(BASE[Cod.Establecimiento],$B$2,BASE[CODCIE1010],GUIA_NACIONAL_2022_1106128105107111115129130131[[#This Row],[CIE-10]]))</calculatedColumnFormula>
    </tableColumn>
    <tableColumn id="8" xr3:uid="{8DAA2385-50BD-4B87-B33B-3C682A5F67B8}" name="TOT" dataDxfId="1044" dataCellStyle="40% - Énfasis6">
      <calculatedColumnFormula>SUM(GUIA_NACIONAL_2022_1106128105107111115129130131[[#This Row],[D1]:[D6]])</calculatedColumnFormula>
    </tableColumn>
  </tableColumns>
  <tableStyleInfo name="TableStyleLight1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51176756-223E-41AD-851B-D19998CE2954}" name="GUIA_NACIONAL_2022_1106128105107111115129130131132" displayName="GUIA_NACIONAL_2022_1106128105107111115129130131132" ref="CY4:DF5" totalsRowShown="0" headerRowDxfId="1043">
  <tableColumns count="8">
    <tableColumn id="1" xr3:uid="{262F80D6-0F30-4DC1-B0C6-354B77B7971D}" name="CIE-10" dataCellStyle="20% - Énfasis4"/>
    <tableColumn id="2" xr3:uid="{0F97F99E-F506-47FA-9579-FE92A09CDC88}" name="D1" dataDxfId="1042">
      <calculatedColumnFormula>IF($B$2="(Todas)",COUNTIF(BASE[CODCIE10],GUIA_NACIONAL_2022_1106128105107111115129130131132[[#This Row],[CIE-10]]),COUNTIFS(BASE[Cod.Establecimiento],$B$2,BASE[CODCIE10],GUIA_NACIONAL_2022_1106128105107111115129130131132[[#This Row],[CIE-10]]))</calculatedColumnFormula>
    </tableColumn>
    <tableColumn id="3" xr3:uid="{D2B08006-2EA9-48B6-8D70-FB7843467AD9}" name="D2" dataDxfId="1041">
      <calculatedColumnFormula>IF($B$2="(Todas)",COUNTIF(BASE[CODCIE102],GUIA_NACIONAL_2022_1106128105107111115129130131132[[#This Row],[CIE-10]]),COUNTIFS(BASE[Cod.Establecimiento],$B$2,BASE[CODCIE102],GUIA_NACIONAL_2022_1106128105107111115129130131132[[#This Row],[CIE-10]]))</calculatedColumnFormula>
    </tableColumn>
    <tableColumn id="4" xr3:uid="{F7F784F5-CA77-43FE-A70D-D2E27F2E30F1}" name="D3" dataDxfId="1040">
      <calculatedColumnFormula>IF($B$2="(Todas)",COUNTIF(BASE[CODCIE104],GUIA_NACIONAL_2022_1106128105107111115129130131132[[#This Row],[CIE-10]]),COUNTIFS(BASE[Cod.Establecimiento],$B$2,BASE[CODCIE104],GUIA_NACIONAL_2022_1106128105107111115129130131132[[#This Row],[CIE-10]]))</calculatedColumnFormula>
    </tableColumn>
    <tableColumn id="5" xr3:uid="{A3A6D0F0-1A67-48F6-9E4D-6F9764088B38}" name="D4" dataDxfId="1039">
      <calculatedColumnFormula>IF($B$2="(Todas)",COUNTIF(BASE[CODCIE106],GUIA_NACIONAL_2022_1106128105107111115129130131132[[#This Row],[CIE-10]]),COUNTIFS(BASE[Cod.Establecimiento],$B$2,BASE[CODCIE106],GUIA_NACIONAL_2022_1106128105107111115129130131132[[#This Row],[CIE-10]]))</calculatedColumnFormula>
    </tableColumn>
    <tableColumn id="6" xr3:uid="{E3C7C5F2-6FCB-456B-AD83-A9D1B932A207}" name="D5" dataDxfId="1038">
      <calculatedColumnFormula>IF($B$2="(Todas)",COUNTIF(BASE[CODCIE108],GUIA_NACIONAL_2022_1106128105107111115129130131132[[#This Row],[CIE-10]]),COUNTIFS(BASE[Cod.Establecimiento],$B$2,BASE[CODCIE108],GUIA_NACIONAL_2022_1106128105107111115129130131132[[#This Row],[CIE-10]]))</calculatedColumnFormula>
    </tableColumn>
    <tableColumn id="7" xr3:uid="{6AC429CC-1A1B-4261-AE51-CDF84AAEB2E6}" name="D6" dataDxfId="1037">
      <calculatedColumnFormula>IF($B$2="(Todas)",COUNTIF(BASE[CODCIE1010],GUIA_NACIONAL_2022_1106128105107111115129130131132[[#This Row],[CIE-10]]),COUNTIFS(BASE[Cod.Establecimiento],$B$2,BASE[CODCIE1010],GUIA_NACIONAL_2022_1106128105107111115129130131132[[#This Row],[CIE-10]]))</calculatedColumnFormula>
    </tableColumn>
    <tableColumn id="8" xr3:uid="{37A53865-E409-4E09-8448-FC716D92272B}" name="TOT" dataDxfId="1036" dataCellStyle="40% - Énfasis6">
      <calculatedColumnFormula>SUM(GUIA_NACIONAL_2022_1106128105107111115129130131132[[#This Row],[D1]:[D6]])</calculatedColumnFormula>
    </tableColumn>
  </tableColumns>
  <tableStyleInfo name="TableStyleLight1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3827C174-A951-4B48-992A-6C89480388B7}" name="GUIA_NACIONAL_2022_1106128105107111115129130131132133" displayName="GUIA_NACIONAL_2022_1106128105107111115129130131132133" ref="DH4:DO5" totalsRowShown="0" headerRowDxfId="1035">
  <tableColumns count="8">
    <tableColumn id="1" xr3:uid="{7BA20F6D-9B73-4C8D-8652-031522A38EF0}" name="CIE-10" dataCellStyle="20% - Énfasis4"/>
    <tableColumn id="2" xr3:uid="{6901F791-6018-4A02-A5EF-C9A5001633B6}" name="D1" dataDxfId="1034">
      <calculatedColumnFormula>IF($B$2="(Todas)",COUNTIF(BASE[CODCIE10],GUIA_NACIONAL_2022_1106128105107111115129130131132133[[#This Row],[CIE-10]]),COUNTIFS(BASE[Cod.Establecimiento],$B$2,BASE[CODCIE10],GUIA_NACIONAL_2022_1106128105107111115129130131132133[[#This Row],[CIE-10]]))</calculatedColumnFormula>
    </tableColumn>
    <tableColumn id="3" xr3:uid="{C50834FE-1344-41BA-A752-620753A769F7}" name="D2" dataDxfId="1033">
      <calculatedColumnFormula>IF($B$2="(Todas)",COUNTIF(BASE[CODCIE102],GUIA_NACIONAL_2022_1106128105107111115129130131132133[[#This Row],[CIE-10]]),COUNTIFS(BASE[Cod.Establecimiento],$B$2,BASE[CODCIE102],GUIA_NACIONAL_2022_1106128105107111115129130131132133[[#This Row],[CIE-10]]))</calculatedColumnFormula>
    </tableColumn>
    <tableColumn id="4" xr3:uid="{AEDFA52C-8A26-4917-99B8-61C298273AE9}" name="D3" dataDxfId="1032">
      <calculatedColumnFormula>IF($B$2="(Todas)",COUNTIF(BASE[CODCIE104],GUIA_NACIONAL_2022_1106128105107111115129130131132133[[#This Row],[CIE-10]]),COUNTIFS(BASE[Cod.Establecimiento],$B$2,BASE[CODCIE104],GUIA_NACIONAL_2022_1106128105107111115129130131132133[[#This Row],[CIE-10]]))</calculatedColumnFormula>
    </tableColumn>
    <tableColumn id="5" xr3:uid="{06CB4606-43E1-4349-8ACB-9E988CE5EA24}" name="D4" dataDxfId="1031">
      <calculatedColumnFormula>IF($B$2="(Todas)",COUNTIF(BASE[CODCIE106],GUIA_NACIONAL_2022_1106128105107111115129130131132133[[#This Row],[CIE-10]]),COUNTIFS(BASE[Cod.Establecimiento],$B$2,BASE[CODCIE106],GUIA_NACIONAL_2022_1106128105107111115129130131132133[[#This Row],[CIE-10]]))</calculatedColumnFormula>
    </tableColumn>
    <tableColumn id="6" xr3:uid="{AC73881C-37F0-4E62-BABE-DFF4D57E8FC8}" name="D5" dataDxfId="1030">
      <calculatedColumnFormula>IF($B$2="(Todas)",COUNTIF(BASE[CODCIE108],GUIA_NACIONAL_2022_1106128105107111115129130131132133[[#This Row],[CIE-10]]),COUNTIFS(BASE[Cod.Establecimiento],$B$2,BASE[CODCIE108],GUIA_NACIONAL_2022_1106128105107111115129130131132133[[#This Row],[CIE-10]]))</calculatedColumnFormula>
    </tableColumn>
    <tableColumn id="7" xr3:uid="{EF056057-DB67-4F51-9D47-050A80A65FC1}" name="D6" dataDxfId="1029">
      <calculatedColumnFormula>IF($B$2="(Todas)",COUNTIF(BASE[CODCIE1010],GUIA_NACIONAL_2022_1106128105107111115129130131132133[[#This Row],[CIE-10]]),COUNTIFS(BASE[Cod.Establecimiento],$B$2,BASE[CODCIE1010],GUIA_NACIONAL_2022_1106128105107111115129130131132133[[#This Row],[CIE-10]]))</calculatedColumnFormula>
    </tableColumn>
    <tableColumn id="8" xr3:uid="{B67166CF-0DAE-4A37-ADEA-50E723E670DD}" name="TOT" dataDxfId="1028" dataCellStyle="40% - Énfasis6">
      <calculatedColumnFormula>SUM(GUIA_NACIONAL_2022_1106128105107111115129130131132133[[#This Row],[D1]:[D6]])</calculatedColumnFormula>
    </tableColumn>
  </tableColumns>
  <tableStyleInfo name="TableStyleLight1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2FD502-ACDB-45BF-A96A-3A2BBEDB0AEA}" name="GUIA_NACIONAL_2022_1106128105107111115129130131132133134" displayName="GUIA_NACIONAL_2022_1106128105107111115129130131132133134" ref="DQ4:DX5" totalsRowShown="0" headerRowDxfId="1027">
  <tableColumns count="8">
    <tableColumn id="1" xr3:uid="{A03F71A6-8A29-4F52-B084-27FBD5FDA933}" name="CIE-10" dataCellStyle="20% - Énfasis4"/>
    <tableColumn id="2" xr3:uid="{30ED9D73-5B62-4966-BEDD-5CE62ABD885D}" name="D1" dataDxfId="1026">
      <calculatedColumnFormula>IF($B$2="(Todas)",COUNTIF(BASE[CODCIE10],GUIA_NACIONAL_2022_1106128105107111115129130131132133134[[#This Row],[CIE-10]]),COUNTIFS(BASE[Cod.Establecimiento],$B$2,BASE[CODCIE10],GUIA_NACIONAL_2022_1106128105107111115129130131132133134[[#This Row],[CIE-10]]))</calculatedColumnFormula>
    </tableColumn>
    <tableColumn id="3" xr3:uid="{C3D13179-297F-4628-804F-46FA7D5B1F1D}" name="D2" dataDxfId="1025">
      <calculatedColumnFormula>IF($B$2="(Todas)",COUNTIF(BASE[CODCIE102],GUIA_NACIONAL_2022_1106128105107111115129130131132133134[[#This Row],[CIE-10]]),COUNTIFS(BASE[Cod.Establecimiento],$B$2,BASE[CODCIE102],GUIA_NACIONAL_2022_1106128105107111115129130131132133134[[#This Row],[CIE-10]]))</calculatedColumnFormula>
    </tableColumn>
    <tableColumn id="4" xr3:uid="{127F582C-0B1C-47ED-AB33-F317600CCAC5}" name="D3" dataDxfId="1024">
      <calculatedColumnFormula>IF($B$2="(Todas)",COUNTIF(BASE[CODCIE104],GUIA_NACIONAL_2022_1106128105107111115129130131132133134[[#This Row],[CIE-10]]),COUNTIFS(BASE[Cod.Establecimiento],$B$2,BASE[CODCIE104],GUIA_NACIONAL_2022_1106128105107111115129130131132133134[[#This Row],[CIE-10]]))</calculatedColumnFormula>
    </tableColumn>
    <tableColumn id="5" xr3:uid="{8EF68479-4239-49A7-B821-E8CD645A5C10}" name="D4" dataDxfId="1023">
      <calculatedColumnFormula>IF($B$2="(Todas)",COUNTIF(BASE[CODCIE106],GUIA_NACIONAL_2022_1106128105107111115129130131132133134[[#This Row],[CIE-10]]),COUNTIFS(BASE[Cod.Establecimiento],$B$2,BASE[CODCIE106],GUIA_NACIONAL_2022_1106128105107111115129130131132133134[[#This Row],[CIE-10]]))</calculatedColumnFormula>
    </tableColumn>
    <tableColumn id="6" xr3:uid="{ED46E986-B209-4729-B4E2-AE87AE5BAE80}" name="D5" dataDxfId="1022">
      <calculatedColumnFormula>IF($B$2="(Todas)",COUNTIF(BASE[CODCIE108],GUIA_NACIONAL_2022_1106128105107111115129130131132133134[[#This Row],[CIE-10]]),COUNTIFS(BASE[Cod.Establecimiento],$B$2,BASE[CODCIE108],GUIA_NACIONAL_2022_1106128105107111115129130131132133134[[#This Row],[CIE-10]]))</calculatedColumnFormula>
    </tableColumn>
    <tableColumn id="7" xr3:uid="{C2CA5DF9-98B9-4949-BD71-07618F9C58FD}" name="D6" dataDxfId="1021">
      <calculatedColumnFormula>IF($B$2="(Todas)",COUNTIF(BASE[CODCIE1010],GUIA_NACIONAL_2022_1106128105107111115129130131132133134[[#This Row],[CIE-10]]),COUNTIFS(BASE[Cod.Establecimiento],$B$2,BASE[CODCIE1010],GUIA_NACIONAL_2022_1106128105107111115129130131132133134[[#This Row],[CIE-10]]))</calculatedColumnFormula>
    </tableColumn>
    <tableColumn id="8" xr3:uid="{6E1D4E91-517C-48ED-8CF5-910DC435850C}" name="TOT" dataDxfId="1020" dataCellStyle="40% - Énfasis6">
      <calculatedColumnFormula>SUM(GUIA_NACIONAL_2022_1106128105107111115129130131132133134[[#This Row],[D1]:[D6]])</calculatedColumnFormula>
    </tableColumn>
  </tableColumns>
  <tableStyleInfo name="TableStyleLight1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DF589AA8-35FA-4BCE-AC24-0BF15D6399F9}" name="GUIA_NACIONAL_2022_1106128105107111115129130131132133134135" displayName="GUIA_NACIONAL_2022_1106128105107111115129130131132133134135" ref="DZ4:EG5" totalsRowShown="0" headerRowDxfId="1019">
  <tableColumns count="8">
    <tableColumn id="1" xr3:uid="{2836B450-0267-4263-B314-35AF11D46D4B}" name="CIE-10" dataCellStyle="20% - Énfasis4"/>
    <tableColumn id="2" xr3:uid="{A14D9CD1-A028-4CCE-9F26-04652A3B200D}" name="D1" dataDxfId="1018">
      <calculatedColumnFormula>IF($B$2="(Todas)",COUNTIF(BASE[CODCIE10],GUIA_NACIONAL_2022_1106128105107111115129130131132133134135[[#This Row],[CIE-10]]),COUNTIFS(BASE[Cod.Establecimiento],$B$2,BASE[CODCIE10],GUIA_NACIONAL_2022_1106128105107111115129130131132133134135[[#This Row],[CIE-10]]))</calculatedColumnFormula>
    </tableColumn>
    <tableColumn id="3" xr3:uid="{D0FCA846-C563-44A7-9B8D-751AFE0A33CD}" name="D2" dataDxfId="1017">
      <calculatedColumnFormula>IF($B$2="(Todas)",COUNTIF(BASE[CODCIE102],GUIA_NACIONAL_2022_1106128105107111115129130131132133134135[[#This Row],[CIE-10]]),COUNTIFS(BASE[Cod.Establecimiento],$B$2,BASE[CODCIE102],GUIA_NACIONAL_2022_1106128105107111115129130131132133134135[[#This Row],[CIE-10]]))</calculatedColumnFormula>
    </tableColumn>
    <tableColumn id="4" xr3:uid="{C9171799-B692-4926-A10F-A68150F51D65}" name="D3" dataDxfId="1016">
      <calculatedColumnFormula>IF($B$2="(Todas)",COUNTIF(BASE[CODCIE104],GUIA_NACIONAL_2022_1106128105107111115129130131132133134135[[#This Row],[CIE-10]]),COUNTIFS(BASE[Cod.Establecimiento],$B$2,BASE[CODCIE104],GUIA_NACIONAL_2022_1106128105107111115129130131132133134135[[#This Row],[CIE-10]]))</calculatedColumnFormula>
    </tableColumn>
    <tableColumn id="5" xr3:uid="{33BC8C69-6B35-4117-8DBF-18D2F1BF3B00}" name="D4" dataDxfId="1015">
      <calculatedColumnFormula>IF($B$2="(Todas)",COUNTIF(BASE[CODCIE106],GUIA_NACIONAL_2022_1106128105107111115129130131132133134135[[#This Row],[CIE-10]]),COUNTIFS(BASE[Cod.Establecimiento],$B$2,BASE[CODCIE106],GUIA_NACIONAL_2022_1106128105107111115129130131132133134135[[#This Row],[CIE-10]]))</calculatedColumnFormula>
    </tableColumn>
    <tableColumn id="6" xr3:uid="{0E7E48B2-EF8E-4960-9D85-8A6881FA9705}" name="D5" dataDxfId="1014">
      <calculatedColumnFormula>IF($B$2="(Todas)",COUNTIF(BASE[CODCIE108],GUIA_NACIONAL_2022_1106128105107111115129130131132133134135[[#This Row],[CIE-10]]),COUNTIFS(BASE[Cod.Establecimiento],$B$2,BASE[CODCIE108],GUIA_NACIONAL_2022_1106128105107111115129130131132133134135[[#This Row],[CIE-10]]))</calculatedColumnFormula>
    </tableColumn>
    <tableColumn id="7" xr3:uid="{5B5F8948-F208-4DCB-95D2-5D605302F880}" name="D6" dataDxfId="1013">
      <calculatedColumnFormula>IF($B$2="(Todas)",COUNTIF(BASE[CODCIE1010],GUIA_NACIONAL_2022_1106128105107111115129130131132133134135[[#This Row],[CIE-10]]),COUNTIFS(BASE[Cod.Establecimiento],$B$2,BASE[CODCIE1010],GUIA_NACIONAL_2022_1106128105107111115129130131132133134135[[#This Row],[CIE-10]]))</calculatedColumnFormula>
    </tableColumn>
    <tableColumn id="8" xr3:uid="{9198557D-970B-44E0-9C77-5F6C88C0B74A}" name="TOT" dataDxfId="1012" dataCellStyle="40% - Énfasis6">
      <calculatedColumnFormula>SUM(GUIA_NACIONAL_2022_1106128105107111115129130131132133134135[[#This Row],[D1]:[D6]])</calculatedColumnFormula>
    </tableColumn>
  </tableColumns>
  <tableStyleInfo name="TableStyleLight1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8D78812D-2264-4B38-964D-C7CCCA6C4F03}" name="GUIA_NACIONAL_2022_1106127136" displayName="GUIA_NACIONAL_2022_1106127136" ref="M12:T13" totalsRowShown="0" headerRowDxfId="1011">
  <autoFilter ref="M12:T13" xr:uid="{8D78812D-2264-4B38-964D-C7CCCA6C4F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C372BA-8588-4075-B924-3511A738F38F}" name="CIE-10" dataCellStyle="20% - Énfasis4"/>
    <tableColumn id="2" xr3:uid="{2FD7A477-13A8-4D01-9CA4-35AA5EB8BD53}" name="D1" dataDxfId="1010">
      <calculatedColumnFormula>IF($B$2="(Todas)",COUNTIF(BASE[CODCIE10],GUIA_NACIONAL_2022_1106127136[[#This Row],[CIE-10]]),COUNTIFS(BASE[Cod.Establecimiento],$B$2,BASE[CODCIE10],GUIA_NACIONAL_2022_1106127136[[#This Row],[CIE-10]]))</calculatedColumnFormula>
    </tableColumn>
    <tableColumn id="3" xr3:uid="{FE64529E-E0C6-4D15-8950-64940162A400}" name="D2" dataDxfId="1009">
      <calculatedColumnFormula>IF($B$2="(Todas)",COUNTIF(BASE[CODCIE102],GUIA_NACIONAL_2022_1106127136[[#This Row],[CIE-10]]),COUNTIFS(BASE[Cod.Establecimiento],$B$2,BASE[CODCIE102],GUIA_NACIONAL_2022_1106127136[[#This Row],[CIE-10]]))</calculatedColumnFormula>
    </tableColumn>
    <tableColumn id="4" xr3:uid="{93EDF72B-4648-46EB-8616-8871C7A38FA4}" name="D3" dataDxfId="1008">
      <calculatedColumnFormula>IF($B$2="(Todas)",COUNTIF(BASE[CODCIE104],GUIA_NACIONAL_2022_1106127136[[#This Row],[CIE-10]]),COUNTIFS(BASE[Cod.Establecimiento],$B$2,BASE[CODCIE104],GUIA_NACIONAL_2022_1106127136[[#This Row],[CIE-10]]))</calculatedColumnFormula>
    </tableColumn>
    <tableColumn id="5" xr3:uid="{6A8E3569-FB99-4508-8BD9-8E6A67FDB418}" name="D4" dataDxfId="1007">
      <calculatedColumnFormula>IF($B$2="(Todas)",COUNTIF(BASE[CODCIE106],GUIA_NACIONAL_2022_1106127136[[#This Row],[CIE-10]]),COUNTIFS(BASE[Cod.Establecimiento],$B$2,BASE[CODCIE106],GUIA_NACIONAL_2022_1106127136[[#This Row],[CIE-10]]))</calculatedColumnFormula>
    </tableColumn>
    <tableColumn id="6" xr3:uid="{B36B0922-0DF5-43B1-9ED4-DAAA2DE137AD}" name="D5" dataDxfId="1006">
      <calculatedColumnFormula>IF($B$2="(Todas)",COUNTIF(BASE[CODCIE108],GUIA_NACIONAL_2022_1106127136[[#This Row],[CIE-10]]),COUNTIFS(BASE[Cod.Establecimiento],$B$2,BASE[CODCIE108],GUIA_NACIONAL_2022_1106127136[[#This Row],[CIE-10]]))</calculatedColumnFormula>
    </tableColumn>
    <tableColumn id="7" xr3:uid="{FC25D488-6D31-491A-B7B7-F0C1BE07EBD9}" name="D6" dataDxfId="1005">
      <calculatedColumnFormula>IF($B$2="(Todas)",COUNTIF(BASE[CODCIE1010],GUIA_NACIONAL_2022_1106127136[[#This Row],[CIE-10]]),COUNTIFS(BASE[Cod.Establecimiento],$B$2,BASE[CODCIE1010],GUIA_NACIONAL_2022_1106127136[[#This Row],[CIE-10]]))</calculatedColumnFormula>
    </tableColumn>
    <tableColumn id="8" xr3:uid="{E426C6DB-A087-4797-A8CB-84EA438ABAB8}" name="TOT" dataDxfId="1004" dataCellStyle="40% - Énfasis6">
      <calculatedColumnFormula>SUM(GUIA_NACIONAL_2022_1106127136[[#This Row],[D1]:[D6]])</calculatedColumnFormula>
    </tableColumn>
  </tableColumns>
  <tableStyleInfo name="TableStyleLight1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C64BD43E-D9A2-4D69-9805-DC4EADB2DD7E}" name="GUIA_NACIONAL_2022_1106127136137" displayName="GUIA_NACIONAL_2022_1106127136137" ref="M15:T16" totalsRowShown="0" headerRowDxfId="1003">
  <autoFilter ref="M15:T16" xr:uid="{C64BD43E-D9A2-4D69-9805-DC4EADB2DD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7448DBE-89FE-4747-8797-45BF749422D4}" name="CIE-10" dataCellStyle="20% - Énfasis4"/>
    <tableColumn id="2" xr3:uid="{83E4F471-8922-4552-8583-EFA8917448DF}" name="D1" dataDxfId="1002">
      <calculatedColumnFormula>IF($B$2="(Todas)",COUNTIF(BASE[CODCIE10],GUIA_NACIONAL_2022_1106127136137[[#This Row],[CIE-10]]),COUNTIFS(BASE[Cod.Establecimiento],$B$2,BASE[CODCIE10],GUIA_NACIONAL_2022_1106127136137[[#This Row],[CIE-10]]))</calculatedColumnFormula>
    </tableColumn>
    <tableColumn id="3" xr3:uid="{867E1E08-1991-4E17-AE55-EAD5FDBE5F21}" name="D2" dataDxfId="1001">
      <calculatedColumnFormula>IF($B$2="(Todas)",COUNTIF(BASE[CODCIE102],GUIA_NACIONAL_2022_1106127136137[[#This Row],[CIE-10]]),COUNTIFS(BASE[Cod.Establecimiento],$B$2,BASE[CODCIE102],GUIA_NACIONAL_2022_1106127136137[[#This Row],[CIE-10]]))</calculatedColumnFormula>
    </tableColumn>
    <tableColumn id="4" xr3:uid="{49AE2FA7-E31D-453E-BE54-2866FCBEF1CA}" name="D3" dataDxfId="1000">
      <calculatedColumnFormula>IF($B$2="(Todas)",COUNTIF(BASE[CODCIE104],GUIA_NACIONAL_2022_1106127136137[[#This Row],[CIE-10]]),COUNTIFS(BASE[Cod.Establecimiento],$B$2,BASE[CODCIE104],GUIA_NACIONAL_2022_1106127136137[[#This Row],[CIE-10]]))</calculatedColumnFormula>
    </tableColumn>
    <tableColumn id="5" xr3:uid="{4A2DAFAB-8FAF-4B1E-ACA2-F100CFCB1752}" name="D4" dataDxfId="999">
      <calculatedColumnFormula>IF($B$2="(Todas)",COUNTIF(BASE[CODCIE106],GUIA_NACIONAL_2022_1106127136137[[#This Row],[CIE-10]]),COUNTIFS(BASE[Cod.Establecimiento],$B$2,BASE[CODCIE106],GUIA_NACIONAL_2022_1106127136137[[#This Row],[CIE-10]]))</calculatedColumnFormula>
    </tableColumn>
    <tableColumn id="6" xr3:uid="{D55A0E71-BDA8-43D1-B596-0165502DF1CE}" name="D5" dataDxfId="998">
      <calculatedColumnFormula>IF($B$2="(Todas)",COUNTIF(BASE[CODCIE108],GUIA_NACIONAL_2022_1106127136137[[#This Row],[CIE-10]]),COUNTIFS(BASE[Cod.Establecimiento],$B$2,BASE[CODCIE108],GUIA_NACIONAL_2022_1106127136137[[#This Row],[CIE-10]]))</calculatedColumnFormula>
    </tableColumn>
    <tableColumn id="7" xr3:uid="{5639AD8A-0B2C-4D28-8EC1-6ADD1FC465AD}" name="D6" dataDxfId="997">
      <calculatedColumnFormula>IF($B$2="(Todas)",COUNTIF(BASE[CODCIE1010],GUIA_NACIONAL_2022_1106127136137[[#This Row],[CIE-10]]),COUNTIFS(BASE[Cod.Establecimiento],$B$2,BASE[CODCIE1010],GUIA_NACIONAL_2022_1106127136137[[#This Row],[CIE-10]]))</calculatedColumnFormula>
    </tableColumn>
    <tableColumn id="8" xr3:uid="{98B1E77D-F1E1-429A-8E8D-A03A262D1BE4}" name="TOT" dataDxfId="996" dataCellStyle="40% - Énfasis6">
      <calculatedColumnFormula>SUM(GUIA_NACIONAL_2022_1106127136137[[#This Row],[D1]:[D6]])</calculatedColumnFormula>
    </tableColumn>
  </tableColumns>
  <tableStyleInfo name="TableStyleLight1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A37BE7F7-1D46-46EB-8B85-B27A37F8B995}" name="GUIA_NACIONAL_2022_1106127136137138" displayName="GUIA_NACIONAL_2022_1106127136137138" ref="M18:T19" totalsRowShown="0" headerRowDxfId="995">
  <autoFilter ref="M18:T19" xr:uid="{A37BE7F7-1D46-46EB-8B85-B27A37F8B9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E5B0D72-BF98-4455-9E90-8D286BEE695D}" name="CIE-10" dataCellStyle="20% - Énfasis4"/>
    <tableColumn id="2" xr3:uid="{AA2FE6D0-F1D5-4B9F-A7C9-5139F4A0AFAD}" name="D1" dataDxfId="994">
      <calculatedColumnFormula>IF($B$2="(Todas)",COUNTIF(BASE[CODCIE10],GUIA_NACIONAL_2022_1106127136137138[[#This Row],[CIE-10]]),COUNTIFS(BASE[Cod.Establecimiento],$B$2,BASE[CODCIE10],GUIA_NACIONAL_2022_1106127136137138[[#This Row],[CIE-10]]))</calculatedColumnFormula>
    </tableColumn>
    <tableColumn id="3" xr3:uid="{502A8F3A-BC10-4105-9DE8-8D8C0C849AD1}" name="D2" dataDxfId="993">
      <calculatedColumnFormula>IF($B$2="(Todas)",COUNTIF(BASE[CODCIE102],GUIA_NACIONAL_2022_1106127136137138[[#This Row],[CIE-10]]),COUNTIFS(BASE[Cod.Establecimiento],$B$2,BASE[CODCIE102],GUIA_NACIONAL_2022_1106127136137138[[#This Row],[CIE-10]]))</calculatedColumnFormula>
    </tableColumn>
    <tableColumn id="4" xr3:uid="{E038D8A6-BBB1-4016-8869-B883A91A2EFA}" name="D3" dataDxfId="992">
      <calculatedColumnFormula>IF($B$2="(Todas)",COUNTIF(BASE[CODCIE104],GUIA_NACIONAL_2022_1106127136137138[[#This Row],[CIE-10]]),COUNTIFS(BASE[Cod.Establecimiento],$B$2,BASE[CODCIE104],GUIA_NACIONAL_2022_1106127136137138[[#This Row],[CIE-10]]))</calculatedColumnFormula>
    </tableColumn>
    <tableColumn id="5" xr3:uid="{F7ADEC9C-4A10-4C62-8235-FB86D1ECA464}" name="D4" dataDxfId="991">
      <calculatedColumnFormula>IF($B$2="(Todas)",COUNTIF(BASE[CODCIE106],GUIA_NACIONAL_2022_1106127136137138[[#This Row],[CIE-10]]),COUNTIFS(BASE[Cod.Establecimiento],$B$2,BASE[CODCIE106],GUIA_NACIONAL_2022_1106127136137138[[#This Row],[CIE-10]]))</calculatedColumnFormula>
    </tableColumn>
    <tableColumn id="6" xr3:uid="{01B13F18-E200-408F-8C34-702704CA2788}" name="D5" dataDxfId="990">
      <calculatedColumnFormula>IF($B$2="(Todas)",COUNTIF(BASE[CODCIE108],GUIA_NACIONAL_2022_1106127136137138[[#This Row],[CIE-10]]),COUNTIFS(BASE[Cod.Establecimiento],$B$2,BASE[CODCIE108],GUIA_NACIONAL_2022_1106127136137138[[#This Row],[CIE-10]]))</calculatedColumnFormula>
    </tableColumn>
    <tableColumn id="7" xr3:uid="{B2C21F05-5F55-434D-B4EC-2844BD598887}" name="D6" dataDxfId="989">
      <calculatedColumnFormula>IF($B$2="(Todas)",COUNTIF(BASE[CODCIE1010],GUIA_NACIONAL_2022_1106127136137138[[#This Row],[CIE-10]]),COUNTIFS(BASE[Cod.Establecimiento],$B$2,BASE[CODCIE1010],GUIA_NACIONAL_2022_1106127136137138[[#This Row],[CIE-10]]))</calculatedColumnFormula>
    </tableColumn>
    <tableColumn id="8" xr3:uid="{7B91C39B-7301-4DB3-A2B7-9CDBEDD3CA2A}" name="TOT" dataDxfId="988" dataCellStyle="40% - Énfasis6">
      <calculatedColumnFormula>SUM(GUIA_NACIONAL_2022_1106127136137138[[#This Row],[D1]:[D6]])</calculatedColumnFormula>
    </tableColumn>
  </tableColumns>
  <tableStyleInfo name="TableStyleLight1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5185E3E6-5480-4B0F-AC4B-EB0072ED6C1A}" name="GUIA_NACIONAL_2022_1106127136137138139" displayName="GUIA_NACIONAL_2022_1106127136137138139" ref="M21:T22" totalsRowShown="0" headerRowDxfId="987">
  <autoFilter ref="M21:T22" xr:uid="{5185E3E6-5480-4B0F-AC4B-EB0072ED6C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FD5A222-FC69-480F-BA11-D26920A8C8D5}" name="CIE-10" dataCellStyle="20% - Énfasis4"/>
    <tableColumn id="2" xr3:uid="{1632EE3D-2F53-4210-87F8-B01F3875CA92}" name="D1" dataDxfId="986">
      <calculatedColumnFormula>IF($B$2="(Todas)",COUNTIF(BASE[CODCIE10],GUIA_NACIONAL_2022_1106127136137138139[[#This Row],[CIE-10]]),COUNTIFS(BASE[Cod.Establecimiento],$B$2,BASE[CODCIE10],GUIA_NACIONAL_2022_1106127136137138139[[#This Row],[CIE-10]]))</calculatedColumnFormula>
    </tableColumn>
    <tableColumn id="3" xr3:uid="{FAEC0068-16D9-429A-AB06-40CF672B3EC2}" name="D2" dataDxfId="985">
      <calculatedColumnFormula>IF($B$2="(Todas)",COUNTIF(BASE[CODCIE102],GUIA_NACIONAL_2022_1106127136137138139[[#This Row],[CIE-10]]),COUNTIFS(BASE[Cod.Establecimiento],$B$2,BASE[CODCIE102],GUIA_NACIONAL_2022_1106127136137138139[[#This Row],[CIE-10]]))</calculatedColumnFormula>
    </tableColumn>
    <tableColumn id="4" xr3:uid="{233831BD-B46D-4872-8B8C-6D220F969932}" name="D3" dataDxfId="984">
      <calculatedColumnFormula>IF($B$2="(Todas)",COUNTIF(BASE[CODCIE104],GUIA_NACIONAL_2022_1106127136137138139[[#This Row],[CIE-10]]),COUNTIFS(BASE[Cod.Establecimiento],$B$2,BASE[CODCIE104],GUIA_NACIONAL_2022_1106127136137138139[[#This Row],[CIE-10]]))</calculatedColumnFormula>
    </tableColumn>
    <tableColumn id="5" xr3:uid="{34A7399D-2F19-4AFA-9814-91D395FFBEC9}" name="D4" dataDxfId="983">
      <calculatedColumnFormula>IF($B$2="(Todas)",COUNTIF(BASE[CODCIE106],GUIA_NACIONAL_2022_1106127136137138139[[#This Row],[CIE-10]]),COUNTIFS(BASE[Cod.Establecimiento],$B$2,BASE[CODCIE106],GUIA_NACIONAL_2022_1106127136137138139[[#This Row],[CIE-10]]))</calculatedColumnFormula>
    </tableColumn>
    <tableColumn id="6" xr3:uid="{5E3489BB-1005-44B5-983A-2ECBC4B29C65}" name="D5" dataDxfId="982">
      <calculatedColumnFormula>IF($B$2="(Todas)",COUNTIF(BASE[CODCIE108],GUIA_NACIONAL_2022_1106127136137138139[[#This Row],[CIE-10]]),COUNTIFS(BASE[Cod.Establecimiento],$B$2,BASE[CODCIE108],GUIA_NACIONAL_2022_1106127136137138139[[#This Row],[CIE-10]]))</calculatedColumnFormula>
    </tableColumn>
    <tableColumn id="7" xr3:uid="{A93116E2-F47C-447B-A54E-C8FC0DAB7476}" name="D6" dataDxfId="981">
      <calculatedColumnFormula>IF($B$2="(Todas)",COUNTIF(BASE[CODCIE1010],GUIA_NACIONAL_2022_1106127136137138139[[#This Row],[CIE-10]]),COUNTIFS(BASE[Cod.Establecimiento],$B$2,BASE[CODCIE1010],GUIA_NACIONAL_2022_1106127136137138139[[#This Row],[CIE-10]]))</calculatedColumnFormula>
    </tableColumn>
    <tableColumn id="8" xr3:uid="{D8BF2971-21BF-4795-80F2-F1702A8278F3}" name="TOT" dataDxfId="980" dataCellStyle="40% - Énfasis6">
      <calculatedColumnFormula>SUM(GUIA_NACIONAL_2022_1106127136137138139[[#This Row],[D1]:[D6]])</calculatedColumnFormula>
    </tableColumn>
  </tableColumns>
  <tableStyleInfo name="TableStyleLight1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1498FD2-95C8-48F3-8770-7ED52E17F23D}" name="GUIA_NACIONAL_2022_1106127136137138139140" displayName="GUIA_NACIONAL_2022_1106127136137138139140" ref="M24:T27" totalsRowShown="0" headerRowDxfId="979">
  <autoFilter ref="M24:T27" xr:uid="{01498FD2-95C8-48F3-8770-7ED52E17F2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4608BF-CFB8-4DBA-89C1-FF7621F3B66E}" name="CIE-10" dataCellStyle="20% - Énfasis4"/>
    <tableColumn id="2" xr3:uid="{ABE495F5-CD1F-4937-9D24-2FB77A45497D}" name="D1" dataDxfId="978">
      <calculatedColumnFormula>IF($B$2="(Todas)",COUNTIF(BASE[CODCIE10],GUIA_NACIONAL_2022_1106127136137138139140[[#This Row],[CIE-10]]),COUNTIFS(BASE[Cod.Establecimiento],$B$2,BASE[CODCIE10],GUIA_NACIONAL_2022_1106127136137138139140[[#This Row],[CIE-10]]))</calculatedColumnFormula>
    </tableColumn>
    <tableColumn id="3" xr3:uid="{9D18C794-2C8F-4B98-AB50-298F37B84109}" name="D2" dataDxfId="977">
      <calculatedColumnFormula>IF($B$2="(Todas)",COUNTIF(BASE[CODCIE102],GUIA_NACIONAL_2022_1106127136137138139140[[#This Row],[CIE-10]]),COUNTIFS(BASE[Cod.Establecimiento],$B$2,BASE[CODCIE102],GUIA_NACIONAL_2022_1106127136137138139140[[#This Row],[CIE-10]]))</calculatedColumnFormula>
    </tableColumn>
    <tableColumn id="4" xr3:uid="{4369FEFB-C03E-4029-BF3F-1E3908A41741}" name="D3" dataDxfId="976">
      <calculatedColumnFormula>IF($B$2="(Todas)",COUNTIF(BASE[CODCIE104],GUIA_NACIONAL_2022_1106127136137138139140[[#This Row],[CIE-10]]),COUNTIFS(BASE[Cod.Establecimiento],$B$2,BASE[CODCIE104],GUIA_NACIONAL_2022_1106127136137138139140[[#This Row],[CIE-10]]))</calculatedColumnFormula>
    </tableColumn>
    <tableColumn id="5" xr3:uid="{49BC10F4-E41D-4AAA-9BAC-E7B1B88BF87B}" name="D4" dataDxfId="975">
      <calculatedColumnFormula>IF($B$2="(Todas)",COUNTIF(BASE[CODCIE106],GUIA_NACIONAL_2022_1106127136137138139140[[#This Row],[CIE-10]]),COUNTIFS(BASE[Cod.Establecimiento],$B$2,BASE[CODCIE106],GUIA_NACIONAL_2022_1106127136137138139140[[#This Row],[CIE-10]]))</calculatedColumnFormula>
    </tableColumn>
    <tableColumn id="6" xr3:uid="{DB7B5BBE-6809-4057-8057-CDFC347540F9}" name="D5" dataDxfId="974">
      <calculatedColumnFormula>IF($B$2="(Todas)",COUNTIF(BASE[CODCIE108],GUIA_NACIONAL_2022_1106127136137138139140[[#This Row],[CIE-10]]),COUNTIFS(BASE[Cod.Establecimiento],$B$2,BASE[CODCIE108],GUIA_NACIONAL_2022_1106127136137138139140[[#This Row],[CIE-10]]))</calculatedColumnFormula>
    </tableColumn>
    <tableColumn id="7" xr3:uid="{B2DE8500-D984-473A-81A0-A4F70D5AAB9C}" name="D6" dataDxfId="973">
      <calculatedColumnFormula>IF($B$2="(Todas)",COUNTIF(BASE[CODCIE1010],GUIA_NACIONAL_2022_1106127136137138139140[[#This Row],[CIE-10]]),COUNTIFS(BASE[Cod.Establecimiento],$B$2,BASE[CODCIE1010],GUIA_NACIONAL_2022_1106127136137138139140[[#This Row],[CIE-10]]))</calculatedColumnFormula>
    </tableColumn>
    <tableColumn id="8" xr3:uid="{AF197B10-D5FD-4DFF-B29E-B3F4D111408D}" name="TOT" dataDxfId="972" dataCellStyle="40% - Énfasis6">
      <calculatedColumnFormula>SUM(GUIA_NACIONAL_2022_1106127136137138139140[[#This Row],[D1]:[D6]])</calculatedColumnFormula>
    </tableColumn>
  </tableColumns>
  <tableStyleInfo name="TableStyleLight1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63A2FCAF-A8C6-41D4-89B0-E8237F62FBCA}" name="GUIA_NACIONAL_2022_1106127136137138139140141" displayName="GUIA_NACIONAL_2022_1106127136137138139140141" ref="M29:T33" totalsRowShown="0" headerRowDxfId="971">
  <autoFilter ref="M29:T33" xr:uid="{63A2FCAF-A8C6-41D4-89B0-E8237F62FB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E65DE4C-B110-41D4-ADA2-9A8C30A75480}" name="CIE-10" dataCellStyle="20% - Énfasis4"/>
    <tableColumn id="2" xr3:uid="{C08069BD-9F20-47D5-9F3D-EA282CA96512}" name="D1" dataDxfId="970">
      <calculatedColumnFormula>IF($B$2="(Todas)",COUNTIF(BASE[CODCIE10],GUIA_NACIONAL_2022_1106127136137138139140141[[#This Row],[CIE-10]]),COUNTIFS(BASE[Cod.Establecimiento],$B$2,BASE[CODCIE10],GUIA_NACIONAL_2022_1106127136137138139140141[[#This Row],[CIE-10]]))</calculatedColumnFormula>
    </tableColumn>
    <tableColumn id="3" xr3:uid="{AE85683D-8671-4594-8E05-A5FD6814F3FD}" name="D2" dataDxfId="969">
      <calculatedColumnFormula>IF($B$2="(Todas)",COUNTIF(BASE[CODCIE102],GUIA_NACIONAL_2022_1106127136137138139140141[[#This Row],[CIE-10]]),COUNTIFS(BASE[Cod.Establecimiento],$B$2,BASE[CODCIE102],GUIA_NACIONAL_2022_1106127136137138139140141[[#This Row],[CIE-10]]))</calculatedColumnFormula>
    </tableColumn>
    <tableColumn id="4" xr3:uid="{76620BE1-584A-4189-9B42-E8911AF1DFF2}" name="D3" dataDxfId="968">
      <calculatedColumnFormula>IF($B$2="(Todas)",COUNTIF(BASE[CODCIE104],GUIA_NACIONAL_2022_1106127136137138139140141[[#This Row],[CIE-10]]),COUNTIFS(BASE[Cod.Establecimiento],$B$2,BASE[CODCIE104],GUIA_NACIONAL_2022_1106127136137138139140141[[#This Row],[CIE-10]]))</calculatedColumnFormula>
    </tableColumn>
    <tableColumn id="5" xr3:uid="{45A52ED3-EAC3-46C7-93E5-220D2A6E9988}" name="D4" dataDxfId="967">
      <calculatedColumnFormula>IF($B$2="(Todas)",COUNTIF(BASE[CODCIE106],GUIA_NACIONAL_2022_1106127136137138139140141[[#This Row],[CIE-10]]),COUNTIFS(BASE[Cod.Establecimiento],$B$2,BASE[CODCIE106],GUIA_NACIONAL_2022_1106127136137138139140141[[#This Row],[CIE-10]]))</calculatedColumnFormula>
    </tableColumn>
    <tableColumn id="6" xr3:uid="{471831EA-B8C4-4C81-A36F-088B997E1F3D}" name="D5" dataDxfId="966">
      <calculatedColumnFormula>IF($B$2="(Todas)",COUNTIF(BASE[CODCIE108],GUIA_NACIONAL_2022_1106127136137138139140141[[#This Row],[CIE-10]]),COUNTIFS(BASE[Cod.Establecimiento],$B$2,BASE[CODCIE108],GUIA_NACIONAL_2022_1106127136137138139140141[[#This Row],[CIE-10]]))</calculatedColumnFormula>
    </tableColumn>
    <tableColumn id="7" xr3:uid="{155ADA30-E48A-40A1-9FAE-AF29D86FE4B8}" name="D6" dataDxfId="965">
      <calculatedColumnFormula>IF($B$2="(Todas)",COUNTIF(BASE[CODCIE1010],GUIA_NACIONAL_2022_1106127136137138139140141[[#This Row],[CIE-10]]),COUNTIFS(BASE[Cod.Establecimiento],$B$2,BASE[CODCIE1010],GUIA_NACIONAL_2022_1106127136137138139140141[[#This Row],[CIE-10]]))</calculatedColumnFormula>
    </tableColumn>
    <tableColumn id="8" xr3:uid="{B589718B-3F1A-4ABC-8A49-BDBF6D042C93}" name="TOT" dataDxfId="964" dataCellStyle="40% - Énfasis6">
      <calculatedColumnFormula>SUM(GUIA_NACIONAL_2022_1106127136137138139140141[[#This Row],[D1]:[D6]])</calculatedColumnFormula>
    </tableColumn>
  </tableColumns>
  <tableStyleInfo name="TableStyleLight1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3C501DFF-F7F8-4FBA-B3CC-5D5CBA746BAC}" name="GUIA_NACIONAL_2022_1106127136137138139142" displayName="GUIA_NACIONAL_2022_1106127136137138139142" ref="M35:T36" totalsRowShown="0" headerRowDxfId="963">
  <autoFilter ref="M35:T36" xr:uid="{3C501DFF-F7F8-4FBA-B3CC-5D5CBA746B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FC3A772-A8E8-4A5A-A21E-DDF6969AAE45}" name="CIE-10" dataCellStyle="20% - Énfasis4"/>
    <tableColumn id="2" xr3:uid="{4242D86F-6249-4ED5-8992-C5E2399F2167}" name="D1" dataDxfId="962">
      <calculatedColumnFormula>IF($B$2="(Todas)",COUNTIF(BASE[CODCIE10],GUIA_NACIONAL_2022_1106127136137138139142[[#This Row],[CIE-10]]),COUNTIFS(BASE[Cod.Establecimiento],$B$2,BASE[CODCIE10],GUIA_NACIONAL_2022_1106127136137138139142[[#This Row],[CIE-10]]))</calculatedColumnFormula>
    </tableColumn>
    <tableColumn id="3" xr3:uid="{3F9DB352-4FCF-462E-95B3-F2ACF99476A4}" name="D2" dataDxfId="961">
      <calculatedColumnFormula>IF($B$2="(Todas)",COUNTIF(BASE[CODCIE102],GUIA_NACIONAL_2022_1106127136137138139142[[#This Row],[CIE-10]]),COUNTIFS(BASE[Cod.Establecimiento],$B$2,BASE[CODCIE102],GUIA_NACIONAL_2022_1106127136137138139142[[#This Row],[CIE-10]]))</calculatedColumnFormula>
    </tableColumn>
    <tableColumn id="4" xr3:uid="{7790EEBC-367A-4F70-8C37-F2BF01171157}" name="D3" dataDxfId="960">
      <calculatedColumnFormula>IF($B$2="(Todas)",COUNTIF(BASE[CODCIE104],GUIA_NACIONAL_2022_1106127136137138139142[[#This Row],[CIE-10]]),COUNTIFS(BASE[Cod.Establecimiento],$B$2,BASE[CODCIE104],GUIA_NACIONAL_2022_1106127136137138139142[[#This Row],[CIE-10]]))</calculatedColumnFormula>
    </tableColumn>
    <tableColumn id="5" xr3:uid="{C1C9A365-58AE-4CFF-9D67-B816D4B2666A}" name="D4" dataDxfId="959">
      <calculatedColumnFormula>IF($B$2="(Todas)",COUNTIF(BASE[CODCIE106],GUIA_NACIONAL_2022_1106127136137138139142[[#This Row],[CIE-10]]),COUNTIFS(BASE[Cod.Establecimiento],$B$2,BASE[CODCIE106],GUIA_NACIONAL_2022_1106127136137138139142[[#This Row],[CIE-10]]))</calculatedColumnFormula>
    </tableColumn>
    <tableColumn id="6" xr3:uid="{240A2028-C9FB-4735-89BC-AB51222ED9A4}" name="D5" dataDxfId="958">
      <calculatedColumnFormula>IF($B$2="(Todas)",COUNTIF(BASE[CODCIE108],GUIA_NACIONAL_2022_1106127136137138139142[[#This Row],[CIE-10]]),COUNTIFS(BASE[Cod.Establecimiento],$B$2,BASE[CODCIE108],GUIA_NACIONAL_2022_1106127136137138139142[[#This Row],[CIE-10]]))</calculatedColumnFormula>
    </tableColumn>
    <tableColumn id="7" xr3:uid="{1B328E0B-011E-454A-8A52-EA5AF01F6FCF}" name="D6" dataDxfId="957">
      <calculatedColumnFormula>IF($B$2="(Todas)",COUNTIF(BASE[CODCIE1010],GUIA_NACIONAL_2022_1106127136137138139142[[#This Row],[CIE-10]]),COUNTIFS(BASE[Cod.Establecimiento],$B$2,BASE[CODCIE1010],GUIA_NACIONAL_2022_1106127136137138139142[[#This Row],[CIE-10]]))</calculatedColumnFormula>
    </tableColumn>
    <tableColumn id="8" xr3:uid="{06731D30-5E15-4BBE-A6BF-E62F2D153F47}" name="TOT" dataDxfId="956" dataCellStyle="40% - Énfasis6">
      <calculatedColumnFormula>SUM(GUIA_NACIONAL_2022_1106127136137138139142[[#This Row],[D1]:[D6]])</calculatedColumnFormula>
    </tableColumn>
  </tableColumns>
  <tableStyleInfo name="TableStyleLight1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D9F46369-817E-41B8-8C10-1202C540288A}" name="GUIA_NACIONAL_2022_1106128143" displayName="GUIA_NACIONAL_2022_1106128143" ref="V7:AC8" totalsRowShown="0" headerRowDxfId="955">
  <autoFilter ref="V7:AC8" xr:uid="{D9F46369-817E-41B8-8C10-1202C54028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6FB87F7-3056-41C8-B18F-9A15D9E2CE01}" name="CIE-10" dataCellStyle="20% - Énfasis4"/>
    <tableColumn id="2" xr3:uid="{DFAA5264-A632-43E1-98EB-9F8B9B22065A}" name="D1" dataDxfId="954">
      <calculatedColumnFormula>IF($B$2="(Todas)",COUNTIF(BASE[CODCIE10],GUIA_NACIONAL_2022_1106128143[[#This Row],[CIE-10]]),COUNTIFS(BASE[Cod.Establecimiento],$B$2,BASE[CODCIE10],GUIA_NACIONAL_2022_1106128143[[#This Row],[CIE-10]]))</calculatedColumnFormula>
    </tableColumn>
    <tableColumn id="3" xr3:uid="{5CD41404-4969-4192-99E4-0E159980786B}" name="D2" dataDxfId="953">
      <calculatedColumnFormula>IF($B$2="(Todas)",COUNTIF(BASE[CODCIE102],GUIA_NACIONAL_2022_1106128143[[#This Row],[CIE-10]]),COUNTIFS(BASE[Cod.Establecimiento],$B$2,BASE[CODCIE102],GUIA_NACIONAL_2022_1106128143[[#This Row],[CIE-10]]))</calculatedColumnFormula>
    </tableColumn>
    <tableColumn id="4" xr3:uid="{47A72324-934A-47AF-90FF-AC4490D16D50}" name="D3" dataDxfId="952">
      <calculatedColumnFormula>IF($B$2="(Todas)",COUNTIF(BASE[CODCIE104],GUIA_NACIONAL_2022_1106128143[[#This Row],[CIE-10]]),COUNTIFS(BASE[Cod.Establecimiento],$B$2,BASE[CODCIE104],GUIA_NACIONAL_2022_1106128143[[#This Row],[CIE-10]]))</calculatedColumnFormula>
    </tableColumn>
    <tableColumn id="5" xr3:uid="{C09C2BF6-3DDE-4ADA-BA17-20152754A1CB}" name="D4" dataDxfId="951">
      <calculatedColumnFormula>IF($B$2="(Todas)",COUNTIF(BASE[CODCIE106],GUIA_NACIONAL_2022_1106128143[[#This Row],[CIE-10]]),COUNTIFS(BASE[Cod.Establecimiento],$B$2,BASE[CODCIE106],GUIA_NACIONAL_2022_1106128143[[#This Row],[CIE-10]]))</calculatedColumnFormula>
    </tableColumn>
    <tableColumn id="6" xr3:uid="{282DD68E-8A09-44D8-93EA-D31B5C2F0B13}" name="D5" dataDxfId="950">
      <calculatedColumnFormula>IF($B$2="(Todas)",COUNTIF(BASE[CODCIE108],GUIA_NACIONAL_2022_1106128143[[#This Row],[CIE-10]]),COUNTIFS(BASE[Cod.Establecimiento],$B$2,BASE[CODCIE108],GUIA_NACIONAL_2022_1106128143[[#This Row],[CIE-10]]))</calculatedColumnFormula>
    </tableColumn>
    <tableColumn id="7" xr3:uid="{5549444D-ECD4-4760-BA09-64A12876985E}" name="D6" dataDxfId="949">
      <calculatedColumnFormula>IF($B$2="(Todas)",COUNTIF(BASE[CODCIE1010],GUIA_NACIONAL_2022_1106128143[[#This Row],[CIE-10]]),COUNTIFS(BASE[Cod.Establecimiento],$B$2,BASE[CODCIE1010],GUIA_NACIONAL_2022_1106128143[[#This Row],[CIE-10]]))</calculatedColumnFormula>
    </tableColumn>
    <tableColumn id="8" xr3:uid="{AC22F306-3FD9-4797-9B52-3D66D9BBC70F}" name="TOT" dataDxfId="948" dataCellStyle="40% - Énfasis6">
      <calculatedColumnFormula>SUM(GUIA_NACIONAL_2022_1106128143[[#This Row],[D1]:[D6]])</calculatedColumnFormula>
    </tableColumn>
  </tableColumns>
  <tableStyleInfo name="TableStyleLight1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352DD10B-A844-4FD3-B18E-A383C3E754D1}" name="GUIA_NACIONAL_2022_1106128143144" displayName="GUIA_NACIONAL_2022_1106128143144" ref="V10:AC13" totalsRowShown="0" headerRowDxfId="947">
  <autoFilter ref="V10:AC13" xr:uid="{352DD10B-A844-4FD3-B18E-A383C3E754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ACC6ED-6766-4821-8E6F-65150BBD3248}" name="CIE-10" dataCellStyle="20% - Énfasis4"/>
    <tableColumn id="2" xr3:uid="{0AE21A71-27B5-47D1-9536-488D7615D55C}" name="D1" dataDxfId="946">
      <calculatedColumnFormula>IF($B$2="(Todas)",COUNTIF(BASE[CODCIE10],GUIA_NACIONAL_2022_1106128143144[[#This Row],[CIE-10]]),COUNTIFS(BASE[Cod.Establecimiento],$B$2,BASE[CODCIE10],GUIA_NACIONAL_2022_1106128143144[[#This Row],[CIE-10]]))</calculatedColumnFormula>
    </tableColumn>
    <tableColumn id="3" xr3:uid="{CD12A5E6-E424-4F9B-9C15-67996A324A8E}" name="D2" dataDxfId="945">
      <calculatedColumnFormula>IF($B$2="(Todas)",COUNTIF(BASE[CODCIE102],GUIA_NACIONAL_2022_1106128143144[[#This Row],[CIE-10]]),COUNTIFS(BASE[Cod.Establecimiento],$B$2,BASE[CODCIE102],GUIA_NACIONAL_2022_1106128143144[[#This Row],[CIE-10]]))</calculatedColumnFormula>
    </tableColumn>
    <tableColumn id="4" xr3:uid="{66FF2AAF-0CC4-4B25-BD06-8CA0BBCE7B41}" name="D3" dataDxfId="944">
      <calculatedColumnFormula>IF($B$2="(Todas)",COUNTIF(BASE[CODCIE104],GUIA_NACIONAL_2022_1106128143144[[#This Row],[CIE-10]]),COUNTIFS(BASE[Cod.Establecimiento],$B$2,BASE[CODCIE104],GUIA_NACIONAL_2022_1106128143144[[#This Row],[CIE-10]]))</calculatedColumnFormula>
    </tableColumn>
    <tableColumn id="5" xr3:uid="{788780D3-4170-4524-9497-227C1D02B39A}" name="D4" dataDxfId="943">
      <calculatedColumnFormula>IF($B$2="(Todas)",COUNTIF(BASE[CODCIE106],GUIA_NACIONAL_2022_1106128143144[[#This Row],[CIE-10]]),COUNTIFS(BASE[Cod.Establecimiento],$B$2,BASE[CODCIE106],GUIA_NACIONAL_2022_1106128143144[[#This Row],[CIE-10]]))</calculatedColumnFormula>
    </tableColumn>
    <tableColumn id="6" xr3:uid="{6634B7D6-48CF-438B-8D62-DC628B609562}" name="D5" dataDxfId="942">
      <calculatedColumnFormula>IF($B$2="(Todas)",COUNTIF(BASE[CODCIE108],GUIA_NACIONAL_2022_1106128143144[[#This Row],[CIE-10]]),COUNTIFS(BASE[Cod.Establecimiento],$B$2,BASE[CODCIE108],GUIA_NACIONAL_2022_1106128143144[[#This Row],[CIE-10]]))</calculatedColumnFormula>
    </tableColumn>
    <tableColumn id="7" xr3:uid="{8DFE7091-DA6F-44DD-BF84-09F8FF4ED593}" name="D6" dataDxfId="941">
      <calculatedColumnFormula>IF($B$2="(Todas)",COUNTIF(BASE[CODCIE1010],GUIA_NACIONAL_2022_1106128143144[[#This Row],[CIE-10]]),COUNTIFS(BASE[Cod.Establecimiento],$B$2,BASE[CODCIE1010],GUIA_NACIONAL_2022_1106128143144[[#This Row],[CIE-10]]))</calculatedColumnFormula>
    </tableColumn>
    <tableColumn id="8" xr3:uid="{55E2AD8B-44FC-40E2-8616-80B5F042B58F}" name="TOT" dataDxfId="940" dataCellStyle="40% - Énfasis6">
      <calculatedColumnFormula>SUM(GUIA_NACIONAL_2022_1106128143144[[#This Row],[D1]:[D6]])</calculatedColumnFormula>
    </tableColumn>
  </tableColumns>
  <tableStyleInfo name="TableStyleLight1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896BACC7-576F-46DC-90FA-22B9524F9ED3}" name="GUIA_NACIONAL_2022_1106128143146" displayName="GUIA_NACIONAL_2022_1106128143146" ref="V16:AC17" totalsRowShown="0" headerRowDxfId="939">
  <autoFilter ref="V16:AC17" xr:uid="{896BACC7-576F-46DC-90FA-22B9524F9E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101358-35AB-49F6-B543-01DEA5214F40}" name="CIE-10" dataCellStyle="20% - Énfasis4"/>
    <tableColumn id="2" xr3:uid="{3C73DBD4-67B4-49D8-9AEE-4A80B06DC628}" name="D1" dataDxfId="938">
      <calculatedColumnFormula>IF($B$2="(Todas)",COUNTIF(BASE[CODCIE10],GUIA_NACIONAL_2022_1106128143146[[#This Row],[CIE-10]]),COUNTIFS(BASE[Cod.Establecimiento],$B$2,BASE[CODCIE10],GUIA_NACIONAL_2022_1106128143146[[#This Row],[CIE-10]]))</calculatedColumnFormula>
    </tableColumn>
    <tableColumn id="3" xr3:uid="{C056B1D1-8552-4219-AA41-137C61789E6B}" name="D2" dataDxfId="937">
      <calculatedColumnFormula>IF($B$2="(Todas)",COUNTIF(BASE[CODCIE102],GUIA_NACIONAL_2022_1106128143146[[#This Row],[CIE-10]]),COUNTIFS(BASE[Cod.Establecimiento],$B$2,BASE[CODCIE102],GUIA_NACIONAL_2022_1106128143146[[#This Row],[CIE-10]]))</calculatedColumnFormula>
    </tableColumn>
    <tableColumn id="4" xr3:uid="{AF9EB0EC-51FF-4102-946B-EDCCA94C836B}" name="D3" dataDxfId="936">
      <calculatedColumnFormula>IF($B$2="(Todas)",COUNTIF(BASE[CODCIE104],GUIA_NACIONAL_2022_1106128143146[[#This Row],[CIE-10]]),COUNTIFS(BASE[Cod.Establecimiento],$B$2,BASE[CODCIE104],GUIA_NACIONAL_2022_1106128143146[[#This Row],[CIE-10]]))</calculatedColumnFormula>
    </tableColumn>
    <tableColumn id="5" xr3:uid="{1097AD4A-D1C6-44C2-BF76-50DB05F54C1E}" name="D4" dataDxfId="935">
      <calculatedColumnFormula>IF($B$2="(Todas)",COUNTIF(BASE[CODCIE106],GUIA_NACIONAL_2022_1106128143146[[#This Row],[CIE-10]]),COUNTIFS(BASE[Cod.Establecimiento],$B$2,BASE[CODCIE106],GUIA_NACIONAL_2022_1106128143146[[#This Row],[CIE-10]]))</calculatedColumnFormula>
    </tableColumn>
    <tableColumn id="6" xr3:uid="{4736808D-BCBE-4678-89F6-7035ED98C6D8}" name="D5" dataDxfId="934">
      <calculatedColumnFormula>IF($B$2="(Todas)",COUNTIF(BASE[CODCIE108],GUIA_NACIONAL_2022_1106128143146[[#This Row],[CIE-10]]),COUNTIFS(BASE[Cod.Establecimiento],$B$2,BASE[CODCIE108],GUIA_NACIONAL_2022_1106128143146[[#This Row],[CIE-10]]))</calculatedColumnFormula>
    </tableColumn>
    <tableColumn id="7" xr3:uid="{E0A5CC29-4926-4232-816A-9D997CE70602}" name="D6" dataDxfId="933">
      <calculatedColumnFormula>IF($B$2="(Todas)",COUNTIF(BASE[CODCIE1010],GUIA_NACIONAL_2022_1106128143146[[#This Row],[CIE-10]]),COUNTIFS(BASE[Cod.Establecimiento],$B$2,BASE[CODCIE1010],GUIA_NACIONAL_2022_1106128143146[[#This Row],[CIE-10]]))</calculatedColumnFormula>
    </tableColumn>
    <tableColumn id="8" xr3:uid="{D1B3AB31-C510-4264-BB4A-8597900EC179}" name="TOT" dataDxfId="932" dataCellStyle="40% - Énfasis6">
      <calculatedColumnFormula>SUM(GUIA_NACIONAL_2022_1106128143146[[#This Row],[D1]:[D6]])</calculatedColumnFormula>
    </tableColumn>
  </tableColumns>
  <tableStyleInfo name="TableStyleLight1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EED35C28-B02F-45F2-9A2B-1DE8914B2021}" name="GUIA_NACIONAL_2022_1106128143146147" displayName="GUIA_NACIONAL_2022_1106128143146147" ref="V19:AC22" totalsRowShown="0" headerRowDxfId="931">
  <autoFilter ref="V19:AC22" xr:uid="{EED35C28-B02F-45F2-9A2B-1DE8914B20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554C1EF-E46F-4DBB-AE61-A881799B57ED}" name="CIE-10" dataCellStyle="20% - Énfasis4"/>
    <tableColumn id="2" xr3:uid="{E1052BCD-C519-4805-9BB6-A31445D40C85}" name="D1" dataDxfId="930">
      <calculatedColumnFormula>IF($B$2="(Todas)",COUNTIF(BASE[CODCIE10],GUIA_NACIONAL_2022_1106128143146147[[#This Row],[CIE-10]]),COUNTIFS(BASE[Cod.Establecimiento],$B$2,BASE[CODCIE10],GUIA_NACIONAL_2022_1106128143146147[[#This Row],[CIE-10]]))</calculatedColumnFormula>
    </tableColumn>
    <tableColumn id="3" xr3:uid="{311FEA9F-A7D9-4077-A4C9-9C8455D393D4}" name="D2" dataDxfId="929">
      <calculatedColumnFormula>IF($B$2="(Todas)",COUNTIF(BASE[CODCIE102],GUIA_NACIONAL_2022_1106128143146147[[#This Row],[CIE-10]]),COUNTIFS(BASE[Cod.Establecimiento],$B$2,BASE[CODCIE102],GUIA_NACIONAL_2022_1106128143146147[[#This Row],[CIE-10]]))</calculatedColumnFormula>
    </tableColumn>
    <tableColumn id="4" xr3:uid="{D4799BCD-A81C-4203-9B9E-FFC534315ED2}" name="D3" dataDxfId="928">
      <calculatedColumnFormula>IF($B$2="(Todas)",COUNTIF(BASE[CODCIE104],GUIA_NACIONAL_2022_1106128143146147[[#This Row],[CIE-10]]),COUNTIFS(BASE[Cod.Establecimiento],$B$2,BASE[CODCIE104],GUIA_NACIONAL_2022_1106128143146147[[#This Row],[CIE-10]]))</calculatedColumnFormula>
    </tableColumn>
    <tableColumn id="5" xr3:uid="{B22D1AFA-E735-49C3-9A32-C8DAC2C54FA0}" name="D4" dataDxfId="927">
      <calculatedColumnFormula>IF($B$2="(Todas)",COUNTIF(BASE[CODCIE106],GUIA_NACIONAL_2022_1106128143146147[[#This Row],[CIE-10]]),COUNTIFS(BASE[Cod.Establecimiento],$B$2,BASE[CODCIE106],GUIA_NACIONAL_2022_1106128143146147[[#This Row],[CIE-10]]))</calculatedColumnFormula>
    </tableColumn>
    <tableColumn id="6" xr3:uid="{72B10B39-7AF2-4B8D-B066-5806B063AA23}" name="D5" dataDxfId="926">
      <calculatedColumnFormula>IF($B$2="(Todas)",COUNTIF(BASE[CODCIE108],GUIA_NACIONAL_2022_1106128143146147[[#This Row],[CIE-10]]),COUNTIFS(BASE[Cod.Establecimiento],$B$2,BASE[CODCIE108],GUIA_NACIONAL_2022_1106128143146147[[#This Row],[CIE-10]]))</calculatedColumnFormula>
    </tableColumn>
    <tableColumn id="7" xr3:uid="{11DE5D45-A3F9-4307-84CA-21F62702D0C6}" name="D6" dataDxfId="925">
      <calculatedColumnFormula>IF($B$2="(Todas)",COUNTIF(BASE[CODCIE1010],GUIA_NACIONAL_2022_1106128143146147[[#This Row],[CIE-10]]),COUNTIFS(BASE[Cod.Establecimiento],$B$2,BASE[CODCIE1010],GUIA_NACIONAL_2022_1106128143146147[[#This Row],[CIE-10]]))</calculatedColumnFormula>
    </tableColumn>
    <tableColumn id="8" xr3:uid="{5CFC488F-A99F-40F7-9466-77CE49467CF4}" name="TOT" dataDxfId="924" dataCellStyle="40% - Énfasis6">
      <calculatedColumnFormula>SUM(GUIA_NACIONAL_2022_1106128143146147[[#This Row],[D1]:[D6]])</calculatedColumnFormula>
    </tableColumn>
  </tableColumns>
  <tableStyleInfo name="TableStyleLight1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1286F2F8-18B1-4E4A-B0B0-1BAFA1897AAE}" name="GUIA_NACIONAL_2022_1106128143146147148" displayName="GUIA_NACIONAL_2022_1106128143146147148" ref="V24:AC29" totalsRowShown="0" headerRowDxfId="923">
  <autoFilter ref="V24:AC29" xr:uid="{1286F2F8-18B1-4E4A-B0B0-1BAFA1897A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DD7AD3D-64B3-4E9C-8A7B-8B337FF0C822}" name="CIE-10" dataCellStyle="20% - Énfasis4"/>
    <tableColumn id="2" xr3:uid="{CC03DA04-F6FB-441D-AAD7-FDD73028B4EF}" name="D1" dataDxfId="922">
      <calculatedColumnFormula>IF($B$2="(Todas)",COUNTIF(BASE[CODCIE10],GUIA_NACIONAL_2022_1106128143146147148[[#This Row],[CIE-10]]),COUNTIFS(BASE[Cod.Establecimiento],$B$2,BASE[CODCIE10],GUIA_NACIONAL_2022_1106128143146147148[[#This Row],[CIE-10]]))</calculatedColumnFormula>
    </tableColumn>
    <tableColumn id="3" xr3:uid="{A4207B23-5BE3-45E5-87BE-D55635880C1D}" name="D2" dataDxfId="921">
      <calculatedColumnFormula>IF($B$2="(Todas)",COUNTIF(BASE[CODCIE102],GUIA_NACIONAL_2022_1106128143146147148[[#This Row],[CIE-10]]),COUNTIFS(BASE[Cod.Establecimiento],$B$2,BASE[CODCIE102],GUIA_NACIONAL_2022_1106128143146147148[[#This Row],[CIE-10]]))</calculatedColumnFormula>
    </tableColumn>
    <tableColumn id="4" xr3:uid="{5706BE5F-E5D3-4456-9D79-04D14C5BE8E4}" name="D3" dataDxfId="920">
      <calculatedColumnFormula>IF($B$2="(Todas)",COUNTIF(BASE[CODCIE104],GUIA_NACIONAL_2022_1106128143146147148[[#This Row],[CIE-10]]),COUNTIFS(BASE[Cod.Establecimiento],$B$2,BASE[CODCIE104],GUIA_NACIONAL_2022_1106128143146147148[[#This Row],[CIE-10]]))</calculatedColumnFormula>
    </tableColumn>
    <tableColumn id="5" xr3:uid="{433067DD-F740-4D9C-B284-4528A59013B2}" name="D4" dataDxfId="919">
      <calculatedColumnFormula>IF($B$2="(Todas)",COUNTIF(BASE[CODCIE106],GUIA_NACIONAL_2022_1106128143146147148[[#This Row],[CIE-10]]),COUNTIFS(BASE[Cod.Establecimiento],$B$2,BASE[CODCIE106],GUIA_NACIONAL_2022_1106128143146147148[[#This Row],[CIE-10]]))</calculatedColumnFormula>
    </tableColumn>
    <tableColumn id="6" xr3:uid="{56034BB9-AA70-476A-BE6A-4EB951C3425D}" name="D5" dataDxfId="918">
      <calculatedColumnFormula>IF($B$2="(Todas)",COUNTIF(BASE[CODCIE108],GUIA_NACIONAL_2022_1106128143146147148[[#This Row],[CIE-10]]),COUNTIFS(BASE[Cod.Establecimiento],$B$2,BASE[CODCIE108],GUIA_NACIONAL_2022_1106128143146147148[[#This Row],[CIE-10]]))</calculatedColumnFormula>
    </tableColumn>
    <tableColumn id="7" xr3:uid="{162A2FC2-9B40-4B55-A78C-F4D7D84BF2A5}" name="D6" dataDxfId="917">
      <calculatedColumnFormula>IF($B$2="(Todas)",COUNTIF(BASE[CODCIE1010],GUIA_NACIONAL_2022_1106128143146147148[[#This Row],[CIE-10]]),COUNTIFS(BASE[Cod.Establecimiento],$B$2,BASE[CODCIE1010],GUIA_NACIONAL_2022_1106128143146147148[[#This Row],[CIE-10]]))</calculatedColumnFormula>
    </tableColumn>
    <tableColumn id="8" xr3:uid="{9A33FF36-A7DB-43BF-B519-A633C04311FB}" name="TOT" dataDxfId="916" dataCellStyle="40% - Énfasis6">
      <calculatedColumnFormula>SUM(GUIA_NACIONAL_2022_1106128143146147148[[#This Row],[D1]:[D6]])</calculatedColumnFormula>
    </tableColumn>
  </tableColumns>
  <tableStyleInfo name="TableStyleLight1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43C0C7AF-E158-4E4E-90F9-D579194D6B94}" name="GUIA_NACIONAL_2022_1106128143146149" displayName="GUIA_NACIONAL_2022_1106128143146149" ref="V31:AC32" totalsRowShown="0" headerRowDxfId="915">
  <autoFilter ref="V31:AC32" xr:uid="{43C0C7AF-E158-4E4E-90F9-D579194D6B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85ED8BF-827B-4D32-A1C4-C7B285E887DB}" name="CIE-10" dataCellStyle="20% - Énfasis4"/>
    <tableColumn id="2" xr3:uid="{635999B9-1555-4489-B6BD-545A2CCE4040}" name="D1" dataDxfId="914">
      <calculatedColumnFormula>IF($B$2="(Todas)",COUNTIF(BASE[CODCIE10],GUIA_NACIONAL_2022_1106128143146149[[#This Row],[CIE-10]]),COUNTIFS(BASE[Cod.Establecimiento],$B$2,BASE[CODCIE10],GUIA_NACIONAL_2022_1106128143146149[[#This Row],[CIE-10]]))</calculatedColumnFormula>
    </tableColumn>
    <tableColumn id="3" xr3:uid="{22722B48-120E-465A-92AA-AE4BBF8C1D4D}" name="D2" dataDxfId="913">
      <calculatedColumnFormula>IF($B$2="(Todas)",COUNTIF(BASE[CODCIE102],GUIA_NACIONAL_2022_1106128143146149[[#This Row],[CIE-10]]),COUNTIFS(BASE[Cod.Establecimiento],$B$2,BASE[CODCIE102],GUIA_NACIONAL_2022_1106128143146149[[#This Row],[CIE-10]]))</calculatedColumnFormula>
    </tableColumn>
    <tableColumn id="4" xr3:uid="{22FA77D0-7872-4452-AAB8-172ADA3870B0}" name="D3" dataDxfId="912">
      <calculatedColumnFormula>IF($B$2="(Todas)",COUNTIF(BASE[CODCIE104],GUIA_NACIONAL_2022_1106128143146149[[#This Row],[CIE-10]]),COUNTIFS(BASE[Cod.Establecimiento],$B$2,BASE[CODCIE104],GUIA_NACIONAL_2022_1106128143146149[[#This Row],[CIE-10]]))</calculatedColumnFormula>
    </tableColumn>
    <tableColumn id="5" xr3:uid="{D5B58F10-8D8E-49C7-97EA-9DEDCD2688B1}" name="D4" dataDxfId="911">
      <calculatedColumnFormula>IF($B$2="(Todas)",COUNTIF(BASE[CODCIE106],GUIA_NACIONAL_2022_1106128143146149[[#This Row],[CIE-10]]),COUNTIFS(BASE[Cod.Establecimiento],$B$2,BASE[CODCIE106],GUIA_NACIONAL_2022_1106128143146149[[#This Row],[CIE-10]]))</calculatedColumnFormula>
    </tableColumn>
    <tableColumn id="6" xr3:uid="{C43FA606-6AB2-41F6-93AE-D9CD9D7CEA36}" name="D5" dataDxfId="910">
      <calculatedColumnFormula>IF($B$2="(Todas)",COUNTIF(BASE[CODCIE108],GUIA_NACIONAL_2022_1106128143146149[[#This Row],[CIE-10]]),COUNTIFS(BASE[Cod.Establecimiento],$B$2,BASE[CODCIE108],GUIA_NACIONAL_2022_1106128143146149[[#This Row],[CIE-10]]))</calculatedColumnFormula>
    </tableColumn>
    <tableColumn id="7" xr3:uid="{E2E92425-AE00-4CA1-BFBA-E117B89E1796}" name="D6" dataDxfId="909">
      <calculatedColumnFormula>IF($B$2="(Todas)",COUNTIF(BASE[CODCIE1010],GUIA_NACIONAL_2022_1106128143146149[[#This Row],[CIE-10]]),COUNTIFS(BASE[Cod.Establecimiento],$B$2,BASE[CODCIE1010],GUIA_NACIONAL_2022_1106128143146149[[#This Row],[CIE-10]]))</calculatedColumnFormula>
    </tableColumn>
    <tableColumn id="8" xr3:uid="{0CC0A133-3854-4172-8592-FE82391DA0A0}" name="TOT" dataDxfId="908" dataCellStyle="40% - Énfasis6">
      <calculatedColumnFormula>SUM(GUIA_NACIONAL_2022_1106128143146149[[#This Row],[D1]:[D6]])</calculatedColumnFormula>
    </tableColumn>
  </tableColumns>
  <tableStyleInfo name="TableStyleLight1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2B377CF3-5DCC-4E88-BC0F-DDB351F1D34E}" name="GUIA_NACIONAL_2022_1106128143146150" displayName="GUIA_NACIONAL_2022_1106128143146150" ref="V35:AC36" totalsRowShown="0" headerRowDxfId="907">
  <autoFilter ref="V35:AC36" xr:uid="{2B377CF3-5DCC-4E88-BC0F-DDB351F1D3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543EE71-4394-4BEF-A7ED-9857D9EA7126}" name="CIE-10" dataCellStyle="20% - Énfasis4"/>
    <tableColumn id="2" xr3:uid="{FC172F9A-8040-4CE6-B3FA-B0AFD51D8D8D}" name="D1" dataDxfId="906">
      <calculatedColumnFormula>IF($B$2="(Todas)",COUNTIF(BASE[CODCIE10],GUIA_NACIONAL_2022_1106128143146150[[#This Row],[CIE-10]]),COUNTIFS(BASE[Cod.Establecimiento],$B$2,BASE[CODCIE10],GUIA_NACIONAL_2022_1106128143146150[[#This Row],[CIE-10]]))</calculatedColumnFormula>
    </tableColumn>
    <tableColumn id="3" xr3:uid="{FA9799CA-A84A-46B2-B357-CC2636C8E515}" name="D2" dataDxfId="905">
      <calculatedColumnFormula>IF($B$2="(Todas)",COUNTIF(BASE[CODCIE102],GUIA_NACIONAL_2022_1106128143146150[[#This Row],[CIE-10]]),COUNTIFS(BASE[Cod.Establecimiento],$B$2,BASE[CODCIE102],GUIA_NACIONAL_2022_1106128143146150[[#This Row],[CIE-10]]))</calculatedColumnFormula>
    </tableColumn>
    <tableColumn id="4" xr3:uid="{701074B6-FF71-4909-B7C0-8BA07A148E5F}" name="D3" dataDxfId="904">
      <calculatedColumnFormula>IF($B$2="(Todas)",COUNTIF(BASE[CODCIE104],GUIA_NACIONAL_2022_1106128143146150[[#This Row],[CIE-10]]),COUNTIFS(BASE[Cod.Establecimiento],$B$2,BASE[CODCIE104],GUIA_NACIONAL_2022_1106128143146150[[#This Row],[CIE-10]]))</calculatedColumnFormula>
    </tableColumn>
    <tableColumn id="5" xr3:uid="{6D70D178-2870-486D-950D-37469BA0D780}" name="D4" dataDxfId="903">
      <calculatedColumnFormula>IF($B$2="(Todas)",COUNTIF(BASE[CODCIE106],GUIA_NACIONAL_2022_1106128143146150[[#This Row],[CIE-10]]),COUNTIFS(BASE[Cod.Establecimiento],$B$2,BASE[CODCIE106],GUIA_NACIONAL_2022_1106128143146150[[#This Row],[CIE-10]]))</calculatedColumnFormula>
    </tableColumn>
    <tableColumn id="6" xr3:uid="{AA83BDC9-4EDD-4934-9480-60C2F33992CD}" name="D5" dataDxfId="902">
      <calculatedColumnFormula>IF($B$2="(Todas)",COUNTIF(BASE[CODCIE108],GUIA_NACIONAL_2022_1106128143146150[[#This Row],[CIE-10]]),COUNTIFS(BASE[Cod.Establecimiento],$B$2,BASE[CODCIE108],GUIA_NACIONAL_2022_1106128143146150[[#This Row],[CIE-10]]))</calculatedColumnFormula>
    </tableColumn>
    <tableColumn id="7" xr3:uid="{41411913-ED92-4EEB-9F35-BB6AE75A8C6D}" name="D6" dataDxfId="901">
      <calculatedColumnFormula>IF($B$2="(Todas)",COUNTIF(BASE[CODCIE1010],GUIA_NACIONAL_2022_1106128143146150[[#This Row],[CIE-10]]),COUNTIFS(BASE[Cod.Establecimiento],$B$2,BASE[CODCIE1010],GUIA_NACIONAL_2022_1106128143146150[[#This Row],[CIE-10]]))</calculatedColumnFormula>
    </tableColumn>
    <tableColumn id="8" xr3:uid="{10AFB660-07F7-4E55-8E67-DD49F2265247}" name="TOT" dataDxfId="900" dataCellStyle="40% - Énfasis6">
      <calculatedColumnFormula>SUM(GUIA_NACIONAL_2022_1106128143146150[[#This Row],[D1]:[D6]])</calculatedColumnFormula>
    </tableColumn>
  </tableColumns>
  <tableStyleInfo name="TableStyleLight1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CC0C8A16-80D6-4A98-AEFC-DDFA4AA9D742}" name="GUIA_NACIONAL_2022_1106128143146150151" displayName="GUIA_NACIONAL_2022_1106128143146150151" ref="V38:AC43" totalsRowShown="0" headerRowDxfId="899">
  <autoFilter ref="V38:AC43" xr:uid="{CC0C8A16-80D6-4A98-AEFC-DDFA4AA9D7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BAC166B-09C5-4FDC-86A2-91378AC1310C}" name="CIE-10" dataCellStyle="20% - Énfasis4"/>
    <tableColumn id="2" xr3:uid="{2B0FBBF6-7A52-4D14-AB84-9DC59E9D0448}" name="D1" dataDxfId="898">
      <calculatedColumnFormula>IF($B$2="(Todas)",COUNTIF(BASE[CODCIE10],GUIA_NACIONAL_2022_1106128143146150151[[#This Row],[CIE-10]]),COUNTIFS(BASE[Cod.Establecimiento],$B$2,BASE[CODCIE10],GUIA_NACIONAL_2022_1106128143146150151[[#This Row],[CIE-10]]))</calculatedColumnFormula>
    </tableColumn>
    <tableColumn id="3" xr3:uid="{5FF57A76-BD21-45C8-9575-BBC0EBF7EF76}" name="D2" dataDxfId="897">
      <calculatedColumnFormula>IF($B$2="(Todas)",COUNTIF(BASE[CODCIE102],GUIA_NACIONAL_2022_1106128143146150151[[#This Row],[CIE-10]]),COUNTIFS(BASE[Cod.Establecimiento],$B$2,BASE[CODCIE102],GUIA_NACIONAL_2022_1106128143146150151[[#This Row],[CIE-10]]))</calculatedColumnFormula>
    </tableColumn>
    <tableColumn id="4" xr3:uid="{A8850FA5-291D-48AA-9D84-5B3C3143FABC}" name="D3" dataDxfId="896">
      <calculatedColumnFormula>IF($B$2="(Todas)",COUNTIF(BASE[CODCIE104],GUIA_NACIONAL_2022_1106128143146150151[[#This Row],[CIE-10]]),COUNTIFS(BASE[Cod.Establecimiento],$B$2,BASE[CODCIE104],GUIA_NACIONAL_2022_1106128143146150151[[#This Row],[CIE-10]]))</calculatedColumnFormula>
    </tableColumn>
    <tableColumn id="5" xr3:uid="{59C520D3-F178-44CC-89A5-716BDF451FE2}" name="D4" dataDxfId="895">
      <calculatedColumnFormula>IF($B$2="(Todas)",COUNTIF(BASE[CODCIE106],GUIA_NACIONAL_2022_1106128143146150151[[#This Row],[CIE-10]]),COUNTIFS(BASE[Cod.Establecimiento],$B$2,BASE[CODCIE106],GUIA_NACIONAL_2022_1106128143146150151[[#This Row],[CIE-10]]))</calculatedColumnFormula>
    </tableColumn>
    <tableColumn id="6" xr3:uid="{7B8585E6-96A2-4E88-87E5-74C72AC0B104}" name="D5" dataDxfId="894">
      <calculatedColumnFormula>IF($B$2="(Todas)",COUNTIF(BASE[CODCIE108],GUIA_NACIONAL_2022_1106128143146150151[[#This Row],[CIE-10]]),COUNTIFS(BASE[Cod.Establecimiento],$B$2,BASE[CODCIE108],GUIA_NACIONAL_2022_1106128143146150151[[#This Row],[CIE-10]]))</calculatedColumnFormula>
    </tableColumn>
    <tableColumn id="7" xr3:uid="{24F46AAF-F4C2-4140-846A-A08BD4BEABCB}" name="D6" dataDxfId="893">
      <calculatedColumnFormula>IF($B$2="(Todas)",COUNTIF(BASE[CODCIE1010],GUIA_NACIONAL_2022_1106128143146150151[[#This Row],[CIE-10]]),COUNTIFS(BASE[Cod.Establecimiento],$B$2,BASE[CODCIE1010],GUIA_NACIONAL_2022_1106128143146150151[[#This Row],[CIE-10]]))</calculatedColumnFormula>
    </tableColumn>
    <tableColumn id="8" xr3:uid="{A3DB8083-270C-4D12-96F7-1AD3FEA1C33A}" name="TOT" dataDxfId="892" dataCellStyle="40% - Énfasis6">
      <calculatedColumnFormula>SUM(GUIA_NACIONAL_2022_1106128143146150151[[#This Row],[D1]:[D6]])</calculatedColumnFormula>
    </tableColumn>
  </tableColumns>
  <tableStyleInfo name="TableStyleLight1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EF4597E4-BDBA-4581-9D5F-DEFE0FC3218D}" name="GUIA_NACIONAL_2022_1106128143146150152" displayName="GUIA_NACIONAL_2022_1106128143146150152" ref="V46:AC52" totalsRowShown="0" headerRowDxfId="891">
  <autoFilter ref="V46:AC52" xr:uid="{EF4597E4-BDBA-4581-9D5F-DEFE0FC321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4F5A21E-7B87-48D6-B8CC-3C6841B411A4}" name="CIE-10" dataCellStyle="20% - Énfasis4"/>
    <tableColumn id="2" xr3:uid="{0986E979-9198-485F-9A91-C403E6FA4F99}" name="D1" dataDxfId="890">
      <calculatedColumnFormula>IF($B$2="(Todas)",COUNTIF(BASE[CODCIE10],GUIA_NACIONAL_2022_1106128143146150152[[#This Row],[CIE-10]]),COUNTIFS(BASE[Cod.Establecimiento],$B$2,BASE[CODCIE10],GUIA_NACIONAL_2022_1106128143146150152[[#This Row],[CIE-10]]))</calculatedColumnFormula>
    </tableColumn>
    <tableColumn id="3" xr3:uid="{7C62A2F0-3EB3-415C-8962-4A2226CEBD41}" name="D2" dataDxfId="889">
      <calculatedColumnFormula>IF($B$2="(Todas)",COUNTIF(BASE[CODCIE102],GUIA_NACIONAL_2022_1106128143146150152[[#This Row],[CIE-10]]),COUNTIFS(BASE[Cod.Establecimiento],$B$2,BASE[CODCIE102],GUIA_NACIONAL_2022_1106128143146150152[[#This Row],[CIE-10]]))</calculatedColumnFormula>
    </tableColumn>
    <tableColumn id="4" xr3:uid="{0D66EE05-3400-4DA9-8D0C-8FE26BFCD327}" name="D3" dataDxfId="888">
      <calculatedColumnFormula>IF($B$2="(Todas)",COUNTIF(BASE[CODCIE104],GUIA_NACIONAL_2022_1106128143146150152[[#This Row],[CIE-10]]),COUNTIFS(BASE[Cod.Establecimiento],$B$2,BASE[CODCIE104],GUIA_NACIONAL_2022_1106128143146150152[[#This Row],[CIE-10]]))</calculatedColumnFormula>
    </tableColumn>
    <tableColumn id="5" xr3:uid="{02421803-CA75-4D27-9652-969ED7C783BB}" name="D4" dataDxfId="887">
      <calculatedColumnFormula>IF($B$2="(Todas)",COUNTIF(BASE[CODCIE106],GUIA_NACIONAL_2022_1106128143146150152[[#This Row],[CIE-10]]),COUNTIFS(BASE[Cod.Establecimiento],$B$2,BASE[CODCIE106],GUIA_NACIONAL_2022_1106128143146150152[[#This Row],[CIE-10]]))</calculatedColumnFormula>
    </tableColumn>
    <tableColumn id="6" xr3:uid="{2E21B29E-4485-46BF-9A6C-4F80F1D48939}" name="D5" dataDxfId="886">
      <calculatedColumnFormula>IF($B$2="(Todas)",COUNTIF(BASE[CODCIE108],GUIA_NACIONAL_2022_1106128143146150152[[#This Row],[CIE-10]]),COUNTIFS(BASE[Cod.Establecimiento],$B$2,BASE[CODCIE108],GUIA_NACIONAL_2022_1106128143146150152[[#This Row],[CIE-10]]))</calculatedColumnFormula>
    </tableColumn>
    <tableColumn id="7" xr3:uid="{2DF8E3CA-7E2C-4F4E-A3D8-8D07BA6056CC}" name="D6" dataDxfId="885">
      <calculatedColumnFormula>IF($B$2="(Todas)",COUNTIF(BASE[CODCIE1010],GUIA_NACIONAL_2022_1106128143146150152[[#This Row],[CIE-10]]),COUNTIFS(BASE[Cod.Establecimiento],$B$2,BASE[CODCIE1010],GUIA_NACIONAL_2022_1106128143146150152[[#This Row],[CIE-10]]))</calculatedColumnFormula>
    </tableColumn>
    <tableColumn id="8" xr3:uid="{643B6033-D20B-442E-AC3E-3BB408771F79}" name="TOT" dataDxfId="884" dataCellStyle="40% - Énfasis6">
      <calculatedColumnFormula>SUM(GUIA_NACIONAL_2022_1106128143146150152[[#This Row],[D1]:[D6]])</calculatedColumnFormula>
    </tableColumn>
  </tableColumns>
  <tableStyleInfo name="TableStyleLight1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159168B2-FB31-444E-9612-5BD24C5ECA85}" name="GUIA_NACIONAL_2022_1106128143146150153" displayName="GUIA_NACIONAL_2022_1106128143146150153" ref="V54:AC55" totalsRowShown="0" headerRowDxfId="883">
  <autoFilter ref="V54:AC55" xr:uid="{159168B2-FB31-444E-9612-5BD24C5ECA8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FD158A8-41A0-4668-A1A6-055E50D6F416}" name="CIE-10" dataCellStyle="20% - Énfasis4"/>
    <tableColumn id="2" xr3:uid="{964C18D4-21B5-4C7F-9AC7-82335634E9E7}" name="D1" dataDxfId="882">
      <calculatedColumnFormula>IF($B$2="(Todas)",COUNTIF(BASE[CODCIE10],GUIA_NACIONAL_2022_1106128143146150153[[#This Row],[CIE-10]]),COUNTIFS(BASE[Cod.Establecimiento],$B$2,BASE[CODCIE10],GUIA_NACIONAL_2022_1106128143146150153[[#This Row],[CIE-10]]))</calculatedColumnFormula>
    </tableColumn>
    <tableColumn id="3" xr3:uid="{32E0F1FA-1C94-4B85-AE90-585BE2169092}" name="D2" dataDxfId="881">
      <calculatedColumnFormula>IF($B$2="(Todas)",COUNTIF(BASE[CODCIE102],GUIA_NACIONAL_2022_1106128143146150153[[#This Row],[CIE-10]]),COUNTIFS(BASE[Cod.Establecimiento],$B$2,BASE[CODCIE102],GUIA_NACIONAL_2022_1106128143146150153[[#This Row],[CIE-10]]))</calculatedColumnFormula>
    </tableColumn>
    <tableColumn id="4" xr3:uid="{ED23F143-E6CB-4A88-8386-B622F124C801}" name="D3" dataDxfId="880">
      <calculatedColumnFormula>IF($B$2="(Todas)",COUNTIF(BASE[CODCIE104],GUIA_NACIONAL_2022_1106128143146150153[[#This Row],[CIE-10]]),COUNTIFS(BASE[Cod.Establecimiento],$B$2,BASE[CODCIE104],GUIA_NACIONAL_2022_1106128143146150153[[#This Row],[CIE-10]]))</calculatedColumnFormula>
    </tableColumn>
    <tableColumn id="5" xr3:uid="{E7EF8F01-9890-4521-844C-6FE9D11ACB8C}" name="D4" dataDxfId="879">
      <calculatedColumnFormula>IF($B$2="(Todas)",COUNTIF(BASE[CODCIE106],GUIA_NACIONAL_2022_1106128143146150153[[#This Row],[CIE-10]]),COUNTIFS(BASE[Cod.Establecimiento],$B$2,BASE[CODCIE106],GUIA_NACIONAL_2022_1106128143146150153[[#This Row],[CIE-10]]))</calculatedColumnFormula>
    </tableColumn>
    <tableColumn id="6" xr3:uid="{93B0B5B6-26E5-445A-AF9F-A21CDD239443}" name="D5" dataDxfId="878">
      <calculatedColumnFormula>IF($B$2="(Todas)",COUNTIF(BASE[CODCIE108],GUIA_NACIONAL_2022_1106128143146150153[[#This Row],[CIE-10]]),COUNTIFS(BASE[Cod.Establecimiento],$B$2,BASE[CODCIE108],GUIA_NACIONAL_2022_1106128143146150153[[#This Row],[CIE-10]]))</calculatedColumnFormula>
    </tableColumn>
    <tableColumn id="7" xr3:uid="{2F3CAEC1-D4C3-4DE7-B131-F8454057C4EC}" name="D6" dataDxfId="877">
      <calculatedColumnFormula>IF($B$2="(Todas)",COUNTIF(BASE[CODCIE1010],GUIA_NACIONAL_2022_1106128143146150153[[#This Row],[CIE-10]]),COUNTIFS(BASE[Cod.Establecimiento],$B$2,BASE[CODCIE1010],GUIA_NACIONAL_2022_1106128143146150153[[#This Row],[CIE-10]]))</calculatedColumnFormula>
    </tableColumn>
    <tableColumn id="8" xr3:uid="{D734B737-1AD8-40D8-9268-BDC6A2056B26}" name="TOT" dataDxfId="876" dataCellStyle="40% - Énfasis6">
      <calculatedColumnFormula>SUM(GUIA_NACIONAL_2022_1106128143146150153[[#This Row],[D1]:[D6]])</calculatedColumnFormula>
    </tableColumn>
  </tableColumns>
  <tableStyleInfo name="TableStyleLight1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F43D556B-A256-449A-870A-B1AFE19BE822}" name="GUIA_NACIONAL_2022_1106128143146150152154" displayName="GUIA_NACIONAL_2022_1106128143146150152154" ref="V58:AC66" totalsRowShown="0" headerRowDxfId="875">
  <autoFilter ref="V58:AC66" xr:uid="{F43D556B-A256-449A-870A-B1AFE19BE8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A27AC01-8165-4651-9CAD-0D96D2C6357A}" name="CIE-10" dataCellStyle="20% - Énfasis4"/>
    <tableColumn id="2" xr3:uid="{70AC1B83-4024-476C-B068-CCAB17EB77D7}" name="D1" dataDxfId="874">
      <calculatedColumnFormula>IF($B$2="(Todas)",COUNTIF(BASE[CODCIE10],GUIA_NACIONAL_2022_1106128143146150152154[[#This Row],[CIE-10]]),COUNTIFS(BASE[Cod.Establecimiento],$B$2,BASE[CODCIE10],GUIA_NACIONAL_2022_1106128143146150152154[[#This Row],[CIE-10]]))</calculatedColumnFormula>
    </tableColumn>
    <tableColumn id="3" xr3:uid="{A0D946B8-BDD4-4518-9725-E0094F901DA7}" name="D2" dataDxfId="873">
      <calculatedColumnFormula>IF($B$2="(Todas)",COUNTIF(BASE[CODCIE102],GUIA_NACIONAL_2022_1106128143146150152154[[#This Row],[CIE-10]]),COUNTIFS(BASE[Cod.Establecimiento],$B$2,BASE[CODCIE102],GUIA_NACIONAL_2022_1106128143146150152154[[#This Row],[CIE-10]]))</calculatedColumnFormula>
    </tableColumn>
    <tableColumn id="4" xr3:uid="{2363E915-B61E-41EB-886F-DB164589A77C}" name="D3" dataDxfId="872">
      <calculatedColumnFormula>IF($B$2="(Todas)",COUNTIF(BASE[CODCIE104],GUIA_NACIONAL_2022_1106128143146150152154[[#This Row],[CIE-10]]),COUNTIFS(BASE[Cod.Establecimiento],$B$2,BASE[CODCIE104],GUIA_NACIONAL_2022_1106128143146150152154[[#This Row],[CIE-10]]))</calculatedColumnFormula>
    </tableColumn>
    <tableColumn id="5" xr3:uid="{8DF7B555-98CB-43D8-A38B-8F6772A80595}" name="D4" dataDxfId="871">
      <calculatedColumnFormula>IF($B$2="(Todas)",COUNTIF(BASE[CODCIE106],GUIA_NACIONAL_2022_1106128143146150152154[[#This Row],[CIE-10]]),COUNTIFS(BASE[Cod.Establecimiento],$B$2,BASE[CODCIE106],GUIA_NACIONAL_2022_1106128143146150152154[[#This Row],[CIE-10]]))</calculatedColumnFormula>
    </tableColumn>
    <tableColumn id="6" xr3:uid="{00ECABB2-73C1-4AAF-B0F2-F65ADDDB3574}" name="D5" dataDxfId="870">
      <calculatedColumnFormula>IF($B$2="(Todas)",COUNTIF(BASE[CODCIE108],GUIA_NACIONAL_2022_1106128143146150152154[[#This Row],[CIE-10]]),COUNTIFS(BASE[Cod.Establecimiento],$B$2,BASE[CODCIE108],GUIA_NACIONAL_2022_1106128143146150152154[[#This Row],[CIE-10]]))</calculatedColumnFormula>
    </tableColumn>
    <tableColumn id="7" xr3:uid="{58C8FA55-34FE-4415-A32D-89F903BF4476}" name="D6" dataDxfId="869">
      <calculatedColumnFormula>IF($B$2="(Todas)",COUNTIF(BASE[CODCIE1010],GUIA_NACIONAL_2022_1106128143146150152154[[#This Row],[CIE-10]]),COUNTIFS(BASE[Cod.Establecimiento],$B$2,BASE[CODCIE1010],GUIA_NACIONAL_2022_1106128143146150152154[[#This Row],[CIE-10]]))</calculatedColumnFormula>
    </tableColumn>
    <tableColumn id="8" xr3:uid="{1A1D8AD9-43A5-473F-B392-5A7989A9E2D1}" name="TOT" dataDxfId="868" dataCellStyle="40% - Énfasis6">
      <calculatedColumnFormula>SUM(GUIA_NACIONAL_2022_1106128143146150152154[[#This Row],[D1]:[D6]])</calculatedColumnFormula>
    </tableColumn>
  </tableColumns>
  <tableStyleInfo name="TableStyleLight1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C296C996-4947-4CDA-BA7A-AF9F7A325E87}" name="GUIA_NACIONAL_2022_1106128143146150152154155" displayName="GUIA_NACIONAL_2022_1106128143146150152154155" ref="V68:AC69" totalsRowShown="0" headerRowDxfId="867">
  <autoFilter ref="V68:AC69" xr:uid="{C296C996-4947-4CDA-BA7A-AF9F7A325E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7CD5BA9-47D8-44D4-91C3-9E03530B39F4}" name="CIE-10" dataCellStyle="20% - Énfasis4"/>
    <tableColumn id="2" xr3:uid="{431E2B9D-A71A-44C5-8BC2-B29826914ED0}" name="D1" dataDxfId="866">
      <calculatedColumnFormula>IF($B$2="(Todas)",COUNTIF(BASE[CODCIE10],GUIA_NACIONAL_2022_1106128143146150152154155[[#This Row],[CIE-10]]),COUNTIFS(BASE[Cod.Establecimiento],$B$2,BASE[CODCIE10],GUIA_NACIONAL_2022_1106128143146150152154155[[#This Row],[CIE-10]]))</calculatedColumnFormula>
    </tableColumn>
    <tableColumn id="3" xr3:uid="{506567B3-1B40-467B-8FCA-7883FF33D67D}" name="D2" dataDxfId="865">
      <calculatedColumnFormula>IF($B$2="(Todas)",COUNTIF(BASE[CODCIE102],GUIA_NACIONAL_2022_1106128143146150152154155[[#This Row],[CIE-10]]),COUNTIFS(BASE[Cod.Establecimiento],$B$2,BASE[CODCIE102],GUIA_NACIONAL_2022_1106128143146150152154155[[#This Row],[CIE-10]]))</calculatedColumnFormula>
    </tableColumn>
    <tableColumn id="4" xr3:uid="{3316D44E-9884-4EE5-92F5-5F8516404ED2}" name="D3" dataDxfId="864">
      <calculatedColumnFormula>IF($B$2="(Todas)",COUNTIF(BASE[CODCIE104],GUIA_NACIONAL_2022_1106128143146150152154155[[#This Row],[CIE-10]]),COUNTIFS(BASE[Cod.Establecimiento],$B$2,BASE[CODCIE104],GUIA_NACIONAL_2022_1106128143146150152154155[[#This Row],[CIE-10]]))</calculatedColumnFormula>
    </tableColumn>
    <tableColumn id="5" xr3:uid="{DFD5DA1F-24E8-4AB7-B4D4-EA7E07B6BB8C}" name="D4" dataDxfId="863">
      <calculatedColumnFormula>IF($B$2="(Todas)",COUNTIF(BASE[CODCIE106],GUIA_NACIONAL_2022_1106128143146150152154155[[#This Row],[CIE-10]]),COUNTIFS(BASE[Cod.Establecimiento],$B$2,BASE[CODCIE106],GUIA_NACIONAL_2022_1106128143146150152154155[[#This Row],[CIE-10]]))</calculatedColumnFormula>
    </tableColumn>
    <tableColumn id="6" xr3:uid="{5F144B9F-1EC3-4588-BDF7-FE0939871A40}" name="D5" dataDxfId="862">
      <calculatedColumnFormula>IF($B$2="(Todas)",COUNTIF(BASE[CODCIE108],GUIA_NACIONAL_2022_1106128143146150152154155[[#This Row],[CIE-10]]),COUNTIFS(BASE[Cod.Establecimiento],$B$2,BASE[CODCIE108],GUIA_NACIONAL_2022_1106128143146150152154155[[#This Row],[CIE-10]]))</calculatedColumnFormula>
    </tableColumn>
    <tableColumn id="7" xr3:uid="{4FC1EEC8-2E4A-49E2-917C-50DA958F779D}" name="D6" dataDxfId="861">
      <calculatedColumnFormula>IF($B$2="(Todas)",COUNTIF(BASE[CODCIE1010],GUIA_NACIONAL_2022_1106128143146150152154155[[#This Row],[CIE-10]]),COUNTIFS(BASE[Cod.Establecimiento],$B$2,BASE[CODCIE1010],GUIA_NACIONAL_2022_1106128143146150152154155[[#This Row],[CIE-10]]))</calculatedColumnFormula>
    </tableColumn>
    <tableColumn id="8" xr3:uid="{054DA32B-D888-4386-A48F-37B205E57483}" name="TOT" dataDxfId="860" dataCellStyle="40% - Énfasis6">
      <calculatedColumnFormula>SUM(GUIA_NACIONAL_2022_1106128143146150152154155[[#This Row],[D1]:[D6]])</calculatedColumnFormula>
    </tableColumn>
  </tableColumns>
  <tableStyleInfo name="TableStyleLight1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905D2B61-2040-413E-B1D4-9BB62C6A0351}" name="GUIA_NACIONAL_2022_1106128143146150153156" displayName="GUIA_NACIONAL_2022_1106128143146150153156" ref="V71:AC72" totalsRowShown="0" headerRowDxfId="859">
  <autoFilter ref="V71:AC72" xr:uid="{905D2B61-2040-413E-B1D4-9BB62C6A03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1FFEB4E-54E7-47B6-81F9-42734866951B}" name="CIE-10" dataCellStyle="20% - Énfasis4"/>
    <tableColumn id="2" xr3:uid="{C172FD29-58AE-4A61-879F-642BCCDC3FDA}" name="D1" dataDxfId="858">
      <calculatedColumnFormula>IF($B$2="(Todas)",COUNTIF(BASE[CODCIE10],GUIA_NACIONAL_2022_1106128143146150153156[[#This Row],[CIE-10]]),COUNTIFS(BASE[Cod.Establecimiento],$B$2,BASE[CODCIE10],GUIA_NACIONAL_2022_1106128143146150153156[[#This Row],[CIE-10]]))</calculatedColumnFormula>
    </tableColumn>
    <tableColumn id="3" xr3:uid="{1A1C8942-30F6-400B-975D-78BFAB2D79C6}" name="D2" dataDxfId="857">
      <calculatedColumnFormula>IF($B$2="(Todas)",COUNTIF(BASE[CODCIE102],GUIA_NACIONAL_2022_1106128143146150153156[[#This Row],[CIE-10]]),COUNTIFS(BASE[Cod.Establecimiento],$B$2,BASE[CODCIE102],GUIA_NACIONAL_2022_1106128143146150153156[[#This Row],[CIE-10]]))</calculatedColumnFormula>
    </tableColumn>
    <tableColumn id="4" xr3:uid="{C3C5D5CC-5118-4ADA-A5FB-99431CFBE9DE}" name="D3" dataDxfId="856">
      <calculatedColumnFormula>IF($B$2="(Todas)",COUNTIF(BASE[CODCIE104],GUIA_NACIONAL_2022_1106128143146150153156[[#This Row],[CIE-10]]),COUNTIFS(BASE[Cod.Establecimiento],$B$2,BASE[CODCIE104],GUIA_NACIONAL_2022_1106128143146150153156[[#This Row],[CIE-10]]))</calculatedColumnFormula>
    </tableColumn>
    <tableColumn id="5" xr3:uid="{E83B8497-52BA-4A3A-957F-6F162DA6C23D}" name="D4" dataDxfId="855">
      <calculatedColumnFormula>IF($B$2="(Todas)",COUNTIF(BASE[CODCIE106],GUIA_NACIONAL_2022_1106128143146150153156[[#This Row],[CIE-10]]),COUNTIFS(BASE[Cod.Establecimiento],$B$2,BASE[CODCIE106],GUIA_NACIONAL_2022_1106128143146150153156[[#This Row],[CIE-10]]))</calculatedColumnFormula>
    </tableColumn>
    <tableColumn id="6" xr3:uid="{6D0547F8-547F-460F-B79C-DCB46EF72E41}" name="D5" dataDxfId="854">
      <calculatedColumnFormula>IF($B$2="(Todas)",COUNTIF(BASE[CODCIE108],GUIA_NACIONAL_2022_1106128143146150153156[[#This Row],[CIE-10]]),COUNTIFS(BASE[Cod.Establecimiento],$B$2,BASE[CODCIE108],GUIA_NACIONAL_2022_1106128143146150153156[[#This Row],[CIE-10]]))</calculatedColumnFormula>
    </tableColumn>
    <tableColumn id="7" xr3:uid="{45163C09-8F61-48F5-9CB7-76A278991415}" name="D6" dataDxfId="853">
      <calculatedColumnFormula>IF($B$2="(Todas)",COUNTIF(BASE[CODCIE1010],GUIA_NACIONAL_2022_1106128143146150153156[[#This Row],[CIE-10]]),COUNTIFS(BASE[Cod.Establecimiento],$B$2,BASE[CODCIE1010],GUIA_NACIONAL_2022_1106128143146150153156[[#This Row],[CIE-10]]))</calculatedColumnFormula>
    </tableColumn>
    <tableColumn id="8" xr3:uid="{D9154E18-0C2C-4379-A25E-8E470977CEC8}" name="TOT" dataDxfId="852" dataCellStyle="40% - Énfasis6">
      <calculatedColumnFormula>SUM(GUIA_NACIONAL_2022_1106128143146150153156[[#This Row],[D1]:[D6]])</calculatedColumnFormula>
    </tableColumn>
  </tableColumns>
  <tableStyleInfo name="TableStyleLight1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9A3311F5-B88A-4696-8EE7-2F83E195A6BB}" name="GUIA_NACIONAL_2022_1106128143146150153156145" displayName="GUIA_NACIONAL_2022_1106128143146150153156145" ref="V74:AC75" totalsRowShown="0" headerRowDxfId="851">
  <autoFilter ref="V74:AC75" xr:uid="{9A3311F5-B88A-4696-8EE7-2F83E195A6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50B92DC-AC48-480D-9B1C-D71BB97CD0BE}" name="CIE-10" dataCellStyle="20% - Énfasis4"/>
    <tableColumn id="2" xr3:uid="{4B4C5725-FF21-4B72-BA88-58562E3C3C94}" name="D1" dataDxfId="850">
      <calculatedColumnFormula>IF($B$2="(Todas)",COUNTIF(BASE[CODCIE10],GUIA_NACIONAL_2022_1106128143146150153156145[[#This Row],[CIE-10]]),COUNTIFS(BASE[Cod.Establecimiento],$B$2,BASE[CODCIE10],GUIA_NACIONAL_2022_1106128143146150153156145[[#This Row],[CIE-10]]))</calculatedColumnFormula>
    </tableColumn>
    <tableColumn id="3" xr3:uid="{CF21A445-6B46-4D39-8737-5F4E5E0423A6}" name="D2" dataDxfId="849">
      <calculatedColumnFormula>IF($B$2="(Todas)",COUNTIF(BASE[CODCIE102],GUIA_NACIONAL_2022_1106128143146150153156145[[#This Row],[CIE-10]]),COUNTIFS(BASE[Cod.Establecimiento],$B$2,BASE[CODCIE102],GUIA_NACIONAL_2022_1106128143146150153156145[[#This Row],[CIE-10]]))</calculatedColumnFormula>
    </tableColumn>
    <tableColumn id="4" xr3:uid="{18C7DBAD-C09F-4703-9B19-7BE3862BA2A2}" name="D3" dataDxfId="848">
      <calculatedColumnFormula>IF($B$2="(Todas)",COUNTIF(BASE[CODCIE104],GUIA_NACIONAL_2022_1106128143146150153156145[[#This Row],[CIE-10]]),COUNTIFS(BASE[Cod.Establecimiento],$B$2,BASE[CODCIE104],GUIA_NACIONAL_2022_1106128143146150153156145[[#This Row],[CIE-10]]))</calculatedColumnFormula>
    </tableColumn>
    <tableColumn id="5" xr3:uid="{D4C18411-28B3-441A-BFBB-4AD6D9CBE7CD}" name="D4" dataDxfId="847">
      <calculatedColumnFormula>IF($B$2="(Todas)",COUNTIF(BASE[CODCIE106],GUIA_NACIONAL_2022_1106128143146150153156145[[#This Row],[CIE-10]]),COUNTIFS(BASE[Cod.Establecimiento],$B$2,BASE[CODCIE106],GUIA_NACIONAL_2022_1106128143146150153156145[[#This Row],[CIE-10]]))</calculatedColumnFormula>
    </tableColumn>
    <tableColumn id="6" xr3:uid="{0D8912E2-BEC8-4BF7-BBB9-B4236811E388}" name="D5" dataDxfId="846">
      <calculatedColumnFormula>IF($B$2="(Todas)",COUNTIF(BASE[CODCIE108],GUIA_NACIONAL_2022_1106128143146150153156145[[#This Row],[CIE-10]]),COUNTIFS(BASE[Cod.Establecimiento],$B$2,BASE[CODCIE108],GUIA_NACIONAL_2022_1106128143146150153156145[[#This Row],[CIE-10]]))</calculatedColumnFormula>
    </tableColumn>
    <tableColumn id="7" xr3:uid="{DBFC5646-5F05-4F53-A08C-EFD2204FBF52}" name="D6" dataDxfId="845">
      <calculatedColumnFormula>IF($B$2="(Todas)",COUNTIF(BASE[CODCIE1010],GUIA_NACIONAL_2022_1106128143146150153156145[[#This Row],[CIE-10]]),COUNTIFS(BASE[Cod.Establecimiento],$B$2,BASE[CODCIE1010],GUIA_NACIONAL_2022_1106128143146150153156145[[#This Row],[CIE-10]]))</calculatedColumnFormula>
    </tableColumn>
    <tableColumn id="8" xr3:uid="{7811A943-956D-4481-B2B6-76A8BC63BA1D}" name="TOT" dataDxfId="844" dataCellStyle="40% - Énfasis6">
      <calculatedColumnFormula>SUM(GUIA_NACIONAL_2022_1106128143146150153156145[[#This Row],[D1]:[D6]])</calculatedColumnFormula>
    </tableColumn>
  </tableColumns>
  <tableStyleInfo name="TableStyleLight1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EBF2E81E-ABA7-4FCD-B02D-2245102E7B93}" name="GUIA_NACIONAL_2022_1106128143146150153156145157" displayName="GUIA_NACIONAL_2022_1106128143146150153156145157" ref="V77:AC78" totalsRowShown="0" headerRowDxfId="843">
  <autoFilter ref="V77:AC78" xr:uid="{EBF2E81E-ABA7-4FCD-B02D-2245102E7B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6CC4D41-3FE8-48FF-8807-E8EFD078ECBF}" name="CIE-10" dataCellStyle="20% - Énfasis4"/>
    <tableColumn id="2" xr3:uid="{B6EB5BDA-BF80-47BC-91E6-39BE0002F8F7}" name="D1" dataDxfId="842">
      <calculatedColumnFormula>IF($B$2="(Todas)",COUNTIF(BASE[CODCIE10],GUIA_NACIONAL_2022_1106128143146150153156145157[[#This Row],[CIE-10]]),COUNTIFS(BASE[Cod.Establecimiento],$B$2,BASE[CODCIE10],GUIA_NACIONAL_2022_1106128143146150153156145157[[#This Row],[CIE-10]]))</calculatedColumnFormula>
    </tableColumn>
    <tableColumn id="3" xr3:uid="{0DDC2216-6D13-4F7E-BF4A-AD0CFA53B548}" name="D2" dataDxfId="841">
      <calculatedColumnFormula>IF($B$2="(Todas)",COUNTIF(BASE[CODCIE102],GUIA_NACIONAL_2022_1106128143146150153156145157[[#This Row],[CIE-10]]),COUNTIFS(BASE[Cod.Establecimiento],$B$2,BASE[CODCIE102],GUIA_NACIONAL_2022_1106128143146150153156145157[[#This Row],[CIE-10]]))</calculatedColumnFormula>
    </tableColumn>
    <tableColumn id="4" xr3:uid="{8C7A8699-D78B-48AB-9C00-317E8AC75FCE}" name="D3" dataDxfId="840">
      <calculatedColumnFormula>IF($B$2="(Todas)",COUNTIF(BASE[CODCIE104],GUIA_NACIONAL_2022_1106128143146150153156145157[[#This Row],[CIE-10]]),COUNTIFS(BASE[Cod.Establecimiento],$B$2,BASE[CODCIE104],GUIA_NACIONAL_2022_1106128143146150153156145157[[#This Row],[CIE-10]]))</calculatedColumnFormula>
    </tableColumn>
    <tableColumn id="5" xr3:uid="{91B40ED8-93EB-4F43-900D-F49D905A9C80}" name="D4" dataDxfId="839">
      <calculatedColumnFormula>IF($B$2="(Todas)",COUNTIF(BASE[CODCIE106],GUIA_NACIONAL_2022_1106128143146150153156145157[[#This Row],[CIE-10]]),COUNTIFS(BASE[Cod.Establecimiento],$B$2,BASE[CODCIE106],GUIA_NACIONAL_2022_1106128143146150153156145157[[#This Row],[CIE-10]]))</calculatedColumnFormula>
    </tableColumn>
    <tableColumn id="6" xr3:uid="{2EBAF2BD-2836-4418-B93D-D17EC47B2C3C}" name="D5" dataDxfId="838">
      <calculatedColumnFormula>IF($B$2="(Todas)",COUNTIF(BASE[CODCIE108],GUIA_NACIONAL_2022_1106128143146150153156145157[[#This Row],[CIE-10]]),COUNTIFS(BASE[Cod.Establecimiento],$B$2,BASE[CODCIE108],GUIA_NACIONAL_2022_1106128143146150153156145157[[#This Row],[CIE-10]]))</calculatedColumnFormula>
    </tableColumn>
    <tableColumn id="7" xr3:uid="{56519FAC-329B-4F01-9907-7C0B0642EEDF}" name="D6" dataDxfId="837">
      <calculatedColumnFormula>IF($B$2="(Todas)",COUNTIF(BASE[CODCIE1010],GUIA_NACIONAL_2022_1106128143146150153156145157[[#This Row],[CIE-10]]),COUNTIFS(BASE[Cod.Establecimiento],$B$2,BASE[CODCIE1010],GUIA_NACIONAL_2022_1106128143146150153156145157[[#This Row],[CIE-10]]))</calculatedColumnFormula>
    </tableColumn>
    <tableColumn id="8" xr3:uid="{785C05C4-EC6F-4C3D-9E19-07A92B4A7207}" name="TOT" dataDxfId="836" dataCellStyle="40% - Énfasis6">
      <calculatedColumnFormula>SUM(GUIA_NACIONAL_2022_1106128143146150153156145157[[#This Row],[D1]:[D6]])</calculatedColumnFormula>
    </tableColumn>
  </tableColumns>
  <tableStyleInfo name="TableStyleLight1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DC3FF979-1EAF-45C7-8881-FB8658F36E19}" name="GUIA_NACIONAL_2022_1106128143146150153156158" displayName="GUIA_NACIONAL_2022_1106128143146150153156158" ref="V80:AC81" totalsRowShown="0" headerRowDxfId="835">
  <autoFilter ref="V80:AC81" xr:uid="{DC3FF979-1EAF-45C7-8881-FB8658F36E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286F3EB-81D9-4929-8435-066F6DC2B9C5}" name="CIE-10" dataCellStyle="20% - Énfasis4"/>
    <tableColumn id="2" xr3:uid="{701A4383-8BDF-4669-8473-B70C9D6C677E}" name="D1" dataDxfId="834">
      <calculatedColumnFormula>IF($B$2="(Todas)",COUNTIF(BASE[CODCIE10],GUIA_NACIONAL_2022_1106128143146150153156158[[#This Row],[CIE-10]]),COUNTIFS(BASE[Cod.Establecimiento],$B$2,BASE[CODCIE10],GUIA_NACIONAL_2022_1106128143146150153156158[[#This Row],[CIE-10]]))</calculatedColumnFormula>
    </tableColumn>
    <tableColumn id="3" xr3:uid="{0A82428C-0AED-4D75-BC2D-7BECB1A58494}" name="D2" dataDxfId="833">
      <calculatedColumnFormula>IF($B$2="(Todas)",COUNTIF(BASE[CODCIE102],GUIA_NACIONAL_2022_1106128143146150153156158[[#This Row],[CIE-10]]),COUNTIFS(BASE[Cod.Establecimiento],$B$2,BASE[CODCIE102],GUIA_NACIONAL_2022_1106128143146150153156158[[#This Row],[CIE-10]]))</calculatedColumnFormula>
    </tableColumn>
    <tableColumn id="4" xr3:uid="{FC061CAD-86CA-4FE0-8AE6-46D45F701CA9}" name="D3" dataDxfId="832">
      <calculatedColumnFormula>IF($B$2="(Todas)",COUNTIF(BASE[CODCIE104],GUIA_NACIONAL_2022_1106128143146150153156158[[#This Row],[CIE-10]]),COUNTIFS(BASE[Cod.Establecimiento],$B$2,BASE[CODCIE104],GUIA_NACIONAL_2022_1106128143146150153156158[[#This Row],[CIE-10]]))</calculatedColumnFormula>
    </tableColumn>
    <tableColumn id="5" xr3:uid="{58F3F16B-653E-44E7-AA8A-995CA5D160E2}" name="D4" dataDxfId="831">
      <calculatedColumnFormula>IF($B$2="(Todas)",COUNTIF(BASE[CODCIE106],GUIA_NACIONAL_2022_1106128143146150153156158[[#This Row],[CIE-10]]),COUNTIFS(BASE[Cod.Establecimiento],$B$2,BASE[CODCIE106],GUIA_NACIONAL_2022_1106128143146150153156158[[#This Row],[CIE-10]]))</calculatedColumnFormula>
    </tableColumn>
    <tableColumn id="6" xr3:uid="{516F9CCF-5CB6-48C2-9AC2-B417133323CF}" name="D5" dataDxfId="830">
      <calculatedColumnFormula>IF($B$2="(Todas)",COUNTIF(BASE[CODCIE108],GUIA_NACIONAL_2022_1106128143146150153156158[[#This Row],[CIE-10]]),COUNTIFS(BASE[Cod.Establecimiento],$B$2,BASE[CODCIE108],GUIA_NACIONAL_2022_1106128143146150153156158[[#This Row],[CIE-10]]))</calculatedColumnFormula>
    </tableColumn>
    <tableColumn id="7" xr3:uid="{698D8A0B-FBF7-40E0-991C-ECBDD48FAF80}" name="D6" dataDxfId="829">
      <calculatedColumnFormula>IF($B$2="(Todas)",COUNTIF(BASE[CODCIE1010],GUIA_NACIONAL_2022_1106128143146150153156158[[#This Row],[CIE-10]]),COUNTIFS(BASE[Cod.Establecimiento],$B$2,BASE[CODCIE1010],GUIA_NACIONAL_2022_1106128143146150153156158[[#This Row],[CIE-10]]))</calculatedColumnFormula>
    </tableColumn>
    <tableColumn id="8" xr3:uid="{8472D866-27CA-43F5-94E2-161B020BCA56}" name="TOT" dataDxfId="828" dataCellStyle="40% - Énfasis6">
      <calculatedColumnFormula>SUM(GUIA_NACIONAL_2022_1106128143146150153156158[[#This Row],[D1]:[D6]])</calculatedColumnFormula>
    </tableColumn>
  </tableColumns>
  <tableStyleInfo name="TableStyleLight1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7784A2-BF05-4437-B307-F2B9464F5D06}" name="GUIA_NACIONAL_2022_1106128143146150152154159" displayName="GUIA_NACIONAL_2022_1106128143146150152154159" ref="V84:AC92" totalsRowShown="0" headerRowDxfId="827">
  <autoFilter ref="V84:AC92" xr:uid="{007784A2-BF05-4437-B307-F2B9464F5D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BECB16-E13A-4366-90CE-96AE9E31623A}" name="CIE-10" dataCellStyle="20% - Énfasis4"/>
    <tableColumn id="2" xr3:uid="{F446251E-33BD-4495-BEA0-12CC52ACE8C6}" name="D1" dataDxfId="826">
      <calculatedColumnFormula>IF($B$2="(Todas)",COUNTIF(BASE[CODCIE10],GUIA_NACIONAL_2022_1106128143146150152154159[[#This Row],[CIE-10]]),COUNTIFS(BASE[Cod.Establecimiento],$B$2,BASE[CODCIE10],GUIA_NACIONAL_2022_1106128143146150152154159[[#This Row],[CIE-10]]))</calculatedColumnFormula>
    </tableColumn>
    <tableColumn id="3" xr3:uid="{21C5427C-02AE-449B-8C5F-1B54C45706F2}" name="D2" dataDxfId="825">
      <calculatedColumnFormula>IF($B$2="(Todas)",COUNTIF(BASE[CODCIE102],GUIA_NACIONAL_2022_1106128143146150152154159[[#This Row],[CIE-10]]),COUNTIFS(BASE[Cod.Establecimiento],$B$2,BASE[CODCIE102],GUIA_NACIONAL_2022_1106128143146150152154159[[#This Row],[CIE-10]]))</calculatedColumnFormula>
    </tableColumn>
    <tableColumn id="4" xr3:uid="{7743AAB0-40F7-4A79-82C0-998B07B479B4}" name="D3" dataDxfId="824">
      <calculatedColumnFormula>IF($B$2="(Todas)",COUNTIF(BASE[CODCIE104],GUIA_NACIONAL_2022_1106128143146150152154159[[#This Row],[CIE-10]]),COUNTIFS(BASE[Cod.Establecimiento],$B$2,BASE[CODCIE104],GUIA_NACIONAL_2022_1106128143146150152154159[[#This Row],[CIE-10]]))</calculatedColumnFormula>
    </tableColumn>
    <tableColumn id="5" xr3:uid="{1204D249-0FB7-42AB-A07F-C168240B8B00}" name="D4" dataDxfId="823">
      <calculatedColumnFormula>IF($B$2="(Todas)",COUNTIF(BASE[CODCIE106],GUIA_NACIONAL_2022_1106128143146150152154159[[#This Row],[CIE-10]]),COUNTIFS(BASE[Cod.Establecimiento],$B$2,BASE[CODCIE106],GUIA_NACIONAL_2022_1106128143146150152154159[[#This Row],[CIE-10]]))</calculatedColumnFormula>
    </tableColumn>
    <tableColumn id="6" xr3:uid="{73EB7043-46C1-4F84-8FFD-46B6B43F6E52}" name="D5" dataDxfId="822">
      <calculatedColumnFormula>IF($B$2="(Todas)",COUNTIF(BASE[CODCIE108],GUIA_NACIONAL_2022_1106128143146150152154159[[#This Row],[CIE-10]]),COUNTIFS(BASE[Cod.Establecimiento],$B$2,BASE[CODCIE108],GUIA_NACIONAL_2022_1106128143146150152154159[[#This Row],[CIE-10]]))</calculatedColumnFormula>
    </tableColumn>
    <tableColumn id="7" xr3:uid="{6E107AC9-737D-4BE5-ACF0-40075010BFB9}" name="D6" dataDxfId="821">
      <calculatedColumnFormula>IF($B$2="(Todas)",COUNTIF(BASE[CODCIE1010],GUIA_NACIONAL_2022_1106128143146150152154159[[#This Row],[CIE-10]]),COUNTIFS(BASE[Cod.Establecimiento],$B$2,BASE[CODCIE1010],GUIA_NACIONAL_2022_1106128143146150152154159[[#This Row],[CIE-10]]))</calculatedColumnFormula>
    </tableColumn>
    <tableColumn id="8" xr3:uid="{453E61D6-F586-484E-B15E-161E30847D39}" name="TOT" dataDxfId="820" dataCellStyle="40% - Énfasis6">
      <calculatedColumnFormula>SUM(GUIA_NACIONAL_2022_1106128143146150152154159[[#This Row],[D1]:[D6]])</calculatedColumnFormula>
    </tableColumn>
  </tableColumns>
  <tableStyleInfo name="TableStyleLight1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9B58A8CD-D87B-4062-AC18-519EA635AB5E}" name="GUIA_NACIONAL_2022_1106128143146150152154155160" displayName="GUIA_NACIONAL_2022_1106128143146150152154155160" ref="V94:AC95" totalsRowShown="0" headerRowDxfId="819">
  <autoFilter ref="V94:AC95" xr:uid="{9B58A8CD-D87B-4062-AC18-519EA635AB5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D7650C1-91B8-466F-A180-9EA8DDCB9DB9}" name="CIE-10" dataCellStyle="20% - Énfasis4"/>
    <tableColumn id="2" xr3:uid="{94C1A26B-4BDE-4C40-BA87-007D260D5E96}" name="D1" dataDxfId="818">
      <calculatedColumnFormula>IF($B$2="(Todas)",COUNTIF(BASE[CODCIE10],GUIA_NACIONAL_2022_1106128143146150152154155160[[#This Row],[CIE-10]]),COUNTIFS(BASE[Cod.Establecimiento],$B$2,BASE[CODCIE10],GUIA_NACIONAL_2022_1106128143146150152154155160[[#This Row],[CIE-10]]))</calculatedColumnFormula>
    </tableColumn>
    <tableColumn id="3" xr3:uid="{D2E0F059-9F4C-4915-9077-AB45A33248CD}" name="D2" dataDxfId="817">
      <calculatedColumnFormula>IF($B$2="(Todas)",COUNTIF(BASE[CODCIE102],GUIA_NACIONAL_2022_1106128143146150152154155160[[#This Row],[CIE-10]]),COUNTIFS(BASE[Cod.Establecimiento],$B$2,BASE[CODCIE102],GUIA_NACIONAL_2022_1106128143146150152154155160[[#This Row],[CIE-10]]))</calculatedColumnFormula>
    </tableColumn>
    <tableColumn id="4" xr3:uid="{B1EA7FEA-1AD9-4CBE-BB48-E436A7A4205C}" name="D3" dataDxfId="816">
      <calculatedColumnFormula>IF($B$2="(Todas)",COUNTIF(BASE[CODCIE104],GUIA_NACIONAL_2022_1106128143146150152154155160[[#This Row],[CIE-10]]),COUNTIFS(BASE[Cod.Establecimiento],$B$2,BASE[CODCIE104],GUIA_NACIONAL_2022_1106128143146150152154155160[[#This Row],[CIE-10]]))</calculatedColumnFormula>
    </tableColumn>
    <tableColumn id="5" xr3:uid="{0A5BD24C-7F27-428B-AF84-52C49AF33F6A}" name="D4" dataDxfId="815">
      <calculatedColumnFormula>IF($B$2="(Todas)",COUNTIF(BASE[CODCIE106],GUIA_NACIONAL_2022_1106128143146150152154155160[[#This Row],[CIE-10]]),COUNTIFS(BASE[Cod.Establecimiento],$B$2,BASE[CODCIE106],GUIA_NACIONAL_2022_1106128143146150152154155160[[#This Row],[CIE-10]]))</calculatedColumnFormula>
    </tableColumn>
    <tableColumn id="6" xr3:uid="{F15C4B57-7B6A-41BD-8174-CA5A506E57BB}" name="D5" dataDxfId="814">
      <calculatedColumnFormula>IF($B$2="(Todas)",COUNTIF(BASE[CODCIE108],GUIA_NACIONAL_2022_1106128143146150152154155160[[#This Row],[CIE-10]]),COUNTIFS(BASE[Cod.Establecimiento],$B$2,BASE[CODCIE108],GUIA_NACIONAL_2022_1106128143146150152154155160[[#This Row],[CIE-10]]))</calculatedColumnFormula>
    </tableColumn>
    <tableColumn id="7" xr3:uid="{27D6719C-22CE-4D23-A792-499F979E6AFD}" name="D6" dataDxfId="813">
      <calculatedColumnFormula>IF($B$2="(Todas)",COUNTIF(BASE[CODCIE1010],GUIA_NACIONAL_2022_1106128143146150152154155160[[#This Row],[CIE-10]]),COUNTIFS(BASE[Cod.Establecimiento],$B$2,BASE[CODCIE1010],GUIA_NACIONAL_2022_1106128143146150152154155160[[#This Row],[CIE-10]]))</calculatedColumnFormula>
    </tableColumn>
    <tableColumn id="8" xr3:uid="{C47848E0-E636-4E86-8256-CE7345551BE1}" name="TOT" dataDxfId="812" dataCellStyle="40% - Énfasis6">
      <calculatedColumnFormula>SUM(GUIA_NACIONAL_2022_1106128143146150152154155160[[#This Row],[D1]:[D6]])</calculatedColumnFormula>
    </tableColumn>
  </tableColumns>
  <tableStyleInfo name="TableStyleLight1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E27EDA90-69A0-4311-A78D-6C19E4E584EF}" name="GUIA_NACIONAL_2022_1106128143146150153156161" displayName="GUIA_NACIONAL_2022_1106128143146150153156161" ref="V97:AC98" totalsRowShown="0" headerRowDxfId="811">
  <autoFilter ref="V97:AC98" xr:uid="{E27EDA90-69A0-4311-A78D-6C19E4E584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02ED17C-9561-4248-81BC-FAE915DDF882}" name="CIE-10" dataCellStyle="20% - Énfasis4"/>
    <tableColumn id="2" xr3:uid="{8ECC09C2-6DAF-409B-A9C7-4EA73CA16EF1}" name="D1" dataDxfId="810">
      <calculatedColumnFormula>IF($B$2="(Todas)",COUNTIF(BASE[CODCIE10],GUIA_NACIONAL_2022_1106128143146150153156161[[#This Row],[CIE-10]]),COUNTIFS(BASE[Cod.Establecimiento],$B$2,BASE[CODCIE10],GUIA_NACIONAL_2022_1106128143146150153156161[[#This Row],[CIE-10]]))</calculatedColumnFormula>
    </tableColumn>
    <tableColumn id="3" xr3:uid="{5ED436A3-FF84-4D89-BE44-637F29F4AE5E}" name="D2" dataDxfId="809">
      <calculatedColumnFormula>IF($B$2="(Todas)",COUNTIF(BASE[CODCIE102],GUIA_NACIONAL_2022_1106128143146150153156161[[#This Row],[CIE-10]]),COUNTIFS(BASE[Cod.Establecimiento],$B$2,BASE[CODCIE102],GUIA_NACIONAL_2022_1106128143146150153156161[[#This Row],[CIE-10]]))</calculatedColumnFormula>
    </tableColumn>
    <tableColumn id="4" xr3:uid="{38B9C516-9034-4960-AAFD-6F7B2C8E6438}" name="D3" dataDxfId="808">
      <calculatedColumnFormula>IF($B$2="(Todas)",COUNTIF(BASE[CODCIE104],GUIA_NACIONAL_2022_1106128143146150153156161[[#This Row],[CIE-10]]),COUNTIFS(BASE[Cod.Establecimiento],$B$2,BASE[CODCIE104],GUIA_NACIONAL_2022_1106128143146150153156161[[#This Row],[CIE-10]]))</calculatedColumnFormula>
    </tableColumn>
    <tableColumn id="5" xr3:uid="{09E12A7D-FD4B-4D1C-9C94-B26DECE97630}" name="D4" dataDxfId="807">
      <calculatedColumnFormula>IF($B$2="(Todas)",COUNTIF(BASE[CODCIE106],GUIA_NACIONAL_2022_1106128143146150153156161[[#This Row],[CIE-10]]),COUNTIFS(BASE[Cod.Establecimiento],$B$2,BASE[CODCIE106],GUIA_NACIONAL_2022_1106128143146150153156161[[#This Row],[CIE-10]]))</calculatedColumnFormula>
    </tableColumn>
    <tableColumn id="6" xr3:uid="{DCB84073-C78D-41D3-9A9A-3DFF79BCFDD7}" name="D5" dataDxfId="806">
      <calculatedColumnFormula>IF($B$2="(Todas)",COUNTIF(BASE[CODCIE108],GUIA_NACIONAL_2022_1106128143146150153156161[[#This Row],[CIE-10]]),COUNTIFS(BASE[Cod.Establecimiento],$B$2,BASE[CODCIE108],GUIA_NACIONAL_2022_1106128143146150153156161[[#This Row],[CIE-10]]))</calculatedColumnFormula>
    </tableColumn>
    <tableColumn id="7" xr3:uid="{6EC1F26A-EAEF-4A8B-B7C3-2C7D3C0D06E8}" name="D6" dataDxfId="805">
      <calculatedColumnFormula>IF($B$2="(Todas)",COUNTIF(BASE[CODCIE1010],GUIA_NACIONAL_2022_1106128143146150153156161[[#This Row],[CIE-10]]),COUNTIFS(BASE[Cod.Establecimiento],$B$2,BASE[CODCIE1010],GUIA_NACIONAL_2022_1106128143146150153156161[[#This Row],[CIE-10]]))</calculatedColumnFormula>
    </tableColumn>
    <tableColumn id="8" xr3:uid="{6DCF8B4F-CBB9-4EA7-A804-DC89E1C0D56A}" name="TOT" dataDxfId="804" dataCellStyle="40% - Énfasis6">
      <calculatedColumnFormula>SUM(GUIA_NACIONAL_2022_1106128143146150153156161[[#This Row],[D1]:[D6]])</calculatedColumnFormula>
    </tableColumn>
  </tableColumns>
  <tableStyleInfo name="TableStyleLight1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4201E9AF-6A41-4568-A7AD-5E7706F85F9F}" name="GUIA_NACIONAL_2022_1106128143146150163" displayName="GUIA_NACIONAL_2022_1106128143146150163" ref="V101:AC103" totalsRowShown="0" headerRowDxfId="803">
  <autoFilter ref="V101:AC103" xr:uid="{4201E9AF-6A41-4568-A7AD-5E7706F85F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2D6FFFA-3A53-4D3B-9DFB-F7E0E40500D8}" name="CIE-10" dataCellStyle="20% - Énfasis4"/>
    <tableColumn id="2" xr3:uid="{EE357A23-D891-47A1-8CD4-B3F191778077}" name="D1" dataDxfId="802">
      <calculatedColumnFormula>IF($B$2="(Todas)",COUNTIF(BASE[CODCIE10],GUIA_NACIONAL_2022_1106128143146150163[[#This Row],[CIE-10]]),COUNTIFS(BASE[Cod.Establecimiento],$B$2,BASE[CODCIE10],GUIA_NACIONAL_2022_1106128143146150163[[#This Row],[CIE-10]]))</calculatedColumnFormula>
    </tableColumn>
    <tableColumn id="3" xr3:uid="{C3FB6468-27D4-43AF-96BD-CA47FC173E38}" name="D2" dataDxfId="801">
      <calculatedColumnFormula>IF($B$2="(Todas)",COUNTIF(BASE[CODCIE102],GUIA_NACIONAL_2022_1106128143146150163[[#This Row],[CIE-10]]),COUNTIFS(BASE[Cod.Establecimiento],$B$2,BASE[CODCIE102],GUIA_NACIONAL_2022_1106128143146150163[[#This Row],[CIE-10]]))</calculatedColumnFormula>
    </tableColumn>
    <tableColumn id="4" xr3:uid="{9176A7DE-F6E2-4D8B-A9B8-735939359911}" name="D3" dataDxfId="800">
      <calculatedColumnFormula>IF($B$2="(Todas)",COUNTIF(BASE[CODCIE104],GUIA_NACIONAL_2022_1106128143146150163[[#This Row],[CIE-10]]),COUNTIFS(BASE[Cod.Establecimiento],$B$2,BASE[CODCIE104],GUIA_NACIONAL_2022_1106128143146150163[[#This Row],[CIE-10]]))</calculatedColumnFormula>
    </tableColumn>
    <tableColumn id="5" xr3:uid="{0DE93FA5-A8FC-4384-A3F8-E8E85B8C739C}" name="D4" dataDxfId="799">
      <calculatedColumnFormula>IF($B$2="(Todas)",COUNTIF(BASE[CODCIE106],GUIA_NACIONAL_2022_1106128143146150163[[#This Row],[CIE-10]]),COUNTIFS(BASE[Cod.Establecimiento],$B$2,BASE[CODCIE106],GUIA_NACIONAL_2022_1106128143146150163[[#This Row],[CIE-10]]))</calculatedColumnFormula>
    </tableColumn>
    <tableColumn id="6" xr3:uid="{A3C236F1-EE15-4173-B1C9-1547A2B19A2A}" name="D5" dataDxfId="798">
      <calculatedColumnFormula>IF($B$2="(Todas)",COUNTIF(BASE[CODCIE108],GUIA_NACIONAL_2022_1106128143146150163[[#This Row],[CIE-10]]),COUNTIFS(BASE[Cod.Establecimiento],$B$2,BASE[CODCIE108],GUIA_NACIONAL_2022_1106128143146150163[[#This Row],[CIE-10]]))</calculatedColumnFormula>
    </tableColumn>
    <tableColumn id="7" xr3:uid="{C273DED3-08ED-4643-95DF-B98E606D6D88}" name="D6" dataDxfId="797">
      <calculatedColumnFormula>IF($B$2="(Todas)",COUNTIF(BASE[CODCIE1010],GUIA_NACIONAL_2022_1106128143146150163[[#This Row],[CIE-10]]),COUNTIFS(BASE[Cod.Establecimiento],$B$2,BASE[CODCIE1010],GUIA_NACIONAL_2022_1106128143146150163[[#This Row],[CIE-10]]))</calculatedColumnFormula>
    </tableColumn>
    <tableColumn id="8" xr3:uid="{322D8EC4-9C02-4DE3-AF00-A2ECD70077CD}" name="TOT" dataDxfId="796" dataCellStyle="40% - Énfasis6">
      <calculatedColumnFormula>SUM(GUIA_NACIONAL_2022_1106128143146150163[[#This Row],[D1]:[D6]])</calculatedColumnFormula>
    </tableColumn>
  </tableColumns>
  <tableStyleInfo name="TableStyleLight1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138FF0A9-AB02-4C28-943B-1BB574ADF7D6}" name="GUIA_NACIONAL_2022_1106128143146150163164" displayName="GUIA_NACIONAL_2022_1106128143146150163164" ref="V105:AC106" totalsRowShown="0" headerRowDxfId="795">
  <autoFilter ref="V105:AC106" xr:uid="{138FF0A9-AB02-4C28-943B-1BB574ADF7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19A1706-A2FB-4C55-AFEF-A25DC00EB774}" name="CIE-10" dataCellStyle="20% - Énfasis4"/>
    <tableColumn id="2" xr3:uid="{6784A296-1BAA-491C-B872-877FBA86488D}" name="D1" dataDxfId="794">
      <calculatedColumnFormula>IF($B$2="(Todas)",COUNTIF(BASE[CODCIE10],GUIA_NACIONAL_2022_1106128143146150163164[[#This Row],[CIE-10]]),COUNTIFS(BASE[Cod.Establecimiento],$B$2,BASE[CODCIE10],GUIA_NACIONAL_2022_1106128143146150163164[[#This Row],[CIE-10]]))</calculatedColumnFormula>
    </tableColumn>
    <tableColumn id="3" xr3:uid="{46881456-B511-492F-BFBA-E7ACE4CFE8E6}" name="D2" dataDxfId="793">
      <calculatedColumnFormula>IF($B$2="(Todas)",COUNTIF(BASE[CODCIE102],GUIA_NACIONAL_2022_1106128143146150163164[[#This Row],[CIE-10]]),COUNTIFS(BASE[Cod.Establecimiento],$B$2,BASE[CODCIE102],GUIA_NACIONAL_2022_1106128143146150163164[[#This Row],[CIE-10]]))</calculatedColumnFormula>
    </tableColumn>
    <tableColumn id="4" xr3:uid="{8C8B90A0-6960-497C-98A7-816316C80D90}" name="D3" dataDxfId="792">
      <calculatedColumnFormula>IF($B$2="(Todas)",COUNTIF(BASE[CODCIE104],GUIA_NACIONAL_2022_1106128143146150163164[[#This Row],[CIE-10]]),COUNTIFS(BASE[Cod.Establecimiento],$B$2,BASE[CODCIE104],GUIA_NACIONAL_2022_1106128143146150163164[[#This Row],[CIE-10]]))</calculatedColumnFormula>
    </tableColumn>
    <tableColumn id="5" xr3:uid="{636C5CA2-A9AA-407B-8933-B4AF006A1D10}" name="D4" dataDxfId="791">
      <calculatedColumnFormula>IF($B$2="(Todas)",COUNTIF(BASE[CODCIE106],GUIA_NACIONAL_2022_1106128143146150163164[[#This Row],[CIE-10]]),COUNTIFS(BASE[Cod.Establecimiento],$B$2,BASE[CODCIE106],GUIA_NACIONAL_2022_1106128143146150163164[[#This Row],[CIE-10]]))</calculatedColumnFormula>
    </tableColumn>
    <tableColumn id="6" xr3:uid="{D50A5D6E-859A-430B-B7A7-48CE370DD5FA}" name="D5" dataDxfId="790">
      <calculatedColumnFormula>IF($B$2="(Todas)",COUNTIF(BASE[CODCIE108],GUIA_NACIONAL_2022_1106128143146150163164[[#This Row],[CIE-10]]),COUNTIFS(BASE[Cod.Establecimiento],$B$2,BASE[CODCIE108],GUIA_NACIONAL_2022_1106128143146150163164[[#This Row],[CIE-10]]))</calculatedColumnFormula>
    </tableColumn>
    <tableColumn id="7" xr3:uid="{D8DB004F-ECCA-4848-97DC-9060F585DEE1}" name="D6" dataDxfId="789">
      <calculatedColumnFormula>IF($B$2="(Todas)",COUNTIF(BASE[CODCIE1010],GUIA_NACIONAL_2022_1106128143146150163164[[#This Row],[CIE-10]]),COUNTIFS(BASE[Cod.Establecimiento],$B$2,BASE[CODCIE1010],GUIA_NACIONAL_2022_1106128143146150163164[[#This Row],[CIE-10]]))</calculatedColumnFormula>
    </tableColumn>
    <tableColumn id="8" xr3:uid="{3D891F1B-5BF1-4BD0-A933-472D4A2A0E73}" name="TOT" dataDxfId="788" dataCellStyle="40% - Énfasis6">
      <calculatedColumnFormula>SUM(GUIA_NACIONAL_2022_1106128143146150163164[[#This Row],[D1]:[D6]])</calculatedColumnFormula>
    </tableColumn>
  </tableColumns>
  <tableStyleInfo name="TableStyleLight1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C23ABE9E-5D82-48FE-8341-4F2C167DBDF3}" name="GUIA_NACIONAL_2022_1106128143146150163165" displayName="GUIA_NACIONAL_2022_1106128143146150163165" ref="V109:AC110" totalsRowShown="0" headerRowDxfId="787">
  <autoFilter ref="V109:AC110" xr:uid="{C23ABE9E-5D82-48FE-8341-4F2C167DBD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B62239F-0DB4-4E87-8694-EDF86FF30C9E}" name="CIE-10" dataCellStyle="20% - Énfasis4"/>
    <tableColumn id="2" xr3:uid="{6FE4065A-FAAD-40A4-814E-6E717B928FC8}" name="D1" dataDxfId="786">
      <calculatedColumnFormula>IF($B$2="(Todas)",COUNTIF(BASE[CODCIE10],GUIA_NACIONAL_2022_1106128143146150163165[[#This Row],[CIE-10]]),COUNTIFS(BASE[Cod.Establecimiento],$B$2,BASE[CODCIE10],GUIA_NACIONAL_2022_1106128143146150163165[[#This Row],[CIE-10]]))</calculatedColumnFormula>
    </tableColumn>
    <tableColumn id="3" xr3:uid="{70688E81-2CCF-41B9-BD3C-38500A59E14B}" name="D2" dataDxfId="785">
      <calculatedColumnFormula>IF($B$2="(Todas)",COUNTIF(BASE[CODCIE102],GUIA_NACIONAL_2022_1106128143146150163165[[#This Row],[CIE-10]]),COUNTIFS(BASE[Cod.Establecimiento],$B$2,BASE[CODCIE102],GUIA_NACIONAL_2022_1106128143146150163165[[#This Row],[CIE-10]]))</calculatedColumnFormula>
    </tableColumn>
    <tableColumn id="4" xr3:uid="{B62C6460-DF40-4A3C-924E-25910F803BDF}" name="D3" dataDxfId="784">
      <calculatedColumnFormula>IF($B$2="(Todas)",COUNTIF(BASE[CODCIE104],GUIA_NACIONAL_2022_1106128143146150163165[[#This Row],[CIE-10]]),COUNTIFS(BASE[Cod.Establecimiento],$B$2,BASE[CODCIE104],GUIA_NACIONAL_2022_1106128143146150163165[[#This Row],[CIE-10]]))</calculatedColumnFormula>
    </tableColumn>
    <tableColumn id="5" xr3:uid="{54220DD9-E004-4E58-9CC2-EFD7CA4CCB56}" name="D4" dataDxfId="783">
      <calculatedColumnFormula>IF($B$2="(Todas)",COUNTIF(BASE[CODCIE106],GUIA_NACIONAL_2022_1106128143146150163165[[#This Row],[CIE-10]]),COUNTIFS(BASE[Cod.Establecimiento],$B$2,BASE[CODCIE106],GUIA_NACIONAL_2022_1106128143146150163165[[#This Row],[CIE-10]]))</calculatedColumnFormula>
    </tableColumn>
    <tableColumn id="6" xr3:uid="{DA0B139C-2D66-424A-A01F-867ECB93C7B2}" name="D5" dataDxfId="782">
      <calculatedColumnFormula>IF($B$2="(Todas)",COUNTIF(BASE[CODCIE108],GUIA_NACIONAL_2022_1106128143146150163165[[#This Row],[CIE-10]]),COUNTIFS(BASE[Cod.Establecimiento],$B$2,BASE[CODCIE108],GUIA_NACIONAL_2022_1106128143146150163165[[#This Row],[CIE-10]]))</calculatedColumnFormula>
    </tableColumn>
    <tableColumn id="7" xr3:uid="{BFF633AE-FFF2-444C-9CBE-7B32505E38AE}" name="D6" dataDxfId="781">
      <calculatedColumnFormula>IF($B$2="(Todas)",COUNTIF(BASE[CODCIE1010],GUIA_NACIONAL_2022_1106128143146150163165[[#This Row],[CIE-10]]),COUNTIFS(BASE[Cod.Establecimiento],$B$2,BASE[CODCIE1010],GUIA_NACIONAL_2022_1106128143146150163165[[#This Row],[CIE-10]]))</calculatedColumnFormula>
    </tableColumn>
    <tableColumn id="8" xr3:uid="{4C7F7A80-D343-4DAD-B87D-59ECD10173D7}" name="TOT" dataDxfId="780" dataCellStyle="40% - Énfasis6">
      <calculatedColumnFormula>SUM(GUIA_NACIONAL_2022_1106128143146150163165[[#This Row],[D1]:[D6]])</calculatedColumnFormula>
    </tableColumn>
  </tableColumns>
  <tableStyleInfo name="TableStyleLight1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D5A43C0B-1881-473F-994B-D4DC3FC52095}" name="GUIA_NACIONAL_2022_1106128143146150163165166" displayName="GUIA_NACIONAL_2022_1106128143146150163165166" ref="V112:AC113" totalsRowShown="0" headerRowDxfId="779">
  <autoFilter ref="V112:AC113" xr:uid="{D5A43C0B-1881-473F-994B-D4DC3FC520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884F918-75F8-4401-9451-CEAA5998B1EE}" name="CIE-10" dataCellStyle="20% - Énfasis4"/>
    <tableColumn id="2" xr3:uid="{05F662CF-6188-4C7E-A565-A221B1E54B25}" name="D1" dataDxfId="778">
      <calculatedColumnFormula>IF($B$2="(Todas)",COUNTIF(BASE[CODCIE10],GUIA_NACIONAL_2022_1106128143146150163165166[[#This Row],[CIE-10]]),COUNTIFS(BASE[Cod.Establecimiento],$B$2,BASE[CODCIE10],GUIA_NACIONAL_2022_1106128143146150163165166[[#This Row],[CIE-10]]))</calculatedColumnFormula>
    </tableColumn>
    <tableColumn id="3" xr3:uid="{1C18A186-4FE2-4980-B1F1-7C37E44BBA25}" name="D2" dataDxfId="777">
      <calculatedColumnFormula>IF($B$2="(Todas)",COUNTIF(BASE[CODCIE102],GUIA_NACIONAL_2022_1106128143146150163165166[[#This Row],[CIE-10]]),COUNTIFS(BASE[Cod.Establecimiento],$B$2,BASE[CODCIE102],GUIA_NACIONAL_2022_1106128143146150163165166[[#This Row],[CIE-10]]))</calculatedColumnFormula>
    </tableColumn>
    <tableColumn id="4" xr3:uid="{B0040E5C-926C-4247-BF57-6516E133AC94}" name="D3" dataDxfId="776">
      <calculatedColumnFormula>IF($B$2="(Todas)",COUNTIF(BASE[CODCIE104],GUIA_NACIONAL_2022_1106128143146150163165166[[#This Row],[CIE-10]]),COUNTIFS(BASE[Cod.Establecimiento],$B$2,BASE[CODCIE104],GUIA_NACIONAL_2022_1106128143146150163165166[[#This Row],[CIE-10]]))</calculatedColumnFormula>
    </tableColumn>
    <tableColumn id="5" xr3:uid="{3122D998-FB6D-4598-B6D3-31A575E12F81}" name="D4" dataDxfId="775">
      <calculatedColumnFormula>IF($B$2="(Todas)",COUNTIF(BASE[CODCIE106],GUIA_NACIONAL_2022_1106128143146150163165166[[#This Row],[CIE-10]]),COUNTIFS(BASE[Cod.Establecimiento],$B$2,BASE[CODCIE106],GUIA_NACIONAL_2022_1106128143146150163165166[[#This Row],[CIE-10]]))</calculatedColumnFormula>
    </tableColumn>
    <tableColumn id="6" xr3:uid="{3DD9D351-96AC-409D-8AC8-37C735EA1371}" name="D5" dataDxfId="774">
      <calculatedColumnFormula>IF($B$2="(Todas)",COUNTIF(BASE[CODCIE108],GUIA_NACIONAL_2022_1106128143146150163165166[[#This Row],[CIE-10]]),COUNTIFS(BASE[Cod.Establecimiento],$B$2,BASE[CODCIE108],GUIA_NACIONAL_2022_1106128143146150163165166[[#This Row],[CIE-10]]))</calculatedColumnFormula>
    </tableColumn>
    <tableColumn id="7" xr3:uid="{82DD4EED-000D-4AA2-AB97-46B3320FCBEE}" name="D6" dataDxfId="773">
      <calculatedColumnFormula>IF($B$2="(Todas)",COUNTIF(BASE[CODCIE1010],GUIA_NACIONAL_2022_1106128143146150163165166[[#This Row],[CIE-10]]),COUNTIFS(BASE[Cod.Establecimiento],$B$2,BASE[CODCIE1010],GUIA_NACIONAL_2022_1106128143146150163165166[[#This Row],[CIE-10]]))</calculatedColumnFormula>
    </tableColumn>
    <tableColumn id="8" xr3:uid="{C415734D-C94A-4C1D-8E47-B27E080002AD}" name="TOT" dataDxfId="772" dataCellStyle="40% - Énfasis6">
      <calculatedColumnFormula>SUM(GUIA_NACIONAL_2022_1106128143146150163165166[[#This Row],[D1]:[D6]])</calculatedColumnFormula>
    </tableColumn>
  </tableColumns>
  <tableStyleInfo name="TableStyleLight1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250661F9-4E4E-4AC5-B5A7-C5DA01A3D7A3}" name="GUIA_NACIONAL_2022_1106128105167" displayName="GUIA_NACIONAL_2022_1106128105167" ref="AE7:AL9" totalsRowShown="0" headerRowDxfId="771">
  <autoFilter ref="AE7:AL9" xr:uid="{250661F9-4E4E-4AC5-B5A7-C5DA01A3D7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5A876B9-99BC-4337-B15B-B4E25E705C27}" name="CIE-10" dataCellStyle="20% - Énfasis4"/>
    <tableColumn id="2" xr3:uid="{1F4B07CA-25B0-4BFE-ACEB-A938359F44CD}" name="D1" dataDxfId="770">
      <calculatedColumnFormula>IF($B$2="(Todas)",COUNTIF(BASE[CODCIE10],GUIA_NACIONAL_2022_1106128105167[[#This Row],[CIE-10]]),COUNTIFS(BASE[Cod.Establecimiento],$B$2,BASE[CODCIE10],GUIA_NACIONAL_2022_1106128105167[[#This Row],[CIE-10]]))</calculatedColumnFormula>
    </tableColumn>
    <tableColumn id="3" xr3:uid="{A5C0C177-F05A-4DD2-B31C-A97DD0C6C6AB}" name="D2" dataDxfId="769">
      <calculatedColumnFormula>IF($B$2="(Todas)",COUNTIF(BASE[CODCIE102],GUIA_NACIONAL_2022_1106128105167[[#This Row],[CIE-10]]),COUNTIFS(BASE[Cod.Establecimiento],$B$2,BASE[CODCIE102],GUIA_NACIONAL_2022_1106128105167[[#This Row],[CIE-10]]))</calculatedColumnFormula>
    </tableColumn>
    <tableColumn id="4" xr3:uid="{B8535546-35F6-4BE9-856E-13312077ABEF}" name="D3" dataDxfId="768">
      <calculatedColumnFormula>IF($B$2="(Todas)",COUNTIF(BASE[CODCIE104],GUIA_NACIONAL_2022_1106128105167[[#This Row],[CIE-10]]),COUNTIFS(BASE[Cod.Establecimiento],$B$2,BASE[CODCIE104],GUIA_NACIONAL_2022_1106128105167[[#This Row],[CIE-10]]))</calculatedColumnFormula>
    </tableColumn>
    <tableColumn id="5" xr3:uid="{F236B74E-7496-42D0-B8A9-F02C3B3AAE12}" name="D4" dataDxfId="767">
      <calculatedColumnFormula>IF($B$2="(Todas)",COUNTIF(BASE[CODCIE106],GUIA_NACIONAL_2022_1106128105167[[#This Row],[CIE-10]]),COUNTIFS(BASE[Cod.Establecimiento],$B$2,BASE[CODCIE106],GUIA_NACIONAL_2022_1106128105167[[#This Row],[CIE-10]]))</calculatedColumnFormula>
    </tableColumn>
    <tableColumn id="6" xr3:uid="{27A7ACF5-9B9C-4389-B618-CA18ED122C8C}" name="D5" dataDxfId="766">
      <calculatedColumnFormula>IF($B$2="(Todas)",COUNTIF(BASE[CODCIE108],GUIA_NACIONAL_2022_1106128105167[[#This Row],[CIE-10]]),COUNTIFS(BASE[Cod.Establecimiento],$B$2,BASE[CODCIE108],GUIA_NACIONAL_2022_1106128105167[[#This Row],[CIE-10]]))</calculatedColumnFormula>
    </tableColumn>
    <tableColumn id="7" xr3:uid="{443774B0-10F8-4B7E-9D4B-E6857E53B41D}" name="D6" dataDxfId="765">
      <calculatedColumnFormula>IF($B$2="(Todas)",COUNTIF(BASE[CODCIE1010],GUIA_NACIONAL_2022_1106128105167[[#This Row],[CIE-10]]),COUNTIFS(BASE[Cod.Establecimiento],$B$2,BASE[CODCIE1010],GUIA_NACIONAL_2022_1106128105167[[#This Row],[CIE-10]]))</calculatedColumnFormula>
    </tableColumn>
    <tableColumn id="8" xr3:uid="{1CAE5108-209E-4716-8A94-0A6F0BD8B0C9}" name="TOT" dataDxfId="764" dataCellStyle="40% - Énfasis6">
      <calculatedColumnFormula>SUM(GUIA_NACIONAL_2022_1106128105167[[#This Row],[D1]:[D6]])</calculatedColumnFormula>
    </tableColumn>
  </tableColumns>
  <tableStyleInfo name="TableStyleLight1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DF89AF73-D1E3-4F53-8D72-DDE115AE2511}" name="GUIA_NACIONAL_2022_1106128105168" displayName="GUIA_NACIONAL_2022_1106128105168" ref="AE12:AL13" totalsRowShown="0" headerRowDxfId="763">
  <autoFilter ref="AE12:AL13" xr:uid="{DF89AF73-D1E3-4F53-8D72-DDE115AE25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446D9EF-E2CC-477B-B6E1-9371A41E966C}" name="CIE-10" dataCellStyle="20% - Énfasis4"/>
    <tableColumn id="2" xr3:uid="{8C3CE02B-AEFC-4C5B-9A53-15487ED7C55E}" name="D1" dataDxfId="762">
      <calculatedColumnFormula>IF($B$2="(Todas)",COUNTIF(BASE[CODCIE10],GUIA_NACIONAL_2022_1106128105168[[#This Row],[CIE-10]]),COUNTIFS(BASE[Cod.Establecimiento],$B$2,BASE[CODCIE10],GUIA_NACIONAL_2022_1106128105168[[#This Row],[CIE-10]]))</calculatedColumnFormula>
    </tableColumn>
    <tableColumn id="3" xr3:uid="{0738022F-3EBF-4DB5-AC7D-68F4FAE01A0E}" name="D2" dataDxfId="761">
      <calculatedColumnFormula>IF($B$2="(Todas)",COUNTIF(BASE[CODCIE102],GUIA_NACIONAL_2022_1106128105168[[#This Row],[CIE-10]]),COUNTIFS(BASE[Cod.Establecimiento],$B$2,BASE[CODCIE102],GUIA_NACIONAL_2022_1106128105168[[#This Row],[CIE-10]]))</calculatedColumnFormula>
    </tableColumn>
    <tableColumn id="4" xr3:uid="{9546CDAA-2687-4BE1-AADE-96D29DD84DE7}" name="D3" dataDxfId="760">
      <calculatedColumnFormula>IF($B$2="(Todas)",COUNTIF(BASE[CODCIE104],GUIA_NACIONAL_2022_1106128105168[[#This Row],[CIE-10]]),COUNTIFS(BASE[Cod.Establecimiento],$B$2,BASE[CODCIE104],GUIA_NACIONAL_2022_1106128105168[[#This Row],[CIE-10]]))</calculatedColumnFormula>
    </tableColumn>
    <tableColumn id="5" xr3:uid="{1384A8F7-02C7-40D4-9D31-9907837C8AF6}" name="D4" dataDxfId="759">
      <calculatedColumnFormula>IF($B$2="(Todas)",COUNTIF(BASE[CODCIE106],GUIA_NACIONAL_2022_1106128105168[[#This Row],[CIE-10]]),COUNTIFS(BASE[Cod.Establecimiento],$B$2,BASE[CODCIE106],GUIA_NACIONAL_2022_1106128105168[[#This Row],[CIE-10]]))</calculatedColumnFormula>
    </tableColumn>
    <tableColumn id="6" xr3:uid="{1292183E-E894-4321-94A1-C43AA28CE3BE}" name="D5" dataDxfId="758">
      <calculatedColumnFormula>IF($B$2="(Todas)",COUNTIF(BASE[CODCIE108],GUIA_NACIONAL_2022_1106128105168[[#This Row],[CIE-10]]),COUNTIFS(BASE[Cod.Establecimiento],$B$2,BASE[CODCIE108],GUIA_NACIONAL_2022_1106128105168[[#This Row],[CIE-10]]))</calculatedColumnFormula>
    </tableColumn>
    <tableColumn id="7" xr3:uid="{0959CAF8-9D05-4DB4-A4FF-F837EA75FB0B}" name="D6" dataDxfId="757">
      <calculatedColumnFormula>IF($B$2="(Todas)",COUNTIF(BASE[CODCIE1010],GUIA_NACIONAL_2022_1106128105168[[#This Row],[CIE-10]]),COUNTIFS(BASE[Cod.Establecimiento],$B$2,BASE[CODCIE1010],GUIA_NACIONAL_2022_1106128105168[[#This Row],[CIE-10]]))</calculatedColumnFormula>
    </tableColumn>
    <tableColumn id="8" xr3:uid="{C9812DEE-A192-42F3-B6A5-1D4AA18DE2B1}" name="TOT" dataDxfId="756" dataCellStyle="40% - Énfasis6">
      <calculatedColumnFormula>SUM(GUIA_NACIONAL_2022_1106128105168[[#This Row],[D1]:[D6]])</calculatedColumnFormula>
    </tableColumn>
  </tableColumns>
  <tableStyleInfo name="TableStyleLight1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AD117494-7F70-4F5B-AFC6-357A775ED7DA}" name="GUIA_NACIONAL_2022_1106128105168169" displayName="GUIA_NACIONAL_2022_1106128105168169" ref="AE16:AL17" totalsRowShown="0" headerRowDxfId="755">
  <autoFilter ref="AE16:AL17" xr:uid="{AD117494-7F70-4F5B-AFC6-357A775ED7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E336947-9C6D-418A-8BCD-DD1FA2616051}" name="CIE-10" dataCellStyle="20% - Énfasis4"/>
    <tableColumn id="2" xr3:uid="{653A0F1C-A3C0-421B-89C6-B15AF9930EF4}" name="D1" dataDxfId="754">
      <calculatedColumnFormula>IF($B$2="(Todas)",COUNTIF(BASE[CODCIE10],GUIA_NACIONAL_2022_1106128105168169[[#This Row],[CIE-10]]),COUNTIFS(BASE[Cod.Establecimiento],$B$2,BASE[CODCIE10],GUIA_NACIONAL_2022_1106128105168169[[#This Row],[CIE-10]]))</calculatedColumnFormula>
    </tableColumn>
    <tableColumn id="3" xr3:uid="{1D2AFF92-94C6-4DA9-9014-1BD14F5E593D}" name="D2" dataDxfId="753">
      <calculatedColumnFormula>IF($B$2="(Todas)",COUNTIF(BASE[CODCIE102],GUIA_NACIONAL_2022_1106128105168169[[#This Row],[CIE-10]]),COUNTIFS(BASE[Cod.Establecimiento],$B$2,BASE[CODCIE102],GUIA_NACIONAL_2022_1106128105168169[[#This Row],[CIE-10]]))</calculatedColumnFormula>
    </tableColumn>
    <tableColumn id="4" xr3:uid="{2F38C90F-00BA-4550-9571-E2102A1E90E0}" name="D3" dataDxfId="752">
      <calculatedColumnFormula>IF($B$2="(Todas)",COUNTIF(BASE[CODCIE104],GUIA_NACIONAL_2022_1106128105168169[[#This Row],[CIE-10]]),COUNTIFS(BASE[Cod.Establecimiento],$B$2,BASE[CODCIE104],GUIA_NACIONAL_2022_1106128105168169[[#This Row],[CIE-10]]))</calculatedColumnFormula>
    </tableColumn>
    <tableColumn id="5" xr3:uid="{17A96D04-943E-4DC2-9820-D186FFFDED56}" name="D4" dataDxfId="751">
      <calculatedColumnFormula>IF($B$2="(Todas)",COUNTIF(BASE[CODCIE106],GUIA_NACIONAL_2022_1106128105168169[[#This Row],[CIE-10]]),COUNTIFS(BASE[Cod.Establecimiento],$B$2,BASE[CODCIE106],GUIA_NACIONAL_2022_1106128105168169[[#This Row],[CIE-10]]))</calculatedColumnFormula>
    </tableColumn>
    <tableColumn id="6" xr3:uid="{64CA22E2-ABC8-44DD-A3BD-5F45410F301C}" name="D5" dataDxfId="750">
      <calculatedColumnFormula>IF($B$2="(Todas)",COUNTIF(BASE[CODCIE108],GUIA_NACIONAL_2022_1106128105168169[[#This Row],[CIE-10]]),COUNTIFS(BASE[Cod.Establecimiento],$B$2,BASE[CODCIE108],GUIA_NACIONAL_2022_1106128105168169[[#This Row],[CIE-10]]))</calculatedColumnFormula>
    </tableColumn>
    <tableColumn id="7" xr3:uid="{40905BB8-89D8-472A-85BA-FB5E7ABE5F10}" name="D6" dataDxfId="749">
      <calculatedColumnFormula>IF($B$2="(Todas)",COUNTIF(BASE[CODCIE1010],GUIA_NACIONAL_2022_1106128105168169[[#This Row],[CIE-10]]),COUNTIFS(BASE[Cod.Establecimiento],$B$2,BASE[CODCIE1010],GUIA_NACIONAL_2022_1106128105168169[[#This Row],[CIE-10]]))</calculatedColumnFormula>
    </tableColumn>
    <tableColumn id="8" xr3:uid="{41DC049B-18BB-4E61-936D-69A4296611D3}" name="TOT" dataDxfId="748" dataCellStyle="40% - Énfasis6">
      <calculatedColumnFormula>SUM(GUIA_NACIONAL_2022_1106128105168169[[#This Row],[D1]:[D6]])</calculatedColumnFormula>
    </tableColumn>
  </tableColumns>
  <tableStyleInfo name="TableStyleLight1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6001F93D-1CFE-4185-AD71-44910C4C4B1E}" name="GUIA_NACIONAL_2022_1106128105168169170" displayName="GUIA_NACIONAL_2022_1106128105168169170" ref="AE19:AL20" totalsRowShown="0" headerRowDxfId="747">
  <autoFilter ref="AE19:AL20" xr:uid="{6001F93D-1CFE-4185-AD71-44910C4C4B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17A1BB6-5BF4-4D77-BAB4-381F8A7EB847}" name="CIE-10" dataCellStyle="20% - Énfasis4"/>
    <tableColumn id="2" xr3:uid="{EDDFCF27-53B1-4A27-8329-10E6100FAD4A}" name="D1" dataDxfId="746">
      <calculatedColumnFormula>IF($B$2="(Todas)",COUNTIF(BASE[CODCIE10],GUIA_NACIONAL_2022_1106128105168169170[[#This Row],[CIE-10]]),COUNTIFS(BASE[Cod.Establecimiento],$B$2,BASE[CODCIE10],GUIA_NACIONAL_2022_1106128105168169170[[#This Row],[CIE-10]]))</calculatedColumnFormula>
    </tableColumn>
    <tableColumn id="3" xr3:uid="{DA2DBE0A-ACC2-45C3-9D53-9038B8B51B4B}" name="D2" dataDxfId="745">
      <calculatedColumnFormula>IF($B$2="(Todas)",COUNTIF(BASE[CODCIE102],GUIA_NACIONAL_2022_1106128105168169170[[#This Row],[CIE-10]]),COUNTIFS(BASE[Cod.Establecimiento],$B$2,BASE[CODCIE102],GUIA_NACIONAL_2022_1106128105168169170[[#This Row],[CIE-10]]))</calculatedColumnFormula>
    </tableColumn>
    <tableColumn id="4" xr3:uid="{0C5856D2-2BE2-4852-89C3-42F733E54DE5}" name="D3" dataDxfId="744">
      <calculatedColumnFormula>IF($B$2="(Todas)",COUNTIF(BASE[CODCIE104],GUIA_NACIONAL_2022_1106128105168169170[[#This Row],[CIE-10]]),COUNTIFS(BASE[Cod.Establecimiento],$B$2,BASE[CODCIE104],GUIA_NACIONAL_2022_1106128105168169170[[#This Row],[CIE-10]]))</calculatedColumnFormula>
    </tableColumn>
    <tableColumn id="5" xr3:uid="{EDDD91DF-7EF5-49B9-8C4D-ABFC285F2447}" name="D4" dataDxfId="743">
      <calculatedColumnFormula>IF($B$2="(Todas)",COUNTIF(BASE[CODCIE106],GUIA_NACIONAL_2022_1106128105168169170[[#This Row],[CIE-10]]),COUNTIFS(BASE[Cod.Establecimiento],$B$2,BASE[CODCIE106],GUIA_NACIONAL_2022_1106128105168169170[[#This Row],[CIE-10]]))</calculatedColumnFormula>
    </tableColumn>
    <tableColumn id="6" xr3:uid="{5A98C549-62F1-4BB5-A94C-8772B019948D}" name="D5" dataDxfId="742">
      <calculatedColumnFormula>IF($B$2="(Todas)",COUNTIF(BASE[CODCIE108],GUIA_NACIONAL_2022_1106128105168169170[[#This Row],[CIE-10]]),COUNTIFS(BASE[Cod.Establecimiento],$B$2,BASE[CODCIE108],GUIA_NACIONAL_2022_1106128105168169170[[#This Row],[CIE-10]]))</calculatedColumnFormula>
    </tableColumn>
    <tableColumn id="7" xr3:uid="{8D656A83-BDFE-48E6-8E46-C087821F6CB2}" name="D6" dataDxfId="741">
      <calculatedColumnFormula>IF($B$2="(Todas)",COUNTIF(BASE[CODCIE1010],GUIA_NACIONAL_2022_1106128105168169170[[#This Row],[CIE-10]]),COUNTIFS(BASE[Cod.Establecimiento],$B$2,BASE[CODCIE1010],GUIA_NACIONAL_2022_1106128105168169170[[#This Row],[CIE-10]]))</calculatedColumnFormula>
    </tableColumn>
    <tableColumn id="8" xr3:uid="{8B2F1D2E-D2B8-46CE-BF43-1FC448B32C2E}" name="TOT" dataDxfId="740" dataCellStyle="40% - Énfasis6">
      <calculatedColumnFormula>SUM(GUIA_NACIONAL_2022_1106128105168169170[[#This Row],[D1]:[D6]])</calculatedColumnFormula>
    </tableColumn>
  </tableColumns>
  <tableStyleInfo name="TableStyleLight1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36C101B8-33E5-4EF9-94DE-4FAB968BD076}" name="GUIA_NACIONAL_2022_1106128105168169170171" displayName="GUIA_NACIONAL_2022_1106128105168169170171" ref="AE22:AL23" totalsRowShown="0" headerRowDxfId="739">
  <autoFilter ref="AE22:AL23" xr:uid="{36C101B8-33E5-4EF9-94DE-4FAB968BD07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F5278E5-72C1-429C-B5B8-370B14C3C9B8}" name="CIE-10" dataCellStyle="20% - Énfasis4"/>
    <tableColumn id="2" xr3:uid="{1ABE2206-D360-45CC-AE0D-6805C1013F7C}" name="D1" dataDxfId="738">
      <calculatedColumnFormula>IF($B$2="(Todas)",COUNTIF(BASE[CODCIE10],GUIA_NACIONAL_2022_1106128105168169170171[[#This Row],[CIE-10]]),COUNTIFS(BASE[Cod.Establecimiento],$B$2,BASE[CODCIE10],GUIA_NACIONAL_2022_1106128105168169170171[[#This Row],[CIE-10]]))</calculatedColumnFormula>
    </tableColumn>
    <tableColumn id="3" xr3:uid="{2A523DD0-1992-48CC-A3C3-BDE8964A623F}" name="D2" dataDxfId="737">
      <calculatedColumnFormula>IF($B$2="(Todas)",COUNTIF(BASE[CODCIE102],GUIA_NACIONAL_2022_1106128105168169170171[[#This Row],[CIE-10]]),COUNTIFS(BASE[Cod.Establecimiento],$B$2,BASE[CODCIE102],GUIA_NACIONAL_2022_1106128105168169170171[[#This Row],[CIE-10]]))</calculatedColumnFormula>
    </tableColumn>
    <tableColumn id="4" xr3:uid="{6C8F9036-C271-45F2-B27E-FDBDCC82FEDA}" name="D3" dataDxfId="736">
      <calculatedColumnFormula>IF($B$2="(Todas)",COUNTIF(BASE[CODCIE104],GUIA_NACIONAL_2022_1106128105168169170171[[#This Row],[CIE-10]]),COUNTIFS(BASE[Cod.Establecimiento],$B$2,BASE[CODCIE104],GUIA_NACIONAL_2022_1106128105168169170171[[#This Row],[CIE-10]]))</calculatedColumnFormula>
    </tableColumn>
    <tableColumn id="5" xr3:uid="{5A8AA4C8-1791-4B3A-AD5D-73B5CEDA972D}" name="D4" dataDxfId="735">
      <calculatedColumnFormula>IF($B$2="(Todas)",COUNTIF(BASE[CODCIE106],GUIA_NACIONAL_2022_1106128105168169170171[[#This Row],[CIE-10]]),COUNTIFS(BASE[Cod.Establecimiento],$B$2,BASE[CODCIE106],GUIA_NACIONAL_2022_1106128105168169170171[[#This Row],[CIE-10]]))</calculatedColumnFormula>
    </tableColumn>
    <tableColumn id="6" xr3:uid="{0EA2A355-0958-42DD-91BA-6AE09C1514A0}" name="D5" dataDxfId="734">
      <calculatedColumnFormula>IF($B$2="(Todas)",COUNTIF(BASE[CODCIE108],GUIA_NACIONAL_2022_1106128105168169170171[[#This Row],[CIE-10]]),COUNTIFS(BASE[Cod.Establecimiento],$B$2,BASE[CODCIE108],GUIA_NACIONAL_2022_1106128105168169170171[[#This Row],[CIE-10]]))</calculatedColumnFormula>
    </tableColumn>
    <tableColumn id="7" xr3:uid="{06DCB27F-DDE4-428F-8574-2953EEB0A9BD}" name="D6" dataDxfId="733">
      <calculatedColumnFormula>IF($B$2="(Todas)",COUNTIF(BASE[CODCIE1010],GUIA_NACIONAL_2022_1106128105168169170171[[#This Row],[CIE-10]]),COUNTIFS(BASE[Cod.Establecimiento],$B$2,BASE[CODCIE1010],GUIA_NACIONAL_2022_1106128105168169170171[[#This Row],[CIE-10]]))</calculatedColumnFormula>
    </tableColumn>
    <tableColumn id="8" xr3:uid="{10A0E209-7DC7-42CF-8A64-50758FB7EB5A}" name="TOT" dataDxfId="732" dataCellStyle="40% - Énfasis6">
      <calculatedColumnFormula>SUM(GUIA_NACIONAL_2022_1106128105168169170171[[#This Row],[D1]:[D6]])</calculatedColumnFormula>
    </tableColumn>
  </tableColumns>
  <tableStyleInfo name="TableStyleLight1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A7CC8302-E1F0-4317-9D69-4A3B3258A1C5}" name="GUIA_NACIONAL_2022_1106128105168169170171172" displayName="GUIA_NACIONAL_2022_1106128105168169170171172" ref="AE25:AL26" totalsRowShown="0" headerRowDxfId="731">
  <autoFilter ref="AE25:AL26" xr:uid="{A7CC8302-E1F0-4317-9D69-4A3B3258A1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80A5ABD-E20B-4746-95C4-9F79B173E55E}" name="CIE-10" dataCellStyle="20% - Énfasis4"/>
    <tableColumn id="2" xr3:uid="{FCACEA2B-77CD-4701-B8B5-FA49DE67D5C7}" name="D1" dataDxfId="730">
      <calculatedColumnFormula>IF($B$2="(Todas)",COUNTIF(BASE[CODCIE10],GUIA_NACIONAL_2022_1106128105168169170171172[[#This Row],[CIE-10]]),COUNTIFS(BASE[Cod.Establecimiento],$B$2,BASE[CODCIE10],GUIA_NACIONAL_2022_1106128105168169170171172[[#This Row],[CIE-10]]))</calculatedColumnFormula>
    </tableColumn>
    <tableColumn id="3" xr3:uid="{AE862484-AA1A-425B-A48C-2EEB61158601}" name="D2" dataDxfId="729">
      <calculatedColumnFormula>IF($B$2="(Todas)",COUNTIF(BASE[CODCIE102],GUIA_NACIONAL_2022_1106128105168169170171172[[#This Row],[CIE-10]]),COUNTIFS(BASE[Cod.Establecimiento],$B$2,BASE[CODCIE102],GUIA_NACIONAL_2022_1106128105168169170171172[[#This Row],[CIE-10]]))</calculatedColumnFormula>
    </tableColumn>
    <tableColumn id="4" xr3:uid="{7BE112CA-4A9A-487F-9BAA-17E929787C39}" name="D3" dataDxfId="728">
      <calculatedColumnFormula>IF($B$2="(Todas)",COUNTIF(BASE[CODCIE104],GUIA_NACIONAL_2022_1106128105168169170171172[[#This Row],[CIE-10]]),COUNTIFS(BASE[Cod.Establecimiento],$B$2,BASE[CODCIE104],GUIA_NACIONAL_2022_1106128105168169170171172[[#This Row],[CIE-10]]))</calculatedColumnFormula>
    </tableColumn>
    <tableColumn id="5" xr3:uid="{B0A2E8C3-F2BB-4AA5-AFAC-3AC949C17A22}" name="D4" dataDxfId="727">
      <calculatedColumnFormula>IF($B$2="(Todas)",COUNTIF(BASE[CODCIE106],GUIA_NACIONAL_2022_1106128105168169170171172[[#This Row],[CIE-10]]),COUNTIFS(BASE[Cod.Establecimiento],$B$2,BASE[CODCIE106],GUIA_NACIONAL_2022_1106128105168169170171172[[#This Row],[CIE-10]]))</calculatedColumnFormula>
    </tableColumn>
    <tableColumn id="6" xr3:uid="{3835E1A0-9796-455D-8809-4F9D44EAC639}" name="D5" dataDxfId="726">
      <calculatedColumnFormula>IF($B$2="(Todas)",COUNTIF(BASE[CODCIE108],GUIA_NACIONAL_2022_1106128105168169170171172[[#This Row],[CIE-10]]),COUNTIFS(BASE[Cod.Establecimiento],$B$2,BASE[CODCIE108],GUIA_NACIONAL_2022_1106128105168169170171172[[#This Row],[CIE-10]]))</calculatedColumnFormula>
    </tableColumn>
    <tableColumn id="7" xr3:uid="{27B7FCAC-3717-4482-B9EF-44350C2B180F}" name="D6" dataDxfId="725">
      <calculatedColumnFormula>IF($B$2="(Todas)",COUNTIF(BASE[CODCIE1010],GUIA_NACIONAL_2022_1106128105168169170171172[[#This Row],[CIE-10]]),COUNTIFS(BASE[Cod.Establecimiento],$B$2,BASE[CODCIE1010],GUIA_NACIONAL_2022_1106128105168169170171172[[#This Row],[CIE-10]]))</calculatedColumnFormula>
    </tableColumn>
    <tableColumn id="8" xr3:uid="{5F22A7B1-9592-48B0-BF67-2C8596D783B1}" name="TOT" dataDxfId="724" dataCellStyle="40% - Énfasis6">
      <calculatedColumnFormula>SUM(GUIA_NACIONAL_2022_1106128105168169170171172[[#This Row],[D1]:[D6]])</calculatedColumnFormula>
    </tableColumn>
  </tableColumns>
  <tableStyleInfo name="TableStyleLight1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8265E47-E162-433D-8F82-CD189CA66574}" name="GUIA_NACIONAL_2022_1106128105168173" displayName="GUIA_NACIONAL_2022_1106128105168173" ref="AE29:AL30" totalsRowShown="0" headerRowDxfId="723">
  <autoFilter ref="AE29:AL30" xr:uid="{C8265E47-E162-433D-8F82-CD189CA665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227D660-EE63-49ED-BF20-BE95ADF72BC4}" name="CIE-10" dataCellStyle="20% - Énfasis4"/>
    <tableColumn id="2" xr3:uid="{0740E4F5-96F2-435A-9158-5C46246763A2}" name="D1" dataDxfId="722">
      <calculatedColumnFormula>IF($B$2="(Todas)",COUNTIF(BASE[CODCIE10],GUIA_NACIONAL_2022_1106128105168173[[#This Row],[CIE-10]]),COUNTIFS(BASE[Cod.Establecimiento],$B$2,BASE[CODCIE10],GUIA_NACIONAL_2022_1106128105168173[[#This Row],[CIE-10]]))</calculatedColumnFormula>
    </tableColumn>
    <tableColumn id="3" xr3:uid="{CCE74B13-7D04-439A-95B7-DF87DE4BACEF}" name="D2" dataDxfId="721">
      <calculatedColumnFormula>IF($B$2="(Todas)",COUNTIF(BASE[CODCIE102],GUIA_NACIONAL_2022_1106128105168173[[#This Row],[CIE-10]]),COUNTIFS(BASE[Cod.Establecimiento],$B$2,BASE[CODCIE102],GUIA_NACIONAL_2022_1106128105168173[[#This Row],[CIE-10]]))</calculatedColumnFormula>
    </tableColumn>
    <tableColumn id="4" xr3:uid="{2787D992-698C-48EE-A81F-EF892F85E26F}" name="D3" dataDxfId="720">
      <calculatedColumnFormula>IF($B$2="(Todas)",COUNTIF(BASE[CODCIE104],GUIA_NACIONAL_2022_1106128105168173[[#This Row],[CIE-10]]),COUNTIFS(BASE[Cod.Establecimiento],$B$2,BASE[CODCIE104],GUIA_NACIONAL_2022_1106128105168173[[#This Row],[CIE-10]]))</calculatedColumnFormula>
    </tableColumn>
    <tableColumn id="5" xr3:uid="{AADBB19E-3E94-4024-AC0B-B223D7324F9D}" name="D4" dataDxfId="719">
      <calculatedColumnFormula>IF($B$2="(Todas)",COUNTIF(BASE[CODCIE106],GUIA_NACIONAL_2022_1106128105168173[[#This Row],[CIE-10]]),COUNTIFS(BASE[Cod.Establecimiento],$B$2,BASE[CODCIE106],GUIA_NACIONAL_2022_1106128105168173[[#This Row],[CIE-10]]))</calculatedColumnFormula>
    </tableColumn>
    <tableColumn id="6" xr3:uid="{5EF6EF89-F56A-426C-8680-3658E5DAEC4A}" name="D5" dataDxfId="718">
      <calculatedColumnFormula>IF($B$2="(Todas)",COUNTIF(BASE[CODCIE108],GUIA_NACIONAL_2022_1106128105168173[[#This Row],[CIE-10]]),COUNTIFS(BASE[Cod.Establecimiento],$B$2,BASE[CODCIE108],GUIA_NACIONAL_2022_1106128105168173[[#This Row],[CIE-10]]))</calculatedColumnFormula>
    </tableColumn>
    <tableColumn id="7" xr3:uid="{DDF15E23-C57D-460A-A3CE-7BBD35E35805}" name="D6" dataDxfId="717">
      <calculatedColumnFormula>IF($B$2="(Todas)",COUNTIF(BASE[CODCIE1010],GUIA_NACIONAL_2022_1106128105168173[[#This Row],[CIE-10]]),COUNTIFS(BASE[Cod.Establecimiento],$B$2,BASE[CODCIE1010],GUIA_NACIONAL_2022_1106128105168173[[#This Row],[CIE-10]]))</calculatedColumnFormula>
    </tableColumn>
    <tableColumn id="8" xr3:uid="{0559FDB0-A93E-40DC-B7C1-A654292323D2}" name="TOT" dataDxfId="716" dataCellStyle="40% - Énfasis6">
      <calculatedColumnFormula>SUM(GUIA_NACIONAL_2022_1106128105168173[[#This Row],[D1]:[D6]])</calculatedColumnFormula>
    </tableColumn>
  </tableColumns>
  <tableStyleInfo name="TableStyleLight1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67A12ACB-095C-47D1-8EEF-2E555AA678F6}" name="GUIA_NACIONAL_2022_1106128105168169170174" displayName="GUIA_NACIONAL_2022_1106128105168169170174" ref="AE32:AL35" totalsRowShown="0" headerRowDxfId="715">
  <autoFilter ref="AE32:AL35" xr:uid="{67A12ACB-095C-47D1-8EEF-2E555AA678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1E7F145-2D2A-40EC-88EA-4A541390F111}" name="CIE-10" dataCellStyle="20% - Énfasis4"/>
    <tableColumn id="2" xr3:uid="{AD4EBB1B-A02B-483A-8CD6-DDE745653F5E}" name="D1" dataDxfId="714">
      <calculatedColumnFormula>IF($B$2="(Todas)",COUNTIF(BASE[CODCIE10],GUIA_NACIONAL_2022_1106128105168169170174[[#This Row],[CIE-10]]),COUNTIFS(BASE[Cod.Establecimiento],$B$2,BASE[CODCIE10],GUIA_NACIONAL_2022_1106128105168169170174[[#This Row],[CIE-10]]))</calculatedColumnFormula>
    </tableColumn>
    <tableColumn id="3" xr3:uid="{8BB35242-40C6-4E1E-9867-5E4DBC75D5BF}" name="D2" dataDxfId="713">
      <calculatedColumnFormula>IF($B$2="(Todas)",COUNTIF(BASE[CODCIE102],GUIA_NACIONAL_2022_1106128105168169170174[[#This Row],[CIE-10]]),COUNTIFS(BASE[Cod.Establecimiento],$B$2,BASE[CODCIE102],GUIA_NACIONAL_2022_1106128105168169170174[[#This Row],[CIE-10]]))</calculatedColumnFormula>
    </tableColumn>
    <tableColumn id="4" xr3:uid="{70A8CE11-0533-4524-9EC0-B2125A6A7EA3}" name="D3" dataDxfId="712">
      <calculatedColumnFormula>IF($B$2="(Todas)",COUNTIF(BASE[CODCIE104],GUIA_NACIONAL_2022_1106128105168169170174[[#This Row],[CIE-10]]),COUNTIFS(BASE[Cod.Establecimiento],$B$2,BASE[CODCIE104],GUIA_NACIONAL_2022_1106128105168169170174[[#This Row],[CIE-10]]))</calculatedColumnFormula>
    </tableColumn>
    <tableColumn id="5" xr3:uid="{9518A429-31E9-4CA9-99DE-C01A5B28DB8E}" name="D4" dataDxfId="711">
      <calculatedColumnFormula>IF($B$2="(Todas)",COUNTIF(BASE[CODCIE106],GUIA_NACIONAL_2022_1106128105168169170174[[#This Row],[CIE-10]]),COUNTIFS(BASE[Cod.Establecimiento],$B$2,BASE[CODCIE106],GUIA_NACIONAL_2022_1106128105168169170174[[#This Row],[CIE-10]]))</calculatedColumnFormula>
    </tableColumn>
    <tableColumn id="6" xr3:uid="{862BBDE7-EDD3-4944-A2AA-3C8D6A4F0F55}" name="D5" dataDxfId="710">
      <calculatedColumnFormula>IF($B$2="(Todas)",COUNTIF(BASE[CODCIE108],GUIA_NACIONAL_2022_1106128105168169170174[[#This Row],[CIE-10]]),COUNTIFS(BASE[Cod.Establecimiento],$B$2,BASE[CODCIE108],GUIA_NACIONAL_2022_1106128105168169170174[[#This Row],[CIE-10]]))</calculatedColumnFormula>
    </tableColumn>
    <tableColumn id="7" xr3:uid="{2BAC7B19-3758-4B88-8DE5-16307C3BA98F}" name="D6" dataDxfId="709">
      <calculatedColumnFormula>IF($B$2="(Todas)",COUNTIF(BASE[CODCIE1010],GUIA_NACIONAL_2022_1106128105168169170174[[#This Row],[CIE-10]]),COUNTIFS(BASE[Cod.Establecimiento],$B$2,BASE[CODCIE1010],GUIA_NACIONAL_2022_1106128105168169170174[[#This Row],[CIE-10]]))</calculatedColumnFormula>
    </tableColumn>
    <tableColumn id="8" xr3:uid="{4956AABC-EC60-4096-8C2E-0D192E432400}" name="TOT" dataDxfId="708" dataCellStyle="40% - Énfasis6">
      <calculatedColumnFormula>SUM(GUIA_NACIONAL_2022_1106128105168169170174[[#This Row],[D1]:[D6]])</calculatedColumnFormula>
    </tableColumn>
  </tableColumns>
  <tableStyleInfo name="TableStyleLight1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2D4A493F-66C5-43C4-BEA8-5EB254265C19}" name="GUIA_NACIONAL_2022_1106128105168175" displayName="GUIA_NACIONAL_2022_1106128105168175" ref="AE38:AL40" totalsRowShown="0" headerRowDxfId="707">
  <autoFilter ref="AE38:AL40" xr:uid="{2D4A493F-66C5-43C4-BEA8-5EB254265C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3D9365F-A2FF-4702-BDB1-F9D1F459CE3B}" name="CIE-10" dataCellStyle="20% - Énfasis4"/>
    <tableColumn id="2" xr3:uid="{5FD4849A-9D2D-49B7-B00D-4633B1143F97}" name="D1" dataDxfId="706">
      <calculatedColumnFormula>IF($B$2="(Todas)",COUNTIF(BASE[CODCIE10],GUIA_NACIONAL_2022_1106128105168175[[#This Row],[CIE-10]]),COUNTIFS(BASE[Cod.Establecimiento],$B$2,BASE[CODCIE10],GUIA_NACIONAL_2022_1106128105168175[[#This Row],[CIE-10]]))</calculatedColumnFormula>
    </tableColumn>
    <tableColumn id="3" xr3:uid="{D89704CA-DDA4-45DF-8846-4130F0833FE4}" name="D2" dataDxfId="705">
      <calculatedColumnFormula>IF($B$2="(Todas)",COUNTIF(BASE[CODCIE102],GUIA_NACIONAL_2022_1106128105168175[[#This Row],[CIE-10]]),COUNTIFS(BASE[Cod.Establecimiento],$B$2,BASE[CODCIE102],GUIA_NACIONAL_2022_1106128105168175[[#This Row],[CIE-10]]))</calculatedColumnFormula>
    </tableColumn>
    <tableColumn id="4" xr3:uid="{1CEEA620-16CC-4BCE-A8E9-50B7C81AC3AA}" name="D3" dataDxfId="704">
      <calculatedColumnFormula>IF($B$2="(Todas)",COUNTIF(BASE[CODCIE104],GUIA_NACIONAL_2022_1106128105168175[[#This Row],[CIE-10]]),COUNTIFS(BASE[Cod.Establecimiento],$B$2,BASE[CODCIE104],GUIA_NACIONAL_2022_1106128105168175[[#This Row],[CIE-10]]))</calculatedColumnFormula>
    </tableColumn>
    <tableColumn id="5" xr3:uid="{DC463B1F-95CB-408D-8138-717379F79574}" name="D4" dataDxfId="703">
      <calculatedColumnFormula>IF($B$2="(Todas)",COUNTIF(BASE[CODCIE106],GUIA_NACIONAL_2022_1106128105168175[[#This Row],[CIE-10]]),COUNTIFS(BASE[Cod.Establecimiento],$B$2,BASE[CODCIE106],GUIA_NACIONAL_2022_1106128105168175[[#This Row],[CIE-10]]))</calculatedColumnFormula>
    </tableColumn>
    <tableColumn id="6" xr3:uid="{0499D425-E376-4ABB-BD95-BA2CCA659B87}" name="D5" dataDxfId="702">
      <calculatedColumnFormula>IF($B$2="(Todas)",COUNTIF(BASE[CODCIE108],GUIA_NACIONAL_2022_1106128105168175[[#This Row],[CIE-10]]),COUNTIFS(BASE[Cod.Establecimiento],$B$2,BASE[CODCIE108],GUIA_NACIONAL_2022_1106128105168175[[#This Row],[CIE-10]]))</calculatedColumnFormula>
    </tableColumn>
    <tableColumn id="7" xr3:uid="{C3893D81-640C-42C6-BCED-EE82F46EDE08}" name="D6" dataDxfId="701">
      <calculatedColumnFormula>IF($B$2="(Todas)",COUNTIF(BASE[CODCIE1010],GUIA_NACIONAL_2022_1106128105168175[[#This Row],[CIE-10]]),COUNTIFS(BASE[Cod.Establecimiento],$B$2,BASE[CODCIE1010],GUIA_NACIONAL_2022_1106128105168175[[#This Row],[CIE-10]]))</calculatedColumnFormula>
    </tableColumn>
    <tableColumn id="8" xr3:uid="{0CA7A1AE-069A-49A9-9BF4-36FD81ED5AED}" name="TOT" dataDxfId="700" dataCellStyle="40% - Énfasis6">
      <calculatedColumnFormula>SUM(GUIA_NACIONAL_2022_1106128105168175[[#This Row],[D1]:[D6]])</calculatedColumnFormula>
    </tableColumn>
  </tableColumns>
  <tableStyleInfo name="TableStyleLight1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70E53D24-DFF5-4B28-A245-40E8CA00CEF8}" name="GUIA_NACIONAL_2022_1106128105168175176" displayName="GUIA_NACIONAL_2022_1106128105168175176" ref="AE42:AL48" totalsRowShown="0" headerRowDxfId="699">
  <autoFilter ref="AE42:AL48" xr:uid="{70E53D24-DFF5-4B28-A245-40E8CA00CE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D84C4E0-2627-45CB-AF20-7E763272654B}" name="CIE-10" dataCellStyle="20% - Énfasis4"/>
    <tableColumn id="2" xr3:uid="{1F9CB1A2-BB6D-46DD-8C79-ADDBAA617A10}" name="D1" dataDxfId="698">
      <calculatedColumnFormula>IF($B$2="(Todas)",COUNTIF(BASE[CODCIE10],GUIA_NACIONAL_2022_1106128105168175176[[#This Row],[CIE-10]]),COUNTIFS(BASE[Cod.Establecimiento],$B$2,BASE[CODCIE10],GUIA_NACIONAL_2022_1106128105168175176[[#This Row],[CIE-10]]))</calculatedColumnFormula>
    </tableColumn>
    <tableColumn id="3" xr3:uid="{59180120-5100-4003-A8B3-68FC2786282D}" name="D2" dataDxfId="697">
      <calculatedColumnFormula>IF($B$2="(Todas)",COUNTIF(BASE[CODCIE102],GUIA_NACIONAL_2022_1106128105168175176[[#This Row],[CIE-10]]),COUNTIFS(BASE[Cod.Establecimiento],$B$2,BASE[CODCIE102],GUIA_NACIONAL_2022_1106128105168175176[[#This Row],[CIE-10]]))</calculatedColumnFormula>
    </tableColumn>
    <tableColumn id="4" xr3:uid="{0C1D3D43-11B4-4A64-A717-300B67D32AB5}" name="D3" dataDxfId="696">
      <calculatedColumnFormula>IF($B$2="(Todas)",COUNTIF(BASE[CODCIE104],GUIA_NACIONAL_2022_1106128105168175176[[#This Row],[CIE-10]]),COUNTIFS(BASE[Cod.Establecimiento],$B$2,BASE[CODCIE104],GUIA_NACIONAL_2022_1106128105168175176[[#This Row],[CIE-10]]))</calculatedColumnFormula>
    </tableColumn>
    <tableColumn id="5" xr3:uid="{7B570A48-1ED8-48E7-AF71-05B5D83030E2}" name="D4" dataDxfId="695">
      <calculatedColumnFormula>IF($B$2="(Todas)",COUNTIF(BASE[CODCIE106],GUIA_NACIONAL_2022_1106128105168175176[[#This Row],[CIE-10]]),COUNTIFS(BASE[Cod.Establecimiento],$B$2,BASE[CODCIE106],GUIA_NACIONAL_2022_1106128105168175176[[#This Row],[CIE-10]]))</calculatedColumnFormula>
    </tableColumn>
    <tableColumn id="6" xr3:uid="{CC268D6E-77F1-47A7-9C36-B739686E49CA}" name="D5" dataDxfId="694">
      <calculatedColumnFormula>IF($B$2="(Todas)",COUNTIF(BASE[CODCIE108],GUIA_NACIONAL_2022_1106128105168175176[[#This Row],[CIE-10]]),COUNTIFS(BASE[Cod.Establecimiento],$B$2,BASE[CODCIE108],GUIA_NACIONAL_2022_1106128105168175176[[#This Row],[CIE-10]]))</calculatedColumnFormula>
    </tableColumn>
    <tableColumn id="7" xr3:uid="{67D868E0-8B42-4BB9-9A93-56D4A81CA1E2}" name="D6" dataDxfId="693">
      <calculatedColumnFormula>IF($B$2="(Todas)",COUNTIF(BASE[CODCIE1010],GUIA_NACIONAL_2022_1106128105168175176[[#This Row],[CIE-10]]),COUNTIFS(BASE[Cod.Establecimiento],$B$2,BASE[CODCIE1010],GUIA_NACIONAL_2022_1106128105168175176[[#This Row],[CIE-10]]))</calculatedColumnFormula>
    </tableColumn>
    <tableColumn id="8" xr3:uid="{15D5F83F-C5BD-4C9C-B5F1-4A68B7C00956}" name="TOT" dataDxfId="692" dataCellStyle="40% - Énfasis6">
      <calculatedColumnFormula>SUM(GUIA_NACIONAL_2022_1106128105168175176[[#This Row],[D1]:[D6]])</calculatedColumnFormula>
    </tableColumn>
  </tableColumns>
  <tableStyleInfo name="TableStyleLight1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9E5407FC-EB58-421A-AE61-107FA1EDDA06}" name="GUIA_NACIONAL_2022_1106128105168175177" displayName="GUIA_NACIONAL_2022_1106128105168175177" ref="AE50:AL51" totalsRowShown="0" headerRowDxfId="691">
  <autoFilter ref="AE50:AL51" xr:uid="{9E5407FC-EB58-421A-AE61-107FA1EDDA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FCB5623-5677-4BCB-9916-4181048490C8}" name="CIE-10" dataCellStyle="20% - Énfasis4"/>
    <tableColumn id="2" xr3:uid="{270CD407-7191-40E0-8C6E-CEC831DF5867}" name="D1" dataDxfId="690">
      <calculatedColumnFormula>IF($B$2="(Todas)",COUNTIF(BASE[CODCIE10],GUIA_NACIONAL_2022_1106128105168175177[[#This Row],[CIE-10]]),COUNTIFS(BASE[Cod.Establecimiento],$B$2,BASE[CODCIE10],GUIA_NACIONAL_2022_1106128105168175177[[#This Row],[CIE-10]]))</calculatedColumnFormula>
    </tableColumn>
    <tableColumn id="3" xr3:uid="{A51BCAEF-1617-4687-83B0-67253EF0F1E0}" name="D2" dataDxfId="689">
      <calculatedColumnFormula>IF($B$2="(Todas)",COUNTIF(BASE[CODCIE102],GUIA_NACIONAL_2022_1106128105168175177[[#This Row],[CIE-10]]),COUNTIFS(BASE[Cod.Establecimiento],$B$2,BASE[CODCIE102],GUIA_NACIONAL_2022_1106128105168175177[[#This Row],[CIE-10]]))</calculatedColumnFormula>
    </tableColumn>
    <tableColumn id="4" xr3:uid="{254E511F-DAA5-4C9C-888B-AAED7B355884}" name="D3" dataDxfId="688">
      <calculatedColumnFormula>IF($B$2="(Todas)",COUNTIF(BASE[CODCIE104],GUIA_NACIONAL_2022_1106128105168175177[[#This Row],[CIE-10]]),COUNTIFS(BASE[Cod.Establecimiento],$B$2,BASE[CODCIE104],GUIA_NACIONAL_2022_1106128105168175177[[#This Row],[CIE-10]]))</calculatedColumnFormula>
    </tableColumn>
    <tableColumn id="5" xr3:uid="{7884547A-DC9E-428A-8E9D-62D6649CCB3D}" name="D4" dataDxfId="687">
      <calculatedColumnFormula>IF($B$2="(Todas)",COUNTIF(BASE[CODCIE106],GUIA_NACIONAL_2022_1106128105168175177[[#This Row],[CIE-10]]),COUNTIFS(BASE[Cod.Establecimiento],$B$2,BASE[CODCIE106],GUIA_NACIONAL_2022_1106128105168175177[[#This Row],[CIE-10]]))</calculatedColumnFormula>
    </tableColumn>
    <tableColumn id="6" xr3:uid="{47E66C73-0B28-4A78-BD41-D457E181EE58}" name="D5" dataDxfId="686">
      <calculatedColumnFormula>IF($B$2="(Todas)",COUNTIF(BASE[CODCIE108],GUIA_NACIONAL_2022_1106128105168175177[[#This Row],[CIE-10]]),COUNTIFS(BASE[Cod.Establecimiento],$B$2,BASE[CODCIE108],GUIA_NACIONAL_2022_1106128105168175177[[#This Row],[CIE-10]]))</calculatedColumnFormula>
    </tableColumn>
    <tableColumn id="7" xr3:uid="{7F1E1420-D7A3-442C-86C1-5B0596A17E77}" name="D6" dataDxfId="685">
      <calculatedColumnFormula>IF($B$2="(Todas)",COUNTIF(BASE[CODCIE1010],GUIA_NACIONAL_2022_1106128105168175177[[#This Row],[CIE-10]]),COUNTIFS(BASE[Cod.Establecimiento],$B$2,BASE[CODCIE1010],GUIA_NACIONAL_2022_1106128105168175177[[#This Row],[CIE-10]]))</calculatedColumnFormula>
    </tableColumn>
    <tableColumn id="8" xr3:uid="{08C6B711-4B98-497F-9A7A-2E653EE8EC18}" name="TOT" dataDxfId="684" dataCellStyle="40% - Énfasis6">
      <calculatedColumnFormula>SUM(GUIA_NACIONAL_2022_1106128105168175177[[#This Row],[D1]:[D6]])</calculatedColumnFormula>
    </tableColumn>
  </tableColumns>
  <tableStyleInfo name="TableStyleLight1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A76A9A99-A277-4F7D-9203-E9C0B6F32831}" name="GUIA_NACIONAL_2022_1106128105168175177178" displayName="GUIA_NACIONAL_2022_1106128105168175177178" ref="AE53:AL54" totalsRowShown="0" headerRowDxfId="683">
  <autoFilter ref="AE53:AL54" xr:uid="{A76A9A99-A277-4F7D-9203-E9C0B6F32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31534BC-9518-4892-AF31-E3F18C31FFB8}" name="CIE-10" dataCellStyle="20% - Énfasis4"/>
    <tableColumn id="2" xr3:uid="{8EBB817B-16EA-492B-9164-753EC85EDEB8}" name="D1" dataDxfId="682">
      <calculatedColumnFormula>IF($B$2="(Todas)",COUNTIF(BASE[CODCIE10],GUIA_NACIONAL_2022_1106128105168175177178[[#This Row],[CIE-10]]),COUNTIFS(BASE[Cod.Establecimiento],$B$2,BASE[CODCIE10],GUIA_NACIONAL_2022_1106128105168175177178[[#This Row],[CIE-10]]))</calculatedColumnFormula>
    </tableColumn>
    <tableColumn id="3" xr3:uid="{63B901D9-5F2F-4551-B223-F97641ADA0A3}" name="D2" dataDxfId="681">
      <calculatedColumnFormula>IF($B$2="(Todas)",COUNTIF(BASE[CODCIE102],GUIA_NACIONAL_2022_1106128105168175177178[[#This Row],[CIE-10]]),COUNTIFS(BASE[Cod.Establecimiento],$B$2,BASE[CODCIE102],GUIA_NACIONAL_2022_1106128105168175177178[[#This Row],[CIE-10]]))</calculatedColumnFormula>
    </tableColumn>
    <tableColumn id="4" xr3:uid="{0665873D-88F2-4DF5-8FA8-FD4E7AD236F0}" name="D3" dataDxfId="680">
      <calculatedColumnFormula>IF($B$2="(Todas)",COUNTIF(BASE[CODCIE104],GUIA_NACIONAL_2022_1106128105168175177178[[#This Row],[CIE-10]]),COUNTIFS(BASE[Cod.Establecimiento],$B$2,BASE[CODCIE104],GUIA_NACIONAL_2022_1106128105168175177178[[#This Row],[CIE-10]]))</calculatedColumnFormula>
    </tableColumn>
    <tableColumn id="5" xr3:uid="{57CDFA0D-92DE-4615-BF9D-EA8BFC12D01B}" name="D4" dataDxfId="679">
      <calculatedColumnFormula>IF($B$2="(Todas)",COUNTIF(BASE[CODCIE106],GUIA_NACIONAL_2022_1106128105168175177178[[#This Row],[CIE-10]]),COUNTIFS(BASE[Cod.Establecimiento],$B$2,BASE[CODCIE106],GUIA_NACIONAL_2022_1106128105168175177178[[#This Row],[CIE-10]]))</calculatedColumnFormula>
    </tableColumn>
    <tableColumn id="6" xr3:uid="{BC4C92BE-A074-4FA4-BB24-2D904C71A133}" name="D5" dataDxfId="678">
      <calculatedColumnFormula>IF($B$2="(Todas)",COUNTIF(BASE[CODCIE108],GUIA_NACIONAL_2022_1106128105168175177178[[#This Row],[CIE-10]]),COUNTIFS(BASE[Cod.Establecimiento],$B$2,BASE[CODCIE108],GUIA_NACIONAL_2022_1106128105168175177178[[#This Row],[CIE-10]]))</calculatedColumnFormula>
    </tableColumn>
    <tableColumn id="7" xr3:uid="{D0137747-C78F-420F-B1CA-9A62CFDEA01A}" name="D6" dataDxfId="677">
      <calculatedColumnFormula>IF($B$2="(Todas)",COUNTIF(BASE[CODCIE1010],GUIA_NACIONAL_2022_1106128105168175177178[[#This Row],[CIE-10]]),COUNTIFS(BASE[Cod.Establecimiento],$B$2,BASE[CODCIE1010],GUIA_NACIONAL_2022_1106128105168175177178[[#This Row],[CIE-10]]))</calculatedColumnFormula>
    </tableColumn>
    <tableColumn id="8" xr3:uid="{7AA5836D-466E-4DE8-AC30-A83415677496}" name="TOT" dataDxfId="676" dataCellStyle="40% - Énfasis6">
      <calculatedColumnFormula>SUM(GUIA_NACIONAL_2022_1106128105168175177178[[#This Row],[D1]:[D6]])</calculatedColumnFormula>
    </tableColumn>
  </tableColumns>
  <tableStyleInfo name="TableStyleLight1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1B4CD0B6-4B36-4DA4-AE9A-6DF161C9EA6F}" name="GUIA_NACIONAL_2022_1106128105168175177179" displayName="GUIA_NACIONAL_2022_1106128105168175177179" ref="AE56:AL57" totalsRowShown="0" headerRowDxfId="675">
  <autoFilter ref="AE56:AL57" xr:uid="{1B4CD0B6-4B36-4DA4-AE9A-6DF161C9EA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6D5C2A6-C5EE-4E87-BFD0-1FC41ED13731}" name="CIE-10" dataCellStyle="20% - Énfasis4"/>
    <tableColumn id="2" xr3:uid="{5EAD6F54-EDA7-425D-BEE2-8BD28CE7486C}" name="D1" dataDxfId="674">
      <calculatedColumnFormula>IF($B$2="(Todas)",COUNTIF(BASE[CODCIE10],GUIA_NACIONAL_2022_1106128105168175177179[[#This Row],[CIE-10]]),COUNTIFS(BASE[Cod.Establecimiento],$B$2,BASE[CODCIE10],GUIA_NACIONAL_2022_1106128105168175177179[[#This Row],[CIE-10]]))</calculatedColumnFormula>
    </tableColumn>
    <tableColumn id="3" xr3:uid="{FB2C35B6-AB79-482F-B117-E8F043124313}" name="D2" dataDxfId="673">
      <calculatedColumnFormula>IF($B$2="(Todas)",COUNTIF(BASE[CODCIE102],GUIA_NACIONAL_2022_1106128105168175177179[[#This Row],[CIE-10]]),COUNTIFS(BASE[Cod.Establecimiento],$B$2,BASE[CODCIE102],GUIA_NACIONAL_2022_1106128105168175177179[[#This Row],[CIE-10]]))</calculatedColumnFormula>
    </tableColumn>
    <tableColumn id="4" xr3:uid="{43D46657-1002-44B9-8DA2-BB2EB7C2ED80}" name="D3" dataDxfId="672">
      <calculatedColumnFormula>IF($B$2="(Todas)",COUNTIF(BASE[CODCIE104],GUIA_NACIONAL_2022_1106128105168175177179[[#This Row],[CIE-10]]),COUNTIFS(BASE[Cod.Establecimiento],$B$2,BASE[CODCIE104],GUIA_NACIONAL_2022_1106128105168175177179[[#This Row],[CIE-10]]))</calculatedColumnFormula>
    </tableColumn>
    <tableColumn id="5" xr3:uid="{84F2C49E-E55B-4291-9C26-0DA7D39D39F5}" name="D4" dataDxfId="671">
      <calculatedColumnFormula>IF($B$2="(Todas)",COUNTIF(BASE[CODCIE106],GUIA_NACIONAL_2022_1106128105168175177179[[#This Row],[CIE-10]]),COUNTIFS(BASE[Cod.Establecimiento],$B$2,BASE[CODCIE106],GUIA_NACIONAL_2022_1106128105168175177179[[#This Row],[CIE-10]]))</calculatedColumnFormula>
    </tableColumn>
    <tableColumn id="6" xr3:uid="{55AB1825-D934-49C1-9317-11FF61284C84}" name="D5" dataDxfId="670">
      <calculatedColumnFormula>IF($B$2="(Todas)",COUNTIF(BASE[CODCIE108],GUIA_NACIONAL_2022_1106128105168175177179[[#This Row],[CIE-10]]),COUNTIFS(BASE[Cod.Establecimiento],$B$2,BASE[CODCIE108],GUIA_NACIONAL_2022_1106128105168175177179[[#This Row],[CIE-10]]))</calculatedColumnFormula>
    </tableColumn>
    <tableColumn id="7" xr3:uid="{122D1272-3134-43FF-B8E4-C8ED38DE13B0}" name="D6" dataDxfId="669">
      <calculatedColumnFormula>IF($B$2="(Todas)",COUNTIF(BASE[CODCIE1010],GUIA_NACIONAL_2022_1106128105168175177179[[#This Row],[CIE-10]]),COUNTIFS(BASE[Cod.Establecimiento],$B$2,BASE[CODCIE1010],GUIA_NACIONAL_2022_1106128105168175177179[[#This Row],[CIE-10]]))</calculatedColumnFormula>
    </tableColumn>
    <tableColumn id="8" xr3:uid="{78D78B98-8C84-47FA-90BB-992D2C9E3891}" name="TOT" dataDxfId="668" dataCellStyle="40% - Énfasis6">
      <calculatedColumnFormula>SUM(GUIA_NACIONAL_2022_1106128105168175177179[[#This Row],[D1]:[D6]])</calculatedColumnFormula>
    </tableColumn>
  </tableColumns>
  <tableStyleInfo name="TableStyleLight1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4092183A-C79B-44DD-B635-6B11B5E3D5DB}" name="GUIA_NACIONAL_2022_1106128105168175180" displayName="GUIA_NACIONAL_2022_1106128105168175180" ref="AE60:AL61" totalsRowShown="0" headerRowDxfId="667">
  <autoFilter ref="AE60:AL61" xr:uid="{4092183A-C79B-44DD-B635-6B11B5E3D5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BA7B778-B172-4029-95E5-45C9F14A439A}" name="CIE-10" dataCellStyle="20% - Énfasis4"/>
    <tableColumn id="2" xr3:uid="{04A02609-E92E-4131-BE5E-F21EFD6AEEDC}" name="D1" dataDxfId="666">
      <calculatedColumnFormula>IF($B$2="(Todas)",COUNTIF(BASE[CODCIE10],GUIA_NACIONAL_2022_1106128105168175180[[#This Row],[CIE-10]]),COUNTIFS(BASE[Cod.Establecimiento],$B$2,BASE[CODCIE10],GUIA_NACIONAL_2022_1106128105168175180[[#This Row],[CIE-10]]))</calculatedColumnFormula>
    </tableColumn>
    <tableColumn id="3" xr3:uid="{F81F0433-0D6C-4B59-B999-24ADFA47253F}" name="D2" dataDxfId="665">
      <calculatedColumnFormula>IF($B$2="(Todas)",COUNTIF(BASE[CODCIE102],GUIA_NACIONAL_2022_1106128105168175180[[#This Row],[CIE-10]]),COUNTIFS(BASE[Cod.Establecimiento],$B$2,BASE[CODCIE102],GUIA_NACIONAL_2022_1106128105168175180[[#This Row],[CIE-10]]))</calculatedColumnFormula>
    </tableColumn>
    <tableColumn id="4" xr3:uid="{B7742A9C-0F40-4E2F-AAE4-C721A1F1BA5C}" name="D3" dataDxfId="664">
      <calculatedColumnFormula>IF($B$2="(Todas)",COUNTIF(BASE[CODCIE104],GUIA_NACIONAL_2022_1106128105168175180[[#This Row],[CIE-10]]),COUNTIFS(BASE[Cod.Establecimiento],$B$2,BASE[CODCIE104],GUIA_NACIONAL_2022_1106128105168175180[[#This Row],[CIE-10]]))</calculatedColumnFormula>
    </tableColumn>
    <tableColumn id="5" xr3:uid="{AA29F548-31A3-4265-9AE6-EC3531F0DAB6}" name="D4" dataDxfId="663">
      <calculatedColumnFormula>IF($B$2="(Todas)",COUNTIF(BASE[CODCIE106],GUIA_NACIONAL_2022_1106128105168175180[[#This Row],[CIE-10]]),COUNTIFS(BASE[Cod.Establecimiento],$B$2,BASE[CODCIE106],GUIA_NACIONAL_2022_1106128105168175180[[#This Row],[CIE-10]]))</calculatedColumnFormula>
    </tableColumn>
    <tableColumn id="6" xr3:uid="{8965F7B5-CF35-4B22-96D2-9017D1075FF2}" name="D5" dataDxfId="662">
      <calculatedColumnFormula>IF($B$2="(Todas)",COUNTIF(BASE[CODCIE108],GUIA_NACIONAL_2022_1106128105168175180[[#This Row],[CIE-10]]),COUNTIFS(BASE[Cod.Establecimiento],$B$2,BASE[CODCIE108],GUIA_NACIONAL_2022_1106128105168175180[[#This Row],[CIE-10]]))</calculatedColumnFormula>
    </tableColumn>
    <tableColumn id="7" xr3:uid="{D37A4245-8456-45F6-B428-C78645D1F7CA}" name="D6" dataDxfId="661">
      <calculatedColumnFormula>IF($B$2="(Todas)",COUNTIF(BASE[CODCIE1010],GUIA_NACIONAL_2022_1106128105168175180[[#This Row],[CIE-10]]),COUNTIFS(BASE[Cod.Establecimiento],$B$2,BASE[CODCIE1010],GUIA_NACIONAL_2022_1106128105168175180[[#This Row],[CIE-10]]))</calculatedColumnFormula>
    </tableColumn>
    <tableColumn id="8" xr3:uid="{237E8893-85F6-4190-8C56-ADA03736DD4E}" name="TOT" dataDxfId="660" dataCellStyle="40% - Énfasis6">
      <calculatedColumnFormula>SUM(GUIA_NACIONAL_2022_1106128105168175180[[#This Row],[D1]:[D6]])</calculatedColumnFormula>
    </tableColumn>
  </tableColumns>
  <tableStyleInfo name="TableStyleLight1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97CC907C-9D33-493C-AAC9-0B68133D277E}" name="GUIA_NACIONAL_2022_1106128105168175180181" displayName="GUIA_NACIONAL_2022_1106128105168175180181" ref="AE63:AL64" totalsRowShown="0" headerRowDxfId="659">
  <autoFilter ref="AE63:AL64" xr:uid="{97CC907C-9D33-493C-AAC9-0B68133D27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D62C2AE-E04A-4740-B038-9447622830C1}" name="CIE-10" dataCellStyle="20% - Énfasis4"/>
    <tableColumn id="2" xr3:uid="{61FE3C7C-98D0-4A06-8193-81F33DC17893}" name="D1" dataDxfId="658">
      <calculatedColumnFormula>IF($B$2="(Todas)",COUNTIF(BASE[CODCIE10],GUIA_NACIONAL_2022_1106128105168175180181[[#This Row],[CIE-10]]),COUNTIFS(BASE[Cod.Establecimiento],$B$2,BASE[CODCIE10],GUIA_NACIONAL_2022_1106128105168175180181[[#This Row],[CIE-10]]))</calculatedColumnFormula>
    </tableColumn>
    <tableColumn id="3" xr3:uid="{4919E4E2-C323-43C9-B60E-1744D7F71782}" name="D2" dataDxfId="657">
      <calculatedColumnFormula>IF($B$2="(Todas)",COUNTIF(BASE[CODCIE102],GUIA_NACIONAL_2022_1106128105168175180181[[#This Row],[CIE-10]]),COUNTIFS(BASE[Cod.Establecimiento],$B$2,BASE[CODCIE102],GUIA_NACIONAL_2022_1106128105168175180181[[#This Row],[CIE-10]]))</calculatedColumnFormula>
    </tableColumn>
    <tableColumn id="4" xr3:uid="{4FA3E617-E383-4CC5-AD55-0856C2B912DA}" name="D3" dataDxfId="656">
      <calculatedColumnFormula>IF($B$2="(Todas)",COUNTIF(BASE[CODCIE104],GUIA_NACIONAL_2022_1106128105168175180181[[#This Row],[CIE-10]]),COUNTIFS(BASE[Cod.Establecimiento],$B$2,BASE[CODCIE104],GUIA_NACIONAL_2022_1106128105168175180181[[#This Row],[CIE-10]]))</calculatedColumnFormula>
    </tableColumn>
    <tableColumn id="5" xr3:uid="{93263273-6647-489A-807E-A40FDB92CEAE}" name="D4" dataDxfId="655">
      <calculatedColumnFormula>IF($B$2="(Todas)",COUNTIF(BASE[CODCIE106],GUIA_NACIONAL_2022_1106128105168175180181[[#This Row],[CIE-10]]),COUNTIFS(BASE[Cod.Establecimiento],$B$2,BASE[CODCIE106],GUIA_NACIONAL_2022_1106128105168175180181[[#This Row],[CIE-10]]))</calculatedColumnFormula>
    </tableColumn>
    <tableColumn id="6" xr3:uid="{A1000B46-A3F3-4D3D-8409-D73368C7C300}" name="D5" dataDxfId="654">
      <calculatedColumnFormula>IF($B$2="(Todas)",COUNTIF(BASE[CODCIE108],GUIA_NACIONAL_2022_1106128105168175180181[[#This Row],[CIE-10]]),COUNTIFS(BASE[Cod.Establecimiento],$B$2,BASE[CODCIE108],GUIA_NACIONAL_2022_1106128105168175180181[[#This Row],[CIE-10]]))</calculatedColumnFormula>
    </tableColumn>
    <tableColumn id="7" xr3:uid="{563E33C3-E2A8-4E34-BCF7-E555E108BF1B}" name="D6" dataDxfId="653">
      <calculatedColumnFormula>IF($B$2="(Todas)",COUNTIF(BASE[CODCIE1010],GUIA_NACIONAL_2022_1106128105168175180181[[#This Row],[CIE-10]]),COUNTIFS(BASE[Cod.Establecimiento],$B$2,BASE[CODCIE1010],GUIA_NACIONAL_2022_1106128105168175180181[[#This Row],[CIE-10]]))</calculatedColumnFormula>
    </tableColumn>
    <tableColumn id="8" xr3:uid="{68F33D0B-C930-4033-9933-9E22FF531DA5}" name="TOT" dataDxfId="652" dataCellStyle="40% - Énfasis6">
      <calculatedColumnFormula>SUM(GUIA_NACIONAL_2022_1106128105168175180181[[#This Row],[D1]:[D6]])</calculatedColumnFormula>
    </tableColumn>
  </tableColumns>
  <tableStyleInfo name="TableStyleLight1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1ED37C01-9303-4AA0-9A9F-5598ED4A4BAF}" name="GUIA_NACIONAL_2022_1106128105168175180181182" displayName="GUIA_NACIONAL_2022_1106128105168175180181182" ref="AE66:AL68" totalsRowShown="0" headerRowDxfId="651">
  <autoFilter ref="AE66:AL68" xr:uid="{1ED37C01-9303-4AA0-9A9F-5598ED4A4B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4E4FF3E-F4CD-4F47-99B8-52EAFA1E7072}" name="CIE-10" dataCellStyle="20% - Énfasis4"/>
    <tableColumn id="2" xr3:uid="{924DD121-B196-4402-90ED-C90ECA125B24}" name="D1" dataDxfId="650">
      <calculatedColumnFormula>IF($B$2="(Todas)",COUNTIF(BASE[CODCIE10],GUIA_NACIONAL_2022_1106128105168175180181182[[#This Row],[CIE-10]]),COUNTIFS(BASE[Cod.Establecimiento],$B$2,BASE[CODCIE10],GUIA_NACIONAL_2022_1106128105168175180181182[[#This Row],[CIE-10]]))</calculatedColumnFormula>
    </tableColumn>
    <tableColumn id="3" xr3:uid="{7F31C49C-E5C0-4781-90DA-5110E514DD83}" name="D2" dataDxfId="649">
      <calculatedColumnFormula>IF($B$2="(Todas)",COUNTIF(BASE[CODCIE102],GUIA_NACIONAL_2022_1106128105168175180181182[[#This Row],[CIE-10]]),COUNTIFS(BASE[Cod.Establecimiento],$B$2,BASE[CODCIE102],GUIA_NACIONAL_2022_1106128105168175180181182[[#This Row],[CIE-10]]))</calculatedColumnFormula>
    </tableColumn>
    <tableColumn id="4" xr3:uid="{3DC77A22-5F74-4D6D-A450-1D324D704975}" name="D3" dataDxfId="648">
      <calculatedColumnFormula>IF($B$2="(Todas)",COUNTIF(BASE[CODCIE104],GUIA_NACIONAL_2022_1106128105168175180181182[[#This Row],[CIE-10]]),COUNTIFS(BASE[Cod.Establecimiento],$B$2,BASE[CODCIE104],GUIA_NACIONAL_2022_1106128105168175180181182[[#This Row],[CIE-10]]))</calculatedColumnFormula>
    </tableColumn>
    <tableColumn id="5" xr3:uid="{3208F280-5310-4869-826B-F8EF284B6F2D}" name="D4" dataDxfId="647">
      <calculatedColumnFormula>IF($B$2="(Todas)",COUNTIF(BASE[CODCIE106],GUIA_NACIONAL_2022_1106128105168175180181182[[#This Row],[CIE-10]]),COUNTIFS(BASE[Cod.Establecimiento],$B$2,BASE[CODCIE106],GUIA_NACIONAL_2022_1106128105168175180181182[[#This Row],[CIE-10]]))</calculatedColumnFormula>
    </tableColumn>
    <tableColumn id="6" xr3:uid="{E975FF94-D1C7-4905-AE59-7327A0FF7BBB}" name="D5" dataDxfId="646">
      <calculatedColumnFormula>IF($B$2="(Todas)",COUNTIF(BASE[CODCIE108],GUIA_NACIONAL_2022_1106128105168175180181182[[#This Row],[CIE-10]]),COUNTIFS(BASE[Cod.Establecimiento],$B$2,BASE[CODCIE108],GUIA_NACIONAL_2022_1106128105168175180181182[[#This Row],[CIE-10]]))</calculatedColumnFormula>
    </tableColumn>
    <tableColumn id="7" xr3:uid="{4C825F48-E6E1-426F-B745-C560BE893A7A}" name="D6" dataDxfId="645">
      <calculatedColumnFormula>IF($B$2="(Todas)",COUNTIF(BASE[CODCIE1010],GUIA_NACIONAL_2022_1106128105168175180181182[[#This Row],[CIE-10]]),COUNTIFS(BASE[Cod.Establecimiento],$B$2,BASE[CODCIE1010],GUIA_NACIONAL_2022_1106128105168175180181182[[#This Row],[CIE-10]]))</calculatedColumnFormula>
    </tableColumn>
    <tableColumn id="8" xr3:uid="{03F2D147-D469-44F9-99E9-F5941D06C054}" name="TOT" dataDxfId="644" dataCellStyle="40% - Énfasis6">
      <calculatedColumnFormula>SUM(GUIA_NACIONAL_2022_1106128105168175180181182[[#This Row],[D1]:[D6]])</calculatedColumnFormula>
    </tableColumn>
  </tableColumns>
  <tableStyleInfo name="TableStyleLight1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D5F66BEB-AF38-4375-9497-9AA64173498E}" name="GUIA_NACIONAL_2022_1106128105168175180181182183" displayName="GUIA_NACIONAL_2022_1106128105168175180181182183" ref="AE70:AL72" totalsRowShown="0" headerRowDxfId="643">
  <autoFilter ref="AE70:AL72" xr:uid="{D5F66BEB-AF38-4375-9497-9AA6417349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F79387-FDD7-4631-9671-F304A9D7F421}" name="CIE-10" dataCellStyle="20% - Énfasis4"/>
    <tableColumn id="2" xr3:uid="{2B23E831-592F-4A63-B4BF-85BBA98BC49D}" name="D1" dataDxfId="642">
      <calculatedColumnFormula>IF($B$2="(Todas)",COUNTIF(BASE[CODCIE10],GUIA_NACIONAL_2022_1106128105168175180181182183[[#This Row],[CIE-10]]),COUNTIFS(BASE[Cod.Establecimiento],$B$2,BASE[CODCIE10],GUIA_NACIONAL_2022_1106128105168175180181182183[[#This Row],[CIE-10]]))</calculatedColumnFormula>
    </tableColumn>
    <tableColumn id="3" xr3:uid="{ACAE4451-C58F-4C8C-A760-2BB2D9943008}" name="D2" dataDxfId="641">
      <calculatedColumnFormula>IF($B$2="(Todas)",COUNTIF(BASE[CODCIE102],GUIA_NACIONAL_2022_1106128105168175180181182183[[#This Row],[CIE-10]]),COUNTIFS(BASE[Cod.Establecimiento],$B$2,BASE[CODCIE102],GUIA_NACIONAL_2022_1106128105168175180181182183[[#This Row],[CIE-10]]))</calculatedColumnFormula>
    </tableColumn>
    <tableColumn id="4" xr3:uid="{21627433-2BB9-45E9-822D-0205D51C37E5}" name="D3" dataDxfId="640">
      <calculatedColumnFormula>IF($B$2="(Todas)",COUNTIF(BASE[CODCIE104],GUIA_NACIONAL_2022_1106128105168175180181182183[[#This Row],[CIE-10]]),COUNTIFS(BASE[Cod.Establecimiento],$B$2,BASE[CODCIE104],GUIA_NACIONAL_2022_1106128105168175180181182183[[#This Row],[CIE-10]]))</calculatedColumnFormula>
    </tableColumn>
    <tableColumn id="5" xr3:uid="{D1ED2E44-3B39-419F-BF42-289CE2FB7BD8}" name="D4" dataDxfId="639">
      <calculatedColumnFormula>IF($B$2="(Todas)",COUNTIF(BASE[CODCIE106],GUIA_NACIONAL_2022_1106128105168175180181182183[[#This Row],[CIE-10]]),COUNTIFS(BASE[Cod.Establecimiento],$B$2,BASE[CODCIE106],GUIA_NACIONAL_2022_1106128105168175180181182183[[#This Row],[CIE-10]]))</calculatedColumnFormula>
    </tableColumn>
    <tableColumn id="6" xr3:uid="{873BCF67-95DA-47B5-B96E-F1A3B50671AB}" name="D5" dataDxfId="638">
      <calculatedColumnFormula>IF($B$2="(Todas)",COUNTIF(BASE[CODCIE108],GUIA_NACIONAL_2022_1106128105168175180181182183[[#This Row],[CIE-10]]),COUNTIFS(BASE[Cod.Establecimiento],$B$2,BASE[CODCIE108],GUIA_NACIONAL_2022_1106128105168175180181182183[[#This Row],[CIE-10]]))</calculatedColumnFormula>
    </tableColumn>
    <tableColumn id="7" xr3:uid="{07C73E60-4CE8-4763-A62A-4CBB53FEE578}" name="D6" dataDxfId="637">
      <calculatedColumnFormula>IF($B$2="(Todas)",COUNTIF(BASE[CODCIE1010],GUIA_NACIONAL_2022_1106128105168175180181182183[[#This Row],[CIE-10]]),COUNTIFS(BASE[Cod.Establecimiento],$B$2,BASE[CODCIE1010],GUIA_NACIONAL_2022_1106128105168175180181182183[[#This Row],[CIE-10]]))</calculatedColumnFormula>
    </tableColumn>
    <tableColumn id="8" xr3:uid="{CABA33A1-A282-4841-9C2C-D881F52AEAA8}" name="TOT" dataDxfId="636" dataCellStyle="40% - Énfasis6">
      <calculatedColumnFormula>SUM(GUIA_NACIONAL_2022_1106128105168175180181182183[[#This Row],[D1]:[D6]])</calculatedColumnFormula>
    </tableColumn>
  </tableColumns>
  <tableStyleInfo name="TableStyleLight1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8DA3754C-0872-4DEF-9FBA-82542C595D47}" name="GUIA_NACIONAL_2022_1106128105168175180181182183184" displayName="GUIA_NACIONAL_2022_1106128105168175180181182183184" ref="AE74:AL76" totalsRowShown="0" headerRowDxfId="635">
  <autoFilter ref="AE74:AL76" xr:uid="{8DA3754C-0872-4DEF-9FBA-82542C595D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6C8F0D-BFB4-4DD7-BBF8-CA2B2275E78F}" name="CIE-10" dataCellStyle="20% - Énfasis4"/>
    <tableColumn id="2" xr3:uid="{068508EF-1102-4FF4-8BE6-0374077C3EB1}" name="D1" dataDxfId="634">
      <calculatedColumnFormula>IF($B$2="(Todas)",COUNTIF(BASE[CODCIE10],GUIA_NACIONAL_2022_1106128105168175180181182183184[[#This Row],[CIE-10]]),COUNTIFS(BASE[Cod.Establecimiento],$B$2,BASE[CODCIE10],GUIA_NACIONAL_2022_1106128105168175180181182183184[[#This Row],[CIE-10]]))</calculatedColumnFormula>
    </tableColumn>
    <tableColumn id="3" xr3:uid="{742A246C-916E-45C5-A7E8-8F0A563BC456}" name="D2" dataDxfId="633">
      <calculatedColumnFormula>IF($B$2="(Todas)",COUNTIF(BASE[CODCIE102],GUIA_NACIONAL_2022_1106128105168175180181182183184[[#This Row],[CIE-10]]),COUNTIFS(BASE[Cod.Establecimiento],$B$2,BASE[CODCIE102],GUIA_NACIONAL_2022_1106128105168175180181182183184[[#This Row],[CIE-10]]))</calculatedColumnFormula>
    </tableColumn>
    <tableColumn id="4" xr3:uid="{901E4FCE-7D66-4EC0-8471-7249DD36BE54}" name="D3" dataDxfId="632">
      <calculatedColumnFormula>IF($B$2="(Todas)",COUNTIF(BASE[CODCIE104],GUIA_NACIONAL_2022_1106128105168175180181182183184[[#This Row],[CIE-10]]),COUNTIFS(BASE[Cod.Establecimiento],$B$2,BASE[CODCIE104],GUIA_NACIONAL_2022_1106128105168175180181182183184[[#This Row],[CIE-10]]))</calculatedColumnFormula>
    </tableColumn>
    <tableColumn id="5" xr3:uid="{EF255197-8127-41A9-BCFC-80ED466947E8}" name="D4" dataDxfId="631">
      <calculatedColumnFormula>IF($B$2="(Todas)",COUNTIF(BASE[CODCIE106],GUIA_NACIONAL_2022_1106128105168175180181182183184[[#This Row],[CIE-10]]),COUNTIFS(BASE[Cod.Establecimiento],$B$2,BASE[CODCIE106],GUIA_NACIONAL_2022_1106128105168175180181182183184[[#This Row],[CIE-10]]))</calculatedColumnFormula>
    </tableColumn>
    <tableColumn id="6" xr3:uid="{ADD2CCA5-B585-4066-92A1-05BD8585464E}" name="D5" dataDxfId="630">
      <calculatedColumnFormula>IF($B$2="(Todas)",COUNTIF(BASE[CODCIE108],GUIA_NACIONAL_2022_1106128105168175180181182183184[[#This Row],[CIE-10]]),COUNTIFS(BASE[Cod.Establecimiento],$B$2,BASE[CODCIE108],GUIA_NACIONAL_2022_1106128105168175180181182183184[[#This Row],[CIE-10]]))</calculatedColumnFormula>
    </tableColumn>
    <tableColumn id="7" xr3:uid="{7582BF31-2F52-46D7-9AB5-4C2B14E12744}" name="D6" dataDxfId="629">
      <calculatedColumnFormula>IF($B$2="(Todas)",COUNTIF(BASE[CODCIE1010],GUIA_NACIONAL_2022_1106128105168175180181182183184[[#This Row],[CIE-10]]),COUNTIFS(BASE[Cod.Establecimiento],$B$2,BASE[CODCIE1010],GUIA_NACIONAL_2022_1106128105168175180181182183184[[#This Row],[CIE-10]]))</calculatedColumnFormula>
    </tableColumn>
    <tableColumn id="8" xr3:uid="{83F4C5B1-09B5-467D-AE05-7DC5D43F6CB5}" name="TOT" dataDxfId="628" dataCellStyle="40% - Énfasis6">
      <calculatedColumnFormula>SUM(GUIA_NACIONAL_2022_1106128105168175180181182183184[[#This Row],[D1]:[D6]])</calculatedColumnFormula>
    </tableColumn>
  </tableColumns>
  <tableStyleInfo name="TableStyleLight1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ECD24A85-B72D-4A37-A446-49F81851221A}" name="GUIA_NACIONAL_2022_1106128105168175180181182183184185" displayName="GUIA_NACIONAL_2022_1106128105168175180181182183184185" ref="AE78:AL80" totalsRowShown="0" headerRowDxfId="627">
  <autoFilter ref="AE78:AL80" xr:uid="{ECD24A85-B72D-4A37-A446-49F8185122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9484FA1-9766-4DA8-8D03-78D73893524C}" name="CIE-10" dataCellStyle="20% - Énfasis4"/>
    <tableColumn id="2" xr3:uid="{D2AEB839-6C2C-477D-B857-23507BC5B361}" name="D1" dataDxfId="626">
      <calculatedColumnFormula>IF($B$2="(Todas)",COUNTIF(BASE[CODCIE10],GUIA_NACIONAL_2022_1106128105168175180181182183184185[[#This Row],[CIE-10]]),COUNTIFS(BASE[Cod.Establecimiento],$B$2,BASE[CODCIE10],GUIA_NACIONAL_2022_1106128105168175180181182183184185[[#This Row],[CIE-10]]))</calculatedColumnFormula>
    </tableColumn>
    <tableColumn id="3" xr3:uid="{7DA3C7E0-FDA9-444B-A0AC-D4FE2FFA899E}" name="D2" dataDxfId="625">
      <calculatedColumnFormula>IF($B$2="(Todas)",COUNTIF(BASE[CODCIE102],GUIA_NACIONAL_2022_1106128105168175180181182183184185[[#This Row],[CIE-10]]),COUNTIFS(BASE[Cod.Establecimiento],$B$2,BASE[CODCIE102],GUIA_NACIONAL_2022_1106128105168175180181182183184185[[#This Row],[CIE-10]]))</calculatedColumnFormula>
    </tableColumn>
    <tableColumn id="4" xr3:uid="{60238E58-B942-48C4-AD0D-EF1155DB99F5}" name="D3" dataDxfId="624">
      <calculatedColumnFormula>IF($B$2="(Todas)",COUNTIF(BASE[CODCIE104],GUIA_NACIONAL_2022_1106128105168175180181182183184185[[#This Row],[CIE-10]]),COUNTIFS(BASE[Cod.Establecimiento],$B$2,BASE[CODCIE104],GUIA_NACIONAL_2022_1106128105168175180181182183184185[[#This Row],[CIE-10]]))</calculatedColumnFormula>
    </tableColumn>
    <tableColumn id="5" xr3:uid="{D5694627-B367-43ED-BBCA-8DC8EC249894}" name="D4" dataDxfId="623">
      <calculatedColumnFormula>IF($B$2="(Todas)",COUNTIF(BASE[CODCIE106],GUIA_NACIONAL_2022_1106128105168175180181182183184185[[#This Row],[CIE-10]]),COUNTIFS(BASE[Cod.Establecimiento],$B$2,BASE[CODCIE106],GUIA_NACIONAL_2022_1106128105168175180181182183184185[[#This Row],[CIE-10]]))</calculatedColumnFormula>
    </tableColumn>
    <tableColumn id="6" xr3:uid="{EEE055D3-91C7-40A2-98A3-E700EC7EE095}" name="D5" dataDxfId="622">
      <calculatedColumnFormula>IF($B$2="(Todas)",COUNTIF(BASE[CODCIE108],GUIA_NACIONAL_2022_1106128105168175180181182183184185[[#This Row],[CIE-10]]),COUNTIFS(BASE[Cod.Establecimiento],$B$2,BASE[CODCIE108],GUIA_NACIONAL_2022_1106128105168175180181182183184185[[#This Row],[CIE-10]]))</calculatedColumnFormula>
    </tableColumn>
    <tableColumn id="7" xr3:uid="{F7E78CA9-36CC-4328-A699-78CBA252662D}" name="D6" dataDxfId="621">
      <calculatedColumnFormula>IF($B$2="(Todas)",COUNTIF(BASE[CODCIE1010],GUIA_NACIONAL_2022_1106128105168175180181182183184185[[#This Row],[CIE-10]]),COUNTIFS(BASE[Cod.Establecimiento],$B$2,BASE[CODCIE1010],GUIA_NACIONAL_2022_1106128105168175180181182183184185[[#This Row],[CIE-10]]))</calculatedColumnFormula>
    </tableColumn>
    <tableColumn id="8" xr3:uid="{2ADF2A9D-D6C5-4223-A501-0EB29EB6785A}" name="TOT" dataDxfId="620" dataCellStyle="40% - Énfasis6">
      <calculatedColumnFormula>SUM(GUIA_NACIONAL_2022_1106128105168175180181182183184185[[#This Row],[D1]:[D6]])</calculatedColumnFormula>
    </tableColumn>
  </tableColumns>
  <tableStyleInfo name="TableStyleLight1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504CC4A4-2EDA-445B-BD4D-D950960C92F9}" name="GUIA_NACIONAL_2022_1106128105168175180181182183184185186" displayName="GUIA_NACIONAL_2022_1106128105168175180181182183184185186" ref="AE82:AL86" totalsRowShown="0" headerRowDxfId="619">
  <autoFilter ref="AE82:AL86" xr:uid="{504CC4A4-2EDA-445B-BD4D-D950960C92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52108D4-1911-4A82-888D-06BA3A38E737}" name="CIE-10" dataCellStyle="20% - Énfasis4"/>
    <tableColumn id="2" xr3:uid="{5826E194-DF00-42B4-ABDE-7AA36C57AB50}" name="D1" dataDxfId="618">
      <calculatedColumnFormula>IF($B$2="(Todas)",COUNTIF(BASE[CODCIE10],GUIA_NACIONAL_2022_1106128105168175180181182183184185186[[#This Row],[CIE-10]]),COUNTIFS(BASE[Cod.Establecimiento],$B$2,BASE[CODCIE10],GUIA_NACIONAL_2022_1106128105168175180181182183184185186[[#This Row],[CIE-10]]))</calculatedColumnFormula>
    </tableColumn>
    <tableColumn id="3" xr3:uid="{4348C8BA-0D7D-4F13-8E22-ABBD161BE639}" name="D2" dataDxfId="617">
      <calculatedColumnFormula>IF($B$2="(Todas)",COUNTIF(BASE[CODCIE102],GUIA_NACIONAL_2022_1106128105168175180181182183184185186[[#This Row],[CIE-10]]),COUNTIFS(BASE[Cod.Establecimiento],$B$2,BASE[CODCIE102],GUIA_NACIONAL_2022_1106128105168175180181182183184185186[[#This Row],[CIE-10]]))</calculatedColumnFormula>
    </tableColumn>
    <tableColumn id="4" xr3:uid="{D4D93283-381A-4957-8C47-33D276BD042F}" name="D3" dataDxfId="616">
      <calculatedColumnFormula>IF($B$2="(Todas)",COUNTIF(BASE[CODCIE104],GUIA_NACIONAL_2022_1106128105168175180181182183184185186[[#This Row],[CIE-10]]),COUNTIFS(BASE[Cod.Establecimiento],$B$2,BASE[CODCIE104],GUIA_NACIONAL_2022_1106128105168175180181182183184185186[[#This Row],[CIE-10]]))</calculatedColumnFormula>
    </tableColumn>
    <tableColumn id="5" xr3:uid="{6F05C796-ED13-4B6A-A53A-85D1C38A1D4C}" name="D4" dataDxfId="615">
      <calculatedColumnFormula>IF($B$2="(Todas)",COUNTIF(BASE[CODCIE106],GUIA_NACIONAL_2022_1106128105168175180181182183184185186[[#This Row],[CIE-10]]),COUNTIFS(BASE[Cod.Establecimiento],$B$2,BASE[CODCIE106],GUIA_NACIONAL_2022_1106128105168175180181182183184185186[[#This Row],[CIE-10]]))</calculatedColumnFormula>
    </tableColumn>
    <tableColumn id="6" xr3:uid="{9BCA0D0A-94BA-42CD-9D5C-BD03E17636EF}" name="D5" dataDxfId="614">
      <calculatedColumnFormula>IF($B$2="(Todas)",COUNTIF(BASE[CODCIE108],GUIA_NACIONAL_2022_1106128105168175180181182183184185186[[#This Row],[CIE-10]]),COUNTIFS(BASE[Cod.Establecimiento],$B$2,BASE[CODCIE108],GUIA_NACIONAL_2022_1106128105168175180181182183184185186[[#This Row],[CIE-10]]))</calculatedColumnFormula>
    </tableColumn>
    <tableColumn id="7" xr3:uid="{19A7CF12-E5CA-46F5-A5A9-C31A12432695}" name="D6" dataDxfId="613">
      <calculatedColumnFormula>IF($B$2="(Todas)",COUNTIF(BASE[CODCIE1010],GUIA_NACIONAL_2022_1106128105168175180181182183184185186[[#This Row],[CIE-10]]),COUNTIFS(BASE[Cod.Establecimiento],$B$2,BASE[CODCIE1010],GUIA_NACIONAL_2022_1106128105168175180181182183184185186[[#This Row],[CIE-10]]))</calculatedColumnFormula>
    </tableColumn>
    <tableColumn id="8" xr3:uid="{E0F52474-2FAC-4EC5-A014-F55D47ECA97A}" name="TOT" dataDxfId="612" dataCellStyle="40% - Énfasis6">
      <calculatedColumnFormula>SUM(GUIA_NACIONAL_2022_1106128105168175180181182183184185186[[#This Row],[D1]:[D6]])</calculatedColumnFormula>
    </tableColumn>
  </tableColumns>
  <tableStyleInfo name="TableStyleLight1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EB0599D0-F5F4-4B49-A3DD-6BB7EF1F9297}" name="GUIA_NACIONAL_2022_1106128105168175180187" displayName="GUIA_NACIONAL_2022_1106128105168175180187" ref="AE89:AL90" totalsRowShown="0" headerRowDxfId="611">
  <autoFilter ref="AE89:AL90" xr:uid="{EB0599D0-F5F4-4B49-A3DD-6BB7EF1F929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A804FA6-C584-4C38-913C-016ADF6AD843}" name="CIE-10" dataCellStyle="20% - Énfasis4"/>
    <tableColumn id="2" xr3:uid="{B66490AF-5BAC-483A-B9C3-EBE2FF343F0B}" name="D1" dataDxfId="610">
      <calculatedColumnFormula>IF($B$2="(Todas)",COUNTIF(BASE[CODCIE10],GUIA_NACIONAL_2022_1106128105168175180187[[#This Row],[CIE-10]]),COUNTIFS(BASE[Cod.Establecimiento],$B$2,BASE[CODCIE10],GUIA_NACIONAL_2022_1106128105168175180187[[#This Row],[CIE-10]]))</calculatedColumnFormula>
    </tableColumn>
    <tableColumn id="3" xr3:uid="{AEA22E3B-9BBE-4E2D-9A4B-724BDD0BE862}" name="D2" dataDxfId="609">
      <calculatedColumnFormula>IF($B$2="(Todas)",COUNTIF(BASE[CODCIE102],GUIA_NACIONAL_2022_1106128105168175180187[[#This Row],[CIE-10]]),COUNTIFS(BASE[Cod.Establecimiento],$B$2,BASE[CODCIE102],GUIA_NACIONAL_2022_1106128105168175180187[[#This Row],[CIE-10]]))</calculatedColumnFormula>
    </tableColumn>
    <tableColumn id="4" xr3:uid="{687BADC2-7447-4E0D-B2BD-4639ABBB101C}" name="D3" dataDxfId="608">
      <calculatedColumnFormula>IF($B$2="(Todas)",COUNTIF(BASE[CODCIE104],GUIA_NACIONAL_2022_1106128105168175180187[[#This Row],[CIE-10]]),COUNTIFS(BASE[Cod.Establecimiento],$B$2,BASE[CODCIE104],GUIA_NACIONAL_2022_1106128105168175180187[[#This Row],[CIE-10]]))</calculatedColumnFormula>
    </tableColumn>
    <tableColumn id="5" xr3:uid="{2EB74767-7FF1-4740-ABC5-92F4521A7350}" name="D4" dataDxfId="607">
      <calculatedColumnFormula>IF($B$2="(Todas)",COUNTIF(BASE[CODCIE106],GUIA_NACIONAL_2022_1106128105168175180187[[#This Row],[CIE-10]]),COUNTIFS(BASE[Cod.Establecimiento],$B$2,BASE[CODCIE106],GUIA_NACIONAL_2022_1106128105168175180187[[#This Row],[CIE-10]]))</calculatedColumnFormula>
    </tableColumn>
    <tableColumn id="6" xr3:uid="{EACF8540-3E7C-4040-BFA2-42641C6CAAEB}" name="D5" dataDxfId="606">
      <calculatedColumnFormula>IF($B$2="(Todas)",COUNTIF(BASE[CODCIE108],GUIA_NACIONAL_2022_1106128105168175180187[[#This Row],[CIE-10]]),COUNTIFS(BASE[Cod.Establecimiento],$B$2,BASE[CODCIE108],GUIA_NACIONAL_2022_1106128105168175180187[[#This Row],[CIE-10]]))</calculatedColumnFormula>
    </tableColumn>
    <tableColumn id="7" xr3:uid="{6BD1F06B-F3EA-4E1A-8E8F-A7DE50DE53CB}" name="D6" dataDxfId="605">
      <calculatedColumnFormula>IF($B$2="(Todas)",COUNTIF(BASE[CODCIE1010],GUIA_NACIONAL_2022_1106128105168175180187[[#This Row],[CIE-10]]),COUNTIFS(BASE[Cod.Establecimiento],$B$2,BASE[CODCIE1010],GUIA_NACIONAL_2022_1106128105168175180187[[#This Row],[CIE-10]]))</calculatedColumnFormula>
    </tableColumn>
    <tableColumn id="8" xr3:uid="{32C3FFDA-7B81-49EA-8EE5-30D607953278}" name="TOT" dataDxfId="604" dataCellStyle="40% - Énfasis6">
      <calculatedColumnFormula>SUM(GUIA_NACIONAL_2022_1106128105168175180187[[#This Row],[D1]:[D6]])</calculatedColumnFormula>
    </tableColumn>
  </tableColumns>
  <tableStyleInfo name="TableStyleLight1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AF8AAE7C-E5D5-4B87-95E1-AB75DB61170E}" name="GUIA_NACIONAL_2022_1106128105168175180187188" displayName="GUIA_NACIONAL_2022_1106128105168175180187188" ref="AE92:AL93" totalsRowShown="0" headerRowDxfId="603">
  <autoFilter ref="AE92:AL93" xr:uid="{AF8AAE7C-E5D5-4B87-95E1-AB75DB6117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9B4556A-7F46-45F2-9C23-D2F80839F033}" name="CIE-10" dataCellStyle="20% - Énfasis4"/>
    <tableColumn id="2" xr3:uid="{6B0B273F-54D7-4DC8-9EE1-08500E1C981F}" name="D1" dataDxfId="602">
      <calculatedColumnFormula>IF($B$2="(Todas)",COUNTIF(BASE[CODCIE10],GUIA_NACIONAL_2022_1106128105168175180187188[[#This Row],[CIE-10]]),COUNTIFS(BASE[Cod.Establecimiento],$B$2,BASE[CODCIE10],GUIA_NACIONAL_2022_1106128105168175180187188[[#This Row],[CIE-10]]))</calculatedColumnFormula>
    </tableColumn>
    <tableColumn id="3" xr3:uid="{228A6EA0-6097-46C5-A284-76553384E122}" name="D2" dataDxfId="601">
      <calculatedColumnFormula>IF($B$2="(Todas)",COUNTIF(BASE[CODCIE102],GUIA_NACIONAL_2022_1106128105168175180187188[[#This Row],[CIE-10]]),COUNTIFS(BASE[Cod.Establecimiento],$B$2,BASE[CODCIE102],GUIA_NACIONAL_2022_1106128105168175180187188[[#This Row],[CIE-10]]))</calculatedColumnFormula>
    </tableColumn>
    <tableColumn id="4" xr3:uid="{4D2572D5-4B61-4E16-AA5A-0DA008B87A0D}" name="D3" dataDxfId="600">
      <calculatedColumnFormula>IF($B$2="(Todas)",COUNTIF(BASE[CODCIE104],GUIA_NACIONAL_2022_1106128105168175180187188[[#This Row],[CIE-10]]),COUNTIFS(BASE[Cod.Establecimiento],$B$2,BASE[CODCIE104],GUIA_NACIONAL_2022_1106128105168175180187188[[#This Row],[CIE-10]]))</calculatedColumnFormula>
    </tableColumn>
    <tableColumn id="5" xr3:uid="{EE1490C1-8EBF-45BD-8D6E-87097D0786D4}" name="D4" dataDxfId="599">
      <calculatedColumnFormula>IF($B$2="(Todas)",COUNTIF(BASE[CODCIE106],GUIA_NACIONAL_2022_1106128105168175180187188[[#This Row],[CIE-10]]),COUNTIFS(BASE[Cod.Establecimiento],$B$2,BASE[CODCIE106],GUIA_NACIONAL_2022_1106128105168175180187188[[#This Row],[CIE-10]]))</calculatedColumnFormula>
    </tableColumn>
    <tableColumn id="6" xr3:uid="{B6C0AA0B-218C-4A4C-875B-2243BF30B281}" name="D5" dataDxfId="598">
      <calculatedColumnFormula>IF($B$2="(Todas)",COUNTIF(BASE[CODCIE108],GUIA_NACIONAL_2022_1106128105168175180187188[[#This Row],[CIE-10]]),COUNTIFS(BASE[Cod.Establecimiento],$B$2,BASE[CODCIE108],GUIA_NACIONAL_2022_1106128105168175180187188[[#This Row],[CIE-10]]))</calculatedColumnFormula>
    </tableColumn>
    <tableColumn id="7" xr3:uid="{E2835A21-299E-4095-963D-0611F0E2B987}" name="D6" dataDxfId="597">
      <calculatedColumnFormula>IF($B$2="(Todas)",COUNTIF(BASE[CODCIE1010],GUIA_NACIONAL_2022_1106128105168175180187188[[#This Row],[CIE-10]]),COUNTIFS(BASE[Cod.Establecimiento],$B$2,BASE[CODCIE1010],GUIA_NACIONAL_2022_1106128105168175180187188[[#This Row],[CIE-10]]))</calculatedColumnFormula>
    </tableColumn>
    <tableColumn id="8" xr3:uid="{29F71EE1-8346-4470-8878-E0B8F2939CE0}" name="TOT" dataDxfId="596" dataCellStyle="40% - Énfasis6">
      <calculatedColumnFormula>SUM(GUIA_NACIONAL_2022_1106128105168175180187188[[#This Row],[D1]:[D6]])</calculatedColumnFormula>
    </tableColumn>
  </tableColumns>
  <tableStyleInfo name="TableStyleLight1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142AA28D-60DD-4345-A2DF-DD6C5D3B87A2}" name="GUIA_NACIONAL_2022_1106128105168175180187188189" displayName="GUIA_NACIONAL_2022_1106128105168175180187188189" ref="AE95:AL96" totalsRowShown="0" headerRowDxfId="595">
  <autoFilter ref="AE95:AL96" xr:uid="{142AA28D-60DD-4345-A2DF-DD6C5D3B87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E4E54462-29E2-4BD2-876F-D9F382EC7F23}" name="CIE-10" dataCellStyle="20% - Énfasis4"/>
    <tableColumn id="2" xr3:uid="{9817F10D-F1B6-4EED-AE1F-E0FCB19411A5}" name="D1" dataDxfId="594">
      <calculatedColumnFormula>IF($B$2="(Todas)",COUNTIF(BASE[CODCIE10],GUIA_NACIONAL_2022_1106128105168175180187188189[[#This Row],[CIE-10]]),COUNTIFS(BASE[Cod.Establecimiento],$B$2,BASE[CODCIE10],GUIA_NACIONAL_2022_1106128105168175180187188189[[#This Row],[CIE-10]]))</calculatedColumnFormula>
    </tableColumn>
    <tableColumn id="3" xr3:uid="{3111FFA0-E979-423E-8DDD-9EFF59A1EA78}" name="D2" dataDxfId="593">
      <calculatedColumnFormula>IF($B$2="(Todas)",COUNTIF(BASE[CODCIE102],GUIA_NACIONAL_2022_1106128105168175180187188189[[#This Row],[CIE-10]]),COUNTIFS(BASE[Cod.Establecimiento],$B$2,BASE[CODCIE102],GUIA_NACIONAL_2022_1106128105168175180187188189[[#This Row],[CIE-10]]))</calculatedColumnFormula>
    </tableColumn>
    <tableColumn id="4" xr3:uid="{963A1363-A7B9-4B41-85A6-E3CD433429DA}" name="D3" dataDxfId="592">
      <calculatedColumnFormula>IF($B$2="(Todas)",COUNTIF(BASE[CODCIE104],GUIA_NACIONAL_2022_1106128105168175180187188189[[#This Row],[CIE-10]]),COUNTIFS(BASE[Cod.Establecimiento],$B$2,BASE[CODCIE104],GUIA_NACIONAL_2022_1106128105168175180187188189[[#This Row],[CIE-10]]))</calculatedColumnFormula>
    </tableColumn>
    <tableColumn id="5" xr3:uid="{0DC9A9CB-9CE7-410C-A0CC-EE9ACA987CA9}" name="D4" dataDxfId="591">
      <calculatedColumnFormula>IF($B$2="(Todas)",COUNTIF(BASE[CODCIE106],GUIA_NACIONAL_2022_1106128105168175180187188189[[#This Row],[CIE-10]]),COUNTIFS(BASE[Cod.Establecimiento],$B$2,BASE[CODCIE106],GUIA_NACIONAL_2022_1106128105168175180187188189[[#This Row],[CIE-10]]))</calculatedColumnFormula>
    </tableColumn>
    <tableColumn id="6" xr3:uid="{0AD50B04-4D8E-4F18-8DF8-28B2E073134D}" name="D5" dataDxfId="590">
      <calculatedColumnFormula>IF($B$2="(Todas)",COUNTIF(BASE[CODCIE108],GUIA_NACIONAL_2022_1106128105168175180187188189[[#This Row],[CIE-10]]),COUNTIFS(BASE[Cod.Establecimiento],$B$2,BASE[CODCIE108],GUIA_NACIONAL_2022_1106128105168175180187188189[[#This Row],[CIE-10]]))</calculatedColumnFormula>
    </tableColumn>
    <tableColumn id="7" xr3:uid="{24E5C916-A6DB-4D2C-993E-F655BFD061F4}" name="D6" dataDxfId="589">
      <calculatedColumnFormula>IF($B$2="(Todas)",COUNTIF(BASE[CODCIE1010],GUIA_NACIONAL_2022_1106128105168175180187188189[[#This Row],[CIE-10]]),COUNTIFS(BASE[Cod.Establecimiento],$B$2,BASE[CODCIE1010],GUIA_NACIONAL_2022_1106128105168175180187188189[[#This Row],[CIE-10]]))</calculatedColumnFormula>
    </tableColumn>
    <tableColumn id="8" xr3:uid="{B274DD22-DDD2-4CAF-AAD4-D5068BF5900F}" name="TOT" dataDxfId="588" dataCellStyle="40% - Énfasis6">
      <calculatedColumnFormula>SUM(GUIA_NACIONAL_2022_1106128105168175180187188189[[#This Row],[D1]:[D6]])</calculatedColumnFormula>
    </tableColumn>
  </tableColumns>
  <tableStyleInfo name="TableStyleLight1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AA4E14A8-5F66-431C-A2FD-D4247D94E5A4}" name="GUIA_NACIONAL_2022_1106128105168175180187188189190" displayName="GUIA_NACIONAL_2022_1106128105168175180187188189190" ref="AE98:AL99" totalsRowShown="0" headerRowDxfId="587">
  <autoFilter ref="AE98:AL99" xr:uid="{AA4E14A8-5F66-431C-A2FD-D4247D94E5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1F02818-97CD-465F-B85C-885C0F4C0BF6}" name="CIE-10" dataCellStyle="20% - Énfasis4"/>
    <tableColumn id="2" xr3:uid="{0F888CB3-11C9-4CB5-BB39-158EE65C510A}" name="D1" dataDxfId="586">
      <calculatedColumnFormula>IF($B$2="(Todas)",COUNTIF(BASE[CODCIE10],GUIA_NACIONAL_2022_1106128105168175180187188189190[[#This Row],[CIE-10]]),COUNTIFS(BASE[Cod.Establecimiento],$B$2,BASE[CODCIE10],GUIA_NACIONAL_2022_1106128105168175180187188189190[[#This Row],[CIE-10]]))</calculatedColumnFormula>
    </tableColumn>
    <tableColumn id="3" xr3:uid="{949434B0-0656-4C26-B8FA-1E15BA5DD1DD}" name="D2" dataDxfId="585">
      <calculatedColumnFormula>IF($B$2="(Todas)",COUNTIF(BASE[CODCIE102],GUIA_NACIONAL_2022_1106128105168175180187188189190[[#This Row],[CIE-10]]),COUNTIFS(BASE[Cod.Establecimiento],$B$2,BASE[CODCIE102],GUIA_NACIONAL_2022_1106128105168175180187188189190[[#This Row],[CIE-10]]))</calculatedColumnFormula>
    </tableColumn>
    <tableColumn id="4" xr3:uid="{32EA5C48-04B1-46B9-99B5-FCB1388E8AF7}" name="D3" dataDxfId="584">
      <calculatedColumnFormula>IF($B$2="(Todas)",COUNTIF(BASE[CODCIE104],GUIA_NACIONAL_2022_1106128105168175180187188189190[[#This Row],[CIE-10]]),COUNTIFS(BASE[Cod.Establecimiento],$B$2,BASE[CODCIE104],GUIA_NACIONAL_2022_1106128105168175180187188189190[[#This Row],[CIE-10]]))</calculatedColumnFormula>
    </tableColumn>
    <tableColumn id="5" xr3:uid="{599CF594-621F-4E18-801B-92D362142B1A}" name="D4" dataDxfId="583">
      <calculatedColumnFormula>IF($B$2="(Todas)",COUNTIF(BASE[CODCIE106],GUIA_NACIONAL_2022_1106128105168175180187188189190[[#This Row],[CIE-10]]),COUNTIFS(BASE[Cod.Establecimiento],$B$2,BASE[CODCIE106],GUIA_NACIONAL_2022_1106128105168175180187188189190[[#This Row],[CIE-10]]))</calculatedColumnFormula>
    </tableColumn>
    <tableColumn id="6" xr3:uid="{F392EF70-E6C5-400B-B965-C3C979DBA73D}" name="D5" dataDxfId="582">
      <calculatedColumnFormula>IF($B$2="(Todas)",COUNTIF(BASE[CODCIE108],GUIA_NACIONAL_2022_1106128105168175180187188189190[[#This Row],[CIE-10]]),COUNTIFS(BASE[Cod.Establecimiento],$B$2,BASE[CODCIE108],GUIA_NACIONAL_2022_1106128105168175180187188189190[[#This Row],[CIE-10]]))</calculatedColumnFormula>
    </tableColumn>
    <tableColumn id="7" xr3:uid="{5E9D2440-1304-4511-9ED9-3C7C1CE0E2B1}" name="D6" dataDxfId="581">
      <calculatedColumnFormula>IF($B$2="(Todas)",COUNTIF(BASE[CODCIE1010],GUIA_NACIONAL_2022_1106128105168175180187188189190[[#This Row],[CIE-10]]),COUNTIFS(BASE[Cod.Establecimiento],$B$2,BASE[CODCIE1010],GUIA_NACIONAL_2022_1106128105168175180187188189190[[#This Row],[CIE-10]]))</calculatedColumnFormula>
    </tableColumn>
    <tableColumn id="8" xr3:uid="{D17BBCEA-896C-45FD-B1D1-E032A5ECCE3F}" name="TOT" dataDxfId="580" dataCellStyle="40% - Énfasis6">
      <calculatedColumnFormula>SUM(GUIA_NACIONAL_2022_1106128105168175180187188189190[[#This Row],[D1]:[D6]])</calculatedColumnFormula>
    </tableColumn>
  </tableColumns>
  <tableStyleInfo name="TableStyleLight1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EE861AA8-EFF7-400D-8ED3-0FC83F162A78}" name="GUIA_NACIONAL_2022_1106128105168175180187191" displayName="GUIA_NACIONAL_2022_1106128105168175180187191" ref="AE102:AL104" totalsRowShown="0" headerRowDxfId="579">
  <autoFilter ref="AE102:AL104" xr:uid="{EE861AA8-EFF7-400D-8ED3-0FC83F162A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E47CB94-D327-4BAC-B3F8-6CF402E3119E}" name="CIE-10" dataCellStyle="20% - Énfasis4"/>
    <tableColumn id="2" xr3:uid="{27924D39-53C1-4533-9F0E-DCC5603937D7}" name="D1" dataDxfId="578">
      <calculatedColumnFormula>IF($B$2="(Todas)",COUNTIF(BASE[CODCIE10],GUIA_NACIONAL_2022_1106128105168175180187191[[#This Row],[CIE-10]]),COUNTIFS(BASE[Cod.Establecimiento],$B$2,BASE[CODCIE10],GUIA_NACIONAL_2022_1106128105168175180187191[[#This Row],[CIE-10]]))</calculatedColumnFormula>
    </tableColumn>
    <tableColumn id="3" xr3:uid="{4ED84E57-C83C-455C-ACE4-9CB91DEF4D94}" name="D2" dataDxfId="577">
      <calculatedColumnFormula>IF($B$2="(Todas)",COUNTIF(BASE[CODCIE102],GUIA_NACIONAL_2022_1106128105168175180187191[[#This Row],[CIE-10]]),COUNTIFS(BASE[Cod.Establecimiento],$B$2,BASE[CODCIE102],GUIA_NACIONAL_2022_1106128105168175180187191[[#This Row],[CIE-10]]))</calculatedColumnFormula>
    </tableColumn>
    <tableColumn id="4" xr3:uid="{3D7046D1-A6C1-41DC-9A03-2FAF21734985}" name="D3" dataDxfId="576">
      <calculatedColumnFormula>IF($B$2="(Todas)",COUNTIF(BASE[CODCIE104],GUIA_NACIONAL_2022_1106128105168175180187191[[#This Row],[CIE-10]]),COUNTIFS(BASE[Cod.Establecimiento],$B$2,BASE[CODCIE104],GUIA_NACIONAL_2022_1106128105168175180187191[[#This Row],[CIE-10]]))</calculatedColumnFormula>
    </tableColumn>
    <tableColumn id="5" xr3:uid="{C7E92DBD-A9AA-4C43-A30E-746D9D94F780}" name="D4" dataDxfId="575">
      <calculatedColumnFormula>IF($B$2="(Todas)",COUNTIF(BASE[CODCIE106],GUIA_NACIONAL_2022_1106128105168175180187191[[#This Row],[CIE-10]]),COUNTIFS(BASE[Cod.Establecimiento],$B$2,BASE[CODCIE106],GUIA_NACIONAL_2022_1106128105168175180187191[[#This Row],[CIE-10]]))</calculatedColumnFormula>
    </tableColumn>
    <tableColumn id="6" xr3:uid="{659E8325-592A-4E18-BD0A-886E58FB1130}" name="D5" dataDxfId="574">
      <calculatedColumnFormula>IF($B$2="(Todas)",COUNTIF(BASE[CODCIE108],GUIA_NACIONAL_2022_1106128105168175180187191[[#This Row],[CIE-10]]),COUNTIFS(BASE[Cod.Establecimiento],$B$2,BASE[CODCIE108],GUIA_NACIONAL_2022_1106128105168175180187191[[#This Row],[CIE-10]]))</calculatedColumnFormula>
    </tableColumn>
    <tableColumn id="7" xr3:uid="{2632591F-6ED9-4D67-B55C-57742D0F00EE}" name="D6" dataDxfId="573">
      <calculatedColumnFormula>IF($B$2="(Todas)",COUNTIF(BASE[CODCIE1010],GUIA_NACIONAL_2022_1106128105168175180187191[[#This Row],[CIE-10]]),COUNTIFS(BASE[Cod.Establecimiento],$B$2,BASE[CODCIE1010],GUIA_NACIONAL_2022_1106128105168175180187191[[#This Row],[CIE-10]]))</calculatedColumnFormula>
    </tableColumn>
    <tableColumn id="8" xr3:uid="{9015E00C-AE9F-43DE-A5EB-CAF1FD92149C}" name="TOT" dataDxfId="572" dataCellStyle="40% - Énfasis6">
      <calculatedColumnFormula>SUM(GUIA_NACIONAL_2022_1106128105168175180187191[[#This Row],[D1]:[D6]])</calculatedColumnFormula>
    </tableColumn>
  </tableColumns>
  <tableStyleInfo name="TableStyleLight1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ECD583E8-9B9C-4D19-8177-2A5DBBB68139}" name="GUIA_NACIONAL_2022_1106128105168175180187191192" displayName="GUIA_NACIONAL_2022_1106128105168175180187191192" ref="AE106:AL108" totalsRowShown="0" headerRowDxfId="571">
  <autoFilter ref="AE106:AL108" xr:uid="{ECD583E8-9B9C-4D19-8177-2A5DBBB681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A0549DF-9D68-415A-BA66-1BAC87D24126}" name="CIE-10" dataCellStyle="20% - Énfasis4"/>
    <tableColumn id="2" xr3:uid="{3EB207D3-8836-4B8B-A767-210789E57E28}" name="D1" dataDxfId="570">
      <calculatedColumnFormula>IF($B$2="(Todas)",COUNTIF(BASE[CODCIE10],GUIA_NACIONAL_2022_1106128105168175180187191192[[#This Row],[CIE-10]]),COUNTIFS(BASE[Cod.Establecimiento],$B$2,BASE[CODCIE10],GUIA_NACIONAL_2022_1106128105168175180187191192[[#This Row],[CIE-10]]))</calculatedColumnFormula>
    </tableColumn>
    <tableColumn id="3" xr3:uid="{42CAED57-616E-4013-89FB-F709759B4C52}" name="D2" dataDxfId="569">
      <calculatedColumnFormula>IF($B$2="(Todas)",COUNTIF(BASE[CODCIE102],GUIA_NACIONAL_2022_1106128105168175180187191192[[#This Row],[CIE-10]]),COUNTIFS(BASE[Cod.Establecimiento],$B$2,BASE[CODCIE102],GUIA_NACIONAL_2022_1106128105168175180187191192[[#This Row],[CIE-10]]))</calculatedColumnFormula>
    </tableColumn>
    <tableColumn id="4" xr3:uid="{A77D259F-63DB-4FAB-9C64-67EA8FB9A2D9}" name="D3" dataDxfId="568">
      <calculatedColumnFormula>IF($B$2="(Todas)",COUNTIF(BASE[CODCIE104],GUIA_NACIONAL_2022_1106128105168175180187191192[[#This Row],[CIE-10]]),COUNTIFS(BASE[Cod.Establecimiento],$B$2,BASE[CODCIE104],GUIA_NACIONAL_2022_1106128105168175180187191192[[#This Row],[CIE-10]]))</calculatedColumnFormula>
    </tableColumn>
    <tableColumn id="5" xr3:uid="{F1AC93D4-E81D-4BD9-904B-A3C9A47211EA}" name="D4" dataDxfId="567">
      <calculatedColumnFormula>IF($B$2="(Todas)",COUNTIF(BASE[CODCIE106],GUIA_NACIONAL_2022_1106128105168175180187191192[[#This Row],[CIE-10]]),COUNTIFS(BASE[Cod.Establecimiento],$B$2,BASE[CODCIE106],GUIA_NACIONAL_2022_1106128105168175180187191192[[#This Row],[CIE-10]]))</calculatedColumnFormula>
    </tableColumn>
    <tableColumn id="6" xr3:uid="{C48625C5-609E-43B2-9221-C01D090146FA}" name="D5" dataDxfId="566">
      <calculatedColumnFormula>IF($B$2="(Todas)",COUNTIF(BASE[CODCIE108],GUIA_NACIONAL_2022_1106128105168175180187191192[[#This Row],[CIE-10]]),COUNTIFS(BASE[Cod.Establecimiento],$B$2,BASE[CODCIE108],GUIA_NACIONAL_2022_1106128105168175180187191192[[#This Row],[CIE-10]]))</calculatedColumnFormula>
    </tableColumn>
    <tableColumn id="7" xr3:uid="{E92F6393-0F60-4BF4-B0C7-4CC9045A1476}" name="D6" dataDxfId="565">
      <calculatedColumnFormula>IF($B$2="(Todas)",COUNTIF(BASE[CODCIE1010],GUIA_NACIONAL_2022_1106128105168175180187191192[[#This Row],[CIE-10]]),COUNTIFS(BASE[Cod.Establecimiento],$B$2,BASE[CODCIE1010],GUIA_NACIONAL_2022_1106128105168175180187191192[[#This Row],[CIE-10]]))</calculatedColumnFormula>
    </tableColumn>
    <tableColumn id="8" xr3:uid="{4633B326-127C-46D8-AC66-DA9F26270A4F}" name="TOT" dataDxfId="564" dataCellStyle="40% - Énfasis6">
      <calculatedColumnFormula>SUM(GUIA_NACIONAL_2022_1106128105168175180187191192[[#This Row],[D1]:[D6]])</calculatedColumnFormula>
    </tableColumn>
  </tableColumns>
  <tableStyleInfo name="TableStyleLight1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6DEE49DF-2B34-4ACD-8FA0-E8490299D6E4}" name="GUIA_NACIONAL_2022_1106128105168175180187188189190193" displayName="GUIA_NACIONAL_2022_1106128105168175180187188189190193" ref="AE110:AL114" totalsRowShown="0" headerRowDxfId="563">
  <autoFilter ref="AE110:AL114" xr:uid="{6DEE49DF-2B34-4ACD-8FA0-E8490299D6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775BDB9-5CCD-45FF-8647-FA26F6673689}" name="CIE-10" dataCellStyle="20% - Énfasis4"/>
    <tableColumn id="2" xr3:uid="{F54AD3C6-F46E-4D8F-A220-A21CE5844730}" name="D1" dataDxfId="562">
      <calculatedColumnFormula>IF($B$2="(Todas)",COUNTIF(BASE[CODCIE10],GUIA_NACIONAL_2022_1106128105168175180187188189190193[[#This Row],[CIE-10]]),COUNTIFS(BASE[Cod.Establecimiento],$B$2,BASE[CODCIE10],GUIA_NACIONAL_2022_1106128105168175180187188189190193[[#This Row],[CIE-10]]))</calculatedColumnFormula>
    </tableColumn>
    <tableColumn id="3" xr3:uid="{D22F6406-754E-4568-A1C6-8E0ECB9C4A85}" name="D2" dataDxfId="561">
      <calculatedColumnFormula>IF($B$2="(Todas)",COUNTIF(BASE[CODCIE102],GUIA_NACIONAL_2022_1106128105168175180187188189190193[[#This Row],[CIE-10]]),COUNTIFS(BASE[Cod.Establecimiento],$B$2,BASE[CODCIE102],GUIA_NACIONAL_2022_1106128105168175180187188189190193[[#This Row],[CIE-10]]))</calculatedColumnFormula>
    </tableColumn>
    <tableColumn id="4" xr3:uid="{EC6EC920-E9E3-47BF-AA8C-E06F2F412154}" name="D3" dataDxfId="560">
      <calculatedColumnFormula>IF($B$2="(Todas)",COUNTIF(BASE[CODCIE104],GUIA_NACIONAL_2022_1106128105168175180187188189190193[[#This Row],[CIE-10]]),COUNTIFS(BASE[Cod.Establecimiento],$B$2,BASE[CODCIE104],GUIA_NACIONAL_2022_1106128105168175180187188189190193[[#This Row],[CIE-10]]))</calculatedColumnFormula>
    </tableColumn>
    <tableColumn id="5" xr3:uid="{8EC26B7F-5C63-4AAA-BA75-30B4C039C9DF}" name="D4" dataDxfId="559">
      <calculatedColumnFormula>IF($B$2="(Todas)",COUNTIF(BASE[CODCIE106],GUIA_NACIONAL_2022_1106128105168175180187188189190193[[#This Row],[CIE-10]]),COUNTIFS(BASE[Cod.Establecimiento],$B$2,BASE[CODCIE106],GUIA_NACIONAL_2022_1106128105168175180187188189190193[[#This Row],[CIE-10]]))</calculatedColumnFormula>
    </tableColumn>
    <tableColumn id="6" xr3:uid="{B06AA88B-18BB-4F43-A203-EADBEB956A5D}" name="D5" dataDxfId="558">
      <calculatedColumnFormula>IF($B$2="(Todas)",COUNTIF(BASE[CODCIE108],GUIA_NACIONAL_2022_1106128105168175180187188189190193[[#This Row],[CIE-10]]),COUNTIFS(BASE[Cod.Establecimiento],$B$2,BASE[CODCIE108],GUIA_NACIONAL_2022_1106128105168175180187188189190193[[#This Row],[CIE-10]]))</calculatedColumnFormula>
    </tableColumn>
    <tableColumn id="7" xr3:uid="{A31EE0F0-3F23-427A-B831-24A8298F8413}" name="D6" dataDxfId="557">
      <calculatedColumnFormula>IF($B$2="(Todas)",COUNTIF(BASE[CODCIE1010],GUIA_NACIONAL_2022_1106128105168175180187188189190193[[#This Row],[CIE-10]]),COUNTIFS(BASE[Cod.Establecimiento],$B$2,BASE[CODCIE1010],GUIA_NACIONAL_2022_1106128105168175180187188189190193[[#This Row],[CIE-10]]))</calculatedColumnFormula>
    </tableColumn>
    <tableColumn id="8" xr3:uid="{E4199E4C-51C3-49FA-A019-B9538C70938A}" name="TOT" dataDxfId="556" dataCellStyle="40% - Énfasis6">
      <calculatedColumnFormula>SUM(GUIA_NACIONAL_2022_1106128105168175180187188189190193[[#This Row],[D1]:[D6]])</calculatedColumnFormula>
    </tableColumn>
  </tableColumns>
  <tableStyleInfo name="TableStyleLight1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A95ED9DC-EAFE-4BFC-BF88-5C5078F08588}" name="GUIA_NACIONAL_2022_1106128105168175180187188189190193194" displayName="GUIA_NACIONAL_2022_1106128105168175180187188189190193194" ref="AE116:AL117" totalsRowShown="0" headerRowDxfId="555">
  <autoFilter ref="AE116:AL117" xr:uid="{A95ED9DC-EAFE-4BFC-BF88-5C5078F085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FD6CAA1-4482-4A7E-8736-9A39223B9571}" name="CIE-10" dataCellStyle="20% - Énfasis4"/>
    <tableColumn id="2" xr3:uid="{F13B37D1-2EF2-4E1F-8EC3-EFC31FD4C7BC}" name="D1" dataDxfId="554">
      <calculatedColumnFormula>IF($B$2="(Todas)",COUNTIF(BASE[CODCIE10],GUIA_NACIONAL_2022_1106128105168175180187188189190193194[[#This Row],[CIE-10]]),COUNTIFS(BASE[Cod.Establecimiento],$B$2,BASE[CODCIE10],GUIA_NACIONAL_2022_1106128105168175180187188189190193194[[#This Row],[CIE-10]]))</calculatedColumnFormula>
    </tableColumn>
    <tableColumn id="3" xr3:uid="{85922BF1-ABE9-4BB5-BB89-483B9C27A7FD}" name="D2" dataDxfId="553">
      <calculatedColumnFormula>IF($B$2="(Todas)",COUNTIF(BASE[CODCIE102],GUIA_NACIONAL_2022_1106128105168175180187188189190193194[[#This Row],[CIE-10]]),COUNTIFS(BASE[Cod.Establecimiento],$B$2,BASE[CODCIE102],GUIA_NACIONAL_2022_1106128105168175180187188189190193194[[#This Row],[CIE-10]]))</calculatedColumnFormula>
    </tableColumn>
    <tableColumn id="4" xr3:uid="{F9166382-1139-499F-B2AA-999CD36EF1E3}" name="D3" dataDxfId="552">
      <calculatedColumnFormula>IF($B$2="(Todas)",COUNTIF(BASE[CODCIE104],GUIA_NACIONAL_2022_1106128105168175180187188189190193194[[#This Row],[CIE-10]]),COUNTIFS(BASE[Cod.Establecimiento],$B$2,BASE[CODCIE104],GUIA_NACIONAL_2022_1106128105168175180187188189190193194[[#This Row],[CIE-10]]))</calculatedColumnFormula>
    </tableColumn>
    <tableColumn id="5" xr3:uid="{46D390BA-E86D-42BA-8C16-A9EE4045A087}" name="D4" dataDxfId="551">
      <calculatedColumnFormula>IF($B$2="(Todas)",COUNTIF(BASE[CODCIE106],GUIA_NACIONAL_2022_1106128105168175180187188189190193194[[#This Row],[CIE-10]]),COUNTIFS(BASE[Cod.Establecimiento],$B$2,BASE[CODCIE106],GUIA_NACIONAL_2022_1106128105168175180187188189190193194[[#This Row],[CIE-10]]))</calculatedColumnFormula>
    </tableColumn>
    <tableColumn id="6" xr3:uid="{B655C273-25F1-4935-BBD4-61F6106CBF99}" name="D5" dataDxfId="550">
      <calculatedColumnFormula>IF($B$2="(Todas)",COUNTIF(BASE[CODCIE108],GUIA_NACIONAL_2022_1106128105168175180187188189190193194[[#This Row],[CIE-10]]),COUNTIFS(BASE[Cod.Establecimiento],$B$2,BASE[CODCIE108],GUIA_NACIONAL_2022_1106128105168175180187188189190193194[[#This Row],[CIE-10]]))</calculatedColumnFormula>
    </tableColumn>
    <tableColumn id="7" xr3:uid="{E1CD2244-7CD7-4395-AF99-67449353CCB6}" name="D6" dataDxfId="549">
      <calculatedColumnFormula>IF($B$2="(Todas)",COUNTIF(BASE[CODCIE1010],GUIA_NACIONAL_2022_1106128105168175180187188189190193194[[#This Row],[CIE-10]]),COUNTIFS(BASE[Cod.Establecimiento],$B$2,BASE[CODCIE1010],GUIA_NACIONAL_2022_1106128105168175180187188189190193194[[#This Row],[CIE-10]]))</calculatedColumnFormula>
    </tableColumn>
    <tableColumn id="8" xr3:uid="{F4E03800-551A-4735-80B1-C03E765AF648}" name="TOT" dataDxfId="548" dataCellStyle="40% - Énfasis6">
      <calculatedColumnFormula>SUM(GUIA_NACIONAL_2022_1106128105168175180187188189190193194[[#This Row],[D1]:[D6]])</calculatedColumnFormula>
    </tableColumn>
  </tableColumns>
  <tableStyleInfo name="TableStyleLight1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47884D3-CE5C-452B-A612-5D65BAD2B491}" name="GUIA_NACIONAL_2022_1106128105168162" displayName="GUIA_NACIONAL_2022_1106128105168162" ref="AN8:AU9" totalsRowShown="0" headerRowDxfId="547">
  <tableColumns count="8">
    <tableColumn id="1" xr3:uid="{485F194B-50E7-4EB0-AFA1-A1A8E51CB2CF}" name="CIE-10" dataCellStyle="20% - Énfasis4"/>
    <tableColumn id="2" xr3:uid="{36314886-388C-4F91-96F1-C0758381A961}" name="D1" dataDxfId="546">
      <calculatedColumnFormula>IF($B$2="(Todas)",COUNTIF(BASE[CODCIE10],GUIA_NACIONAL_2022_1106128105168162[[#This Row],[CIE-10]]),COUNTIFS(BASE[Cod.Establecimiento],$B$2,BASE[CODCIE10],GUIA_NACIONAL_2022_1106128105168162[[#This Row],[CIE-10]]))</calculatedColumnFormula>
    </tableColumn>
    <tableColumn id="3" xr3:uid="{5D2F268C-CEA4-4CC3-B35E-F7FFD838CB75}" name="D2" dataDxfId="545">
      <calculatedColumnFormula>IF($B$2="(Todas)",COUNTIF(BASE[CODCIE102],GUIA_NACIONAL_2022_1106128105168162[[#This Row],[CIE-10]]),COUNTIFS(BASE[Cod.Establecimiento],$B$2,BASE[CODCIE102],GUIA_NACIONAL_2022_1106128105168162[[#This Row],[CIE-10]]))</calculatedColumnFormula>
    </tableColumn>
    <tableColumn id="4" xr3:uid="{4444AAD6-D80C-4B68-A0D4-6DD25EEDD680}" name="D3" dataDxfId="544">
      <calculatedColumnFormula>IF($B$2="(Todas)",COUNTIF(BASE[CODCIE104],GUIA_NACIONAL_2022_1106128105168162[[#This Row],[CIE-10]]),COUNTIFS(BASE[Cod.Establecimiento],$B$2,BASE[CODCIE104],GUIA_NACIONAL_2022_1106128105168162[[#This Row],[CIE-10]]))</calculatedColumnFormula>
    </tableColumn>
    <tableColumn id="5" xr3:uid="{2F47D9E0-2F8C-4FCE-BD70-2DB9A363A770}" name="D4" dataDxfId="543">
      <calculatedColumnFormula>IF($B$2="(Todas)",COUNTIF(BASE[CODCIE106],GUIA_NACIONAL_2022_1106128105168162[[#This Row],[CIE-10]]),COUNTIFS(BASE[Cod.Establecimiento],$B$2,BASE[CODCIE106],GUIA_NACIONAL_2022_1106128105168162[[#This Row],[CIE-10]]))</calculatedColumnFormula>
    </tableColumn>
    <tableColumn id="6" xr3:uid="{06E723D7-32CF-4FB6-8A67-BB8B3042EB17}" name="D5" dataDxfId="542">
      <calculatedColumnFormula>IF($B$2="(Todas)",COUNTIF(BASE[CODCIE108],GUIA_NACIONAL_2022_1106128105168162[[#This Row],[CIE-10]]),COUNTIFS(BASE[Cod.Establecimiento],$B$2,BASE[CODCIE108],GUIA_NACIONAL_2022_1106128105168162[[#This Row],[CIE-10]]))</calculatedColumnFormula>
    </tableColumn>
    <tableColumn id="7" xr3:uid="{FA71405B-92B4-4DE1-B245-66D26D71B11E}" name="D6" dataDxfId="541">
      <calculatedColumnFormula>IF($B$2="(Todas)",COUNTIF(BASE[CODCIE1010],GUIA_NACIONAL_2022_1106128105168162[[#This Row],[CIE-10]]),COUNTIFS(BASE[Cod.Establecimiento],$B$2,BASE[CODCIE1010],GUIA_NACIONAL_2022_1106128105168162[[#This Row],[CIE-10]]))</calculatedColumnFormula>
    </tableColumn>
    <tableColumn id="8" xr3:uid="{0DCA4B9F-CB03-4F37-A9FE-67A54B533A2D}" name="TOT" dataDxfId="540" dataCellStyle="40% - Énfasis6">
      <calculatedColumnFormula>SUM(GUIA_NACIONAL_2022_1106128105168162[[#This Row],[D1]:[D6]])</calculatedColumnFormula>
    </tableColumn>
  </tableColumns>
  <tableStyleInfo name="TableStyleLight12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7A745EE8-46B9-4CD5-9F79-912D6A9F8CC1}" name="GUIA_NACIONAL_2022_1106128105168162195" displayName="GUIA_NACIONAL_2022_1106128105168162195" ref="AN11:AU12" totalsRowShown="0" headerRowDxfId="539">
  <tableColumns count="8">
    <tableColumn id="1" xr3:uid="{FFDA94AE-A371-4F16-9093-5FF9394511DB}" name="CIE-10" dataCellStyle="20% - Énfasis4"/>
    <tableColumn id="2" xr3:uid="{1D68D946-4CCA-4F64-9B48-2E43DDF353AC}" name="D1" dataDxfId="538">
      <calculatedColumnFormula>IF($B$2="(Todas)",COUNTIF(BASE[CODCIE10],GUIA_NACIONAL_2022_1106128105168162195[[#This Row],[CIE-10]]),COUNTIFS(BASE[Cod.Establecimiento],$B$2,BASE[CODCIE10],GUIA_NACIONAL_2022_1106128105168162195[[#This Row],[CIE-10]]))</calculatedColumnFormula>
    </tableColumn>
    <tableColumn id="3" xr3:uid="{839AD74B-4A58-453C-AA9D-A0E697B8694E}" name="D2" dataDxfId="537">
      <calculatedColumnFormula>IF($B$2="(Todas)",COUNTIF(BASE[CODCIE102],GUIA_NACIONAL_2022_1106128105168162195[[#This Row],[CIE-10]]),COUNTIFS(BASE[Cod.Establecimiento],$B$2,BASE[CODCIE102],GUIA_NACIONAL_2022_1106128105168162195[[#This Row],[CIE-10]]))</calculatedColumnFormula>
    </tableColumn>
    <tableColumn id="4" xr3:uid="{2C756EE9-F428-4DC4-A2EA-C65F5BA7EEEE}" name="D3" dataDxfId="536">
      <calculatedColumnFormula>IF($B$2="(Todas)",COUNTIF(BASE[CODCIE104],GUIA_NACIONAL_2022_1106128105168162195[[#This Row],[CIE-10]]),COUNTIFS(BASE[Cod.Establecimiento],$B$2,BASE[CODCIE104],GUIA_NACIONAL_2022_1106128105168162195[[#This Row],[CIE-10]]))</calculatedColumnFormula>
    </tableColumn>
    <tableColumn id="5" xr3:uid="{6F830312-C601-4EB6-925D-1DF8B8C53D09}" name="D4" dataDxfId="535">
      <calculatedColumnFormula>IF($B$2="(Todas)",COUNTIF(BASE[CODCIE106],GUIA_NACIONAL_2022_1106128105168162195[[#This Row],[CIE-10]]),COUNTIFS(BASE[Cod.Establecimiento],$B$2,BASE[CODCIE106],GUIA_NACIONAL_2022_1106128105168162195[[#This Row],[CIE-10]]))</calculatedColumnFormula>
    </tableColumn>
    <tableColumn id="6" xr3:uid="{4A1BA522-E1F5-4DA7-B59E-1248DAA97462}" name="D5" dataDxfId="534">
      <calculatedColumnFormula>IF($B$2="(Todas)",COUNTIF(BASE[CODCIE108],GUIA_NACIONAL_2022_1106128105168162195[[#This Row],[CIE-10]]),COUNTIFS(BASE[Cod.Establecimiento],$B$2,BASE[CODCIE108],GUIA_NACIONAL_2022_1106128105168162195[[#This Row],[CIE-10]]))</calculatedColumnFormula>
    </tableColumn>
    <tableColumn id="7" xr3:uid="{D78C522F-D967-4DD9-8CDF-C7DFB1F4F931}" name="D6" dataDxfId="533">
      <calculatedColumnFormula>IF($B$2="(Todas)",COUNTIF(BASE[CODCIE1010],GUIA_NACIONAL_2022_1106128105168162195[[#This Row],[CIE-10]]),COUNTIFS(BASE[Cod.Establecimiento],$B$2,BASE[CODCIE1010],GUIA_NACIONAL_2022_1106128105168162195[[#This Row],[CIE-10]]))</calculatedColumnFormula>
    </tableColumn>
    <tableColumn id="8" xr3:uid="{F3512B32-FEC2-4AFF-9AE9-04DCCF0BE934}" name="TOT" dataDxfId="532" dataCellStyle="40% - Énfasis6">
      <calculatedColumnFormula>SUM(GUIA_NACIONAL_2022_1106128105168162195[[#This Row],[D1]:[D6]])</calculatedColumnFormula>
    </tableColumn>
  </tableColumns>
  <tableStyleInfo name="TableStyleLight1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6005347E-2F25-4B6D-9A14-7B7560117C2B}" name="GUIA_NACIONAL_2022_1106128105168162195196" displayName="GUIA_NACIONAL_2022_1106128105168162195196" ref="AN14:AU17" totalsRowShown="0" headerRowDxfId="531">
  <tableColumns count="8">
    <tableColumn id="1" xr3:uid="{07D5ED23-3A0C-4FBD-A509-98CD7932F04C}" name="CIE-10" dataCellStyle="20% - Énfasis4"/>
    <tableColumn id="2" xr3:uid="{D6E153FA-65E9-4920-9413-7B5A72703DA7}" name="D1" dataDxfId="530">
      <calculatedColumnFormula>IF($B$2="(Todas)",COUNTIF(BASE[CODCIE10],GUIA_NACIONAL_2022_1106128105168162195196[[#This Row],[CIE-10]]),COUNTIFS(BASE[Cod.Establecimiento],$B$2,BASE[CODCIE10],GUIA_NACIONAL_2022_1106128105168162195196[[#This Row],[CIE-10]]))</calculatedColumnFormula>
    </tableColumn>
    <tableColumn id="3" xr3:uid="{33399EDB-6A62-4D6F-A9B4-F17721445DCC}" name="D2" dataDxfId="529">
      <calculatedColumnFormula>IF($B$2="(Todas)",COUNTIF(BASE[CODCIE102],GUIA_NACIONAL_2022_1106128105168162195196[[#This Row],[CIE-10]]),COUNTIFS(BASE[Cod.Establecimiento],$B$2,BASE[CODCIE102],GUIA_NACIONAL_2022_1106128105168162195196[[#This Row],[CIE-10]]))</calculatedColumnFormula>
    </tableColumn>
    <tableColumn id="4" xr3:uid="{01122B40-948D-487E-98AC-EEB1CAC05B11}" name="D3" dataDxfId="528">
      <calculatedColumnFormula>IF($B$2="(Todas)",COUNTIF(BASE[CODCIE104],GUIA_NACIONAL_2022_1106128105168162195196[[#This Row],[CIE-10]]),COUNTIFS(BASE[Cod.Establecimiento],$B$2,BASE[CODCIE104],GUIA_NACIONAL_2022_1106128105168162195196[[#This Row],[CIE-10]]))</calculatedColumnFormula>
    </tableColumn>
    <tableColumn id="5" xr3:uid="{F8867483-5966-49DE-8040-69F2205BC24F}" name="D4" dataDxfId="527">
      <calculatedColumnFormula>IF($B$2="(Todas)",COUNTIF(BASE[CODCIE106],GUIA_NACIONAL_2022_1106128105168162195196[[#This Row],[CIE-10]]),COUNTIFS(BASE[Cod.Establecimiento],$B$2,BASE[CODCIE106],GUIA_NACIONAL_2022_1106128105168162195196[[#This Row],[CIE-10]]))</calculatedColumnFormula>
    </tableColumn>
    <tableColumn id="6" xr3:uid="{B2804CDC-3241-46E3-BD55-7ADE334DDBD8}" name="D5" dataDxfId="526">
      <calculatedColumnFormula>IF($B$2="(Todas)",COUNTIF(BASE[CODCIE108],GUIA_NACIONAL_2022_1106128105168162195196[[#This Row],[CIE-10]]),COUNTIFS(BASE[Cod.Establecimiento],$B$2,BASE[CODCIE108],GUIA_NACIONAL_2022_1106128105168162195196[[#This Row],[CIE-10]]))</calculatedColumnFormula>
    </tableColumn>
    <tableColumn id="7" xr3:uid="{ADD69DBD-1BB1-4AD4-9B22-196DAA91811F}" name="D6" dataDxfId="525">
      <calculatedColumnFormula>IF($B$2="(Todas)",COUNTIF(BASE[CODCIE1010],GUIA_NACIONAL_2022_1106128105168162195196[[#This Row],[CIE-10]]),COUNTIFS(BASE[Cod.Establecimiento],$B$2,BASE[CODCIE1010],GUIA_NACIONAL_2022_1106128105168162195196[[#This Row],[CIE-10]]))</calculatedColumnFormula>
    </tableColumn>
    <tableColumn id="8" xr3:uid="{DFAA6DF7-C8F2-4D01-977F-1813C7A6290B}" name="TOT" dataDxfId="524" dataCellStyle="40% - Énfasis6">
      <calculatedColumnFormula>SUM(GUIA_NACIONAL_2022_1106128105168162195196[[#This Row],[D1]:[D6]])</calculatedColumnFormula>
    </tableColumn>
  </tableColumns>
  <tableStyleInfo name="TableStyleLight1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E733BEC5-6F1B-4595-82AF-EFD6AD6598FB}" name="GUIA_NACIONAL_2022_1106128105168162197" displayName="GUIA_NACIONAL_2022_1106128105168162197" ref="AN20:AU22" totalsRowShown="0" headerRowDxfId="523">
  <tableColumns count="8">
    <tableColumn id="1" xr3:uid="{B7EDA159-4D7A-40F9-9F16-407EECB20701}" name="CIE-10" dataCellStyle="20% - Énfasis4"/>
    <tableColumn id="2" xr3:uid="{62C3A344-E81C-4C9C-9D32-37068148C558}" name="D1" dataDxfId="522">
      <calculatedColumnFormula>IF($B$2="(Todas)",COUNTIF(BASE[CODCIE10],GUIA_NACIONAL_2022_1106128105168162197[[#This Row],[CIE-10]]),COUNTIFS(BASE[Cod.Establecimiento],$B$2,BASE[CODCIE10],GUIA_NACIONAL_2022_1106128105168162197[[#This Row],[CIE-10]]))</calculatedColumnFormula>
    </tableColumn>
    <tableColumn id="3" xr3:uid="{78F0FCD8-E66F-45BE-BF2D-E7CE5E6048B1}" name="D2" dataDxfId="521">
      <calculatedColumnFormula>IF($B$2="(Todas)",COUNTIF(BASE[CODCIE102],GUIA_NACIONAL_2022_1106128105168162197[[#This Row],[CIE-10]]),COUNTIFS(BASE[Cod.Establecimiento],$B$2,BASE[CODCIE102],GUIA_NACIONAL_2022_1106128105168162197[[#This Row],[CIE-10]]))</calculatedColumnFormula>
    </tableColumn>
    <tableColumn id="4" xr3:uid="{C2E7162D-A2FF-4345-A8E9-5D635B3EB5EC}" name="D3" dataDxfId="520">
      <calculatedColumnFormula>IF($B$2="(Todas)",COUNTIF(BASE[CODCIE104],GUIA_NACIONAL_2022_1106128105168162197[[#This Row],[CIE-10]]),COUNTIFS(BASE[Cod.Establecimiento],$B$2,BASE[CODCIE104],GUIA_NACIONAL_2022_1106128105168162197[[#This Row],[CIE-10]]))</calculatedColumnFormula>
    </tableColumn>
    <tableColumn id="5" xr3:uid="{E17869A2-55D6-417C-8F5B-C40776DDCFFD}" name="D4" dataDxfId="519">
      <calculatedColumnFormula>IF($B$2="(Todas)",COUNTIF(BASE[CODCIE106],GUIA_NACIONAL_2022_1106128105168162197[[#This Row],[CIE-10]]),COUNTIFS(BASE[Cod.Establecimiento],$B$2,BASE[CODCIE106],GUIA_NACIONAL_2022_1106128105168162197[[#This Row],[CIE-10]]))</calculatedColumnFormula>
    </tableColumn>
    <tableColumn id="6" xr3:uid="{B65816D3-2D8E-438D-8985-6407BAD32CDA}" name="D5" dataDxfId="518">
      <calculatedColumnFormula>IF($B$2="(Todas)",COUNTIF(BASE[CODCIE108],GUIA_NACIONAL_2022_1106128105168162197[[#This Row],[CIE-10]]),COUNTIFS(BASE[Cod.Establecimiento],$B$2,BASE[CODCIE108],GUIA_NACIONAL_2022_1106128105168162197[[#This Row],[CIE-10]]))</calculatedColumnFormula>
    </tableColumn>
    <tableColumn id="7" xr3:uid="{E1D121DE-1D14-417D-B8BC-7703EE478DC3}" name="D6" dataDxfId="517">
      <calculatedColumnFormula>IF($B$2="(Todas)",COUNTIF(BASE[CODCIE1010],GUIA_NACIONAL_2022_1106128105168162197[[#This Row],[CIE-10]]),COUNTIFS(BASE[Cod.Establecimiento],$B$2,BASE[CODCIE1010],GUIA_NACIONAL_2022_1106128105168162197[[#This Row],[CIE-10]]))</calculatedColumnFormula>
    </tableColumn>
    <tableColumn id="8" xr3:uid="{017962FA-48AE-4AB0-B2F6-31FD0A9E74CF}" name="TOT" dataDxfId="516" dataCellStyle="40% - Énfasis6">
      <calculatedColumnFormula>SUM(GUIA_NACIONAL_2022_1106128105168162197[[#This Row],[D1]:[D6]])</calculatedColumnFormula>
    </tableColumn>
  </tableColumns>
  <tableStyleInfo name="TableStyleLight12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E6EA6C53-31E5-4488-A727-3C4E044FE1C1}" name="GUIA_NACIONAL_2022_1106128105168162195198" displayName="GUIA_NACIONAL_2022_1106128105168162195198" ref="AN24:AU25" totalsRowShown="0" headerRowDxfId="515">
  <tableColumns count="8">
    <tableColumn id="1" xr3:uid="{0A53E7E0-58BB-48FD-9BBE-74C67AEEECDC}" name="CIE-10" dataCellStyle="20% - Énfasis4"/>
    <tableColumn id="2" xr3:uid="{E0E63266-E7E9-43B4-BFD5-669E5DC454B4}" name="D1" dataDxfId="514">
      <calculatedColumnFormula>IF($B$2="(Todas)",COUNTIF(BASE[CODCIE10],GUIA_NACIONAL_2022_1106128105168162195198[[#This Row],[CIE-10]]),COUNTIFS(BASE[Cod.Establecimiento],$B$2,BASE[CODCIE10],GUIA_NACIONAL_2022_1106128105168162195198[[#This Row],[CIE-10]]))</calculatedColumnFormula>
    </tableColumn>
    <tableColumn id="3" xr3:uid="{F4ED2CF8-CE19-4514-A5B9-E5378B09FA33}" name="D2" dataDxfId="513">
      <calculatedColumnFormula>IF($B$2="(Todas)",COUNTIF(BASE[CODCIE102],GUIA_NACIONAL_2022_1106128105168162195198[[#This Row],[CIE-10]]),COUNTIFS(BASE[Cod.Establecimiento],$B$2,BASE[CODCIE102],GUIA_NACIONAL_2022_1106128105168162195198[[#This Row],[CIE-10]]))</calculatedColumnFormula>
    </tableColumn>
    <tableColumn id="4" xr3:uid="{5FBFD652-52FB-4CF1-A135-7FB15DA26A49}" name="D3" dataDxfId="512">
      <calculatedColumnFormula>IF($B$2="(Todas)",COUNTIF(BASE[CODCIE104],GUIA_NACIONAL_2022_1106128105168162195198[[#This Row],[CIE-10]]),COUNTIFS(BASE[Cod.Establecimiento],$B$2,BASE[CODCIE104],GUIA_NACIONAL_2022_1106128105168162195198[[#This Row],[CIE-10]]))</calculatedColumnFormula>
    </tableColumn>
    <tableColumn id="5" xr3:uid="{70AAAF58-1743-4AF4-B699-BD470A47B173}" name="D4" dataDxfId="511">
      <calculatedColumnFormula>IF($B$2="(Todas)",COUNTIF(BASE[CODCIE106],GUIA_NACIONAL_2022_1106128105168162195198[[#This Row],[CIE-10]]),COUNTIFS(BASE[Cod.Establecimiento],$B$2,BASE[CODCIE106],GUIA_NACIONAL_2022_1106128105168162195198[[#This Row],[CIE-10]]))</calculatedColumnFormula>
    </tableColumn>
    <tableColumn id="6" xr3:uid="{47828F2D-3175-4127-AD5F-0C4D328776BF}" name="D5" dataDxfId="510">
      <calculatedColumnFormula>IF($B$2="(Todas)",COUNTIF(BASE[CODCIE108],GUIA_NACIONAL_2022_1106128105168162195198[[#This Row],[CIE-10]]),COUNTIFS(BASE[Cod.Establecimiento],$B$2,BASE[CODCIE108],GUIA_NACIONAL_2022_1106128105168162195198[[#This Row],[CIE-10]]))</calculatedColumnFormula>
    </tableColumn>
    <tableColumn id="7" xr3:uid="{232A7DAD-BF81-4349-953E-B6501E84ABEE}" name="D6" dataDxfId="509">
      <calculatedColumnFormula>IF($B$2="(Todas)",COUNTIF(BASE[CODCIE1010],GUIA_NACIONAL_2022_1106128105168162195198[[#This Row],[CIE-10]]),COUNTIFS(BASE[Cod.Establecimiento],$B$2,BASE[CODCIE1010],GUIA_NACIONAL_2022_1106128105168162195198[[#This Row],[CIE-10]]))</calculatedColumnFormula>
    </tableColumn>
    <tableColumn id="8" xr3:uid="{066EF267-EB8D-4CA7-832E-58B4D1A8D390}" name="TOT" dataDxfId="508" dataCellStyle="40% - Énfasis6">
      <calculatedColumnFormula>SUM(GUIA_NACIONAL_2022_1106128105168162195198[[#This Row],[D1]:[D6]])</calculatedColumnFormula>
    </tableColumn>
  </tableColumns>
  <tableStyleInfo name="TableStyleLight1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A12F9D75-5EE3-4A92-956B-2E446794BD55}" name="GUIA_NACIONAL_2022_1106128105168162197200" displayName="GUIA_NACIONAL_2022_1106128105168162197200" ref="AN28:AU30" totalsRowShown="0" headerRowDxfId="507">
  <tableColumns count="8">
    <tableColumn id="1" xr3:uid="{ECC097B9-67AC-4293-B12C-FFE8F8F26A6B}" name="CIE-10" dataCellStyle="20% - Énfasis4"/>
    <tableColumn id="2" xr3:uid="{E32ABAC2-FFDC-465F-8166-06A248A93DED}" name="D1" dataDxfId="506">
      <calculatedColumnFormula>IF($B$2="(Todas)",COUNTIF(BASE[CODCIE10],GUIA_NACIONAL_2022_1106128105168162197200[[#This Row],[CIE-10]]),COUNTIFS(BASE[Cod.Establecimiento],$B$2,BASE[CODCIE10],GUIA_NACIONAL_2022_1106128105168162197200[[#This Row],[CIE-10]]))</calculatedColumnFormula>
    </tableColumn>
    <tableColumn id="3" xr3:uid="{A11C9FE8-85BE-4E7D-BF96-5010A4066A6B}" name="D2" dataDxfId="505">
      <calculatedColumnFormula>IF($B$2="(Todas)",COUNTIF(BASE[CODCIE102],GUIA_NACIONAL_2022_1106128105168162197200[[#This Row],[CIE-10]]),COUNTIFS(BASE[Cod.Establecimiento],$B$2,BASE[CODCIE102],GUIA_NACIONAL_2022_1106128105168162197200[[#This Row],[CIE-10]]))</calculatedColumnFormula>
    </tableColumn>
    <tableColumn id="4" xr3:uid="{58FC8329-005A-4E4D-81BB-9560EC73A359}" name="D3" dataDxfId="504">
      <calculatedColumnFormula>IF($B$2="(Todas)",COUNTIF(BASE[CODCIE104],GUIA_NACIONAL_2022_1106128105168162197200[[#This Row],[CIE-10]]),COUNTIFS(BASE[Cod.Establecimiento],$B$2,BASE[CODCIE104],GUIA_NACIONAL_2022_1106128105168162197200[[#This Row],[CIE-10]]))</calculatedColumnFormula>
    </tableColumn>
    <tableColumn id="5" xr3:uid="{67D5B02A-B1E0-40BA-96FE-CB4611214B07}" name="D4" dataDxfId="503">
      <calculatedColumnFormula>IF($B$2="(Todas)",COUNTIF(BASE[CODCIE106],GUIA_NACIONAL_2022_1106128105168162197200[[#This Row],[CIE-10]]),COUNTIFS(BASE[Cod.Establecimiento],$B$2,BASE[CODCIE106],GUIA_NACIONAL_2022_1106128105168162197200[[#This Row],[CIE-10]]))</calculatedColumnFormula>
    </tableColumn>
    <tableColumn id="6" xr3:uid="{4469FA29-113B-4FE6-82A6-2EB23674349A}" name="D5" dataDxfId="502">
      <calculatedColumnFormula>IF($B$2="(Todas)",COUNTIF(BASE[CODCIE108],GUIA_NACIONAL_2022_1106128105168162197200[[#This Row],[CIE-10]]),COUNTIFS(BASE[Cod.Establecimiento],$B$2,BASE[CODCIE108],GUIA_NACIONAL_2022_1106128105168162197200[[#This Row],[CIE-10]]))</calculatedColumnFormula>
    </tableColumn>
    <tableColumn id="7" xr3:uid="{E535C553-8CA8-4B60-A0B8-63810960AD11}" name="D6" dataDxfId="501">
      <calculatedColumnFormula>IF($B$2="(Todas)",COUNTIF(BASE[CODCIE1010],GUIA_NACIONAL_2022_1106128105168162197200[[#This Row],[CIE-10]]),COUNTIFS(BASE[Cod.Establecimiento],$B$2,BASE[CODCIE1010],GUIA_NACIONAL_2022_1106128105168162197200[[#This Row],[CIE-10]]))</calculatedColumnFormula>
    </tableColumn>
    <tableColumn id="8" xr3:uid="{A18ECDAA-31C4-4E9F-BC72-93D8DCCEEAF5}" name="TOT" dataDxfId="500" dataCellStyle="40% - Énfasis6">
      <calculatedColumnFormula>SUM(GUIA_NACIONAL_2022_1106128105168162197200[[#This Row],[D1]:[D6]])</calculatedColumnFormula>
    </tableColumn>
  </tableColumns>
  <tableStyleInfo name="TableStyleLight12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B6A6C37-82C7-49CA-8E77-24989309A666}" name="GUIA_NACIONAL_2022_1106128105168162197200201" displayName="GUIA_NACIONAL_2022_1106128105168162197200201" ref="AN32:AU33" totalsRowShown="0" headerRowDxfId="499">
  <tableColumns count="8">
    <tableColumn id="1" xr3:uid="{0788223D-7D62-46C8-B35C-6AD5D828343D}" name="CIE-10" dataCellStyle="20% - Énfasis4"/>
    <tableColumn id="2" xr3:uid="{09444313-D407-4675-9FE5-B4AC5B5CB06A}" name="D1" dataDxfId="498">
      <calculatedColumnFormula>IF($B$2="(Todas)",COUNTIF(BASE[CODCIE10],GUIA_NACIONAL_2022_1106128105168162197200201[[#This Row],[CIE-10]]),COUNTIFS(BASE[Cod.Establecimiento],$B$2,BASE[CODCIE10],GUIA_NACIONAL_2022_1106128105168162197200201[[#This Row],[CIE-10]]))</calculatedColumnFormula>
    </tableColumn>
    <tableColumn id="3" xr3:uid="{6EC0E166-5BB8-440B-9CE4-64BEE77D4CD7}" name="D2" dataDxfId="497">
      <calculatedColumnFormula>IF($B$2="(Todas)",COUNTIF(BASE[CODCIE102],GUIA_NACIONAL_2022_1106128105168162197200201[[#This Row],[CIE-10]]),COUNTIFS(BASE[Cod.Establecimiento],$B$2,BASE[CODCIE102],GUIA_NACIONAL_2022_1106128105168162197200201[[#This Row],[CIE-10]]))</calculatedColumnFormula>
    </tableColumn>
    <tableColumn id="4" xr3:uid="{7D9F28E0-FE52-4E1E-9F57-A7847260D3D2}" name="D3" dataDxfId="496">
      <calculatedColumnFormula>IF($B$2="(Todas)",COUNTIF(BASE[CODCIE104],GUIA_NACIONAL_2022_1106128105168162197200201[[#This Row],[CIE-10]]),COUNTIFS(BASE[Cod.Establecimiento],$B$2,BASE[CODCIE104],GUIA_NACIONAL_2022_1106128105168162197200201[[#This Row],[CIE-10]]))</calculatedColumnFormula>
    </tableColumn>
    <tableColumn id="5" xr3:uid="{A4F62A7E-48B6-40CF-BBE3-3C2F72D78201}" name="D4" dataDxfId="495">
      <calculatedColumnFormula>IF($B$2="(Todas)",COUNTIF(BASE[CODCIE106],GUIA_NACIONAL_2022_1106128105168162197200201[[#This Row],[CIE-10]]),COUNTIFS(BASE[Cod.Establecimiento],$B$2,BASE[CODCIE106],GUIA_NACIONAL_2022_1106128105168162197200201[[#This Row],[CIE-10]]))</calculatedColumnFormula>
    </tableColumn>
    <tableColumn id="6" xr3:uid="{3E551D83-D77E-46B6-AF54-B18655F4F536}" name="D5" dataDxfId="494">
      <calculatedColumnFormula>IF($B$2="(Todas)",COUNTIF(BASE[CODCIE108],GUIA_NACIONAL_2022_1106128105168162197200201[[#This Row],[CIE-10]]),COUNTIFS(BASE[Cod.Establecimiento],$B$2,BASE[CODCIE108],GUIA_NACIONAL_2022_1106128105168162197200201[[#This Row],[CIE-10]]))</calculatedColumnFormula>
    </tableColumn>
    <tableColumn id="7" xr3:uid="{56B9AED3-CB75-4269-B395-3E685B511FA4}" name="D6" dataDxfId="493">
      <calculatedColumnFormula>IF($B$2="(Todas)",COUNTIF(BASE[CODCIE1010],GUIA_NACIONAL_2022_1106128105168162197200201[[#This Row],[CIE-10]]),COUNTIFS(BASE[Cod.Establecimiento],$B$2,BASE[CODCIE1010],GUIA_NACIONAL_2022_1106128105168162197200201[[#This Row],[CIE-10]]))</calculatedColumnFormula>
    </tableColumn>
    <tableColumn id="8" xr3:uid="{8BF46F74-B26D-4355-94AB-01446087D8FD}" name="TOT" dataDxfId="492" dataCellStyle="40% - Énfasis6">
      <calculatedColumnFormula>SUM(GUIA_NACIONAL_2022_1106128105168162197200201[[#This Row],[D1]:[D6]])</calculatedColumnFormula>
    </tableColumn>
  </tableColumns>
  <tableStyleInfo name="TableStyleLight1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1F6098EA-0C2B-4CDA-95E1-340D98EF3643}" name="GUIA_NACIONAL_2022_1106128105168162195198202" displayName="GUIA_NACIONAL_2022_1106128105168162195198202" ref="AN35:AU36" totalsRowShown="0" headerRowDxfId="491">
  <tableColumns count="8">
    <tableColumn id="1" xr3:uid="{94B4EBA3-4AFA-4367-96D9-B15AC6BB8F02}" name="CIE-10" dataCellStyle="20% - Énfasis4"/>
    <tableColumn id="2" xr3:uid="{3EE32E28-17A4-4924-8CA1-CE334B89BFC2}" name="D1" dataDxfId="490">
      <calculatedColumnFormula>IF($B$2="(Todas)",COUNTIF(BASE[CODCIE10],GUIA_NACIONAL_2022_1106128105168162195198202[[#This Row],[CIE-10]]),COUNTIFS(BASE[Cod.Establecimiento],$B$2,BASE[CODCIE10],GUIA_NACIONAL_2022_1106128105168162195198202[[#This Row],[CIE-10]]))</calculatedColumnFormula>
    </tableColumn>
    <tableColumn id="3" xr3:uid="{AE7EC733-EF4B-453B-9AB9-5500FB677EA7}" name="D2" dataDxfId="489">
      <calculatedColumnFormula>IF($B$2="(Todas)",COUNTIF(BASE[CODCIE102],GUIA_NACIONAL_2022_1106128105168162195198202[[#This Row],[CIE-10]]),COUNTIFS(BASE[Cod.Establecimiento],$B$2,BASE[CODCIE102],GUIA_NACIONAL_2022_1106128105168162195198202[[#This Row],[CIE-10]]))</calculatedColumnFormula>
    </tableColumn>
    <tableColumn id="4" xr3:uid="{0B75894A-4551-4305-947C-E91E32788607}" name="D3" dataDxfId="488">
      <calculatedColumnFormula>IF($B$2="(Todas)",COUNTIF(BASE[CODCIE104],GUIA_NACIONAL_2022_1106128105168162195198202[[#This Row],[CIE-10]]),COUNTIFS(BASE[Cod.Establecimiento],$B$2,BASE[CODCIE104],GUIA_NACIONAL_2022_1106128105168162195198202[[#This Row],[CIE-10]]))</calculatedColumnFormula>
    </tableColumn>
    <tableColumn id="5" xr3:uid="{0B9FA404-AB75-4B12-B86D-5F63820B9F0A}" name="D4" dataDxfId="487">
      <calculatedColumnFormula>IF($B$2="(Todas)",COUNTIF(BASE[CODCIE106],GUIA_NACIONAL_2022_1106128105168162195198202[[#This Row],[CIE-10]]),COUNTIFS(BASE[Cod.Establecimiento],$B$2,BASE[CODCIE106],GUIA_NACIONAL_2022_1106128105168162195198202[[#This Row],[CIE-10]]))</calculatedColumnFormula>
    </tableColumn>
    <tableColumn id="6" xr3:uid="{2C087000-B782-4BBC-AD33-D4448FBB3A34}" name="D5" dataDxfId="486">
      <calculatedColumnFormula>IF($B$2="(Todas)",COUNTIF(BASE[CODCIE108],GUIA_NACIONAL_2022_1106128105168162195198202[[#This Row],[CIE-10]]),COUNTIFS(BASE[Cod.Establecimiento],$B$2,BASE[CODCIE108],GUIA_NACIONAL_2022_1106128105168162195198202[[#This Row],[CIE-10]]))</calculatedColumnFormula>
    </tableColumn>
    <tableColumn id="7" xr3:uid="{37702181-C9A8-412B-BB9A-080EA9EC0B5D}" name="D6" dataDxfId="485">
      <calculatedColumnFormula>IF($B$2="(Todas)",COUNTIF(BASE[CODCIE1010],GUIA_NACIONAL_2022_1106128105168162195198202[[#This Row],[CIE-10]]),COUNTIFS(BASE[Cod.Establecimiento],$B$2,BASE[CODCIE1010],GUIA_NACIONAL_2022_1106128105168162195198202[[#This Row],[CIE-10]]))</calculatedColumnFormula>
    </tableColumn>
    <tableColumn id="8" xr3:uid="{F97FB3F0-9448-4DB4-9C47-0549736DB4D9}" name="TOT" dataDxfId="484" dataCellStyle="40% - Énfasis6">
      <calculatedColumnFormula>SUM(GUIA_NACIONAL_2022_1106128105168162195198202[[#This Row],[D1]:[D6]])</calculatedColumnFormula>
    </tableColumn>
  </tableColumns>
  <tableStyleInfo name="TableStyleLight1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1B248A8A-AA83-4D4C-89C3-5437882F53D9}" name="GUIA_NACIONAL_2022_1106128105168162197200203" displayName="GUIA_NACIONAL_2022_1106128105168162197200203" ref="AN39:AU40" totalsRowShown="0" headerRowDxfId="483">
  <tableColumns count="8">
    <tableColumn id="1" xr3:uid="{F21731D5-B024-4A92-9EAA-5B7E60B386CC}" name="CIE-10" dataCellStyle="20% - Énfasis4"/>
    <tableColumn id="2" xr3:uid="{F5AC9A93-B268-4C06-9B3D-765E78C7D31D}" name="D1" dataDxfId="482">
      <calculatedColumnFormula>IF($B$2="(Todas)",COUNTIF(BASE[CODCIE10],GUIA_NACIONAL_2022_1106128105168162197200203[[#This Row],[CIE-10]]),COUNTIFS(BASE[Cod.Establecimiento],$B$2,BASE[CODCIE10],GUIA_NACIONAL_2022_1106128105168162197200203[[#This Row],[CIE-10]]))</calculatedColumnFormula>
    </tableColumn>
    <tableColumn id="3" xr3:uid="{2A5CDED9-B722-4D69-BC32-2FBA1FD7339C}" name="D2" dataDxfId="481">
      <calculatedColumnFormula>IF($B$2="(Todas)",COUNTIF(BASE[CODCIE102],GUIA_NACIONAL_2022_1106128105168162197200203[[#This Row],[CIE-10]]),COUNTIFS(BASE[Cod.Establecimiento],$B$2,BASE[CODCIE102],GUIA_NACIONAL_2022_1106128105168162197200203[[#This Row],[CIE-10]]))</calculatedColumnFormula>
    </tableColumn>
    <tableColumn id="4" xr3:uid="{300A83E0-910B-405E-8E6A-AF9A10839E09}" name="D3" dataDxfId="480">
      <calculatedColumnFormula>IF($B$2="(Todas)",COUNTIF(BASE[CODCIE104],GUIA_NACIONAL_2022_1106128105168162197200203[[#This Row],[CIE-10]]),COUNTIFS(BASE[Cod.Establecimiento],$B$2,BASE[CODCIE104],GUIA_NACIONAL_2022_1106128105168162197200203[[#This Row],[CIE-10]]))</calculatedColumnFormula>
    </tableColumn>
    <tableColumn id="5" xr3:uid="{CE7AA0B9-CD73-496C-A6F8-4D155684BF27}" name="D4" dataDxfId="479">
      <calculatedColumnFormula>IF($B$2="(Todas)",COUNTIF(BASE[CODCIE106],GUIA_NACIONAL_2022_1106128105168162197200203[[#This Row],[CIE-10]]),COUNTIFS(BASE[Cod.Establecimiento],$B$2,BASE[CODCIE106],GUIA_NACIONAL_2022_1106128105168162197200203[[#This Row],[CIE-10]]))</calculatedColumnFormula>
    </tableColumn>
    <tableColumn id="6" xr3:uid="{65AAC32B-46E1-49AB-B5E7-7F3F1C75C495}" name="D5" dataDxfId="478">
      <calculatedColumnFormula>IF($B$2="(Todas)",COUNTIF(BASE[CODCIE108],GUIA_NACIONAL_2022_1106128105168162197200203[[#This Row],[CIE-10]]),COUNTIFS(BASE[Cod.Establecimiento],$B$2,BASE[CODCIE108],GUIA_NACIONAL_2022_1106128105168162197200203[[#This Row],[CIE-10]]))</calculatedColumnFormula>
    </tableColumn>
    <tableColumn id="7" xr3:uid="{EF7A6781-EE5B-4917-82C0-EFB27EFC7841}" name="D6" dataDxfId="477">
      <calculatedColumnFormula>IF($B$2="(Todas)",COUNTIF(BASE[CODCIE1010],GUIA_NACIONAL_2022_1106128105168162197200203[[#This Row],[CIE-10]]),COUNTIFS(BASE[Cod.Establecimiento],$B$2,BASE[CODCIE1010],GUIA_NACIONAL_2022_1106128105168162197200203[[#This Row],[CIE-10]]))</calculatedColumnFormula>
    </tableColumn>
    <tableColumn id="8" xr3:uid="{2DC023F5-488D-40CC-BC5E-38C04EE2CE18}" name="TOT" dataDxfId="476" dataCellStyle="40% - Énfasis6">
      <calculatedColumnFormula>SUM(GUIA_NACIONAL_2022_1106128105168162197200203[[#This Row],[D1]:[D6]])</calculatedColumnFormula>
    </tableColumn>
  </tableColumns>
  <tableStyleInfo name="TableStyleLight12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A1B5613D-D386-494B-BE13-AB1D5D0C7B89}" name="GUIA_NACIONAL_2022_1106128105168162195198202204" displayName="GUIA_NACIONAL_2022_1106128105168162195198202204" ref="AN42:AU43" totalsRowShown="0" headerRowDxfId="475">
  <tableColumns count="8">
    <tableColumn id="1" xr3:uid="{B23C6EF0-6A7C-4DFA-AAB4-88B958A9D0B8}" name="CIE-10" dataCellStyle="20% - Énfasis4"/>
    <tableColumn id="2" xr3:uid="{BAFFF443-879B-4129-8878-20153FD6CBAF}" name="D1" dataDxfId="474">
      <calculatedColumnFormula>IF($B$2="(Todas)",COUNTIF(BASE[CODCIE10],GUIA_NACIONAL_2022_1106128105168162195198202204[[#This Row],[CIE-10]]),COUNTIFS(BASE[Cod.Establecimiento],$B$2,BASE[CODCIE10],GUIA_NACIONAL_2022_1106128105168162195198202204[[#This Row],[CIE-10]]))</calculatedColumnFormula>
    </tableColumn>
    <tableColumn id="3" xr3:uid="{92CD561E-A281-4969-A1A8-D1D431316A04}" name="D2" dataDxfId="473">
      <calculatedColumnFormula>IF($B$2="(Todas)",COUNTIF(BASE[CODCIE102],GUIA_NACIONAL_2022_1106128105168162195198202204[[#This Row],[CIE-10]]),COUNTIFS(BASE[Cod.Establecimiento],$B$2,BASE[CODCIE102],GUIA_NACIONAL_2022_1106128105168162195198202204[[#This Row],[CIE-10]]))</calculatedColumnFormula>
    </tableColumn>
    <tableColumn id="4" xr3:uid="{AECB3494-474A-43C0-A6D0-5F8E167A42E6}" name="D3" dataDxfId="472">
      <calculatedColumnFormula>IF($B$2="(Todas)",COUNTIF(BASE[CODCIE104],GUIA_NACIONAL_2022_1106128105168162195198202204[[#This Row],[CIE-10]]),COUNTIFS(BASE[Cod.Establecimiento],$B$2,BASE[CODCIE104],GUIA_NACIONAL_2022_1106128105168162195198202204[[#This Row],[CIE-10]]))</calculatedColumnFormula>
    </tableColumn>
    <tableColumn id="5" xr3:uid="{94219C3D-AB14-4CD8-974A-9448B59A0F63}" name="D4" dataDxfId="471">
      <calculatedColumnFormula>IF($B$2="(Todas)",COUNTIF(BASE[CODCIE106],GUIA_NACIONAL_2022_1106128105168162195198202204[[#This Row],[CIE-10]]),COUNTIFS(BASE[Cod.Establecimiento],$B$2,BASE[CODCIE106],GUIA_NACIONAL_2022_1106128105168162195198202204[[#This Row],[CIE-10]]))</calculatedColumnFormula>
    </tableColumn>
    <tableColumn id="6" xr3:uid="{4FA02785-B0AB-4BC0-B083-E8BBBB356AD0}" name="D5" dataDxfId="470">
      <calculatedColumnFormula>IF($B$2="(Todas)",COUNTIF(BASE[CODCIE108],GUIA_NACIONAL_2022_1106128105168162195198202204[[#This Row],[CIE-10]]),COUNTIFS(BASE[Cod.Establecimiento],$B$2,BASE[CODCIE108],GUIA_NACIONAL_2022_1106128105168162195198202204[[#This Row],[CIE-10]]))</calculatedColumnFormula>
    </tableColumn>
    <tableColumn id="7" xr3:uid="{FC3A51AC-7396-4414-89F6-FC3D828D2278}" name="D6" dataDxfId="469">
      <calculatedColumnFormula>IF($B$2="(Todas)",COUNTIF(BASE[CODCIE1010],GUIA_NACIONAL_2022_1106128105168162195198202204[[#This Row],[CIE-10]]),COUNTIFS(BASE[Cod.Establecimiento],$B$2,BASE[CODCIE1010],GUIA_NACIONAL_2022_1106128105168162195198202204[[#This Row],[CIE-10]]))</calculatedColumnFormula>
    </tableColumn>
    <tableColumn id="8" xr3:uid="{F92B6AA9-FA0B-40B2-95A2-A23FD2A8B446}" name="TOT" dataDxfId="468" dataCellStyle="40% - Énfasis6">
      <calculatedColumnFormula>SUM(GUIA_NACIONAL_2022_1106128105168162195198202204[[#This Row],[D1]:[D6]])</calculatedColumnFormula>
    </tableColumn>
  </tableColumns>
  <tableStyleInfo name="TableStyleLight12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4D639129-502E-4276-A334-02BF02EAB303}" name="GUIA_NACIONAL_2022_1106128105168162195198202204205" displayName="GUIA_NACIONAL_2022_1106128105168162195198202204205" ref="AN45:AU46" totalsRowShown="0" headerRowDxfId="467">
  <tableColumns count="8">
    <tableColumn id="1" xr3:uid="{4876A47A-3A7B-4100-AC69-9308AFAAA8B3}" name="CIE-10" dataCellStyle="20% - Énfasis4"/>
    <tableColumn id="2" xr3:uid="{82217324-5F8B-430A-A3B2-1D4DED663968}" name="D1" dataDxfId="466">
      <calculatedColumnFormula>IF($B$2="(Todas)",COUNTIF(BASE[CODCIE10],GUIA_NACIONAL_2022_1106128105168162195198202204205[[#This Row],[CIE-10]]),COUNTIFS(BASE[Cod.Establecimiento],$B$2,BASE[CODCIE10],GUIA_NACIONAL_2022_1106128105168162195198202204205[[#This Row],[CIE-10]]))</calculatedColumnFormula>
    </tableColumn>
    <tableColumn id="3" xr3:uid="{FDD3A940-EC73-46E7-9C1F-D3ED221BF720}" name="D2" dataDxfId="465">
      <calculatedColumnFormula>IF($B$2="(Todas)",COUNTIF(BASE[CODCIE102],GUIA_NACIONAL_2022_1106128105168162195198202204205[[#This Row],[CIE-10]]),COUNTIFS(BASE[Cod.Establecimiento],$B$2,BASE[CODCIE102],GUIA_NACIONAL_2022_1106128105168162195198202204205[[#This Row],[CIE-10]]))</calculatedColumnFormula>
    </tableColumn>
    <tableColumn id="4" xr3:uid="{05041DE8-7826-48F4-8AAF-5E7FDA7917A5}" name="D3" dataDxfId="464">
      <calculatedColumnFormula>IF($B$2="(Todas)",COUNTIF(BASE[CODCIE104],GUIA_NACIONAL_2022_1106128105168162195198202204205[[#This Row],[CIE-10]]),COUNTIFS(BASE[Cod.Establecimiento],$B$2,BASE[CODCIE104],GUIA_NACIONAL_2022_1106128105168162195198202204205[[#This Row],[CIE-10]]))</calculatedColumnFormula>
    </tableColumn>
    <tableColumn id="5" xr3:uid="{33B5D68E-A0D3-4EB9-8885-FE6DB3BF7375}" name="D4" dataDxfId="463">
      <calculatedColumnFormula>IF($B$2="(Todas)",COUNTIF(BASE[CODCIE106],GUIA_NACIONAL_2022_1106128105168162195198202204205[[#This Row],[CIE-10]]),COUNTIFS(BASE[Cod.Establecimiento],$B$2,BASE[CODCIE106],GUIA_NACIONAL_2022_1106128105168162195198202204205[[#This Row],[CIE-10]]))</calculatedColumnFormula>
    </tableColumn>
    <tableColumn id="6" xr3:uid="{7D77E620-36DE-4447-A55E-DB088B1905B2}" name="D5" dataDxfId="462">
      <calculatedColumnFormula>IF($B$2="(Todas)",COUNTIF(BASE[CODCIE108],GUIA_NACIONAL_2022_1106128105168162195198202204205[[#This Row],[CIE-10]]),COUNTIFS(BASE[Cod.Establecimiento],$B$2,BASE[CODCIE108],GUIA_NACIONAL_2022_1106128105168162195198202204205[[#This Row],[CIE-10]]))</calculatedColumnFormula>
    </tableColumn>
    <tableColumn id="7" xr3:uid="{43B30DFC-00D3-4BC9-8E2D-8FC32BEE5A43}" name="D6" dataDxfId="461">
      <calculatedColumnFormula>IF($B$2="(Todas)",COUNTIF(BASE[CODCIE1010],GUIA_NACIONAL_2022_1106128105168162195198202204205[[#This Row],[CIE-10]]),COUNTIFS(BASE[Cod.Establecimiento],$B$2,BASE[CODCIE1010],GUIA_NACIONAL_2022_1106128105168162195198202204205[[#This Row],[CIE-10]]))</calculatedColumnFormula>
    </tableColumn>
    <tableColumn id="8" xr3:uid="{7205C1EA-BE2A-432C-AFFA-D4B7F33370B2}" name="TOT" dataDxfId="460" dataCellStyle="40% - Énfasis6">
      <calculatedColumnFormula>SUM(GUIA_NACIONAL_2022_1106128105168162195198202204205[[#This Row],[D1]:[D6]])</calculatedColumnFormula>
    </tableColumn>
  </tableColumns>
  <tableStyleInfo name="TableStyleLight12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F6989C57-1AD6-41A4-855B-B59D583A1D71}" name="GUIA_NACIONAL_2022_1106128105168162195198202204205206" displayName="GUIA_NACIONAL_2022_1106128105168162195198202204205206" ref="AN48:AU49" totalsRowShown="0" headerRowDxfId="459">
  <tableColumns count="8">
    <tableColumn id="1" xr3:uid="{8A4FAB83-430C-4C83-B8C6-67F894AB0932}" name="CIE-10" dataCellStyle="20% - Énfasis4"/>
    <tableColumn id="2" xr3:uid="{ADE2F350-064D-4BCA-A236-FEC666D0995A}" name="D1" dataDxfId="458">
      <calculatedColumnFormula>IF($B$2="(Todas)",COUNTIF(BASE[CODCIE10],GUIA_NACIONAL_2022_1106128105168162195198202204205206[[#This Row],[CIE-10]]),COUNTIFS(BASE[Cod.Establecimiento],$B$2,BASE[CODCIE10],GUIA_NACIONAL_2022_1106128105168162195198202204205206[[#This Row],[CIE-10]]))</calculatedColumnFormula>
    </tableColumn>
    <tableColumn id="3" xr3:uid="{E29B0E47-86D2-4847-B250-947BB76C2ADA}" name="D2" dataDxfId="457">
      <calculatedColumnFormula>IF($B$2="(Todas)",COUNTIF(BASE[CODCIE102],GUIA_NACIONAL_2022_1106128105168162195198202204205206[[#This Row],[CIE-10]]),COUNTIFS(BASE[Cod.Establecimiento],$B$2,BASE[CODCIE102],GUIA_NACIONAL_2022_1106128105168162195198202204205206[[#This Row],[CIE-10]]))</calculatedColumnFormula>
    </tableColumn>
    <tableColumn id="4" xr3:uid="{8629762A-626A-4379-9577-AC499083B1A3}" name="D3" dataDxfId="456">
      <calculatedColumnFormula>IF($B$2="(Todas)",COUNTIF(BASE[CODCIE104],GUIA_NACIONAL_2022_1106128105168162195198202204205206[[#This Row],[CIE-10]]),COUNTIFS(BASE[Cod.Establecimiento],$B$2,BASE[CODCIE104],GUIA_NACIONAL_2022_1106128105168162195198202204205206[[#This Row],[CIE-10]]))</calculatedColumnFormula>
    </tableColumn>
    <tableColumn id="5" xr3:uid="{0D797E48-16D7-461B-9CA7-3C485913742B}" name="D4" dataDxfId="455">
      <calculatedColumnFormula>IF($B$2="(Todas)",COUNTIF(BASE[CODCIE106],GUIA_NACIONAL_2022_1106128105168162195198202204205206[[#This Row],[CIE-10]]),COUNTIFS(BASE[Cod.Establecimiento],$B$2,BASE[CODCIE106],GUIA_NACIONAL_2022_1106128105168162195198202204205206[[#This Row],[CIE-10]]))</calculatedColumnFormula>
    </tableColumn>
    <tableColumn id="6" xr3:uid="{B2AF1D4F-7140-449B-894B-B7DDADB2A8E4}" name="D5" dataDxfId="454">
      <calculatedColumnFormula>IF($B$2="(Todas)",COUNTIF(BASE[CODCIE108],GUIA_NACIONAL_2022_1106128105168162195198202204205206[[#This Row],[CIE-10]]),COUNTIFS(BASE[Cod.Establecimiento],$B$2,BASE[CODCIE108],GUIA_NACIONAL_2022_1106128105168162195198202204205206[[#This Row],[CIE-10]]))</calculatedColumnFormula>
    </tableColumn>
    <tableColumn id="7" xr3:uid="{B02374CC-0501-4175-ABB4-62F4D8DFC722}" name="D6" dataDxfId="453">
      <calculatedColumnFormula>IF($B$2="(Todas)",COUNTIF(BASE[CODCIE1010],GUIA_NACIONAL_2022_1106128105168162195198202204205206[[#This Row],[CIE-10]]),COUNTIFS(BASE[Cod.Establecimiento],$B$2,BASE[CODCIE1010],GUIA_NACIONAL_2022_1106128105168162195198202204205206[[#This Row],[CIE-10]]))</calculatedColumnFormula>
    </tableColumn>
    <tableColumn id="8" xr3:uid="{CAA63917-6270-493D-BB6A-95E9974EEEF3}" name="TOT" dataDxfId="452" dataCellStyle="40% - Énfasis6">
      <calculatedColumnFormula>SUM(GUIA_NACIONAL_2022_1106128105168162195198202204205206[[#This Row],[D1]:[D6]])</calculatedColumnFormula>
    </tableColumn>
  </tableColumns>
  <tableStyleInfo name="TableStyleLight12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24509BAB-A4F1-49DD-96D6-A286B30D4041}" name="GUIA_NACIONAL_2022_1106128105107110207" displayName="GUIA_NACIONAL_2022_1106128105107110207" ref="AW9:BD10" totalsRowShown="0" headerRowDxfId="451">
  <tableColumns count="8">
    <tableColumn id="1" xr3:uid="{661B6F5E-5039-4402-A857-1D0D85673CF1}" name="CIE-10" dataCellStyle="20% - Énfasis4"/>
    <tableColumn id="2" xr3:uid="{579F30F0-6206-4C0F-A699-227864E6B1AD}" name="D1" dataDxfId="450">
      <calculatedColumnFormula>IF($B$2="(Todas)",COUNTIF(BASE[CODCIE10],GUIA_NACIONAL_2022_1106128105107110207[[#This Row],[CIE-10]]),COUNTIFS(BASE[Cod.Establecimiento],$B$2,BASE[CODCIE10],GUIA_NACIONAL_2022_1106128105107110207[[#This Row],[CIE-10]]))</calculatedColumnFormula>
    </tableColumn>
    <tableColumn id="3" xr3:uid="{BBC06BA5-D8F3-4F67-A527-E5BD7DBB94E8}" name="D2" dataDxfId="449">
      <calculatedColumnFormula>IF($B$2="(Todas)",COUNTIF(BASE[CODCIE102],GUIA_NACIONAL_2022_1106128105107110207[[#This Row],[CIE-10]]),COUNTIFS(BASE[Cod.Establecimiento],$B$2,BASE[CODCIE102],GUIA_NACIONAL_2022_1106128105107110207[[#This Row],[CIE-10]]))</calculatedColumnFormula>
    </tableColumn>
    <tableColumn id="4" xr3:uid="{488F8952-1F39-4B1E-A5A7-7CE4AAB9EF77}" name="D3" dataDxfId="448">
      <calculatedColumnFormula>IF($B$2="(Todas)",COUNTIF(BASE[CODCIE104],GUIA_NACIONAL_2022_1106128105107110207[[#This Row],[CIE-10]]),COUNTIFS(BASE[Cod.Establecimiento],$B$2,BASE[CODCIE104],GUIA_NACIONAL_2022_1106128105107110207[[#This Row],[CIE-10]]))</calculatedColumnFormula>
    </tableColumn>
    <tableColumn id="5" xr3:uid="{538440C0-9D80-4AD6-81BC-FDB79854D470}" name="D4" dataDxfId="447">
      <calculatedColumnFormula>IF($B$2="(Todas)",COUNTIF(BASE[CODCIE106],GUIA_NACIONAL_2022_1106128105107110207[[#This Row],[CIE-10]]),COUNTIFS(BASE[Cod.Establecimiento],$B$2,BASE[CODCIE106],GUIA_NACIONAL_2022_1106128105107110207[[#This Row],[CIE-10]]))</calculatedColumnFormula>
    </tableColumn>
    <tableColumn id="6" xr3:uid="{EAF53A9F-7E14-492E-ACC0-A2EECA627E6B}" name="D5" dataDxfId="446">
      <calculatedColumnFormula>IF($B$2="(Todas)",COUNTIF(BASE[CODCIE108],GUIA_NACIONAL_2022_1106128105107110207[[#This Row],[CIE-10]]),COUNTIFS(BASE[Cod.Establecimiento],$B$2,BASE[CODCIE108],GUIA_NACIONAL_2022_1106128105107110207[[#This Row],[CIE-10]]))</calculatedColumnFormula>
    </tableColumn>
    <tableColumn id="7" xr3:uid="{61E67D21-52BD-4F16-B529-FE9CFFB57DD2}" name="D6" dataDxfId="445">
      <calculatedColumnFormula>IF($B$2="(Todas)",COUNTIF(BASE[CODCIE1010],GUIA_NACIONAL_2022_1106128105107110207[[#This Row],[CIE-10]]),COUNTIFS(BASE[Cod.Establecimiento],$B$2,BASE[CODCIE1010],GUIA_NACIONAL_2022_1106128105107110207[[#This Row],[CIE-10]]))</calculatedColumnFormula>
    </tableColumn>
    <tableColumn id="8" xr3:uid="{0165CAA8-54F2-463C-AB85-7C09B9B30BED}" name="TOT" dataDxfId="444" dataCellStyle="40% - Énfasis6">
      <calculatedColumnFormula>SUM(GUIA_NACIONAL_2022_1106128105107110207[[#This Row],[D1]:[D6]])</calculatedColumnFormula>
    </tableColumn>
  </tableColumns>
  <tableStyleInfo name="TableStyleLight12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A940E866-6FC8-49D8-ABB5-63F8CACC138A}" name="GUIA_NACIONAL_2022_1106128105107110207208" displayName="GUIA_NACIONAL_2022_1106128105107110207208" ref="AW12:BD18" totalsRowShown="0" headerRowDxfId="443">
  <tableColumns count="8">
    <tableColumn id="1" xr3:uid="{9B9D0452-848B-48DB-A0C0-042F2014A69D}" name="CIE-10" dataCellStyle="20% - Énfasis4"/>
    <tableColumn id="2" xr3:uid="{D1EE73A2-BB95-4D5B-B245-027DC738A513}" name="D1" dataDxfId="442">
      <calculatedColumnFormula>IF($B$2="(Todas)",COUNTIF(BASE[CODCIE10],GUIA_NACIONAL_2022_1106128105107110207208[[#This Row],[CIE-10]]),COUNTIFS(BASE[Cod.Establecimiento],$B$2,BASE[CODCIE10],GUIA_NACIONAL_2022_1106128105107110207208[[#This Row],[CIE-10]]))</calculatedColumnFormula>
    </tableColumn>
    <tableColumn id="3" xr3:uid="{15F5C6D9-FB03-4D26-9FF6-8FF523ADB823}" name="D2" dataDxfId="441">
      <calculatedColumnFormula>IF($B$2="(Todas)",COUNTIF(BASE[CODCIE102],GUIA_NACIONAL_2022_1106128105107110207208[[#This Row],[CIE-10]]),COUNTIFS(BASE[Cod.Establecimiento],$B$2,BASE[CODCIE102],GUIA_NACIONAL_2022_1106128105107110207208[[#This Row],[CIE-10]]))</calculatedColumnFormula>
    </tableColumn>
    <tableColumn id="4" xr3:uid="{7B543F7F-A9C4-4967-8D38-9EECB0C34A63}" name="D3" dataDxfId="440">
      <calculatedColumnFormula>IF($B$2="(Todas)",COUNTIF(BASE[CODCIE104],GUIA_NACIONAL_2022_1106128105107110207208[[#This Row],[CIE-10]]),COUNTIFS(BASE[Cod.Establecimiento],$B$2,BASE[CODCIE104],GUIA_NACIONAL_2022_1106128105107110207208[[#This Row],[CIE-10]]))</calculatedColumnFormula>
    </tableColumn>
    <tableColumn id="5" xr3:uid="{A1163764-206C-4C32-A878-FE305E5145E7}" name="D4" dataDxfId="439">
      <calculatedColumnFormula>IF($B$2="(Todas)",COUNTIF(BASE[CODCIE106],GUIA_NACIONAL_2022_1106128105107110207208[[#This Row],[CIE-10]]),COUNTIFS(BASE[Cod.Establecimiento],$B$2,BASE[CODCIE106],GUIA_NACIONAL_2022_1106128105107110207208[[#This Row],[CIE-10]]))</calculatedColumnFormula>
    </tableColumn>
    <tableColumn id="6" xr3:uid="{D30FE642-245B-4347-A4CC-C02AB9A4081A}" name="D5" dataDxfId="438">
      <calculatedColumnFormula>IF($B$2="(Todas)",COUNTIF(BASE[CODCIE108],GUIA_NACIONAL_2022_1106128105107110207208[[#This Row],[CIE-10]]),COUNTIFS(BASE[Cod.Establecimiento],$B$2,BASE[CODCIE108],GUIA_NACIONAL_2022_1106128105107110207208[[#This Row],[CIE-10]]))</calculatedColumnFormula>
    </tableColumn>
    <tableColumn id="7" xr3:uid="{4AB819FA-B640-444B-BDA3-F12C3E77B9F4}" name="D6" dataDxfId="437">
      <calculatedColumnFormula>IF($B$2="(Todas)",COUNTIF(BASE[CODCIE1010],GUIA_NACIONAL_2022_1106128105107110207208[[#This Row],[CIE-10]]),COUNTIFS(BASE[Cod.Establecimiento],$B$2,BASE[CODCIE1010],GUIA_NACIONAL_2022_1106128105107110207208[[#This Row],[CIE-10]]))</calculatedColumnFormula>
    </tableColumn>
    <tableColumn id="8" xr3:uid="{1B79689F-F72C-4125-80A4-8A7D46F25FA2}" name="TOT" dataDxfId="436" dataCellStyle="40% - Énfasis6">
      <calculatedColumnFormula>SUM(GUIA_NACIONAL_2022_1106128105107110207208[[#This Row],[D1]:[D6]])</calculatedColumnFormula>
    </tableColumn>
  </tableColumns>
  <tableStyleInfo name="TableStyleLight12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6B3FAB18-9C45-4CE4-82F5-883EFCADE2F4}" name="GUIA_NACIONAL_2022_1106128105107110207209" displayName="GUIA_NACIONAL_2022_1106128105107110207209" ref="AW20:BD21" totalsRowShown="0" headerRowDxfId="435">
  <tableColumns count="8">
    <tableColumn id="1" xr3:uid="{5BCC715D-AC73-4C2D-8E7E-7955668E7CCF}" name="CIE-10" dataCellStyle="20% - Énfasis4"/>
    <tableColumn id="2" xr3:uid="{AC248224-CE59-4C9C-AC30-83E6492BC28D}" name="D1" dataDxfId="434">
      <calculatedColumnFormula>IF($B$2="(Todas)",COUNTIF(BASE[CODCIE10],GUIA_NACIONAL_2022_1106128105107110207209[[#This Row],[CIE-10]]),COUNTIFS(BASE[Cod.Establecimiento],$B$2,BASE[CODCIE10],GUIA_NACIONAL_2022_1106128105107110207209[[#This Row],[CIE-10]]))</calculatedColumnFormula>
    </tableColumn>
    <tableColumn id="3" xr3:uid="{730D7160-15A2-4061-BA2E-485EBF70B7B1}" name="D2" dataDxfId="433">
      <calculatedColumnFormula>IF($B$2="(Todas)",COUNTIF(BASE[CODCIE102],GUIA_NACIONAL_2022_1106128105107110207209[[#This Row],[CIE-10]]),COUNTIFS(BASE[Cod.Establecimiento],$B$2,BASE[CODCIE102],GUIA_NACIONAL_2022_1106128105107110207209[[#This Row],[CIE-10]]))</calculatedColumnFormula>
    </tableColumn>
    <tableColumn id="4" xr3:uid="{FD53AF38-2677-48D2-970F-CF21FF127CBC}" name="D3" dataDxfId="432">
      <calculatedColumnFormula>IF($B$2="(Todas)",COUNTIF(BASE[CODCIE104],GUIA_NACIONAL_2022_1106128105107110207209[[#This Row],[CIE-10]]),COUNTIFS(BASE[Cod.Establecimiento],$B$2,BASE[CODCIE104],GUIA_NACIONAL_2022_1106128105107110207209[[#This Row],[CIE-10]]))</calculatedColumnFormula>
    </tableColumn>
    <tableColumn id="5" xr3:uid="{C53DCD1A-FCAF-45A5-9A70-1E0A0D3E6189}" name="D4" dataDxfId="431">
      <calculatedColumnFormula>IF($B$2="(Todas)",COUNTIF(BASE[CODCIE106],GUIA_NACIONAL_2022_1106128105107110207209[[#This Row],[CIE-10]]),COUNTIFS(BASE[Cod.Establecimiento],$B$2,BASE[CODCIE106],GUIA_NACIONAL_2022_1106128105107110207209[[#This Row],[CIE-10]]))</calculatedColumnFormula>
    </tableColumn>
    <tableColumn id="6" xr3:uid="{2A93D43D-939D-48A3-A5CC-1BCE5C4F621F}" name="D5" dataDxfId="430">
      <calculatedColumnFormula>IF($B$2="(Todas)",COUNTIF(BASE[CODCIE108],GUIA_NACIONAL_2022_1106128105107110207209[[#This Row],[CIE-10]]),COUNTIFS(BASE[Cod.Establecimiento],$B$2,BASE[CODCIE108],GUIA_NACIONAL_2022_1106128105107110207209[[#This Row],[CIE-10]]))</calculatedColumnFormula>
    </tableColumn>
    <tableColumn id="7" xr3:uid="{F37DCB88-89BE-4A65-AA4F-4F1397A18D88}" name="D6" dataDxfId="429">
      <calculatedColumnFormula>IF($B$2="(Todas)",COUNTIF(BASE[CODCIE1010],GUIA_NACIONAL_2022_1106128105107110207209[[#This Row],[CIE-10]]),COUNTIFS(BASE[Cod.Establecimiento],$B$2,BASE[CODCIE1010],GUIA_NACIONAL_2022_1106128105107110207209[[#This Row],[CIE-10]]))</calculatedColumnFormula>
    </tableColumn>
    <tableColumn id="8" xr3:uid="{8405508D-DC62-48C1-8001-57586B997041}" name="TOT" dataDxfId="428" dataCellStyle="40% - Énfasis6">
      <calculatedColumnFormula>SUM(GUIA_NACIONAL_2022_1106128105107110207209[[#This Row],[D1]:[D6]])</calculatedColumnFormula>
    </tableColumn>
  </tableColumns>
  <tableStyleInfo name="TableStyleLight12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1083040C-4B53-4DA5-9B12-2B5162D62CBF}" name="GUIA_NACIONAL_2022_1106128105107110207210" displayName="GUIA_NACIONAL_2022_1106128105107110207210" ref="BF7:BM8" totalsRowShown="0" headerRowDxfId="427">
  <tableColumns count="8">
    <tableColumn id="1" xr3:uid="{7AA3C4BC-6F1A-4715-AB51-FB6A4EB9AE6C}" name="CIE-10" dataCellStyle="20% - Énfasis4"/>
    <tableColumn id="2" xr3:uid="{D84E5A8E-A6CD-47BE-96F8-BEF0805CD000}" name="D1" dataDxfId="426">
      <calculatedColumnFormula>IF($B$2="(Todas)",COUNTIF(BASE[CODCIE10],GUIA_NACIONAL_2022_1106128105107110207210[[#This Row],[CIE-10]]),COUNTIFS(BASE[Cod.Establecimiento],$B$2,BASE[CODCIE10],GUIA_NACIONAL_2022_1106128105107110207210[[#This Row],[CIE-10]]))</calculatedColumnFormula>
    </tableColumn>
    <tableColumn id="3" xr3:uid="{F60C2125-A1C6-463D-B2CB-215453D61D83}" name="D2" dataDxfId="425">
      <calculatedColumnFormula>IF($B$2="(Todas)",COUNTIF(BASE[CODCIE102],GUIA_NACIONAL_2022_1106128105107110207210[[#This Row],[CIE-10]]),COUNTIFS(BASE[Cod.Establecimiento],$B$2,BASE[CODCIE102],GUIA_NACIONAL_2022_1106128105107110207210[[#This Row],[CIE-10]]))</calculatedColumnFormula>
    </tableColumn>
    <tableColumn id="4" xr3:uid="{3FA1025A-245D-412C-A06D-476B3FBE63B6}" name="D3" dataDxfId="424">
      <calculatedColumnFormula>IF($B$2="(Todas)",COUNTIF(BASE[CODCIE104],GUIA_NACIONAL_2022_1106128105107110207210[[#This Row],[CIE-10]]),COUNTIFS(BASE[Cod.Establecimiento],$B$2,BASE[CODCIE104],GUIA_NACIONAL_2022_1106128105107110207210[[#This Row],[CIE-10]]))</calculatedColumnFormula>
    </tableColumn>
    <tableColumn id="5" xr3:uid="{2D10ECD2-F961-41AA-B2D4-AC35E74D7522}" name="D4" dataDxfId="423">
      <calculatedColumnFormula>IF($B$2="(Todas)",COUNTIF(BASE[CODCIE106],GUIA_NACIONAL_2022_1106128105107110207210[[#This Row],[CIE-10]]),COUNTIFS(BASE[Cod.Establecimiento],$B$2,BASE[CODCIE106],GUIA_NACIONAL_2022_1106128105107110207210[[#This Row],[CIE-10]]))</calculatedColumnFormula>
    </tableColumn>
    <tableColumn id="6" xr3:uid="{4B6598BA-5FFE-4B82-9EA0-C90025687606}" name="D5" dataDxfId="422">
      <calculatedColumnFormula>IF($B$2="(Todas)",COUNTIF(BASE[CODCIE108],GUIA_NACIONAL_2022_1106128105107110207210[[#This Row],[CIE-10]]),COUNTIFS(BASE[Cod.Establecimiento],$B$2,BASE[CODCIE108],GUIA_NACIONAL_2022_1106128105107110207210[[#This Row],[CIE-10]]))</calculatedColumnFormula>
    </tableColumn>
    <tableColumn id="7" xr3:uid="{5BB0D77F-52FA-4036-9524-B254CB5FD258}" name="D6" dataDxfId="421">
      <calculatedColumnFormula>IF($B$2="(Todas)",COUNTIF(BASE[CODCIE1010],GUIA_NACIONAL_2022_1106128105107110207210[[#This Row],[CIE-10]]),COUNTIFS(BASE[Cod.Establecimiento],$B$2,BASE[CODCIE1010],GUIA_NACIONAL_2022_1106128105107110207210[[#This Row],[CIE-10]]))</calculatedColumnFormula>
    </tableColumn>
    <tableColumn id="8" xr3:uid="{254B43E7-A4DE-4CBC-9E7C-49F56759FD01}" name="TOT" dataDxfId="420" dataCellStyle="40% - Énfasis6">
      <calculatedColumnFormula>SUM(GUIA_NACIONAL_2022_1106128105107110207210[[#This Row],[D1]:[D6]])</calculatedColumnFormula>
    </tableColumn>
  </tableColumns>
  <tableStyleInfo name="TableStyleLight12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A7271C4B-9E51-44B1-B579-9AE18DD18B60}" name="GUIA_NACIONAL_2022_1106128105107110207210211" displayName="GUIA_NACIONAL_2022_1106128105107110207210211" ref="BF10:BM11" totalsRowShown="0" headerRowDxfId="419">
  <tableColumns count="8">
    <tableColumn id="1" xr3:uid="{594E9755-D854-4433-B7FB-F8CCD2D87A83}" name="CIE-10" dataCellStyle="20% - Énfasis4"/>
    <tableColumn id="2" xr3:uid="{00BBECBD-793C-493C-99D2-280A2119A94A}" name="D1" dataDxfId="418">
      <calculatedColumnFormula>IF($B$2="(Todas)",COUNTIF(BASE[CODCIE10],GUIA_NACIONAL_2022_1106128105107110207210211[[#This Row],[CIE-10]]),COUNTIFS(BASE[Cod.Establecimiento],$B$2,BASE[CODCIE10],GUIA_NACIONAL_2022_1106128105107110207210211[[#This Row],[CIE-10]]))</calculatedColumnFormula>
    </tableColumn>
    <tableColumn id="3" xr3:uid="{EB18F23B-1642-4158-A2C9-0275E57933EB}" name="D2" dataDxfId="417">
      <calculatedColumnFormula>IF($B$2="(Todas)",COUNTIF(BASE[CODCIE102],GUIA_NACIONAL_2022_1106128105107110207210211[[#This Row],[CIE-10]]),COUNTIFS(BASE[Cod.Establecimiento],$B$2,BASE[CODCIE102],GUIA_NACIONAL_2022_1106128105107110207210211[[#This Row],[CIE-10]]))</calculatedColumnFormula>
    </tableColumn>
    <tableColumn id="4" xr3:uid="{D90D9ECF-AD45-42C2-A9F8-891F5D44C5EB}" name="D3" dataDxfId="416">
      <calculatedColumnFormula>IF($B$2="(Todas)",COUNTIF(BASE[CODCIE104],GUIA_NACIONAL_2022_1106128105107110207210211[[#This Row],[CIE-10]]),COUNTIFS(BASE[Cod.Establecimiento],$B$2,BASE[CODCIE104],GUIA_NACIONAL_2022_1106128105107110207210211[[#This Row],[CIE-10]]))</calculatedColumnFormula>
    </tableColumn>
    <tableColumn id="5" xr3:uid="{EEB54C76-2786-4DE6-B98C-12BC0466C02C}" name="D4" dataDxfId="415">
      <calculatedColumnFormula>IF($B$2="(Todas)",COUNTIF(BASE[CODCIE106],GUIA_NACIONAL_2022_1106128105107110207210211[[#This Row],[CIE-10]]),COUNTIFS(BASE[Cod.Establecimiento],$B$2,BASE[CODCIE106],GUIA_NACIONAL_2022_1106128105107110207210211[[#This Row],[CIE-10]]))</calculatedColumnFormula>
    </tableColumn>
    <tableColumn id="6" xr3:uid="{193BFF8A-857D-44D2-8ED6-63D4558D8545}" name="D5" dataDxfId="414">
      <calculatedColumnFormula>IF($B$2="(Todas)",COUNTIF(BASE[CODCIE108],GUIA_NACIONAL_2022_1106128105107110207210211[[#This Row],[CIE-10]]),COUNTIFS(BASE[Cod.Establecimiento],$B$2,BASE[CODCIE108],GUIA_NACIONAL_2022_1106128105107110207210211[[#This Row],[CIE-10]]))</calculatedColumnFormula>
    </tableColumn>
    <tableColumn id="7" xr3:uid="{952B6B3C-682A-49C7-B4DD-08FF24FDF137}" name="D6" dataDxfId="413">
      <calculatedColumnFormula>IF($B$2="(Todas)",COUNTIF(BASE[CODCIE1010],GUIA_NACIONAL_2022_1106128105107110207210211[[#This Row],[CIE-10]]),COUNTIFS(BASE[Cod.Establecimiento],$B$2,BASE[CODCIE1010],GUIA_NACIONAL_2022_1106128105107110207210211[[#This Row],[CIE-10]]))</calculatedColumnFormula>
    </tableColumn>
    <tableColumn id="8" xr3:uid="{983A0444-195E-4B7A-9D89-477B64420DAE}" name="TOT" dataDxfId="412" dataCellStyle="40% - Énfasis6">
      <calculatedColumnFormula>SUM(GUIA_NACIONAL_2022_1106128105107110207210211[[#This Row],[D1]:[D6]])</calculatedColumnFormula>
    </tableColumn>
  </tableColumns>
  <tableStyleInfo name="TableStyleLight12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CD7A0593-7A91-4E5B-A562-45207BBA7478}" name="GUIA_NACIONAL_2022_1106128105107110207210211212" displayName="GUIA_NACIONAL_2022_1106128105107110207210211212" ref="BF13:BM14" totalsRowShown="0" headerRowDxfId="411">
  <tableColumns count="8">
    <tableColumn id="1" xr3:uid="{FAD4996F-3DBF-43F3-A14A-6B9BA3EA4E0B}" name="CIE-10" dataCellStyle="20% - Énfasis4"/>
    <tableColumn id="2" xr3:uid="{86174468-3825-459C-826E-333C922F74FD}" name="D1" dataDxfId="410">
      <calculatedColumnFormula>IF($B$2="(Todas)",COUNTIF(BASE[CODCIE10],GUIA_NACIONAL_2022_1106128105107110207210211212[[#This Row],[CIE-10]]),COUNTIFS(BASE[Cod.Establecimiento],$B$2,BASE[CODCIE10],GUIA_NACIONAL_2022_1106128105107110207210211212[[#This Row],[CIE-10]]))</calculatedColumnFormula>
    </tableColumn>
    <tableColumn id="3" xr3:uid="{82608CA9-531A-4EF1-908E-F7B7B8D6A023}" name="D2" dataDxfId="409">
      <calculatedColumnFormula>IF($B$2="(Todas)",COUNTIF(BASE[CODCIE102],GUIA_NACIONAL_2022_1106128105107110207210211212[[#This Row],[CIE-10]]),COUNTIFS(BASE[Cod.Establecimiento],$B$2,BASE[CODCIE102],GUIA_NACIONAL_2022_1106128105107110207210211212[[#This Row],[CIE-10]]))</calculatedColumnFormula>
    </tableColumn>
    <tableColumn id="4" xr3:uid="{4708CE52-2478-4691-9511-62E40D66DA66}" name="D3" dataDxfId="408">
      <calculatedColumnFormula>IF($B$2="(Todas)",COUNTIF(BASE[CODCIE104],GUIA_NACIONAL_2022_1106128105107110207210211212[[#This Row],[CIE-10]]),COUNTIFS(BASE[Cod.Establecimiento],$B$2,BASE[CODCIE104],GUIA_NACIONAL_2022_1106128105107110207210211212[[#This Row],[CIE-10]]))</calculatedColumnFormula>
    </tableColumn>
    <tableColumn id="5" xr3:uid="{78B41796-625D-41B3-93CA-5BEDD9F1B69B}" name="D4" dataDxfId="407">
      <calculatedColumnFormula>IF($B$2="(Todas)",COUNTIF(BASE[CODCIE106],GUIA_NACIONAL_2022_1106128105107110207210211212[[#This Row],[CIE-10]]),COUNTIFS(BASE[Cod.Establecimiento],$B$2,BASE[CODCIE106],GUIA_NACIONAL_2022_1106128105107110207210211212[[#This Row],[CIE-10]]))</calculatedColumnFormula>
    </tableColumn>
    <tableColumn id="6" xr3:uid="{78699A8A-1B08-4257-AFFE-4CD64F141958}" name="D5" dataDxfId="406">
      <calculatedColumnFormula>IF($B$2="(Todas)",COUNTIF(BASE[CODCIE108],GUIA_NACIONAL_2022_1106128105107110207210211212[[#This Row],[CIE-10]]),COUNTIFS(BASE[Cod.Establecimiento],$B$2,BASE[CODCIE108],GUIA_NACIONAL_2022_1106128105107110207210211212[[#This Row],[CIE-10]]))</calculatedColumnFormula>
    </tableColumn>
    <tableColumn id="7" xr3:uid="{3C56D90C-F675-4858-846B-F27228A1F51D}" name="D6" dataDxfId="405">
      <calculatedColumnFormula>IF($B$2="(Todas)",COUNTIF(BASE[CODCIE1010],GUIA_NACIONAL_2022_1106128105107110207210211212[[#This Row],[CIE-10]]),COUNTIFS(BASE[Cod.Establecimiento],$B$2,BASE[CODCIE1010],GUIA_NACIONAL_2022_1106128105107110207210211212[[#This Row],[CIE-10]]))</calculatedColumnFormula>
    </tableColumn>
    <tableColumn id="8" xr3:uid="{CF414C3B-0501-452A-A684-952E8AC73342}" name="TOT" dataDxfId="404" dataCellStyle="40% - Énfasis6">
      <calculatedColumnFormula>SUM(GUIA_NACIONAL_2022_1106128105107110207210211212[[#This Row],[D1]:[D6]])</calculatedColumnFormula>
    </tableColumn>
  </tableColumns>
  <tableStyleInfo name="TableStyleLight12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BCAA33B3-16E5-484D-A976-D44BC46C9466}" name="GUIA_NACIONAL_2022_1106128105107110207214" displayName="GUIA_NACIONAL_2022_1106128105107110207214" ref="BF17:BM18" totalsRowShown="0" headerRowDxfId="403">
  <tableColumns count="8">
    <tableColumn id="1" xr3:uid="{DF670D0C-4464-4F12-9785-24E14A529F59}" name="CIE-10" dataCellStyle="20% - Énfasis4"/>
    <tableColumn id="2" xr3:uid="{1D8A52CB-C017-4593-B95F-568A53509F27}" name="D1" dataDxfId="402">
      <calculatedColumnFormula>IF($B$2="(Todas)",COUNTIF(BASE[CODCIE10],GUIA_NACIONAL_2022_1106128105107110207214[[#This Row],[CIE-10]]),COUNTIFS(BASE[Cod.Establecimiento],$B$2,BASE[CODCIE10],GUIA_NACIONAL_2022_1106128105107110207214[[#This Row],[CIE-10]]))</calculatedColumnFormula>
    </tableColumn>
    <tableColumn id="3" xr3:uid="{7A6FDF47-AD58-4046-BBA3-1ECCC09AE315}" name="D2" dataDxfId="401">
      <calculatedColumnFormula>IF($B$2="(Todas)",COUNTIF(BASE[CODCIE102],GUIA_NACIONAL_2022_1106128105107110207214[[#This Row],[CIE-10]]),COUNTIFS(BASE[Cod.Establecimiento],$B$2,BASE[CODCIE102],GUIA_NACIONAL_2022_1106128105107110207214[[#This Row],[CIE-10]]))</calculatedColumnFormula>
    </tableColumn>
    <tableColumn id="4" xr3:uid="{18592BD5-CD7B-4A11-97A0-C2E709A7789C}" name="D3" dataDxfId="400">
      <calculatedColumnFormula>IF($B$2="(Todas)",COUNTIF(BASE[CODCIE104],GUIA_NACIONAL_2022_1106128105107110207214[[#This Row],[CIE-10]]),COUNTIFS(BASE[Cod.Establecimiento],$B$2,BASE[CODCIE104],GUIA_NACIONAL_2022_1106128105107110207214[[#This Row],[CIE-10]]))</calculatedColumnFormula>
    </tableColumn>
    <tableColumn id="5" xr3:uid="{90F10103-C11F-48CA-8BBE-3C31A4290E4C}" name="D4" dataDxfId="399">
      <calculatedColumnFormula>IF($B$2="(Todas)",COUNTIF(BASE[CODCIE106],GUIA_NACIONAL_2022_1106128105107110207214[[#This Row],[CIE-10]]),COUNTIFS(BASE[Cod.Establecimiento],$B$2,BASE[CODCIE106],GUIA_NACIONAL_2022_1106128105107110207214[[#This Row],[CIE-10]]))</calculatedColumnFormula>
    </tableColumn>
    <tableColumn id="6" xr3:uid="{BF8D4B5E-EC7D-4D51-9496-A3A1334186ED}" name="D5" dataDxfId="398">
      <calculatedColumnFormula>IF($B$2="(Todas)",COUNTIF(BASE[CODCIE108],GUIA_NACIONAL_2022_1106128105107110207214[[#This Row],[CIE-10]]),COUNTIFS(BASE[Cod.Establecimiento],$B$2,BASE[CODCIE108],GUIA_NACIONAL_2022_1106128105107110207214[[#This Row],[CIE-10]]))</calculatedColumnFormula>
    </tableColumn>
    <tableColumn id="7" xr3:uid="{8A89C3EF-D8F4-4853-812C-1EDA1E77C45F}" name="D6" dataDxfId="397">
      <calculatedColumnFormula>IF($B$2="(Todas)",COUNTIF(BASE[CODCIE1010],GUIA_NACIONAL_2022_1106128105107110207214[[#This Row],[CIE-10]]),COUNTIFS(BASE[Cod.Establecimiento],$B$2,BASE[CODCIE1010],GUIA_NACIONAL_2022_1106128105107110207214[[#This Row],[CIE-10]]))</calculatedColumnFormula>
    </tableColumn>
    <tableColumn id="8" xr3:uid="{74F93705-2D14-4B91-83E3-AA2B6D74CD16}" name="TOT" dataDxfId="396" dataCellStyle="40% - Énfasis6">
      <calculatedColumnFormula>SUM(GUIA_NACIONAL_2022_1106128105107110207214[[#This Row],[D1]:[D6]])</calculatedColumnFormula>
    </tableColumn>
  </tableColumns>
  <tableStyleInfo name="TableStyleLight12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A24209F7-9241-4ED1-AA22-1DC76680B741}" name="GUIA_NACIONAL_2022_1106128105107110207214215" displayName="GUIA_NACIONAL_2022_1106128105107110207214215" ref="BF20:BM21" totalsRowShown="0" headerRowDxfId="395">
  <tableColumns count="8">
    <tableColumn id="1" xr3:uid="{F0E5135E-B9DE-4890-91E0-21B3EDCD9248}" name="CIE-10" dataCellStyle="20% - Énfasis4"/>
    <tableColumn id="2" xr3:uid="{D2E58B5A-F4F4-42DB-B678-0ABE50BA4AA6}" name="D1" dataDxfId="394">
      <calculatedColumnFormula>IF($B$2="(Todas)",COUNTIF(BASE[CODCIE10],GUIA_NACIONAL_2022_1106128105107110207214215[[#This Row],[CIE-10]]),COUNTIFS(BASE[Cod.Establecimiento],$B$2,BASE[CODCIE10],GUIA_NACIONAL_2022_1106128105107110207214215[[#This Row],[CIE-10]]))</calculatedColumnFormula>
    </tableColumn>
    <tableColumn id="3" xr3:uid="{5AB7E74E-93D2-41EC-9E55-174849D05D4F}" name="D2" dataDxfId="393">
      <calculatedColumnFormula>IF($B$2="(Todas)",COUNTIF(BASE[CODCIE102],GUIA_NACIONAL_2022_1106128105107110207214215[[#This Row],[CIE-10]]),COUNTIFS(BASE[Cod.Establecimiento],$B$2,BASE[CODCIE102],GUIA_NACIONAL_2022_1106128105107110207214215[[#This Row],[CIE-10]]))</calculatedColumnFormula>
    </tableColumn>
    <tableColumn id="4" xr3:uid="{F49D5D99-521B-4776-991D-3108EC127D3A}" name="D3" dataDxfId="392">
      <calculatedColumnFormula>IF($B$2="(Todas)",COUNTIF(BASE[CODCIE104],GUIA_NACIONAL_2022_1106128105107110207214215[[#This Row],[CIE-10]]),COUNTIFS(BASE[Cod.Establecimiento],$B$2,BASE[CODCIE104],GUIA_NACIONAL_2022_1106128105107110207214215[[#This Row],[CIE-10]]))</calculatedColumnFormula>
    </tableColumn>
    <tableColumn id="5" xr3:uid="{EF90754F-6E53-463B-91E5-95ED0E9317F5}" name="D4" dataDxfId="391">
      <calculatedColumnFormula>IF($B$2="(Todas)",COUNTIF(BASE[CODCIE106],GUIA_NACIONAL_2022_1106128105107110207214215[[#This Row],[CIE-10]]),COUNTIFS(BASE[Cod.Establecimiento],$B$2,BASE[CODCIE106],GUIA_NACIONAL_2022_1106128105107110207214215[[#This Row],[CIE-10]]))</calculatedColumnFormula>
    </tableColumn>
    <tableColumn id="6" xr3:uid="{6D032B57-F70A-4A73-823C-511839559E89}" name="D5" dataDxfId="390">
      <calculatedColumnFormula>IF($B$2="(Todas)",COUNTIF(BASE[CODCIE108],GUIA_NACIONAL_2022_1106128105107110207214215[[#This Row],[CIE-10]]),COUNTIFS(BASE[Cod.Establecimiento],$B$2,BASE[CODCIE108],GUIA_NACIONAL_2022_1106128105107110207214215[[#This Row],[CIE-10]]))</calculatedColumnFormula>
    </tableColumn>
    <tableColumn id="7" xr3:uid="{18516DF0-1046-497B-BB28-C163990A9D48}" name="D6" dataDxfId="389">
      <calculatedColumnFormula>IF($B$2="(Todas)",COUNTIF(BASE[CODCIE1010],GUIA_NACIONAL_2022_1106128105107110207214215[[#This Row],[CIE-10]]),COUNTIFS(BASE[Cod.Establecimiento],$B$2,BASE[CODCIE1010],GUIA_NACIONAL_2022_1106128105107110207214215[[#This Row],[CIE-10]]))</calculatedColumnFormula>
    </tableColumn>
    <tableColumn id="8" xr3:uid="{10169C59-C45F-4D39-BCB9-A3E1B411F5A7}" name="TOT" dataDxfId="388" dataCellStyle="40% - Énfasis6">
      <calculatedColumnFormula>SUM(GUIA_NACIONAL_2022_1106128105107110207214215[[#This Row],[D1]:[D6]])</calculatedColumnFormula>
    </tableColumn>
  </tableColumns>
  <tableStyleInfo name="TableStyleLight12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F800DE09-39BD-4AF4-A65A-792BA09ED30F}" name="GUIA_NACIONAL_2022_1106128105107110207214216" displayName="GUIA_NACIONAL_2022_1106128105107110207214216" ref="BF24:BM25" totalsRowShown="0" headerRowDxfId="387">
  <tableColumns count="8">
    <tableColumn id="1" xr3:uid="{28E6AF65-4E98-4E80-A86F-1B9B49A6F108}" name="CIE-10" dataCellStyle="20% - Énfasis4"/>
    <tableColumn id="2" xr3:uid="{337D3BEF-5DE9-49CC-89E7-E0987B9055DE}" name="D1" dataDxfId="386">
      <calculatedColumnFormula>IF($B$2="(Todas)",COUNTIF(BASE[CODCIE10],GUIA_NACIONAL_2022_1106128105107110207214216[[#This Row],[CIE-10]]),COUNTIFS(BASE[Cod.Establecimiento],$B$2,BASE[CODCIE10],GUIA_NACIONAL_2022_1106128105107110207214216[[#This Row],[CIE-10]]))</calculatedColumnFormula>
    </tableColumn>
    <tableColumn id="3" xr3:uid="{052D7D70-A4E3-4976-81F3-F1FB51A9C541}" name="D2" dataDxfId="385">
      <calculatedColumnFormula>IF($B$2="(Todas)",COUNTIF(BASE[CODCIE102],GUIA_NACIONAL_2022_1106128105107110207214216[[#This Row],[CIE-10]]),COUNTIFS(BASE[Cod.Establecimiento],$B$2,BASE[CODCIE102],GUIA_NACIONAL_2022_1106128105107110207214216[[#This Row],[CIE-10]]))</calculatedColumnFormula>
    </tableColumn>
    <tableColumn id="4" xr3:uid="{BD752BA7-70FD-4E77-B2CD-301A90FFAA9F}" name="D3" dataDxfId="384">
      <calculatedColumnFormula>IF($B$2="(Todas)",COUNTIF(BASE[CODCIE104],GUIA_NACIONAL_2022_1106128105107110207214216[[#This Row],[CIE-10]]),COUNTIFS(BASE[Cod.Establecimiento],$B$2,BASE[CODCIE104],GUIA_NACIONAL_2022_1106128105107110207214216[[#This Row],[CIE-10]]))</calculatedColumnFormula>
    </tableColumn>
    <tableColumn id="5" xr3:uid="{3335C06C-38BD-41EB-8758-F4DA57BE442B}" name="D4" dataDxfId="383">
      <calculatedColumnFormula>IF($B$2="(Todas)",COUNTIF(BASE[CODCIE106],GUIA_NACIONAL_2022_1106128105107110207214216[[#This Row],[CIE-10]]),COUNTIFS(BASE[Cod.Establecimiento],$B$2,BASE[CODCIE106],GUIA_NACIONAL_2022_1106128105107110207214216[[#This Row],[CIE-10]]))</calculatedColumnFormula>
    </tableColumn>
    <tableColumn id="6" xr3:uid="{2D053DF7-9329-4E45-BB67-DCC6CF5CEDCF}" name="D5" dataDxfId="382">
      <calculatedColumnFormula>IF($B$2="(Todas)",COUNTIF(BASE[CODCIE108],GUIA_NACIONAL_2022_1106128105107110207214216[[#This Row],[CIE-10]]),COUNTIFS(BASE[Cod.Establecimiento],$B$2,BASE[CODCIE108],GUIA_NACIONAL_2022_1106128105107110207214216[[#This Row],[CIE-10]]))</calculatedColumnFormula>
    </tableColumn>
    <tableColumn id="7" xr3:uid="{3753F6D6-3A39-4E88-9F09-69B776E8C08C}" name="D6" dataDxfId="381">
      <calculatedColumnFormula>IF($B$2="(Todas)",COUNTIF(BASE[CODCIE1010],GUIA_NACIONAL_2022_1106128105107110207214216[[#This Row],[CIE-10]]),COUNTIFS(BASE[Cod.Establecimiento],$B$2,BASE[CODCIE1010],GUIA_NACIONAL_2022_1106128105107110207214216[[#This Row],[CIE-10]]))</calculatedColumnFormula>
    </tableColumn>
    <tableColumn id="8" xr3:uid="{5109CCC5-DE39-40E6-BC14-A75427CD68E6}" name="TOT" dataDxfId="380" dataCellStyle="40% - Énfasis6">
      <calculatedColumnFormula>SUM(GUIA_NACIONAL_2022_1106128105107110207214216[[#This Row],[D1]:[D6]])</calculatedColumnFormula>
    </tableColumn>
  </tableColumns>
  <tableStyleInfo name="TableStyleLight12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2BB25CC7-9681-4775-9DCE-9C4464E82BF8}" name="GUIA_NACIONAL_2022_1106128105107110207214216217" displayName="GUIA_NACIONAL_2022_1106128105107110207214216217" ref="BF27:BM28" totalsRowShown="0" headerRowDxfId="379">
  <tableColumns count="8">
    <tableColumn id="1" xr3:uid="{DC14A9AF-F8FA-4F85-8C5C-150D54BD65F9}" name="CIE-10" dataCellStyle="20% - Énfasis4"/>
    <tableColumn id="2" xr3:uid="{1831DAF1-C15B-4B6C-B69C-6BA5EF587B3A}" name="D1" dataDxfId="378">
      <calculatedColumnFormula>IF($B$2="(Todas)",COUNTIF(BASE[CODCIE10],GUIA_NACIONAL_2022_1106128105107110207214216217[[#This Row],[CIE-10]]),COUNTIFS(BASE[Cod.Establecimiento],$B$2,BASE[CODCIE10],GUIA_NACIONAL_2022_1106128105107110207214216217[[#This Row],[CIE-10]]))</calculatedColumnFormula>
    </tableColumn>
    <tableColumn id="3" xr3:uid="{EF9A2229-8078-4717-AB2F-DAE86C6E4CF7}" name="D2" dataDxfId="377">
      <calculatedColumnFormula>IF($B$2="(Todas)",COUNTIF(BASE[CODCIE102],GUIA_NACIONAL_2022_1106128105107110207214216217[[#This Row],[CIE-10]]),COUNTIFS(BASE[Cod.Establecimiento],$B$2,BASE[CODCIE102],GUIA_NACIONAL_2022_1106128105107110207214216217[[#This Row],[CIE-10]]))</calculatedColumnFormula>
    </tableColumn>
    <tableColumn id="4" xr3:uid="{16382339-9587-43B8-BC49-42AD24372F31}" name="D3" dataDxfId="376">
      <calculatedColumnFormula>IF($B$2="(Todas)",COUNTIF(BASE[CODCIE104],GUIA_NACIONAL_2022_1106128105107110207214216217[[#This Row],[CIE-10]]),COUNTIFS(BASE[Cod.Establecimiento],$B$2,BASE[CODCIE104],GUIA_NACIONAL_2022_1106128105107110207214216217[[#This Row],[CIE-10]]))</calculatedColumnFormula>
    </tableColumn>
    <tableColumn id="5" xr3:uid="{83B5AE01-E162-45E4-A762-A2B4994870CF}" name="D4" dataDxfId="375">
      <calculatedColumnFormula>IF($B$2="(Todas)",COUNTIF(BASE[CODCIE106],GUIA_NACIONAL_2022_1106128105107110207214216217[[#This Row],[CIE-10]]),COUNTIFS(BASE[Cod.Establecimiento],$B$2,BASE[CODCIE106],GUIA_NACIONAL_2022_1106128105107110207214216217[[#This Row],[CIE-10]]))</calculatedColumnFormula>
    </tableColumn>
    <tableColumn id="6" xr3:uid="{FFD926FC-D6A7-48B8-ABEC-BB2FED709CC6}" name="D5" dataDxfId="374">
      <calculatedColumnFormula>IF($B$2="(Todas)",COUNTIF(BASE[CODCIE108],GUIA_NACIONAL_2022_1106128105107110207214216217[[#This Row],[CIE-10]]),COUNTIFS(BASE[Cod.Establecimiento],$B$2,BASE[CODCIE108],GUIA_NACIONAL_2022_1106128105107110207214216217[[#This Row],[CIE-10]]))</calculatedColumnFormula>
    </tableColumn>
    <tableColumn id="7" xr3:uid="{1C331E93-BA74-4D89-9253-9F2847554C5A}" name="D6" dataDxfId="373">
      <calculatedColumnFormula>IF($B$2="(Todas)",COUNTIF(BASE[CODCIE1010],GUIA_NACIONAL_2022_1106128105107110207214216217[[#This Row],[CIE-10]]),COUNTIFS(BASE[Cod.Establecimiento],$B$2,BASE[CODCIE1010],GUIA_NACIONAL_2022_1106128105107110207214216217[[#This Row],[CIE-10]]))</calculatedColumnFormula>
    </tableColumn>
    <tableColumn id="8" xr3:uid="{121B10C1-4F3A-4711-87A9-58B387BBB003}" name="TOT" dataDxfId="372" dataCellStyle="40% - Énfasis6">
      <calculatedColumnFormula>SUM(GUIA_NACIONAL_2022_1106128105107110207214216217[[#This Row],[D1]:[D6]])</calculatedColumnFormula>
    </tableColumn>
  </tableColumns>
  <tableStyleInfo name="TableStyleLight12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99F04AEE-F687-4ED7-9233-1C38B7D755FB}" name="GUIA_NACIONAL_2022_1106128105107110207214216217218" displayName="GUIA_NACIONAL_2022_1106128105107110207214216217218" ref="BF30:BM33" totalsRowShown="0" headerRowDxfId="371">
  <tableColumns count="8">
    <tableColumn id="1" xr3:uid="{7D65BBE1-5B33-488E-9779-A3A01EA2C8CA}" name="CIE-10" dataCellStyle="20% - Énfasis4"/>
    <tableColumn id="2" xr3:uid="{5B6A21AF-A8C1-47D2-A944-9E4E0C89CB52}" name="D1" dataDxfId="370">
      <calculatedColumnFormula>IF($B$2="(Todas)",COUNTIF(BASE[CODCIE10],GUIA_NACIONAL_2022_1106128105107110207214216217218[[#This Row],[CIE-10]]),COUNTIFS(BASE[Cod.Establecimiento],$B$2,BASE[CODCIE10],GUIA_NACIONAL_2022_1106128105107110207214216217218[[#This Row],[CIE-10]]))</calculatedColumnFormula>
    </tableColumn>
    <tableColumn id="3" xr3:uid="{EA95D8D4-6C53-4A32-9ED7-4A1A0589F7EB}" name="D2" dataDxfId="369">
      <calculatedColumnFormula>IF($B$2="(Todas)",COUNTIF(BASE[CODCIE102],GUIA_NACIONAL_2022_1106128105107110207214216217218[[#This Row],[CIE-10]]),COUNTIFS(BASE[Cod.Establecimiento],$B$2,BASE[CODCIE102],GUIA_NACIONAL_2022_1106128105107110207214216217218[[#This Row],[CIE-10]]))</calculatedColumnFormula>
    </tableColumn>
    <tableColumn id="4" xr3:uid="{4023D632-90C9-4CAC-954F-57A68D215850}" name="D3" dataDxfId="368">
      <calculatedColumnFormula>IF($B$2="(Todas)",COUNTIF(BASE[CODCIE104],GUIA_NACIONAL_2022_1106128105107110207214216217218[[#This Row],[CIE-10]]),COUNTIFS(BASE[Cod.Establecimiento],$B$2,BASE[CODCIE104],GUIA_NACIONAL_2022_1106128105107110207214216217218[[#This Row],[CIE-10]]))</calculatedColumnFormula>
    </tableColumn>
    <tableColumn id="5" xr3:uid="{2EC54109-BAA4-4606-AC51-03115D1DD879}" name="D4" dataDxfId="367">
      <calculatedColumnFormula>IF($B$2="(Todas)",COUNTIF(BASE[CODCIE106],GUIA_NACIONAL_2022_1106128105107110207214216217218[[#This Row],[CIE-10]]),COUNTIFS(BASE[Cod.Establecimiento],$B$2,BASE[CODCIE106],GUIA_NACIONAL_2022_1106128105107110207214216217218[[#This Row],[CIE-10]]))</calculatedColumnFormula>
    </tableColumn>
    <tableColumn id="6" xr3:uid="{7B03108A-FB81-4E0D-A3D4-FEF1354FC6C2}" name="D5" dataDxfId="366">
      <calculatedColumnFormula>IF($B$2="(Todas)",COUNTIF(BASE[CODCIE108],GUIA_NACIONAL_2022_1106128105107110207214216217218[[#This Row],[CIE-10]]),COUNTIFS(BASE[Cod.Establecimiento],$B$2,BASE[CODCIE108],GUIA_NACIONAL_2022_1106128105107110207214216217218[[#This Row],[CIE-10]]))</calculatedColumnFormula>
    </tableColumn>
    <tableColumn id="7" xr3:uid="{0654527C-2124-480A-A883-8DBA074E8BF5}" name="D6" dataDxfId="365">
      <calculatedColumnFormula>IF($B$2="(Todas)",COUNTIF(BASE[CODCIE1010],GUIA_NACIONAL_2022_1106128105107110207214216217218[[#This Row],[CIE-10]]),COUNTIFS(BASE[Cod.Establecimiento],$B$2,BASE[CODCIE1010],GUIA_NACIONAL_2022_1106128105107110207214216217218[[#This Row],[CIE-10]]))</calculatedColumnFormula>
    </tableColumn>
    <tableColumn id="8" xr3:uid="{7953EAAB-13E3-45B0-B505-5B88C616B363}" name="TOT" dataDxfId="364" dataCellStyle="40% - Énfasis6">
      <calculatedColumnFormula>SUM(GUIA_NACIONAL_2022_1106128105107110207214216217218[[#This Row],[D1]:[D6]])</calculatedColumnFormula>
    </tableColumn>
  </tableColumns>
  <tableStyleInfo name="TableStyleLight12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364D1746-092F-4D55-B145-38AF29B25F32}" name="GUIA_NACIONAL_2022_1106128105107110207214216217218219" displayName="GUIA_NACIONAL_2022_1106128105107110207214216217218219" ref="BF35:BM37" totalsRowShown="0" headerRowDxfId="363">
  <tableColumns count="8">
    <tableColumn id="1" xr3:uid="{991F1851-EDDA-433A-92FC-06CB7549AB22}" name="CIE-10" dataCellStyle="20% - Énfasis4"/>
    <tableColumn id="2" xr3:uid="{554C24BB-2A25-4698-A896-454D4418C516}" name="D1" dataDxfId="362">
      <calculatedColumnFormula>IF($B$2="(Todas)",COUNTIF(BASE[CODCIE10],GUIA_NACIONAL_2022_1106128105107110207214216217218219[[#This Row],[CIE-10]]),COUNTIFS(BASE[Cod.Establecimiento],$B$2,BASE[CODCIE10],GUIA_NACIONAL_2022_1106128105107110207214216217218219[[#This Row],[CIE-10]]))</calculatedColumnFormula>
    </tableColumn>
    <tableColumn id="3" xr3:uid="{25C848B8-537C-4446-9CD4-7CFBDEF47043}" name="D2" dataDxfId="361">
      <calculatedColumnFormula>IF($B$2="(Todas)",COUNTIF(BASE[CODCIE102],GUIA_NACIONAL_2022_1106128105107110207214216217218219[[#This Row],[CIE-10]]),COUNTIFS(BASE[Cod.Establecimiento],$B$2,BASE[CODCIE102],GUIA_NACIONAL_2022_1106128105107110207214216217218219[[#This Row],[CIE-10]]))</calculatedColumnFormula>
    </tableColumn>
    <tableColumn id="4" xr3:uid="{54148DC9-DFEA-461C-91EC-AD38AA05F95D}" name="D3" dataDxfId="360">
      <calculatedColumnFormula>IF($B$2="(Todas)",COUNTIF(BASE[CODCIE104],GUIA_NACIONAL_2022_1106128105107110207214216217218219[[#This Row],[CIE-10]]),COUNTIFS(BASE[Cod.Establecimiento],$B$2,BASE[CODCIE104],GUIA_NACIONAL_2022_1106128105107110207214216217218219[[#This Row],[CIE-10]]))</calculatedColumnFormula>
    </tableColumn>
    <tableColumn id="5" xr3:uid="{D62A4E43-2940-49E5-B4D9-6D855FDE533D}" name="D4" dataDxfId="359">
      <calculatedColumnFormula>IF($B$2="(Todas)",COUNTIF(BASE[CODCIE106],GUIA_NACIONAL_2022_1106128105107110207214216217218219[[#This Row],[CIE-10]]),COUNTIFS(BASE[Cod.Establecimiento],$B$2,BASE[CODCIE106],GUIA_NACIONAL_2022_1106128105107110207214216217218219[[#This Row],[CIE-10]]))</calculatedColumnFormula>
    </tableColumn>
    <tableColumn id="6" xr3:uid="{B20E46C4-5D74-4069-909E-B17297EE7AEB}" name="D5" dataDxfId="358">
      <calculatedColumnFormula>IF($B$2="(Todas)",COUNTIF(BASE[CODCIE108],GUIA_NACIONAL_2022_1106128105107110207214216217218219[[#This Row],[CIE-10]]),COUNTIFS(BASE[Cod.Establecimiento],$B$2,BASE[CODCIE108],GUIA_NACIONAL_2022_1106128105107110207214216217218219[[#This Row],[CIE-10]]))</calculatedColumnFormula>
    </tableColumn>
    <tableColumn id="7" xr3:uid="{388122D5-D793-46D6-AD59-3E709CE49ADB}" name="D6" dataDxfId="357">
      <calculatedColumnFormula>IF($B$2="(Todas)",COUNTIF(BASE[CODCIE1010],GUIA_NACIONAL_2022_1106128105107110207214216217218219[[#This Row],[CIE-10]]),COUNTIFS(BASE[Cod.Establecimiento],$B$2,BASE[CODCIE1010],GUIA_NACIONAL_2022_1106128105107110207214216217218219[[#This Row],[CIE-10]]))</calculatedColumnFormula>
    </tableColumn>
    <tableColumn id="8" xr3:uid="{5390CE29-82FF-4CAB-AD6C-17D0A941F6F7}" name="TOT" dataDxfId="356" dataCellStyle="40% - Énfasis6">
      <calculatedColumnFormula>SUM(GUIA_NACIONAL_2022_1106128105107110207214216217218219[[#This Row],[D1]:[D6]])</calculatedColumnFormula>
    </tableColumn>
  </tableColumns>
  <tableStyleInfo name="TableStyleLight12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F9E6E1C4-B697-49A9-8EE0-B453F093AE1E}" name="GUIA_NACIONAL_2022_1106128105107110207214216217218219220" displayName="GUIA_NACIONAL_2022_1106128105107110207214216217218219220" ref="BF39:BM41" totalsRowShown="0" headerRowDxfId="355">
  <tableColumns count="8">
    <tableColumn id="1" xr3:uid="{F85589BF-2C94-42E6-9D26-A0981E7610A9}" name="CIE-10" dataCellStyle="20% - Énfasis4"/>
    <tableColumn id="2" xr3:uid="{852D2A7C-F8B2-48C1-9E0F-3F4D7D79E9A5}" name="D1" dataDxfId="354">
      <calculatedColumnFormula>IF($B$2="(Todas)",COUNTIF(BASE[CODCIE10],GUIA_NACIONAL_2022_1106128105107110207214216217218219220[[#This Row],[CIE-10]]),COUNTIFS(BASE[Cod.Establecimiento],$B$2,BASE[CODCIE10],GUIA_NACIONAL_2022_1106128105107110207214216217218219220[[#This Row],[CIE-10]]))</calculatedColumnFormula>
    </tableColumn>
    <tableColumn id="3" xr3:uid="{84D6426D-132A-4654-A8EE-5C6F6A0A62DD}" name="D2" dataDxfId="353">
      <calculatedColumnFormula>IF($B$2="(Todas)",COUNTIF(BASE[CODCIE102],GUIA_NACIONAL_2022_1106128105107110207214216217218219220[[#This Row],[CIE-10]]),COUNTIFS(BASE[Cod.Establecimiento],$B$2,BASE[CODCIE102],GUIA_NACIONAL_2022_1106128105107110207214216217218219220[[#This Row],[CIE-10]]))</calculatedColumnFormula>
    </tableColumn>
    <tableColumn id="4" xr3:uid="{AFE95472-D34B-4CE5-B840-B29CBB1AFE12}" name="D3" dataDxfId="352">
      <calculatedColumnFormula>IF($B$2="(Todas)",COUNTIF(BASE[CODCIE104],GUIA_NACIONAL_2022_1106128105107110207214216217218219220[[#This Row],[CIE-10]]),COUNTIFS(BASE[Cod.Establecimiento],$B$2,BASE[CODCIE104],GUIA_NACIONAL_2022_1106128105107110207214216217218219220[[#This Row],[CIE-10]]))</calculatedColumnFormula>
    </tableColumn>
    <tableColumn id="5" xr3:uid="{37BA33B5-269E-4AD0-BCE5-FF2AB1A97D17}" name="D4" dataDxfId="351">
      <calculatedColumnFormula>IF($B$2="(Todas)",COUNTIF(BASE[CODCIE106],GUIA_NACIONAL_2022_1106128105107110207214216217218219220[[#This Row],[CIE-10]]),COUNTIFS(BASE[Cod.Establecimiento],$B$2,BASE[CODCIE106],GUIA_NACIONAL_2022_1106128105107110207214216217218219220[[#This Row],[CIE-10]]))</calculatedColumnFormula>
    </tableColumn>
    <tableColumn id="6" xr3:uid="{5139C61D-2F21-40F9-AFCA-D2DC72102B86}" name="D5" dataDxfId="350">
      <calculatedColumnFormula>IF($B$2="(Todas)",COUNTIF(BASE[CODCIE108],GUIA_NACIONAL_2022_1106128105107110207214216217218219220[[#This Row],[CIE-10]]),COUNTIFS(BASE[Cod.Establecimiento],$B$2,BASE[CODCIE108],GUIA_NACIONAL_2022_1106128105107110207214216217218219220[[#This Row],[CIE-10]]))</calculatedColumnFormula>
    </tableColumn>
    <tableColumn id="7" xr3:uid="{D2BA9822-B778-4B93-A62D-DA631BE8ADDE}" name="D6" dataDxfId="349">
      <calculatedColumnFormula>IF($B$2="(Todas)",COUNTIF(BASE[CODCIE1010],GUIA_NACIONAL_2022_1106128105107110207214216217218219220[[#This Row],[CIE-10]]),COUNTIFS(BASE[Cod.Establecimiento],$B$2,BASE[CODCIE1010],GUIA_NACIONAL_2022_1106128105107110207214216217218219220[[#This Row],[CIE-10]]))</calculatedColumnFormula>
    </tableColumn>
    <tableColumn id="8" xr3:uid="{56BD8C06-1D0A-43F5-BCCF-E152631D551D}" name="TOT" dataDxfId="348" dataCellStyle="40% - Énfasis6">
      <calculatedColumnFormula>SUM(GUIA_NACIONAL_2022_1106128105107110207214216217218219220[[#This Row],[D1]:[D6]])</calculatedColumnFormula>
    </tableColumn>
  </tableColumns>
  <tableStyleInfo name="TableStyleLight12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8026832E-02CA-4334-B414-0ED1E6E6AF5F}" name="GUIA_NACIONAL_2022_1106128105107110207214216221" displayName="GUIA_NACIONAL_2022_1106128105107110207214216221" ref="BF43:BM44" totalsRowShown="0" headerRowDxfId="347">
  <tableColumns count="8">
    <tableColumn id="1" xr3:uid="{A14620F2-FE0B-4932-8A1D-78E1B0FE085E}" name="CIE-10" dataCellStyle="20% - Énfasis4"/>
    <tableColumn id="2" xr3:uid="{170F70CC-B632-4DE5-90B4-A733B5DEF1E3}" name="D1" dataDxfId="346">
      <calculatedColumnFormula>IF($B$2="(Todas)",COUNTIF(BASE[CODCIE10],GUIA_NACIONAL_2022_1106128105107110207214216221[[#This Row],[CIE-10]]),COUNTIFS(BASE[Cod.Establecimiento],$B$2,BASE[CODCIE10],GUIA_NACIONAL_2022_1106128105107110207214216221[[#This Row],[CIE-10]]))</calculatedColumnFormula>
    </tableColumn>
    <tableColumn id="3" xr3:uid="{D17CCE9E-1870-46B2-A67D-196A5B9A4BCF}" name="D2" dataDxfId="345">
      <calculatedColumnFormula>IF($B$2="(Todas)",COUNTIF(BASE[CODCIE102],GUIA_NACIONAL_2022_1106128105107110207214216221[[#This Row],[CIE-10]]),COUNTIFS(BASE[Cod.Establecimiento],$B$2,BASE[CODCIE102],GUIA_NACIONAL_2022_1106128105107110207214216221[[#This Row],[CIE-10]]))</calculatedColumnFormula>
    </tableColumn>
    <tableColumn id="4" xr3:uid="{129A5BD8-6ECB-4A24-B9A4-0ABA97B8AEC5}" name="D3" dataDxfId="344">
      <calculatedColumnFormula>IF($B$2="(Todas)",COUNTIF(BASE[CODCIE104],GUIA_NACIONAL_2022_1106128105107110207214216221[[#This Row],[CIE-10]]),COUNTIFS(BASE[Cod.Establecimiento],$B$2,BASE[CODCIE104],GUIA_NACIONAL_2022_1106128105107110207214216221[[#This Row],[CIE-10]]))</calculatedColumnFormula>
    </tableColumn>
    <tableColumn id="5" xr3:uid="{95D53FF6-AB34-4190-862D-9B202B72B62F}" name="D4" dataDxfId="343">
      <calculatedColumnFormula>IF($B$2="(Todas)",COUNTIF(BASE[CODCIE106],GUIA_NACIONAL_2022_1106128105107110207214216221[[#This Row],[CIE-10]]),COUNTIFS(BASE[Cod.Establecimiento],$B$2,BASE[CODCIE106],GUIA_NACIONAL_2022_1106128105107110207214216221[[#This Row],[CIE-10]]))</calculatedColumnFormula>
    </tableColumn>
    <tableColumn id="6" xr3:uid="{9455D0F5-7D3C-43BA-8851-7FE02C480026}" name="D5" dataDxfId="342">
      <calculatedColumnFormula>IF($B$2="(Todas)",COUNTIF(BASE[CODCIE108],GUIA_NACIONAL_2022_1106128105107110207214216221[[#This Row],[CIE-10]]),COUNTIFS(BASE[Cod.Establecimiento],$B$2,BASE[CODCIE108],GUIA_NACIONAL_2022_1106128105107110207214216221[[#This Row],[CIE-10]]))</calculatedColumnFormula>
    </tableColumn>
    <tableColumn id="7" xr3:uid="{9A40FBE2-FDB7-48D9-997A-DC3F11B046FF}" name="D6" dataDxfId="341">
      <calculatedColumnFormula>IF($B$2="(Todas)",COUNTIF(BASE[CODCIE1010],GUIA_NACIONAL_2022_1106128105107110207214216221[[#This Row],[CIE-10]]),COUNTIFS(BASE[Cod.Establecimiento],$B$2,BASE[CODCIE1010],GUIA_NACIONAL_2022_1106128105107110207214216221[[#This Row],[CIE-10]]))</calculatedColumnFormula>
    </tableColumn>
    <tableColumn id="8" xr3:uid="{0C49B340-B3FA-4300-90BF-F37DEAAF9BD7}" name="TOT" dataDxfId="340" dataCellStyle="40% - Énfasis6">
      <calculatedColumnFormula>SUM(GUIA_NACIONAL_2022_1106128105107110207214216221[[#This Row],[D1]:[D6]])</calculatedColumnFormula>
    </tableColumn>
  </tableColumns>
  <tableStyleInfo name="TableStyleLight12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F9F22B29-CABD-428B-8F9C-455660E768EF}" name="GUIA_NACIONAL_2022_1106128105107110207214216221222" displayName="GUIA_NACIONAL_2022_1106128105107110207214216221222" ref="BF46:BM47" totalsRowShown="0" headerRowDxfId="339">
  <tableColumns count="8">
    <tableColumn id="1" xr3:uid="{4CA884E9-22A7-4EB4-8ABE-B9DDB69817E6}" name="CIE-10" dataCellStyle="20% - Énfasis4"/>
    <tableColumn id="2" xr3:uid="{07FC41BC-9CA0-496C-96C0-1BB34E33B7C4}" name="D1" dataDxfId="338">
      <calculatedColumnFormula>IF($B$2="(Todas)",COUNTIF(BASE[CODCIE10],GUIA_NACIONAL_2022_1106128105107110207214216221222[[#This Row],[CIE-10]]),COUNTIFS(BASE[Cod.Establecimiento],$B$2,BASE[CODCIE10],GUIA_NACIONAL_2022_1106128105107110207214216221222[[#This Row],[CIE-10]]))</calculatedColumnFormula>
    </tableColumn>
    <tableColumn id="3" xr3:uid="{A38DFB72-55C4-40C7-A144-33821F60EF33}" name="D2" dataDxfId="337">
      <calculatedColumnFormula>IF($B$2="(Todas)",COUNTIF(BASE[CODCIE102],GUIA_NACIONAL_2022_1106128105107110207214216221222[[#This Row],[CIE-10]]),COUNTIFS(BASE[Cod.Establecimiento],$B$2,BASE[CODCIE102],GUIA_NACIONAL_2022_1106128105107110207214216221222[[#This Row],[CIE-10]]))</calculatedColumnFormula>
    </tableColumn>
    <tableColumn id="4" xr3:uid="{B735CF33-1EBE-4960-AD26-D27A09CA84F2}" name="D3" dataDxfId="336">
      <calculatedColumnFormula>IF($B$2="(Todas)",COUNTIF(BASE[CODCIE104],GUIA_NACIONAL_2022_1106128105107110207214216221222[[#This Row],[CIE-10]]),COUNTIFS(BASE[Cod.Establecimiento],$B$2,BASE[CODCIE104],GUIA_NACIONAL_2022_1106128105107110207214216221222[[#This Row],[CIE-10]]))</calculatedColumnFormula>
    </tableColumn>
    <tableColumn id="5" xr3:uid="{CFE60726-5DE4-467B-B71F-58C60A122E36}" name="D4" dataDxfId="335">
      <calculatedColumnFormula>IF($B$2="(Todas)",COUNTIF(BASE[CODCIE106],GUIA_NACIONAL_2022_1106128105107110207214216221222[[#This Row],[CIE-10]]),COUNTIFS(BASE[Cod.Establecimiento],$B$2,BASE[CODCIE106],GUIA_NACIONAL_2022_1106128105107110207214216221222[[#This Row],[CIE-10]]))</calculatedColumnFormula>
    </tableColumn>
    <tableColumn id="6" xr3:uid="{90BB76B5-E056-4944-ADCC-799300E3A7D5}" name="D5" dataDxfId="334">
      <calculatedColumnFormula>IF($B$2="(Todas)",COUNTIF(BASE[CODCIE108],GUIA_NACIONAL_2022_1106128105107110207214216221222[[#This Row],[CIE-10]]),COUNTIFS(BASE[Cod.Establecimiento],$B$2,BASE[CODCIE108],GUIA_NACIONAL_2022_1106128105107110207214216221222[[#This Row],[CIE-10]]))</calculatedColumnFormula>
    </tableColumn>
    <tableColumn id="7" xr3:uid="{9BA09B06-0A19-46E9-A0CD-4ED720DCC7C3}" name="D6" dataDxfId="333">
      <calculatedColumnFormula>IF($B$2="(Todas)",COUNTIF(BASE[CODCIE1010],GUIA_NACIONAL_2022_1106128105107110207214216221222[[#This Row],[CIE-10]]),COUNTIFS(BASE[Cod.Establecimiento],$B$2,BASE[CODCIE1010],GUIA_NACIONAL_2022_1106128105107110207214216221222[[#This Row],[CIE-10]]))</calculatedColumnFormula>
    </tableColumn>
    <tableColumn id="8" xr3:uid="{C8BA1CA2-26DC-4650-BD1A-A9BD8474956E}" name="TOT" dataDxfId="332" dataCellStyle="40% - Énfasis6">
      <calculatedColumnFormula>SUM(GUIA_NACIONAL_2022_1106128105107110207214216221222[[#This Row],[D1]:[D6]])</calculatedColumnFormula>
    </tableColumn>
  </tableColumns>
  <tableStyleInfo name="TableStyleLight12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CE27180-41DF-411E-801D-AAD4BBC71EA7}" name="GUIA_NACIONAL_2022_1106128105107110207214216221222223" displayName="GUIA_NACIONAL_2022_1106128105107110207214216221222223" ref="BF49:BM50" totalsRowShown="0" headerRowDxfId="331">
  <tableColumns count="8">
    <tableColumn id="1" xr3:uid="{EC18A1D7-C07F-46A5-BF3E-5DAC54503B29}" name="CIE-10" dataCellStyle="20% - Énfasis4"/>
    <tableColumn id="2" xr3:uid="{B50E2205-E0D0-4BA8-A055-390A0CB35D11}" name="D1" dataDxfId="330">
      <calculatedColumnFormula>IF($B$2="(Todas)",COUNTIF(BASE[CODCIE10],GUIA_NACIONAL_2022_1106128105107110207214216221222223[[#This Row],[CIE-10]]),COUNTIFS(BASE[Cod.Establecimiento],$B$2,BASE[CODCIE10],GUIA_NACIONAL_2022_1106128105107110207214216221222223[[#This Row],[CIE-10]]))</calculatedColumnFormula>
    </tableColumn>
    <tableColumn id="3" xr3:uid="{54559169-3991-4A2B-A686-393D5A3297DC}" name="D2" dataDxfId="329">
      <calculatedColumnFormula>IF($B$2="(Todas)",COUNTIF(BASE[CODCIE102],GUIA_NACIONAL_2022_1106128105107110207214216221222223[[#This Row],[CIE-10]]),COUNTIFS(BASE[Cod.Establecimiento],$B$2,BASE[CODCIE102],GUIA_NACIONAL_2022_1106128105107110207214216221222223[[#This Row],[CIE-10]]))</calculatedColumnFormula>
    </tableColumn>
    <tableColumn id="4" xr3:uid="{737A7F16-FDDC-40BA-84E2-2A8E05DA1CD1}" name="D3" dataDxfId="328">
      <calculatedColumnFormula>IF($B$2="(Todas)",COUNTIF(BASE[CODCIE104],GUIA_NACIONAL_2022_1106128105107110207214216221222223[[#This Row],[CIE-10]]),COUNTIFS(BASE[Cod.Establecimiento],$B$2,BASE[CODCIE104],GUIA_NACIONAL_2022_1106128105107110207214216221222223[[#This Row],[CIE-10]]))</calculatedColumnFormula>
    </tableColumn>
    <tableColumn id="5" xr3:uid="{189362A7-EC3F-4AA3-9C81-4194D0466808}" name="D4" dataDxfId="327">
      <calculatedColumnFormula>IF($B$2="(Todas)",COUNTIF(BASE[CODCIE106],GUIA_NACIONAL_2022_1106128105107110207214216221222223[[#This Row],[CIE-10]]),COUNTIFS(BASE[Cod.Establecimiento],$B$2,BASE[CODCIE106],GUIA_NACIONAL_2022_1106128105107110207214216221222223[[#This Row],[CIE-10]]))</calculatedColumnFormula>
    </tableColumn>
    <tableColumn id="6" xr3:uid="{5A17A357-8B55-4F00-9667-23DDB64C6CC9}" name="D5" dataDxfId="326">
      <calculatedColumnFormula>IF($B$2="(Todas)",COUNTIF(BASE[CODCIE108],GUIA_NACIONAL_2022_1106128105107110207214216221222223[[#This Row],[CIE-10]]),COUNTIFS(BASE[Cod.Establecimiento],$B$2,BASE[CODCIE108],GUIA_NACIONAL_2022_1106128105107110207214216221222223[[#This Row],[CIE-10]]))</calculatedColumnFormula>
    </tableColumn>
    <tableColumn id="7" xr3:uid="{50650844-9CF9-4DAE-8C90-A16C7D5BEEEF}" name="D6" dataDxfId="325">
      <calculatedColumnFormula>IF($B$2="(Todas)",COUNTIF(BASE[CODCIE1010],GUIA_NACIONAL_2022_1106128105107110207214216221222223[[#This Row],[CIE-10]]),COUNTIFS(BASE[Cod.Establecimiento],$B$2,BASE[CODCIE1010],GUIA_NACIONAL_2022_1106128105107110207214216221222223[[#This Row],[CIE-10]]))</calculatedColumnFormula>
    </tableColumn>
    <tableColumn id="8" xr3:uid="{E75E8AAF-913E-438B-9BCF-C9D4A36C7BD5}" name="TOT" dataDxfId="324" dataCellStyle="40% - Énfasis6">
      <calculatedColumnFormula>SUM(GUIA_NACIONAL_2022_1106128105107110207214216221222223[[#This Row],[D1]:[D6]])</calculatedColumnFormula>
    </tableColumn>
  </tableColumns>
  <tableStyleInfo name="TableStyleLight12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83771FFE-EE9A-4470-BF73-76CAEE2B1CB3}" name="GUIA_NACIONAL_2022_1106128105107110207214216221222223224" displayName="GUIA_NACIONAL_2022_1106128105107110207214216221222223224" ref="BF52:BM53" totalsRowShown="0" headerRowDxfId="323">
  <tableColumns count="8">
    <tableColumn id="1" xr3:uid="{D56E0F40-7970-4D19-9C11-9BA97085C37F}" name="CIE-10" dataCellStyle="20% - Énfasis4"/>
    <tableColumn id="2" xr3:uid="{42E778BD-7B47-449E-9AA3-8340859C38E1}" name="D1" dataDxfId="322">
      <calculatedColumnFormula>IF($B$2="(Todas)",COUNTIF(BASE[CODCIE10],GUIA_NACIONAL_2022_1106128105107110207214216221222223224[[#This Row],[CIE-10]]),COUNTIFS(BASE[Cod.Establecimiento],$B$2,BASE[CODCIE10],GUIA_NACIONAL_2022_1106128105107110207214216221222223224[[#This Row],[CIE-10]]))</calculatedColumnFormula>
    </tableColumn>
    <tableColumn id="3" xr3:uid="{5BB9F155-EBE7-4EE4-B6FA-A4F8F5E2ABB6}" name="D2" dataDxfId="321">
      <calculatedColumnFormula>IF($B$2="(Todas)",COUNTIF(BASE[CODCIE102],GUIA_NACIONAL_2022_1106128105107110207214216221222223224[[#This Row],[CIE-10]]),COUNTIFS(BASE[Cod.Establecimiento],$B$2,BASE[CODCIE102],GUIA_NACIONAL_2022_1106128105107110207214216221222223224[[#This Row],[CIE-10]]))</calculatedColumnFormula>
    </tableColumn>
    <tableColumn id="4" xr3:uid="{18A6E614-566E-47EE-A0B6-A42E276B1B5E}" name="D3" dataDxfId="320">
      <calculatedColumnFormula>IF($B$2="(Todas)",COUNTIF(BASE[CODCIE104],GUIA_NACIONAL_2022_1106128105107110207214216221222223224[[#This Row],[CIE-10]]),COUNTIFS(BASE[Cod.Establecimiento],$B$2,BASE[CODCIE104],GUIA_NACIONAL_2022_1106128105107110207214216221222223224[[#This Row],[CIE-10]]))</calculatedColumnFormula>
    </tableColumn>
    <tableColumn id="5" xr3:uid="{3DDFF6EE-3D5C-4424-A449-863110AFAC87}" name="D4" dataDxfId="319">
      <calculatedColumnFormula>IF($B$2="(Todas)",COUNTIF(BASE[CODCIE106],GUIA_NACIONAL_2022_1106128105107110207214216221222223224[[#This Row],[CIE-10]]),COUNTIFS(BASE[Cod.Establecimiento],$B$2,BASE[CODCIE106],GUIA_NACIONAL_2022_1106128105107110207214216221222223224[[#This Row],[CIE-10]]))</calculatedColumnFormula>
    </tableColumn>
    <tableColumn id="6" xr3:uid="{860C4B0B-BC65-404D-ADEB-EB66E4C755F4}" name="D5" dataDxfId="318">
      <calculatedColumnFormula>IF($B$2="(Todas)",COUNTIF(BASE[CODCIE108],GUIA_NACIONAL_2022_1106128105107110207214216221222223224[[#This Row],[CIE-10]]),COUNTIFS(BASE[Cod.Establecimiento],$B$2,BASE[CODCIE108],GUIA_NACIONAL_2022_1106128105107110207214216221222223224[[#This Row],[CIE-10]]))</calculatedColumnFormula>
    </tableColumn>
    <tableColumn id="7" xr3:uid="{70B45A74-9CAA-4532-B76A-74DA21621FFB}" name="D6" dataDxfId="317">
      <calculatedColumnFormula>IF($B$2="(Todas)",COUNTIF(BASE[CODCIE1010],GUIA_NACIONAL_2022_1106128105107110207214216221222223224[[#This Row],[CIE-10]]),COUNTIFS(BASE[Cod.Establecimiento],$B$2,BASE[CODCIE1010],GUIA_NACIONAL_2022_1106128105107110207214216221222223224[[#This Row],[CIE-10]]))</calculatedColumnFormula>
    </tableColumn>
    <tableColumn id="8" xr3:uid="{A0E4295E-BAED-4C26-B577-5E8CAA147762}" name="TOT" dataDxfId="316" dataCellStyle="40% - Énfasis6">
      <calculatedColumnFormula>SUM(GUIA_NACIONAL_2022_1106128105107110207214216221222223224[[#This Row],[D1]:[D6]])</calculatedColumnFormula>
    </tableColumn>
  </tableColumns>
  <tableStyleInfo name="TableStyleLight12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F1B35449-6925-4C1B-A7D0-59DB4F687D34}" name="GUIA_NACIONAL_2022_1106128105168162225" displayName="GUIA_NACIONAL_2022_1106128105168162225" ref="BF56:BM57" totalsRowShown="0" headerRowDxfId="315">
  <tableColumns count="8">
    <tableColumn id="1" xr3:uid="{B1AA5655-9F13-4D9F-8811-EC78EFE52700}" name="CIE-10" dataCellStyle="20% - Énfasis4"/>
    <tableColumn id="2" xr3:uid="{B000D996-DC6D-4401-B3FD-24816456560B}" name="D1" dataDxfId="314">
      <calculatedColumnFormula>IF($B$2="(Todas)",COUNTIF(BASE[CODCIE10],GUIA_NACIONAL_2022_1106128105168162225[[#This Row],[CIE-10]]),COUNTIFS(BASE[Cod.Establecimiento],$B$2,BASE[CODCIE10],GUIA_NACIONAL_2022_1106128105168162225[[#This Row],[CIE-10]]))</calculatedColumnFormula>
    </tableColumn>
    <tableColumn id="3" xr3:uid="{2B98F389-F062-43D5-8827-73544D718FAC}" name="D2" dataDxfId="313">
      <calculatedColumnFormula>IF($B$2="(Todas)",COUNTIF(BASE[CODCIE102],GUIA_NACIONAL_2022_1106128105168162225[[#This Row],[CIE-10]]),COUNTIFS(BASE[Cod.Establecimiento],$B$2,BASE[CODCIE102],GUIA_NACIONAL_2022_1106128105168162225[[#This Row],[CIE-10]]))</calculatedColumnFormula>
    </tableColumn>
    <tableColumn id="4" xr3:uid="{ADDEF514-868E-478E-A391-B117B8CBE49C}" name="D3" dataDxfId="312">
      <calculatedColumnFormula>IF($B$2="(Todas)",COUNTIF(BASE[CODCIE104],GUIA_NACIONAL_2022_1106128105168162225[[#This Row],[CIE-10]]),COUNTIFS(BASE[Cod.Establecimiento],$B$2,BASE[CODCIE104],GUIA_NACIONAL_2022_1106128105168162225[[#This Row],[CIE-10]]))</calculatedColumnFormula>
    </tableColumn>
    <tableColumn id="5" xr3:uid="{5A3CE405-18C6-4EEB-9DD5-4F4C515B07C3}" name="D4" dataDxfId="311">
      <calculatedColumnFormula>IF($B$2="(Todas)",COUNTIF(BASE[CODCIE106],GUIA_NACIONAL_2022_1106128105168162225[[#This Row],[CIE-10]]),COUNTIFS(BASE[Cod.Establecimiento],$B$2,BASE[CODCIE106],GUIA_NACIONAL_2022_1106128105168162225[[#This Row],[CIE-10]]))</calculatedColumnFormula>
    </tableColumn>
    <tableColumn id="6" xr3:uid="{921D39DB-72EA-4EA2-8959-33C891818622}" name="D5" dataDxfId="310">
      <calculatedColumnFormula>IF($B$2="(Todas)",COUNTIF(BASE[CODCIE108],GUIA_NACIONAL_2022_1106128105168162225[[#This Row],[CIE-10]]),COUNTIFS(BASE[Cod.Establecimiento],$B$2,BASE[CODCIE108],GUIA_NACIONAL_2022_1106128105168162225[[#This Row],[CIE-10]]))</calculatedColumnFormula>
    </tableColumn>
    <tableColumn id="7" xr3:uid="{AE4D7DC0-88DC-41C1-B068-62C98F089688}" name="D6" dataDxfId="309">
      <calculatedColumnFormula>IF($B$2="(Todas)",COUNTIF(BASE[CODCIE1010],GUIA_NACIONAL_2022_1106128105168162225[[#This Row],[CIE-10]]),COUNTIFS(BASE[Cod.Establecimiento],$B$2,BASE[CODCIE1010],GUIA_NACIONAL_2022_1106128105168162225[[#This Row],[CIE-10]]))</calculatedColumnFormula>
    </tableColumn>
    <tableColumn id="8" xr3:uid="{A4C09E84-45E0-4859-8DAF-13BF06C0045F}" name="TOT" dataDxfId="308" dataCellStyle="40% - Énfasis6">
      <calculatedColumnFormula>SUM(GUIA_NACIONAL_2022_1106128105168162225[[#This Row],[D1]:[D6]])</calculatedColumnFormula>
    </tableColumn>
  </tableColumns>
  <tableStyleInfo name="TableStyleLight12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78EAC89A-E7CE-4B03-8301-CB71DB4739A1}" name="GUIA_NACIONAL_2022_1106128105107110207214216221222223224226" displayName="GUIA_NACIONAL_2022_1106128105107110207214216221222223224226" ref="BF59:BM60" totalsRowShown="0" headerRowDxfId="307">
  <tableColumns count="8">
    <tableColumn id="1" xr3:uid="{8C8975C2-8AD7-4456-980D-AAAD64347CFB}" name="CIE-10" dataCellStyle="20% - Énfasis4"/>
    <tableColumn id="2" xr3:uid="{88419812-E88B-4905-85A2-32F17895F471}" name="D1" dataDxfId="306">
      <calculatedColumnFormula>IF($B$2="(Todas)",COUNTIF(BASE[CODCIE10],GUIA_NACIONAL_2022_1106128105107110207214216221222223224226[[#This Row],[CIE-10]]),COUNTIFS(BASE[Cod.Establecimiento],$B$2,BASE[CODCIE10],GUIA_NACIONAL_2022_1106128105107110207214216221222223224226[[#This Row],[CIE-10]]))</calculatedColumnFormula>
    </tableColumn>
    <tableColumn id="3" xr3:uid="{95C6F278-4DAD-45DA-AD52-5452AF29E649}" name="D2" dataDxfId="305">
      <calculatedColumnFormula>IF($B$2="(Todas)",COUNTIF(BASE[CODCIE102],GUIA_NACIONAL_2022_1106128105107110207214216221222223224226[[#This Row],[CIE-10]]),COUNTIFS(BASE[Cod.Establecimiento],$B$2,BASE[CODCIE102],GUIA_NACIONAL_2022_1106128105107110207214216221222223224226[[#This Row],[CIE-10]]))</calculatedColumnFormula>
    </tableColumn>
    <tableColumn id="4" xr3:uid="{3E7CF054-3D75-4BF8-92E2-E350D41ACF36}" name="D3" dataDxfId="304">
      <calculatedColumnFormula>IF($B$2="(Todas)",COUNTIF(BASE[CODCIE104],GUIA_NACIONAL_2022_1106128105107110207214216221222223224226[[#This Row],[CIE-10]]),COUNTIFS(BASE[Cod.Establecimiento],$B$2,BASE[CODCIE104],GUIA_NACIONAL_2022_1106128105107110207214216221222223224226[[#This Row],[CIE-10]]))</calculatedColumnFormula>
    </tableColumn>
    <tableColumn id="5" xr3:uid="{3D649E6B-183B-48F3-BC8D-440341047EAC}" name="D4" dataDxfId="303">
      <calculatedColumnFormula>IF($B$2="(Todas)",COUNTIF(BASE[CODCIE106],GUIA_NACIONAL_2022_1106128105107110207214216221222223224226[[#This Row],[CIE-10]]),COUNTIFS(BASE[Cod.Establecimiento],$B$2,BASE[CODCIE106],GUIA_NACIONAL_2022_1106128105107110207214216221222223224226[[#This Row],[CIE-10]]))</calculatedColumnFormula>
    </tableColumn>
    <tableColumn id="6" xr3:uid="{57D8DB24-20AB-49D7-A513-8CDB61566872}" name="D5" dataDxfId="302">
      <calculatedColumnFormula>IF($B$2="(Todas)",COUNTIF(BASE[CODCIE108],GUIA_NACIONAL_2022_1106128105107110207214216221222223224226[[#This Row],[CIE-10]]),COUNTIFS(BASE[Cod.Establecimiento],$B$2,BASE[CODCIE108],GUIA_NACIONAL_2022_1106128105107110207214216221222223224226[[#This Row],[CIE-10]]))</calculatedColumnFormula>
    </tableColumn>
    <tableColumn id="7" xr3:uid="{FFD1D546-D150-45FE-A013-5D4062968EAF}" name="D6" dataDxfId="301">
      <calculatedColumnFormula>IF($B$2="(Todas)",COUNTIF(BASE[CODCIE1010],GUIA_NACIONAL_2022_1106128105107110207214216221222223224226[[#This Row],[CIE-10]]),COUNTIFS(BASE[Cod.Establecimiento],$B$2,BASE[CODCIE1010],GUIA_NACIONAL_2022_1106128105107110207214216221222223224226[[#This Row],[CIE-10]]))</calculatedColumnFormula>
    </tableColumn>
    <tableColumn id="8" xr3:uid="{5D9B7B2F-662E-471B-973E-BD2C0CBA76EA}" name="TOT" dataDxfId="300" dataCellStyle="40% - Énfasis6">
      <calculatedColumnFormula>SUM(GUIA_NACIONAL_2022_1106128105107110207214216221222223224226[[#This Row],[D1]:[D6]])</calculatedColumnFormula>
    </tableColumn>
  </tableColumns>
  <tableStyleInfo name="TableStyleLight12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8BA7C342-1CA2-45E3-BEA4-9219A0CC387E}" name="GUIA_NACIONAL_2022_1106128105107110207214216221222223224226227" displayName="GUIA_NACIONAL_2022_1106128105107110207214216221222223224226227" ref="BF62:BM67" totalsRowShown="0" headerRowDxfId="299">
  <tableColumns count="8">
    <tableColumn id="1" xr3:uid="{B2D9A653-61A7-4544-BB0E-133676EBCDDE}" name="CIE-10" dataCellStyle="20% - Énfasis4"/>
    <tableColumn id="2" xr3:uid="{49658863-7264-4FDE-B797-A1ECAF4BF609}" name="D1" dataDxfId="298">
      <calculatedColumnFormula>IF($B$2="(Todas)",COUNTIF(BASE[CODCIE10],GUIA_NACIONAL_2022_1106128105107110207214216221222223224226227[[#This Row],[CIE-10]]),COUNTIFS(BASE[Cod.Establecimiento],$B$2,BASE[CODCIE10],GUIA_NACIONAL_2022_1106128105107110207214216221222223224226227[[#This Row],[CIE-10]]))</calculatedColumnFormula>
    </tableColumn>
    <tableColumn id="3" xr3:uid="{510374EA-4285-4066-BF1C-BA6E1D32F30D}" name="D2" dataDxfId="297">
      <calculatedColumnFormula>IF($B$2="(Todas)",COUNTIF(BASE[CODCIE102],GUIA_NACIONAL_2022_1106128105107110207214216221222223224226227[[#This Row],[CIE-10]]),COUNTIFS(BASE[Cod.Establecimiento],$B$2,BASE[CODCIE102],GUIA_NACIONAL_2022_1106128105107110207214216221222223224226227[[#This Row],[CIE-10]]))</calculatedColumnFormula>
    </tableColumn>
    <tableColumn id="4" xr3:uid="{434A4143-8B83-4290-98BA-8261B1E18BA1}" name="D3" dataDxfId="296">
      <calculatedColumnFormula>IF($B$2="(Todas)",COUNTIF(BASE[CODCIE104],GUIA_NACIONAL_2022_1106128105107110207214216221222223224226227[[#This Row],[CIE-10]]),COUNTIFS(BASE[Cod.Establecimiento],$B$2,BASE[CODCIE104],GUIA_NACIONAL_2022_1106128105107110207214216221222223224226227[[#This Row],[CIE-10]]))</calculatedColumnFormula>
    </tableColumn>
    <tableColumn id="5" xr3:uid="{0732A963-448D-425F-A4D7-3E0F38F5379B}" name="D4" dataDxfId="295">
      <calculatedColumnFormula>IF($B$2="(Todas)",COUNTIF(BASE[CODCIE106],GUIA_NACIONAL_2022_1106128105107110207214216221222223224226227[[#This Row],[CIE-10]]),COUNTIFS(BASE[Cod.Establecimiento],$B$2,BASE[CODCIE106],GUIA_NACIONAL_2022_1106128105107110207214216221222223224226227[[#This Row],[CIE-10]]))</calculatedColumnFormula>
    </tableColumn>
    <tableColumn id="6" xr3:uid="{6B4F7ACC-A03A-43D2-82AF-4CEB60A08041}" name="D5" dataDxfId="294">
      <calculatedColumnFormula>IF($B$2="(Todas)",COUNTIF(BASE[CODCIE108],GUIA_NACIONAL_2022_1106128105107110207214216221222223224226227[[#This Row],[CIE-10]]),COUNTIFS(BASE[Cod.Establecimiento],$B$2,BASE[CODCIE108],GUIA_NACIONAL_2022_1106128105107110207214216221222223224226227[[#This Row],[CIE-10]]))</calculatedColumnFormula>
    </tableColumn>
    <tableColumn id="7" xr3:uid="{3C5F4055-2E52-45B8-B11A-08D5ABD1DE88}" name="D6" dataDxfId="293">
      <calculatedColumnFormula>IF($B$2="(Todas)",COUNTIF(BASE[CODCIE1010],GUIA_NACIONAL_2022_1106128105107110207214216221222223224226227[[#This Row],[CIE-10]]),COUNTIFS(BASE[Cod.Establecimiento],$B$2,BASE[CODCIE1010],GUIA_NACIONAL_2022_1106128105107110207214216221222223224226227[[#This Row],[CIE-10]]))</calculatedColumnFormula>
    </tableColumn>
    <tableColumn id="8" xr3:uid="{32ADBAFC-F1CE-42C5-A4C6-B0391C5B7B31}" name="TOT" dataDxfId="292" dataCellStyle="40% - Énfasis6">
      <calculatedColumnFormula>SUM(GUIA_NACIONAL_2022_1106128105107110207214216221222223224226227[[#This Row],[D1]:[D6]])</calculatedColumnFormula>
    </tableColumn>
  </tableColumns>
  <tableStyleInfo name="TableStyleLight12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9EE459D5-8436-4B57-BC83-90AA0CCEA703}" name="GUIA_NACIONAL_2022_1106128105107110207214216221222223224226228" displayName="GUIA_NACIONAL_2022_1106128105107110207214216221222223224226228" ref="BF69:BM70" totalsRowShown="0" headerRowDxfId="291">
  <tableColumns count="8">
    <tableColumn id="1" xr3:uid="{FF0BDB1E-7BA5-4E6C-9836-EF219F19A2CC}" name="CIE-10" dataCellStyle="20% - Énfasis4"/>
    <tableColumn id="2" xr3:uid="{2284D742-F25F-49C9-9CC3-E9CB37A07D61}" name="D1" dataDxfId="290">
      <calculatedColumnFormula>IF($B$2="(Todas)",COUNTIF(BASE[CODCIE10],GUIA_NACIONAL_2022_1106128105107110207214216221222223224226228[[#This Row],[CIE-10]]),COUNTIFS(BASE[Cod.Establecimiento],$B$2,BASE[CODCIE10],GUIA_NACIONAL_2022_1106128105107110207214216221222223224226228[[#This Row],[CIE-10]]))</calculatedColumnFormula>
    </tableColumn>
    <tableColumn id="3" xr3:uid="{FE588A4B-02BA-493B-AF19-A3F127C162C2}" name="D2" dataDxfId="289">
      <calculatedColumnFormula>IF($B$2="(Todas)",COUNTIF(BASE[CODCIE102],GUIA_NACIONAL_2022_1106128105107110207214216221222223224226228[[#This Row],[CIE-10]]),COUNTIFS(BASE[Cod.Establecimiento],$B$2,BASE[CODCIE102],GUIA_NACIONAL_2022_1106128105107110207214216221222223224226228[[#This Row],[CIE-10]]))</calculatedColumnFormula>
    </tableColumn>
    <tableColumn id="4" xr3:uid="{F6C9F278-8C2E-4DD1-BA8B-2CA6E9EE74E5}" name="D3" dataDxfId="288">
      <calculatedColumnFormula>IF($B$2="(Todas)",COUNTIF(BASE[CODCIE104],GUIA_NACIONAL_2022_1106128105107110207214216221222223224226228[[#This Row],[CIE-10]]),COUNTIFS(BASE[Cod.Establecimiento],$B$2,BASE[CODCIE104],GUIA_NACIONAL_2022_1106128105107110207214216221222223224226228[[#This Row],[CIE-10]]))</calculatedColumnFormula>
    </tableColumn>
    <tableColumn id="5" xr3:uid="{245E478F-26B7-4CD6-8DC4-BCE670EC758C}" name="D4" dataDxfId="287">
      <calculatedColumnFormula>IF($B$2="(Todas)",COUNTIF(BASE[CODCIE106],GUIA_NACIONAL_2022_1106128105107110207214216221222223224226228[[#This Row],[CIE-10]]),COUNTIFS(BASE[Cod.Establecimiento],$B$2,BASE[CODCIE106],GUIA_NACIONAL_2022_1106128105107110207214216221222223224226228[[#This Row],[CIE-10]]))</calculatedColumnFormula>
    </tableColumn>
    <tableColumn id="6" xr3:uid="{2D10C4EA-AC34-4EAA-93F0-42A7610BE89C}" name="D5" dataDxfId="286">
      <calculatedColumnFormula>IF($B$2="(Todas)",COUNTIF(BASE[CODCIE108],GUIA_NACIONAL_2022_1106128105107110207214216221222223224226228[[#This Row],[CIE-10]]),COUNTIFS(BASE[Cod.Establecimiento],$B$2,BASE[CODCIE108],GUIA_NACIONAL_2022_1106128105107110207214216221222223224226228[[#This Row],[CIE-10]]))</calculatedColumnFormula>
    </tableColumn>
    <tableColumn id="7" xr3:uid="{0BFF844E-F502-4C82-A4FD-D466980E9FC2}" name="D6" dataDxfId="285">
      <calculatedColumnFormula>IF($B$2="(Todas)",COUNTIF(BASE[CODCIE1010],GUIA_NACIONAL_2022_1106128105107110207214216221222223224226228[[#This Row],[CIE-10]]),COUNTIFS(BASE[Cod.Establecimiento],$B$2,BASE[CODCIE1010],GUIA_NACIONAL_2022_1106128105107110207214216221222223224226228[[#This Row],[CIE-10]]))</calculatedColumnFormula>
    </tableColumn>
    <tableColumn id="8" xr3:uid="{FD66F3CF-555B-4E1A-80C7-71BE7E72F755}" name="TOT" dataDxfId="284" dataCellStyle="40% - Énfasis6">
      <calculatedColumnFormula>SUM(GUIA_NACIONAL_2022_1106128105107110207214216221222223224226228[[#This Row],[D1]:[D6]])</calculatedColumnFormula>
    </tableColumn>
  </tableColumns>
  <tableStyleInfo name="TableStyleLight12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831BB89D-E7AF-4C4D-8DFF-280A52EF2901}" name="GUIA_NACIONAL_2022_1106128105107110207214216221222223224226228229" displayName="GUIA_NACIONAL_2022_1106128105107110207214216221222223224226228229" ref="BF72:BM73" totalsRowShown="0" headerRowDxfId="283">
  <tableColumns count="8">
    <tableColumn id="1" xr3:uid="{7A8A1C5C-B47F-4366-98A0-200B3BC445F4}" name="CIE-10" dataCellStyle="20% - Énfasis4"/>
    <tableColumn id="2" xr3:uid="{3FDD53D7-F4EC-4074-8E7D-05EB20140876}" name="D1" dataDxfId="282">
      <calculatedColumnFormula>IF($B$2="(Todas)",COUNTIF(BASE[CODCIE10],GUIA_NACIONAL_2022_1106128105107110207214216221222223224226228229[[#This Row],[CIE-10]]),COUNTIFS(BASE[Cod.Establecimiento],$B$2,BASE[CODCIE10],GUIA_NACIONAL_2022_1106128105107110207214216221222223224226228229[[#This Row],[CIE-10]]))</calculatedColumnFormula>
    </tableColumn>
    <tableColumn id="3" xr3:uid="{DDD5D7B2-7A6F-4C4D-9A0F-A3DC4857C6A1}" name="D2" dataDxfId="281">
      <calculatedColumnFormula>IF($B$2="(Todas)",COUNTIF(BASE[CODCIE102],GUIA_NACIONAL_2022_1106128105107110207214216221222223224226228229[[#This Row],[CIE-10]]),COUNTIFS(BASE[Cod.Establecimiento],$B$2,BASE[CODCIE102],GUIA_NACIONAL_2022_1106128105107110207214216221222223224226228229[[#This Row],[CIE-10]]))</calculatedColumnFormula>
    </tableColumn>
    <tableColumn id="4" xr3:uid="{6F03A4D9-96F6-43A6-B8BC-DD10EB69D24A}" name="D3" dataDxfId="280">
      <calculatedColumnFormula>IF($B$2="(Todas)",COUNTIF(BASE[CODCIE104],GUIA_NACIONAL_2022_1106128105107110207214216221222223224226228229[[#This Row],[CIE-10]]),COUNTIFS(BASE[Cod.Establecimiento],$B$2,BASE[CODCIE104],GUIA_NACIONAL_2022_1106128105107110207214216221222223224226228229[[#This Row],[CIE-10]]))</calculatedColumnFormula>
    </tableColumn>
    <tableColumn id="5" xr3:uid="{E488539F-2F0A-4A39-8D74-A36E30AA7182}" name="D4" dataDxfId="279">
      <calculatedColumnFormula>IF($B$2="(Todas)",COUNTIF(BASE[CODCIE106],GUIA_NACIONAL_2022_1106128105107110207214216221222223224226228229[[#This Row],[CIE-10]]),COUNTIFS(BASE[Cod.Establecimiento],$B$2,BASE[CODCIE106],GUIA_NACIONAL_2022_1106128105107110207214216221222223224226228229[[#This Row],[CIE-10]]))</calculatedColumnFormula>
    </tableColumn>
    <tableColumn id="6" xr3:uid="{264C8F18-E879-445F-9D63-8DF1D77D5A26}" name="D5" dataDxfId="278">
      <calculatedColumnFormula>IF($B$2="(Todas)",COUNTIF(BASE[CODCIE108],GUIA_NACIONAL_2022_1106128105107110207214216221222223224226228229[[#This Row],[CIE-10]]),COUNTIFS(BASE[Cod.Establecimiento],$B$2,BASE[CODCIE108],GUIA_NACIONAL_2022_1106128105107110207214216221222223224226228229[[#This Row],[CIE-10]]))</calculatedColumnFormula>
    </tableColumn>
    <tableColumn id="7" xr3:uid="{10E189A5-BBDB-4688-844F-5A8C12223D27}" name="D6" dataDxfId="277">
      <calculatedColumnFormula>IF($B$2="(Todas)",COUNTIF(BASE[CODCIE1010],GUIA_NACIONAL_2022_1106128105107110207214216221222223224226228229[[#This Row],[CIE-10]]),COUNTIFS(BASE[Cod.Establecimiento],$B$2,BASE[CODCIE1010],GUIA_NACIONAL_2022_1106128105107110207214216221222223224226228229[[#This Row],[CIE-10]]))</calculatedColumnFormula>
    </tableColumn>
    <tableColumn id="8" xr3:uid="{C3AE0300-F7B6-4130-9E14-D1631937B79A}" name="TOT" dataDxfId="276" dataCellStyle="40% - Énfasis6">
      <calculatedColumnFormula>SUM(GUIA_NACIONAL_2022_1106128105107110207214216221222223224226228229[[#This Row],[D1]:[D6]])</calculatedColumnFormula>
    </tableColumn>
  </tableColumns>
  <tableStyleInfo name="TableStyleLight12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CAE97771-D40D-4306-95F0-4683B872F7E9}" name="GUIA_NACIONAL_2022_1106128105107110207214216221222223224226228230" displayName="GUIA_NACIONAL_2022_1106128105107110207214216221222223224226228230" ref="BF75:BM76" totalsRowShown="0" headerRowDxfId="275">
  <tableColumns count="8">
    <tableColumn id="1" xr3:uid="{0C82E2D5-11BD-4A0D-A560-E155A1BE7B69}" name="CIE-10" dataCellStyle="20% - Énfasis4"/>
    <tableColumn id="2" xr3:uid="{49B280B8-9DDF-4F3D-98F1-0EB1EF3E19CA}" name="D1" dataDxfId="274">
      <calculatedColumnFormula>IF($B$2="(Todas)",COUNTIF(BASE[CODCIE10],GUIA_NACIONAL_2022_1106128105107110207214216221222223224226228230[[#This Row],[CIE-10]]),COUNTIFS(BASE[Cod.Establecimiento],$B$2,BASE[CODCIE10],GUIA_NACIONAL_2022_1106128105107110207214216221222223224226228230[[#This Row],[CIE-10]]))</calculatedColumnFormula>
    </tableColumn>
    <tableColumn id="3" xr3:uid="{ABBFA075-39D5-45F3-B9B2-1945463E8A7E}" name="D2" dataDxfId="273">
      <calculatedColumnFormula>IF($B$2="(Todas)",COUNTIF(BASE[CODCIE102],GUIA_NACIONAL_2022_1106128105107110207214216221222223224226228230[[#This Row],[CIE-10]]),COUNTIFS(BASE[Cod.Establecimiento],$B$2,BASE[CODCIE102],GUIA_NACIONAL_2022_1106128105107110207214216221222223224226228230[[#This Row],[CIE-10]]))</calculatedColumnFormula>
    </tableColumn>
    <tableColumn id="4" xr3:uid="{C5F50307-2AB9-43E4-80D4-FB9B4A2025C3}" name="D3" dataDxfId="272">
      <calculatedColumnFormula>IF($B$2="(Todas)",COUNTIF(BASE[CODCIE104],GUIA_NACIONAL_2022_1106128105107110207214216221222223224226228230[[#This Row],[CIE-10]]),COUNTIFS(BASE[Cod.Establecimiento],$B$2,BASE[CODCIE104],GUIA_NACIONAL_2022_1106128105107110207214216221222223224226228230[[#This Row],[CIE-10]]))</calculatedColumnFormula>
    </tableColumn>
    <tableColumn id="5" xr3:uid="{CF5E6537-38CC-41D2-B9AD-DB2B5F06AE23}" name="D4" dataDxfId="271">
      <calculatedColumnFormula>IF($B$2="(Todas)",COUNTIF(BASE[CODCIE106],GUIA_NACIONAL_2022_1106128105107110207214216221222223224226228230[[#This Row],[CIE-10]]),COUNTIFS(BASE[Cod.Establecimiento],$B$2,BASE[CODCIE106],GUIA_NACIONAL_2022_1106128105107110207214216221222223224226228230[[#This Row],[CIE-10]]))</calculatedColumnFormula>
    </tableColumn>
    <tableColumn id="6" xr3:uid="{78B16BD3-48F8-4F5B-B622-F8E1EA370F24}" name="D5" dataDxfId="270">
      <calculatedColumnFormula>IF($B$2="(Todas)",COUNTIF(BASE[CODCIE108],GUIA_NACIONAL_2022_1106128105107110207214216221222223224226228230[[#This Row],[CIE-10]]),COUNTIFS(BASE[Cod.Establecimiento],$B$2,BASE[CODCIE108],GUIA_NACIONAL_2022_1106128105107110207214216221222223224226228230[[#This Row],[CIE-10]]))</calculatedColumnFormula>
    </tableColumn>
    <tableColumn id="7" xr3:uid="{DCB86767-AC82-4E77-9B5A-55CFFA48E6A8}" name="D6" dataDxfId="269">
      <calculatedColumnFormula>IF($B$2="(Todas)",COUNTIF(BASE[CODCIE1010],GUIA_NACIONAL_2022_1106128105107110207214216221222223224226228230[[#This Row],[CIE-10]]),COUNTIFS(BASE[Cod.Establecimiento],$B$2,BASE[CODCIE1010],GUIA_NACIONAL_2022_1106128105107110207214216221222223224226228230[[#This Row],[CIE-10]]))</calculatedColumnFormula>
    </tableColumn>
    <tableColumn id="8" xr3:uid="{4C998B23-32C5-417D-B7A5-0EEE28904558}" name="TOT" dataDxfId="268" dataCellStyle="40% - Énfasis6">
      <calculatedColumnFormula>SUM(GUIA_NACIONAL_2022_1106128105107110207214216221222223224226228230[[#This Row],[D1]:[D6]])</calculatedColumnFormula>
    </tableColumn>
  </tableColumns>
  <tableStyleInfo name="TableStyleLight12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356327F7-92A5-4D4C-B920-30A2891B33E5}" name="GUIA_NACIONAL_2022_1106128105107110207210231" displayName="GUIA_NACIONAL_2022_1106128105107110207210231" ref="BO7:BV8" totalsRowShown="0" headerRowDxfId="267">
  <tableColumns count="8">
    <tableColumn id="1" xr3:uid="{066779C6-11AE-47BE-9AD8-17218BA9446B}" name="CIE-10" dataCellStyle="20% - Énfasis4"/>
    <tableColumn id="2" xr3:uid="{7A52FDC6-9BA3-4CE5-B833-29A19C582E97}" name="D1" dataDxfId="266">
      <calculatedColumnFormula>IF($B$2="(Todas)",COUNTIF(BASE[CODCIE10],GUIA_NACIONAL_2022_1106128105107110207210231[[#This Row],[CIE-10]]),COUNTIFS(BASE[Cod.Establecimiento],$B$2,BASE[CODCIE10],GUIA_NACIONAL_2022_1106128105107110207210231[[#This Row],[CIE-10]]))</calculatedColumnFormula>
    </tableColumn>
    <tableColumn id="3" xr3:uid="{36BA8BBD-5838-488B-BB8B-60927FE6FFFD}" name="D2" dataDxfId="265">
      <calculatedColumnFormula>IF($B$2="(Todas)",COUNTIF(BASE[CODCIE102],GUIA_NACIONAL_2022_1106128105107110207210231[[#This Row],[CIE-10]]),COUNTIFS(BASE[Cod.Establecimiento],$B$2,BASE[CODCIE102],GUIA_NACIONAL_2022_1106128105107110207210231[[#This Row],[CIE-10]]))</calculatedColumnFormula>
    </tableColumn>
    <tableColumn id="4" xr3:uid="{C35C54F9-5257-4465-8614-2E0B41A0E3E0}" name="D3" dataDxfId="264">
      <calculatedColumnFormula>IF($B$2="(Todas)",COUNTIF(BASE[CODCIE104],GUIA_NACIONAL_2022_1106128105107110207210231[[#This Row],[CIE-10]]),COUNTIFS(BASE[Cod.Establecimiento],$B$2,BASE[CODCIE104],GUIA_NACIONAL_2022_1106128105107110207210231[[#This Row],[CIE-10]]))</calculatedColumnFormula>
    </tableColumn>
    <tableColumn id="5" xr3:uid="{1D9C3D38-0E75-4480-ADE8-39E6872694E1}" name="D4" dataDxfId="263">
      <calculatedColumnFormula>IF($B$2="(Todas)",COUNTIF(BASE[CODCIE106],GUIA_NACIONAL_2022_1106128105107110207210231[[#This Row],[CIE-10]]),COUNTIFS(BASE[Cod.Establecimiento],$B$2,BASE[CODCIE106],GUIA_NACIONAL_2022_1106128105107110207210231[[#This Row],[CIE-10]]))</calculatedColumnFormula>
    </tableColumn>
    <tableColumn id="6" xr3:uid="{87FA66BD-8C13-46AB-BE2D-732D2E5F7C63}" name="D5" dataDxfId="262">
      <calculatedColumnFormula>IF($B$2="(Todas)",COUNTIF(BASE[CODCIE108],GUIA_NACIONAL_2022_1106128105107110207210231[[#This Row],[CIE-10]]),COUNTIFS(BASE[Cod.Establecimiento],$B$2,BASE[CODCIE108],GUIA_NACIONAL_2022_1106128105107110207210231[[#This Row],[CIE-10]]))</calculatedColumnFormula>
    </tableColumn>
    <tableColumn id="7" xr3:uid="{9580C85C-CEB5-439D-9F7C-5BA2692985E7}" name="D6" dataDxfId="261">
      <calculatedColumnFormula>IF($B$2="(Todas)",COUNTIF(BASE[CODCIE1010],GUIA_NACIONAL_2022_1106128105107110207210231[[#This Row],[CIE-10]]),COUNTIFS(BASE[Cod.Establecimiento],$B$2,BASE[CODCIE1010],GUIA_NACIONAL_2022_1106128105107110207210231[[#This Row],[CIE-10]]))</calculatedColumnFormula>
    </tableColumn>
    <tableColumn id="8" xr3:uid="{08E3BAA4-3648-4CF9-9044-1521AE955C24}" name="TOT" dataDxfId="260" dataCellStyle="40% - Énfasis6">
      <calculatedColumnFormula>SUM(GUIA_NACIONAL_2022_1106128105107110207210231[[#This Row],[D1]:[D6]])</calculatedColumnFormula>
    </tableColumn>
  </tableColumns>
  <tableStyleInfo name="TableStyleLight12"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4282E214-01CD-4191-816F-F493B691ACAF}" name="GUIA_NACIONAL_2022_1106128105107110207210231232" displayName="GUIA_NACIONAL_2022_1106128105107110207210231232" ref="BO10:BV11" totalsRowShown="0" headerRowDxfId="259">
  <tableColumns count="8">
    <tableColumn id="1" xr3:uid="{7C0659D3-8C52-4928-84E9-E2B209CDE5FE}" name="CIE-10" dataCellStyle="20% - Énfasis4"/>
    <tableColumn id="2" xr3:uid="{269253D5-7E96-48B9-ADE1-89B8B7E78243}" name="D1" dataDxfId="258">
      <calculatedColumnFormula>IF($B$2="(Todas)",COUNTIF(BASE[CODCIE10],GUIA_NACIONAL_2022_1106128105107110207210231232[[#This Row],[CIE-10]]),COUNTIFS(BASE[Cod.Establecimiento],$B$2,BASE[CODCIE10],GUIA_NACIONAL_2022_1106128105107110207210231232[[#This Row],[CIE-10]]))</calculatedColumnFormula>
    </tableColumn>
    <tableColumn id="3" xr3:uid="{B253AAEB-E92F-41C2-B180-E30FA0BB2A12}" name="D2" dataDxfId="257">
      <calculatedColumnFormula>IF($B$2="(Todas)",COUNTIF(BASE[CODCIE102],GUIA_NACIONAL_2022_1106128105107110207210231232[[#This Row],[CIE-10]]),COUNTIFS(BASE[Cod.Establecimiento],$B$2,BASE[CODCIE102],GUIA_NACIONAL_2022_1106128105107110207210231232[[#This Row],[CIE-10]]))</calculatedColumnFormula>
    </tableColumn>
    <tableColumn id="4" xr3:uid="{2FFAAEA2-444C-4160-B2AC-E1DB3F760458}" name="D3" dataDxfId="256">
      <calculatedColumnFormula>IF($B$2="(Todas)",COUNTIF(BASE[CODCIE104],GUIA_NACIONAL_2022_1106128105107110207210231232[[#This Row],[CIE-10]]),COUNTIFS(BASE[Cod.Establecimiento],$B$2,BASE[CODCIE104],GUIA_NACIONAL_2022_1106128105107110207210231232[[#This Row],[CIE-10]]))</calculatedColumnFormula>
    </tableColumn>
    <tableColumn id="5" xr3:uid="{233808BD-5F85-40B1-9915-456166EEE5DF}" name="D4" dataDxfId="255">
      <calculatedColumnFormula>IF($B$2="(Todas)",COUNTIF(BASE[CODCIE106],GUIA_NACIONAL_2022_1106128105107110207210231232[[#This Row],[CIE-10]]),COUNTIFS(BASE[Cod.Establecimiento],$B$2,BASE[CODCIE106],GUIA_NACIONAL_2022_1106128105107110207210231232[[#This Row],[CIE-10]]))</calculatedColumnFormula>
    </tableColumn>
    <tableColumn id="6" xr3:uid="{8A6566AE-E807-46C9-A5A4-FA32800DE035}" name="D5" dataDxfId="254">
      <calculatedColumnFormula>IF($B$2="(Todas)",COUNTIF(BASE[CODCIE108],GUIA_NACIONAL_2022_1106128105107110207210231232[[#This Row],[CIE-10]]),COUNTIFS(BASE[Cod.Establecimiento],$B$2,BASE[CODCIE108],GUIA_NACIONAL_2022_1106128105107110207210231232[[#This Row],[CIE-10]]))</calculatedColumnFormula>
    </tableColumn>
    <tableColumn id="7" xr3:uid="{CAE1FAC7-F547-4634-87F4-C514E02A196F}" name="D6" dataDxfId="253">
      <calculatedColumnFormula>IF($B$2="(Todas)",COUNTIF(BASE[CODCIE1010],GUIA_NACIONAL_2022_1106128105107110207210231232[[#This Row],[CIE-10]]),COUNTIFS(BASE[Cod.Establecimiento],$B$2,BASE[CODCIE1010],GUIA_NACIONAL_2022_1106128105107110207210231232[[#This Row],[CIE-10]]))</calculatedColumnFormula>
    </tableColumn>
    <tableColumn id="8" xr3:uid="{63AA91FD-37BB-4B80-907A-91CEA0F809C1}" name="TOT" dataDxfId="252" dataCellStyle="40% - Énfasis6">
      <calculatedColumnFormula>SUM(GUIA_NACIONAL_2022_1106128105107110207210231232[[#This Row],[D1]:[D6]])</calculatedColumnFormula>
    </tableColumn>
  </tableColumns>
  <tableStyleInfo name="TableStyleLight12"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7D8CF619-6F46-41F1-8EDC-ED7FD36157BB}" name="GUIA_NACIONAL_2022_1106128105107110207210231232234" displayName="GUIA_NACIONAL_2022_1106128105107110207210231232234" ref="BO14:BV24" totalsRowShown="0" headerRowDxfId="251">
  <tableColumns count="8">
    <tableColumn id="1" xr3:uid="{D43E2FCC-83B2-47C0-B20E-BE9F72ABF6CB}" name="CIE-10" dataCellStyle="20% - Énfasis4"/>
    <tableColumn id="2" xr3:uid="{33109BB2-0C0C-4436-A5EC-D69B3A224DE5}" name="D1" dataDxfId="250">
      <calculatedColumnFormula>IF($B$2="(Todas)",COUNTIF(BASE[CODCIE10],GUIA_NACIONAL_2022_1106128105107110207210231232234[[#This Row],[CIE-10]]),COUNTIFS(BASE[Cod.Establecimiento],$B$2,BASE[CODCIE10],GUIA_NACIONAL_2022_1106128105107110207210231232234[[#This Row],[CIE-10]]))</calculatedColumnFormula>
    </tableColumn>
    <tableColumn id="3" xr3:uid="{08A16DA9-F7C8-4093-8259-B186DE12D027}" name="D2" dataDxfId="249">
      <calculatedColumnFormula>IF($B$2="(Todas)",COUNTIF(BASE[CODCIE102],GUIA_NACIONAL_2022_1106128105107110207210231232234[[#This Row],[CIE-10]]),COUNTIFS(BASE[Cod.Establecimiento],$B$2,BASE[CODCIE102],GUIA_NACIONAL_2022_1106128105107110207210231232234[[#This Row],[CIE-10]]))</calculatedColumnFormula>
    </tableColumn>
    <tableColumn id="4" xr3:uid="{64D3D848-C80F-4D96-BD33-66AC584D5DB7}" name="D3" dataDxfId="248">
      <calculatedColumnFormula>IF($B$2="(Todas)",COUNTIF(BASE[CODCIE104],GUIA_NACIONAL_2022_1106128105107110207210231232234[[#This Row],[CIE-10]]),COUNTIFS(BASE[Cod.Establecimiento],$B$2,BASE[CODCIE104],GUIA_NACIONAL_2022_1106128105107110207210231232234[[#This Row],[CIE-10]]))</calculatedColumnFormula>
    </tableColumn>
    <tableColumn id="5" xr3:uid="{F37881A7-81D6-492C-8184-D94F1859BEEC}" name="D4" dataDxfId="247">
      <calculatedColumnFormula>IF($B$2="(Todas)",COUNTIF(BASE[CODCIE106],GUIA_NACIONAL_2022_1106128105107110207210231232234[[#This Row],[CIE-10]]),COUNTIFS(BASE[Cod.Establecimiento],$B$2,BASE[CODCIE106],GUIA_NACIONAL_2022_1106128105107110207210231232234[[#This Row],[CIE-10]]))</calculatedColumnFormula>
    </tableColumn>
    <tableColumn id="6" xr3:uid="{D55AD795-8D60-48CC-AF8D-D9F7DC0751AC}" name="D5" dataDxfId="246">
      <calculatedColumnFormula>IF($B$2="(Todas)",COUNTIF(BASE[CODCIE108],GUIA_NACIONAL_2022_1106128105107110207210231232234[[#This Row],[CIE-10]]),COUNTIFS(BASE[Cod.Establecimiento],$B$2,BASE[CODCIE108],GUIA_NACIONAL_2022_1106128105107110207210231232234[[#This Row],[CIE-10]]))</calculatedColumnFormula>
    </tableColumn>
    <tableColumn id="7" xr3:uid="{0EC38122-99B2-4DE7-ABDB-5C556179093A}" name="D6" dataDxfId="245">
      <calculatedColumnFormula>IF($B$2="(Todas)",COUNTIF(BASE[CODCIE1010],GUIA_NACIONAL_2022_1106128105107110207210231232234[[#This Row],[CIE-10]]),COUNTIFS(BASE[Cod.Establecimiento],$B$2,BASE[CODCIE1010],GUIA_NACIONAL_2022_1106128105107110207210231232234[[#This Row],[CIE-10]]))</calculatedColumnFormula>
    </tableColumn>
    <tableColumn id="8" xr3:uid="{26B53834-AC95-4D92-89FE-5DC1DB605C9E}" name="TOT" dataDxfId="244" dataCellStyle="40% - Énfasis6">
      <calculatedColumnFormula>SUM(GUIA_NACIONAL_2022_1106128105107110207210231232234[[#This Row],[D1]:[D6]])</calculatedColumnFormula>
    </tableColumn>
  </tableColumns>
  <tableStyleInfo name="TableStyleLight12"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F0674BA2-9937-41EE-AC66-A7C57CC2E7F1}" name="GUIA_NACIONAL_2022_1106128105107110207210231232234235" displayName="GUIA_NACIONAL_2022_1106128105107110207210231232234235" ref="BO26:BV37" totalsRowShown="0" headerRowDxfId="243">
  <tableColumns count="8">
    <tableColumn id="1" xr3:uid="{E50E8BCC-1751-479B-8A06-AAAA838AD3A4}" name="CIE-10" dataCellStyle="20% - Énfasis4"/>
    <tableColumn id="2" xr3:uid="{F593A6F5-13F0-4CBD-8E9C-AEA9ED745225}" name="D1" dataDxfId="242">
      <calculatedColumnFormula>IF($B$2="(Todas)",COUNTIF(BASE[CODCIE10],GUIA_NACIONAL_2022_1106128105107110207210231232234235[[#This Row],[CIE-10]]),COUNTIFS(BASE[Cod.Establecimiento],$B$2,BASE[CODCIE10],GUIA_NACIONAL_2022_1106128105107110207210231232234235[[#This Row],[CIE-10]]))</calculatedColumnFormula>
    </tableColumn>
    <tableColumn id="3" xr3:uid="{BF316C85-CE4F-41B6-B6DD-65A95BD54AA9}" name="D2" dataDxfId="241">
      <calculatedColumnFormula>IF($B$2="(Todas)",COUNTIF(BASE[CODCIE102],GUIA_NACIONAL_2022_1106128105107110207210231232234235[[#This Row],[CIE-10]]),COUNTIFS(BASE[Cod.Establecimiento],$B$2,BASE[CODCIE102],GUIA_NACIONAL_2022_1106128105107110207210231232234235[[#This Row],[CIE-10]]))</calculatedColumnFormula>
    </tableColumn>
    <tableColumn id="4" xr3:uid="{141E1507-414D-4085-934A-69C49436C437}" name="D3" dataDxfId="240">
      <calculatedColumnFormula>IF($B$2="(Todas)",COUNTIF(BASE[CODCIE104],GUIA_NACIONAL_2022_1106128105107110207210231232234235[[#This Row],[CIE-10]]),COUNTIFS(BASE[Cod.Establecimiento],$B$2,BASE[CODCIE104],GUIA_NACIONAL_2022_1106128105107110207210231232234235[[#This Row],[CIE-10]]))</calculatedColumnFormula>
    </tableColumn>
    <tableColumn id="5" xr3:uid="{17DF9290-2F6A-4204-B13F-5957B9268A02}" name="D4" dataDxfId="239">
      <calculatedColumnFormula>IF($B$2="(Todas)",COUNTIF(BASE[CODCIE106],GUIA_NACIONAL_2022_1106128105107110207210231232234235[[#This Row],[CIE-10]]),COUNTIFS(BASE[Cod.Establecimiento],$B$2,BASE[CODCIE106],GUIA_NACIONAL_2022_1106128105107110207210231232234235[[#This Row],[CIE-10]]))</calculatedColumnFormula>
    </tableColumn>
    <tableColumn id="6" xr3:uid="{E7D230F9-59C8-4CB4-93E1-9FA9BB7104F0}" name="D5" dataDxfId="238">
      <calculatedColumnFormula>IF($B$2="(Todas)",COUNTIF(BASE[CODCIE108],GUIA_NACIONAL_2022_1106128105107110207210231232234235[[#This Row],[CIE-10]]),COUNTIFS(BASE[Cod.Establecimiento],$B$2,BASE[CODCIE108],GUIA_NACIONAL_2022_1106128105107110207210231232234235[[#This Row],[CIE-10]]))</calculatedColumnFormula>
    </tableColumn>
    <tableColumn id="7" xr3:uid="{8D02D7A7-8A3D-4EB0-87AA-44A4D4E1DDFF}" name="D6" dataDxfId="237">
      <calculatedColumnFormula>IF($B$2="(Todas)",COUNTIF(BASE[CODCIE1010],GUIA_NACIONAL_2022_1106128105107110207210231232234235[[#This Row],[CIE-10]]),COUNTIFS(BASE[Cod.Establecimiento],$B$2,BASE[CODCIE1010],GUIA_NACIONAL_2022_1106128105107110207210231232234235[[#This Row],[CIE-10]]))</calculatedColumnFormula>
    </tableColumn>
    <tableColumn id="8" xr3:uid="{682CCFCE-9E7E-491A-A07B-EE0396F64924}" name="TOT" dataDxfId="236" dataCellStyle="40% - Énfasis6">
      <calculatedColumnFormula>SUM(GUIA_NACIONAL_2022_1106128105107110207210231232234235[[#This Row],[D1]:[D6]])</calculatedColumnFormula>
    </tableColumn>
  </tableColumns>
  <tableStyleInfo name="TableStyleLight12"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16BDD730-3E44-4DA2-9310-7A05F27E80FD}" name="GUIA_NACIONAL_2022_1106128105107110207214216217236" displayName="GUIA_NACIONAL_2022_1106128105107110207214216217236" ref="BO40:BV41" totalsRowShown="0" headerRowDxfId="235">
  <tableColumns count="8">
    <tableColumn id="1" xr3:uid="{D31497DD-C1D2-4F46-BFC8-DDF08417D8FF}" name="CIE-10" dataCellStyle="20% - Énfasis4"/>
    <tableColumn id="2" xr3:uid="{D93A934F-23C7-47C1-BB3C-0F38B61859B5}" name="D1" dataDxfId="234">
      <calculatedColumnFormula>IF($B$2="(Todas)",COUNTIF(BASE[CODCIE10],GUIA_NACIONAL_2022_1106128105107110207214216217236[[#This Row],[CIE-10]]),COUNTIFS(BASE[Cod.Establecimiento],$B$2,BASE[CODCIE10],GUIA_NACIONAL_2022_1106128105107110207214216217236[[#This Row],[CIE-10]]))</calculatedColumnFormula>
    </tableColumn>
    <tableColumn id="3" xr3:uid="{01182926-E289-46D3-B13A-0E902A07CC3A}" name="D2" dataDxfId="233">
      <calculatedColumnFormula>IF($B$2="(Todas)",COUNTIF(BASE[CODCIE102],GUIA_NACIONAL_2022_1106128105107110207214216217236[[#This Row],[CIE-10]]),COUNTIFS(BASE[Cod.Establecimiento],$B$2,BASE[CODCIE102],GUIA_NACIONAL_2022_1106128105107110207214216217236[[#This Row],[CIE-10]]))</calculatedColumnFormula>
    </tableColumn>
    <tableColumn id="4" xr3:uid="{37CF051E-3EA5-4156-807C-E6CA31D7E80D}" name="D3" dataDxfId="232">
      <calculatedColumnFormula>IF($B$2="(Todas)",COUNTIF(BASE[CODCIE104],GUIA_NACIONAL_2022_1106128105107110207214216217236[[#This Row],[CIE-10]]),COUNTIFS(BASE[Cod.Establecimiento],$B$2,BASE[CODCIE104],GUIA_NACIONAL_2022_1106128105107110207214216217236[[#This Row],[CIE-10]]))</calculatedColumnFormula>
    </tableColumn>
    <tableColumn id="5" xr3:uid="{CC79A491-26DB-4352-91A9-7427FCA46460}" name="D4" dataDxfId="231">
      <calculatedColumnFormula>IF($B$2="(Todas)",COUNTIF(BASE[CODCIE106],GUIA_NACIONAL_2022_1106128105107110207214216217236[[#This Row],[CIE-10]]),COUNTIFS(BASE[Cod.Establecimiento],$B$2,BASE[CODCIE106],GUIA_NACIONAL_2022_1106128105107110207214216217236[[#This Row],[CIE-10]]))</calculatedColumnFormula>
    </tableColumn>
    <tableColumn id="6" xr3:uid="{AD107456-D66C-4168-806F-7C92F72322B8}" name="D5" dataDxfId="230">
      <calculatedColumnFormula>IF($B$2="(Todas)",COUNTIF(BASE[CODCIE108],GUIA_NACIONAL_2022_1106128105107110207214216217236[[#This Row],[CIE-10]]),COUNTIFS(BASE[Cod.Establecimiento],$B$2,BASE[CODCIE108],GUIA_NACIONAL_2022_1106128105107110207214216217236[[#This Row],[CIE-10]]))</calculatedColumnFormula>
    </tableColumn>
    <tableColumn id="7" xr3:uid="{3EFBD6C7-2A7E-45C0-AAED-7317D66D8DEE}" name="D6" dataDxfId="229">
      <calculatedColumnFormula>IF($B$2="(Todas)",COUNTIF(BASE[CODCIE1010],GUIA_NACIONAL_2022_1106128105107110207214216217236[[#This Row],[CIE-10]]),COUNTIFS(BASE[Cod.Establecimiento],$B$2,BASE[CODCIE1010],GUIA_NACIONAL_2022_1106128105107110207214216217236[[#This Row],[CIE-10]]))</calculatedColumnFormula>
    </tableColumn>
    <tableColumn id="8" xr3:uid="{60B65712-2DDA-4A7D-B72D-90662C1C5AC1}" name="TOT" dataDxfId="228" dataCellStyle="40% - Énfasis6">
      <calculatedColumnFormula>SUM(GUIA_NACIONAL_2022_1106128105107110207214216217236[[#This Row],[D1]:[D6]])</calculatedColumnFormula>
    </tableColumn>
  </tableColumns>
  <tableStyleInfo name="TableStyleLight12"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F1D466D2-91F6-4CE5-80C3-B7C3D82380CF}" name="GUIA_NACIONAL_2022_1106128105107110207214216217236241" displayName="GUIA_NACIONAL_2022_1106128105107110207214216217236241" ref="BO44:BV45" totalsRowShown="0" headerRowDxfId="227">
  <tableColumns count="8">
    <tableColumn id="1" xr3:uid="{1AB8B76E-51B4-4C8B-8EE6-84E200FEF3BE}" name="CIE-10" dataCellStyle="20% - Énfasis4"/>
    <tableColumn id="2" xr3:uid="{DAAA6E9E-4C69-44A7-BE74-7AFEC821CE89}" name="D1" dataDxfId="226">
      <calculatedColumnFormula>IF($B$2="(Todas)",COUNTIF(BASE[CODCIE10],GUIA_NACIONAL_2022_1106128105107110207214216217236241[[#This Row],[CIE-10]]),COUNTIFS(BASE[Cod.Establecimiento],$B$2,BASE[CODCIE10],GUIA_NACIONAL_2022_1106128105107110207214216217236241[[#This Row],[CIE-10]]))</calculatedColumnFormula>
    </tableColumn>
    <tableColumn id="3" xr3:uid="{495A270E-1801-46D6-8B83-11EFEFF420F4}" name="D2" dataDxfId="225">
      <calculatedColumnFormula>IF($B$2="(Todas)",COUNTIF(BASE[CODCIE102],GUIA_NACIONAL_2022_1106128105107110207214216217236241[[#This Row],[CIE-10]]),COUNTIFS(BASE[Cod.Establecimiento],$B$2,BASE[CODCIE102],GUIA_NACIONAL_2022_1106128105107110207214216217236241[[#This Row],[CIE-10]]))</calculatedColumnFormula>
    </tableColumn>
    <tableColumn id="4" xr3:uid="{E2040D80-FD13-4E60-ABE8-FCC36CA00504}" name="D3" dataDxfId="224">
      <calculatedColumnFormula>IF($B$2="(Todas)",COUNTIF(BASE[CODCIE104],GUIA_NACIONAL_2022_1106128105107110207214216217236241[[#This Row],[CIE-10]]),COUNTIFS(BASE[Cod.Establecimiento],$B$2,BASE[CODCIE104],GUIA_NACIONAL_2022_1106128105107110207214216217236241[[#This Row],[CIE-10]]))</calculatedColumnFormula>
    </tableColumn>
    <tableColumn id="5" xr3:uid="{62C23FD5-7306-48D0-9DB5-FF617AFD68F6}" name="D4" dataDxfId="223">
      <calculatedColumnFormula>IF($B$2="(Todas)",COUNTIF(BASE[CODCIE106],GUIA_NACIONAL_2022_1106128105107110207214216217236241[[#This Row],[CIE-10]]),COUNTIFS(BASE[Cod.Establecimiento],$B$2,BASE[CODCIE106],GUIA_NACIONAL_2022_1106128105107110207214216217236241[[#This Row],[CIE-10]]))</calculatedColumnFormula>
    </tableColumn>
    <tableColumn id="6" xr3:uid="{04F4EAF8-9D4D-4F14-BE68-6825A06D0407}" name="D5" dataDxfId="222">
      <calculatedColumnFormula>IF($B$2="(Todas)",COUNTIF(BASE[CODCIE108],GUIA_NACIONAL_2022_1106128105107110207214216217236241[[#This Row],[CIE-10]]),COUNTIFS(BASE[Cod.Establecimiento],$B$2,BASE[CODCIE108],GUIA_NACIONAL_2022_1106128105107110207214216217236241[[#This Row],[CIE-10]]))</calculatedColumnFormula>
    </tableColumn>
    <tableColumn id="7" xr3:uid="{8EB7E828-932F-4C06-BEEA-08AE97C06E82}" name="D6" dataDxfId="221">
      <calculatedColumnFormula>IF($B$2="(Todas)",COUNTIF(BASE[CODCIE1010],GUIA_NACIONAL_2022_1106128105107110207214216217236241[[#This Row],[CIE-10]]),COUNTIFS(BASE[Cod.Establecimiento],$B$2,BASE[CODCIE1010],GUIA_NACIONAL_2022_1106128105107110207214216217236241[[#This Row],[CIE-10]]))</calculatedColumnFormula>
    </tableColumn>
    <tableColumn id="8" xr3:uid="{55B94EB0-3A63-493A-804D-4D7CAAF7B35B}" name="TOT" dataDxfId="220" dataCellStyle="40% - Énfasis6">
      <calculatedColumnFormula>SUM(GUIA_NACIONAL_2022_1106128105107110207214216217236241[[#This Row],[D1]:[D6]])</calculatedColumnFormula>
    </tableColumn>
  </tableColumns>
  <tableStyleInfo name="TableStyleLight12"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9D7B14A4-4122-4E70-9776-47285D74E2A9}" name="GUIA_NACIONAL_2022_1106128105107110207214216217236241242" displayName="GUIA_NACIONAL_2022_1106128105107110207214216217236241242" ref="BO47:BV48" totalsRowShown="0" headerRowDxfId="219">
  <tableColumns count="8">
    <tableColumn id="1" xr3:uid="{54EE5AEA-623E-4C57-B6A3-06E723A7EAEC}" name="CIE-10" dataCellStyle="20% - Énfasis4"/>
    <tableColumn id="2" xr3:uid="{B138ED00-AE14-462B-A7E5-6C5137B7B4F1}" name="D1" dataDxfId="218">
      <calculatedColumnFormula>IF($B$2="(Todas)",COUNTIF(BASE[CODCIE10],GUIA_NACIONAL_2022_1106128105107110207214216217236241242[[#This Row],[CIE-10]]),COUNTIFS(BASE[Cod.Establecimiento],$B$2,BASE[CODCIE10],GUIA_NACIONAL_2022_1106128105107110207214216217236241242[[#This Row],[CIE-10]]))</calculatedColumnFormula>
    </tableColumn>
    <tableColumn id="3" xr3:uid="{12B7744E-6D7E-4E9A-B6D5-F653275626C5}" name="D2" dataDxfId="217">
      <calculatedColumnFormula>IF($B$2="(Todas)",COUNTIF(BASE[CODCIE102],GUIA_NACIONAL_2022_1106128105107110207214216217236241242[[#This Row],[CIE-10]]),COUNTIFS(BASE[Cod.Establecimiento],$B$2,BASE[CODCIE102],GUIA_NACIONAL_2022_1106128105107110207214216217236241242[[#This Row],[CIE-10]]))</calculatedColumnFormula>
    </tableColumn>
    <tableColumn id="4" xr3:uid="{1CF96356-17D9-4E14-87E0-7587F4278AC5}" name="D3" dataDxfId="216">
      <calculatedColumnFormula>IF($B$2="(Todas)",COUNTIF(BASE[CODCIE104],GUIA_NACIONAL_2022_1106128105107110207214216217236241242[[#This Row],[CIE-10]]),COUNTIFS(BASE[Cod.Establecimiento],$B$2,BASE[CODCIE104],GUIA_NACIONAL_2022_1106128105107110207214216217236241242[[#This Row],[CIE-10]]))</calculatedColumnFormula>
    </tableColumn>
    <tableColumn id="5" xr3:uid="{DFD832A5-FC92-4E6F-97F9-2208DD53FBE1}" name="D4" dataDxfId="215">
      <calculatedColumnFormula>IF($B$2="(Todas)",COUNTIF(BASE[CODCIE106],GUIA_NACIONAL_2022_1106128105107110207214216217236241242[[#This Row],[CIE-10]]),COUNTIFS(BASE[Cod.Establecimiento],$B$2,BASE[CODCIE106],GUIA_NACIONAL_2022_1106128105107110207214216217236241242[[#This Row],[CIE-10]]))</calculatedColumnFormula>
    </tableColumn>
    <tableColumn id="6" xr3:uid="{66006B83-52B1-48F4-A600-E5BE7253FD70}" name="D5" dataDxfId="214">
      <calculatedColumnFormula>IF($B$2="(Todas)",COUNTIF(BASE[CODCIE108],GUIA_NACIONAL_2022_1106128105107110207214216217236241242[[#This Row],[CIE-10]]),COUNTIFS(BASE[Cod.Establecimiento],$B$2,BASE[CODCIE108],GUIA_NACIONAL_2022_1106128105107110207214216217236241242[[#This Row],[CIE-10]]))</calculatedColumnFormula>
    </tableColumn>
    <tableColumn id="7" xr3:uid="{5E9C223A-DE92-4F1C-87B7-A3720B4F33C8}" name="D6" dataDxfId="213">
      <calculatedColumnFormula>IF($B$2="(Todas)",COUNTIF(BASE[CODCIE1010],GUIA_NACIONAL_2022_1106128105107110207214216217236241242[[#This Row],[CIE-10]]),COUNTIFS(BASE[Cod.Establecimiento],$B$2,BASE[CODCIE1010],GUIA_NACIONAL_2022_1106128105107110207214216217236241242[[#This Row],[CIE-10]]))</calculatedColumnFormula>
    </tableColumn>
    <tableColumn id="8" xr3:uid="{7840878A-CC48-4723-8F78-417E87C1D5B5}" name="TOT" dataDxfId="212" dataCellStyle="40% - Énfasis6">
      <calculatedColumnFormula>SUM(GUIA_NACIONAL_2022_1106128105107110207214216217236241242[[#This Row],[D1]:[D6]])</calculatedColumnFormula>
    </tableColumn>
  </tableColumns>
  <tableStyleInfo name="TableStyleLight12"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6EB10949-5C0E-4249-917F-512D4CED13FD}" name="GUIA_NACIONAL_2022_1106128105107111115243" displayName="GUIA_NACIONAL_2022_1106128105107111115243" ref="BO51:BV52" totalsRowShown="0" headerRowDxfId="211">
  <tableColumns count="8">
    <tableColumn id="1" xr3:uid="{7429D245-5CA9-4903-BEB5-DA479D08C7C0}" name="CIE-10" dataCellStyle="20% - Énfasis4"/>
    <tableColumn id="2" xr3:uid="{D9774041-46ED-4AE5-9FB1-3FDCD913804F}" name="D1" dataDxfId="210">
      <calculatedColumnFormula>IF($B$2="(Todas)",COUNTIF(BASE[CODCIE10],GUIA_NACIONAL_2022_1106128105107111115243[[#This Row],[CIE-10]]),COUNTIFS(BASE[Cod.Establecimiento],$B$2,BASE[CODCIE10],GUIA_NACIONAL_2022_1106128105107111115243[[#This Row],[CIE-10]]))</calculatedColumnFormula>
    </tableColumn>
    <tableColumn id="3" xr3:uid="{E6BC6922-7BCA-42F6-88A4-042FC616BBCE}" name="D2" dataDxfId="209">
      <calculatedColumnFormula>IF($B$2="(Todas)",COUNTIF(BASE[CODCIE102],GUIA_NACIONAL_2022_1106128105107111115243[[#This Row],[CIE-10]]),COUNTIFS(BASE[Cod.Establecimiento],$B$2,BASE[CODCIE102],GUIA_NACIONAL_2022_1106128105107111115243[[#This Row],[CIE-10]]))</calculatedColumnFormula>
    </tableColumn>
    <tableColumn id="4" xr3:uid="{98F23EDE-EC8E-45FE-8B52-C56B749F2291}" name="D3" dataDxfId="208">
      <calculatedColumnFormula>IF($B$2="(Todas)",COUNTIF(BASE[CODCIE104],GUIA_NACIONAL_2022_1106128105107111115243[[#This Row],[CIE-10]]),COUNTIFS(BASE[Cod.Establecimiento],$B$2,BASE[CODCIE104],GUIA_NACIONAL_2022_1106128105107111115243[[#This Row],[CIE-10]]))</calculatedColumnFormula>
    </tableColumn>
    <tableColumn id="5" xr3:uid="{9604AE77-4870-4775-B701-42A568BD8273}" name="D4" dataDxfId="207">
      <calculatedColumnFormula>IF($B$2="(Todas)",COUNTIF(BASE[CODCIE106],GUIA_NACIONAL_2022_1106128105107111115243[[#This Row],[CIE-10]]),COUNTIFS(BASE[Cod.Establecimiento],$B$2,BASE[CODCIE106],GUIA_NACIONAL_2022_1106128105107111115243[[#This Row],[CIE-10]]))</calculatedColumnFormula>
    </tableColumn>
    <tableColumn id="6" xr3:uid="{A6D53251-4C03-42EA-BCC4-DC191AC01123}" name="D5" dataDxfId="206">
      <calculatedColumnFormula>IF($B$2="(Todas)",COUNTIF(BASE[CODCIE108],GUIA_NACIONAL_2022_1106128105107111115243[[#This Row],[CIE-10]]),COUNTIFS(BASE[Cod.Establecimiento],$B$2,BASE[CODCIE108],GUIA_NACIONAL_2022_1106128105107111115243[[#This Row],[CIE-10]]))</calculatedColumnFormula>
    </tableColumn>
    <tableColumn id="7" xr3:uid="{BD71461A-6238-4675-8A23-5E335BDC80B4}" name="D6" dataDxfId="205">
      <calculatedColumnFormula>IF($B$2="(Todas)",COUNTIF(BASE[CODCIE1010],GUIA_NACIONAL_2022_1106128105107111115243[[#This Row],[CIE-10]]),COUNTIFS(BASE[Cod.Establecimiento],$B$2,BASE[CODCIE1010],GUIA_NACIONAL_2022_1106128105107111115243[[#This Row],[CIE-10]]))</calculatedColumnFormula>
    </tableColumn>
    <tableColumn id="8" xr3:uid="{0BDE60D7-1C99-4E1B-9B0B-67D2703B8611}" name="TOT" dataDxfId="204" dataCellStyle="40% - Énfasis6">
      <calculatedColumnFormula>SUM(GUIA_NACIONAL_2022_1106128105107111115243[[#This Row],[D1]:[D6]])</calculatedColumnFormula>
    </tableColumn>
  </tableColumns>
  <tableStyleInfo name="TableStyleLight12"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B776FE53-1D69-480B-89C9-9AA8ACFB788E}" name="GUIA_NACIONAL_2022_1106128105107110207214216217236241244" displayName="GUIA_NACIONAL_2022_1106128105107110207214216217236241244" ref="BO54:BV55" totalsRowShown="0" headerRowDxfId="203">
  <tableColumns count="8">
    <tableColumn id="1" xr3:uid="{5FFDCB52-0E81-450E-B3EF-F510452C9840}" name="CIE-10" dataCellStyle="20% - Énfasis4"/>
    <tableColumn id="2" xr3:uid="{3089415D-B803-44DB-AAF6-CC32949B6005}" name="D1" dataDxfId="202">
      <calculatedColumnFormula>IF($B$2="(Todas)",COUNTIF(BASE[CODCIE10],GUIA_NACIONAL_2022_1106128105107110207214216217236241244[[#This Row],[CIE-10]]),COUNTIFS(BASE[Cod.Establecimiento],$B$2,BASE[CODCIE10],GUIA_NACIONAL_2022_1106128105107110207214216217236241244[[#This Row],[CIE-10]]))</calculatedColumnFormula>
    </tableColumn>
    <tableColumn id="3" xr3:uid="{926D968F-2481-40AC-A025-51E1B91A6276}" name="D2" dataDxfId="201">
      <calculatedColumnFormula>IF($B$2="(Todas)",COUNTIF(BASE[CODCIE102],GUIA_NACIONAL_2022_1106128105107110207214216217236241244[[#This Row],[CIE-10]]),COUNTIFS(BASE[Cod.Establecimiento],$B$2,BASE[CODCIE102],GUIA_NACIONAL_2022_1106128105107110207214216217236241244[[#This Row],[CIE-10]]))</calculatedColumnFormula>
    </tableColumn>
    <tableColumn id="4" xr3:uid="{F5067D90-A29B-4DBA-9D7E-13ADE72FC861}" name="D3" dataDxfId="200">
      <calculatedColumnFormula>IF($B$2="(Todas)",COUNTIF(BASE[CODCIE104],GUIA_NACIONAL_2022_1106128105107110207214216217236241244[[#This Row],[CIE-10]]),COUNTIFS(BASE[Cod.Establecimiento],$B$2,BASE[CODCIE104],GUIA_NACIONAL_2022_1106128105107110207214216217236241244[[#This Row],[CIE-10]]))</calculatedColumnFormula>
    </tableColumn>
    <tableColumn id="5" xr3:uid="{A4918D62-55AD-4902-B46A-0EE3C41963CF}" name="D4" dataDxfId="199">
      <calculatedColumnFormula>IF($B$2="(Todas)",COUNTIF(BASE[CODCIE106],GUIA_NACIONAL_2022_1106128105107110207214216217236241244[[#This Row],[CIE-10]]),COUNTIFS(BASE[Cod.Establecimiento],$B$2,BASE[CODCIE106],GUIA_NACIONAL_2022_1106128105107110207214216217236241244[[#This Row],[CIE-10]]))</calculatedColumnFormula>
    </tableColumn>
    <tableColumn id="6" xr3:uid="{85A606CB-BD73-4887-9BF5-4BA6E3547664}" name="D5" dataDxfId="198">
      <calculatedColumnFormula>IF($B$2="(Todas)",COUNTIF(BASE[CODCIE108],GUIA_NACIONAL_2022_1106128105107110207214216217236241244[[#This Row],[CIE-10]]),COUNTIFS(BASE[Cod.Establecimiento],$B$2,BASE[CODCIE108],GUIA_NACIONAL_2022_1106128105107110207214216217236241244[[#This Row],[CIE-10]]))</calculatedColumnFormula>
    </tableColumn>
    <tableColumn id="7" xr3:uid="{458B40A0-D94E-4BA2-BC29-6DF0A0E78095}" name="D6" dataDxfId="197">
      <calculatedColumnFormula>IF($B$2="(Todas)",COUNTIF(BASE[CODCIE1010],GUIA_NACIONAL_2022_1106128105107110207214216217236241244[[#This Row],[CIE-10]]),COUNTIFS(BASE[Cod.Establecimiento],$B$2,BASE[CODCIE1010],GUIA_NACIONAL_2022_1106128105107110207214216217236241244[[#This Row],[CIE-10]]))</calculatedColumnFormula>
    </tableColumn>
    <tableColumn id="8" xr3:uid="{1F7233E0-CB6C-45D3-A740-531F27BAB768}" name="TOT" dataDxfId="196" dataCellStyle="40% - Énfasis6">
      <calculatedColumnFormula>SUM(GUIA_NACIONAL_2022_1106128105107110207214216217236241244[[#This Row],[D1]:[D6]])</calculatedColumnFormula>
    </tableColumn>
  </tableColumns>
  <tableStyleInfo name="TableStyleLight12"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24F76097-A9C3-425F-827A-F1DF954A1BD0}" name="GUIA_NACIONAL_2022_1106128105107111115243245" displayName="GUIA_NACIONAL_2022_1106128105107111115243245" ref="BO57:BV58" totalsRowShown="0" headerRowDxfId="195">
  <tableColumns count="8">
    <tableColumn id="1" xr3:uid="{15C30AFA-1E70-428C-949F-4633E8B6CE50}" name="CIE-10" dataCellStyle="20% - Énfasis4"/>
    <tableColumn id="2" xr3:uid="{53C6A50A-A9A3-4C7A-ADA1-BE3EF7AA2B17}" name="D1" dataDxfId="194">
      <calculatedColumnFormula>IF($B$2="(Todas)",COUNTIF(BASE[CODCIE10],GUIA_NACIONAL_2022_1106128105107111115243245[[#This Row],[CIE-10]]),COUNTIFS(BASE[Cod.Establecimiento],$B$2,BASE[CODCIE10],GUIA_NACIONAL_2022_1106128105107111115243245[[#This Row],[CIE-10]]))</calculatedColumnFormula>
    </tableColumn>
    <tableColumn id="3" xr3:uid="{3055863C-B29B-41F4-AAB5-9A421427C4C1}" name="D2" dataDxfId="193">
      <calculatedColumnFormula>IF($B$2="(Todas)",COUNTIF(BASE[CODCIE102],GUIA_NACIONAL_2022_1106128105107111115243245[[#This Row],[CIE-10]]),COUNTIFS(BASE[Cod.Establecimiento],$B$2,BASE[CODCIE102],GUIA_NACIONAL_2022_1106128105107111115243245[[#This Row],[CIE-10]]))</calculatedColumnFormula>
    </tableColumn>
    <tableColumn id="4" xr3:uid="{938D2D44-08AA-4B03-845D-2AB64042A108}" name="D3" dataDxfId="192">
      <calculatedColumnFormula>IF($B$2="(Todas)",COUNTIF(BASE[CODCIE104],GUIA_NACIONAL_2022_1106128105107111115243245[[#This Row],[CIE-10]]),COUNTIFS(BASE[Cod.Establecimiento],$B$2,BASE[CODCIE104],GUIA_NACIONAL_2022_1106128105107111115243245[[#This Row],[CIE-10]]))</calculatedColumnFormula>
    </tableColumn>
    <tableColumn id="5" xr3:uid="{30329F00-DA29-4BDE-B27A-25054551F19A}" name="D4" dataDxfId="191">
      <calculatedColumnFormula>IF($B$2="(Todas)",COUNTIF(BASE[CODCIE106],GUIA_NACIONAL_2022_1106128105107111115243245[[#This Row],[CIE-10]]),COUNTIFS(BASE[Cod.Establecimiento],$B$2,BASE[CODCIE106],GUIA_NACIONAL_2022_1106128105107111115243245[[#This Row],[CIE-10]]))</calculatedColumnFormula>
    </tableColumn>
    <tableColumn id="6" xr3:uid="{9482A9FB-FF9E-4DE5-969F-926AF1BDDF80}" name="D5" dataDxfId="190">
      <calculatedColumnFormula>IF($B$2="(Todas)",COUNTIF(BASE[CODCIE108],GUIA_NACIONAL_2022_1106128105107111115243245[[#This Row],[CIE-10]]),COUNTIFS(BASE[Cod.Establecimiento],$B$2,BASE[CODCIE108],GUIA_NACIONAL_2022_1106128105107111115243245[[#This Row],[CIE-10]]))</calculatedColumnFormula>
    </tableColumn>
    <tableColumn id="7" xr3:uid="{FE6AE6A3-C4B2-4BF0-A181-4E4061948270}" name="D6" dataDxfId="189">
      <calculatedColumnFormula>IF($B$2="(Todas)",COUNTIF(BASE[CODCIE1010],GUIA_NACIONAL_2022_1106128105107111115243245[[#This Row],[CIE-10]]),COUNTIFS(BASE[Cod.Establecimiento],$B$2,BASE[CODCIE1010],GUIA_NACIONAL_2022_1106128105107111115243245[[#This Row],[CIE-10]]))</calculatedColumnFormula>
    </tableColumn>
    <tableColumn id="8" xr3:uid="{5B08B6FF-4D63-42B5-A247-9F09AEC81F67}" name="TOT" dataDxfId="188" dataCellStyle="40% - Énfasis6">
      <calculatedColumnFormula>SUM(GUIA_NACIONAL_2022_1106128105107111115243245[[#This Row],[D1]:[D6]])</calculatedColumnFormula>
    </tableColumn>
  </tableColumns>
  <tableStyleInfo name="TableStyleLight12"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858880F7-85EF-4EDE-926D-FBBA9C156060}" name="GUIA_NACIONAL_2022_1106128105107110207214216217236241244246" displayName="GUIA_NACIONAL_2022_1106128105107110207214216217236241244246" ref="BO60:BV69" totalsRowShown="0" headerRowDxfId="187">
  <tableColumns count="8">
    <tableColumn id="1" xr3:uid="{F8D1601E-E9F5-4790-8AB4-BD609A048596}" name="CIE-10" dataCellStyle="20% - Énfasis4"/>
    <tableColumn id="2" xr3:uid="{5B15F200-6D7D-46ED-B74A-F434B1F60C2B}" name="D1" dataDxfId="186">
      <calculatedColumnFormula>IF($B$2="(Todas)",COUNTIF(BASE[CODCIE10],GUIA_NACIONAL_2022_1106128105107110207214216217236241244246[[#This Row],[CIE-10]]),COUNTIFS(BASE[Cod.Establecimiento],$B$2,BASE[CODCIE10],GUIA_NACIONAL_2022_1106128105107110207214216217236241244246[[#This Row],[CIE-10]]))</calculatedColumnFormula>
    </tableColumn>
    <tableColumn id="3" xr3:uid="{0E651426-8CAA-490B-B3F4-32B69E51F37F}" name="D2" dataDxfId="185">
      <calculatedColumnFormula>IF($B$2="(Todas)",COUNTIF(BASE[CODCIE102],GUIA_NACIONAL_2022_1106128105107110207214216217236241244246[[#This Row],[CIE-10]]),COUNTIFS(BASE[Cod.Establecimiento],$B$2,BASE[CODCIE102],GUIA_NACIONAL_2022_1106128105107110207214216217236241244246[[#This Row],[CIE-10]]))</calculatedColumnFormula>
    </tableColumn>
    <tableColumn id="4" xr3:uid="{232D1F1D-22EB-4E2C-98D0-C016E2C87D04}" name="D3" dataDxfId="184">
      <calculatedColumnFormula>IF($B$2="(Todas)",COUNTIF(BASE[CODCIE104],GUIA_NACIONAL_2022_1106128105107110207214216217236241244246[[#This Row],[CIE-10]]),COUNTIFS(BASE[Cod.Establecimiento],$B$2,BASE[CODCIE104],GUIA_NACIONAL_2022_1106128105107110207214216217236241244246[[#This Row],[CIE-10]]))</calculatedColumnFormula>
    </tableColumn>
    <tableColumn id="5" xr3:uid="{49DFB80C-CA93-45CA-93F5-BEFA1B7E96CF}" name="D4" dataDxfId="183">
      <calculatedColumnFormula>IF($B$2="(Todas)",COUNTIF(BASE[CODCIE106],GUIA_NACIONAL_2022_1106128105107110207214216217236241244246[[#This Row],[CIE-10]]),COUNTIFS(BASE[Cod.Establecimiento],$B$2,BASE[CODCIE106],GUIA_NACIONAL_2022_1106128105107110207214216217236241244246[[#This Row],[CIE-10]]))</calculatedColumnFormula>
    </tableColumn>
    <tableColumn id="6" xr3:uid="{E10908CD-CD3E-48F6-8B5E-A2EE166D2B6C}" name="D5" dataDxfId="182">
      <calculatedColumnFormula>IF($B$2="(Todas)",COUNTIF(BASE[CODCIE108],GUIA_NACIONAL_2022_1106128105107110207214216217236241244246[[#This Row],[CIE-10]]),COUNTIFS(BASE[Cod.Establecimiento],$B$2,BASE[CODCIE108],GUIA_NACIONAL_2022_1106128105107110207214216217236241244246[[#This Row],[CIE-10]]))</calculatedColumnFormula>
    </tableColumn>
    <tableColumn id="7" xr3:uid="{1B337613-B4CE-4E6E-960D-1C3C60220F31}" name="D6" dataDxfId="181">
      <calculatedColumnFormula>IF($B$2="(Todas)",COUNTIF(BASE[CODCIE1010],GUIA_NACIONAL_2022_1106128105107110207214216217236241244246[[#This Row],[CIE-10]]),COUNTIFS(BASE[Cod.Establecimiento],$B$2,BASE[CODCIE1010],GUIA_NACIONAL_2022_1106128105107110207214216217236241244246[[#This Row],[CIE-10]]))</calculatedColumnFormula>
    </tableColumn>
    <tableColumn id="8" xr3:uid="{2093B440-E310-490F-A646-F9749C29753A}" name="TOT" dataDxfId="180" dataCellStyle="40% - Énfasis6">
      <calculatedColumnFormula>SUM(GUIA_NACIONAL_2022_1106128105107110207214216217236241244246[[#This Row],[D1]:[D6]])</calculatedColumnFormula>
    </tableColumn>
  </tableColumns>
  <tableStyleInfo name="TableStyleLight12"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22C71AC6-029C-483C-9646-7497E8388447}" name="GUIA_NACIONAL_2022_1106128105107110207214216217236241244246247" displayName="GUIA_NACIONAL_2022_1106128105107110207214216217236241244246247" ref="BO71:BV77" totalsRowShown="0" headerRowDxfId="179">
  <tableColumns count="8">
    <tableColumn id="1" xr3:uid="{84398776-0BCB-41FF-BCF1-6B03D626C2A9}" name="CIE-10" dataCellStyle="20% - Énfasis4"/>
    <tableColumn id="2" xr3:uid="{4439E683-86E6-4B94-8053-30431DEDD8B9}" name="D1" dataDxfId="178">
      <calculatedColumnFormula>IF($B$2="(Todas)",COUNTIF(BASE[CODCIE10],GUIA_NACIONAL_2022_1106128105107110207214216217236241244246247[[#This Row],[CIE-10]]),COUNTIFS(BASE[Cod.Establecimiento],$B$2,BASE[CODCIE10],GUIA_NACIONAL_2022_1106128105107110207214216217236241244246247[[#This Row],[CIE-10]]))</calculatedColumnFormula>
    </tableColumn>
    <tableColumn id="3" xr3:uid="{EF6CDC35-B05B-494A-B989-E53D3D1B4EE0}" name="D2" dataDxfId="177">
      <calculatedColumnFormula>IF($B$2="(Todas)",COUNTIF(BASE[CODCIE102],GUIA_NACIONAL_2022_1106128105107110207214216217236241244246247[[#This Row],[CIE-10]]),COUNTIFS(BASE[Cod.Establecimiento],$B$2,BASE[CODCIE102],GUIA_NACIONAL_2022_1106128105107110207214216217236241244246247[[#This Row],[CIE-10]]))</calculatedColumnFormula>
    </tableColumn>
    <tableColumn id="4" xr3:uid="{5BF2A1AF-1817-4581-8CF8-7E0CC6C98387}" name="D3" dataDxfId="176">
      <calculatedColumnFormula>IF($B$2="(Todas)",COUNTIF(BASE[CODCIE104],GUIA_NACIONAL_2022_1106128105107110207214216217236241244246247[[#This Row],[CIE-10]]),COUNTIFS(BASE[Cod.Establecimiento],$B$2,BASE[CODCIE104],GUIA_NACIONAL_2022_1106128105107110207214216217236241244246247[[#This Row],[CIE-10]]))</calculatedColumnFormula>
    </tableColumn>
    <tableColumn id="5" xr3:uid="{98A5FB69-2820-46BF-9278-A883B5B767D8}" name="D4" dataDxfId="175">
      <calculatedColumnFormula>IF($B$2="(Todas)",COUNTIF(BASE[CODCIE106],GUIA_NACIONAL_2022_1106128105107110207214216217236241244246247[[#This Row],[CIE-10]]),COUNTIFS(BASE[Cod.Establecimiento],$B$2,BASE[CODCIE106],GUIA_NACIONAL_2022_1106128105107110207214216217236241244246247[[#This Row],[CIE-10]]))</calculatedColumnFormula>
    </tableColumn>
    <tableColumn id="6" xr3:uid="{FAA079BA-CD18-4D6A-9A5F-262F97BCF6DD}" name="D5" dataDxfId="174">
      <calculatedColumnFormula>IF($B$2="(Todas)",COUNTIF(BASE[CODCIE108],GUIA_NACIONAL_2022_1106128105107110207214216217236241244246247[[#This Row],[CIE-10]]),COUNTIFS(BASE[Cod.Establecimiento],$B$2,BASE[CODCIE108],GUIA_NACIONAL_2022_1106128105107110207214216217236241244246247[[#This Row],[CIE-10]]))</calculatedColumnFormula>
    </tableColumn>
    <tableColumn id="7" xr3:uid="{21AB662C-CE59-43AA-A2F6-5DF1B24D7278}" name="D6" dataDxfId="173">
      <calculatedColumnFormula>IF($B$2="(Todas)",COUNTIF(BASE[CODCIE1010],GUIA_NACIONAL_2022_1106128105107110207214216217236241244246247[[#This Row],[CIE-10]]),COUNTIFS(BASE[Cod.Establecimiento],$B$2,BASE[CODCIE1010],GUIA_NACIONAL_2022_1106128105107110207214216217236241244246247[[#This Row],[CIE-10]]))</calculatedColumnFormula>
    </tableColumn>
    <tableColumn id="8" xr3:uid="{E74F0DD5-7928-4A37-84D3-3C37E797E802}" name="TOT" dataDxfId="172" dataCellStyle="40% - Énfasis6">
      <calculatedColumnFormula>SUM(GUIA_NACIONAL_2022_1106128105107110207214216217236241244246247[[#This Row],[D1]:[D6]])</calculatedColumnFormula>
    </tableColumn>
  </tableColumns>
  <tableStyleInfo name="TableStyleLight12"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6C3872D-3841-420D-AB4E-280F6F3FA2AA}" name="GUIA_NACIONAL_2022_1106128105107111115129248" displayName="GUIA_NACIONAL_2022_1106128105107111115129248" ref="BX7:CE8" totalsRowShown="0" headerRowDxfId="171">
  <tableColumns count="8">
    <tableColumn id="1" xr3:uid="{6AFDA0B4-8007-41DF-85DB-ACA0EF4A443A}" name="CIE-10" dataCellStyle="20% - Énfasis4"/>
    <tableColumn id="2" xr3:uid="{238736BA-6DBE-42F3-AA97-8F9A546DD393}" name="D1" dataDxfId="170">
      <calculatedColumnFormula>IF($B$2="(Todas)",COUNTIF(BASE[CODCIE10],GUIA_NACIONAL_2022_1106128105107111115129248[[#This Row],[CIE-10]]),COUNTIFS(BASE[Cod.Establecimiento],$B$2,BASE[CODCIE10],GUIA_NACIONAL_2022_1106128105107111115129248[[#This Row],[CIE-10]]))</calculatedColumnFormula>
    </tableColumn>
    <tableColumn id="3" xr3:uid="{98222F27-A9F3-4521-981B-3AAB5255E254}" name="D2" dataDxfId="169">
      <calculatedColumnFormula>IF($B$2="(Todas)",COUNTIF(BASE[CODCIE102],GUIA_NACIONAL_2022_1106128105107111115129248[[#This Row],[CIE-10]]),COUNTIFS(BASE[Cod.Establecimiento],$B$2,BASE[CODCIE102],GUIA_NACIONAL_2022_1106128105107111115129248[[#This Row],[CIE-10]]))</calculatedColumnFormula>
    </tableColumn>
    <tableColumn id="4" xr3:uid="{BD29F720-060C-4D54-A81E-C9A5B4221C1E}" name="D3" dataDxfId="168">
      <calculatedColumnFormula>IF($B$2="(Todas)",COUNTIF(BASE[CODCIE104],GUIA_NACIONAL_2022_1106128105107111115129248[[#This Row],[CIE-10]]),COUNTIFS(BASE[Cod.Establecimiento],$B$2,BASE[CODCIE104],GUIA_NACIONAL_2022_1106128105107111115129248[[#This Row],[CIE-10]]))</calculatedColumnFormula>
    </tableColumn>
    <tableColumn id="5" xr3:uid="{E26EB68E-0823-47D9-A5F6-93AFD5E441D1}" name="D4" dataDxfId="167">
      <calculatedColumnFormula>IF($B$2="(Todas)",COUNTIF(BASE[CODCIE106],GUIA_NACIONAL_2022_1106128105107111115129248[[#This Row],[CIE-10]]),COUNTIFS(BASE[Cod.Establecimiento],$B$2,BASE[CODCIE106],GUIA_NACIONAL_2022_1106128105107111115129248[[#This Row],[CIE-10]]))</calculatedColumnFormula>
    </tableColumn>
    <tableColumn id="6" xr3:uid="{0EA95AAB-0693-4982-9C82-BDB8DC4BFB31}" name="D5" dataDxfId="166">
      <calculatedColumnFormula>IF($B$2="(Todas)",COUNTIF(BASE[CODCIE108],GUIA_NACIONAL_2022_1106128105107111115129248[[#This Row],[CIE-10]]),COUNTIFS(BASE[Cod.Establecimiento],$B$2,BASE[CODCIE108],GUIA_NACIONAL_2022_1106128105107111115129248[[#This Row],[CIE-10]]))</calculatedColumnFormula>
    </tableColumn>
    <tableColumn id="7" xr3:uid="{F4DA9490-480D-43E7-AA14-612D7C3B4BC4}" name="D6" dataDxfId="165">
      <calculatedColumnFormula>IF($B$2="(Todas)",COUNTIF(BASE[CODCIE1010],GUIA_NACIONAL_2022_1106128105107111115129248[[#This Row],[CIE-10]]),COUNTIFS(BASE[Cod.Establecimiento],$B$2,BASE[CODCIE1010],GUIA_NACIONAL_2022_1106128105107111115129248[[#This Row],[CIE-10]]))</calculatedColumnFormula>
    </tableColumn>
    <tableColumn id="8" xr3:uid="{024A20DB-2220-424B-A112-2FC37962D2A0}" name="TOT" dataDxfId="164" dataCellStyle="40% - Énfasis6">
      <calculatedColumnFormula>SUM(GUIA_NACIONAL_2022_1106128105107111115129248[[#This Row],[D1]:[D6]])</calculatedColumnFormula>
    </tableColumn>
  </tableColumns>
  <tableStyleInfo name="TableStyleLight12"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1CB04C49-D2C0-4235-84DD-78BC6A195A96}" name="GUIA_NACIONAL_2022_1106128105107111115129249" displayName="GUIA_NACIONAL_2022_1106128105107111115129249" ref="BX10:CE11" totalsRowShown="0" headerRowDxfId="163">
  <tableColumns count="8">
    <tableColumn id="1" xr3:uid="{4A881AE3-CDF9-4E38-902E-F07FA47FE646}" name="CIE-10" dataCellStyle="20% - Énfasis4"/>
    <tableColumn id="2" xr3:uid="{25F6A45E-7B32-4EE2-954D-0D77A5856265}" name="D1" dataDxfId="162">
      <calculatedColumnFormula>IF($B$2="(Todas)",COUNTIF(BASE[CODCIE10],GUIA_NACIONAL_2022_1106128105107111115129249[[#This Row],[CIE-10]]),COUNTIFS(BASE[Cod.Establecimiento],$B$2,BASE[CODCIE10],GUIA_NACIONAL_2022_1106128105107111115129249[[#This Row],[CIE-10]]))</calculatedColumnFormula>
    </tableColumn>
    <tableColumn id="3" xr3:uid="{6C658F6A-6F66-43CF-878F-433A7C0F9525}" name="D2" dataDxfId="161">
      <calculatedColumnFormula>IF($B$2="(Todas)",COUNTIF(BASE[CODCIE102],GUIA_NACIONAL_2022_1106128105107111115129249[[#This Row],[CIE-10]]),COUNTIFS(BASE[Cod.Establecimiento],$B$2,BASE[CODCIE102],GUIA_NACIONAL_2022_1106128105107111115129249[[#This Row],[CIE-10]]))</calculatedColumnFormula>
    </tableColumn>
    <tableColumn id="4" xr3:uid="{E8D10269-EC27-47A6-AB20-DEA5303C29D9}" name="D3" dataDxfId="160">
      <calculatedColumnFormula>IF($B$2="(Todas)",COUNTIF(BASE[CODCIE104],GUIA_NACIONAL_2022_1106128105107111115129249[[#This Row],[CIE-10]]),COUNTIFS(BASE[Cod.Establecimiento],$B$2,BASE[CODCIE104],GUIA_NACIONAL_2022_1106128105107111115129249[[#This Row],[CIE-10]]))</calculatedColumnFormula>
    </tableColumn>
    <tableColumn id="5" xr3:uid="{22D3145D-48B1-4838-A2DD-DEE06C27AD40}" name="D4" dataDxfId="159">
      <calculatedColumnFormula>IF($B$2="(Todas)",COUNTIF(BASE[CODCIE106],GUIA_NACIONAL_2022_1106128105107111115129249[[#This Row],[CIE-10]]),COUNTIFS(BASE[Cod.Establecimiento],$B$2,BASE[CODCIE106],GUIA_NACIONAL_2022_1106128105107111115129249[[#This Row],[CIE-10]]))</calculatedColumnFormula>
    </tableColumn>
    <tableColumn id="6" xr3:uid="{2A430BBE-A9E9-40ED-8ABD-702045586292}" name="D5" dataDxfId="158">
      <calculatedColumnFormula>IF($B$2="(Todas)",COUNTIF(BASE[CODCIE108],GUIA_NACIONAL_2022_1106128105107111115129249[[#This Row],[CIE-10]]),COUNTIFS(BASE[Cod.Establecimiento],$B$2,BASE[CODCIE108],GUIA_NACIONAL_2022_1106128105107111115129249[[#This Row],[CIE-10]]))</calculatedColumnFormula>
    </tableColumn>
    <tableColumn id="7" xr3:uid="{B0AF9715-901D-4FEF-ABEA-EB55DD04D8E1}" name="D6" dataDxfId="157">
      <calculatedColumnFormula>IF($B$2="(Todas)",COUNTIF(BASE[CODCIE1010],GUIA_NACIONAL_2022_1106128105107111115129249[[#This Row],[CIE-10]]),COUNTIFS(BASE[Cod.Establecimiento],$B$2,BASE[CODCIE1010],GUIA_NACIONAL_2022_1106128105107111115129249[[#This Row],[CIE-10]]))</calculatedColumnFormula>
    </tableColumn>
    <tableColumn id="8" xr3:uid="{2217CB53-8CE3-4F46-B013-7322B4181464}" name="TOT" dataDxfId="156" dataCellStyle="40% - Énfasis6">
      <calculatedColumnFormula>SUM(GUIA_NACIONAL_2022_1106128105107111115129249[[#This Row],[D1]:[D6]])</calculatedColumnFormula>
    </tableColumn>
  </tableColumns>
  <tableStyleInfo name="TableStyleLight12"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61D9D8FD-7227-46EC-8ACA-9B9DB5AE30A2}" name="GUIA_NACIONAL_2022_1106128105107111115129130250" displayName="GUIA_NACIONAL_2022_1106128105107111115129130250" ref="CG21:CN28" totalsRowShown="0" headerRowDxfId="155">
  <tableColumns count="8">
    <tableColumn id="1" xr3:uid="{33A471A1-152B-4D7B-8C30-3C6307A4273F}" name="CIE-10" dataCellStyle="20% - Énfasis4"/>
    <tableColumn id="2" xr3:uid="{9BCB888C-B90D-4C44-9BEA-7F3E77A6C430}" name="D1" dataDxfId="154">
      <calculatedColumnFormula>IF($B$2="(Todas)",COUNTIF(BASE[CODCIE10],GUIA_NACIONAL_2022_1106128105107111115129130250[[#This Row],[CIE-10]]),COUNTIFS(BASE[Cod.Establecimiento],$B$2,BASE[CODCIE10],GUIA_NACIONAL_2022_1106128105107111115129130250[[#This Row],[CIE-10]]))</calculatedColumnFormula>
    </tableColumn>
    <tableColumn id="3" xr3:uid="{92E032EF-485C-41C6-B6A3-21696D568293}" name="D2" dataDxfId="153">
      <calculatedColumnFormula>IF($B$2="(Todas)",COUNTIF(BASE[CODCIE102],GUIA_NACIONAL_2022_1106128105107111115129130250[[#This Row],[CIE-10]]),COUNTIFS(BASE[Cod.Establecimiento],$B$2,BASE[CODCIE102],GUIA_NACIONAL_2022_1106128105107111115129130250[[#This Row],[CIE-10]]))</calculatedColumnFormula>
    </tableColumn>
    <tableColumn id="4" xr3:uid="{532A1D3D-E63F-4C5C-95FB-0C9FED66C45A}" name="D3" dataDxfId="152">
      <calculatedColumnFormula>IF($B$2="(Todas)",COUNTIF(BASE[CODCIE104],GUIA_NACIONAL_2022_1106128105107111115129130250[[#This Row],[CIE-10]]),COUNTIFS(BASE[Cod.Establecimiento],$B$2,BASE[CODCIE104],GUIA_NACIONAL_2022_1106128105107111115129130250[[#This Row],[CIE-10]]))</calculatedColumnFormula>
    </tableColumn>
    <tableColumn id="5" xr3:uid="{66E6C742-5CC6-4112-8739-9A86EAFACF7C}" name="D4" dataDxfId="151">
      <calculatedColumnFormula>IF($B$2="(Todas)",COUNTIF(BASE[CODCIE106],GUIA_NACIONAL_2022_1106128105107111115129130250[[#This Row],[CIE-10]]),COUNTIFS(BASE[Cod.Establecimiento],$B$2,BASE[CODCIE106],GUIA_NACIONAL_2022_1106128105107111115129130250[[#This Row],[CIE-10]]))</calculatedColumnFormula>
    </tableColumn>
    <tableColumn id="6" xr3:uid="{CAAE60FF-09E6-4750-9056-CFE1B0A99A2C}" name="D5" dataDxfId="150">
      <calculatedColumnFormula>IF($B$2="(Todas)",COUNTIF(BASE[CODCIE108],GUIA_NACIONAL_2022_1106128105107111115129130250[[#This Row],[CIE-10]]),COUNTIFS(BASE[Cod.Establecimiento],$B$2,BASE[CODCIE108],GUIA_NACIONAL_2022_1106128105107111115129130250[[#This Row],[CIE-10]]))</calculatedColumnFormula>
    </tableColumn>
    <tableColumn id="7" xr3:uid="{C635A0D4-6B08-4D39-BD9B-5D54D72FD16D}" name="D6" dataDxfId="149">
      <calculatedColumnFormula>IF($B$2="(Todas)",COUNTIF(BASE[CODCIE1010],GUIA_NACIONAL_2022_1106128105107111115129130250[[#This Row],[CIE-10]]),COUNTIFS(BASE[Cod.Establecimiento],$B$2,BASE[CODCIE1010],GUIA_NACIONAL_2022_1106128105107111115129130250[[#This Row],[CIE-10]]))</calculatedColumnFormula>
    </tableColumn>
    <tableColumn id="8" xr3:uid="{5A6EBCBC-0EAC-4CDA-BBED-F94D9B0C0FDA}" name="TOT" dataDxfId="148" dataCellStyle="40% - Énfasis6">
      <calculatedColumnFormula>SUM(GUIA_NACIONAL_2022_1106128105107111115129130250[[#This Row],[D1]:[D6]])</calculatedColumnFormula>
    </tableColumn>
  </tableColumns>
  <tableStyleInfo name="TableStyleLight12"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196F8227-9149-4F2D-B4AF-A6F4F7BFDA5D}" name="GUIA_NACIONAL_2022_1106128105107111115129130250251" displayName="GUIA_NACIONAL_2022_1106128105107111115129130250251" ref="CG30:CN31" totalsRowShown="0" headerRowDxfId="147">
  <tableColumns count="8">
    <tableColumn id="1" xr3:uid="{BC2CD186-0BB6-4392-B3FC-07D185BCC7E9}" name="CIE-10" dataCellStyle="20% - Énfasis4"/>
    <tableColumn id="2" xr3:uid="{6FA63126-D8A6-4C7B-BBA1-1CAFB713A760}" name="D1" dataDxfId="146">
      <calculatedColumnFormula>IF($B$2="(Todas)",COUNTIF(BASE[CODCIE10],GUIA_NACIONAL_2022_1106128105107111115129130250251[[#This Row],[CIE-10]]),COUNTIFS(BASE[Cod.Establecimiento],$B$2,BASE[CODCIE10],GUIA_NACIONAL_2022_1106128105107111115129130250251[[#This Row],[CIE-10]]))</calculatedColumnFormula>
    </tableColumn>
    <tableColumn id="3" xr3:uid="{5B91D7FB-B458-4145-B2E4-3BD4713CC3F7}" name="D2" dataDxfId="145">
      <calculatedColumnFormula>IF($B$2="(Todas)",COUNTIF(BASE[CODCIE102],GUIA_NACIONAL_2022_1106128105107111115129130250251[[#This Row],[CIE-10]]),COUNTIFS(BASE[Cod.Establecimiento],$B$2,BASE[CODCIE102],GUIA_NACIONAL_2022_1106128105107111115129130250251[[#This Row],[CIE-10]]))</calculatedColumnFormula>
    </tableColumn>
    <tableColumn id="4" xr3:uid="{4B1E3671-77B1-4E98-962E-3FCAF9F9A822}" name="D3" dataDxfId="144">
      <calculatedColumnFormula>IF($B$2="(Todas)",COUNTIF(BASE[CODCIE104],GUIA_NACIONAL_2022_1106128105107111115129130250251[[#This Row],[CIE-10]]),COUNTIFS(BASE[Cod.Establecimiento],$B$2,BASE[CODCIE104],GUIA_NACIONAL_2022_1106128105107111115129130250251[[#This Row],[CIE-10]]))</calculatedColumnFormula>
    </tableColumn>
    <tableColumn id="5" xr3:uid="{170DADF7-A1C7-495B-8F32-77F2894FB648}" name="D4" dataDxfId="143">
      <calculatedColumnFormula>IF($B$2="(Todas)",COUNTIF(BASE[CODCIE106],GUIA_NACIONAL_2022_1106128105107111115129130250251[[#This Row],[CIE-10]]),COUNTIFS(BASE[Cod.Establecimiento],$B$2,BASE[CODCIE106],GUIA_NACIONAL_2022_1106128105107111115129130250251[[#This Row],[CIE-10]]))</calculatedColumnFormula>
    </tableColumn>
    <tableColumn id="6" xr3:uid="{6F775558-10B3-45B6-9E8A-F6C7FFAA96F1}" name="D5" dataDxfId="142">
      <calculatedColumnFormula>IF($B$2="(Todas)",COUNTIF(BASE[CODCIE108],GUIA_NACIONAL_2022_1106128105107111115129130250251[[#This Row],[CIE-10]]),COUNTIFS(BASE[Cod.Establecimiento],$B$2,BASE[CODCIE108],GUIA_NACIONAL_2022_1106128105107111115129130250251[[#This Row],[CIE-10]]))</calculatedColumnFormula>
    </tableColumn>
    <tableColumn id="7" xr3:uid="{676D35A9-B809-4F72-BE79-A95F03774F83}" name="D6" dataDxfId="141">
      <calculatedColumnFormula>IF($B$2="(Todas)",COUNTIF(BASE[CODCIE1010],GUIA_NACIONAL_2022_1106128105107111115129130250251[[#This Row],[CIE-10]]),COUNTIFS(BASE[Cod.Establecimiento],$B$2,BASE[CODCIE1010],GUIA_NACIONAL_2022_1106128105107111115129130250251[[#This Row],[CIE-10]]))</calculatedColumnFormula>
    </tableColumn>
    <tableColumn id="8" xr3:uid="{9061EB2C-1F56-43EF-BE1E-A1CA8C484E9F}" name="TOT" dataDxfId="140" dataCellStyle="40% - Énfasis6">
      <calculatedColumnFormula>SUM(GUIA_NACIONAL_2022_1106128105107111115129130250251[[#This Row],[D1]:[D6]])</calculatedColumnFormula>
    </tableColumn>
  </tableColumns>
  <tableStyleInfo name="TableStyleLight12"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57DFCB9-9001-4F32-BC99-533689DB5AC2}" name="GUIA_NACIONAL_2022_1106128105107111115129130250251252" displayName="GUIA_NACIONAL_2022_1106128105107111115129130250251252" ref="CG33:CN43" totalsRowShown="0" headerRowDxfId="139">
  <tableColumns count="8">
    <tableColumn id="1" xr3:uid="{3106C332-43B0-465A-8D62-CCF1073959F6}" name="CIE-10" dataCellStyle="20% - Énfasis4"/>
    <tableColumn id="2" xr3:uid="{55B24048-6433-4616-BB97-7A2123CD1CB6}" name="D1" dataDxfId="138">
      <calculatedColumnFormula>IF($B$2="(Todas)",COUNTIF(BASE[CODCIE10],GUIA_NACIONAL_2022_1106128105107111115129130250251252[[#This Row],[CIE-10]]),COUNTIFS(BASE[Cod.Establecimiento],$B$2,BASE[CODCIE10],GUIA_NACIONAL_2022_1106128105107111115129130250251252[[#This Row],[CIE-10]]))</calculatedColumnFormula>
    </tableColumn>
    <tableColumn id="3" xr3:uid="{82A9980E-9115-4547-B0F5-17EF71C57949}" name="D2" dataDxfId="137">
      <calculatedColumnFormula>IF($B$2="(Todas)",COUNTIF(BASE[CODCIE102],GUIA_NACIONAL_2022_1106128105107111115129130250251252[[#This Row],[CIE-10]]),COUNTIFS(BASE[Cod.Establecimiento],$B$2,BASE[CODCIE102],GUIA_NACIONAL_2022_1106128105107111115129130250251252[[#This Row],[CIE-10]]))</calculatedColumnFormula>
    </tableColumn>
    <tableColumn id="4" xr3:uid="{149E7566-8E80-4510-B44E-7F3D220E66A0}" name="D3" dataDxfId="136">
      <calculatedColumnFormula>IF($B$2="(Todas)",COUNTIF(BASE[CODCIE104],GUIA_NACIONAL_2022_1106128105107111115129130250251252[[#This Row],[CIE-10]]),COUNTIFS(BASE[Cod.Establecimiento],$B$2,BASE[CODCIE104],GUIA_NACIONAL_2022_1106128105107111115129130250251252[[#This Row],[CIE-10]]))</calculatedColumnFormula>
    </tableColumn>
    <tableColumn id="5" xr3:uid="{0191D131-6FE7-4D29-8CD8-A7739892EF29}" name="D4" dataDxfId="135">
      <calculatedColumnFormula>IF($B$2="(Todas)",COUNTIF(BASE[CODCIE106],GUIA_NACIONAL_2022_1106128105107111115129130250251252[[#This Row],[CIE-10]]),COUNTIFS(BASE[Cod.Establecimiento],$B$2,BASE[CODCIE106],GUIA_NACIONAL_2022_1106128105107111115129130250251252[[#This Row],[CIE-10]]))</calculatedColumnFormula>
    </tableColumn>
    <tableColumn id="6" xr3:uid="{A58CCC1E-F46C-4CD9-8DCA-CDB894E37DBC}" name="D5" dataDxfId="134">
      <calculatedColumnFormula>IF($B$2="(Todas)",COUNTIF(BASE[CODCIE108],GUIA_NACIONAL_2022_1106128105107111115129130250251252[[#This Row],[CIE-10]]),COUNTIFS(BASE[Cod.Establecimiento],$B$2,BASE[CODCIE108],GUIA_NACIONAL_2022_1106128105107111115129130250251252[[#This Row],[CIE-10]]))</calculatedColumnFormula>
    </tableColumn>
    <tableColumn id="7" xr3:uid="{5587FE08-0F7D-47CE-BFF5-58902F185CDF}" name="D6" dataDxfId="133">
      <calculatedColumnFormula>IF($B$2="(Todas)",COUNTIF(BASE[CODCIE1010],GUIA_NACIONAL_2022_1106128105107111115129130250251252[[#This Row],[CIE-10]]),COUNTIFS(BASE[Cod.Establecimiento],$B$2,BASE[CODCIE1010],GUIA_NACIONAL_2022_1106128105107111115129130250251252[[#This Row],[CIE-10]]))</calculatedColumnFormula>
    </tableColumn>
    <tableColumn id="8" xr3:uid="{0B8B9CF3-71AF-4EC4-A586-83077684C231}" name="TOT" dataDxfId="132" dataCellStyle="40% - Énfasis6">
      <calculatedColumnFormula>SUM(GUIA_NACIONAL_2022_1106128105107111115129130250251252[[#This Row],[D1]:[D6]])</calculatedColumnFormula>
    </tableColumn>
  </tableColumns>
  <tableStyleInfo name="TableStyleLight12"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6703A3B8-553B-418C-B38D-07C321CEE7D6}" name="GUIA_NACIONAL_2022_1106128105107111115129130250251252253" displayName="GUIA_NACIONAL_2022_1106128105107111115129130250251252253" ref="CG45:CN55" totalsRowShown="0" headerRowDxfId="131">
  <tableColumns count="8">
    <tableColumn id="1" xr3:uid="{9D9791F5-E526-4518-B909-1B86466588F3}" name="CIE-10" dataCellStyle="20% - Énfasis4"/>
    <tableColumn id="2" xr3:uid="{0A8399F0-FE12-49FE-9B81-D150A7340DA2}" name="D1" dataDxfId="130">
      <calculatedColumnFormula>IF($B$2="(Todas)",COUNTIF(BASE[CODCIE10],GUIA_NACIONAL_2022_1106128105107111115129130250251252253[[#This Row],[CIE-10]]),COUNTIFS(BASE[Cod.Establecimiento],$B$2,BASE[CODCIE10],GUIA_NACIONAL_2022_1106128105107111115129130250251252253[[#This Row],[CIE-10]]))</calculatedColumnFormula>
    </tableColumn>
    <tableColumn id="3" xr3:uid="{D61331DB-AB48-40F9-8701-4792091AFD4B}" name="D2" dataDxfId="129">
      <calculatedColumnFormula>IF($B$2="(Todas)",COUNTIF(BASE[CODCIE102],GUIA_NACIONAL_2022_1106128105107111115129130250251252253[[#This Row],[CIE-10]]),COUNTIFS(BASE[Cod.Establecimiento],$B$2,BASE[CODCIE102],GUIA_NACIONAL_2022_1106128105107111115129130250251252253[[#This Row],[CIE-10]]))</calculatedColumnFormula>
    </tableColumn>
    <tableColumn id="4" xr3:uid="{019AD3D7-FE74-442D-8154-859F4AEAB62E}" name="D3" dataDxfId="128">
      <calculatedColumnFormula>IF($B$2="(Todas)",COUNTIF(BASE[CODCIE104],GUIA_NACIONAL_2022_1106128105107111115129130250251252253[[#This Row],[CIE-10]]),COUNTIFS(BASE[Cod.Establecimiento],$B$2,BASE[CODCIE104],GUIA_NACIONAL_2022_1106128105107111115129130250251252253[[#This Row],[CIE-10]]))</calculatedColumnFormula>
    </tableColumn>
    <tableColumn id="5" xr3:uid="{AAB1FF4A-C88E-48AF-8B38-9E6F01B4C2B2}" name="D4" dataDxfId="127">
      <calculatedColumnFormula>IF($B$2="(Todas)",COUNTIF(BASE[CODCIE106],GUIA_NACIONAL_2022_1106128105107111115129130250251252253[[#This Row],[CIE-10]]),COUNTIFS(BASE[Cod.Establecimiento],$B$2,BASE[CODCIE106],GUIA_NACIONAL_2022_1106128105107111115129130250251252253[[#This Row],[CIE-10]]))</calculatedColumnFormula>
    </tableColumn>
    <tableColumn id="6" xr3:uid="{53C23A61-70EC-4462-8918-FAECE496ABC8}" name="D5" dataDxfId="126">
      <calculatedColumnFormula>IF($B$2="(Todas)",COUNTIF(BASE[CODCIE108],GUIA_NACIONAL_2022_1106128105107111115129130250251252253[[#This Row],[CIE-10]]),COUNTIFS(BASE[Cod.Establecimiento],$B$2,BASE[CODCIE108],GUIA_NACIONAL_2022_1106128105107111115129130250251252253[[#This Row],[CIE-10]]))</calculatedColumnFormula>
    </tableColumn>
    <tableColumn id="7" xr3:uid="{3BC38466-BCF5-4EC7-9912-6A4543654A34}" name="D6" dataDxfId="125">
      <calculatedColumnFormula>IF($B$2="(Todas)",COUNTIF(BASE[CODCIE1010],GUIA_NACIONAL_2022_1106128105107111115129130250251252253[[#This Row],[CIE-10]]),COUNTIFS(BASE[Cod.Establecimiento],$B$2,BASE[CODCIE1010],GUIA_NACIONAL_2022_1106128105107111115129130250251252253[[#This Row],[CIE-10]]))</calculatedColumnFormula>
    </tableColumn>
    <tableColumn id="8" xr3:uid="{434080D6-37C0-4EEB-B91F-88E78E4B1F03}" name="TOT" dataDxfId="124" dataCellStyle="40% - Énfasis6">
      <calculatedColumnFormula>SUM(GUIA_NACIONAL_2022_1106128105107111115129130250251252253[[#This Row],[D1]:[D6]])</calculatedColumnFormula>
    </tableColumn>
  </tableColumns>
  <tableStyleInfo name="TableStyleLight12"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496F571B-80BC-4FA1-BCFD-39235FFE398B}" name="GUIA_NACIONAL_2022_1106128105107111115129130131254" displayName="GUIA_NACIONAL_2022_1106128105107111115129130131254" ref="CP7:CW8" totalsRowShown="0" headerRowDxfId="123">
  <tableColumns count="8">
    <tableColumn id="1" xr3:uid="{C4245619-90C1-42AB-A7AB-3E551B6EDCE0}" name="CIE-10" dataCellStyle="20% - Énfasis4"/>
    <tableColumn id="2" xr3:uid="{5A0AE592-1CD9-488B-B08D-C500B68EAC32}" name="D1" dataDxfId="122">
      <calculatedColumnFormula>IF($B$2="(Todas)",COUNTIF(BASE[CODCIE10],GUIA_NACIONAL_2022_1106128105107111115129130131254[[#This Row],[CIE-10]]),COUNTIFS(BASE[Cod.Establecimiento],$B$2,BASE[CODCIE10],GUIA_NACIONAL_2022_1106128105107111115129130131254[[#This Row],[CIE-10]]))</calculatedColumnFormula>
    </tableColumn>
    <tableColumn id="3" xr3:uid="{FA525E31-36C1-4503-9B2A-E5D71AECA7DF}" name="D2" dataDxfId="121">
      <calculatedColumnFormula>IF($B$2="(Todas)",COUNTIF(BASE[CODCIE102],GUIA_NACIONAL_2022_1106128105107111115129130131254[[#This Row],[CIE-10]]),COUNTIFS(BASE[Cod.Establecimiento],$B$2,BASE[CODCIE102],GUIA_NACIONAL_2022_1106128105107111115129130131254[[#This Row],[CIE-10]]))</calculatedColumnFormula>
    </tableColumn>
    <tableColumn id="4" xr3:uid="{AE1C034F-271A-484E-9B4B-A4C3BC2D32A3}" name="D3" dataDxfId="120">
      <calculatedColumnFormula>IF($B$2="(Todas)",COUNTIF(BASE[CODCIE104],GUIA_NACIONAL_2022_1106128105107111115129130131254[[#This Row],[CIE-10]]),COUNTIFS(BASE[Cod.Establecimiento],$B$2,BASE[CODCIE104],GUIA_NACIONAL_2022_1106128105107111115129130131254[[#This Row],[CIE-10]]))</calculatedColumnFormula>
    </tableColumn>
    <tableColumn id="5" xr3:uid="{21B52527-C5CB-41A1-9DB3-D30B4F0B8732}" name="D4" dataDxfId="119">
      <calculatedColumnFormula>IF($B$2="(Todas)",COUNTIF(BASE[CODCIE106],GUIA_NACIONAL_2022_1106128105107111115129130131254[[#This Row],[CIE-10]]),COUNTIFS(BASE[Cod.Establecimiento],$B$2,BASE[CODCIE106],GUIA_NACIONAL_2022_1106128105107111115129130131254[[#This Row],[CIE-10]]))</calculatedColumnFormula>
    </tableColumn>
    <tableColumn id="6" xr3:uid="{94C915B3-B1A7-40F5-8938-0FFCF0E05137}" name="D5" dataDxfId="118">
      <calculatedColumnFormula>IF($B$2="(Todas)",COUNTIF(BASE[CODCIE108],GUIA_NACIONAL_2022_1106128105107111115129130131254[[#This Row],[CIE-10]]),COUNTIFS(BASE[Cod.Establecimiento],$B$2,BASE[CODCIE108],GUIA_NACIONAL_2022_1106128105107111115129130131254[[#This Row],[CIE-10]]))</calculatedColumnFormula>
    </tableColumn>
    <tableColumn id="7" xr3:uid="{984FDDE7-3F17-4565-B688-1FC483693D76}" name="D6" dataDxfId="117">
      <calculatedColumnFormula>IF($B$2="(Todas)",COUNTIF(BASE[CODCIE1010],GUIA_NACIONAL_2022_1106128105107111115129130131254[[#This Row],[CIE-10]]),COUNTIFS(BASE[Cod.Establecimiento],$B$2,BASE[CODCIE1010],GUIA_NACIONAL_2022_1106128105107111115129130131254[[#This Row],[CIE-10]]))</calculatedColumnFormula>
    </tableColumn>
    <tableColumn id="8" xr3:uid="{3B4B3C02-15FD-41EF-BCC7-4ADABDDD84FB}" name="TOT" dataDxfId="116" dataCellStyle="40% - Énfasis6">
      <calculatedColumnFormula>SUM(GUIA_NACIONAL_2022_1106128105107111115129130131254[[#This Row],[D1]:[D6]])</calculatedColumnFormula>
    </tableColumn>
  </tableColumns>
  <tableStyleInfo name="TableStyleLight12"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62EDF3C8-C22F-4257-BC10-EA47311A3859}" name="GUIA_NACIONAL_2022_1106128105107111115129130131255" displayName="GUIA_NACIONAL_2022_1106128105107111115129130131255" ref="CP10:CW11" totalsRowShown="0" headerRowDxfId="115">
  <tableColumns count="8">
    <tableColumn id="1" xr3:uid="{5D2F212D-C943-45FA-BC31-5CADABF5D27B}" name="CIE-10" dataCellStyle="20% - Énfasis4"/>
    <tableColumn id="2" xr3:uid="{0CE0B35C-9F29-4547-B17B-D1E581ACE9F4}" name="D1" dataDxfId="114">
      <calculatedColumnFormula>IF($B$2="(Todas)",COUNTIF(BASE[CODCIE10],GUIA_NACIONAL_2022_1106128105107111115129130131255[[#This Row],[CIE-10]]),COUNTIFS(BASE[Cod.Establecimiento],$B$2,BASE[CODCIE10],GUIA_NACIONAL_2022_1106128105107111115129130131255[[#This Row],[CIE-10]]))</calculatedColumnFormula>
    </tableColumn>
    <tableColumn id="3" xr3:uid="{FE41741F-36F0-42A5-A35E-26A199D0EF13}" name="D2" dataDxfId="113">
      <calculatedColumnFormula>IF($B$2="(Todas)",COUNTIF(BASE[CODCIE102],GUIA_NACIONAL_2022_1106128105107111115129130131255[[#This Row],[CIE-10]]),COUNTIFS(BASE[Cod.Establecimiento],$B$2,BASE[CODCIE102],GUIA_NACIONAL_2022_1106128105107111115129130131255[[#This Row],[CIE-10]]))</calculatedColumnFormula>
    </tableColumn>
    <tableColumn id="4" xr3:uid="{33FB5592-08FD-4377-9D2A-9AE60CBF0F47}" name="D3" dataDxfId="112">
      <calculatedColumnFormula>IF($B$2="(Todas)",COUNTIF(BASE[CODCIE104],GUIA_NACIONAL_2022_1106128105107111115129130131255[[#This Row],[CIE-10]]),COUNTIFS(BASE[Cod.Establecimiento],$B$2,BASE[CODCIE104],GUIA_NACIONAL_2022_1106128105107111115129130131255[[#This Row],[CIE-10]]))</calculatedColumnFormula>
    </tableColumn>
    <tableColumn id="5" xr3:uid="{A998DFCF-72CA-479D-A2DA-8F30CE47BF95}" name="D4" dataDxfId="111">
      <calculatedColumnFormula>IF($B$2="(Todas)",COUNTIF(BASE[CODCIE106],GUIA_NACIONAL_2022_1106128105107111115129130131255[[#This Row],[CIE-10]]),COUNTIFS(BASE[Cod.Establecimiento],$B$2,BASE[CODCIE106],GUIA_NACIONAL_2022_1106128105107111115129130131255[[#This Row],[CIE-10]]))</calculatedColumnFormula>
    </tableColumn>
    <tableColumn id="6" xr3:uid="{5161AF3F-D046-4205-87DC-ECBA6F0BFB30}" name="D5" dataDxfId="110">
      <calculatedColumnFormula>IF($B$2="(Todas)",COUNTIF(BASE[CODCIE108],GUIA_NACIONAL_2022_1106128105107111115129130131255[[#This Row],[CIE-10]]),COUNTIFS(BASE[Cod.Establecimiento],$B$2,BASE[CODCIE108],GUIA_NACIONAL_2022_1106128105107111115129130131255[[#This Row],[CIE-10]]))</calculatedColumnFormula>
    </tableColumn>
    <tableColumn id="7" xr3:uid="{FBE417EC-418F-4554-BB36-2B122E518D8E}" name="D6" dataDxfId="109">
      <calculatedColumnFormula>IF($B$2="(Todas)",COUNTIF(BASE[CODCIE1010],GUIA_NACIONAL_2022_1106128105107111115129130131255[[#This Row],[CIE-10]]),COUNTIFS(BASE[Cod.Establecimiento],$B$2,BASE[CODCIE1010],GUIA_NACIONAL_2022_1106128105107111115129130131255[[#This Row],[CIE-10]]))</calculatedColumnFormula>
    </tableColumn>
    <tableColumn id="8" xr3:uid="{B3FCD9D4-2FA0-4A00-98C8-25E5AC7EB792}" name="TOT" dataDxfId="108" dataCellStyle="40% - Énfasis6">
      <calculatedColumnFormula>SUM(GUIA_NACIONAL_2022_1106128105107111115129130131255[[#This Row],[D1]:[D6]])</calculatedColumnFormula>
    </tableColumn>
  </tableColumns>
  <tableStyleInfo name="TableStyleLight12"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FAF45CA3-472D-4F23-BCA9-D3CB9C941525}" name="GUIA_NACIONAL_2022_1106128105107111115129130131132133256" displayName="GUIA_NACIONAL_2022_1106128105107111115129130131132133256" ref="DH7:DO18" totalsRowShown="0" headerRowDxfId="107">
  <tableColumns count="8">
    <tableColumn id="1" xr3:uid="{5C0900A8-BAFE-46A6-BFAA-DD2FE9072A82}" name="CIE-10" dataCellStyle="20% - Énfasis4"/>
    <tableColumn id="2" xr3:uid="{4E00524A-3F9A-4873-A92E-F83525DFA3E9}" name="D1" dataDxfId="106">
      <calculatedColumnFormula>IF($B$2="(Todas)",COUNTIF(BASE[CODCIE10],GUIA_NACIONAL_2022_1106128105107111115129130131132133256[[#This Row],[CIE-10]]),COUNTIFS(BASE[Cod.Establecimiento],$B$2,BASE[CODCIE10],GUIA_NACIONAL_2022_1106128105107111115129130131132133256[[#This Row],[CIE-10]]))</calculatedColumnFormula>
    </tableColumn>
    <tableColumn id="3" xr3:uid="{5C83365A-3890-43FA-A5C8-1E4B597D1475}" name="D2" dataDxfId="105">
      <calculatedColumnFormula>IF($B$2="(Todas)",COUNTIF(BASE[CODCIE102],GUIA_NACIONAL_2022_1106128105107111115129130131132133256[[#This Row],[CIE-10]]),COUNTIFS(BASE[Cod.Establecimiento],$B$2,BASE[CODCIE102],GUIA_NACIONAL_2022_1106128105107111115129130131132133256[[#This Row],[CIE-10]]))</calculatedColumnFormula>
    </tableColumn>
    <tableColumn id="4" xr3:uid="{EF61A8DE-4A11-47A9-8AB9-E8E59A087857}" name="D3" dataDxfId="104">
      <calculatedColumnFormula>IF($B$2="(Todas)",COUNTIF(BASE[CODCIE104],GUIA_NACIONAL_2022_1106128105107111115129130131132133256[[#This Row],[CIE-10]]),COUNTIFS(BASE[Cod.Establecimiento],$B$2,BASE[CODCIE104],GUIA_NACIONAL_2022_1106128105107111115129130131132133256[[#This Row],[CIE-10]]))</calculatedColumnFormula>
    </tableColumn>
    <tableColumn id="5" xr3:uid="{368758A8-759C-4C71-AEB4-74332A6973FE}" name="D4" dataDxfId="103">
      <calculatedColumnFormula>IF($B$2="(Todas)",COUNTIF(BASE[CODCIE106],GUIA_NACIONAL_2022_1106128105107111115129130131132133256[[#This Row],[CIE-10]]),COUNTIFS(BASE[Cod.Establecimiento],$B$2,BASE[CODCIE106],GUIA_NACIONAL_2022_1106128105107111115129130131132133256[[#This Row],[CIE-10]]))</calculatedColumnFormula>
    </tableColumn>
    <tableColumn id="6" xr3:uid="{570CAAE8-A734-4DE7-8286-DF5C70E8D7AF}" name="D5" dataDxfId="102">
      <calculatedColumnFormula>IF($B$2="(Todas)",COUNTIF(BASE[CODCIE108],GUIA_NACIONAL_2022_1106128105107111115129130131132133256[[#This Row],[CIE-10]]),COUNTIFS(BASE[Cod.Establecimiento],$B$2,BASE[CODCIE108],GUIA_NACIONAL_2022_1106128105107111115129130131132133256[[#This Row],[CIE-10]]))</calculatedColumnFormula>
    </tableColumn>
    <tableColumn id="7" xr3:uid="{7892CEB5-F6DE-4646-A43E-379CF5E922D0}" name="D6" dataDxfId="101">
      <calculatedColumnFormula>IF($B$2="(Todas)",COUNTIF(BASE[CODCIE1010],GUIA_NACIONAL_2022_1106128105107111115129130131132133256[[#This Row],[CIE-10]]),COUNTIFS(BASE[Cod.Establecimiento],$B$2,BASE[CODCIE1010],GUIA_NACIONAL_2022_1106128105107111115129130131132133256[[#This Row],[CIE-10]]))</calculatedColumnFormula>
    </tableColumn>
    <tableColumn id="8" xr3:uid="{B196E23A-4345-46E8-AECA-A2C5D0FA543D}" name="TOT" dataDxfId="100" dataCellStyle="40% - Énfasis6">
      <calculatedColumnFormula>SUM(GUIA_NACIONAL_2022_1106128105107111115129130131132133256[[#This Row],[D1]:[D6]])</calculatedColumnFormula>
    </tableColumn>
  </tableColumns>
  <tableStyleInfo name="TableStyleLight12"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28807FE0-77AB-44CE-835D-ECEA84E92C62}" name="GUIA_NACIONAL_2022_1106128105107110207210231257" displayName="GUIA_NACIONAL_2022_1106128105107110207210231257" ref="DH20:DO21" totalsRowShown="0" headerRowDxfId="99">
  <tableColumns count="8">
    <tableColumn id="1" xr3:uid="{A82C0F40-E720-4AE0-8F87-32E2986C5251}" name="CIE-10" dataCellStyle="20% - Énfasis4"/>
    <tableColumn id="2" xr3:uid="{D60A0F84-E64D-4879-8C26-B5195D9B47ED}" name="D1" dataDxfId="98">
      <calculatedColumnFormula>IF($B$2="(Todas)",COUNTIF(BASE[CODCIE10],GUIA_NACIONAL_2022_1106128105107110207210231257[[#This Row],[CIE-10]]),COUNTIFS(BASE[Cod.Establecimiento],$B$2,BASE[CODCIE10],GUIA_NACIONAL_2022_1106128105107110207210231257[[#This Row],[CIE-10]]))</calculatedColumnFormula>
    </tableColumn>
    <tableColumn id="3" xr3:uid="{66259AA3-1869-48A9-B93C-AB36A398CE14}" name="D2" dataDxfId="97">
      <calculatedColumnFormula>IF($B$2="(Todas)",COUNTIF(BASE[CODCIE102],GUIA_NACIONAL_2022_1106128105107110207210231257[[#This Row],[CIE-10]]),COUNTIFS(BASE[Cod.Establecimiento],$B$2,BASE[CODCIE102],GUIA_NACIONAL_2022_1106128105107110207210231257[[#This Row],[CIE-10]]))</calculatedColumnFormula>
    </tableColumn>
    <tableColumn id="4" xr3:uid="{AF616E34-DDBF-4DB6-8A67-4069886805F9}" name="D3" dataDxfId="96">
      <calculatedColumnFormula>IF($B$2="(Todas)",COUNTIF(BASE[CODCIE104],GUIA_NACIONAL_2022_1106128105107110207210231257[[#This Row],[CIE-10]]),COUNTIFS(BASE[Cod.Establecimiento],$B$2,BASE[CODCIE104],GUIA_NACIONAL_2022_1106128105107110207210231257[[#This Row],[CIE-10]]))</calculatedColumnFormula>
    </tableColumn>
    <tableColumn id="5" xr3:uid="{8EB11F59-DCBD-45C6-96A8-88F1E0844450}" name="D4" dataDxfId="95">
      <calculatedColumnFormula>IF($B$2="(Todas)",COUNTIF(BASE[CODCIE106],GUIA_NACIONAL_2022_1106128105107110207210231257[[#This Row],[CIE-10]]),COUNTIFS(BASE[Cod.Establecimiento],$B$2,BASE[CODCIE106],GUIA_NACIONAL_2022_1106128105107110207210231257[[#This Row],[CIE-10]]))</calculatedColumnFormula>
    </tableColumn>
    <tableColumn id="6" xr3:uid="{BF2F7FB4-0867-48AF-8E3C-83A6A3DEECC4}" name="D5" dataDxfId="94">
      <calculatedColumnFormula>IF($B$2="(Todas)",COUNTIF(BASE[CODCIE108],GUIA_NACIONAL_2022_1106128105107110207210231257[[#This Row],[CIE-10]]),COUNTIFS(BASE[Cod.Establecimiento],$B$2,BASE[CODCIE108],GUIA_NACIONAL_2022_1106128105107110207210231257[[#This Row],[CIE-10]]))</calculatedColumnFormula>
    </tableColumn>
    <tableColumn id="7" xr3:uid="{98A1C957-7F62-4A42-84DD-4885A3D9B431}" name="D6" dataDxfId="93">
      <calculatedColumnFormula>IF($B$2="(Todas)",COUNTIF(BASE[CODCIE1010],GUIA_NACIONAL_2022_1106128105107110207210231257[[#This Row],[CIE-10]]),COUNTIFS(BASE[Cod.Establecimiento],$B$2,BASE[CODCIE1010],GUIA_NACIONAL_2022_1106128105107110207210231257[[#This Row],[CIE-10]]))</calculatedColumnFormula>
    </tableColumn>
    <tableColumn id="8" xr3:uid="{A7FAB608-8BCB-4181-ABB0-B34638CA7517}" name="TOT" dataDxfId="92" dataCellStyle="40% - Énfasis6">
      <calculatedColumnFormula>SUM(GUIA_NACIONAL_2022_1106128105107110207210231257[[#This Row],[D1]:[D6]])</calculatedColumnFormula>
    </tableColumn>
  </tableColumns>
  <tableStyleInfo name="TableStyleLight12"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6AAAC67E-98A1-48FD-BF86-F3941A951225}" name="GUIA_NACIONAL_2022_1106128105107111115129130131132133256258" displayName="GUIA_NACIONAL_2022_1106128105107111115129130131132133256258" ref="DH23:DO24" totalsRowShown="0" headerRowDxfId="91">
  <tableColumns count="8">
    <tableColumn id="1" xr3:uid="{C2E43ADD-9952-48ED-883D-308E54072DC4}" name="CIE-10" dataCellStyle="20% - Énfasis4"/>
    <tableColumn id="2" xr3:uid="{9A4A916C-8F95-4938-BC2A-0F8B12197664}" name="D1" dataDxfId="90">
      <calculatedColumnFormula>IF($B$2="(Todas)",COUNTIF(BASE[CODCIE10],GUIA_NACIONAL_2022_1106128105107111115129130131132133256258[[#This Row],[CIE-10]]),COUNTIFS(BASE[Cod.Establecimiento],$B$2,BASE[CODCIE10],GUIA_NACIONAL_2022_1106128105107111115129130131132133256258[[#This Row],[CIE-10]]))</calculatedColumnFormula>
    </tableColumn>
    <tableColumn id="3" xr3:uid="{FF2B1A2C-C8BB-4AD5-9B27-D858CB159F6E}" name="D2" dataDxfId="89">
      <calculatedColumnFormula>IF($B$2="(Todas)",COUNTIF(BASE[CODCIE102],GUIA_NACIONAL_2022_1106128105107111115129130131132133256258[[#This Row],[CIE-10]]),COUNTIFS(BASE[Cod.Establecimiento],$B$2,BASE[CODCIE102],GUIA_NACIONAL_2022_1106128105107111115129130131132133256258[[#This Row],[CIE-10]]))</calculatedColumnFormula>
    </tableColumn>
    <tableColumn id="4" xr3:uid="{EB704C06-2607-463A-9827-A0EC8908A1AD}" name="D3" dataDxfId="88">
      <calculatedColumnFormula>IF($B$2="(Todas)",COUNTIF(BASE[CODCIE104],GUIA_NACIONAL_2022_1106128105107111115129130131132133256258[[#This Row],[CIE-10]]),COUNTIFS(BASE[Cod.Establecimiento],$B$2,BASE[CODCIE104],GUIA_NACIONAL_2022_1106128105107111115129130131132133256258[[#This Row],[CIE-10]]))</calculatedColumnFormula>
    </tableColumn>
    <tableColumn id="5" xr3:uid="{EADFA66B-E016-4508-88B9-88C29BA79C5D}" name="D4" dataDxfId="87">
      <calculatedColumnFormula>IF($B$2="(Todas)",COUNTIF(BASE[CODCIE106],GUIA_NACIONAL_2022_1106128105107111115129130131132133256258[[#This Row],[CIE-10]]),COUNTIFS(BASE[Cod.Establecimiento],$B$2,BASE[CODCIE106],GUIA_NACIONAL_2022_1106128105107111115129130131132133256258[[#This Row],[CIE-10]]))</calculatedColumnFormula>
    </tableColumn>
    <tableColumn id="6" xr3:uid="{6021BC48-0C09-4B17-86CB-2C58970A0254}" name="D5" dataDxfId="86">
      <calculatedColumnFormula>IF($B$2="(Todas)",COUNTIF(BASE[CODCIE108],GUIA_NACIONAL_2022_1106128105107111115129130131132133256258[[#This Row],[CIE-10]]),COUNTIFS(BASE[Cod.Establecimiento],$B$2,BASE[CODCIE108],GUIA_NACIONAL_2022_1106128105107111115129130131132133256258[[#This Row],[CIE-10]]))</calculatedColumnFormula>
    </tableColumn>
    <tableColumn id="7" xr3:uid="{43B5FF5D-E44B-41E0-BBFC-0CF1ADC6BFD4}" name="D6" dataDxfId="85">
      <calculatedColumnFormula>IF($B$2="(Todas)",COUNTIF(BASE[CODCIE1010],GUIA_NACIONAL_2022_1106128105107111115129130131132133256258[[#This Row],[CIE-10]]),COUNTIFS(BASE[Cod.Establecimiento],$B$2,BASE[CODCIE1010],GUIA_NACIONAL_2022_1106128105107111115129130131132133256258[[#This Row],[CIE-10]]))</calculatedColumnFormula>
    </tableColumn>
    <tableColumn id="8" xr3:uid="{4A3CECA0-6234-4333-98F7-C4A26B965BC3}" name="TOT" dataDxfId="84" dataCellStyle="40% - Énfasis6">
      <calculatedColumnFormula>SUM(GUIA_NACIONAL_2022_1106128105107111115129130131132133256258[[#This Row],[D1]:[D6]])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21.xml"/><Relationship Id="rId18" Type="http://schemas.openxmlformats.org/officeDocument/2006/relationships/table" Target="../tables/table26.xml"/><Relationship Id="rId26" Type="http://schemas.openxmlformats.org/officeDocument/2006/relationships/table" Target="../tables/table34.xml"/><Relationship Id="rId39" Type="http://schemas.openxmlformats.org/officeDocument/2006/relationships/table" Target="../tables/table47.xml"/><Relationship Id="rId21" Type="http://schemas.openxmlformats.org/officeDocument/2006/relationships/table" Target="../tables/table29.xml"/><Relationship Id="rId34" Type="http://schemas.openxmlformats.org/officeDocument/2006/relationships/table" Target="../tables/table42.xml"/><Relationship Id="rId42" Type="http://schemas.openxmlformats.org/officeDocument/2006/relationships/table" Target="../tables/table50.xml"/><Relationship Id="rId47" Type="http://schemas.openxmlformats.org/officeDocument/2006/relationships/table" Target="../tables/table55.xml"/><Relationship Id="rId50" Type="http://schemas.openxmlformats.org/officeDocument/2006/relationships/table" Target="../tables/table58.xml"/><Relationship Id="rId7" Type="http://schemas.openxmlformats.org/officeDocument/2006/relationships/table" Target="../tables/table15.xml"/><Relationship Id="rId2" Type="http://schemas.openxmlformats.org/officeDocument/2006/relationships/printerSettings" Target="../printerSettings/printerSettings2.bin"/><Relationship Id="rId16" Type="http://schemas.openxmlformats.org/officeDocument/2006/relationships/table" Target="../tables/table24.xml"/><Relationship Id="rId29" Type="http://schemas.openxmlformats.org/officeDocument/2006/relationships/table" Target="../tables/table37.xml"/><Relationship Id="rId11" Type="http://schemas.openxmlformats.org/officeDocument/2006/relationships/table" Target="../tables/table19.xml"/><Relationship Id="rId24" Type="http://schemas.openxmlformats.org/officeDocument/2006/relationships/table" Target="../tables/table32.xml"/><Relationship Id="rId32" Type="http://schemas.openxmlformats.org/officeDocument/2006/relationships/table" Target="../tables/table40.xml"/><Relationship Id="rId37" Type="http://schemas.openxmlformats.org/officeDocument/2006/relationships/table" Target="../tables/table45.xml"/><Relationship Id="rId40" Type="http://schemas.openxmlformats.org/officeDocument/2006/relationships/table" Target="../tables/table48.xml"/><Relationship Id="rId45" Type="http://schemas.openxmlformats.org/officeDocument/2006/relationships/table" Target="../tables/table53.xml"/><Relationship Id="rId53" Type="http://schemas.openxmlformats.org/officeDocument/2006/relationships/comments" Target="../comments2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19" Type="http://schemas.openxmlformats.org/officeDocument/2006/relationships/table" Target="../tables/table27.xml"/><Relationship Id="rId31" Type="http://schemas.openxmlformats.org/officeDocument/2006/relationships/table" Target="../tables/table39.xml"/><Relationship Id="rId44" Type="http://schemas.openxmlformats.org/officeDocument/2006/relationships/table" Target="../tables/table52.xml"/><Relationship Id="rId52" Type="http://schemas.openxmlformats.org/officeDocument/2006/relationships/table" Target="../tables/table60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Relationship Id="rId14" Type="http://schemas.openxmlformats.org/officeDocument/2006/relationships/table" Target="../tables/table22.xml"/><Relationship Id="rId22" Type="http://schemas.openxmlformats.org/officeDocument/2006/relationships/table" Target="../tables/table30.xml"/><Relationship Id="rId27" Type="http://schemas.openxmlformats.org/officeDocument/2006/relationships/table" Target="../tables/table35.xml"/><Relationship Id="rId30" Type="http://schemas.openxmlformats.org/officeDocument/2006/relationships/table" Target="../tables/table38.xml"/><Relationship Id="rId35" Type="http://schemas.openxmlformats.org/officeDocument/2006/relationships/table" Target="../tables/table43.xml"/><Relationship Id="rId43" Type="http://schemas.openxmlformats.org/officeDocument/2006/relationships/table" Target="../tables/table51.xml"/><Relationship Id="rId48" Type="http://schemas.openxmlformats.org/officeDocument/2006/relationships/table" Target="../tables/table56.xml"/><Relationship Id="rId8" Type="http://schemas.openxmlformats.org/officeDocument/2006/relationships/table" Target="../tables/table16.xml"/><Relationship Id="rId51" Type="http://schemas.openxmlformats.org/officeDocument/2006/relationships/table" Target="../tables/table59.xml"/><Relationship Id="rId3" Type="http://schemas.openxmlformats.org/officeDocument/2006/relationships/vmlDrawing" Target="../drawings/vmlDrawing2.vml"/><Relationship Id="rId12" Type="http://schemas.openxmlformats.org/officeDocument/2006/relationships/table" Target="../tables/table20.xml"/><Relationship Id="rId17" Type="http://schemas.openxmlformats.org/officeDocument/2006/relationships/table" Target="../tables/table25.xml"/><Relationship Id="rId25" Type="http://schemas.openxmlformats.org/officeDocument/2006/relationships/table" Target="../tables/table33.xml"/><Relationship Id="rId33" Type="http://schemas.openxmlformats.org/officeDocument/2006/relationships/table" Target="../tables/table41.xml"/><Relationship Id="rId38" Type="http://schemas.openxmlformats.org/officeDocument/2006/relationships/table" Target="../tables/table46.xml"/><Relationship Id="rId46" Type="http://schemas.openxmlformats.org/officeDocument/2006/relationships/table" Target="../tables/table54.xml"/><Relationship Id="rId20" Type="http://schemas.openxmlformats.org/officeDocument/2006/relationships/table" Target="../tables/table28.xml"/><Relationship Id="rId41" Type="http://schemas.openxmlformats.org/officeDocument/2006/relationships/table" Target="../tables/table49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14.xml"/><Relationship Id="rId15" Type="http://schemas.openxmlformats.org/officeDocument/2006/relationships/table" Target="../tables/table23.xml"/><Relationship Id="rId23" Type="http://schemas.openxmlformats.org/officeDocument/2006/relationships/table" Target="../tables/table31.xml"/><Relationship Id="rId28" Type="http://schemas.openxmlformats.org/officeDocument/2006/relationships/table" Target="../tables/table36.xml"/><Relationship Id="rId36" Type="http://schemas.openxmlformats.org/officeDocument/2006/relationships/table" Target="../tables/table44.xml"/><Relationship Id="rId49" Type="http://schemas.openxmlformats.org/officeDocument/2006/relationships/table" Target="../tables/table57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69.xml"/><Relationship Id="rId18" Type="http://schemas.openxmlformats.org/officeDocument/2006/relationships/table" Target="../tables/table74.xml"/><Relationship Id="rId26" Type="http://schemas.openxmlformats.org/officeDocument/2006/relationships/table" Target="../tables/table82.xml"/><Relationship Id="rId39" Type="http://schemas.openxmlformats.org/officeDocument/2006/relationships/table" Target="../tables/table95.xml"/><Relationship Id="rId21" Type="http://schemas.openxmlformats.org/officeDocument/2006/relationships/table" Target="../tables/table77.xml"/><Relationship Id="rId34" Type="http://schemas.openxmlformats.org/officeDocument/2006/relationships/table" Target="../tables/table90.xml"/><Relationship Id="rId42" Type="http://schemas.openxmlformats.org/officeDocument/2006/relationships/table" Target="../tables/table98.xml"/><Relationship Id="rId47" Type="http://schemas.openxmlformats.org/officeDocument/2006/relationships/comments" Target="../comments3.xml"/><Relationship Id="rId7" Type="http://schemas.openxmlformats.org/officeDocument/2006/relationships/table" Target="../tables/table63.xml"/><Relationship Id="rId2" Type="http://schemas.openxmlformats.org/officeDocument/2006/relationships/hyperlink" Target="https://dgvs.mspbs.gov.py/files/guiaNacional/Guia-Vigilancia-2015.pdf" TargetMode="External"/><Relationship Id="rId16" Type="http://schemas.openxmlformats.org/officeDocument/2006/relationships/table" Target="../tables/table72.xml"/><Relationship Id="rId29" Type="http://schemas.openxmlformats.org/officeDocument/2006/relationships/table" Target="../tables/table85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62.xml"/><Relationship Id="rId11" Type="http://schemas.openxmlformats.org/officeDocument/2006/relationships/table" Target="../tables/table67.xml"/><Relationship Id="rId24" Type="http://schemas.openxmlformats.org/officeDocument/2006/relationships/table" Target="../tables/table80.xml"/><Relationship Id="rId32" Type="http://schemas.openxmlformats.org/officeDocument/2006/relationships/table" Target="../tables/table88.xml"/><Relationship Id="rId37" Type="http://schemas.openxmlformats.org/officeDocument/2006/relationships/table" Target="../tables/table93.xml"/><Relationship Id="rId40" Type="http://schemas.openxmlformats.org/officeDocument/2006/relationships/table" Target="../tables/table96.xml"/><Relationship Id="rId45" Type="http://schemas.openxmlformats.org/officeDocument/2006/relationships/table" Target="../tables/table101.xml"/><Relationship Id="rId5" Type="http://schemas.openxmlformats.org/officeDocument/2006/relationships/table" Target="../tables/table61.xml"/><Relationship Id="rId15" Type="http://schemas.openxmlformats.org/officeDocument/2006/relationships/table" Target="../tables/table71.xml"/><Relationship Id="rId23" Type="http://schemas.openxmlformats.org/officeDocument/2006/relationships/table" Target="../tables/table79.xml"/><Relationship Id="rId28" Type="http://schemas.openxmlformats.org/officeDocument/2006/relationships/table" Target="../tables/table84.xml"/><Relationship Id="rId36" Type="http://schemas.openxmlformats.org/officeDocument/2006/relationships/table" Target="../tables/table92.xml"/><Relationship Id="rId10" Type="http://schemas.openxmlformats.org/officeDocument/2006/relationships/table" Target="../tables/table66.xml"/><Relationship Id="rId19" Type="http://schemas.openxmlformats.org/officeDocument/2006/relationships/table" Target="../tables/table75.xml"/><Relationship Id="rId31" Type="http://schemas.openxmlformats.org/officeDocument/2006/relationships/table" Target="../tables/table87.xml"/><Relationship Id="rId44" Type="http://schemas.openxmlformats.org/officeDocument/2006/relationships/table" Target="../tables/table100.xml"/><Relationship Id="rId4" Type="http://schemas.openxmlformats.org/officeDocument/2006/relationships/vmlDrawing" Target="../drawings/vmlDrawing3.vml"/><Relationship Id="rId9" Type="http://schemas.openxmlformats.org/officeDocument/2006/relationships/table" Target="../tables/table65.xml"/><Relationship Id="rId14" Type="http://schemas.openxmlformats.org/officeDocument/2006/relationships/table" Target="../tables/table70.xml"/><Relationship Id="rId22" Type="http://schemas.openxmlformats.org/officeDocument/2006/relationships/table" Target="../tables/table78.xml"/><Relationship Id="rId27" Type="http://schemas.openxmlformats.org/officeDocument/2006/relationships/table" Target="../tables/table83.xml"/><Relationship Id="rId30" Type="http://schemas.openxmlformats.org/officeDocument/2006/relationships/table" Target="../tables/table86.xml"/><Relationship Id="rId35" Type="http://schemas.openxmlformats.org/officeDocument/2006/relationships/table" Target="../tables/table91.xml"/><Relationship Id="rId43" Type="http://schemas.openxmlformats.org/officeDocument/2006/relationships/table" Target="../tables/table99.xml"/><Relationship Id="rId8" Type="http://schemas.openxmlformats.org/officeDocument/2006/relationships/table" Target="../tables/table64.xml"/><Relationship Id="rId3" Type="http://schemas.openxmlformats.org/officeDocument/2006/relationships/printerSettings" Target="../printerSettings/printerSettings3.bin"/><Relationship Id="rId12" Type="http://schemas.openxmlformats.org/officeDocument/2006/relationships/table" Target="../tables/table68.xml"/><Relationship Id="rId17" Type="http://schemas.openxmlformats.org/officeDocument/2006/relationships/table" Target="../tables/table73.xml"/><Relationship Id="rId25" Type="http://schemas.openxmlformats.org/officeDocument/2006/relationships/table" Target="../tables/table81.xml"/><Relationship Id="rId33" Type="http://schemas.openxmlformats.org/officeDocument/2006/relationships/table" Target="../tables/table89.xml"/><Relationship Id="rId38" Type="http://schemas.openxmlformats.org/officeDocument/2006/relationships/table" Target="../tables/table94.xml"/><Relationship Id="rId46" Type="http://schemas.openxmlformats.org/officeDocument/2006/relationships/table" Target="../tables/table102.xml"/><Relationship Id="rId20" Type="http://schemas.openxmlformats.org/officeDocument/2006/relationships/table" Target="../tables/table76.xml"/><Relationship Id="rId41" Type="http://schemas.openxmlformats.org/officeDocument/2006/relationships/table" Target="../tables/table97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table" Target="../tables/table215.xml"/><Relationship Id="rId21" Type="http://schemas.openxmlformats.org/officeDocument/2006/relationships/table" Target="../tables/table119.xml"/><Relationship Id="rId42" Type="http://schemas.openxmlformats.org/officeDocument/2006/relationships/table" Target="../tables/table140.xml"/><Relationship Id="rId63" Type="http://schemas.openxmlformats.org/officeDocument/2006/relationships/table" Target="../tables/table161.xml"/><Relationship Id="rId84" Type="http://schemas.openxmlformats.org/officeDocument/2006/relationships/table" Target="../tables/table182.xml"/><Relationship Id="rId138" Type="http://schemas.openxmlformats.org/officeDocument/2006/relationships/table" Target="../tables/table236.xml"/><Relationship Id="rId107" Type="http://schemas.openxmlformats.org/officeDocument/2006/relationships/table" Target="../tables/table205.xml"/><Relationship Id="rId11" Type="http://schemas.openxmlformats.org/officeDocument/2006/relationships/table" Target="../tables/table109.xml"/><Relationship Id="rId32" Type="http://schemas.openxmlformats.org/officeDocument/2006/relationships/table" Target="../tables/table130.xml"/><Relationship Id="rId53" Type="http://schemas.openxmlformats.org/officeDocument/2006/relationships/table" Target="../tables/table151.xml"/><Relationship Id="rId74" Type="http://schemas.openxmlformats.org/officeDocument/2006/relationships/table" Target="../tables/table172.xml"/><Relationship Id="rId128" Type="http://schemas.openxmlformats.org/officeDocument/2006/relationships/table" Target="../tables/table226.xml"/><Relationship Id="rId149" Type="http://schemas.openxmlformats.org/officeDocument/2006/relationships/table" Target="../tables/table247.xml"/><Relationship Id="rId5" Type="http://schemas.openxmlformats.org/officeDocument/2006/relationships/table" Target="../tables/table103.xml"/><Relationship Id="rId95" Type="http://schemas.openxmlformats.org/officeDocument/2006/relationships/table" Target="../tables/table193.xml"/><Relationship Id="rId22" Type="http://schemas.openxmlformats.org/officeDocument/2006/relationships/table" Target="../tables/table120.xml"/><Relationship Id="rId27" Type="http://schemas.openxmlformats.org/officeDocument/2006/relationships/table" Target="../tables/table125.xml"/><Relationship Id="rId43" Type="http://schemas.openxmlformats.org/officeDocument/2006/relationships/table" Target="../tables/table141.xml"/><Relationship Id="rId48" Type="http://schemas.openxmlformats.org/officeDocument/2006/relationships/table" Target="../tables/table146.xml"/><Relationship Id="rId64" Type="http://schemas.openxmlformats.org/officeDocument/2006/relationships/table" Target="../tables/table162.xml"/><Relationship Id="rId69" Type="http://schemas.openxmlformats.org/officeDocument/2006/relationships/table" Target="../tables/table167.xml"/><Relationship Id="rId113" Type="http://schemas.openxmlformats.org/officeDocument/2006/relationships/table" Target="../tables/table211.xml"/><Relationship Id="rId118" Type="http://schemas.openxmlformats.org/officeDocument/2006/relationships/table" Target="../tables/table216.xml"/><Relationship Id="rId134" Type="http://schemas.openxmlformats.org/officeDocument/2006/relationships/table" Target="../tables/table232.xml"/><Relationship Id="rId139" Type="http://schemas.openxmlformats.org/officeDocument/2006/relationships/table" Target="../tables/table237.xml"/><Relationship Id="rId80" Type="http://schemas.openxmlformats.org/officeDocument/2006/relationships/table" Target="../tables/table178.xml"/><Relationship Id="rId85" Type="http://schemas.openxmlformats.org/officeDocument/2006/relationships/table" Target="../tables/table183.xml"/><Relationship Id="rId150" Type="http://schemas.openxmlformats.org/officeDocument/2006/relationships/table" Target="../tables/table248.xml"/><Relationship Id="rId12" Type="http://schemas.openxmlformats.org/officeDocument/2006/relationships/table" Target="../tables/table110.xml"/><Relationship Id="rId17" Type="http://schemas.openxmlformats.org/officeDocument/2006/relationships/table" Target="../tables/table115.xml"/><Relationship Id="rId33" Type="http://schemas.openxmlformats.org/officeDocument/2006/relationships/table" Target="../tables/table131.xml"/><Relationship Id="rId38" Type="http://schemas.openxmlformats.org/officeDocument/2006/relationships/table" Target="../tables/table136.xml"/><Relationship Id="rId59" Type="http://schemas.openxmlformats.org/officeDocument/2006/relationships/table" Target="../tables/table157.xml"/><Relationship Id="rId103" Type="http://schemas.openxmlformats.org/officeDocument/2006/relationships/table" Target="../tables/table201.xml"/><Relationship Id="rId108" Type="http://schemas.openxmlformats.org/officeDocument/2006/relationships/table" Target="../tables/table206.xml"/><Relationship Id="rId124" Type="http://schemas.openxmlformats.org/officeDocument/2006/relationships/table" Target="../tables/table222.xml"/><Relationship Id="rId129" Type="http://schemas.openxmlformats.org/officeDocument/2006/relationships/table" Target="../tables/table227.xml"/><Relationship Id="rId54" Type="http://schemas.openxmlformats.org/officeDocument/2006/relationships/table" Target="../tables/table152.xml"/><Relationship Id="rId70" Type="http://schemas.openxmlformats.org/officeDocument/2006/relationships/table" Target="../tables/table168.xml"/><Relationship Id="rId75" Type="http://schemas.openxmlformats.org/officeDocument/2006/relationships/table" Target="../tables/table173.xml"/><Relationship Id="rId91" Type="http://schemas.openxmlformats.org/officeDocument/2006/relationships/table" Target="../tables/table189.xml"/><Relationship Id="rId96" Type="http://schemas.openxmlformats.org/officeDocument/2006/relationships/table" Target="../tables/table194.xml"/><Relationship Id="rId140" Type="http://schemas.openxmlformats.org/officeDocument/2006/relationships/table" Target="../tables/table238.xml"/><Relationship Id="rId145" Type="http://schemas.openxmlformats.org/officeDocument/2006/relationships/table" Target="../tables/table243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104.xml"/><Relationship Id="rId23" Type="http://schemas.openxmlformats.org/officeDocument/2006/relationships/table" Target="../tables/table121.xml"/><Relationship Id="rId28" Type="http://schemas.openxmlformats.org/officeDocument/2006/relationships/table" Target="../tables/table126.xml"/><Relationship Id="rId49" Type="http://schemas.openxmlformats.org/officeDocument/2006/relationships/table" Target="../tables/table147.xml"/><Relationship Id="rId114" Type="http://schemas.openxmlformats.org/officeDocument/2006/relationships/table" Target="../tables/table212.xml"/><Relationship Id="rId119" Type="http://schemas.openxmlformats.org/officeDocument/2006/relationships/table" Target="../tables/table217.xml"/><Relationship Id="rId44" Type="http://schemas.openxmlformats.org/officeDocument/2006/relationships/table" Target="../tables/table142.xml"/><Relationship Id="rId60" Type="http://schemas.openxmlformats.org/officeDocument/2006/relationships/table" Target="../tables/table158.xml"/><Relationship Id="rId65" Type="http://schemas.openxmlformats.org/officeDocument/2006/relationships/table" Target="../tables/table163.xml"/><Relationship Id="rId81" Type="http://schemas.openxmlformats.org/officeDocument/2006/relationships/table" Target="../tables/table179.xml"/><Relationship Id="rId86" Type="http://schemas.openxmlformats.org/officeDocument/2006/relationships/table" Target="../tables/table184.xml"/><Relationship Id="rId130" Type="http://schemas.openxmlformats.org/officeDocument/2006/relationships/table" Target="../tables/table228.xml"/><Relationship Id="rId135" Type="http://schemas.openxmlformats.org/officeDocument/2006/relationships/table" Target="../tables/table233.xml"/><Relationship Id="rId151" Type="http://schemas.openxmlformats.org/officeDocument/2006/relationships/table" Target="../tables/table249.xml"/><Relationship Id="rId13" Type="http://schemas.openxmlformats.org/officeDocument/2006/relationships/table" Target="../tables/table111.xml"/><Relationship Id="rId18" Type="http://schemas.openxmlformats.org/officeDocument/2006/relationships/table" Target="../tables/table116.xml"/><Relationship Id="rId39" Type="http://schemas.openxmlformats.org/officeDocument/2006/relationships/table" Target="../tables/table137.xml"/><Relationship Id="rId109" Type="http://schemas.openxmlformats.org/officeDocument/2006/relationships/table" Target="../tables/table207.xml"/><Relationship Id="rId34" Type="http://schemas.openxmlformats.org/officeDocument/2006/relationships/table" Target="../tables/table132.xml"/><Relationship Id="rId50" Type="http://schemas.openxmlformats.org/officeDocument/2006/relationships/table" Target="../tables/table148.xml"/><Relationship Id="rId55" Type="http://schemas.openxmlformats.org/officeDocument/2006/relationships/table" Target="../tables/table153.xml"/><Relationship Id="rId76" Type="http://schemas.openxmlformats.org/officeDocument/2006/relationships/table" Target="../tables/table174.xml"/><Relationship Id="rId97" Type="http://schemas.openxmlformats.org/officeDocument/2006/relationships/table" Target="../tables/table195.xml"/><Relationship Id="rId104" Type="http://schemas.openxmlformats.org/officeDocument/2006/relationships/table" Target="../tables/table202.xml"/><Relationship Id="rId120" Type="http://schemas.openxmlformats.org/officeDocument/2006/relationships/table" Target="../tables/table218.xml"/><Relationship Id="rId125" Type="http://schemas.openxmlformats.org/officeDocument/2006/relationships/table" Target="../tables/table223.xml"/><Relationship Id="rId141" Type="http://schemas.openxmlformats.org/officeDocument/2006/relationships/table" Target="../tables/table239.xml"/><Relationship Id="rId146" Type="http://schemas.openxmlformats.org/officeDocument/2006/relationships/table" Target="../tables/table244.xml"/><Relationship Id="rId7" Type="http://schemas.openxmlformats.org/officeDocument/2006/relationships/table" Target="../tables/table105.xml"/><Relationship Id="rId71" Type="http://schemas.openxmlformats.org/officeDocument/2006/relationships/table" Target="../tables/table169.xml"/><Relationship Id="rId92" Type="http://schemas.openxmlformats.org/officeDocument/2006/relationships/table" Target="../tables/table190.xml"/><Relationship Id="rId2" Type="http://schemas.openxmlformats.org/officeDocument/2006/relationships/hyperlink" Target="https://dgvs.mspbs.gov.py/files/guiaNacional/Guia_de_Vigilancia_2022_act_6_junio.pdf" TargetMode="External"/><Relationship Id="rId29" Type="http://schemas.openxmlformats.org/officeDocument/2006/relationships/table" Target="../tables/table127.xml"/><Relationship Id="rId24" Type="http://schemas.openxmlformats.org/officeDocument/2006/relationships/table" Target="../tables/table122.xml"/><Relationship Id="rId40" Type="http://schemas.openxmlformats.org/officeDocument/2006/relationships/table" Target="../tables/table138.xml"/><Relationship Id="rId45" Type="http://schemas.openxmlformats.org/officeDocument/2006/relationships/table" Target="../tables/table143.xml"/><Relationship Id="rId66" Type="http://schemas.openxmlformats.org/officeDocument/2006/relationships/table" Target="../tables/table164.xml"/><Relationship Id="rId87" Type="http://schemas.openxmlformats.org/officeDocument/2006/relationships/table" Target="../tables/table185.xml"/><Relationship Id="rId110" Type="http://schemas.openxmlformats.org/officeDocument/2006/relationships/table" Target="../tables/table208.xml"/><Relationship Id="rId115" Type="http://schemas.openxmlformats.org/officeDocument/2006/relationships/table" Target="../tables/table213.xml"/><Relationship Id="rId131" Type="http://schemas.openxmlformats.org/officeDocument/2006/relationships/table" Target="../tables/table229.xml"/><Relationship Id="rId136" Type="http://schemas.openxmlformats.org/officeDocument/2006/relationships/table" Target="../tables/table234.xml"/><Relationship Id="rId61" Type="http://schemas.openxmlformats.org/officeDocument/2006/relationships/table" Target="../tables/table159.xml"/><Relationship Id="rId82" Type="http://schemas.openxmlformats.org/officeDocument/2006/relationships/table" Target="../tables/table180.xml"/><Relationship Id="rId152" Type="http://schemas.openxmlformats.org/officeDocument/2006/relationships/table" Target="../tables/table250.xml"/><Relationship Id="rId19" Type="http://schemas.openxmlformats.org/officeDocument/2006/relationships/table" Target="../tables/table117.xml"/><Relationship Id="rId14" Type="http://schemas.openxmlformats.org/officeDocument/2006/relationships/table" Target="../tables/table112.xml"/><Relationship Id="rId30" Type="http://schemas.openxmlformats.org/officeDocument/2006/relationships/table" Target="../tables/table128.xml"/><Relationship Id="rId35" Type="http://schemas.openxmlformats.org/officeDocument/2006/relationships/table" Target="../tables/table133.xml"/><Relationship Id="rId56" Type="http://schemas.openxmlformats.org/officeDocument/2006/relationships/table" Target="../tables/table154.xml"/><Relationship Id="rId77" Type="http://schemas.openxmlformats.org/officeDocument/2006/relationships/table" Target="../tables/table175.xml"/><Relationship Id="rId100" Type="http://schemas.openxmlformats.org/officeDocument/2006/relationships/table" Target="../tables/table198.xml"/><Relationship Id="rId105" Type="http://schemas.openxmlformats.org/officeDocument/2006/relationships/table" Target="../tables/table203.xml"/><Relationship Id="rId126" Type="http://schemas.openxmlformats.org/officeDocument/2006/relationships/table" Target="../tables/table224.xml"/><Relationship Id="rId147" Type="http://schemas.openxmlformats.org/officeDocument/2006/relationships/table" Target="../tables/table245.xml"/><Relationship Id="rId8" Type="http://schemas.openxmlformats.org/officeDocument/2006/relationships/table" Target="../tables/table106.xml"/><Relationship Id="rId51" Type="http://schemas.openxmlformats.org/officeDocument/2006/relationships/table" Target="../tables/table149.xml"/><Relationship Id="rId72" Type="http://schemas.openxmlformats.org/officeDocument/2006/relationships/table" Target="../tables/table170.xml"/><Relationship Id="rId93" Type="http://schemas.openxmlformats.org/officeDocument/2006/relationships/table" Target="../tables/table191.xml"/><Relationship Id="rId98" Type="http://schemas.openxmlformats.org/officeDocument/2006/relationships/table" Target="../tables/table196.xml"/><Relationship Id="rId121" Type="http://schemas.openxmlformats.org/officeDocument/2006/relationships/table" Target="../tables/table219.xml"/><Relationship Id="rId142" Type="http://schemas.openxmlformats.org/officeDocument/2006/relationships/table" Target="../tables/table240.xml"/><Relationship Id="rId3" Type="http://schemas.openxmlformats.org/officeDocument/2006/relationships/printerSettings" Target="../printerSettings/printerSettings4.bin"/><Relationship Id="rId25" Type="http://schemas.openxmlformats.org/officeDocument/2006/relationships/table" Target="../tables/table123.xml"/><Relationship Id="rId46" Type="http://schemas.openxmlformats.org/officeDocument/2006/relationships/table" Target="../tables/table144.xml"/><Relationship Id="rId67" Type="http://schemas.openxmlformats.org/officeDocument/2006/relationships/table" Target="../tables/table165.xml"/><Relationship Id="rId116" Type="http://schemas.openxmlformats.org/officeDocument/2006/relationships/table" Target="../tables/table214.xml"/><Relationship Id="rId137" Type="http://schemas.openxmlformats.org/officeDocument/2006/relationships/table" Target="../tables/table235.xml"/><Relationship Id="rId20" Type="http://schemas.openxmlformats.org/officeDocument/2006/relationships/table" Target="../tables/table118.xml"/><Relationship Id="rId41" Type="http://schemas.openxmlformats.org/officeDocument/2006/relationships/table" Target="../tables/table139.xml"/><Relationship Id="rId62" Type="http://schemas.openxmlformats.org/officeDocument/2006/relationships/table" Target="../tables/table160.xml"/><Relationship Id="rId83" Type="http://schemas.openxmlformats.org/officeDocument/2006/relationships/table" Target="../tables/table181.xml"/><Relationship Id="rId88" Type="http://schemas.openxmlformats.org/officeDocument/2006/relationships/table" Target="../tables/table186.xml"/><Relationship Id="rId111" Type="http://schemas.openxmlformats.org/officeDocument/2006/relationships/table" Target="../tables/table209.xml"/><Relationship Id="rId132" Type="http://schemas.openxmlformats.org/officeDocument/2006/relationships/table" Target="../tables/table230.xml"/><Relationship Id="rId153" Type="http://schemas.openxmlformats.org/officeDocument/2006/relationships/comments" Target="../comments4.xml"/><Relationship Id="rId15" Type="http://schemas.openxmlformats.org/officeDocument/2006/relationships/table" Target="../tables/table113.xml"/><Relationship Id="rId36" Type="http://schemas.openxmlformats.org/officeDocument/2006/relationships/table" Target="../tables/table134.xml"/><Relationship Id="rId57" Type="http://schemas.openxmlformats.org/officeDocument/2006/relationships/table" Target="../tables/table155.xml"/><Relationship Id="rId106" Type="http://schemas.openxmlformats.org/officeDocument/2006/relationships/table" Target="../tables/table204.xml"/><Relationship Id="rId127" Type="http://schemas.openxmlformats.org/officeDocument/2006/relationships/table" Target="../tables/table225.xml"/><Relationship Id="rId10" Type="http://schemas.openxmlformats.org/officeDocument/2006/relationships/table" Target="../tables/table108.xml"/><Relationship Id="rId31" Type="http://schemas.openxmlformats.org/officeDocument/2006/relationships/table" Target="../tables/table129.xml"/><Relationship Id="rId52" Type="http://schemas.openxmlformats.org/officeDocument/2006/relationships/table" Target="../tables/table150.xml"/><Relationship Id="rId73" Type="http://schemas.openxmlformats.org/officeDocument/2006/relationships/table" Target="../tables/table171.xml"/><Relationship Id="rId78" Type="http://schemas.openxmlformats.org/officeDocument/2006/relationships/table" Target="../tables/table176.xml"/><Relationship Id="rId94" Type="http://schemas.openxmlformats.org/officeDocument/2006/relationships/table" Target="../tables/table192.xml"/><Relationship Id="rId99" Type="http://schemas.openxmlformats.org/officeDocument/2006/relationships/table" Target="../tables/table197.xml"/><Relationship Id="rId101" Type="http://schemas.openxmlformats.org/officeDocument/2006/relationships/table" Target="../tables/table199.xml"/><Relationship Id="rId122" Type="http://schemas.openxmlformats.org/officeDocument/2006/relationships/table" Target="../tables/table220.xml"/><Relationship Id="rId143" Type="http://schemas.openxmlformats.org/officeDocument/2006/relationships/table" Target="../tables/table241.xml"/><Relationship Id="rId148" Type="http://schemas.openxmlformats.org/officeDocument/2006/relationships/table" Target="../tables/table246.xml"/><Relationship Id="rId4" Type="http://schemas.openxmlformats.org/officeDocument/2006/relationships/vmlDrawing" Target="../drawings/vmlDrawing4.vml"/><Relationship Id="rId9" Type="http://schemas.openxmlformats.org/officeDocument/2006/relationships/table" Target="../tables/table107.xml"/><Relationship Id="rId26" Type="http://schemas.openxmlformats.org/officeDocument/2006/relationships/table" Target="../tables/table124.xml"/><Relationship Id="rId47" Type="http://schemas.openxmlformats.org/officeDocument/2006/relationships/table" Target="../tables/table145.xml"/><Relationship Id="rId68" Type="http://schemas.openxmlformats.org/officeDocument/2006/relationships/table" Target="../tables/table166.xml"/><Relationship Id="rId89" Type="http://schemas.openxmlformats.org/officeDocument/2006/relationships/table" Target="../tables/table187.xml"/><Relationship Id="rId112" Type="http://schemas.openxmlformats.org/officeDocument/2006/relationships/table" Target="../tables/table210.xml"/><Relationship Id="rId133" Type="http://schemas.openxmlformats.org/officeDocument/2006/relationships/table" Target="../tables/table231.xml"/><Relationship Id="rId16" Type="http://schemas.openxmlformats.org/officeDocument/2006/relationships/table" Target="../tables/table114.xml"/><Relationship Id="rId37" Type="http://schemas.openxmlformats.org/officeDocument/2006/relationships/table" Target="../tables/table135.xml"/><Relationship Id="rId58" Type="http://schemas.openxmlformats.org/officeDocument/2006/relationships/table" Target="../tables/table156.xml"/><Relationship Id="rId79" Type="http://schemas.openxmlformats.org/officeDocument/2006/relationships/table" Target="../tables/table177.xml"/><Relationship Id="rId102" Type="http://schemas.openxmlformats.org/officeDocument/2006/relationships/table" Target="../tables/table200.xml"/><Relationship Id="rId123" Type="http://schemas.openxmlformats.org/officeDocument/2006/relationships/table" Target="../tables/table221.xml"/><Relationship Id="rId144" Type="http://schemas.openxmlformats.org/officeDocument/2006/relationships/table" Target="../tables/table242.xml"/><Relationship Id="rId90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K1054"/>
  <sheetViews>
    <sheetView zoomScaleNormal="100"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/>
  <cols>
    <col min="1" max="1" width="11.7109375" style="71" bestFit="1" customWidth="1"/>
    <col min="2" max="2" width="18.85546875" style="2" customWidth="1"/>
    <col min="3" max="3" width="16.42578125" style="2" customWidth="1"/>
    <col min="4" max="4" width="31.28515625" style="2" bestFit="1" customWidth="1"/>
    <col min="5" max="5" width="17.85546875" style="2" customWidth="1"/>
    <col min="6" max="6" width="35.140625" style="2" bestFit="1" customWidth="1"/>
    <col min="7" max="7" width="19.5703125" style="2" bestFit="1" customWidth="1"/>
    <col min="8" max="8" width="18.28515625" style="2" customWidth="1"/>
    <col min="9" max="9" width="35.140625" style="2" bestFit="1" customWidth="1"/>
    <col min="10" max="10" width="9.7109375" style="2" bestFit="1" customWidth="1"/>
    <col min="11" max="11" width="7.85546875" style="2" bestFit="1" customWidth="1"/>
    <col min="12" max="13" width="16.42578125" style="2" customWidth="1"/>
    <col min="14" max="14" width="11.7109375" style="2" bestFit="1" customWidth="1"/>
    <col min="15" max="15" width="28.28515625" style="2" customWidth="1"/>
    <col min="16" max="16" width="22" style="2" customWidth="1"/>
    <col min="17" max="17" width="19.5703125" style="2" bestFit="1" customWidth="1"/>
    <col min="18" max="18" width="17.85546875" style="2" customWidth="1"/>
    <col min="19" max="19" width="12.5703125" style="2" customWidth="1"/>
    <col min="20" max="20" width="12.5703125" style="2" bestFit="1" customWidth="1"/>
    <col min="21" max="21" width="16.5703125" style="2" customWidth="1"/>
    <col min="22" max="22" width="35.140625" style="2" bestFit="1" customWidth="1"/>
    <col min="23" max="23" width="11.7109375" style="2" customWidth="1"/>
    <col min="24" max="24" width="27.28515625" style="2" bestFit="1" customWidth="1"/>
    <col min="25" max="25" width="17.5703125" style="2" customWidth="1"/>
    <col min="26" max="26" width="12.7109375" style="2" customWidth="1"/>
    <col min="27" max="27" width="27.28515625" style="2" bestFit="1" customWidth="1"/>
    <col min="28" max="28" width="18.5703125" style="2" customWidth="1"/>
    <col min="29" max="29" width="12.7109375" style="2" customWidth="1"/>
    <col min="30" max="30" width="27.28515625" style="2" bestFit="1" customWidth="1"/>
    <col min="31" max="31" width="18.5703125" style="2" customWidth="1"/>
    <col min="32" max="32" width="12.7109375" style="2" customWidth="1"/>
    <col min="33" max="33" width="27.28515625" style="2" bestFit="1" customWidth="1"/>
    <col min="34" max="34" width="18.5703125" style="2" customWidth="1"/>
    <col min="35" max="35" width="12.7109375" style="2" customWidth="1"/>
    <col min="36" max="36" width="27.28515625" style="2" bestFit="1" customWidth="1"/>
    <col min="37" max="37" width="18.5703125" style="2" customWidth="1"/>
    <col min="38" max="38" width="13.7109375" style="2" customWidth="1"/>
    <col min="39" max="39" width="27.28515625" style="2" bestFit="1" customWidth="1"/>
    <col min="40" max="40" width="19.5703125" style="2" customWidth="1"/>
    <col min="41" max="41" width="13.7109375" style="2" customWidth="1"/>
    <col min="42" max="42" width="23" style="2" customWidth="1"/>
    <col min="43" max="43" width="11.85546875" style="2" customWidth="1"/>
    <col min="44" max="44" width="12.140625" style="2" customWidth="1"/>
    <col min="45" max="47" width="31.28515625" style="2" bestFit="1" customWidth="1"/>
    <col min="48" max="48" width="11.7109375" style="2" bestFit="1" customWidth="1"/>
    <col min="49" max="49" width="10.85546875" style="2" customWidth="1"/>
    <col min="50" max="50" width="15.5703125" style="2" bestFit="1" customWidth="1"/>
    <col min="51" max="51" width="15" style="2" customWidth="1"/>
    <col min="52" max="52" width="12.140625" style="2" customWidth="1"/>
    <col min="53" max="63" width="23.42578125" style="2" bestFit="1" customWidth="1"/>
    <col min="64" max="16384" width="9.140625" style="2"/>
  </cols>
  <sheetData>
    <row r="1" spans="1:63" ht="19.5" customHeight="1">
      <c r="A1" s="79" t="s">
        <v>0</v>
      </c>
      <c r="B1" s="80"/>
      <c r="C1" s="80"/>
      <c r="D1" s="80"/>
      <c r="E1" s="80"/>
      <c r="F1" s="80"/>
      <c r="G1" s="81"/>
      <c r="H1" s="79" t="s">
        <v>1</v>
      </c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3"/>
      <c r="V1" s="79" t="s">
        <v>2</v>
      </c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3"/>
      <c r="AO1" s="79" t="s">
        <v>3</v>
      </c>
      <c r="AP1" s="82"/>
      <c r="AQ1" s="82"/>
      <c r="AR1" s="82"/>
      <c r="AS1" s="82"/>
      <c r="AT1" s="82"/>
      <c r="AU1" s="82"/>
      <c r="AV1" s="82"/>
      <c r="AW1" s="82"/>
      <c r="AX1" s="83"/>
      <c r="AY1" s="79" t="s">
        <v>4</v>
      </c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4"/>
    </row>
    <row r="2" spans="1:63" ht="18.75" customHeight="1" thickBot="1">
      <c r="A2" s="73" t="s">
        <v>5</v>
      </c>
      <c r="B2" s="74" t="s">
        <v>765</v>
      </c>
      <c r="C2" s="75" t="s">
        <v>6</v>
      </c>
      <c r="D2" s="75" t="s">
        <v>7</v>
      </c>
      <c r="E2" s="75" t="s">
        <v>8</v>
      </c>
      <c r="F2" s="75" t="s">
        <v>9</v>
      </c>
      <c r="G2" s="77" t="s">
        <v>10</v>
      </c>
      <c r="H2" s="78" t="s">
        <v>11</v>
      </c>
      <c r="I2" s="75" t="s">
        <v>12</v>
      </c>
      <c r="J2" s="75" t="s">
        <v>13</v>
      </c>
      <c r="K2" s="75" t="s">
        <v>14</v>
      </c>
      <c r="L2" s="75" t="s">
        <v>15</v>
      </c>
      <c r="M2" s="74" t="s">
        <v>52</v>
      </c>
      <c r="N2" s="75" t="s">
        <v>16</v>
      </c>
      <c r="O2" s="75" t="s">
        <v>17</v>
      </c>
      <c r="P2" s="75" t="s">
        <v>18</v>
      </c>
      <c r="Q2" s="75" t="s">
        <v>19</v>
      </c>
      <c r="R2" s="75" t="s">
        <v>20</v>
      </c>
      <c r="S2" s="75" t="s">
        <v>21</v>
      </c>
      <c r="T2" s="75" t="s">
        <v>22</v>
      </c>
      <c r="U2" s="77" t="s">
        <v>23</v>
      </c>
      <c r="V2" s="78" t="s">
        <v>24</v>
      </c>
      <c r="W2" s="75" t="s">
        <v>25</v>
      </c>
      <c r="X2" s="75" t="s">
        <v>26</v>
      </c>
      <c r="Y2" s="75" t="s">
        <v>27</v>
      </c>
      <c r="Z2" s="75" t="s">
        <v>28</v>
      </c>
      <c r="AA2" s="75" t="s">
        <v>29</v>
      </c>
      <c r="AB2" s="75" t="s">
        <v>30</v>
      </c>
      <c r="AC2" s="75" t="s">
        <v>31</v>
      </c>
      <c r="AD2" s="75" t="s">
        <v>32</v>
      </c>
      <c r="AE2" s="75" t="s">
        <v>33</v>
      </c>
      <c r="AF2" s="75" t="s">
        <v>34</v>
      </c>
      <c r="AG2" s="75" t="s">
        <v>35</v>
      </c>
      <c r="AH2" s="75" t="s">
        <v>36</v>
      </c>
      <c r="AI2" s="75" t="s">
        <v>37</v>
      </c>
      <c r="AJ2" s="75" t="s">
        <v>38</v>
      </c>
      <c r="AK2" s="75" t="s">
        <v>39</v>
      </c>
      <c r="AL2" s="75" t="s">
        <v>40</v>
      </c>
      <c r="AM2" s="75" t="s">
        <v>41</v>
      </c>
      <c r="AN2" s="77" t="s">
        <v>42</v>
      </c>
      <c r="AO2" s="78" t="s">
        <v>43</v>
      </c>
      <c r="AP2" s="75" t="s">
        <v>44</v>
      </c>
      <c r="AQ2" s="75" t="s">
        <v>45</v>
      </c>
      <c r="AR2" s="75" t="s">
        <v>46</v>
      </c>
      <c r="AS2" s="75" t="s">
        <v>47</v>
      </c>
      <c r="AT2" s="75" t="s">
        <v>48</v>
      </c>
      <c r="AU2" s="75" t="s">
        <v>49</v>
      </c>
      <c r="AV2" s="75" t="s">
        <v>50</v>
      </c>
      <c r="AW2" s="75" t="s">
        <v>51</v>
      </c>
      <c r="AX2" s="77" t="s">
        <v>53</v>
      </c>
      <c r="AY2" s="78" t="s">
        <v>54</v>
      </c>
      <c r="AZ2" s="75" t="s">
        <v>55</v>
      </c>
      <c r="BA2" s="75" t="s">
        <v>56</v>
      </c>
      <c r="BB2" s="75" t="s">
        <v>57</v>
      </c>
      <c r="BC2" s="75" t="s">
        <v>58</v>
      </c>
      <c r="BD2" s="75" t="s">
        <v>59</v>
      </c>
      <c r="BE2" s="75" t="s">
        <v>60</v>
      </c>
      <c r="BF2" s="75" t="s">
        <v>61</v>
      </c>
      <c r="BG2" s="75" t="s">
        <v>62</v>
      </c>
      <c r="BH2" s="75" t="s">
        <v>63</v>
      </c>
      <c r="BI2" s="75" t="s">
        <v>64</v>
      </c>
      <c r="BJ2" s="75" t="s">
        <v>65</v>
      </c>
      <c r="BK2" s="76" t="s">
        <v>66</v>
      </c>
    </row>
    <row r="3" spans="1:63">
      <c r="A3" s="70"/>
      <c r="B3"/>
      <c r="C3"/>
      <c r="D3"/>
      <c r="E3"/>
      <c r="F3"/>
      <c r="G3"/>
      <c r="H3"/>
      <c r="I3"/>
      <c r="J3"/>
      <c r="K3"/>
      <c r="L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</row>
    <row r="4" spans="1:63">
      <c r="A4" s="70"/>
      <c r="B4"/>
      <c r="C4"/>
      <c r="D4"/>
      <c r="E4"/>
      <c r="F4"/>
      <c r="G4"/>
      <c r="H4"/>
      <c r="I4"/>
      <c r="J4"/>
      <c r="K4"/>
      <c r="L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</row>
    <row r="5" spans="1:63">
      <c r="A5" s="70"/>
      <c r="B5"/>
      <c r="C5"/>
      <c r="D5"/>
      <c r="E5"/>
      <c r="F5"/>
      <c r="G5"/>
      <c r="H5"/>
      <c r="I5"/>
      <c r="J5"/>
      <c r="K5"/>
      <c r="L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</row>
    <row r="6" spans="1:63">
      <c r="A6" s="70"/>
      <c r="B6"/>
      <c r="C6"/>
      <c r="D6"/>
      <c r="E6"/>
      <c r="F6"/>
      <c r="G6"/>
      <c r="H6"/>
      <c r="I6"/>
      <c r="J6"/>
      <c r="K6"/>
      <c r="L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</row>
    <row r="7" spans="1:63">
      <c r="A7" s="70"/>
      <c r="B7"/>
      <c r="C7"/>
      <c r="D7"/>
      <c r="E7"/>
      <c r="F7"/>
      <c r="G7"/>
      <c r="H7"/>
      <c r="I7"/>
      <c r="J7"/>
      <c r="K7"/>
      <c r="L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</row>
    <row r="8" spans="1:63">
      <c r="A8" s="70"/>
      <c r="B8"/>
      <c r="C8"/>
      <c r="D8"/>
      <c r="E8"/>
      <c r="F8"/>
      <c r="G8"/>
      <c r="H8"/>
      <c r="I8"/>
      <c r="J8"/>
      <c r="K8"/>
      <c r="L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1:63">
      <c r="A9" s="70"/>
      <c r="B9"/>
      <c r="C9"/>
      <c r="D9"/>
      <c r="E9"/>
      <c r="F9"/>
      <c r="G9"/>
      <c r="H9"/>
      <c r="I9"/>
      <c r="J9"/>
      <c r="K9"/>
      <c r="L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</row>
    <row r="10" spans="1:63">
      <c r="A10" s="70"/>
      <c r="B10"/>
      <c r="C10"/>
      <c r="D10"/>
      <c r="E10"/>
      <c r="F10"/>
      <c r="G10"/>
      <c r="H10"/>
      <c r="I10"/>
      <c r="J10"/>
      <c r="K10"/>
      <c r="L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</row>
    <row r="11" spans="1:63">
      <c r="A11" s="70"/>
      <c r="B11"/>
      <c r="C11"/>
      <c r="D11"/>
      <c r="E11"/>
      <c r="F11"/>
      <c r="G11"/>
      <c r="H11"/>
      <c r="I11"/>
      <c r="J11"/>
      <c r="K11"/>
      <c r="L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</row>
    <row r="12" spans="1:63">
      <c r="A12" s="70"/>
      <c r="B12"/>
      <c r="C12"/>
      <c r="D12"/>
      <c r="E12"/>
      <c r="F12"/>
      <c r="G12"/>
      <c r="H12"/>
      <c r="I12"/>
      <c r="J12"/>
      <c r="K12"/>
      <c r="L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</row>
    <row r="13" spans="1:63">
      <c r="A13" s="70"/>
      <c r="B13"/>
      <c r="C13"/>
      <c r="D13"/>
      <c r="E13"/>
      <c r="F13"/>
      <c r="G13"/>
      <c r="H13"/>
      <c r="I13"/>
      <c r="J13"/>
      <c r="K13"/>
      <c r="L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</row>
    <row r="14" spans="1:63">
      <c r="A14" s="70"/>
      <c r="B14"/>
      <c r="C14"/>
      <c r="D14"/>
      <c r="E14"/>
      <c r="F14"/>
      <c r="G14"/>
      <c r="H14"/>
      <c r="I14"/>
      <c r="J14"/>
      <c r="K14"/>
      <c r="L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</row>
    <row r="15" spans="1:63">
      <c r="A15" s="70"/>
      <c r="B15"/>
      <c r="C15"/>
      <c r="D15"/>
      <c r="E15"/>
      <c r="F15"/>
      <c r="G15"/>
      <c r="H15"/>
      <c r="I15"/>
      <c r="J15"/>
      <c r="K15"/>
      <c r="L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</row>
    <row r="16" spans="1:63">
      <c r="A16" s="70"/>
      <c r="B16"/>
      <c r="C16"/>
      <c r="D16"/>
      <c r="E16"/>
      <c r="F16"/>
      <c r="G16"/>
      <c r="H16"/>
      <c r="I16"/>
      <c r="J16"/>
      <c r="K16"/>
      <c r="L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63">
      <c r="A17" s="70"/>
      <c r="B17"/>
      <c r="C17"/>
      <c r="D17"/>
      <c r="E17"/>
      <c r="F17"/>
      <c r="G17"/>
      <c r="H17"/>
      <c r="I17"/>
      <c r="J17"/>
      <c r="K17"/>
      <c r="L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</row>
    <row r="18" spans="1:63">
      <c r="A18" s="70"/>
      <c r="B18"/>
      <c r="C18"/>
      <c r="D18"/>
      <c r="E18"/>
      <c r="F18"/>
      <c r="G18"/>
      <c r="H18"/>
      <c r="I18"/>
      <c r="J18"/>
      <c r="K18"/>
      <c r="L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</row>
    <row r="19" spans="1:63">
      <c r="A19" s="70"/>
      <c r="B19"/>
      <c r="C19"/>
      <c r="D19"/>
      <c r="E19"/>
      <c r="F19"/>
      <c r="G19"/>
      <c r="H19"/>
      <c r="I19"/>
      <c r="J19"/>
      <c r="K19"/>
      <c r="L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</row>
    <row r="20" spans="1:63">
      <c r="A20" s="70"/>
      <c r="B20"/>
      <c r="C20"/>
      <c r="D20"/>
      <c r="E20"/>
      <c r="F20"/>
      <c r="G20"/>
      <c r="H20"/>
      <c r="I20"/>
      <c r="J20"/>
      <c r="K20"/>
      <c r="L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</row>
    <row r="21" spans="1:63">
      <c r="A21" s="70"/>
      <c r="B21"/>
      <c r="C21"/>
      <c r="D21"/>
      <c r="E21"/>
      <c r="F21"/>
      <c r="G21"/>
      <c r="H21"/>
      <c r="I21"/>
      <c r="J21"/>
      <c r="K21"/>
      <c r="L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</row>
    <row r="22" spans="1:63">
      <c r="A22" s="70"/>
      <c r="B22"/>
      <c r="C22"/>
      <c r="D22"/>
      <c r="E22"/>
      <c r="F22"/>
      <c r="G22"/>
      <c r="H22"/>
      <c r="I22"/>
      <c r="J22"/>
      <c r="K22"/>
      <c r="L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</row>
    <row r="23" spans="1:63">
      <c r="A23" s="70"/>
      <c r="B23"/>
      <c r="C23"/>
      <c r="D23"/>
      <c r="E23"/>
      <c r="F23"/>
      <c r="G23"/>
      <c r="H23"/>
      <c r="I23"/>
      <c r="J23"/>
      <c r="K23"/>
      <c r="L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</row>
    <row r="24" spans="1:63">
      <c r="A24" s="70"/>
      <c r="B24"/>
      <c r="C24"/>
      <c r="D24"/>
      <c r="E24"/>
      <c r="F24"/>
      <c r="G24"/>
      <c r="H24"/>
      <c r="I24"/>
      <c r="J24"/>
      <c r="K24"/>
      <c r="L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</row>
    <row r="25" spans="1:63">
      <c r="A25" s="70"/>
      <c r="B25"/>
      <c r="C25"/>
      <c r="D25"/>
      <c r="E25"/>
      <c r="F25"/>
      <c r="G25"/>
      <c r="H25"/>
      <c r="I25"/>
      <c r="J25"/>
      <c r="K25"/>
      <c r="L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</row>
    <row r="26" spans="1:63">
      <c r="A26" s="70"/>
      <c r="B26"/>
      <c r="C26"/>
      <c r="D26"/>
      <c r="E26"/>
      <c r="F26"/>
      <c r="G26"/>
      <c r="H26"/>
      <c r="I26"/>
      <c r="J26"/>
      <c r="K26"/>
      <c r="L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</row>
    <row r="27" spans="1:63">
      <c r="A27" s="70"/>
      <c r="B27"/>
      <c r="C27"/>
      <c r="D27"/>
      <c r="E27"/>
      <c r="F27"/>
      <c r="G27"/>
      <c r="H27"/>
      <c r="I27"/>
      <c r="J27"/>
      <c r="K27"/>
      <c r="L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</row>
    <row r="28" spans="1:63">
      <c r="A28" s="70"/>
      <c r="B28"/>
      <c r="C28"/>
      <c r="D28"/>
      <c r="E28"/>
      <c r="F28"/>
      <c r="G28"/>
      <c r="H28"/>
      <c r="I28"/>
      <c r="J28"/>
      <c r="K28"/>
      <c r="L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</row>
    <row r="29" spans="1:63">
      <c r="A29" s="70"/>
      <c r="B29"/>
      <c r="C29"/>
      <c r="D29"/>
      <c r="E29"/>
      <c r="F29"/>
      <c r="G29"/>
      <c r="H29"/>
      <c r="I29"/>
      <c r="J29"/>
      <c r="K29"/>
      <c r="L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</row>
    <row r="30" spans="1:63">
      <c r="A30" s="70"/>
      <c r="B30"/>
      <c r="C30"/>
      <c r="D30"/>
      <c r="E30"/>
      <c r="F30"/>
      <c r="G30"/>
      <c r="H30"/>
      <c r="I30"/>
      <c r="J30"/>
      <c r="K30"/>
      <c r="L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</row>
    <row r="31" spans="1:63">
      <c r="A31" s="70"/>
      <c r="B31"/>
      <c r="C31"/>
      <c r="D31"/>
      <c r="E31"/>
      <c r="F31"/>
      <c r="G31"/>
      <c r="H31"/>
      <c r="I31"/>
      <c r="J31"/>
      <c r="K31"/>
      <c r="L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</row>
    <row r="32" spans="1:63">
      <c r="A32" s="70"/>
      <c r="B32"/>
      <c r="C32"/>
      <c r="D32"/>
      <c r="E32"/>
      <c r="F32"/>
      <c r="G32"/>
      <c r="H32"/>
      <c r="I32"/>
      <c r="J32"/>
      <c r="K32"/>
      <c r="L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</row>
    <row r="33" spans="1:63">
      <c r="A33" s="70"/>
      <c r="B33"/>
      <c r="C33"/>
      <c r="D33"/>
      <c r="E33"/>
      <c r="F33"/>
      <c r="G33"/>
      <c r="H33"/>
      <c r="I33"/>
      <c r="J33"/>
      <c r="K33"/>
      <c r="L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1:63">
      <c r="A34" s="70"/>
      <c r="B34"/>
      <c r="C34"/>
      <c r="D34"/>
      <c r="E34"/>
      <c r="F34"/>
      <c r="G34"/>
      <c r="H34"/>
      <c r="I34"/>
      <c r="J34"/>
      <c r="K34"/>
      <c r="L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1:63">
      <c r="A35" s="70"/>
      <c r="B35"/>
      <c r="C35"/>
      <c r="D35"/>
      <c r="E35"/>
      <c r="F35"/>
      <c r="G35"/>
      <c r="H35"/>
      <c r="I35"/>
      <c r="J35"/>
      <c r="K35"/>
      <c r="L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1:63">
      <c r="A36" s="70"/>
      <c r="B36"/>
      <c r="C36"/>
      <c r="D36"/>
      <c r="E36"/>
      <c r="F36"/>
      <c r="G36"/>
      <c r="H36"/>
      <c r="I36"/>
      <c r="J36"/>
      <c r="K36"/>
      <c r="L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1:63">
      <c r="A37" s="70"/>
      <c r="B37"/>
      <c r="C37"/>
      <c r="D37"/>
      <c r="E37"/>
      <c r="F37"/>
      <c r="G37"/>
      <c r="H37"/>
      <c r="I37"/>
      <c r="J37"/>
      <c r="K37"/>
      <c r="L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1:63">
      <c r="A38" s="70"/>
      <c r="B38"/>
      <c r="C38"/>
      <c r="D38"/>
      <c r="E38"/>
      <c r="F38"/>
      <c r="G38"/>
      <c r="H38"/>
      <c r="I38"/>
      <c r="J38"/>
      <c r="K38"/>
      <c r="L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1:63">
      <c r="A39" s="70"/>
      <c r="B39"/>
      <c r="C39"/>
      <c r="D39"/>
      <c r="E39"/>
      <c r="F39"/>
      <c r="G39"/>
      <c r="H39"/>
      <c r="I39"/>
      <c r="J39"/>
      <c r="K39"/>
      <c r="L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1:63">
      <c r="A40" s="70"/>
      <c r="B40"/>
      <c r="C40"/>
      <c r="D40"/>
      <c r="E40"/>
      <c r="F40"/>
      <c r="G40"/>
      <c r="H40"/>
      <c r="I40"/>
      <c r="J40"/>
      <c r="K40"/>
      <c r="L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1:63">
      <c r="A41" s="70"/>
      <c r="B41"/>
      <c r="C41"/>
      <c r="D41"/>
      <c r="E41"/>
      <c r="F41"/>
      <c r="G41"/>
      <c r="H41"/>
      <c r="I41"/>
      <c r="J41"/>
      <c r="K41"/>
      <c r="L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1:63">
      <c r="A42" s="70"/>
      <c r="B42"/>
      <c r="C42"/>
      <c r="D42"/>
      <c r="E42"/>
      <c r="F42"/>
      <c r="G42"/>
      <c r="H42"/>
      <c r="I42"/>
      <c r="J42"/>
      <c r="K42"/>
      <c r="L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1:63">
      <c r="A43" s="70"/>
      <c r="B43"/>
      <c r="C43"/>
      <c r="D43"/>
      <c r="E43"/>
      <c r="F43"/>
      <c r="G43"/>
      <c r="H43"/>
      <c r="I43"/>
      <c r="J43"/>
      <c r="K43"/>
      <c r="L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</row>
    <row r="44" spans="1:63">
      <c r="A44" s="70"/>
      <c r="B44"/>
      <c r="C44"/>
      <c r="D44"/>
      <c r="E44"/>
      <c r="F44"/>
      <c r="G44"/>
      <c r="H44"/>
      <c r="I44"/>
      <c r="J44"/>
      <c r="K44"/>
      <c r="L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</row>
    <row r="45" spans="1:63">
      <c r="A45" s="70"/>
      <c r="B45"/>
      <c r="C45"/>
      <c r="D45"/>
      <c r="E45"/>
      <c r="F45"/>
      <c r="G45"/>
      <c r="H45"/>
      <c r="I45"/>
      <c r="J45"/>
      <c r="K45"/>
      <c r="L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</row>
    <row r="46" spans="1:63">
      <c r="A46" s="70"/>
      <c r="B46"/>
      <c r="C46"/>
      <c r="D46"/>
      <c r="E46"/>
      <c r="F46"/>
      <c r="G46"/>
      <c r="H46"/>
      <c r="I46"/>
      <c r="J46"/>
      <c r="K46"/>
      <c r="L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</row>
    <row r="47" spans="1:63">
      <c r="A47" s="70"/>
      <c r="B47"/>
      <c r="C47"/>
      <c r="D47"/>
      <c r="E47"/>
      <c r="F47"/>
      <c r="G47"/>
      <c r="H47"/>
      <c r="I47"/>
      <c r="J47"/>
      <c r="K47"/>
      <c r="L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</row>
    <row r="48" spans="1:63">
      <c r="A48" s="70"/>
      <c r="B48"/>
      <c r="C48"/>
      <c r="D48"/>
      <c r="E48"/>
      <c r="F48"/>
      <c r="G48"/>
      <c r="H48"/>
      <c r="I48"/>
      <c r="J48"/>
      <c r="K48"/>
      <c r="L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</row>
    <row r="49" spans="1:63">
      <c r="A49" s="70"/>
      <c r="B49"/>
      <c r="C49"/>
      <c r="D49"/>
      <c r="E49"/>
      <c r="F49"/>
      <c r="G49"/>
      <c r="H49"/>
      <c r="I49"/>
      <c r="J49"/>
      <c r="K49"/>
      <c r="L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</row>
    <row r="50" spans="1:63">
      <c r="A50" s="70"/>
      <c r="B50"/>
      <c r="C50"/>
      <c r="D50"/>
      <c r="E50"/>
      <c r="F50"/>
      <c r="G50"/>
      <c r="H50"/>
      <c r="I50"/>
      <c r="J50"/>
      <c r="K50"/>
      <c r="L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</row>
    <row r="51" spans="1:63">
      <c r="A51" s="70"/>
      <c r="B51"/>
      <c r="C51"/>
      <c r="D51"/>
      <c r="E51"/>
      <c r="F51"/>
      <c r="G51"/>
      <c r="H51"/>
      <c r="I51"/>
      <c r="J51"/>
      <c r="K51"/>
      <c r="L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</row>
    <row r="52" spans="1:63">
      <c r="A52" s="70"/>
      <c r="B52"/>
      <c r="C52"/>
      <c r="D52"/>
      <c r="E52"/>
      <c r="F52"/>
      <c r="G52"/>
      <c r="H52"/>
      <c r="I52"/>
      <c r="J52"/>
      <c r="K52"/>
      <c r="L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</row>
    <row r="53" spans="1:63">
      <c r="A53" s="70"/>
      <c r="B53"/>
      <c r="C53"/>
      <c r="D53"/>
      <c r="E53"/>
      <c r="F53"/>
      <c r="G53"/>
      <c r="H53"/>
      <c r="I53"/>
      <c r="J53"/>
      <c r="K53"/>
      <c r="L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</row>
    <row r="54" spans="1:63">
      <c r="A54" s="70"/>
      <c r="B54"/>
      <c r="C54"/>
      <c r="D54"/>
      <c r="E54"/>
      <c r="F54"/>
      <c r="G54"/>
      <c r="H54"/>
      <c r="I54"/>
      <c r="J54"/>
      <c r="K54"/>
      <c r="L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</row>
    <row r="55" spans="1:63">
      <c r="A55" s="70"/>
      <c r="B55"/>
      <c r="C55"/>
      <c r="D55"/>
      <c r="E55"/>
      <c r="F55"/>
      <c r="G55"/>
      <c r="H55"/>
      <c r="I55"/>
      <c r="J55"/>
      <c r="K55"/>
      <c r="L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</row>
    <row r="56" spans="1:63">
      <c r="A56" s="70"/>
      <c r="B56"/>
      <c r="C56"/>
      <c r="D56"/>
      <c r="E56"/>
      <c r="F56"/>
      <c r="G56"/>
      <c r="H56"/>
      <c r="I56"/>
      <c r="J56"/>
      <c r="K56"/>
      <c r="L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</row>
    <row r="57" spans="1:63">
      <c r="A57" s="70"/>
      <c r="B57"/>
      <c r="C57"/>
      <c r="D57"/>
      <c r="E57"/>
      <c r="F57"/>
      <c r="G57"/>
      <c r="H57"/>
      <c r="I57"/>
      <c r="J57"/>
      <c r="K57"/>
      <c r="L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</row>
    <row r="58" spans="1:63">
      <c r="A58" s="70"/>
      <c r="B58"/>
      <c r="C58"/>
      <c r="D58"/>
      <c r="E58"/>
      <c r="F58"/>
      <c r="G58"/>
      <c r="H58"/>
      <c r="I58"/>
      <c r="J58"/>
      <c r="K58"/>
      <c r="L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</row>
    <row r="59" spans="1:63">
      <c r="A59" s="70"/>
      <c r="B59"/>
      <c r="C59"/>
      <c r="D59"/>
      <c r="E59"/>
      <c r="F59"/>
      <c r="G59"/>
      <c r="H59"/>
      <c r="I59"/>
      <c r="J59"/>
      <c r="K59"/>
      <c r="L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</row>
    <row r="60" spans="1:63">
      <c r="A60" s="70"/>
      <c r="B60"/>
      <c r="C60"/>
      <c r="D60"/>
      <c r="E60"/>
      <c r="F60"/>
      <c r="G60"/>
      <c r="H60"/>
      <c r="I60"/>
      <c r="J60"/>
      <c r="K60"/>
      <c r="L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</row>
    <row r="61" spans="1:63">
      <c r="A61" s="70"/>
      <c r="B61"/>
      <c r="C61"/>
      <c r="D61"/>
      <c r="E61"/>
      <c r="F61"/>
      <c r="G61"/>
      <c r="H61"/>
      <c r="I61"/>
      <c r="J61"/>
      <c r="K61"/>
      <c r="L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</row>
    <row r="62" spans="1:63">
      <c r="A62" s="70"/>
      <c r="B62"/>
      <c r="C62"/>
      <c r="D62"/>
      <c r="E62"/>
      <c r="F62"/>
      <c r="G62"/>
      <c r="H62"/>
      <c r="I62"/>
      <c r="J62"/>
      <c r="K62"/>
      <c r="L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</row>
    <row r="63" spans="1:63">
      <c r="A63" s="70"/>
      <c r="B63"/>
      <c r="C63"/>
      <c r="D63"/>
      <c r="E63"/>
      <c r="F63"/>
      <c r="G63"/>
      <c r="H63"/>
      <c r="I63"/>
      <c r="J63"/>
      <c r="K63"/>
      <c r="L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</row>
    <row r="64" spans="1:63">
      <c r="A64" s="70"/>
      <c r="B64"/>
      <c r="C64"/>
      <c r="D64"/>
      <c r="E64"/>
      <c r="F64"/>
      <c r="G64"/>
      <c r="H64"/>
      <c r="I64"/>
      <c r="J64"/>
      <c r="K64"/>
      <c r="L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</row>
    <row r="65" spans="1:63">
      <c r="A65" s="70"/>
      <c r="B65"/>
      <c r="C65"/>
      <c r="D65"/>
      <c r="E65"/>
      <c r="F65"/>
      <c r="G65"/>
      <c r="H65"/>
      <c r="I65"/>
      <c r="J65"/>
      <c r="K65"/>
      <c r="L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</row>
    <row r="66" spans="1:63">
      <c r="A66" s="70"/>
      <c r="B66"/>
      <c r="C66"/>
      <c r="D66"/>
      <c r="E66"/>
      <c r="F66"/>
      <c r="G66"/>
      <c r="H66"/>
      <c r="I66"/>
      <c r="J66"/>
      <c r="K66"/>
      <c r="L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</row>
    <row r="67" spans="1:63">
      <c r="A67" s="70"/>
      <c r="B67"/>
      <c r="C67"/>
      <c r="D67"/>
      <c r="E67"/>
      <c r="F67"/>
      <c r="G67"/>
      <c r="H67"/>
      <c r="I67"/>
      <c r="J67"/>
      <c r="K67"/>
      <c r="L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</row>
    <row r="68" spans="1:63">
      <c r="A68" s="70"/>
      <c r="B68"/>
      <c r="C68"/>
      <c r="D68"/>
      <c r="E68"/>
      <c r="F68"/>
      <c r="G68"/>
      <c r="H68"/>
      <c r="I68"/>
      <c r="J68"/>
      <c r="K68"/>
      <c r="L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</row>
    <row r="69" spans="1:63">
      <c r="A69" s="70"/>
      <c r="B69"/>
      <c r="C69"/>
      <c r="D69"/>
      <c r="E69"/>
      <c r="F69"/>
      <c r="G69"/>
      <c r="H69"/>
      <c r="I69"/>
      <c r="J69"/>
      <c r="K69"/>
      <c r="L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</row>
    <row r="70" spans="1:63">
      <c r="A70" s="70"/>
      <c r="B70"/>
      <c r="C70"/>
      <c r="D70"/>
      <c r="E70"/>
      <c r="F70"/>
      <c r="G70"/>
      <c r="H70"/>
      <c r="I70"/>
      <c r="J70"/>
      <c r="K70"/>
      <c r="L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</row>
    <row r="71" spans="1:63">
      <c r="A71" s="70"/>
      <c r="B71"/>
      <c r="C71"/>
      <c r="D71"/>
      <c r="E71"/>
      <c r="F71"/>
      <c r="G71"/>
      <c r="H71"/>
      <c r="I71"/>
      <c r="J71"/>
      <c r="K71"/>
      <c r="L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</row>
    <row r="72" spans="1:63">
      <c r="A72" s="70"/>
      <c r="B72"/>
      <c r="C72"/>
      <c r="D72"/>
      <c r="E72"/>
      <c r="F72"/>
      <c r="G72"/>
      <c r="H72"/>
      <c r="I72"/>
      <c r="J72"/>
      <c r="K72"/>
      <c r="L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</row>
    <row r="73" spans="1:63">
      <c r="A73" s="70"/>
      <c r="B73"/>
      <c r="C73"/>
      <c r="D73"/>
      <c r="E73"/>
      <c r="F73"/>
      <c r="G73"/>
      <c r="H73"/>
      <c r="I73"/>
      <c r="J73"/>
      <c r="K73"/>
      <c r="L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</row>
    <row r="74" spans="1:63">
      <c r="A74" s="70"/>
      <c r="B74"/>
      <c r="C74"/>
      <c r="D74"/>
      <c r="E74"/>
      <c r="F74"/>
      <c r="G74"/>
      <c r="H74"/>
      <c r="I74"/>
      <c r="J74"/>
      <c r="K74"/>
      <c r="L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</row>
    <row r="75" spans="1:63">
      <c r="A75" s="70"/>
      <c r="B75"/>
      <c r="C75"/>
      <c r="D75"/>
      <c r="E75"/>
      <c r="F75"/>
      <c r="G75"/>
      <c r="H75"/>
      <c r="I75"/>
      <c r="J75"/>
      <c r="K75"/>
      <c r="L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</row>
    <row r="76" spans="1:63">
      <c r="A76" s="70"/>
      <c r="B76"/>
      <c r="C76"/>
      <c r="D76"/>
      <c r="E76"/>
      <c r="F76"/>
      <c r="G76"/>
      <c r="H76"/>
      <c r="I76"/>
      <c r="J76"/>
      <c r="K76"/>
      <c r="L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</row>
    <row r="77" spans="1:63">
      <c r="A77" s="70"/>
      <c r="B77"/>
      <c r="C77"/>
      <c r="D77"/>
      <c r="E77"/>
      <c r="F77"/>
      <c r="G77"/>
      <c r="H77"/>
      <c r="I77"/>
      <c r="J77"/>
      <c r="K77"/>
      <c r="L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</row>
    <row r="78" spans="1:63">
      <c r="A78" s="70"/>
      <c r="B78"/>
      <c r="C78"/>
      <c r="D78"/>
      <c r="E78"/>
      <c r="F78"/>
      <c r="G78"/>
      <c r="H78"/>
      <c r="I78"/>
      <c r="J78"/>
      <c r="K78"/>
      <c r="L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</row>
    <row r="79" spans="1:63">
      <c r="A79" s="70"/>
      <c r="B79"/>
      <c r="C79"/>
      <c r="D79"/>
      <c r="E79"/>
      <c r="F79"/>
      <c r="G79"/>
      <c r="H79"/>
      <c r="I79"/>
      <c r="J79"/>
      <c r="K79"/>
      <c r="L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</row>
    <row r="80" spans="1:63">
      <c r="A80" s="70"/>
      <c r="B80"/>
      <c r="C80"/>
      <c r="D80"/>
      <c r="E80"/>
      <c r="F80"/>
      <c r="G80"/>
      <c r="H80"/>
      <c r="I80"/>
      <c r="J80"/>
      <c r="K80"/>
      <c r="L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</row>
    <row r="81" spans="1:63">
      <c r="A81" s="70"/>
      <c r="B81"/>
      <c r="C81"/>
      <c r="D81"/>
      <c r="E81"/>
      <c r="F81"/>
      <c r="G81"/>
      <c r="H81"/>
      <c r="I81"/>
      <c r="J81"/>
      <c r="K81"/>
      <c r="L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</row>
    <row r="82" spans="1:63">
      <c r="A82" s="70"/>
      <c r="B82"/>
      <c r="C82"/>
      <c r="D82"/>
      <c r="E82"/>
      <c r="F82"/>
      <c r="G82"/>
      <c r="H82"/>
      <c r="I82"/>
      <c r="J82"/>
      <c r="K82"/>
      <c r="L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</row>
    <row r="83" spans="1:63">
      <c r="A83" s="70"/>
      <c r="B83"/>
      <c r="C83"/>
      <c r="D83"/>
      <c r="E83"/>
      <c r="F83"/>
      <c r="G83"/>
      <c r="H83"/>
      <c r="I83"/>
      <c r="J83"/>
      <c r="K83"/>
      <c r="L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</row>
    <row r="84" spans="1:63">
      <c r="A84" s="70"/>
      <c r="B84"/>
      <c r="C84"/>
      <c r="D84"/>
      <c r="E84"/>
      <c r="F84"/>
      <c r="G84"/>
      <c r="H84"/>
      <c r="I84"/>
      <c r="J84"/>
      <c r="K84"/>
      <c r="L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</row>
    <row r="85" spans="1:63">
      <c r="A85" s="70"/>
      <c r="B85"/>
      <c r="C85"/>
      <c r="D85"/>
      <c r="E85"/>
      <c r="F85"/>
      <c r="G85"/>
      <c r="H85"/>
      <c r="I85"/>
      <c r="J85"/>
      <c r="K85"/>
      <c r="L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</row>
    <row r="86" spans="1:63">
      <c r="A86" s="70"/>
      <c r="B86"/>
      <c r="C86"/>
      <c r="D86"/>
      <c r="E86"/>
      <c r="F86"/>
      <c r="G86"/>
      <c r="H86"/>
      <c r="I86"/>
      <c r="J86"/>
      <c r="K86"/>
      <c r="L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</row>
    <row r="87" spans="1:63">
      <c r="A87" s="70"/>
      <c r="B87"/>
      <c r="C87"/>
      <c r="D87"/>
      <c r="E87"/>
      <c r="F87"/>
      <c r="G87"/>
      <c r="H87"/>
      <c r="I87"/>
      <c r="J87"/>
      <c r="K87"/>
      <c r="L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</row>
    <row r="88" spans="1:63">
      <c r="A88" s="70"/>
      <c r="B88"/>
      <c r="C88"/>
      <c r="D88"/>
      <c r="E88"/>
      <c r="F88"/>
      <c r="G88"/>
      <c r="H88"/>
      <c r="I88"/>
      <c r="J88"/>
      <c r="K88"/>
      <c r="L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</row>
    <row r="89" spans="1:63">
      <c r="A89" s="70"/>
      <c r="B89"/>
      <c r="C89"/>
      <c r="D89"/>
      <c r="E89"/>
      <c r="F89"/>
      <c r="G89"/>
      <c r="H89"/>
      <c r="I89"/>
      <c r="J89"/>
      <c r="K89"/>
      <c r="L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</row>
    <row r="90" spans="1:63">
      <c r="A90" s="70"/>
      <c r="B90"/>
      <c r="C90"/>
      <c r="D90"/>
      <c r="E90"/>
      <c r="F90"/>
      <c r="G90"/>
      <c r="H90"/>
      <c r="I90"/>
      <c r="J90"/>
      <c r="K90"/>
      <c r="L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</row>
    <row r="91" spans="1:63">
      <c r="A91" s="70"/>
      <c r="B91"/>
      <c r="C91"/>
      <c r="D91"/>
      <c r="E91"/>
      <c r="F91"/>
      <c r="G91"/>
      <c r="H91"/>
      <c r="I91"/>
      <c r="J91"/>
      <c r="K91"/>
      <c r="L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</row>
    <row r="92" spans="1:63">
      <c r="A92" s="70"/>
      <c r="B92"/>
      <c r="C92"/>
      <c r="D92"/>
      <c r="E92"/>
      <c r="F92"/>
      <c r="G92"/>
      <c r="H92"/>
      <c r="I92"/>
      <c r="J92"/>
      <c r="K92"/>
      <c r="L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</row>
    <row r="93" spans="1:63">
      <c r="A93" s="70"/>
      <c r="B93"/>
      <c r="C93"/>
      <c r="D93"/>
      <c r="E93"/>
      <c r="F93"/>
      <c r="G93"/>
      <c r="H93"/>
      <c r="I93"/>
      <c r="J93"/>
      <c r="K93"/>
      <c r="L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</row>
    <row r="94" spans="1:63">
      <c r="A94" s="70"/>
      <c r="B94"/>
      <c r="C94"/>
      <c r="D94"/>
      <c r="E94"/>
      <c r="F94"/>
      <c r="G94"/>
      <c r="H94"/>
      <c r="I94"/>
      <c r="J94"/>
      <c r="K94"/>
      <c r="L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</row>
    <row r="95" spans="1:63">
      <c r="A95" s="70"/>
      <c r="B95"/>
      <c r="C95"/>
      <c r="D95"/>
      <c r="E95"/>
      <c r="F95"/>
      <c r="G95"/>
      <c r="H95"/>
      <c r="I95"/>
      <c r="J95"/>
      <c r="K95"/>
      <c r="L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</row>
    <row r="96" spans="1:63">
      <c r="A96" s="70"/>
      <c r="B96"/>
      <c r="C96"/>
      <c r="D96"/>
      <c r="E96"/>
      <c r="F96"/>
      <c r="G96"/>
      <c r="H96"/>
      <c r="I96"/>
      <c r="J96"/>
      <c r="K96"/>
      <c r="L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</row>
    <row r="97" spans="1:63">
      <c r="A97" s="70"/>
      <c r="B97"/>
      <c r="C97"/>
      <c r="D97"/>
      <c r="E97"/>
      <c r="F97"/>
      <c r="G97"/>
      <c r="H97"/>
      <c r="I97"/>
      <c r="J97"/>
      <c r="K97"/>
      <c r="L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</row>
    <row r="98" spans="1:63">
      <c r="A98" s="70"/>
      <c r="B98"/>
      <c r="C98"/>
      <c r="D98"/>
      <c r="E98"/>
      <c r="F98"/>
      <c r="G98"/>
      <c r="H98"/>
      <c r="I98"/>
      <c r="J98"/>
      <c r="K98"/>
      <c r="L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</row>
    <row r="99" spans="1:63">
      <c r="A99" s="70"/>
      <c r="B99"/>
      <c r="C99"/>
      <c r="D99"/>
      <c r="E99"/>
      <c r="F99"/>
      <c r="G99"/>
      <c r="H99"/>
      <c r="I99"/>
      <c r="J99"/>
      <c r="K99"/>
      <c r="L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</row>
    <row r="100" spans="1:63">
      <c r="A100" s="70"/>
      <c r="B100"/>
      <c r="C100"/>
      <c r="D100"/>
      <c r="E100"/>
      <c r="F100"/>
      <c r="G100"/>
      <c r="H100"/>
      <c r="I100"/>
      <c r="J100"/>
      <c r="K100"/>
      <c r="L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</row>
    <row r="101" spans="1:63">
      <c r="A101" s="70"/>
      <c r="B101"/>
      <c r="C101"/>
      <c r="D101"/>
      <c r="E101"/>
      <c r="F101"/>
      <c r="G101"/>
      <c r="H101"/>
      <c r="I101"/>
      <c r="J101"/>
      <c r="K101"/>
      <c r="L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</row>
    <row r="102" spans="1:63">
      <c r="A102" s="70"/>
      <c r="B102"/>
      <c r="C102"/>
      <c r="D102"/>
      <c r="E102"/>
      <c r="F102"/>
      <c r="G102"/>
      <c r="H102"/>
      <c r="I102"/>
      <c r="J102"/>
      <c r="K102"/>
      <c r="L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</row>
    <row r="103" spans="1:63">
      <c r="A103" s="70"/>
      <c r="B103"/>
      <c r="C103"/>
      <c r="D103"/>
      <c r="E103"/>
      <c r="F103"/>
      <c r="G103"/>
      <c r="H103"/>
      <c r="I103"/>
      <c r="J103"/>
      <c r="K103"/>
      <c r="L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</row>
    <row r="104" spans="1:63">
      <c r="A104" s="70"/>
      <c r="B104"/>
      <c r="C104"/>
      <c r="D104"/>
      <c r="E104"/>
      <c r="F104"/>
      <c r="G104"/>
      <c r="H104"/>
      <c r="I104"/>
      <c r="J104"/>
      <c r="K104"/>
      <c r="L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</row>
    <row r="105" spans="1:63">
      <c r="A105" s="70"/>
      <c r="B105"/>
      <c r="C105"/>
      <c r="D105"/>
      <c r="E105"/>
      <c r="F105"/>
      <c r="G105"/>
      <c r="H105"/>
      <c r="I105"/>
      <c r="J105"/>
      <c r="K105"/>
      <c r="L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</row>
    <row r="106" spans="1:63">
      <c r="A106" s="70"/>
      <c r="B106"/>
      <c r="C106"/>
      <c r="D106"/>
      <c r="E106"/>
      <c r="F106"/>
      <c r="G106"/>
      <c r="H106"/>
      <c r="I106"/>
      <c r="J106"/>
      <c r="K106"/>
      <c r="L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</row>
    <row r="107" spans="1:63">
      <c r="A107" s="70"/>
      <c r="B107"/>
      <c r="C107"/>
      <c r="D107"/>
      <c r="E107"/>
      <c r="F107"/>
      <c r="G107"/>
      <c r="H107"/>
      <c r="I107"/>
      <c r="J107"/>
      <c r="K107"/>
      <c r="L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</row>
    <row r="108" spans="1:63">
      <c r="A108" s="70"/>
      <c r="B108"/>
      <c r="C108"/>
      <c r="D108"/>
      <c r="E108"/>
      <c r="F108"/>
      <c r="G108"/>
      <c r="H108"/>
      <c r="I108"/>
      <c r="J108"/>
      <c r="K108"/>
      <c r="L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</row>
    <row r="109" spans="1:63">
      <c r="A109" s="70"/>
      <c r="B109"/>
      <c r="C109"/>
      <c r="D109"/>
      <c r="E109"/>
      <c r="F109"/>
      <c r="G109"/>
      <c r="H109"/>
      <c r="I109"/>
      <c r="J109"/>
      <c r="K109"/>
      <c r="L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</row>
    <row r="110" spans="1:63">
      <c r="A110" s="70"/>
      <c r="B110"/>
      <c r="C110"/>
      <c r="D110"/>
      <c r="E110"/>
      <c r="F110"/>
      <c r="G110"/>
      <c r="H110"/>
      <c r="I110"/>
      <c r="J110"/>
      <c r="K110"/>
      <c r="L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</row>
    <row r="111" spans="1:63">
      <c r="A111" s="70"/>
      <c r="B111"/>
      <c r="C111"/>
      <c r="D111"/>
      <c r="E111"/>
      <c r="F111"/>
      <c r="G111"/>
      <c r="H111"/>
      <c r="I111"/>
      <c r="J111"/>
      <c r="K111"/>
      <c r="L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</row>
    <row r="112" spans="1:63">
      <c r="A112" s="70"/>
      <c r="B112"/>
      <c r="C112"/>
      <c r="D112"/>
      <c r="E112"/>
      <c r="F112"/>
      <c r="G112"/>
      <c r="H112"/>
      <c r="I112"/>
      <c r="J112"/>
      <c r="K112"/>
      <c r="L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</row>
    <row r="113" spans="1:63">
      <c r="A113" s="70"/>
      <c r="B113"/>
      <c r="C113"/>
      <c r="D113"/>
      <c r="E113"/>
      <c r="F113"/>
      <c r="G113"/>
      <c r="H113"/>
      <c r="I113"/>
      <c r="J113"/>
      <c r="K113"/>
      <c r="L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</row>
    <row r="114" spans="1:63">
      <c r="A114" s="70"/>
      <c r="B114"/>
      <c r="C114"/>
      <c r="D114"/>
      <c r="E114"/>
      <c r="F114"/>
      <c r="G114"/>
      <c r="H114"/>
      <c r="I114"/>
      <c r="J114"/>
      <c r="K114"/>
      <c r="L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</row>
    <row r="115" spans="1:63">
      <c r="A115" s="70"/>
      <c r="B115"/>
      <c r="C115"/>
      <c r="D115"/>
      <c r="E115"/>
      <c r="F115"/>
      <c r="G115"/>
      <c r="H115"/>
      <c r="I115"/>
      <c r="J115"/>
      <c r="K115"/>
      <c r="L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</row>
    <row r="116" spans="1:63">
      <c r="A116" s="70"/>
      <c r="B116"/>
      <c r="C116"/>
      <c r="D116"/>
      <c r="E116"/>
      <c r="F116"/>
      <c r="G116"/>
      <c r="H116"/>
      <c r="I116"/>
      <c r="J116"/>
      <c r="K116"/>
      <c r="L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</row>
    <row r="117" spans="1:63">
      <c r="A117" s="70"/>
      <c r="B117"/>
      <c r="C117"/>
      <c r="D117"/>
      <c r="E117"/>
      <c r="F117"/>
      <c r="G117"/>
      <c r="H117"/>
      <c r="I117"/>
      <c r="J117"/>
      <c r="K117"/>
      <c r="L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</row>
    <row r="118" spans="1:63">
      <c r="A118" s="70"/>
      <c r="B118"/>
      <c r="C118"/>
      <c r="D118"/>
      <c r="E118"/>
      <c r="F118"/>
      <c r="G118"/>
      <c r="H118"/>
      <c r="I118"/>
      <c r="J118"/>
      <c r="K118"/>
      <c r="L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</row>
    <row r="119" spans="1:63">
      <c r="A119" s="70"/>
      <c r="B119"/>
      <c r="C119"/>
      <c r="D119"/>
      <c r="E119"/>
      <c r="F119"/>
      <c r="G119"/>
      <c r="H119"/>
      <c r="I119"/>
      <c r="J119"/>
      <c r="K119"/>
      <c r="L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</row>
    <row r="120" spans="1:63">
      <c r="A120" s="70"/>
      <c r="B120"/>
      <c r="C120"/>
      <c r="D120"/>
      <c r="E120"/>
      <c r="F120"/>
      <c r="G120"/>
      <c r="H120"/>
      <c r="I120"/>
      <c r="J120"/>
      <c r="K120"/>
      <c r="L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</row>
    <row r="121" spans="1:63">
      <c r="A121" s="70"/>
      <c r="B121"/>
      <c r="C121"/>
      <c r="D121"/>
      <c r="E121"/>
      <c r="F121"/>
      <c r="G121"/>
      <c r="H121"/>
      <c r="I121"/>
      <c r="J121"/>
      <c r="K121"/>
      <c r="L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</row>
    <row r="122" spans="1:63">
      <c r="A122" s="70"/>
      <c r="B122"/>
      <c r="C122"/>
      <c r="D122"/>
      <c r="E122"/>
      <c r="F122"/>
      <c r="G122"/>
      <c r="H122"/>
      <c r="I122"/>
      <c r="J122"/>
      <c r="K122"/>
      <c r="L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</row>
    <row r="123" spans="1:63">
      <c r="A123" s="70"/>
      <c r="B123"/>
      <c r="C123"/>
      <c r="D123"/>
      <c r="E123"/>
      <c r="F123"/>
      <c r="G123"/>
      <c r="H123"/>
      <c r="I123"/>
      <c r="J123"/>
      <c r="K123"/>
      <c r="L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</row>
    <row r="124" spans="1:63">
      <c r="A124" s="70"/>
      <c r="B124"/>
      <c r="C124"/>
      <c r="D124"/>
      <c r="E124"/>
      <c r="F124"/>
      <c r="G124"/>
      <c r="H124"/>
      <c r="I124"/>
      <c r="J124"/>
      <c r="K124"/>
      <c r="L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</row>
    <row r="125" spans="1:63">
      <c r="A125" s="70"/>
      <c r="B125"/>
      <c r="C125"/>
      <c r="D125"/>
      <c r="E125"/>
      <c r="F125"/>
      <c r="G125"/>
      <c r="H125"/>
      <c r="I125"/>
      <c r="J125"/>
      <c r="K125"/>
      <c r="L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</row>
    <row r="126" spans="1:63">
      <c r="A126" s="70"/>
      <c r="B126"/>
      <c r="C126"/>
      <c r="D126"/>
      <c r="E126"/>
      <c r="F126"/>
      <c r="G126"/>
      <c r="H126"/>
      <c r="I126"/>
      <c r="J126"/>
      <c r="K126"/>
      <c r="L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</row>
    <row r="127" spans="1:63">
      <c r="A127" s="70"/>
      <c r="B127"/>
      <c r="C127"/>
      <c r="D127"/>
      <c r="E127"/>
      <c r="F127"/>
      <c r="G127"/>
      <c r="H127"/>
      <c r="I127"/>
      <c r="J127"/>
      <c r="K127"/>
      <c r="L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</row>
    <row r="128" spans="1:63">
      <c r="A128" s="70"/>
      <c r="B128"/>
      <c r="C128"/>
      <c r="D128"/>
      <c r="E128"/>
      <c r="F128"/>
      <c r="G128"/>
      <c r="H128"/>
      <c r="I128"/>
      <c r="J128"/>
      <c r="K128"/>
      <c r="L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</row>
    <row r="129" spans="1:63">
      <c r="A129" s="70"/>
      <c r="B129"/>
      <c r="C129"/>
      <c r="D129"/>
      <c r="E129"/>
      <c r="F129"/>
      <c r="G129"/>
      <c r="H129"/>
      <c r="I129"/>
      <c r="J129"/>
      <c r="K129"/>
      <c r="L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</row>
    <row r="130" spans="1:63">
      <c r="A130" s="70"/>
      <c r="B130"/>
      <c r="C130"/>
      <c r="D130"/>
      <c r="E130"/>
      <c r="F130"/>
      <c r="G130"/>
      <c r="H130"/>
      <c r="I130"/>
      <c r="J130"/>
      <c r="K130"/>
      <c r="L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</row>
    <row r="131" spans="1:63">
      <c r="A131" s="70"/>
      <c r="B131"/>
      <c r="C131"/>
      <c r="D131"/>
      <c r="E131"/>
      <c r="F131"/>
      <c r="G131"/>
      <c r="H131"/>
      <c r="I131"/>
      <c r="J131"/>
      <c r="K131"/>
      <c r="L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</row>
    <row r="132" spans="1:63">
      <c r="A132" s="70"/>
      <c r="B132"/>
      <c r="C132"/>
      <c r="D132"/>
      <c r="E132"/>
      <c r="F132"/>
      <c r="G132"/>
      <c r="H132"/>
      <c r="I132"/>
      <c r="J132"/>
      <c r="K132"/>
      <c r="L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</row>
    <row r="133" spans="1:63">
      <c r="A133" s="70"/>
      <c r="B133"/>
      <c r="C133"/>
      <c r="D133"/>
      <c r="E133"/>
      <c r="F133"/>
      <c r="G133"/>
      <c r="H133"/>
      <c r="I133"/>
      <c r="J133"/>
      <c r="K133"/>
      <c r="L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</row>
    <row r="134" spans="1:63">
      <c r="A134" s="70"/>
      <c r="B134"/>
      <c r="C134"/>
      <c r="D134"/>
      <c r="E134"/>
      <c r="F134"/>
      <c r="G134"/>
      <c r="H134"/>
      <c r="I134"/>
      <c r="J134"/>
      <c r="K134"/>
      <c r="L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</row>
    <row r="135" spans="1:63">
      <c r="A135" s="70"/>
      <c r="B135"/>
      <c r="C135"/>
      <c r="D135"/>
      <c r="E135"/>
      <c r="F135"/>
      <c r="G135"/>
      <c r="H135"/>
      <c r="I135"/>
      <c r="J135"/>
      <c r="K135"/>
      <c r="L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</row>
    <row r="136" spans="1:63">
      <c r="A136" s="70"/>
      <c r="B136"/>
      <c r="C136"/>
      <c r="D136"/>
      <c r="E136"/>
      <c r="F136"/>
      <c r="G136"/>
      <c r="H136"/>
      <c r="I136"/>
      <c r="J136"/>
      <c r="K136"/>
      <c r="L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</row>
    <row r="137" spans="1:63">
      <c r="A137" s="70"/>
      <c r="B137"/>
      <c r="C137"/>
      <c r="D137"/>
      <c r="E137"/>
      <c r="F137"/>
      <c r="G137"/>
      <c r="H137"/>
      <c r="I137"/>
      <c r="J137"/>
      <c r="K137"/>
      <c r="L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</row>
    <row r="138" spans="1:63">
      <c r="A138" s="70"/>
      <c r="B138"/>
      <c r="C138"/>
      <c r="D138"/>
      <c r="E138"/>
      <c r="F138"/>
      <c r="G138"/>
      <c r="H138"/>
      <c r="I138"/>
      <c r="J138"/>
      <c r="K138"/>
      <c r="L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</row>
    <row r="139" spans="1:63">
      <c r="A139" s="70"/>
      <c r="B139"/>
      <c r="C139"/>
      <c r="D139"/>
      <c r="E139"/>
      <c r="F139"/>
      <c r="G139"/>
      <c r="H139"/>
      <c r="I139"/>
      <c r="J139"/>
      <c r="K139"/>
      <c r="L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</row>
    <row r="140" spans="1:63">
      <c r="A140" s="70"/>
      <c r="B140"/>
      <c r="C140"/>
      <c r="D140"/>
      <c r="E140"/>
      <c r="F140"/>
      <c r="G140"/>
      <c r="H140"/>
      <c r="I140"/>
      <c r="J140"/>
      <c r="K140"/>
      <c r="L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</row>
    <row r="141" spans="1:63">
      <c r="A141" s="70"/>
      <c r="B141"/>
      <c r="C141"/>
      <c r="D141"/>
      <c r="E141"/>
      <c r="F141"/>
      <c r="G141"/>
      <c r="H141"/>
      <c r="I141"/>
      <c r="J141"/>
      <c r="K141"/>
      <c r="L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</row>
    <row r="142" spans="1:63">
      <c r="A142" s="70"/>
      <c r="B142"/>
      <c r="C142"/>
      <c r="D142"/>
      <c r="E142"/>
      <c r="F142"/>
      <c r="G142"/>
      <c r="H142"/>
      <c r="I142"/>
      <c r="J142"/>
      <c r="K142"/>
      <c r="L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</row>
    <row r="143" spans="1:63">
      <c r="A143" s="70"/>
      <c r="B143"/>
      <c r="C143"/>
      <c r="D143"/>
      <c r="E143"/>
      <c r="F143"/>
      <c r="G143"/>
      <c r="H143"/>
      <c r="I143"/>
      <c r="J143"/>
      <c r="K143"/>
      <c r="L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</row>
    <row r="144" spans="1:63">
      <c r="A144" s="70"/>
      <c r="B144"/>
      <c r="C144"/>
      <c r="D144"/>
      <c r="E144"/>
      <c r="F144"/>
      <c r="G144"/>
      <c r="H144"/>
      <c r="I144"/>
      <c r="J144"/>
      <c r="K144"/>
      <c r="L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</row>
    <row r="145" spans="1:63">
      <c r="A145" s="70"/>
      <c r="B145"/>
      <c r="C145"/>
      <c r="D145"/>
      <c r="E145"/>
      <c r="F145"/>
      <c r="G145"/>
      <c r="H145"/>
      <c r="I145"/>
      <c r="J145"/>
      <c r="K145"/>
      <c r="L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</row>
    <row r="146" spans="1:63">
      <c r="A146" s="70"/>
      <c r="B146"/>
      <c r="C146"/>
      <c r="D146"/>
      <c r="E146"/>
      <c r="F146"/>
      <c r="G146"/>
      <c r="H146"/>
      <c r="I146"/>
      <c r="J146"/>
      <c r="K146"/>
      <c r="L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</row>
    <row r="147" spans="1:63">
      <c r="A147" s="70"/>
      <c r="B147"/>
      <c r="C147"/>
      <c r="D147"/>
      <c r="E147"/>
      <c r="F147"/>
      <c r="G147"/>
      <c r="H147"/>
      <c r="I147"/>
      <c r="J147"/>
      <c r="K147"/>
      <c r="L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</row>
    <row r="148" spans="1:63">
      <c r="A148" s="70"/>
      <c r="B148"/>
      <c r="C148"/>
      <c r="D148"/>
      <c r="E148"/>
      <c r="F148"/>
      <c r="G148"/>
      <c r="H148"/>
      <c r="I148"/>
      <c r="J148"/>
      <c r="K148"/>
      <c r="L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</row>
    <row r="149" spans="1:63">
      <c r="A149" s="70"/>
      <c r="B149"/>
      <c r="C149"/>
      <c r="D149"/>
      <c r="E149"/>
      <c r="F149"/>
      <c r="G149"/>
      <c r="H149"/>
      <c r="I149"/>
      <c r="J149"/>
      <c r="K149"/>
      <c r="L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</row>
    <row r="150" spans="1:63">
      <c r="A150" s="70"/>
      <c r="B150"/>
      <c r="C150"/>
      <c r="D150"/>
      <c r="E150"/>
      <c r="F150"/>
      <c r="G150"/>
      <c r="H150"/>
      <c r="I150"/>
      <c r="J150"/>
      <c r="K150"/>
      <c r="L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</row>
    <row r="151" spans="1:63">
      <c r="A151" s="70"/>
      <c r="B151"/>
      <c r="C151"/>
      <c r="D151"/>
      <c r="E151"/>
      <c r="F151"/>
      <c r="G151"/>
      <c r="H151"/>
      <c r="I151"/>
      <c r="J151"/>
      <c r="K151"/>
      <c r="L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</row>
    <row r="152" spans="1:63">
      <c r="A152" s="70"/>
      <c r="B152"/>
      <c r="C152"/>
      <c r="D152"/>
      <c r="E152"/>
      <c r="F152"/>
      <c r="G152"/>
      <c r="H152"/>
      <c r="I152"/>
      <c r="J152"/>
      <c r="K152"/>
      <c r="L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</row>
    <row r="153" spans="1:63">
      <c r="A153" s="70"/>
      <c r="B153"/>
      <c r="C153"/>
      <c r="D153"/>
      <c r="E153"/>
      <c r="F153"/>
      <c r="G153"/>
      <c r="H153"/>
      <c r="I153"/>
      <c r="J153"/>
      <c r="K153"/>
      <c r="L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</row>
    <row r="154" spans="1:63">
      <c r="A154" s="70"/>
      <c r="B154"/>
      <c r="C154"/>
      <c r="D154"/>
      <c r="E154"/>
      <c r="F154"/>
      <c r="G154"/>
      <c r="H154"/>
      <c r="I154"/>
      <c r="J154"/>
      <c r="K154"/>
      <c r="L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</row>
    <row r="155" spans="1:63">
      <c r="A155" s="70"/>
      <c r="B155"/>
      <c r="C155"/>
      <c r="D155"/>
      <c r="E155"/>
      <c r="F155"/>
      <c r="G155"/>
      <c r="H155"/>
      <c r="I155"/>
      <c r="J155"/>
      <c r="K155"/>
      <c r="L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</row>
    <row r="156" spans="1:63">
      <c r="A156" s="70"/>
      <c r="B156"/>
      <c r="C156"/>
      <c r="D156"/>
      <c r="E156"/>
      <c r="F156"/>
      <c r="G156"/>
      <c r="H156"/>
      <c r="I156"/>
      <c r="J156"/>
      <c r="K156"/>
      <c r="L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</row>
    <row r="157" spans="1:63">
      <c r="A157" s="70"/>
      <c r="B157"/>
      <c r="C157"/>
      <c r="D157"/>
      <c r="E157"/>
      <c r="F157"/>
      <c r="G157"/>
      <c r="H157"/>
      <c r="I157"/>
      <c r="J157"/>
      <c r="K157"/>
      <c r="L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</row>
    <row r="158" spans="1:63">
      <c r="A158" s="70"/>
      <c r="B158"/>
      <c r="C158"/>
      <c r="D158"/>
      <c r="E158"/>
      <c r="F158"/>
      <c r="G158"/>
      <c r="H158"/>
      <c r="I158"/>
      <c r="J158"/>
      <c r="K158"/>
      <c r="L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</row>
    <row r="159" spans="1:63">
      <c r="A159" s="70"/>
      <c r="B159"/>
      <c r="C159"/>
      <c r="D159"/>
      <c r="E159"/>
      <c r="F159"/>
      <c r="G159"/>
      <c r="H159"/>
      <c r="I159"/>
      <c r="J159"/>
      <c r="K159"/>
      <c r="L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</row>
    <row r="160" spans="1:63">
      <c r="A160" s="70"/>
      <c r="B160"/>
      <c r="C160"/>
      <c r="D160"/>
      <c r="E160"/>
      <c r="F160"/>
      <c r="G160"/>
      <c r="H160"/>
      <c r="I160"/>
      <c r="J160"/>
      <c r="K160"/>
      <c r="L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</row>
    <row r="161" spans="1:63">
      <c r="A161" s="70"/>
      <c r="B161"/>
      <c r="C161"/>
      <c r="D161"/>
      <c r="E161"/>
      <c r="F161"/>
      <c r="G161"/>
      <c r="H161"/>
      <c r="I161"/>
      <c r="J161"/>
      <c r="K161"/>
      <c r="L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</row>
    <row r="162" spans="1:63">
      <c r="A162" s="70"/>
      <c r="B162"/>
      <c r="C162"/>
      <c r="D162"/>
      <c r="E162"/>
      <c r="F162"/>
      <c r="G162"/>
      <c r="H162"/>
      <c r="I162"/>
      <c r="J162"/>
      <c r="K162"/>
      <c r="L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</row>
    <row r="163" spans="1:63">
      <c r="A163" s="70"/>
      <c r="B163"/>
      <c r="C163"/>
      <c r="D163"/>
      <c r="E163"/>
      <c r="F163"/>
      <c r="G163"/>
      <c r="H163"/>
      <c r="I163"/>
      <c r="J163"/>
      <c r="K163"/>
      <c r="L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</row>
    <row r="164" spans="1:63">
      <c r="A164" s="70"/>
      <c r="B164"/>
      <c r="C164"/>
      <c r="D164"/>
      <c r="E164"/>
      <c r="F164"/>
      <c r="G164"/>
      <c r="H164"/>
      <c r="I164"/>
      <c r="J164"/>
      <c r="K164"/>
      <c r="L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</row>
    <row r="165" spans="1:63">
      <c r="A165" s="70"/>
      <c r="B165"/>
      <c r="C165"/>
      <c r="D165"/>
      <c r="E165"/>
      <c r="F165"/>
      <c r="G165"/>
      <c r="H165"/>
      <c r="I165"/>
      <c r="J165"/>
      <c r="K165"/>
      <c r="L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</row>
    <row r="166" spans="1:63">
      <c r="A166" s="70"/>
      <c r="B166"/>
      <c r="C166"/>
      <c r="D166"/>
      <c r="E166"/>
      <c r="F166"/>
      <c r="G166"/>
      <c r="H166"/>
      <c r="I166"/>
      <c r="J166"/>
      <c r="K166"/>
      <c r="L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</row>
    <row r="167" spans="1:63">
      <c r="A167" s="70"/>
      <c r="B167"/>
      <c r="C167"/>
      <c r="D167"/>
      <c r="E167"/>
      <c r="F167"/>
      <c r="G167"/>
      <c r="H167"/>
      <c r="I167"/>
      <c r="J167"/>
      <c r="K167"/>
      <c r="L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</row>
    <row r="168" spans="1:63">
      <c r="A168" s="70"/>
      <c r="B168"/>
      <c r="C168"/>
      <c r="D168"/>
      <c r="E168"/>
      <c r="F168"/>
      <c r="G168"/>
      <c r="H168"/>
      <c r="I168"/>
      <c r="J168"/>
      <c r="K168"/>
      <c r="L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</row>
    <row r="169" spans="1:63">
      <c r="A169" s="70"/>
      <c r="B169"/>
      <c r="C169"/>
      <c r="D169"/>
      <c r="E169"/>
      <c r="F169"/>
      <c r="G169"/>
      <c r="H169"/>
      <c r="I169"/>
      <c r="J169"/>
      <c r="K169"/>
      <c r="L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</row>
    <row r="170" spans="1:63">
      <c r="A170" s="70"/>
      <c r="B170"/>
      <c r="C170"/>
      <c r="D170"/>
      <c r="E170"/>
      <c r="F170"/>
      <c r="G170"/>
      <c r="H170"/>
      <c r="I170"/>
      <c r="J170"/>
      <c r="K170"/>
      <c r="L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</row>
    <row r="171" spans="1:63">
      <c r="A171" s="70"/>
      <c r="B171"/>
      <c r="C171"/>
      <c r="D171"/>
      <c r="E171"/>
      <c r="F171"/>
      <c r="G171"/>
      <c r="H171"/>
      <c r="I171"/>
      <c r="J171"/>
      <c r="K171"/>
      <c r="L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</row>
    <row r="172" spans="1:63">
      <c r="A172" s="70"/>
      <c r="B172"/>
      <c r="C172"/>
      <c r="D172"/>
      <c r="E172"/>
      <c r="F172"/>
      <c r="G172"/>
      <c r="H172"/>
      <c r="I172"/>
      <c r="J172"/>
      <c r="K172"/>
      <c r="L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</row>
    <row r="173" spans="1:63">
      <c r="A173" s="70"/>
      <c r="B173"/>
      <c r="C173"/>
      <c r="D173"/>
      <c r="E173"/>
      <c r="F173"/>
      <c r="G173"/>
      <c r="H173"/>
      <c r="I173"/>
      <c r="J173"/>
      <c r="K173"/>
      <c r="L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</row>
    <row r="174" spans="1:63">
      <c r="A174" s="70"/>
      <c r="B174"/>
      <c r="C174"/>
      <c r="D174"/>
      <c r="E174"/>
      <c r="F174"/>
      <c r="G174"/>
      <c r="H174"/>
      <c r="I174"/>
      <c r="J174"/>
      <c r="K174"/>
      <c r="L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</row>
    <row r="175" spans="1:63">
      <c r="A175" s="70"/>
      <c r="B175"/>
      <c r="C175"/>
      <c r="D175"/>
      <c r="E175"/>
      <c r="F175"/>
      <c r="G175"/>
      <c r="H175"/>
      <c r="I175"/>
      <c r="J175"/>
      <c r="K175"/>
      <c r="L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</row>
    <row r="176" spans="1:63">
      <c r="A176" s="70"/>
      <c r="B176"/>
      <c r="C176"/>
      <c r="D176"/>
      <c r="E176"/>
      <c r="F176"/>
      <c r="G176"/>
      <c r="H176"/>
      <c r="I176"/>
      <c r="J176"/>
      <c r="K176"/>
      <c r="L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</row>
    <row r="177" spans="1:63">
      <c r="A177" s="70"/>
      <c r="B177"/>
      <c r="C177"/>
      <c r="D177"/>
      <c r="E177"/>
      <c r="F177"/>
      <c r="G177"/>
      <c r="H177"/>
      <c r="I177"/>
      <c r="J177"/>
      <c r="K177"/>
      <c r="L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</row>
    <row r="178" spans="1:63">
      <c r="A178" s="70"/>
      <c r="B178"/>
      <c r="C178"/>
      <c r="D178"/>
      <c r="E178"/>
      <c r="F178"/>
      <c r="G178"/>
      <c r="H178"/>
      <c r="I178"/>
      <c r="J178"/>
      <c r="K178"/>
      <c r="L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</row>
    <row r="179" spans="1:63">
      <c r="A179" s="70"/>
      <c r="B179"/>
      <c r="C179"/>
      <c r="D179"/>
      <c r="E179"/>
      <c r="F179"/>
      <c r="G179"/>
      <c r="H179"/>
      <c r="I179"/>
      <c r="J179"/>
      <c r="K179"/>
      <c r="L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</row>
    <row r="180" spans="1:63">
      <c r="A180" s="70"/>
      <c r="B180"/>
      <c r="C180"/>
      <c r="D180"/>
      <c r="E180"/>
      <c r="F180"/>
      <c r="G180"/>
      <c r="H180"/>
      <c r="I180"/>
      <c r="J180"/>
      <c r="K180"/>
      <c r="L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</row>
    <row r="181" spans="1:63">
      <c r="A181" s="70"/>
      <c r="B181"/>
      <c r="C181"/>
      <c r="D181"/>
      <c r="E181"/>
      <c r="F181"/>
      <c r="G181"/>
      <c r="H181"/>
      <c r="I181"/>
      <c r="J181"/>
      <c r="K181"/>
      <c r="L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</row>
    <row r="182" spans="1:63">
      <c r="A182" s="70"/>
      <c r="B182"/>
      <c r="C182"/>
      <c r="D182"/>
      <c r="E182"/>
      <c r="F182"/>
      <c r="G182"/>
      <c r="H182"/>
      <c r="I182"/>
      <c r="J182"/>
      <c r="K182"/>
      <c r="L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</row>
    <row r="183" spans="1:63">
      <c r="A183" s="70"/>
      <c r="B183"/>
      <c r="C183"/>
      <c r="D183"/>
      <c r="E183"/>
      <c r="F183"/>
      <c r="G183"/>
      <c r="H183"/>
      <c r="I183"/>
      <c r="J183"/>
      <c r="K183"/>
      <c r="L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</row>
    <row r="184" spans="1:63">
      <c r="A184" s="70"/>
      <c r="B184"/>
      <c r="C184"/>
      <c r="D184"/>
      <c r="E184"/>
      <c r="F184"/>
      <c r="G184"/>
      <c r="H184"/>
      <c r="I184"/>
      <c r="J184"/>
      <c r="K184"/>
      <c r="L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</row>
    <row r="185" spans="1:63">
      <c r="A185" s="70"/>
      <c r="B185"/>
      <c r="C185"/>
      <c r="D185"/>
      <c r="E185"/>
      <c r="F185"/>
      <c r="G185"/>
      <c r="H185"/>
      <c r="I185"/>
      <c r="J185"/>
      <c r="K185"/>
      <c r="L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</row>
    <row r="186" spans="1:63">
      <c r="A186" s="70"/>
      <c r="B186"/>
      <c r="C186"/>
      <c r="D186"/>
      <c r="E186"/>
      <c r="F186"/>
      <c r="G186"/>
      <c r="H186"/>
      <c r="I186"/>
      <c r="J186"/>
      <c r="K186"/>
      <c r="L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</row>
    <row r="187" spans="1:63">
      <c r="A187" s="70"/>
      <c r="B187"/>
      <c r="C187"/>
      <c r="D187"/>
      <c r="E187"/>
      <c r="F187"/>
      <c r="G187"/>
      <c r="H187"/>
      <c r="I187"/>
      <c r="J187"/>
      <c r="K187"/>
      <c r="L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</row>
    <row r="188" spans="1:63">
      <c r="A188" s="70"/>
      <c r="B188"/>
      <c r="C188"/>
      <c r="D188"/>
      <c r="E188"/>
      <c r="F188"/>
      <c r="G188"/>
      <c r="H188"/>
      <c r="I188"/>
      <c r="J188"/>
      <c r="K188"/>
      <c r="L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</row>
    <row r="189" spans="1:63">
      <c r="A189" s="70"/>
      <c r="B189"/>
      <c r="C189"/>
      <c r="D189"/>
      <c r="E189"/>
      <c r="F189"/>
      <c r="G189"/>
      <c r="H189"/>
      <c r="I189"/>
      <c r="J189"/>
      <c r="K189"/>
      <c r="L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</row>
    <row r="190" spans="1:63">
      <c r="A190" s="70"/>
      <c r="B190"/>
      <c r="C190"/>
      <c r="D190"/>
      <c r="E190"/>
      <c r="F190"/>
      <c r="G190"/>
      <c r="H190"/>
      <c r="I190"/>
      <c r="J190"/>
      <c r="K190"/>
      <c r="L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</row>
    <row r="191" spans="1:63">
      <c r="A191" s="70"/>
      <c r="B191"/>
      <c r="C191"/>
      <c r="D191"/>
      <c r="E191"/>
      <c r="F191"/>
      <c r="G191"/>
      <c r="H191"/>
      <c r="I191"/>
      <c r="J191"/>
      <c r="K191"/>
      <c r="L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</row>
    <row r="192" spans="1:63">
      <c r="A192" s="70"/>
      <c r="B192"/>
      <c r="C192"/>
      <c r="D192"/>
      <c r="E192"/>
      <c r="F192"/>
      <c r="G192"/>
      <c r="H192"/>
      <c r="I192"/>
      <c r="J192"/>
      <c r="K192"/>
      <c r="L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</row>
    <row r="193" spans="1:63">
      <c r="A193" s="70"/>
      <c r="B193"/>
      <c r="C193"/>
      <c r="D193"/>
      <c r="E193"/>
      <c r="F193"/>
      <c r="G193"/>
      <c r="H193"/>
      <c r="I193"/>
      <c r="J193"/>
      <c r="K193"/>
      <c r="L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</row>
    <row r="194" spans="1:63">
      <c r="A194" s="70"/>
      <c r="B194"/>
      <c r="C194"/>
      <c r="D194"/>
      <c r="E194"/>
      <c r="F194"/>
      <c r="G194"/>
      <c r="H194"/>
      <c r="I194"/>
      <c r="J194"/>
      <c r="K194"/>
      <c r="L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</row>
    <row r="195" spans="1:63">
      <c r="A195" s="70"/>
      <c r="B195"/>
      <c r="C195"/>
      <c r="D195"/>
      <c r="E195"/>
      <c r="F195"/>
      <c r="G195"/>
      <c r="H195"/>
      <c r="I195"/>
      <c r="J195"/>
      <c r="K195"/>
      <c r="L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</row>
    <row r="196" spans="1:63">
      <c r="A196" s="70"/>
      <c r="B196"/>
      <c r="C196"/>
      <c r="D196"/>
      <c r="E196"/>
      <c r="F196"/>
      <c r="G196"/>
      <c r="H196"/>
      <c r="I196"/>
      <c r="J196"/>
      <c r="K196"/>
      <c r="L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</row>
    <row r="197" spans="1:63">
      <c r="A197" s="70"/>
      <c r="B197"/>
      <c r="C197"/>
      <c r="D197"/>
      <c r="E197"/>
      <c r="F197"/>
      <c r="G197"/>
      <c r="H197"/>
      <c r="I197"/>
      <c r="J197"/>
      <c r="K197"/>
      <c r="L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</row>
    <row r="198" spans="1:63">
      <c r="A198" s="70"/>
      <c r="B198"/>
      <c r="C198"/>
      <c r="D198"/>
      <c r="E198"/>
      <c r="F198"/>
      <c r="G198"/>
      <c r="H198"/>
      <c r="I198"/>
      <c r="J198"/>
      <c r="K198"/>
      <c r="L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</row>
    <row r="199" spans="1:63">
      <c r="A199" s="70"/>
      <c r="B199"/>
      <c r="C199"/>
      <c r="D199"/>
      <c r="E199"/>
      <c r="F199"/>
      <c r="G199"/>
      <c r="H199"/>
      <c r="I199"/>
      <c r="J199"/>
      <c r="K199"/>
      <c r="L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</row>
    <row r="200" spans="1:63">
      <c r="A200" s="70"/>
      <c r="B200"/>
      <c r="C200"/>
      <c r="D200"/>
      <c r="E200"/>
      <c r="F200"/>
      <c r="G200"/>
      <c r="H200"/>
      <c r="I200"/>
      <c r="J200"/>
      <c r="K200"/>
      <c r="L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</row>
    <row r="201" spans="1:63">
      <c r="A201" s="70"/>
      <c r="B201"/>
      <c r="C201"/>
      <c r="D201"/>
      <c r="E201"/>
      <c r="F201"/>
      <c r="G201"/>
      <c r="H201"/>
      <c r="I201"/>
      <c r="J201"/>
      <c r="K201"/>
      <c r="L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</row>
    <row r="202" spans="1:63">
      <c r="A202" s="70"/>
      <c r="B202"/>
      <c r="C202"/>
      <c r="D202"/>
      <c r="E202"/>
      <c r="F202"/>
      <c r="G202"/>
      <c r="H202"/>
      <c r="I202"/>
      <c r="J202"/>
      <c r="K202"/>
      <c r="L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</row>
    <row r="203" spans="1:63">
      <c r="A203" s="70"/>
      <c r="B203"/>
      <c r="C203"/>
      <c r="D203"/>
      <c r="E203"/>
      <c r="F203"/>
      <c r="G203"/>
      <c r="H203"/>
      <c r="I203"/>
      <c r="J203"/>
      <c r="K203"/>
      <c r="L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</row>
    <row r="204" spans="1:63">
      <c r="A204" s="70"/>
      <c r="B204"/>
      <c r="C204"/>
      <c r="D204"/>
      <c r="E204"/>
      <c r="F204"/>
      <c r="G204"/>
      <c r="H204"/>
      <c r="I204"/>
      <c r="J204"/>
      <c r="K204"/>
      <c r="L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</row>
    <row r="205" spans="1:63">
      <c r="A205" s="70"/>
      <c r="B205"/>
      <c r="C205"/>
      <c r="D205"/>
      <c r="E205"/>
      <c r="F205"/>
      <c r="G205"/>
      <c r="H205"/>
      <c r="I205"/>
      <c r="J205"/>
      <c r="K205"/>
      <c r="L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</row>
    <row r="206" spans="1:63">
      <c r="A206" s="70"/>
      <c r="B206"/>
      <c r="C206"/>
      <c r="D206"/>
      <c r="E206"/>
      <c r="F206"/>
      <c r="G206"/>
      <c r="H206"/>
      <c r="I206"/>
      <c r="J206"/>
      <c r="K206"/>
      <c r="L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</row>
    <row r="207" spans="1:63">
      <c r="A207" s="70"/>
      <c r="B207"/>
      <c r="C207"/>
      <c r="D207"/>
      <c r="E207"/>
      <c r="F207"/>
      <c r="G207"/>
      <c r="H207"/>
      <c r="I207"/>
      <c r="J207"/>
      <c r="K207"/>
      <c r="L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</row>
    <row r="208" spans="1:63">
      <c r="A208" s="70"/>
      <c r="B208"/>
      <c r="C208"/>
      <c r="D208"/>
      <c r="E208"/>
      <c r="F208"/>
      <c r="G208"/>
      <c r="H208"/>
      <c r="I208"/>
      <c r="J208"/>
      <c r="K208"/>
      <c r="L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</row>
    <row r="209" spans="1:63">
      <c r="A209" s="70"/>
      <c r="B209"/>
      <c r="C209"/>
      <c r="D209"/>
      <c r="E209"/>
      <c r="F209"/>
      <c r="G209"/>
      <c r="H209"/>
      <c r="I209"/>
      <c r="J209"/>
      <c r="K209"/>
      <c r="L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</row>
    <row r="210" spans="1:63">
      <c r="A210" s="70"/>
      <c r="B210"/>
      <c r="C210"/>
      <c r="D210"/>
      <c r="E210"/>
      <c r="F210"/>
      <c r="G210"/>
      <c r="H210"/>
      <c r="I210"/>
      <c r="J210"/>
      <c r="K210"/>
      <c r="L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</row>
    <row r="211" spans="1:63">
      <c r="A211" s="70"/>
      <c r="B211"/>
      <c r="C211"/>
      <c r="D211"/>
      <c r="E211"/>
      <c r="F211"/>
      <c r="G211"/>
      <c r="H211"/>
      <c r="I211"/>
      <c r="J211"/>
      <c r="K211"/>
      <c r="L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</row>
    <row r="212" spans="1:63">
      <c r="A212" s="70"/>
      <c r="B212"/>
      <c r="C212"/>
      <c r="D212"/>
      <c r="E212"/>
      <c r="F212"/>
      <c r="G212"/>
      <c r="H212"/>
      <c r="I212"/>
      <c r="J212"/>
      <c r="K212"/>
      <c r="L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</row>
    <row r="213" spans="1:63">
      <c r="A213" s="70"/>
      <c r="B213"/>
      <c r="C213"/>
      <c r="D213"/>
      <c r="E213"/>
      <c r="F213"/>
      <c r="G213"/>
      <c r="H213"/>
      <c r="I213"/>
      <c r="J213"/>
      <c r="K213"/>
      <c r="L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</row>
    <row r="214" spans="1:63">
      <c r="A214" s="70"/>
      <c r="B214"/>
      <c r="C214"/>
      <c r="D214"/>
      <c r="E214"/>
      <c r="F214"/>
      <c r="G214"/>
      <c r="H214"/>
      <c r="I214"/>
      <c r="J214"/>
      <c r="K214"/>
      <c r="L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</row>
    <row r="215" spans="1:63">
      <c r="A215" s="70"/>
      <c r="B215"/>
      <c r="C215"/>
      <c r="D215"/>
      <c r="E215"/>
      <c r="F215"/>
      <c r="G215"/>
      <c r="H215"/>
      <c r="I215"/>
      <c r="J215"/>
      <c r="K215"/>
      <c r="L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</row>
    <row r="216" spans="1:63">
      <c r="A216" s="70"/>
      <c r="B216"/>
      <c r="C216"/>
      <c r="D216"/>
      <c r="E216"/>
      <c r="F216"/>
      <c r="G216"/>
      <c r="H216"/>
      <c r="I216"/>
      <c r="J216"/>
      <c r="K216"/>
      <c r="L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</row>
    <row r="217" spans="1:63">
      <c r="A217" s="70"/>
      <c r="B217"/>
      <c r="C217"/>
      <c r="D217"/>
      <c r="E217"/>
      <c r="F217"/>
      <c r="G217"/>
      <c r="H217"/>
      <c r="I217"/>
      <c r="J217"/>
      <c r="K217"/>
      <c r="L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</row>
    <row r="218" spans="1:63">
      <c r="A218" s="70"/>
      <c r="B218"/>
      <c r="C218"/>
      <c r="D218"/>
      <c r="E218"/>
      <c r="F218"/>
      <c r="G218"/>
      <c r="H218"/>
      <c r="I218"/>
      <c r="J218"/>
      <c r="K218"/>
      <c r="L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</row>
    <row r="219" spans="1:63">
      <c r="A219" s="70"/>
      <c r="B219"/>
      <c r="C219"/>
      <c r="D219"/>
      <c r="E219"/>
      <c r="F219"/>
      <c r="G219"/>
      <c r="H219"/>
      <c r="I219"/>
      <c r="J219"/>
      <c r="K219"/>
      <c r="L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</row>
    <row r="220" spans="1:63">
      <c r="A220" s="70"/>
      <c r="B220"/>
      <c r="C220"/>
      <c r="D220"/>
      <c r="E220"/>
      <c r="F220"/>
      <c r="G220"/>
      <c r="H220"/>
      <c r="I220"/>
      <c r="J220"/>
      <c r="K220"/>
      <c r="L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</row>
    <row r="221" spans="1:63">
      <c r="A221" s="70"/>
      <c r="B221"/>
      <c r="C221"/>
      <c r="D221"/>
      <c r="E221"/>
      <c r="F221"/>
      <c r="G221"/>
      <c r="H221"/>
      <c r="I221"/>
      <c r="J221"/>
      <c r="K221"/>
      <c r="L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</row>
    <row r="222" spans="1:63">
      <c r="A222" s="70"/>
      <c r="B222"/>
      <c r="C222"/>
      <c r="D222"/>
      <c r="E222"/>
      <c r="F222"/>
      <c r="G222"/>
      <c r="H222"/>
      <c r="I222"/>
      <c r="J222"/>
      <c r="K222"/>
      <c r="L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</row>
    <row r="223" spans="1:63">
      <c r="A223" s="70"/>
      <c r="B223"/>
      <c r="C223"/>
      <c r="D223"/>
      <c r="E223"/>
      <c r="F223"/>
      <c r="G223"/>
      <c r="H223"/>
      <c r="I223"/>
      <c r="J223"/>
      <c r="K223"/>
      <c r="L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</row>
    <row r="224" spans="1:63">
      <c r="A224" s="70"/>
      <c r="B224"/>
      <c r="C224"/>
      <c r="D224"/>
      <c r="E224"/>
      <c r="F224"/>
      <c r="G224"/>
      <c r="H224"/>
      <c r="I224"/>
      <c r="J224"/>
      <c r="K224"/>
      <c r="L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</row>
    <row r="225" spans="1:63">
      <c r="A225" s="70"/>
      <c r="B225"/>
      <c r="C225"/>
      <c r="D225"/>
      <c r="E225"/>
      <c r="F225"/>
      <c r="G225"/>
      <c r="H225"/>
      <c r="I225"/>
      <c r="J225"/>
      <c r="K225"/>
      <c r="L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</row>
    <row r="226" spans="1:63">
      <c r="A226" s="70"/>
      <c r="B226"/>
      <c r="C226"/>
      <c r="D226"/>
      <c r="E226"/>
      <c r="F226"/>
      <c r="G226"/>
      <c r="H226"/>
      <c r="I226"/>
      <c r="J226"/>
      <c r="K226"/>
      <c r="L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</row>
    <row r="227" spans="1:63">
      <c r="A227" s="70"/>
      <c r="B227"/>
      <c r="C227"/>
      <c r="D227"/>
      <c r="E227"/>
      <c r="F227"/>
      <c r="G227"/>
      <c r="H227"/>
      <c r="I227"/>
      <c r="J227"/>
      <c r="K227"/>
      <c r="L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</row>
    <row r="228" spans="1:63">
      <c r="A228" s="70"/>
      <c r="B228"/>
      <c r="C228"/>
      <c r="D228"/>
      <c r="E228"/>
      <c r="F228"/>
      <c r="G228"/>
      <c r="H228"/>
      <c r="I228"/>
      <c r="J228"/>
      <c r="K228"/>
      <c r="L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</row>
    <row r="229" spans="1:63">
      <c r="A229" s="70"/>
      <c r="B229"/>
      <c r="C229"/>
      <c r="D229"/>
      <c r="E229"/>
      <c r="F229"/>
      <c r="G229"/>
      <c r="H229"/>
      <c r="I229"/>
      <c r="J229"/>
      <c r="K229"/>
      <c r="L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</row>
    <row r="230" spans="1:63">
      <c r="A230" s="70"/>
      <c r="B230"/>
      <c r="C230"/>
      <c r="D230"/>
      <c r="E230"/>
      <c r="F230"/>
      <c r="G230"/>
      <c r="H230"/>
      <c r="I230"/>
      <c r="J230"/>
      <c r="K230"/>
      <c r="L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</row>
    <row r="231" spans="1:63">
      <c r="A231" s="70"/>
      <c r="B231"/>
      <c r="C231"/>
      <c r="D231"/>
      <c r="E231"/>
      <c r="F231"/>
      <c r="G231"/>
      <c r="H231"/>
      <c r="I231"/>
      <c r="J231"/>
      <c r="K231"/>
      <c r="L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</row>
    <row r="232" spans="1:63">
      <c r="A232" s="70"/>
      <c r="B232"/>
      <c r="C232"/>
      <c r="D232"/>
      <c r="E232"/>
      <c r="F232"/>
      <c r="G232"/>
      <c r="H232"/>
      <c r="I232"/>
      <c r="J232"/>
      <c r="K232"/>
      <c r="L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</row>
    <row r="233" spans="1:63">
      <c r="A233" s="70"/>
      <c r="B233"/>
      <c r="C233"/>
      <c r="D233"/>
      <c r="E233"/>
      <c r="F233"/>
      <c r="G233"/>
      <c r="H233"/>
      <c r="I233"/>
      <c r="J233"/>
      <c r="K233"/>
      <c r="L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</row>
    <row r="234" spans="1:63">
      <c r="A234" s="70"/>
      <c r="B234"/>
      <c r="C234"/>
      <c r="D234"/>
      <c r="E234"/>
      <c r="F234"/>
      <c r="G234"/>
      <c r="H234"/>
      <c r="I234"/>
      <c r="J234"/>
      <c r="K234"/>
      <c r="L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</row>
    <row r="235" spans="1:63">
      <c r="A235" s="70"/>
      <c r="B235"/>
      <c r="C235"/>
      <c r="D235"/>
      <c r="E235"/>
      <c r="F235"/>
      <c r="G235"/>
      <c r="H235"/>
      <c r="I235"/>
      <c r="J235"/>
      <c r="K235"/>
      <c r="L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</row>
    <row r="236" spans="1:63">
      <c r="A236" s="70"/>
      <c r="B236"/>
      <c r="C236"/>
      <c r="D236"/>
      <c r="E236"/>
      <c r="F236"/>
      <c r="G236"/>
      <c r="H236"/>
      <c r="I236"/>
      <c r="J236"/>
      <c r="K236"/>
      <c r="L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</row>
    <row r="237" spans="1:63">
      <c r="A237" s="70"/>
      <c r="B237"/>
      <c r="C237"/>
      <c r="D237"/>
      <c r="E237"/>
      <c r="F237"/>
      <c r="G237"/>
      <c r="H237"/>
      <c r="I237"/>
      <c r="J237"/>
      <c r="K237"/>
      <c r="L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</row>
    <row r="238" spans="1:63">
      <c r="A238" s="70"/>
      <c r="B238"/>
      <c r="C238"/>
      <c r="D238"/>
      <c r="E238"/>
      <c r="F238"/>
      <c r="G238"/>
      <c r="H238"/>
      <c r="I238"/>
      <c r="J238"/>
      <c r="K238"/>
      <c r="L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</row>
    <row r="239" spans="1:63">
      <c r="A239" s="70"/>
      <c r="B239"/>
      <c r="C239"/>
      <c r="D239"/>
      <c r="E239"/>
      <c r="F239"/>
      <c r="G239"/>
      <c r="H239"/>
      <c r="I239"/>
      <c r="J239"/>
      <c r="K239"/>
      <c r="L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</row>
    <row r="240" spans="1:63">
      <c r="A240" s="70"/>
      <c r="B240"/>
      <c r="C240"/>
      <c r="D240"/>
      <c r="E240"/>
      <c r="F240"/>
      <c r="G240"/>
      <c r="H240"/>
      <c r="I240"/>
      <c r="J240"/>
      <c r="K240"/>
      <c r="L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</row>
    <row r="241" spans="1:63">
      <c r="A241" s="70"/>
      <c r="B241"/>
      <c r="C241"/>
      <c r="D241"/>
      <c r="E241"/>
      <c r="F241"/>
      <c r="G241"/>
      <c r="H241"/>
      <c r="I241"/>
      <c r="J241"/>
      <c r="K241"/>
      <c r="L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</row>
    <row r="242" spans="1:63">
      <c r="A242" s="70"/>
      <c r="B242"/>
      <c r="C242"/>
      <c r="D242"/>
      <c r="E242"/>
      <c r="F242"/>
      <c r="G242"/>
      <c r="H242"/>
      <c r="I242"/>
      <c r="J242"/>
      <c r="K242"/>
      <c r="L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</row>
    <row r="243" spans="1:63">
      <c r="A243" s="70"/>
      <c r="B243"/>
      <c r="C243"/>
      <c r="D243"/>
      <c r="E243"/>
      <c r="F243"/>
      <c r="G243"/>
      <c r="H243"/>
      <c r="I243"/>
      <c r="J243"/>
      <c r="K243"/>
      <c r="L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</row>
    <row r="244" spans="1:63">
      <c r="A244" s="70"/>
      <c r="B244"/>
      <c r="C244"/>
      <c r="D244"/>
      <c r="E244"/>
      <c r="F244"/>
      <c r="G244"/>
      <c r="H244"/>
      <c r="I244"/>
      <c r="J244"/>
      <c r="K244"/>
      <c r="L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</row>
    <row r="245" spans="1:63">
      <c r="A245" s="70"/>
      <c r="B245"/>
      <c r="C245"/>
      <c r="D245"/>
      <c r="E245"/>
      <c r="F245"/>
      <c r="G245"/>
      <c r="H245"/>
      <c r="I245"/>
      <c r="J245"/>
      <c r="K245"/>
      <c r="L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</row>
    <row r="246" spans="1:63">
      <c r="A246" s="70"/>
      <c r="B246"/>
      <c r="C246"/>
      <c r="D246"/>
      <c r="E246"/>
      <c r="F246"/>
      <c r="G246"/>
      <c r="H246"/>
      <c r="I246"/>
      <c r="J246"/>
      <c r="K246"/>
      <c r="L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</row>
    <row r="247" spans="1:63">
      <c r="A247" s="70"/>
      <c r="B247"/>
      <c r="C247"/>
      <c r="D247"/>
      <c r="E247"/>
      <c r="F247"/>
      <c r="G247"/>
      <c r="H247"/>
      <c r="I247"/>
      <c r="J247"/>
      <c r="K247"/>
      <c r="L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</row>
    <row r="248" spans="1:63">
      <c r="A248" s="70"/>
      <c r="B248"/>
      <c r="C248"/>
      <c r="D248"/>
      <c r="E248"/>
      <c r="F248"/>
      <c r="G248"/>
      <c r="H248"/>
      <c r="I248"/>
      <c r="J248"/>
      <c r="K248"/>
      <c r="L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</row>
    <row r="249" spans="1:63">
      <c r="A249" s="70"/>
      <c r="B249"/>
      <c r="C249"/>
      <c r="D249"/>
      <c r="E249"/>
      <c r="F249"/>
      <c r="G249"/>
      <c r="H249"/>
      <c r="I249"/>
      <c r="J249"/>
      <c r="K249"/>
      <c r="L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</row>
    <row r="250" spans="1:63">
      <c r="A250" s="70"/>
      <c r="B250"/>
      <c r="C250"/>
      <c r="D250"/>
      <c r="E250"/>
      <c r="F250"/>
      <c r="G250"/>
      <c r="H250"/>
      <c r="I250"/>
      <c r="J250"/>
      <c r="K250"/>
      <c r="L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</row>
    <row r="251" spans="1:63">
      <c r="A251" s="70"/>
      <c r="B251"/>
      <c r="C251"/>
      <c r="D251"/>
      <c r="E251"/>
      <c r="F251"/>
      <c r="G251"/>
      <c r="H251"/>
      <c r="I251"/>
      <c r="J251"/>
      <c r="K251"/>
      <c r="L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</row>
    <row r="252" spans="1:63">
      <c r="A252" s="70"/>
      <c r="B252"/>
      <c r="C252"/>
      <c r="D252"/>
      <c r="E252"/>
      <c r="F252"/>
      <c r="G252"/>
      <c r="H252"/>
      <c r="I252"/>
      <c r="J252"/>
      <c r="K252"/>
      <c r="L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</row>
    <row r="253" spans="1:63">
      <c r="A253" s="70"/>
      <c r="B253"/>
      <c r="C253"/>
      <c r="D253"/>
      <c r="E253"/>
      <c r="F253"/>
      <c r="G253"/>
      <c r="H253"/>
      <c r="I253"/>
      <c r="J253"/>
      <c r="K253"/>
      <c r="L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</row>
    <row r="254" spans="1:63">
      <c r="A254" s="70"/>
      <c r="B254"/>
      <c r="C254"/>
      <c r="D254"/>
      <c r="E254"/>
      <c r="F254"/>
      <c r="G254"/>
      <c r="H254"/>
      <c r="I254"/>
      <c r="J254"/>
      <c r="K254"/>
      <c r="L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</row>
    <row r="255" spans="1:63">
      <c r="A255" s="70"/>
      <c r="B255"/>
      <c r="C255"/>
      <c r="D255"/>
      <c r="E255"/>
      <c r="F255"/>
      <c r="G255"/>
      <c r="H255"/>
      <c r="I255"/>
      <c r="J255"/>
      <c r="K255"/>
      <c r="L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</row>
    <row r="256" spans="1:63">
      <c r="A256" s="70"/>
      <c r="B256"/>
      <c r="C256"/>
      <c r="D256"/>
      <c r="E256"/>
      <c r="F256"/>
      <c r="G256"/>
      <c r="H256"/>
      <c r="I256"/>
      <c r="J256"/>
      <c r="K256"/>
      <c r="L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</row>
    <row r="257" spans="1:63">
      <c r="A257" s="70"/>
      <c r="B257"/>
      <c r="C257"/>
      <c r="D257"/>
      <c r="E257"/>
      <c r="F257"/>
      <c r="G257"/>
      <c r="H257"/>
      <c r="I257"/>
      <c r="J257"/>
      <c r="K257"/>
      <c r="L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</row>
    <row r="258" spans="1:63">
      <c r="A258" s="70"/>
      <c r="B258"/>
      <c r="C258"/>
      <c r="D258"/>
      <c r="E258"/>
      <c r="F258"/>
      <c r="G258"/>
      <c r="H258"/>
      <c r="I258"/>
      <c r="J258"/>
      <c r="K258"/>
      <c r="L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</row>
    <row r="259" spans="1:63">
      <c r="A259" s="70"/>
      <c r="B259"/>
      <c r="C259"/>
      <c r="D259"/>
      <c r="E259"/>
      <c r="F259"/>
      <c r="G259"/>
      <c r="H259"/>
      <c r="I259"/>
      <c r="J259"/>
      <c r="K259"/>
      <c r="L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</row>
    <row r="260" spans="1:63">
      <c r="A260" s="70"/>
      <c r="B260"/>
      <c r="C260"/>
      <c r="D260"/>
      <c r="E260"/>
      <c r="F260"/>
      <c r="G260"/>
      <c r="H260"/>
      <c r="I260"/>
      <c r="J260"/>
      <c r="K260"/>
      <c r="L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</row>
    <row r="261" spans="1:63">
      <c r="A261" s="70"/>
      <c r="B261"/>
      <c r="C261"/>
      <c r="D261"/>
      <c r="E261"/>
      <c r="F261"/>
      <c r="G261"/>
      <c r="H261"/>
      <c r="I261"/>
      <c r="J261"/>
      <c r="K261"/>
      <c r="L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</row>
    <row r="262" spans="1:63">
      <c r="A262" s="70"/>
      <c r="B262"/>
      <c r="C262"/>
      <c r="D262"/>
      <c r="E262"/>
      <c r="F262"/>
      <c r="G262"/>
      <c r="H262"/>
      <c r="I262"/>
      <c r="J262"/>
      <c r="K262"/>
      <c r="L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</row>
    <row r="263" spans="1:63">
      <c r="A263" s="70"/>
      <c r="B263"/>
      <c r="C263"/>
      <c r="D263"/>
      <c r="E263"/>
      <c r="F263"/>
      <c r="G263"/>
      <c r="H263"/>
      <c r="I263"/>
      <c r="J263"/>
      <c r="K263"/>
      <c r="L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</row>
    <row r="264" spans="1:63">
      <c r="A264" s="70"/>
      <c r="B264"/>
      <c r="C264"/>
      <c r="D264"/>
      <c r="E264"/>
      <c r="F264"/>
      <c r="G264"/>
      <c r="H264"/>
      <c r="I264"/>
      <c r="J264"/>
      <c r="K264"/>
      <c r="L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</row>
    <row r="265" spans="1:63">
      <c r="A265" s="70"/>
      <c r="B265"/>
      <c r="C265"/>
      <c r="D265"/>
      <c r="E265"/>
      <c r="F265"/>
      <c r="G265"/>
      <c r="H265"/>
      <c r="I265"/>
      <c r="J265"/>
      <c r="K265"/>
      <c r="L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</row>
    <row r="266" spans="1:63">
      <c r="A266" s="70"/>
      <c r="B266"/>
      <c r="C266"/>
      <c r="D266"/>
      <c r="E266"/>
      <c r="F266"/>
      <c r="G266"/>
      <c r="H266"/>
      <c r="I266"/>
      <c r="J266"/>
      <c r="K266"/>
      <c r="L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</row>
    <row r="267" spans="1:63">
      <c r="A267" s="70"/>
      <c r="B267"/>
      <c r="C267"/>
      <c r="D267"/>
      <c r="E267"/>
      <c r="F267"/>
      <c r="G267"/>
      <c r="H267"/>
      <c r="I267"/>
      <c r="J267"/>
      <c r="K267"/>
      <c r="L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</row>
    <row r="268" spans="1:63">
      <c r="A268" s="70"/>
      <c r="B268"/>
      <c r="C268"/>
      <c r="D268"/>
      <c r="E268"/>
      <c r="F268"/>
      <c r="G268"/>
      <c r="H268"/>
      <c r="I268"/>
      <c r="J268"/>
      <c r="K268"/>
      <c r="L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</row>
    <row r="269" spans="1:63">
      <c r="A269" s="70"/>
      <c r="B269"/>
      <c r="C269"/>
      <c r="D269"/>
      <c r="E269"/>
      <c r="F269"/>
      <c r="G269"/>
      <c r="H269"/>
      <c r="I269"/>
      <c r="J269"/>
      <c r="K269"/>
      <c r="L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</row>
    <row r="270" spans="1:63">
      <c r="A270" s="70"/>
      <c r="B270"/>
      <c r="C270"/>
      <c r="D270"/>
      <c r="E270"/>
      <c r="F270"/>
      <c r="G270"/>
      <c r="H270"/>
      <c r="I270"/>
      <c r="J270"/>
      <c r="K270"/>
      <c r="L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</row>
    <row r="271" spans="1:63">
      <c r="A271" s="70"/>
      <c r="B271"/>
      <c r="C271"/>
      <c r="D271"/>
      <c r="E271"/>
      <c r="F271"/>
      <c r="G271"/>
      <c r="H271"/>
      <c r="I271"/>
      <c r="J271"/>
      <c r="K271"/>
      <c r="L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</row>
    <row r="272" spans="1:63">
      <c r="A272" s="70"/>
      <c r="B272"/>
      <c r="C272"/>
      <c r="D272"/>
      <c r="E272"/>
      <c r="F272"/>
      <c r="G272"/>
      <c r="H272"/>
      <c r="I272"/>
      <c r="J272"/>
      <c r="K272"/>
      <c r="L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</row>
    <row r="273" spans="1:63">
      <c r="A273" s="70"/>
      <c r="B273"/>
      <c r="C273"/>
      <c r="D273"/>
      <c r="E273"/>
      <c r="F273"/>
      <c r="G273"/>
      <c r="H273"/>
      <c r="I273"/>
      <c r="J273"/>
      <c r="K273"/>
      <c r="L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</row>
    <row r="274" spans="1:63">
      <c r="A274" s="70"/>
      <c r="B274"/>
      <c r="C274"/>
      <c r="D274"/>
      <c r="E274"/>
      <c r="F274"/>
      <c r="G274"/>
      <c r="H274"/>
      <c r="I274"/>
      <c r="J274"/>
      <c r="K274"/>
      <c r="L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</row>
    <row r="275" spans="1:63">
      <c r="A275" s="70"/>
      <c r="B275"/>
      <c r="C275"/>
      <c r="D275"/>
      <c r="E275"/>
      <c r="F275"/>
      <c r="G275"/>
      <c r="H275"/>
      <c r="I275"/>
      <c r="J275"/>
      <c r="K275"/>
      <c r="L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</row>
    <row r="276" spans="1:63">
      <c r="A276" s="70"/>
      <c r="B276"/>
      <c r="C276"/>
      <c r="D276"/>
      <c r="E276"/>
      <c r="F276"/>
      <c r="G276"/>
      <c r="H276"/>
      <c r="I276"/>
      <c r="J276"/>
      <c r="K276"/>
      <c r="L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</row>
    <row r="277" spans="1:63">
      <c r="A277" s="70"/>
      <c r="B277"/>
      <c r="C277"/>
      <c r="D277"/>
      <c r="E277"/>
      <c r="F277"/>
      <c r="G277"/>
      <c r="H277"/>
      <c r="I277"/>
      <c r="J277"/>
      <c r="K277"/>
      <c r="L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</row>
    <row r="278" spans="1:63">
      <c r="A278" s="70"/>
      <c r="B278"/>
      <c r="C278"/>
      <c r="D278"/>
      <c r="E278"/>
      <c r="F278"/>
      <c r="G278"/>
      <c r="H278"/>
      <c r="I278"/>
      <c r="J278"/>
      <c r="K278"/>
      <c r="L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</row>
    <row r="279" spans="1:63">
      <c r="A279" s="70"/>
      <c r="B279"/>
      <c r="C279"/>
      <c r="D279"/>
      <c r="E279"/>
      <c r="F279"/>
      <c r="G279"/>
      <c r="H279"/>
      <c r="I279"/>
      <c r="J279"/>
      <c r="K279"/>
      <c r="L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</row>
    <row r="280" spans="1:63">
      <c r="A280" s="70"/>
      <c r="B280"/>
      <c r="C280"/>
      <c r="D280"/>
      <c r="E280"/>
      <c r="F280"/>
      <c r="G280"/>
      <c r="H280"/>
      <c r="I280"/>
      <c r="J280"/>
      <c r="K280"/>
      <c r="L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</row>
    <row r="281" spans="1:63">
      <c r="A281" s="70"/>
      <c r="B281"/>
      <c r="C281"/>
      <c r="D281"/>
      <c r="E281"/>
      <c r="F281"/>
      <c r="G281"/>
      <c r="H281"/>
      <c r="I281"/>
      <c r="J281"/>
      <c r="K281"/>
      <c r="L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</row>
    <row r="282" spans="1:63">
      <c r="A282" s="70"/>
      <c r="B282"/>
      <c r="C282"/>
      <c r="D282"/>
      <c r="E282"/>
      <c r="F282"/>
      <c r="G282"/>
      <c r="H282"/>
      <c r="I282"/>
      <c r="J282"/>
      <c r="K282"/>
      <c r="L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</row>
    <row r="283" spans="1:63">
      <c r="A283" s="70"/>
      <c r="B283"/>
      <c r="C283"/>
      <c r="D283"/>
      <c r="E283"/>
      <c r="F283"/>
      <c r="G283"/>
      <c r="H283"/>
      <c r="I283"/>
      <c r="J283"/>
      <c r="K283"/>
      <c r="L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</row>
    <row r="284" spans="1:63">
      <c r="A284" s="70"/>
      <c r="B284"/>
      <c r="C284"/>
      <c r="D284"/>
      <c r="E284"/>
      <c r="F284"/>
      <c r="G284"/>
      <c r="H284"/>
      <c r="I284"/>
      <c r="J284"/>
      <c r="K284"/>
      <c r="L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</row>
    <row r="285" spans="1:63">
      <c r="A285" s="70"/>
      <c r="B285"/>
      <c r="C285"/>
      <c r="D285"/>
      <c r="E285"/>
      <c r="F285"/>
      <c r="G285"/>
      <c r="H285"/>
      <c r="I285"/>
      <c r="J285"/>
      <c r="K285"/>
      <c r="L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</row>
    <row r="286" spans="1:63">
      <c r="A286" s="70"/>
      <c r="B286"/>
      <c r="C286"/>
      <c r="D286"/>
      <c r="E286"/>
      <c r="F286"/>
      <c r="G286"/>
      <c r="H286"/>
      <c r="I286"/>
      <c r="J286"/>
      <c r="K286"/>
      <c r="L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</row>
    <row r="287" spans="1:63">
      <c r="A287" s="70"/>
      <c r="B287"/>
      <c r="C287"/>
      <c r="D287"/>
      <c r="E287"/>
      <c r="F287"/>
      <c r="G287"/>
      <c r="H287"/>
      <c r="I287"/>
      <c r="J287"/>
      <c r="K287"/>
      <c r="L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</row>
    <row r="288" spans="1:63">
      <c r="A288" s="70"/>
      <c r="B288"/>
      <c r="C288"/>
      <c r="D288"/>
      <c r="E288"/>
      <c r="F288"/>
      <c r="G288"/>
      <c r="H288"/>
      <c r="I288"/>
      <c r="J288"/>
      <c r="K288"/>
      <c r="L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</row>
    <row r="289" spans="1:63">
      <c r="A289" s="70"/>
      <c r="B289"/>
      <c r="C289"/>
      <c r="D289"/>
      <c r="E289"/>
      <c r="F289"/>
      <c r="G289"/>
      <c r="H289"/>
      <c r="I289"/>
      <c r="J289"/>
      <c r="K289"/>
      <c r="L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</row>
    <row r="290" spans="1:63">
      <c r="A290" s="70"/>
      <c r="B290"/>
      <c r="C290"/>
      <c r="D290"/>
      <c r="E290"/>
      <c r="F290"/>
      <c r="G290"/>
      <c r="H290"/>
      <c r="I290"/>
      <c r="J290"/>
      <c r="K290"/>
      <c r="L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</row>
    <row r="291" spans="1:63">
      <c r="A291" s="70"/>
      <c r="B291"/>
      <c r="C291"/>
      <c r="D291"/>
      <c r="E291"/>
      <c r="F291"/>
      <c r="G291"/>
      <c r="H291"/>
      <c r="I291"/>
      <c r="J291"/>
      <c r="K291"/>
      <c r="L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</row>
    <row r="292" spans="1:63">
      <c r="A292" s="70"/>
      <c r="B292"/>
      <c r="C292"/>
      <c r="D292"/>
      <c r="E292"/>
      <c r="F292"/>
      <c r="G292"/>
      <c r="H292"/>
      <c r="I292"/>
      <c r="J292"/>
      <c r="K292"/>
      <c r="L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</row>
    <row r="293" spans="1:63">
      <c r="A293" s="70"/>
      <c r="B293"/>
      <c r="C293"/>
      <c r="D293"/>
      <c r="E293"/>
      <c r="F293"/>
      <c r="G293"/>
      <c r="H293"/>
      <c r="I293"/>
      <c r="J293"/>
      <c r="K293"/>
      <c r="L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</row>
    <row r="294" spans="1:63">
      <c r="A294" s="70"/>
      <c r="B294"/>
      <c r="C294"/>
      <c r="D294"/>
      <c r="E294"/>
      <c r="F294"/>
      <c r="G294"/>
      <c r="H294"/>
      <c r="I294"/>
      <c r="J294"/>
      <c r="K294"/>
      <c r="L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</row>
    <row r="295" spans="1:63">
      <c r="A295" s="70"/>
      <c r="B295"/>
      <c r="C295"/>
      <c r="D295"/>
      <c r="E295"/>
      <c r="F295"/>
      <c r="G295"/>
      <c r="H295"/>
      <c r="I295"/>
      <c r="J295"/>
      <c r="K295"/>
      <c r="L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</row>
    <row r="296" spans="1:63">
      <c r="A296" s="70"/>
      <c r="B296"/>
      <c r="C296"/>
      <c r="D296"/>
      <c r="E296"/>
      <c r="F296"/>
      <c r="G296"/>
      <c r="H296"/>
      <c r="I296"/>
      <c r="J296"/>
      <c r="K296"/>
      <c r="L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</row>
    <row r="297" spans="1:63">
      <c r="A297" s="70"/>
      <c r="B297"/>
      <c r="C297"/>
      <c r="D297"/>
      <c r="E297"/>
      <c r="F297"/>
      <c r="G297"/>
      <c r="H297"/>
      <c r="I297"/>
      <c r="J297"/>
      <c r="K297"/>
      <c r="L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</row>
    <row r="298" spans="1:63">
      <c r="A298" s="70"/>
      <c r="B298"/>
      <c r="C298"/>
      <c r="D298"/>
      <c r="E298"/>
      <c r="F298"/>
      <c r="G298"/>
      <c r="H298"/>
      <c r="I298"/>
      <c r="J298"/>
      <c r="K298"/>
      <c r="L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</row>
    <row r="299" spans="1:63">
      <c r="A299" s="70"/>
      <c r="B299"/>
      <c r="C299"/>
      <c r="D299"/>
      <c r="E299"/>
      <c r="F299"/>
      <c r="G299"/>
      <c r="H299"/>
      <c r="I299"/>
      <c r="J299"/>
      <c r="K299"/>
      <c r="L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</row>
    <row r="300" spans="1:63">
      <c r="A300" s="70"/>
      <c r="B300"/>
      <c r="C300"/>
      <c r="D300"/>
      <c r="E300"/>
      <c r="F300"/>
      <c r="G300"/>
      <c r="H300"/>
      <c r="I300"/>
      <c r="J300"/>
      <c r="K300"/>
      <c r="L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</row>
    <row r="301" spans="1:63">
      <c r="A301" s="70"/>
      <c r="B301"/>
      <c r="C301"/>
      <c r="D301"/>
      <c r="E301"/>
      <c r="F301"/>
      <c r="G301"/>
      <c r="H301"/>
      <c r="I301"/>
      <c r="J301"/>
      <c r="K301"/>
      <c r="L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</row>
    <row r="302" spans="1:63">
      <c r="A302" s="70"/>
      <c r="B302"/>
      <c r="C302"/>
      <c r="D302"/>
      <c r="E302"/>
      <c r="F302"/>
      <c r="G302"/>
      <c r="H302"/>
      <c r="I302"/>
      <c r="J302"/>
      <c r="K302"/>
      <c r="L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</row>
    <row r="303" spans="1:63">
      <c r="A303" s="70"/>
      <c r="B303"/>
      <c r="C303"/>
      <c r="D303"/>
      <c r="E303"/>
      <c r="F303"/>
      <c r="G303"/>
      <c r="H303"/>
      <c r="I303"/>
      <c r="J303"/>
      <c r="K303"/>
      <c r="L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</row>
    <row r="304" spans="1:63">
      <c r="A304" s="70"/>
      <c r="B304"/>
      <c r="C304"/>
      <c r="D304"/>
      <c r="E304"/>
      <c r="F304"/>
      <c r="G304"/>
      <c r="H304"/>
      <c r="I304"/>
      <c r="J304"/>
      <c r="K304"/>
      <c r="L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</row>
    <row r="305" spans="1:63">
      <c r="A305" s="70"/>
      <c r="B305"/>
      <c r="C305"/>
      <c r="D305"/>
      <c r="E305"/>
      <c r="F305"/>
      <c r="G305"/>
      <c r="H305"/>
      <c r="I305"/>
      <c r="J305"/>
      <c r="K305"/>
      <c r="L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</row>
    <row r="306" spans="1:63">
      <c r="A306" s="70"/>
      <c r="B306"/>
      <c r="C306"/>
      <c r="D306"/>
      <c r="E306"/>
      <c r="F306"/>
      <c r="G306"/>
      <c r="H306"/>
      <c r="I306"/>
      <c r="J306"/>
      <c r="K306"/>
      <c r="L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</row>
    <row r="307" spans="1:63">
      <c r="A307" s="70"/>
      <c r="B307"/>
      <c r="C307"/>
      <c r="D307"/>
      <c r="E307"/>
      <c r="F307"/>
      <c r="G307"/>
      <c r="H307"/>
      <c r="I307"/>
      <c r="J307"/>
      <c r="K307"/>
      <c r="L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</row>
    <row r="308" spans="1:63">
      <c r="A308" s="70"/>
      <c r="B308"/>
      <c r="C308"/>
      <c r="D308"/>
      <c r="E308"/>
      <c r="F308"/>
      <c r="G308"/>
      <c r="H308"/>
      <c r="I308"/>
      <c r="J308"/>
      <c r="K308"/>
      <c r="L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</row>
    <row r="309" spans="1:63">
      <c r="A309" s="70"/>
      <c r="B309"/>
      <c r="C309"/>
      <c r="D309"/>
      <c r="E309"/>
      <c r="F309"/>
      <c r="G309"/>
      <c r="H309"/>
      <c r="I309"/>
      <c r="J309"/>
      <c r="K309"/>
      <c r="L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</row>
    <row r="310" spans="1:63">
      <c r="A310" s="70"/>
      <c r="B310"/>
      <c r="C310"/>
      <c r="D310"/>
      <c r="E310"/>
      <c r="F310"/>
      <c r="G310"/>
      <c r="H310"/>
      <c r="I310"/>
      <c r="J310"/>
      <c r="K310"/>
      <c r="L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</row>
    <row r="311" spans="1:63">
      <c r="A311" s="70"/>
      <c r="B311"/>
      <c r="C311"/>
      <c r="D311"/>
      <c r="E311"/>
      <c r="F311"/>
      <c r="G311"/>
      <c r="H311"/>
      <c r="I311"/>
      <c r="J311"/>
      <c r="K311"/>
      <c r="L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</row>
    <row r="312" spans="1:63">
      <c r="A312" s="70"/>
      <c r="B312"/>
      <c r="C312"/>
      <c r="D312"/>
      <c r="E312"/>
      <c r="F312"/>
      <c r="G312"/>
      <c r="H312"/>
      <c r="I312"/>
      <c r="J312"/>
      <c r="K312"/>
      <c r="L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</row>
    <row r="313" spans="1:63">
      <c r="A313" s="70"/>
      <c r="B313"/>
      <c r="C313"/>
      <c r="D313"/>
      <c r="E313"/>
      <c r="F313"/>
      <c r="G313"/>
      <c r="H313"/>
      <c r="I313"/>
      <c r="J313"/>
      <c r="K313"/>
      <c r="L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</row>
    <row r="314" spans="1:63">
      <c r="A314" s="70"/>
      <c r="B314"/>
      <c r="C314"/>
      <c r="D314"/>
      <c r="E314"/>
      <c r="F314"/>
      <c r="G314"/>
      <c r="H314"/>
      <c r="I314"/>
      <c r="J314"/>
      <c r="K314"/>
      <c r="L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</row>
    <row r="315" spans="1:63">
      <c r="A315" s="70"/>
      <c r="B315"/>
      <c r="C315"/>
      <c r="D315"/>
      <c r="E315"/>
      <c r="F315"/>
      <c r="G315"/>
      <c r="H315"/>
      <c r="I315"/>
      <c r="J315"/>
      <c r="K315"/>
      <c r="L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</row>
    <row r="316" spans="1:63">
      <c r="A316" s="70"/>
      <c r="B316"/>
      <c r="C316"/>
      <c r="D316"/>
      <c r="E316"/>
      <c r="F316"/>
      <c r="G316"/>
      <c r="H316"/>
      <c r="I316"/>
      <c r="J316"/>
      <c r="K316"/>
      <c r="L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</row>
    <row r="317" spans="1:63">
      <c r="A317" s="70"/>
      <c r="B317"/>
      <c r="C317"/>
      <c r="D317"/>
      <c r="E317"/>
      <c r="F317"/>
      <c r="G317"/>
      <c r="H317"/>
      <c r="I317"/>
      <c r="J317"/>
      <c r="K317"/>
      <c r="L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</row>
    <row r="318" spans="1:63">
      <c r="A318" s="70"/>
      <c r="B318"/>
      <c r="C318"/>
      <c r="D318"/>
      <c r="E318"/>
      <c r="F318"/>
      <c r="G318"/>
      <c r="H318"/>
      <c r="I318"/>
      <c r="J318"/>
      <c r="K318"/>
      <c r="L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</row>
    <row r="319" spans="1:63">
      <c r="A319" s="70"/>
      <c r="B319"/>
      <c r="C319"/>
      <c r="D319"/>
      <c r="E319"/>
      <c r="F319"/>
      <c r="G319"/>
      <c r="H319"/>
      <c r="I319"/>
      <c r="J319"/>
      <c r="K319"/>
      <c r="L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</row>
    <row r="320" spans="1:63">
      <c r="A320" s="70"/>
      <c r="B320"/>
      <c r="C320"/>
      <c r="D320"/>
      <c r="E320"/>
      <c r="F320"/>
      <c r="G320"/>
      <c r="H320"/>
      <c r="I320"/>
      <c r="J320"/>
      <c r="K320"/>
      <c r="L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</row>
    <row r="321" spans="1:63">
      <c r="A321" s="70"/>
      <c r="B321"/>
      <c r="C321"/>
      <c r="D321"/>
      <c r="E321"/>
      <c r="F321"/>
      <c r="G321"/>
      <c r="H321"/>
      <c r="I321"/>
      <c r="J321"/>
      <c r="K321"/>
      <c r="L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</row>
    <row r="322" spans="1:63">
      <c r="A322" s="70"/>
      <c r="B322"/>
      <c r="C322"/>
      <c r="D322"/>
      <c r="E322"/>
      <c r="F322"/>
      <c r="G322"/>
      <c r="H322"/>
      <c r="I322"/>
      <c r="J322"/>
      <c r="K322"/>
      <c r="L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</row>
    <row r="323" spans="1:63">
      <c r="A323" s="70"/>
      <c r="B323"/>
      <c r="C323"/>
      <c r="D323"/>
      <c r="E323"/>
      <c r="F323"/>
      <c r="G323"/>
      <c r="H323"/>
      <c r="I323"/>
      <c r="J323"/>
      <c r="K323"/>
      <c r="L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</row>
    <row r="324" spans="1:63">
      <c r="A324" s="70"/>
      <c r="B324"/>
      <c r="C324"/>
      <c r="D324"/>
      <c r="E324"/>
      <c r="F324"/>
      <c r="G324"/>
      <c r="H324"/>
      <c r="I324"/>
      <c r="J324"/>
      <c r="K324"/>
      <c r="L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</row>
    <row r="325" spans="1:63">
      <c r="A325" s="70"/>
      <c r="B325"/>
      <c r="C325"/>
      <c r="D325"/>
      <c r="E325"/>
      <c r="F325"/>
      <c r="G325"/>
      <c r="H325"/>
      <c r="I325"/>
      <c r="J325"/>
      <c r="K325"/>
      <c r="L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</row>
    <row r="326" spans="1:63">
      <c r="A326" s="70"/>
      <c r="B326"/>
      <c r="C326"/>
      <c r="D326"/>
      <c r="E326"/>
      <c r="F326"/>
      <c r="G326"/>
      <c r="H326"/>
      <c r="I326"/>
      <c r="J326"/>
      <c r="K326"/>
      <c r="L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</row>
    <row r="327" spans="1:63">
      <c r="A327" s="70"/>
      <c r="B327"/>
      <c r="C327"/>
      <c r="D327"/>
      <c r="E327"/>
      <c r="F327"/>
      <c r="G327"/>
      <c r="H327"/>
      <c r="I327"/>
      <c r="J327"/>
      <c r="K327"/>
      <c r="L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</row>
    <row r="328" spans="1:63">
      <c r="A328" s="70"/>
      <c r="B328"/>
      <c r="C328"/>
      <c r="D328"/>
      <c r="E328"/>
      <c r="F328"/>
      <c r="G328"/>
      <c r="H328"/>
      <c r="I328"/>
      <c r="J328"/>
      <c r="K328"/>
      <c r="L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</row>
    <row r="329" spans="1:63">
      <c r="A329" s="70"/>
      <c r="B329"/>
      <c r="C329"/>
      <c r="D329"/>
      <c r="E329"/>
      <c r="F329"/>
      <c r="G329"/>
      <c r="H329"/>
      <c r="I329"/>
      <c r="J329"/>
      <c r="K329"/>
      <c r="L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</row>
    <row r="330" spans="1:63">
      <c r="A330" s="70"/>
      <c r="B330"/>
      <c r="C330"/>
      <c r="D330"/>
      <c r="E330"/>
      <c r="F330"/>
      <c r="G330"/>
      <c r="H330"/>
      <c r="I330"/>
      <c r="J330"/>
      <c r="K330"/>
      <c r="L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</row>
    <row r="331" spans="1:63">
      <c r="A331" s="70"/>
      <c r="B331"/>
      <c r="C331"/>
      <c r="D331"/>
      <c r="E331"/>
      <c r="F331"/>
      <c r="G331"/>
      <c r="H331"/>
      <c r="I331"/>
      <c r="J331"/>
      <c r="K331"/>
      <c r="L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</row>
    <row r="332" spans="1:63">
      <c r="A332" s="70"/>
      <c r="B332"/>
      <c r="C332"/>
      <c r="D332"/>
      <c r="E332"/>
      <c r="F332"/>
      <c r="G332"/>
      <c r="H332"/>
      <c r="I332"/>
      <c r="J332"/>
      <c r="K332"/>
      <c r="L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</row>
    <row r="333" spans="1:63">
      <c r="A333" s="70"/>
      <c r="B333"/>
      <c r="C333"/>
      <c r="D333"/>
      <c r="E333"/>
      <c r="F333"/>
      <c r="G333"/>
      <c r="H333"/>
      <c r="I333"/>
      <c r="J333"/>
      <c r="K333"/>
      <c r="L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</row>
    <row r="334" spans="1:63">
      <c r="A334" s="70"/>
      <c r="B334"/>
      <c r="C334"/>
      <c r="D334"/>
      <c r="E334"/>
      <c r="F334"/>
      <c r="G334"/>
      <c r="H334"/>
      <c r="I334"/>
      <c r="J334"/>
      <c r="K334"/>
      <c r="L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</row>
    <row r="335" spans="1:63">
      <c r="A335" s="70"/>
      <c r="B335"/>
      <c r="C335"/>
      <c r="D335"/>
      <c r="E335"/>
      <c r="F335"/>
      <c r="G335"/>
      <c r="H335"/>
      <c r="I335"/>
      <c r="J335"/>
      <c r="K335"/>
      <c r="L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</row>
    <row r="336" spans="1:63">
      <c r="A336" s="70"/>
      <c r="B336"/>
      <c r="C336"/>
      <c r="D336"/>
      <c r="E336"/>
      <c r="F336"/>
      <c r="G336"/>
      <c r="H336"/>
      <c r="I336"/>
      <c r="J336"/>
      <c r="K336"/>
      <c r="L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</row>
    <row r="337" spans="1:63">
      <c r="A337" s="70"/>
      <c r="B337"/>
      <c r="C337"/>
      <c r="D337"/>
      <c r="E337"/>
      <c r="F337"/>
      <c r="G337"/>
      <c r="H337"/>
      <c r="I337"/>
      <c r="J337"/>
      <c r="K337"/>
      <c r="L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</row>
    <row r="338" spans="1:63">
      <c r="A338" s="70"/>
      <c r="B338"/>
      <c r="C338"/>
      <c r="D338"/>
      <c r="E338"/>
      <c r="F338"/>
      <c r="G338"/>
      <c r="H338"/>
      <c r="I338"/>
      <c r="J338"/>
      <c r="K338"/>
      <c r="L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</row>
    <row r="339" spans="1:63">
      <c r="A339" s="70"/>
      <c r="B339"/>
      <c r="C339"/>
      <c r="D339"/>
      <c r="E339"/>
      <c r="F339"/>
      <c r="G339"/>
      <c r="H339"/>
      <c r="I339"/>
      <c r="J339"/>
      <c r="K339"/>
      <c r="L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</row>
    <row r="340" spans="1:63">
      <c r="A340" s="70"/>
      <c r="B340"/>
      <c r="C340"/>
      <c r="D340"/>
      <c r="E340"/>
      <c r="F340"/>
      <c r="G340"/>
      <c r="H340"/>
      <c r="I340"/>
      <c r="J340"/>
      <c r="K340"/>
      <c r="L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</row>
    <row r="341" spans="1:63">
      <c r="A341" s="70"/>
      <c r="B341"/>
      <c r="C341"/>
      <c r="D341"/>
      <c r="E341"/>
      <c r="F341"/>
      <c r="G341"/>
      <c r="H341"/>
      <c r="I341"/>
      <c r="J341"/>
      <c r="K341"/>
      <c r="L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</row>
    <row r="342" spans="1:63">
      <c r="A342" s="70"/>
      <c r="B342"/>
      <c r="C342"/>
      <c r="D342"/>
      <c r="E342"/>
      <c r="F342"/>
      <c r="G342"/>
      <c r="H342"/>
      <c r="I342"/>
      <c r="J342"/>
      <c r="K342"/>
      <c r="L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</row>
    <row r="343" spans="1:63">
      <c r="A343" s="70"/>
      <c r="B343"/>
      <c r="C343"/>
      <c r="D343"/>
      <c r="E343"/>
      <c r="F343"/>
      <c r="G343"/>
      <c r="H343"/>
      <c r="I343"/>
      <c r="J343"/>
      <c r="K343"/>
      <c r="L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</row>
    <row r="344" spans="1:63">
      <c r="A344" s="70"/>
      <c r="B344"/>
      <c r="C344"/>
      <c r="D344"/>
      <c r="E344"/>
      <c r="F344"/>
      <c r="G344"/>
      <c r="H344"/>
      <c r="I344"/>
      <c r="J344"/>
      <c r="K344"/>
      <c r="L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</row>
    <row r="345" spans="1:63">
      <c r="A345" s="70"/>
      <c r="B345"/>
      <c r="C345"/>
      <c r="D345"/>
      <c r="E345"/>
      <c r="F345"/>
      <c r="G345"/>
      <c r="H345"/>
      <c r="I345"/>
      <c r="J345"/>
      <c r="K345"/>
      <c r="L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</row>
    <row r="346" spans="1:63">
      <c r="A346" s="70"/>
      <c r="B346"/>
      <c r="C346"/>
      <c r="D346"/>
      <c r="E346"/>
      <c r="F346"/>
      <c r="G346"/>
      <c r="H346"/>
      <c r="I346"/>
      <c r="J346"/>
      <c r="K346"/>
      <c r="L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</row>
    <row r="347" spans="1:63">
      <c r="A347" s="70"/>
      <c r="B347"/>
      <c r="C347"/>
      <c r="D347"/>
      <c r="E347"/>
      <c r="F347"/>
      <c r="G347"/>
      <c r="H347"/>
      <c r="I347"/>
      <c r="J347"/>
      <c r="K347"/>
      <c r="L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</row>
    <row r="348" spans="1:63">
      <c r="A348" s="70"/>
      <c r="B348"/>
      <c r="C348"/>
      <c r="D348"/>
      <c r="E348"/>
      <c r="F348"/>
      <c r="G348"/>
      <c r="H348"/>
      <c r="I348"/>
      <c r="J348"/>
      <c r="K348"/>
      <c r="L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</row>
    <row r="349" spans="1:63">
      <c r="A349" s="70"/>
      <c r="B349"/>
      <c r="C349"/>
      <c r="D349"/>
      <c r="E349"/>
      <c r="F349"/>
      <c r="G349"/>
      <c r="H349"/>
      <c r="I349"/>
      <c r="J349"/>
      <c r="K349"/>
      <c r="L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</row>
    <row r="350" spans="1:63">
      <c r="A350" s="70"/>
      <c r="B350"/>
      <c r="C350"/>
      <c r="D350"/>
      <c r="E350"/>
      <c r="F350"/>
      <c r="G350"/>
      <c r="H350"/>
      <c r="I350"/>
      <c r="J350"/>
      <c r="K350"/>
      <c r="L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</row>
    <row r="351" spans="1:63">
      <c r="A351" s="70"/>
      <c r="B351"/>
      <c r="C351"/>
      <c r="D351"/>
      <c r="E351"/>
      <c r="F351"/>
      <c r="G351"/>
      <c r="H351"/>
      <c r="I351"/>
      <c r="J351"/>
      <c r="K351"/>
      <c r="L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</row>
    <row r="352" spans="1:63">
      <c r="A352" s="70"/>
      <c r="B352"/>
      <c r="C352"/>
      <c r="D352"/>
      <c r="E352"/>
      <c r="F352"/>
      <c r="G352"/>
      <c r="H352"/>
      <c r="I352"/>
      <c r="J352"/>
      <c r="K352"/>
      <c r="L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</row>
    <row r="353" spans="1:63">
      <c r="A353" s="70"/>
      <c r="B353"/>
      <c r="C353"/>
      <c r="D353"/>
      <c r="E353"/>
      <c r="F353"/>
      <c r="G353"/>
      <c r="H353"/>
      <c r="I353"/>
      <c r="J353"/>
      <c r="K353"/>
      <c r="L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</row>
    <row r="354" spans="1:63">
      <c r="A354" s="70"/>
      <c r="B354"/>
      <c r="C354"/>
      <c r="D354"/>
      <c r="E354"/>
      <c r="F354"/>
      <c r="G354"/>
      <c r="H354"/>
      <c r="I354"/>
      <c r="J354"/>
      <c r="K354"/>
      <c r="L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</row>
    <row r="355" spans="1:63">
      <c r="A355" s="70"/>
      <c r="B355"/>
      <c r="C355"/>
      <c r="D355"/>
      <c r="E355"/>
      <c r="F355"/>
      <c r="G355"/>
      <c r="H355"/>
      <c r="I355"/>
      <c r="J355"/>
      <c r="K355"/>
      <c r="L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</row>
    <row r="356" spans="1:63">
      <c r="A356" s="70"/>
      <c r="B356"/>
      <c r="C356"/>
      <c r="D356"/>
      <c r="E356"/>
      <c r="F356"/>
      <c r="G356"/>
      <c r="H356"/>
      <c r="I356"/>
      <c r="J356"/>
      <c r="K356"/>
      <c r="L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</row>
    <row r="357" spans="1:63">
      <c r="A357" s="70"/>
      <c r="B357"/>
      <c r="C357"/>
      <c r="D357"/>
      <c r="E357"/>
      <c r="F357"/>
      <c r="G357"/>
      <c r="H357"/>
      <c r="I357"/>
      <c r="J357"/>
      <c r="K357"/>
      <c r="L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</row>
    <row r="358" spans="1:63">
      <c r="A358" s="70"/>
      <c r="B358"/>
      <c r="C358"/>
      <c r="D358"/>
      <c r="E358"/>
      <c r="F358"/>
      <c r="G358"/>
      <c r="H358"/>
      <c r="I358"/>
      <c r="J358"/>
      <c r="K358"/>
      <c r="L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</row>
    <row r="359" spans="1:63">
      <c r="A359" s="70"/>
      <c r="B359"/>
      <c r="C359"/>
      <c r="D359"/>
      <c r="E359"/>
      <c r="F359"/>
      <c r="G359"/>
      <c r="H359"/>
      <c r="I359"/>
      <c r="J359"/>
      <c r="K359"/>
      <c r="L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</row>
    <row r="360" spans="1:63">
      <c r="A360" s="70"/>
      <c r="B360"/>
      <c r="C360"/>
      <c r="D360"/>
      <c r="E360"/>
      <c r="F360"/>
      <c r="G360"/>
      <c r="H360"/>
      <c r="I360"/>
      <c r="J360"/>
      <c r="K360"/>
      <c r="L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</row>
    <row r="361" spans="1:63">
      <c r="A361" s="70"/>
      <c r="B361"/>
      <c r="C361"/>
      <c r="D361"/>
      <c r="E361"/>
      <c r="F361"/>
      <c r="G361"/>
      <c r="H361"/>
      <c r="I361"/>
      <c r="J361"/>
      <c r="K361"/>
      <c r="L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</row>
    <row r="362" spans="1:63">
      <c r="A362" s="70"/>
      <c r="B362"/>
      <c r="C362"/>
      <c r="D362"/>
      <c r="E362"/>
      <c r="F362"/>
      <c r="G362"/>
      <c r="H362"/>
      <c r="I362"/>
      <c r="J362"/>
      <c r="K362"/>
      <c r="L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</row>
    <row r="363" spans="1:63">
      <c r="A363" s="70"/>
      <c r="B363"/>
      <c r="C363"/>
      <c r="D363"/>
      <c r="E363"/>
      <c r="F363"/>
      <c r="G363"/>
      <c r="H363"/>
      <c r="I363"/>
      <c r="J363"/>
      <c r="K363"/>
      <c r="L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</row>
    <row r="364" spans="1:63">
      <c r="A364" s="70"/>
      <c r="B364"/>
      <c r="C364"/>
      <c r="D364"/>
      <c r="E364"/>
      <c r="F364"/>
      <c r="G364"/>
      <c r="H364"/>
      <c r="I364"/>
      <c r="J364"/>
      <c r="K364"/>
      <c r="L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</row>
    <row r="365" spans="1:63">
      <c r="A365" s="70"/>
      <c r="B365"/>
      <c r="C365"/>
      <c r="D365"/>
      <c r="E365"/>
      <c r="F365"/>
      <c r="G365"/>
      <c r="H365"/>
      <c r="I365"/>
      <c r="J365"/>
      <c r="K365"/>
      <c r="L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</row>
    <row r="366" spans="1:63">
      <c r="A366" s="70"/>
      <c r="B366"/>
      <c r="C366"/>
      <c r="D366"/>
      <c r="E366"/>
      <c r="F366"/>
      <c r="G366"/>
      <c r="H366"/>
      <c r="I366"/>
      <c r="J366"/>
      <c r="K366"/>
      <c r="L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</row>
    <row r="367" spans="1:63">
      <c r="A367" s="70"/>
      <c r="B367"/>
      <c r="C367"/>
      <c r="D367"/>
      <c r="E367"/>
      <c r="F367"/>
      <c r="G367"/>
      <c r="H367"/>
      <c r="I367"/>
      <c r="J367"/>
      <c r="K367"/>
      <c r="L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</row>
    <row r="368" spans="1:63">
      <c r="A368" s="70"/>
      <c r="B368"/>
      <c r="C368"/>
      <c r="D368"/>
      <c r="E368"/>
      <c r="F368"/>
      <c r="G368"/>
      <c r="H368"/>
      <c r="I368"/>
      <c r="J368"/>
      <c r="K368"/>
      <c r="L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</row>
    <row r="369" spans="1:63">
      <c r="A369" s="70"/>
      <c r="B369"/>
      <c r="C369"/>
      <c r="D369"/>
      <c r="E369"/>
      <c r="F369"/>
      <c r="G369"/>
      <c r="H369"/>
      <c r="I369"/>
      <c r="J369"/>
      <c r="K369"/>
      <c r="L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</row>
    <row r="370" spans="1:63">
      <c r="A370" s="70"/>
      <c r="B370"/>
      <c r="C370"/>
      <c r="D370"/>
      <c r="E370"/>
      <c r="F370"/>
      <c r="G370"/>
      <c r="H370"/>
      <c r="I370"/>
      <c r="J370"/>
      <c r="K370"/>
      <c r="L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</row>
    <row r="371" spans="1:63">
      <c r="A371" s="70"/>
      <c r="B371"/>
      <c r="C371"/>
      <c r="D371"/>
      <c r="E371"/>
      <c r="F371"/>
      <c r="G371"/>
      <c r="H371"/>
      <c r="I371"/>
      <c r="J371"/>
      <c r="K371"/>
      <c r="L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</row>
    <row r="372" spans="1:63">
      <c r="A372" s="70"/>
      <c r="B372"/>
      <c r="C372"/>
      <c r="D372"/>
      <c r="E372"/>
      <c r="F372"/>
      <c r="G372"/>
      <c r="H372"/>
      <c r="I372"/>
      <c r="J372"/>
      <c r="K372"/>
      <c r="L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</row>
    <row r="373" spans="1:63">
      <c r="A373" s="70"/>
      <c r="B373"/>
      <c r="C373"/>
      <c r="D373"/>
      <c r="E373"/>
      <c r="F373"/>
      <c r="G373"/>
      <c r="H373"/>
      <c r="I373"/>
      <c r="J373"/>
      <c r="K373"/>
      <c r="L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</row>
    <row r="374" spans="1:63">
      <c r="A374" s="70"/>
      <c r="B374"/>
      <c r="C374"/>
      <c r="D374"/>
      <c r="E374"/>
      <c r="F374"/>
      <c r="G374"/>
      <c r="H374"/>
      <c r="I374"/>
      <c r="J374"/>
      <c r="K374"/>
      <c r="L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</row>
    <row r="375" spans="1:63">
      <c r="A375" s="70"/>
      <c r="B375"/>
      <c r="C375"/>
      <c r="D375"/>
      <c r="E375"/>
      <c r="F375"/>
      <c r="G375"/>
      <c r="H375"/>
      <c r="I375"/>
      <c r="J375"/>
      <c r="K375"/>
      <c r="L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</row>
    <row r="376" spans="1:63">
      <c r="A376" s="70"/>
      <c r="B376"/>
      <c r="C376"/>
      <c r="D376"/>
      <c r="E376"/>
      <c r="F376"/>
      <c r="G376"/>
      <c r="H376"/>
      <c r="I376"/>
      <c r="J376"/>
      <c r="K376"/>
      <c r="L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</row>
    <row r="377" spans="1:63">
      <c r="A377" s="70"/>
      <c r="B377"/>
      <c r="C377"/>
      <c r="D377"/>
      <c r="E377"/>
      <c r="F377"/>
      <c r="G377"/>
      <c r="H377"/>
      <c r="I377"/>
      <c r="J377"/>
      <c r="K377"/>
      <c r="L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</row>
    <row r="378" spans="1:63">
      <c r="A378" s="70"/>
      <c r="B378"/>
      <c r="C378"/>
      <c r="D378"/>
      <c r="E378"/>
      <c r="F378"/>
      <c r="G378"/>
      <c r="H378"/>
      <c r="I378"/>
      <c r="J378"/>
      <c r="K378"/>
      <c r="L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</row>
    <row r="379" spans="1:63">
      <c r="A379" s="70"/>
      <c r="B379"/>
      <c r="C379"/>
      <c r="D379"/>
      <c r="E379"/>
      <c r="F379"/>
      <c r="G379"/>
      <c r="H379"/>
      <c r="I379"/>
      <c r="J379"/>
      <c r="K379"/>
      <c r="L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</row>
    <row r="380" spans="1:63">
      <c r="A380" s="70"/>
      <c r="B380"/>
      <c r="C380"/>
      <c r="D380"/>
      <c r="E380"/>
      <c r="F380"/>
      <c r="G380"/>
      <c r="H380"/>
      <c r="I380"/>
      <c r="J380"/>
      <c r="K380"/>
      <c r="L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</row>
    <row r="381" spans="1:63">
      <c r="A381" s="70"/>
      <c r="B381"/>
      <c r="C381"/>
      <c r="D381"/>
      <c r="E381"/>
      <c r="F381"/>
      <c r="G381"/>
      <c r="H381"/>
      <c r="I381"/>
      <c r="J381"/>
      <c r="K381"/>
      <c r="L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</row>
    <row r="382" spans="1:63">
      <c r="A382" s="70"/>
      <c r="B382"/>
      <c r="C382"/>
      <c r="D382"/>
      <c r="E382"/>
      <c r="F382"/>
      <c r="G382"/>
      <c r="H382"/>
      <c r="I382"/>
      <c r="J382"/>
      <c r="K382"/>
      <c r="L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</row>
    <row r="383" spans="1:63">
      <c r="A383" s="70"/>
      <c r="B383"/>
      <c r="C383"/>
      <c r="D383"/>
      <c r="E383"/>
      <c r="F383"/>
      <c r="G383"/>
      <c r="H383"/>
      <c r="I383"/>
      <c r="J383"/>
      <c r="K383"/>
      <c r="L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</row>
    <row r="384" spans="1:63">
      <c r="A384" s="70"/>
      <c r="B384"/>
      <c r="C384"/>
      <c r="D384"/>
      <c r="E384"/>
      <c r="F384"/>
      <c r="G384"/>
      <c r="H384"/>
      <c r="I384"/>
      <c r="J384"/>
      <c r="K384"/>
      <c r="L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</row>
    <row r="385" spans="1:63">
      <c r="A385" s="70"/>
      <c r="B385"/>
      <c r="C385"/>
      <c r="D385"/>
      <c r="E385"/>
      <c r="F385"/>
      <c r="G385"/>
      <c r="H385"/>
      <c r="I385"/>
      <c r="J385"/>
      <c r="K385"/>
      <c r="L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</row>
    <row r="386" spans="1:63">
      <c r="A386" s="70"/>
      <c r="B386"/>
      <c r="C386"/>
      <c r="D386"/>
      <c r="E386"/>
      <c r="F386"/>
      <c r="G386"/>
      <c r="H386"/>
      <c r="I386"/>
      <c r="J386"/>
      <c r="K386"/>
      <c r="L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</row>
    <row r="387" spans="1:63">
      <c r="A387" s="70"/>
      <c r="B387"/>
      <c r="C387"/>
      <c r="D387"/>
      <c r="E387"/>
      <c r="F387"/>
      <c r="G387"/>
      <c r="H387"/>
      <c r="I387"/>
      <c r="J387"/>
      <c r="K387"/>
      <c r="L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</row>
    <row r="388" spans="1:63">
      <c r="A388" s="70"/>
      <c r="B388"/>
      <c r="C388"/>
      <c r="D388"/>
      <c r="E388"/>
      <c r="F388"/>
      <c r="G388"/>
      <c r="H388"/>
      <c r="I388"/>
      <c r="J388"/>
      <c r="K388"/>
      <c r="L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</row>
    <row r="389" spans="1:63">
      <c r="A389" s="70"/>
      <c r="B389"/>
      <c r="C389"/>
      <c r="D389"/>
      <c r="E389"/>
      <c r="F389"/>
      <c r="G389"/>
      <c r="H389"/>
      <c r="I389"/>
      <c r="J389"/>
      <c r="K389"/>
      <c r="L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</row>
    <row r="390" spans="1:63">
      <c r="A390" s="70"/>
      <c r="B390"/>
      <c r="C390"/>
      <c r="D390"/>
      <c r="E390"/>
      <c r="F390"/>
      <c r="G390"/>
      <c r="H390"/>
      <c r="I390"/>
      <c r="J390"/>
      <c r="K390"/>
      <c r="L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</row>
    <row r="391" spans="1:63">
      <c r="A391" s="70"/>
      <c r="B391"/>
      <c r="C391"/>
      <c r="D391"/>
      <c r="E391"/>
      <c r="F391"/>
      <c r="G391"/>
      <c r="H391"/>
      <c r="I391"/>
      <c r="J391"/>
      <c r="K391"/>
      <c r="L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</row>
    <row r="392" spans="1:63">
      <c r="A392" s="70"/>
      <c r="B392"/>
      <c r="C392"/>
      <c r="D392"/>
      <c r="E392"/>
      <c r="F392"/>
      <c r="G392"/>
      <c r="H392"/>
      <c r="I392"/>
      <c r="J392"/>
      <c r="K392"/>
      <c r="L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</row>
    <row r="393" spans="1:63">
      <c r="A393" s="70"/>
      <c r="B393"/>
      <c r="C393"/>
      <c r="D393"/>
      <c r="E393"/>
      <c r="F393"/>
      <c r="G393"/>
      <c r="H393"/>
      <c r="I393"/>
      <c r="J393"/>
      <c r="K393"/>
      <c r="L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</row>
    <row r="394" spans="1:63">
      <c r="A394" s="70"/>
      <c r="B394"/>
      <c r="C394"/>
      <c r="D394"/>
      <c r="E394"/>
      <c r="F394"/>
      <c r="G394"/>
      <c r="H394"/>
      <c r="I394"/>
      <c r="J394"/>
      <c r="K394"/>
      <c r="L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</row>
    <row r="395" spans="1:63">
      <c r="A395" s="70"/>
      <c r="B395"/>
      <c r="C395"/>
      <c r="D395"/>
      <c r="E395"/>
      <c r="F395"/>
      <c r="G395"/>
      <c r="H395"/>
      <c r="I395"/>
      <c r="J395"/>
      <c r="K395"/>
      <c r="L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</row>
    <row r="396" spans="1:63">
      <c r="A396" s="70"/>
      <c r="B396"/>
      <c r="C396"/>
      <c r="D396"/>
      <c r="E396"/>
      <c r="F396"/>
      <c r="G396"/>
      <c r="H396"/>
      <c r="I396"/>
      <c r="J396"/>
      <c r="K396"/>
      <c r="L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</row>
    <row r="397" spans="1:63">
      <c r="A397" s="70"/>
      <c r="B397"/>
      <c r="C397"/>
      <c r="D397"/>
      <c r="E397"/>
      <c r="F397"/>
      <c r="G397"/>
      <c r="H397"/>
      <c r="I397"/>
      <c r="J397"/>
      <c r="K397"/>
      <c r="L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</row>
    <row r="398" spans="1:63">
      <c r="A398" s="70"/>
      <c r="B398"/>
      <c r="C398"/>
      <c r="D398"/>
      <c r="E398"/>
      <c r="F398"/>
      <c r="G398"/>
      <c r="H398"/>
      <c r="I398"/>
      <c r="J398"/>
      <c r="K398"/>
      <c r="L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</row>
    <row r="399" spans="1:63">
      <c r="A399" s="70"/>
      <c r="B399"/>
      <c r="C399"/>
      <c r="D399"/>
      <c r="E399"/>
      <c r="F399"/>
      <c r="G399"/>
      <c r="H399"/>
      <c r="I399"/>
      <c r="J399"/>
      <c r="K399"/>
      <c r="L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</row>
    <row r="400" spans="1:63">
      <c r="A400" s="70"/>
      <c r="B400"/>
      <c r="C400"/>
      <c r="D400"/>
      <c r="E400"/>
      <c r="F400"/>
      <c r="G400"/>
      <c r="H400"/>
      <c r="I400"/>
      <c r="J400"/>
      <c r="K400"/>
      <c r="L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</row>
    <row r="401" spans="1:63">
      <c r="A401" s="70"/>
      <c r="B401"/>
      <c r="C401"/>
      <c r="D401"/>
      <c r="E401"/>
      <c r="F401"/>
      <c r="G401"/>
      <c r="H401"/>
      <c r="I401"/>
      <c r="J401"/>
      <c r="K401"/>
      <c r="L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</row>
    <row r="402" spans="1:63">
      <c r="A402" s="70"/>
      <c r="B402"/>
      <c r="C402"/>
      <c r="D402"/>
      <c r="E402"/>
      <c r="F402"/>
      <c r="G402"/>
      <c r="H402"/>
      <c r="I402"/>
      <c r="J402"/>
      <c r="K402"/>
      <c r="L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</row>
    <row r="403" spans="1:63">
      <c r="A403" s="70"/>
      <c r="B403"/>
      <c r="C403"/>
      <c r="D403"/>
      <c r="E403"/>
      <c r="F403"/>
      <c r="G403"/>
      <c r="H403"/>
      <c r="I403"/>
      <c r="J403"/>
      <c r="K403"/>
      <c r="L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</row>
    <row r="404" spans="1:63">
      <c r="A404" s="70"/>
      <c r="B404"/>
      <c r="C404"/>
      <c r="D404"/>
      <c r="E404"/>
      <c r="F404"/>
      <c r="G404"/>
      <c r="H404"/>
      <c r="I404"/>
      <c r="J404"/>
      <c r="K404"/>
      <c r="L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</row>
    <row r="405" spans="1:63">
      <c r="A405" s="70"/>
      <c r="B405"/>
      <c r="C405"/>
      <c r="D405"/>
      <c r="E405"/>
      <c r="F405"/>
      <c r="G405"/>
      <c r="H405"/>
      <c r="I405"/>
      <c r="J405"/>
      <c r="K405"/>
      <c r="L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</row>
    <row r="406" spans="1:63">
      <c r="A406" s="70"/>
      <c r="B406"/>
      <c r="C406"/>
      <c r="D406"/>
      <c r="E406"/>
      <c r="F406"/>
      <c r="G406"/>
      <c r="H406"/>
      <c r="I406"/>
      <c r="J406"/>
      <c r="K406"/>
      <c r="L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</row>
    <row r="407" spans="1:63">
      <c r="A407" s="70"/>
      <c r="B407"/>
      <c r="C407"/>
      <c r="D407"/>
      <c r="E407"/>
      <c r="F407"/>
      <c r="G407"/>
      <c r="H407"/>
      <c r="I407"/>
      <c r="J407"/>
      <c r="K407"/>
      <c r="L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</row>
    <row r="408" spans="1:63">
      <c r="A408" s="70"/>
      <c r="B408"/>
      <c r="C408"/>
      <c r="D408"/>
      <c r="E408"/>
      <c r="F408"/>
      <c r="G408"/>
      <c r="H408"/>
      <c r="I408"/>
      <c r="J408"/>
      <c r="K408"/>
      <c r="L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</row>
    <row r="409" spans="1:63">
      <c r="A409" s="70"/>
      <c r="B409"/>
      <c r="C409"/>
      <c r="D409"/>
      <c r="E409"/>
      <c r="F409"/>
      <c r="G409"/>
      <c r="H409"/>
      <c r="I409"/>
      <c r="J409"/>
      <c r="K409"/>
      <c r="L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</row>
    <row r="410" spans="1:63">
      <c r="A410" s="70"/>
      <c r="B410"/>
      <c r="C410"/>
      <c r="D410"/>
      <c r="E410"/>
      <c r="F410"/>
      <c r="G410"/>
      <c r="H410"/>
      <c r="I410"/>
      <c r="J410"/>
      <c r="K410"/>
      <c r="L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</row>
    <row r="411" spans="1:63">
      <c r="A411" s="70"/>
      <c r="B411"/>
      <c r="C411"/>
      <c r="D411"/>
      <c r="E411"/>
      <c r="F411"/>
      <c r="G411"/>
      <c r="H411"/>
      <c r="I411"/>
      <c r="J411"/>
      <c r="K411"/>
      <c r="L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</row>
    <row r="412" spans="1:63">
      <c r="A412" s="70"/>
      <c r="B412"/>
      <c r="C412"/>
      <c r="D412"/>
      <c r="E412"/>
      <c r="F412"/>
      <c r="G412"/>
      <c r="H412"/>
      <c r="I412"/>
      <c r="J412"/>
      <c r="K412"/>
      <c r="L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</row>
    <row r="413" spans="1:63">
      <c r="A413" s="70"/>
      <c r="B413"/>
      <c r="C413"/>
      <c r="D413"/>
      <c r="E413"/>
      <c r="F413"/>
      <c r="G413"/>
      <c r="H413"/>
      <c r="I413"/>
      <c r="J413"/>
      <c r="K413"/>
      <c r="L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</row>
    <row r="414" spans="1:63">
      <c r="A414" s="70"/>
      <c r="B414"/>
      <c r="C414"/>
      <c r="D414"/>
      <c r="E414"/>
      <c r="F414"/>
      <c r="G414"/>
      <c r="H414"/>
      <c r="I414"/>
      <c r="J414"/>
      <c r="K414"/>
      <c r="L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</row>
    <row r="415" spans="1:63">
      <c r="A415" s="70"/>
      <c r="B415"/>
      <c r="C415"/>
      <c r="D415"/>
      <c r="E415"/>
      <c r="F415"/>
      <c r="G415"/>
      <c r="H415"/>
      <c r="I415"/>
      <c r="J415"/>
      <c r="K415"/>
      <c r="L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</row>
    <row r="416" spans="1:63">
      <c r="A416" s="70"/>
      <c r="B416"/>
      <c r="C416"/>
      <c r="D416"/>
      <c r="E416"/>
      <c r="F416"/>
      <c r="G416"/>
      <c r="H416"/>
      <c r="I416"/>
      <c r="J416"/>
      <c r="K416"/>
      <c r="L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</row>
    <row r="417" spans="1:63">
      <c r="A417" s="70"/>
      <c r="B417"/>
      <c r="C417"/>
      <c r="D417"/>
      <c r="E417"/>
      <c r="F417"/>
      <c r="G417"/>
      <c r="H417"/>
      <c r="I417"/>
      <c r="J417"/>
      <c r="K417"/>
      <c r="L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</row>
    <row r="418" spans="1:63">
      <c r="A418" s="70"/>
      <c r="B418"/>
      <c r="C418"/>
      <c r="D418"/>
      <c r="E418"/>
      <c r="F418"/>
      <c r="G418"/>
      <c r="H418"/>
      <c r="I418"/>
      <c r="J418"/>
      <c r="K418"/>
      <c r="L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</row>
    <row r="419" spans="1:63">
      <c r="A419" s="70"/>
      <c r="B419"/>
      <c r="C419"/>
      <c r="D419"/>
      <c r="E419"/>
      <c r="F419"/>
      <c r="G419"/>
      <c r="H419"/>
      <c r="I419"/>
      <c r="J419"/>
      <c r="K419"/>
      <c r="L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</row>
    <row r="420" spans="1:63">
      <c r="A420" s="70"/>
      <c r="B420"/>
      <c r="C420"/>
      <c r="D420"/>
      <c r="E420"/>
      <c r="F420"/>
      <c r="G420"/>
      <c r="H420"/>
      <c r="I420"/>
      <c r="J420"/>
      <c r="K420"/>
      <c r="L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</row>
    <row r="421" spans="1:63">
      <c r="A421" s="70"/>
      <c r="B421"/>
      <c r="C421"/>
      <c r="D421"/>
      <c r="E421"/>
      <c r="F421"/>
      <c r="G421"/>
      <c r="H421"/>
      <c r="I421"/>
      <c r="J421"/>
      <c r="K421"/>
      <c r="L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</row>
    <row r="422" spans="1:63">
      <c r="A422" s="70"/>
      <c r="B422"/>
      <c r="C422"/>
      <c r="D422"/>
      <c r="E422"/>
      <c r="F422"/>
      <c r="G422"/>
      <c r="H422"/>
      <c r="I422"/>
      <c r="J422"/>
      <c r="K422"/>
      <c r="L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</row>
    <row r="423" spans="1:63">
      <c r="A423" s="70"/>
      <c r="B423"/>
      <c r="C423"/>
      <c r="D423"/>
      <c r="E423"/>
      <c r="F423"/>
      <c r="G423"/>
      <c r="H423"/>
      <c r="I423"/>
      <c r="J423"/>
      <c r="K423"/>
      <c r="L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</row>
    <row r="424" spans="1:63">
      <c r="A424" s="70"/>
      <c r="B424"/>
      <c r="C424"/>
      <c r="D424"/>
      <c r="E424"/>
      <c r="F424"/>
      <c r="G424"/>
      <c r="H424"/>
      <c r="I424"/>
      <c r="J424"/>
      <c r="K424"/>
      <c r="L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</row>
    <row r="425" spans="1:63">
      <c r="A425" s="70"/>
      <c r="B425"/>
      <c r="C425"/>
      <c r="D425"/>
      <c r="E425"/>
      <c r="F425"/>
      <c r="G425"/>
      <c r="H425"/>
      <c r="I425"/>
      <c r="J425"/>
      <c r="K425"/>
      <c r="L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</row>
    <row r="426" spans="1:63">
      <c r="A426" s="70"/>
      <c r="B426"/>
      <c r="C426"/>
      <c r="D426"/>
      <c r="E426"/>
      <c r="F426"/>
      <c r="G426"/>
      <c r="H426"/>
      <c r="I426"/>
      <c r="J426"/>
      <c r="K426"/>
      <c r="L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</row>
    <row r="427" spans="1:63">
      <c r="A427" s="70"/>
      <c r="B427"/>
      <c r="C427"/>
      <c r="D427"/>
      <c r="E427"/>
      <c r="F427"/>
      <c r="G427"/>
      <c r="H427"/>
      <c r="I427"/>
      <c r="J427"/>
      <c r="K427"/>
      <c r="L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</row>
    <row r="428" spans="1:63">
      <c r="A428" s="70"/>
      <c r="B428"/>
      <c r="C428"/>
      <c r="D428"/>
      <c r="E428"/>
      <c r="F428"/>
      <c r="G428"/>
      <c r="H428"/>
      <c r="I428"/>
      <c r="J428"/>
      <c r="K428"/>
      <c r="L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</row>
    <row r="429" spans="1:63">
      <c r="A429" s="70"/>
      <c r="B429"/>
      <c r="C429"/>
      <c r="D429"/>
      <c r="E429"/>
      <c r="F429"/>
      <c r="G429"/>
      <c r="H429"/>
      <c r="I429"/>
      <c r="J429"/>
      <c r="K429"/>
      <c r="L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</row>
    <row r="430" spans="1:63">
      <c r="A430" s="70"/>
      <c r="B430"/>
      <c r="C430"/>
      <c r="D430"/>
      <c r="E430"/>
      <c r="F430"/>
      <c r="G430"/>
      <c r="H430"/>
      <c r="I430"/>
      <c r="J430"/>
      <c r="K430"/>
      <c r="L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</row>
    <row r="431" spans="1:63">
      <c r="A431" s="70"/>
      <c r="B431"/>
      <c r="C431"/>
      <c r="D431"/>
      <c r="E431"/>
      <c r="F431"/>
      <c r="G431"/>
      <c r="H431"/>
      <c r="I431"/>
      <c r="J431"/>
      <c r="K431"/>
      <c r="L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</row>
    <row r="432" spans="1:63">
      <c r="A432" s="70"/>
      <c r="B432"/>
      <c r="C432"/>
      <c r="D432"/>
      <c r="E432"/>
      <c r="F432"/>
      <c r="G432"/>
      <c r="H432"/>
      <c r="I432"/>
      <c r="J432"/>
      <c r="K432"/>
      <c r="L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</row>
    <row r="433" spans="1:63">
      <c r="A433" s="70"/>
      <c r="B433"/>
      <c r="C433"/>
      <c r="D433"/>
      <c r="E433"/>
      <c r="F433"/>
      <c r="G433"/>
      <c r="H433"/>
      <c r="I433"/>
      <c r="J433"/>
      <c r="K433"/>
      <c r="L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</row>
    <row r="434" spans="1:63">
      <c r="A434" s="70"/>
      <c r="B434"/>
      <c r="C434"/>
      <c r="D434"/>
      <c r="E434"/>
      <c r="F434"/>
      <c r="G434"/>
      <c r="H434"/>
      <c r="I434"/>
      <c r="J434"/>
      <c r="K434"/>
      <c r="L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</row>
    <row r="435" spans="1:63">
      <c r="A435" s="70"/>
      <c r="B435"/>
      <c r="C435"/>
      <c r="D435"/>
      <c r="E435"/>
      <c r="F435"/>
      <c r="G435"/>
      <c r="H435"/>
      <c r="I435"/>
      <c r="J435"/>
      <c r="K435"/>
      <c r="L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</row>
    <row r="436" spans="1:63">
      <c r="A436" s="70"/>
      <c r="B436"/>
      <c r="C436"/>
      <c r="D436"/>
      <c r="E436"/>
      <c r="F436"/>
      <c r="G436"/>
      <c r="H436"/>
      <c r="I436"/>
      <c r="J436"/>
      <c r="K436"/>
      <c r="L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</row>
    <row r="437" spans="1:63">
      <c r="A437" s="70"/>
      <c r="B437"/>
      <c r="C437"/>
      <c r="D437"/>
      <c r="E437"/>
      <c r="F437"/>
      <c r="G437"/>
      <c r="H437"/>
      <c r="I437"/>
      <c r="J437"/>
      <c r="K437"/>
      <c r="L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</row>
    <row r="438" spans="1:63">
      <c r="A438" s="70"/>
      <c r="B438"/>
      <c r="C438"/>
      <c r="D438"/>
      <c r="E438"/>
      <c r="F438"/>
      <c r="G438"/>
      <c r="H438"/>
      <c r="I438"/>
      <c r="J438"/>
      <c r="K438"/>
      <c r="L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</row>
    <row r="439" spans="1:63">
      <c r="A439" s="70"/>
      <c r="B439"/>
      <c r="C439"/>
      <c r="D439"/>
      <c r="E439"/>
      <c r="F439"/>
      <c r="G439"/>
      <c r="H439"/>
      <c r="I439"/>
      <c r="J439"/>
      <c r="K439"/>
      <c r="L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</row>
    <row r="440" spans="1:63">
      <c r="A440" s="70"/>
      <c r="B440"/>
      <c r="C440"/>
      <c r="D440"/>
      <c r="E440"/>
      <c r="F440"/>
      <c r="G440"/>
      <c r="H440"/>
      <c r="I440"/>
      <c r="J440"/>
      <c r="K440"/>
      <c r="L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</row>
    <row r="441" spans="1:63">
      <c r="A441" s="70"/>
      <c r="B441"/>
      <c r="C441"/>
      <c r="D441"/>
      <c r="E441"/>
      <c r="F441"/>
      <c r="G441"/>
      <c r="H441"/>
      <c r="I441"/>
      <c r="J441"/>
      <c r="K441"/>
      <c r="L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</row>
    <row r="442" spans="1:63">
      <c r="A442" s="70"/>
      <c r="B442"/>
      <c r="C442"/>
      <c r="D442"/>
      <c r="E442"/>
      <c r="F442"/>
      <c r="G442"/>
      <c r="H442"/>
      <c r="I442"/>
      <c r="J442"/>
      <c r="K442"/>
      <c r="L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</row>
    <row r="443" spans="1:63">
      <c r="A443" s="70"/>
      <c r="B443"/>
      <c r="C443"/>
      <c r="D443"/>
      <c r="E443"/>
      <c r="F443"/>
      <c r="G443"/>
      <c r="H443"/>
      <c r="I443"/>
      <c r="J443"/>
      <c r="K443"/>
      <c r="L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</row>
    <row r="444" spans="1:63">
      <c r="A444" s="70"/>
      <c r="B444"/>
      <c r="C444"/>
      <c r="D444"/>
      <c r="E444"/>
      <c r="F444"/>
      <c r="G444"/>
      <c r="H444"/>
      <c r="I444"/>
      <c r="J444"/>
      <c r="K444"/>
      <c r="L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</row>
    <row r="445" spans="1:63">
      <c r="A445" s="70"/>
      <c r="B445"/>
      <c r="C445"/>
      <c r="D445"/>
      <c r="E445"/>
      <c r="F445"/>
      <c r="G445"/>
      <c r="H445"/>
      <c r="I445"/>
      <c r="J445"/>
      <c r="K445"/>
      <c r="L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</row>
    <row r="446" spans="1:63">
      <c r="A446" s="70"/>
      <c r="B446"/>
      <c r="C446"/>
      <c r="D446"/>
      <c r="E446"/>
      <c r="F446"/>
      <c r="G446"/>
      <c r="H446"/>
      <c r="I446"/>
      <c r="J446"/>
      <c r="K446"/>
      <c r="L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</row>
    <row r="447" spans="1:63">
      <c r="A447" s="70"/>
      <c r="B447"/>
      <c r="C447"/>
      <c r="D447"/>
      <c r="E447"/>
      <c r="F447"/>
      <c r="G447"/>
      <c r="H447"/>
      <c r="I447"/>
      <c r="J447"/>
      <c r="K447"/>
      <c r="L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</row>
    <row r="448" spans="1:63">
      <c r="A448" s="70"/>
      <c r="B448"/>
      <c r="C448"/>
      <c r="D448"/>
      <c r="E448"/>
      <c r="F448"/>
      <c r="G448"/>
      <c r="H448"/>
      <c r="I448"/>
      <c r="J448"/>
      <c r="K448"/>
      <c r="L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</row>
    <row r="449" spans="1:63">
      <c r="A449" s="70"/>
      <c r="B449"/>
      <c r="C449"/>
      <c r="D449"/>
      <c r="E449"/>
      <c r="F449"/>
      <c r="G449"/>
      <c r="H449"/>
      <c r="I449"/>
      <c r="J449"/>
      <c r="K449"/>
      <c r="L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</row>
    <row r="450" spans="1:63">
      <c r="A450" s="70"/>
      <c r="B450"/>
      <c r="C450"/>
      <c r="D450"/>
      <c r="E450"/>
      <c r="F450"/>
      <c r="G450"/>
      <c r="H450"/>
      <c r="I450"/>
      <c r="J450"/>
      <c r="K450"/>
      <c r="L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</row>
    <row r="451" spans="1:63">
      <c r="A451" s="70"/>
      <c r="B451"/>
      <c r="C451"/>
      <c r="D451"/>
      <c r="E451"/>
      <c r="F451"/>
      <c r="G451"/>
      <c r="H451"/>
      <c r="I451"/>
      <c r="J451"/>
      <c r="K451"/>
      <c r="L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</row>
    <row r="452" spans="1:63">
      <c r="A452" s="70"/>
      <c r="B452"/>
      <c r="C452"/>
      <c r="D452"/>
      <c r="E452"/>
      <c r="F452"/>
      <c r="G452"/>
      <c r="H452"/>
      <c r="I452"/>
      <c r="J452"/>
      <c r="K452"/>
      <c r="L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</row>
    <row r="453" spans="1:63">
      <c r="A453" s="70"/>
      <c r="B453"/>
      <c r="C453"/>
      <c r="D453"/>
      <c r="E453"/>
      <c r="F453"/>
      <c r="G453"/>
      <c r="H453"/>
      <c r="I453"/>
      <c r="J453"/>
      <c r="K453"/>
      <c r="L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</row>
    <row r="454" spans="1:63">
      <c r="A454" s="70"/>
      <c r="B454"/>
      <c r="C454"/>
      <c r="D454"/>
      <c r="E454"/>
      <c r="F454"/>
      <c r="G454"/>
      <c r="H454"/>
      <c r="I454"/>
      <c r="J454"/>
      <c r="K454"/>
      <c r="L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</row>
    <row r="455" spans="1:63">
      <c r="A455" s="70"/>
      <c r="B455"/>
      <c r="C455"/>
      <c r="D455"/>
      <c r="E455"/>
      <c r="F455"/>
      <c r="G455"/>
      <c r="H455"/>
      <c r="I455"/>
      <c r="J455"/>
      <c r="K455"/>
      <c r="L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</row>
    <row r="456" spans="1:63">
      <c r="A456" s="70"/>
      <c r="B456"/>
      <c r="C456"/>
      <c r="D456"/>
      <c r="E456"/>
      <c r="F456"/>
      <c r="G456"/>
      <c r="H456"/>
      <c r="I456"/>
      <c r="J456"/>
      <c r="K456"/>
      <c r="L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</row>
    <row r="457" spans="1:63">
      <c r="A457" s="70"/>
      <c r="B457"/>
      <c r="C457"/>
      <c r="D457"/>
      <c r="E457"/>
      <c r="F457"/>
      <c r="G457"/>
      <c r="H457"/>
      <c r="I457"/>
      <c r="J457"/>
      <c r="K457"/>
      <c r="L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</row>
    <row r="458" spans="1:63">
      <c r="A458" s="70"/>
      <c r="B458"/>
      <c r="C458"/>
      <c r="D458"/>
      <c r="E458"/>
      <c r="F458"/>
      <c r="G458"/>
      <c r="H458"/>
      <c r="I458"/>
      <c r="J458"/>
      <c r="K458"/>
      <c r="L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</row>
    <row r="459" spans="1:63">
      <c r="A459" s="70"/>
      <c r="B459"/>
      <c r="C459"/>
      <c r="D459"/>
      <c r="E459"/>
      <c r="F459"/>
      <c r="G459"/>
      <c r="H459"/>
      <c r="I459"/>
      <c r="J459"/>
      <c r="K459"/>
      <c r="L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</row>
    <row r="460" spans="1:63">
      <c r="A460" s="70"/>
      <c r="B460"/>
      <c r="C460"/>
      <c r="D460"/>
      <c r="E460"/>
      <c r="F460"/>
      <c r="G460"/>
      <c r="H460"/>
      <c r="I460"/>
      <c r="J460"/>
      <c r="K460"/>
      <c r="L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</row>
    <row r="461" spans="1:63">
      <c r="A461" s="70"/>
      <c r="B461"/>
      <c r="C461"/>
      <c r="D461"/>
      <c r="E461"/>
      <c r="F461"/>
      <c r="G461"/>
      <c r="H461"/>
      <c r="I461"/>
      <c r="J461"/>
      <c r="K461"/>
      <c r="L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</row>
    <row r="462" spans="1:63">
      <c r="A462" s="70"/>
      <c r="B462"/>
      <c r="C462"/>
      <c r="D462"/>
      <c r="E462"/>
      <c r="F462"/>
      <c r="G462"/>
      <c r="H462"/>
      <c r="I462"/>
      <c r="J462"/>
      <c r="K462"/>
      <c r="L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</row>
    <row r="463" spans="1:63">
      <c r="A463" s="70"/>
      <c r="B463"/>
      <c r="C463"/>
      <c r="D463"/>
      <c r="E463"/>
      <c r="F463"/>
      <c r="G463"/>
      <c r="H463"/>
      <c r="I463"/>
      <c r="J463"/>
      <c r="K463"/>
      <c r="L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</row>
    <row r="464" spans="1:63">
      <c r="A464" s="70"/>
      <c r="B464"/>
      <c r="C464"/>
      <c r="D464"/>
      <c r="E464"/>
      <c r="F464"/>
      <c r="G464"/>
      <c r="H464"/>
      <c r="I464"/>
      <c r="J464"/>
      <c r="K464"/>
      <c r="L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</row>
    <row r="465" spans="1:63">
      <c r="A465" s="70"/>
      <c r="B465"/>
      <c r="C465"/>
      <c r="D465"/>
      <c r="E465"/>
      <c r="F465"/>
      <c r="G465"/>
      <c r="H465"/>
      <c r="I465"/>
      <c r="J465"/>
      <c r="K465"/>
      <c r="L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</row>
    <row r="466" spans="1:63">
      <c r="A466" s="70"/>
      <c r="B466"/>
      <c r="C466"/>
      <c r="D466"/>
      <c r="E466"/>
      <c r="F466"/>
      <c r="G466"/>
      <c r="H466"/>
      <c r="I466"/>
      <c r="J466"/>
      <c r="K466"/>
      <c r="L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</row>
    <row r="467" spans="1:63">
      <c r="A467" s="70"/>
      <c r="B467"/>
      <c r="C467"/>
      <c r="D467"/>
      <c r="E467"/>
      <c r="F467"/>
      <c r="G467"/>
      <c r="H467"/>
      <c r="I467"/>
      <c r="J467"/>
      <c r="K467"/>
      <c r="L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</row>
    <row r="468" spans="1:63">
      <c r="A468" s="70"/>
      <c r="B468"/>
      <c r="C468"/>
      <c r="D468"/>
      <c r="E468"/>
      <c r="F468"/>
      <c r="G468"/>
      <c r="H468"/>
      <c r="I468"/>
      <c r="J468"/>
      <c r="K468"/>
      <c r="L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</row>
    <row r="469" spans="1:63">
      <c r="A469" s="70"/>
      <c r="B469"/>
      <c r="C469"/>
      <c r="D469"/>
      <c r="E469"/>
      <c r="F469"/>
      <c r="G469"/>
      <c r="H469"/>
      <c r="I469"/>
      <c r="J469"/>
      <c r="K469"/>
      <c r="L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</row>
    <row r="470" spans="1:63">
      <c r="A470" s="70"/>
      <c r="B470"/>
      <c r="C470"/>
      <c r="D470"/>
      <c r="E470"/>
      <c r="F470"/>
      <c r="G470"/>
      <c r="H470"/>
      <c r="I470"/>
      <c r="J470"/>
      <c r="K470"/>
      <c r="L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</row>
    <row r="471" spans="1:63">
      <c r="A471" s="70"/>
      <c r="B471"/>
      <c r="C471"/>
      <c r="D471"/>
      <c r="E471"/>
      <c r="F471"/>
      <c r="G471"/>
      <c r="H471"/>
      <c r="I471"/>
      <c r="J471"/>
      <c r="K471"/>
      <c r="L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</row>
    <row r="472" spans="1:63">
      <c r="A472" s="70"/>
      <c r="B472"/>
      <c r="C472"/>
      <c r="D472"/>
      <c r="E472"/>
      <c r="F472"/>
      <c r="G472"/>
      <c r="H472"/>
      <c r="I472"/>
      <c r="J472"/>
      <c r="K472"/>
      <c r="L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</row>
    <row r="473" spans="1:63">
      <c r="A473" s="70"/>
      <c r="B473"/>
      <c r="C473"/>
      <c r="D473"/>
      <c r="E473"/>
      <c r="F473"/>
      <c r="G473"/>
      <c r="H473"/>
      <c r="I473"/>
      <c r="J473"/>
      <c r="K473"/>
      <c r="L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</row>
    <row r="474" spans="1:63">
      <c r="A474" s="70"/>
      <c r="B474"/>
      <c r="C474"/>
      <c r="D474"/>
      <c r="E474"/>
      <c r="F474"/>
      <c r="G474"/>
      <c r="H474"/>
      <c r="I474"/>
      <c r="J474"/>
      <c r="K474"/>
      <c r="L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</row>
    <row r="475" spans="1:63">
      <c r="A475" s="70"/>
      <c r="B475"/>
      <c r="C475"/>
      <c r="D475"/>
      <c r="E475"/>
      <c r="F475"/>
      <c r="G475"/>
      <c r="H475"/>
      <c r="I475"/>
      <c r="J475"/>
      <c r="K475"/>
      <c r="L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</row>
    <row r="476" spans="1:63">
      <c r="A476" s="70"/>
      <c r="B476"/>
      <c r="C476"/>
      <c r="D476"/>
      <c r="E476"/>
      <c r="F476"/>
      <c r="G476"/>
      <c r="H476"/>
      <c r="I476"/>
      <c r="J476"/>
      <c r="K476"/>
      <c r="L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</row>
    <row r="477" spans="1:63">
      <c r="A477" s="70"/>
      <c r="B477"/>
      <c r="C477"/>
      <c r="D477"/>
      <c r="E477"/>
      <c r="F477"/>
      <c r="G477"/>
      <c r="H477"/>
      <c r="I477"/>
      <c r="J477"/>
      <c r="K477"/>
      <c r="L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</row>
    <row r="478" spans="1:63">
      <c r="A478" s="70"/>
      <c r="B478"/>
      <c r="C478"/>
      <c r="D478"/>
      <c r="E478"/>
      <c r="F478"/>
      <c r="G478"/>
      <c r="H478"/>
      <c r="I478"/>
      <c r="J478"/>
      <c r="K478"/>
      <c r="L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</row>
    <row r="479" spans="1:63">
      <c r="A479" s="70"/>
      <c r="B479"/>
      <c r="C479"/>
      <c r="D479"/>
      <c r="E479"/>
      <c r="F479"/>
      <c r="G479"/>
      <c r="H479"/>
      <c r="I479"/>
      <c r="J479"/>
      <c r="K479"/>
      <c r="L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</row>
    <row r="480" spans="1:63">
      <c r="A480" s="70"/>
      <c r="B480"/>
      <c r="C480"/>
      <c r="D480"/>
      <c r="E480"/>
      <c r="F480"/>
      <c r="G480"/>
      <c r="H480"/>
      <c r="I480"/>
      <c r="J480"/>
      <c r="K480"/>
      <c r="L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</row>
    <row r="481" spans="1:63">
      <c r="A481" s="70"/>
      <c r="B481"/>
      <c r="C481"/>
      <c r="D481"/>
      <c r="E481"/>
      <c r="F481"/>
      <c r="G481"/>
      <c r="H481"/>
      <c r="I481"/>
      <c r="J481"/>
      <c r="K481"/>
      <c r="L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</row>
    <row r="482" spans="1:63">
      <c r="A482" s="70"/>
      <c r="B482"/>
      <c r="C482"/>
      <c r="D482"/>
      <c r="E482"/>
      <c r="F482"/>
      <c r="G482"/>
      <c r="H482"/>
      <c r="I482"/>
      <c r="J482"/>
      <c r="K482"/>
      <c r="L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</row>
    <row r="483" spans="1:63">
      <c r="A483" s="70"/>
      <c r="B483"/>
      <c r="C483"/>
      <c r="D483"/>
      <c r="E483"/>
      <c r="F483"/>
      <c r="G483"/>
      <c r="H483"/>
      <c r="I483"/>
      <c r="J483"/>
      <c r="K483"/>
      <c r="L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</row>
    <row r="484" spans="1:63">
      <c r="A484" s="70"/>
      <c r="B484"/>
      <c r="C484"/>
      <c r="D484"/>
      <c r="E484"/>
      <c r="F484"/>
      <c r="G484"/>
      <c r="H484"/>
      <c r="I484"/>
      <c r="J484"/>
      <c r="K484"/>
      <c r="L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</row>
    <row r="485" spans="1:63">
      <c r="A485" s="70"/>
      <c r="B485"/>
      <c r="C485"/>
      <c r="D485"/>
      <c r="E485"/>
      <c r="F485"/>
      <c r="G485"/>
      <c r="H485"/>
      <c r="I485"/>
      <c r="J485"/>
      <c r="K485"/>
      <c r="L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</row>
    <row r="486" spans="1:63">
      <c r="A486" s="70"/>
      <c r="B486"/>
      <c r="C486"/>
      <c r="D486"/>
      <c r="E486"/>
      <c r="F486"/>
      <c r="G486"/>
      <c r="H486"/>
      <c r="I486"/>
      <c r="J486"/>
      <c r="K486"/>
      <c r="L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</row>
    <row r="487" spans="1:63">
      <c r="A487" s="70"/>
      <c r="B487"/>
      <c r="C487"/>
      <c r="D487"/>
      <c r="E487"/>
      <c r="F487"/>
      <c r="G487"/>
      <c r="H487"/>
      <c r="I487"/>
      <c r="J487"/>
      <c r="K487"/>
      <c r="L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</row>
    <row r="488" spans="1:63">
      <c r="A488" s="70"/>
      <c r="B488"/>
      <c r="C488"/>
      <c r="D488"/>
      <c r="E488"/>
      <c r="F488"/>
      <c r="G488"/>
      <c r="H488"/>
      <c r="I488"/>
      <c r="J488"/>
      <c r="K488"/>
      <c r="L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</row>
    <row r="489" spans="1:63">
      <c r="A489" s="70"/>
      <c r="B489"/>
      <c r="C489"/>
      <c r="D489"/>
      <c r="E489"/>
      <c r="F489"/>
      <c r="G489"/>
      <c r="H489"/>
      <c r="I489"/>
      <c r="J489"/>
      <c r="K489"/>
      <c r="L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</row>
    <row r="490" spans="1:63">
      <c r="A490" s="70"/>
      <c r="B490"/>
      <c r="C490"/>
      <c r="D490"/>
      <c r="E490"/>
      <c r="F490"/>
      <c r="G490"/>
      <c r="H490"/>
      <c r="I490"/>
      <c r="J490"/>
      <c r="K490"/>
      <c r="L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</row>
    <row r="491" spans="1:63">
      <c r="A491" s="70"/>
      <c r="B491"/>
      <c r="C491"/>
      <c r="D491"/>
      <c r="E491"/>
      <c r="F491"/>
      <c r="G491"/>
      <c r="H491"/>
      <c r="I491"/>
      <c r="J491"/>
      <c r="K491"/>
      <c r="L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</row>
    <row r="492" spans="1:63">
      <c r="A492" s="70"/>
      <c r="B492"/>
      <c r="C492"/>
      <c r="D492"/>
      <c r="E492"/>
      <c r="F492"/>
      <c r="G492"/>
      <c r="H492"/>
      <c r="I492"/>
      <c r="J492"/>
      <c r="K492"/>
      <c r="L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</row>
    <row r="493" spans="1:63">
      <c r="A493" s="70"/>
      <c r="B493"/>
      <c r="C493"/>
      <c r="D493"/>
      <c r="E493"/>
      <c r="F493"/>
      <c r="G493"/>
      <c r="H493"/>
      <c r="I493"/>
      <c r="J493"/>
      <c r="K493"/>
      <c r="L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</row>
    <row r="494" spans="1:63">
      <c r="A494" s="70"/>
      <c r="B494"/>
      <c r="C494"/>
      <c r="D494"/>
      <c r="E494"/>
      <c r="F494"/>
      <c r="G494"/>
      <c r="H494"/>
      <c r="I494"/>
      <c r="J494"/>
      <c r="K494"/>
      <c r="L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</row>
    <row r="495" spans="1:63">
      <c r="A495" s="70"/>
      <c r="B495"/>
      <c r="C495"/>
      <c r="D495"/>
      <c r="E495"/>
      <c r="F495"/>
      <c r="G495"/>
      <c r="H495"/>
      <c r="I495"/>
      <c r="J495"/>
      <c r="K495"/>
      <c r="L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</row>
    <row r="496" spans="1:63">
      <c r="A496" s="70"/>
      <c r="B496"/>
      <c r="C496"/>
      <c r="D496"/>
      <c r="E496"/>
      <c r="F496"/>
      <c r="G496"/>
      <c r="H496"/>
      <c r="I496"/>
      <c r="J496"/>
      <c r="K496"/>
      <c r="L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</row>
    <row r="497" spans="1:63">
      <c r="A497" s="70"/>
      <c r="B497"/>
      <c r="C497"/>
      <c r="D497"/>
      <c r="E497"/>
      <c r="F497"/>
      <c r="G497"/>
      <c r="H497"/>
      <c r="I497"/>
      <c r="J497"/>
      <c r="K497"/>
      <c r="L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</row>
    <row r="498" spans="1:63">
      <c r="A498" s="70"/>
      <c r="B498"/>
      <c r="C498"/>
      <c r="D498"/>
      <c r="E498"/>
      <c r="F498"/>
      <c r="G498"/>
      <c r="H498"/>
      <c r="I498"/>
      <c r="J498"/>
      <c r="K498"/>
      <c r="L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</row>
    <row r="499" spans="1:63">
      <c r="A499" s="70"/>
      <c r="B499"/>
      <c r="C499"/>
      <c r="D499"/>
      <c r="E499"/>
      <c r="F499"/>
      <c r="G499"/>
      <c r="H499"/>
      <c r="I499"/>
      <c r="J499"/>
      <c r="K499"/>
      <c r="L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</row>
    <row r="500" spans="1:63">
      <c r="A500" s="70"/>
      <c r="B500"/>
      <c r="C500"/>
      <c r="D500"/>
      <c r="E500"/>
      <c r="F500"/>
      <c r="G500"/>
      <c r="H500"/>
      <c r="I500"/>
      <c r="J500"/>
      <c r="K500"/>
      <c r="L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</row>
    <row r="501" spans="1:63">
      <c r="A501" s="70"/>
      <c r="B501"/>
      <c r="C501"/>
      <c r="D501"/>
      <c r="E501"/>
      <c r="F501"/>
      <c r="G501"/>
      <c r="H501"/>
      <c r="I501"/>
      <c r="J501"/>
      <c r="K501"/>
      <c r="L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</row>
    <row r="502" spans="1:63">
      <c r="A502" s="70"/>
      <c r="B502"/>
      <c r="C502"/>
      <c r="D502"/>
      <c r="E502"/>
      <c r="F502"/>
      <c r="G502"/>
      <c r="H502"/>
      <c r="I502"/>
      <c r="J502"/>
      <c r="K502"/>
      <c r="L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</row>
    <row r="503" spans="1:63">
      <c r="A503" s="70"/>
      <c r="B503"/>
      <c r="C503"/>
      <c r="D503"/>
      <c r="E503"/>
      <c r="F503"/>
      <c r="G503"/>
      <c r="H503"/>
      <c r="I503"/>
      <c r="J503"/>
      <c r="K503"/>
      <c r="L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</row>
    <row r="504" spans="1:63">
      <c r="A504" s="70"/>
      <c r="B504"/>
      <c r="C504"/>
      <c r="D504"/>
      <c r="E504"/>
      <c r="F504"/>
      <c r="G504"/>
      <c r="H504"/>
      <c r="I504"/>
      <c r="J504"/>
      <c r="K504"/>
      <c r="L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</row>
    <row r="505" spans="1:63">
      <c r="A505" s="70"/>
      <c r="B505"/>
      <c r="C505"/>
      <c r="D505"/>
      <c r="E505"/>
      <c r="F505"/>
      <c r="G505"/>
      <c r="H505"/>
      <c r="I505"/>
      <c r="J505"/>
      <c r="K505"/>
      <c r="L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</row>
    <row r="506" spans="1:63">
      <c r="A506" s="70"/>
      <c r="B506"/>
      <c r="C506"/>
      <c r="D506"/>
      <c r="E506"/>
      <c r="F506"/>
      <c r="G506"/>
      <c r="H506"/>
      <c r="I506"/>
      <c r="J506"/>
      <c r="K506"/>
      <c r="L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</row>
    <row r="507" spans="1:63">
      <c r="A507" s="70"/>
      <c r="B507"/>
      <c r="C507"/>
      <c r="D507"/>
      <c r="E507"/>
      <c r="F507"/>
      <c r="G507"/>
      <c r="H507"/>
      <c r="I507"/>
      <c r="J507"/>
      <c r="K507"/>
      <c r="L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</row>
    <row r="508" spans="1:63">
      <c r="A508" s="70"/>
      <c r="B508"/>
      <c r="C508"/>
      <c r="D508"/>
      <c r="E508"/>
      <c r="F508"/>
      <c r="G508"/>
      <c r="H508"/>
      <c r="I508"/>
      <c r="J508"/>
      <c r="K508"/>
      <c r="L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</row>
    <row r="509" spans="1:63">
      <c r="A509" s="70"/>
      <c r="B509"/>
      <c r="C509"/>
      <c r="D509"/>
      <c r="E509"/>
      <c r="F509"/>
      <c r="G509"/>
      <c r="H509"/>
      <c r="I509"/>
      <c r="J509"/>
      <c r="K509"/>
      <c r="L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</row>
    <row r="510" spans="1:63">
      <c r="A510" s="70"/>
      <c r="B510"/>
      <c r="C510"/>
      <c r="D510"/>
      <c r="E510"/>
      <c r="F510"/>
      <c r="G510"/>
      <c r="H510"/>
      <c r="I510"/>
      <c r="J510"/>
      <c r="K510"/>
      <c r="L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</row>
    <row r="511" spans="1:63">
      <c r="A511" s="70"/>
      <c r="B511"/>
      <c r="C511"/>
      <c r="D511"/>
      <c r="E511"/>
      <c r="F511"/>
      <c r="G511"/>
      <c r="H511"/>
      <c r="I511"/>
      <c r="J511"/>
      <c r="K511"/>
      <c r="L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</row>
    <row r="512" spans="1:63">
      <c r="A512" s="70"/>
      <c r="B512"/>
      <c r="C512"/>
      <c r="D512"/>
      <c r="E512"/>
      <c r="F512"/>
      <c r="G512"/>
      <c r="H512"/>
      <c r="I512"/>
      <c r="J512"/>
      <c r="K512"/>
      <c r="L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</row>
    <row r="513" spans="1:63">
      <c r="A513" s="70"/>
      <c r="B513"/>
      <c r="C513"/>
      <c r="D513"/>
      <c r="E513"/>
      <c r="F513"/>
      <c r="G513"/>
      <c r="H513"/>
      <c r="I513"/>
      <c r="J513"/>
      <c r="K513"/>
      <c r="L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</row>
    <row r="514" spans="1:63">
      <c r="A514" s="70"/>
      <c r="B514"/>
      <c r="C514"/>
      <c r="D514"/>
      <c r="E514"/>
      <c r="F514"/>
      <c r="G514"/>
      <c r="H514"/>
      <c r="I514"/>
      <c r="J514"/>
      <c r="K514"/>
      <c r="L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</row>
    <row r="515" spans="1:63">
      <c r="A515" s="70"/>
      <c r="B515"/>
      <c r="C515"/>
      <c r="D515"/>
      <c r="E515"/>
      <c r="F515"/>
      <c r="G515"/>
      <c r="H515"/>
      <c r="I515"/>
      <c r="J515"/>
      <c r="K515"/>
      <c r="L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</row>
    <row r="516" spans="1:63">
      <c r="A516" s="70"/>
      <c r="B516"/>
      <c r="C516"/>
      <c r="D516"/>
      <c r="E516"/>
      <c r="F516"/>
      <c r="G516"/>
      <c r="H516"/>
      <c r="I516"/>
      <c r="J516"/>
      <c r="K516"/>
      <c r="L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</row>
    <row r="517" spans="1:63">
      <c r="A517" s="70"/>
      <c r="B517"/>
      <c r="C517"/>
      <c r="D517"/>
      <c r="E517"/>
      <c r="F517"/>
      <c r="G517"/>
      <c r="H517"/>
      <c r="I517"/>
      <c r="J517"/>
      <c r="K517"/>
      <c r="L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</row>
    <row r="518" spans="1:63">
      <c r="A518" s="70"/>
      <c r="B518"/>
      <c r="C518"/>
      <c r="D518"/>
      <c r="E518"/>
      <c r="F518"/>
      <c r="G518"/>
      <c r="H518"/>
      <c r="I518"/>
      <c r="J518"/>
      <c r="K518"/>
      <c r="L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</row>
    <row r="519" spans="1:63">
      <c r="A519" s="70"/>
      <c r="B519"/>
      <c r="C519"/>
      <c r="D519"/>
      <c r="E519"/>
      <c r="F519"/>
      <c r="G519"/>
      <c r="H519"/>
      <c r="I519"/>
      <c r="J519"/>
      <c r="K519"/>
      <c r="L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</row>
    <row r="520" spans="1:63">
      <c r="A520" s="70"/>
      <c r="B520"/>
      <c r="C520"/>
      <c r="D520"/>
      <c r="E520"/>
      <c r="F520"/>
      <c r="G520"/>
      <c r="H520"/>
      <c r="I520"/>
      <c r="J520"/>
      <c r="K520"/>
      <c r="L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</row>
    <row r="521" spans="1:63">
      <c r="A521" s="70"/>
      <c r="B521"/>
      <c r="C521"/>
      <c r="D521"/>
      <c r="E521"/>
      <c r="F521"/>
      <c r="G521"/>
      <c r="H521"/>
      <c r="I521"/>
      <c r="J521"/>
      <c r="K521"/>
      <c r="L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</row>
    <row r="522" spans="1:63">
      <c r="A522" s="70"/>
      <c r="B522"/>
      <c r="C522"/>
      <c r="D522"/>
      <c r="E522"/>
      <c r="F522"/>
      <c r="G522"/>
      <c r="H522"/>
      <c r="I522"/>
      <c r="J522"/>
      <c r="K522"/>
      <c r="L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</row>
    <row r="523" spans="1:63">
      <c r="A523" s="70"/>
      <c r="B523"/>
      <c r="C523"/>
      <c r="D523"/>
      <c r="E523"/>
      <c r="F523"/>
      <c r="G523"/>
      <c r="H523"/>
      <c r="I523"/>
      <c r="J523"/>
      <c r="K523"/>
      <c r="L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</row>
    <row r="524" spans="1:63">
      <c r="A524" s="70"/>
      <c r="B524"/>
      <c r="C524"/>
      <c r="D524"/>
      <c r="E524"/>
      <c r="F524"/>
      <c r="G524"/>
      <c r="H524"/>
      <c r="I524"/>
      <c r="J524"/>
      <c r="K524"/>
      <c r="L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</row>
    <row r="525" spans="1:63">
      <c r="A525" s="70"/>
      <c r="B525"/>
      <c r="C525"/>
      <c r="D525"/>
      <c r="E525"/>
      <c r="F525"/>
      <c r="G525"/>
      <c r="H525"/>
      <c r="I525"/>
      <c r="J525"/>
      <c r="K525"/>
      <c r="L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</row>
    <row r="526" spans="1:63">
      <c r="A526" s="70"/>
      <c r="B526"/>
      <c r="C526"/>
      <c r="D526"/>
      <c r="E526"/>
      <c r="F526"/>
      <c r="G526"/>
      <c r="H526"/>
      <c r="I526"/>
      <c r="J526"/>
      <c r="K526"/>
      <c r="L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</row>
    <row r="527" spans="1:63">
      <c r="A527" s="70"/>
      <c r="B527"/>
      <c r="C527"/>
      <c r="D527"/>
      <c r="E527"/>
      <c r="F527"/>
      <c r="G527"/>
      <c r="H527"/>
      <c r="I527"/>
      <c r="J527"/>
      <c r="K527"/>
      <c r="L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</row>
    <row r="528" spans="1:63">
      <c r="A528" s="70"/>
      <c r="B528"/>
      <c r="C528"/>
      <c r="D528"/>
      <c r="E528"/>
      <c r="F528"/>
      <c r="G528"/>
      <c r="H528"/>
      <c r="I528"/>
      <c r="J528"/>
      <c r="K528"/>
      <c r="L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</row>
    <row r="529" spans="1:63">
      <c r="A529" s="70"/>
      <c r="B529"/>
      <c r="C529"/>
      <c r="D529"/>
      <c r="E529"/>
      <c r="F529"/>
      <c r="G529"/>
      <c r="H529"/>
      <c r="I529"/>
      <c r="J529"/>
      <c r="K529"/>
      <c r="L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</row>
    <row r="530" spans="1:63">
      <c r="A530" s="70"/>
      <c r="B530"/>
      <c r="C530"/>
      <c r="D530"/>
      <c r="E530"/>
      <c r="F530"/>
      <c r="G530"/>
      <c r="H530"/>
      <c r="I530"/>
      <c r="J530"/>
      <c r="K530"/>
      <c r="L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</row>
    <row r="531" spans="1:63">
      <c r="A531" s="70"/>
      <c r="B531"/>
      <c r="C531"/>
      <c r="D531"/>
      <c r="E531"/>
      <c r="F531"/>
      <c r="G531"/>
      <c r="H531"/>
      <c r="I531"/>
      <c r="J531"/>
      <c r="K531"/>
      <c r="L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</row>
    <row r="532" spans="1:63">
      <c r="A532" s="70"/>
      <c r="B532"/>
      <c r="C532"/>
      <c r="D532"/>
      <c r="E532"/>
      <c r="F532"/>
      <c r="G532"/>
      <c r="H532"/>
      <c r="I532"/>
      <c r="J532"/>
      <c r="K532"/>
      <c r="L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</row>
    <row r="533" spans="1:63">
      <c r="A533" s="70"/>
      <c r="B533"/>
      <c r="C533"/>
      <c r="D533"/>
      <c r="E533"/>
      <c r="F533"/>
      <c r="G533"/>
      <c r="H533"/>
      <c r="I533"/>
      <c r="J533"/>
      <c r="K533"/>
      <c r="L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</row>
    <row r="534" spans="1:63">
      <c r="A534" s="70"/>
      <c r="B534"/>
      <c r="C534"/>
      <c r="D534"/>
      <c r="E534"/>
      <c r="F534"/>
      <c r="G534"/>
      <c r="H534"/>
      <c r="I534"/>
      <c r="J534"/>
      <c r="K534"/>
      <c r="L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</row>
    <row r="535" spans="1:63">
      <c r="A535" s="70"/>
      <c r="B535"/>
      <c r="C535"/>
      <c r="D535"/>
      <c r="E535"/>
      <c r="F535"/>
      <c r="G535"/>
      <c r="H535"/>
      <c r="I535"/>
      <c r="J535"/>
      <c r="K535"/>
      <c r="L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</row>
    <row r="536" spans="1:63">
      <c r="A536" s="70"/>
      <c r="B536"/>
      <c r="C536"/>
      <c r="D536"/>
      <c r="E536"/>
      <c r="F536"/>
      <c r="G536"/>
      <c r="H536"/>
      <c r="I536"/>
      <c r="J536"/>
      <c r="K536"/>
      <c r="L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</row>
    <row r="537" spans="1:63">
      <c r="A537" s="70"/>
      <c r="B537"/>
      <c r="C537"/>
      <c r="D537"/>
      <c r="E537"/>
      <c r="F537"/>
      <c r="G537"/>
      <c r="H537"/>
      <c r="I537"/>
      <c r="J537"/>
      <c r="K537"/>
      <c r="L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</row>
    <row r="538" spans="1:63">
      <c r="A538" s="70"/>
      <c r="B538"/>
      <c r="C538"/>
      <c r="D538"/>
      <c r="E538"/>
      <c r="F538"/>
      <c r="G538"/>
      <c r="H538"/>
      <c r="I538"/>
      <c r="J538"/>
      <c r="K538"/>
      <c r="L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</row>
    <row r="539" spans="1:63">
      <c r="A539" s="70"/>
      <c r="B539"/>
      <c r="C539"/>
      <c r="D539"/>
      <c r="E539"/>
      <c r="F539"/>
      <c r="G539"/>
      <c r="H539"/>
      <c r="I539"/>
      <c r="J539"/>
      <c r="K539"/>
      <c r="L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</row>
    <row r="540" spans="1:63">
      <c r="A540" s="70"/>
      <c r="B540"/>
      <c r="C540"/>
      <c r="D540"/>
      <c r="E540"/>
      <c r="F540"/>
      <c r="G540"/>
      <c r="H540"/>
      <c r="I540"/>
      <c r="J540"/>
      <c r="K540"/>
      <c r="L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</row>
    <row r="541" spans="1:63">
      <c r="A541" s="70"/>
      <c r="B541"/>
      <c r="C541"/>
      <c r="D541"/>
      <c r="E541"/>
      <c r="F541"/>
      <c r="G541"/>
      <c r="H541"/>
      <c r="I541"/>
      <c r="J541"/>
      <c r="K541"/>
      <c r="L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</row>
    <row r="542" spans="1:63">
      <c r="A542" s="70"/>
      <c r="B542"/>
      <c r="C542"/>
      <c r="D542"/>
      <c r="E542"/>
      <c r="F542"/>
      <c r="G542"/>
      <c r="H542"/>
      <c r="I542"/>
      <c r="J542"/>
      <c r="K542"/>
      <c r="L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</row>
    <row r="543" spans="1:63">
      <c r="A543" s="70"/>
      <c r="B543"/>
      <c r="C543"/>
      <c r="D543"/>
      <c r="E543"/>
      <c r="F543"/>
      <c r="G543"/>
      <c r="H543"/>
      <c r="I543"/>
      <c r="J543"/>
      <c r="K543"/>
      <c r="L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</row>
    <row r="544" spans="1:63">
      <c r="A544" s="70"/>
      <c r="B544"/>
      <c r="C544"/>
      <c r="D544"/>
      <c r="E544"/>
      <c r="F544"/>
      <c r="G544"/>
      <c r="H544"/>
      <c r="I544"/>
      <c r="J544"/>
      <c r="K544"/>
      <c r="L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</row>
    <row r="545" spans="1:63">
      <c r="A545" s="70"/>
      <c r="B545"/>
      <c r="C545"/>
      <c r="D545"/>
      <c r="E545"/>
      <c r="F545"/>
      <c r="G545"/>
      <c r="H545"/>
      <c r="I545"/>
      <c r="J545"/>
      <c r="K545"/>
      <c r="L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</row>
    <row r="546" spans="1:63">
      <c r="A546" s="70"/>
      <c r="B546"/>
      <c r="C546"/>
      <c r="D546"/>
      <c r="E546"/>
      <c r="F546"/>
      <c r="G546"/>
      <c r="H546"/>
      <c r="I546"/>
      <c r="J546"/>
      <c r="K546"/>
      <c r="L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</row>
    <row r="547" spans="1:63">
      <c r="A547" s="70"/>
      <c r="B547"/>
      <c r="C547"/>
      <c r="D547"/>
      <c r="E547"/>
      <c r="F547"/>
      <c r="G547"/>
      <c r="H547"/>
      <c r="I547"/>
      <c r="J547"/>
      <c r="K547"/>
      <c r="L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</row>
    <row r="548" spans="1:63">
      <c r="A548" s="70"/>
      <c r="B548"/>
      <c r="C548"/>
      <c r="D548"/>
      <c r="E548"/>
      <c r="F548"/>
      <c r="G548"/>
      <c r="H548"/>
      <c r="I548"/>
      <c r="J548"/>
      <c r="K548"/>
      <c r="L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</row>
    <row r="549" spans="1:63">
      <c r="A549" s="70"/>
      <c r="B549"/>
      <c r="C549"/>
      <c r="D549"/>
      <c r="E549"/>
      <c r="F549"/>
      <c r="G549"/>
      <c r="H549"/>
      <c r="I549"/>
      <c r="J549"/>
      <c r="K549"/>
      <c r="L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</row>
    <row r="550" spans="1:63">
      <c r="A550" s="70"/>
      <c r="B550"/>
      <c r="C550"/>
      <c r="D550"/>
      <c r="E550"/>
      <c r="F550"/>
      <c r="G550"/>
      <c r="H550"/>
      <c r="I550"/>
      <c r="J550"/>
      <c r="K550"/>
      <c r="L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</row>
    <row r="551" spans="1:63">
      <c r="A551" s="70"/>
      <c r="B551"/>
      <c r="C551"/>
      <c r="D551"/>
      <c r="E551"/>
      <c r="F551"/>
      <c r="G551"/>
      <c r="H551"/>
      <c r="I551"/>
      <c r="J551"/>
      <c r="K551"/>
      <c r="L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</row>
    <row r="552" spans="1:63">
      <c r="A552" s="70"/>
      <c r="B552"/>
      <c r="C552"/>
      <c r="D552"/>
      <c r="E552"/>
      <c r="F552"/>
      <c r="G552"/>
      <c r="H552"/>
      <c r="I552"/>
      <c r="J552"/>
      <c r="K552"/>
      <c r="L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</row>
    <row r="553" spans="1:63">
      <c r="A553" s="70"/>
      <c r="B553"/>
      <c r="C553"/>
      <c r="D553"/>
      <c r="E553"/>
      <c r="F553"/>
      <c r="G553"/>
      <c r="H553"/>
      <c r="I553"/>
      <c r="J553"/>
      <c r="K553"/>
      <c r="L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</row>
    <row r="554" spans="1:63">
      <c r="A554" s="70"/>
      <c r="B554"/>
      <c r="C554"/>
      <c r="D554"/>
      <c r="E554"/>
      <c r="F554"/>
      <c r="G554"/>
      <c r="H554"/>
      <c r="I554"/>
      <c r="J554"/>
      <c r="K554"/>
      <c r="L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</row>
    <row r="555" spans="1:63">
      <c r="A555" s="70"/>
      <c r="B555"/>
      <c r="C555"/>
      <c r="D555"/>
      <c r="E555"/>
      <c r="F555"/>
      <c r="G555"/>
      <c r="H555"/>
      <c r="I555"/>
      <c r="J555"/>
      <c r="K555"/>
      <c r="L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</row>
    <row r="556" spans="1:63">
      <c r="A556" s="70"/>
      <c r="B556"/>
      <c r="C556"/>
      <c r="D556"/>
      <c r="E556"/>
      <c r="F556"/>
      <c r="G556"/>
      <c r="H556"/>
      <c r="I556"/>
      <c r="J556"/>
      <c r="K556"/>
      <c r="L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</row>
    <row r="557" spans="1:63">
      <c r="A557" s="70"/>
      <c r="B557"/>
      <c r="C557"/>
      <c r="D557"/>
      <c r="E557"/>
      <c r="F557"/>
      <c r="G557"/>
      <c r="H557"/>
      <c r="I557"/>
      <c r="J557"/>
      <c r="K557"/>
      <c r="L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</row>
    <row r="558" spans="1:63">
      <c r="A558" s="70"/>
      <c r="B558"/>
      <c r="C558"/>
      <c r="D558"/>
      <c r="E558"/>
      <c r="F558"/>
      <c r="G558"/>
      <c r="H558"/>
      <c r="I558"/>
      <c r="J558"/>
      <c r="K558"/>
      <c r="L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</row>
    <row r="559" spans="1:63">
      <c r="A559" s="70"/>
      <c r="B559"/>
      <c r="C559"/>
      <c r="D559"/>
      <c r="E559"/>
      <c r="F559"/>
      <c r="G559"/>
      <c r="H559"/>
      <c r="I559"/>
      <c r="J559"/>
      <c r="K559"/>
      <c r="L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</row>
    <row r="560" spans="1:63">
      <c r="A560" s="70"/>
      <c r="B560"/>
      <c r="C560"/>
      <c r="D560"/>
      <c r="E560"/>
      <c r="F560"/>
      <c r="G560"/>
      <c r="H560"/>
      <c r="I560"/>
      <c r="J560"/>
      <c r="K560"/>
      <c r="L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</row>
    <row r="561" spans="1:63">
      <c r="A561" s="70"/>
      <c r="B561"/>
      <c r="C561"/>
      <c r="D561"/>
      <c r="E561"/>
      <c r="F561"/>
      <c r="G561"/>
      <c r="H561"/>
      <c r="I561"/>
      <c r="J561"/>
      <c r="K561"/>
      <c r="L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</row>
    <row r="562" spans="1:63">
      <c r="A562" s="70"/>
      <c r="B562"/>
      <c r="C562"/>
      <c r="D562"/>
      <c r="E562"/>
      <c r="F562"/>
      <c r="G562"/>
      <c r="H562"/>
      <c r="I562"/>
      <c r="J562"/>
      <c r="K562"/>
      <c r="L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</row>
    <row r="563" spans="1:63">
      <c r="A563" s="70"/>
      <c r="B563"/>
      <c r="C563"/>
      <c r="D563"/>
      <c r="E563"/>
      <c r="F563"/>
      <c r="G563"/>
      <c r="H563"/>
      <c r="I563"/>
      <c r="J563"/>
      <c r="K563"/>
      <c r="L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</row>
    <row r="564" spans="1:63">
      <c r="A564" s="70"/>
      <c r="B564"/>
      <c r="C564"/>
      <c r="D564"/>
      <c r="E564"/>
      <c r="F564"/>
      <c r="G564"/>
      <c r="H564"/>
      <c r="I564"/>
      <c r="J564"/>
      <c r="K564"/>
      <c r="L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</row>
    <row r="565" spans="1:63">
      <c r="A565" s="70"/>
      <c r="B565"/>
      <c r="C565"/>
      <c r="D565"/>
      <c r="E565"/>
      <c r="F565"/>
      <c r="G565"/>
      <c r="H565"/>
      <c r="I565"/>
      <c r="J565"/>
      <c r="K565"/>
      <c r="L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</row>
    <row r="566" spans="1:63">
      <c r="A566" s="70"/>
      <c r="B566"/>
      <c r="C566"/>
      <c r="D566"/>
      <c r="E566"/>
      <c r="F566"/>
      <c r="G566"/>
      <c r="H566"/>
      <c r="I566"/>
      <c r="J566"/>
      <c r="K566"/>
      <c r="L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</row>
    <row r="567" spans="1:63">
      <c r="A567" s="70"/>
      <c r="B567"/>
      <c r="C567"/>
      <c r="D567"/>
      <c r="E567"/>
      <c r="F567"/>
      <c r="G567"/>
      <c r="H567"/>
      <c r="I567"/>
      <c r="J567"/>
      <c r="K567"/>
      <c r="L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</row>
    <row r="568" spans="1:63">
      <c r="A568" s="70"/>
      <c r="B568"/>
      <c r="C568"/>
      <c r="D568"/>
      <c r="E568"/>
      <c r="F568"/>
      <c r="G568"/>
      <c r="H568"/>
      <c r="I568"/>
      <c r="J568"/>
      <c r="K568"/>
      <c r="L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</row>
    <row r="569" spans="1:63">
      <c r="A569" s="70"/>
      <c r="B569"/>
      <c r="C569"/>
      <c r="D569"/>
      <c r="E569"/>
      <c r="F569"/>
      <c r="G569"/>
      <c r="H569"/>
      <c r="I569"/>
      <c r="J569"/>
      <c r="K569"/>
      <c r="L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</row>
    <row r="570" spans="1:63">
      <c r="A570" s="70"/>
      <c r="B570"/>
      <c r="C570"/>
      <c r="D570"/>
      <c r="E570"/>
      <c r="F570"/>
      <c r="G570"/>
      <c r="H570"/>
      <c r="I570"/>
      <c r="J570"/>
      <c r="K570"/>
      <c r="L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</row>
    <row r="571" spans="1:63">
      <c r="A571" s="70"/>
      <c r="B571"/>
      <c r="C571"/>
      <c r="D571"/>
      <c r="E571"/>
      <c r="F571"/>
      <c r="G571"/>
      <c r="H571"/>
      <c r="I571"/>
      <c r="J571"/>
      <c r="K571"/>
      <c r="L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</row>
    <row r="572" spans="1:63">
      <c r="A572" s="70"/>
      <c r="B572"/>
      <c r="C572"/>
      <c r="D572"/>
      <c r="E572"/>
      <c r="F572"/>
      <c r="G572"/>
      <c r="H572"/>
      <c r="I572"/>
      <c r="J572"/>
      <c r="K572"/>
      <c r="L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</row>
    <row r="573" spans="1:63">
      <c r="A573" s="70"/>
      <c r="B573"/>
      <c r="C573"/>
      <c r="D573"/>
      <c r="E573"/>
      <c r="F573"/>
      <c r="G573"/>
      <c r="H573"/>
      <c r="I573"/>
      <c r="J573"/>
      <c r="K573"/>
      <c r="L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</row>
    <row r="574" spans="1:63">
      <c r="A574" s="70"/>
      <c r="B574"/>
      <c r="C574"/>
      <c r="D574"/>
      <c r="E574"/>
      <c r="F574"/>
      <c r="G574"/>
      <c r="H574"/>
      <c r="I574"/>
      <c r="J574"/>
      <c r="K574"/>
      <c r="L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</row>
    <row r="575" spans="1:63">
      <c r="A575" s="70"/>
      <c r="B575"/>
      <c r="C575"/>
      <c r="D575"/>
      <c r="E575"/>
      <c r="F575"/>
      <c r="G575"/>
      <c r="H575"/>
      <c r="I575"/>
      <c r="J575"/>
      <c r="K575"/>
      <c r="L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</row>
    <row r="576" spans="1:63">
      <c r="A576" s="70"/>
      <c r="B576"/>
      <c r="C576"/>
      <c r="D576"/>
      <c r="E576"/>
      <c r="F576"/>
      <c r="G576"/>
      <c r="H576"/>
      <c r="I576"/>
      <c r="J576"/>
      <c r="K576"/>
      <c r="L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</row>
    <row r="577" spans="1:63">
      <c r="A577" s="70"/>
      <c r="B577"/>
      <c r="C577"/>
      <c r="D577"/>
      <c r="E577"/>
      <c r="F577"/>
      <c r="G577"/>
      <c r="H577"/>
      <c r="I577"/>
      <c r="J577"/>
      <c r="K577"/>
      <c r="L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</row>
    <row r="578" spans="1:63">
      <c r="A578" s="70"/>
      <c r="B578"/>
      <c r="C578"/>
      <c r="D578"/>
      <c r="E578"/>
      <c r="F578"/>
      <c r="G578"/>
      <c r="H578"/>
      <c r="I578"/>
      <c r="J578"/>
      <c r="K578"/>
      <c r="L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</row>
    <row r="579" spans="1:63">
      <c r="A579" s="70"/>
      <c r="B579"/>
      <c r="C579"/>
      <c r="D579"/>
      <c r="E579"/>
      <c r="F579"/>
      <c r="G579"/>
      <c r="H579"/>
      <c r="I579"/>
      <c r="J579"/>
      <c r="K579"/>
      <c r="L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</row>
    <row r="580" spans="1:63">
      <c r="A580" s="70"/>
      <c r="B580"/>
      <c r="C580"/>
      <c r="D580"/>
      <c r="E580"/>
      <c r="F580"/>
      <c r="G580"/>
      <c r="H580"/>
      <c r="I580"/>
      <c r="J580"/>
      <c r="K580"/>
      <c r="L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</row>
    <row r="581" spans="1:63">
      <c r="A581" s="70"/>
      <c r="B581"/>
      <c r="C581"/>
      <c r="D581"/>
      <c r="E581"/>
      <c r="F581"/>
      <c r="G581"/>
      <c r="H581"/>
      <c r="I581"/>
      <c r="J581"/>
      <c r="K581"/>
      <c r="L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</row>
    <row r="582" spans="1:63">
      <c r="A582" s="70"/>
      <c r="B582"/>
      <c r="C582"/>
      <c r="D582"/>
      <c r="E582"/>
      <c r="F582"/>
      <c r="G582"/>
      <c r="H582"/>
      <c r="I582"/>
      <c r="J582"/>
      <c r="K582"/>
      <c r="L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</row>
    <row r="583" spans="1:63">
      <c r="A583" s="70"/>
      <c r="B583"/>
      <c r="C583"/>
      <c r="D583"/>
      <c r="E583"/>
      <c r="F583"/>
      <c r="G583"/>
      <c r="H583"/>
      <c r="I583"/>
      <c r="J583"/>
      <c r="K583"/>
      <c r="L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</row>
    <row r="584" spans="1:63">
      <c r="A584" s="70"/>
      <c r="B584"/>
      <c r="C584"/>
      <c r="D584"/>
      <c r="E584"/>
      <c r="F584"/>
      <c r="G584"/>
      <c r="H584"/>
      <c r="I584"/>
      <c r="J584"/>
      <c r="K584"/>
      <c r="L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</row>
    <row r="585" spans="1:63">
      <c r="A585" s="70"/>
      <c r="B585"/>
      <c r="C585"/>
      <c r="D585"/>
      <c r="E585"/>
      <c r="F585"/>
      <c r="G585"/>
      <c r="H585"/>
      <c r="I585"/>
      <c r="J585"/>
      <c r="K585"/>
      <c r="L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</row>
    <row r="586" spans="1:63">
      <c r="A586" s="70"/>
      <c r="B586"/>
      <c r="C586"/>
      <c r="D586"/>
      <c r="E586"/>
      <c r="F586"/>
      <c r="G586"/>
      <c r="H586"/>
      <c r="I586"/>
      <c r="J586"/>
      <c r="K586"/>
      <c r="L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</row>
    <row r="587" spans="1:63">
      <c r="A587" s="70"/>
      <c r="B587"/>
      <c r="C587"/>
      <c r="D587"/>
      <c r="E587"/>
      <c r="F587"/>
      <c r="G587"/>
      <c r="H587"/>
      <c r="I587"/>
      <c r="J587"/>
      <c r="K587"/>
      <c r="L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</row>
    <row r="588" spans="1:63">
      <c r="A588" s="70"/>
      <c r="B588"/>
      <c r="C588"/>
      <c r="D588"/>
      <c r="E588"/>
      <c r="F588"/>
      <c r="G588"/>
      <c r="H588"/>
      <c r="I588"/>
      <c r="J588"/>
      <c r="K588"/>
      <c r="L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</row>
    <row r="589" spans="1:63">
      <c r="A589" s="70"/>
      <c r="B589"/>
      <c r="C589"/>
      <c r="D589"/>
      <c r="E589"/>
      <c r="F589"/>
      <c r="G589"/>
      <c r="H589"/>
      <c r="I589"/>
      <c r="J589"/>
      <c r="K589"/>
      <c r="L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</row>
    <row r="590" spans="1:63">
      <c r="A590" s="70"/>
      <c r="B590"/>
      <c r="C590"/>
      <c r="D590"/>
      <c r="E590"/>
      <c r="F590"/>
      <c r="G590"/>
      <c r="H590"/>
      <c r="I590"/>
      <c r="J590"/>
      <c r="K590"/>
      <c r="L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</row>
    <row r="591" spans="1:63">
      <c r="A591" s="70"/>
      <c r="B591"/>
      <c r="C591"/>
      <c r="D591"/>
      <c r="E591"/>
      <c r="F591"/>
      <c r="G591"/>
      <c r="H591"/>
      <c r="I591"/>
      <c r="J591"/>
      <c r="K591"/>
      <c r="L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</row>
    <row r="592" spans="1:63">
      <c r="A592" s="70"/>
      <c r="B592"/>
      <c r="C592"/>
      <c r="D592"/>
      <c r="E592"/>
      <c r="F592"/>
      <c r="G592"/>
      <c r="H592"/>
      <c r="I592"/>
      <c r="J592"/>
      <c r="K592"/>
      <c r="L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</row>
    <row r="593" spans="1:63">
      <c r="A593" s="70"/>
      <c r="B593"/>
      <c r="C593"/>
      <c r="D593"/>
      <c r="E593"/>
      <c r="F593"/>
      <c r="G593"/>
      <c r="H593"/>
      <c r="I593"/>
      <c r="J593"/>
      <c r="K593"/>
      <c r="L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</row>
    <row r="594" spans="1:63">
      <c r="A594" s="70"/>
      <c r="B594"/>
      <c r="C594"/>
      <c r="D594"/>
      <c r="E594"/>
      <c r="F594"/>
      <c r="G594"/>
      <c r="H594"/>
      <c r="I594"/>
      <c r="J594"/>
      <c r="K594"/>
      <c r="L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</row>
    <row r="595" spans="1:63">
      <c r="A595" s="70"/>
      <c r="B595"/>
      <c r="C595"/>
      <c r="D595"/>
      <c r="E595"/>
      <c r="F595"/>
      <c r="G595"/>
      <c r="H595"/>
      <c r="I595"/>
      <c r="J595"/>
      <c r="K595"/>
      <c r="L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</row>
    <row r="596" spans="1:63">
      <c r="A596" s="70"/>
      <c r="B596"/>
      <c r="C596"/>
      <c r="D596"/>
      <c r="E596"/>
      <c r="F596"/>
      <c r="G596"/>
      <c r="H596"/>
      <c r="I596"/>
      <c r="J596"/>
      <c r="K596"/>
      <c r="L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</row>
    <row r="597" spans="1:63">
      <c r="A597" s="70"/>
      <c r="B597"/>
      <c r="C597"/>
      <c r="D597"/>
      <c r="E597"/>
      <c r="F597"/>
      <c r="G597"/>
      <c r="H597"/>
      <c r="I597"/>
      <c r="J597"/>
      <c r="K597"/>
      <c r="L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</row>
    <row r="598" spans="1:63">
      <c r="A598" s="70"/>
      <c r="B598"/>
      <c r="C598"/>
      <c r="D598"/>
      <c r="E598"/>
      <c r="F598"/>
      <c r="G598"/>
      <c r="H598"/>
      <c r="I598"/>
      <c r="J598"/>
      <c r="K598"/>
      <c r="L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</row>
    <row r="599" spans="1:63">
      <c r="A599" s="70"/>
      <c r="B599"/>
      <c r="C599"/>
      <c r="D599"/>
      <c r="E599"/>
      <c r="F599"/>
      <c r="G599"/>
      <c r="H599"/>
      <c r="I599"/>
      <c r="J599"/>
      <c r="K599"/>
      <c r="L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</row>
    <row r="600" spans="1:63">
      <c r="A600" s="70"/>
      <c r="B600"/>
      <c r="C600"/>
      <c r="D600"/>
      <c r="E600"/>
      <c r="F600"/>
      <c r="G600"/>
      <c r="H600"/>
      <c r="I600"/>
      <c r="J600"/>
      <c r="K600"/>
      <c r="L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</row>
    <row r="601" spans="1:63">
      <c r="A601" s="70"/>
      <c r="B601"/>
      <c r="C601"/>
      <c r="D601"/>
      <c r="E601"/>
      <c r="F601"/>
      <c r="G601"/>
      <c r="H601"/>
      <c r="I601"/>
      <c r="J601"/>
      <c r="K601"/>
      <c r="L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</row>
    <row r="602" spans="1:63">
      <c r="A602" s="70"/>
      <c r="B602"/>
      <c r="C602"/>
      <c r="D602"/>
      <c r="E602"/>
      <c r="F602"/>
      <c r="G602"/>
      <c r="H602"/>
      <c r="I602"/>
      <c r="J602"/>
      <c r="K602"/>
      <c r="L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</row>
    <row r="603" spans="1:63">
      <c r="A603" s="70"/>
      <c r="B603"/>
      <c r="C603"/>
      <c r="D603"/>
      <c r="E603"/>
      <c r="F603"/>
      <c r="G603"/>
      <c r="H603"/>
      <c r="I603"/>
      <c r="J603"/>
      <c r="K603"/>
      <c r="L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</row>
    <row r="604" spans="1:63">
      <c r="A604" s="70"/>
      <c r="B604"/>
      <c r="C604"/>
      <c r="D604"/>
      <c r="E604"/>
      <c r="F604"/>
      <c r="G604"/>
      <c r="H604"/>
      <c r="I604"/>
      <c r="J604"/>
      <c r="K604"/>
      <c r="L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</row>
    <row r="605" spans="1:63">
      <c r="A605" s="70"/>
      <c r="B605"/>
      <c r="C605"/>
      <c r="D605"/>
      <c r="E605"/>
      <c r="F605"/>
      <c r="G605"/>
      <c r="H605"/>
      <c r="I605"/>
      <c r="J605"/>
      <c r="K605"/>
      <c r="L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</row>
    <row r="606" spans="1:63">
      <c r="A606" s="70"/>
      <c r="B606"/>
      <c r="C606"/>
      <c r="D606"/>
      <c r="E606"/>
      <c r="F606"/>
      <c r="G606"/>
      <c r="H606"/>
      <c r="I606"/>
      <c r="J606"/>
      <c r="K606"/>
      <c r="L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</row>
    <row r="607" spans="1:63">
      <c r="A607" s="70"/>
      <c r="B607"/>
      <c r="C607"/>
      <c r="D607"/>
      <c r="E607"/>
      <c r="F607"/>
      <c r="G607"/>
      <c r="H607"/>
      <c r="I607"/>
      <c r="J607"/>
      <c r="K607"/>
      <c r="L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</row>
    <row r="608" spans="1:63">
      <c r="A608" s="70"/>
      <c r="B608"/>
      <c r="C608"/>
      <c r="D608"/>
      <c r="E608"/>
      <c r="F608"/>
      <c r="G608"/>
      <c r="H608"/>
      <c r="I608"/>
      <c r="J608"/>
      <c r="K608"/>
      <c r="L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</row>
    <row r="609" spans="1:63">
      <c r="A609" s="70"/>
      <c r="B609"/>
      <c r="C609"/>
      <c r="D609"/>
      <c r="E609"/>
      <c r="F609"/>
      <c r="G609"/>
      <c r="H609"/>
      <c r="I609"/>
      <c r="J609"/>
      <c r="K609"/>
      <c r="L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</row>
    <row r="610" spans="1:63">
      <c r="A610" s="70"/>
      <c r="B610"/>
      <c r="C610"/>
      <c r="D610"/>
      <c r="E610"/>
      <c r="F610"/>
      <c r="G610"/>
      <c r="H610"/>
      <c r="I610"/>
      <c r="J610"/>
      <c r="K610"/>
      <c r="L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</row>
    <row r="611" spans="1:63">
      <c r="A611" s="70"/>
      <c r="B611"/>
      <c r="C611"/>
      <c r="D611"/>
      <c r="E611"/>
      <c r="F611"/>
      <c r="G611"/>
      <c r="H611"/>
      <c r="I611"/>
      <c r="J611"/>
      <c r="K611"/>
      <c r="L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</row>
    <row r="612" spans="1:63">
      <c r="A612" s="70"/>
      <c r="B612"/>
      <c r="C612"/>
      <c r="D612"/>
      <c r="E612"/>
      <c r="F612"/>
      <c r="G612"/>
      <c r="H612"/>
      <c r="I612"/>
      <c r="J612"/>
      <c r="K612"/>
      <c r="L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</row>
    <row r="613" spans="1:63">
      <c r="A613" s="70"/>
      <c r="B613"/>
      <c r="C613"/>
      <c r="D613"/>
      <c r="E613"/>
      <c r="F613"/>
      <c r="G613"/>
      <c r="H613"/>
      <c r="I613"/>
      <c r="J613"/>
      <c r="K613"/>
      <c r="L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</row>
    <row r="614" spans="1:63">
      <c r="A614" s="70"/>
      <c r="B614"/>
      <c r="C614"/>
      <c r="D614"/>
      <c r="E614"/>
      <c r="F614"/>
      <c r="G614"/>
      <c r="H614"/>
      <c r="I614"/>
      <c r="J614"/>
      <c r="K614"/>
      <c r="L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</row>
    <row r="615" spans="1:63">
      <c r="A615" s="70"/>
      <c r="B615"/>
      <c r="C615"/>
      <c r="D615"/>
      <c r="E615"/>
      <c r="F615"/>
      <c r="G615"/>
      <c r="H615"/>
      <c r="I615"/>
      <c r="J615"/>
      <c r="K615"/>
      <c r="L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</row>
    <row r="616" spans="1:63">
      <c r="A616" s="70"/>
      <c r="B616"/>
      <c r="C616"/>
      <c r="D616"/>
      <c r="E616"/>
      <c r="F616"/>
      <c r="G616"/>
      <c r="H616"/>
      <c r="I616"/>
      <c r="J616"/>
      <c r="K616"/>
      <c r="L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</row>
    <row r="617" spans="1:63">
      <c r="A617" s="70"/>
      <c r="B617"/>
      <c r="C617"/>
      <c r="D617"/>
      <c r="E617"/>
      <c r="F617"/>
      <c r="G617"/>
      <c r="H617"/>
      <c r="I617"/>
      <c r="J617"/>
      <c r="K617"/>
      <c r="L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</row>
    <row r="618" spans="1:63">
      <c r="A618" s="70"/>
      <c r="B618"/>
      <c r="C618"/>
      <c r="D618"/>
      <c r="E618"/>
      <c r="F618"/>
      <c r="G618"/>
      <c r="H618"/>
      <c r="I618"/>
      <c r="J618"/>
      <c r="K618"/>
      <c r="L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</row>
    <row r="619" spans="1:63">
      <c r="A619" s="70"/>
      <c r="B619"/>
      <c r="C619"/>
      <c r="D619"/>
      <c r="E619"/>
      <c r="F619"/>
      <c r="G619"/>
      <c r="H619"/>
      <c r="I619"/>
      <c r="J619"/>
      <c r="K619"/>
      <c r="L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</row>
    <row r="620" spans="1:63">
      <c r="A620" s="70"/>
      <c r="B620"/>
      <c r="C620"/>
      <c r="D620"/>
      <c r="E620"/>
      <c r="F620"/>
      <c r="G620"/>
      <c r="H620"/>
      <c r="I620"/>
      <c r="J620"/>
      <c r="K620"/>
      <c r="L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</row>
    <row r="621" spans="1:63">
      <c r="A621" s="70"/>
      <c r="B621"/>
      <c r="C621"/>
      <c r="D621"/>
      <c r="E621"/>
      <c r="F621"/>
      <c r="G621"/>
      <c r="H621"/>
      <c r="I621"/>
      <c r="J621"/>
      <c r="K621"/>
      <c r="L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</row>
    <row r="622" spans="1:63">
      <c r="A622" s="70"/>
      <c r="B622"/>
      <c r="C622"/>
      <c r="D622"/>
      <c r="E622"/>
      <c r="F622"/>
      <c r="G622"/>
      <c r="H622"/>
      <c r="I622"/>
      <c r="J622"/>
      <c r="K622"/>
      <c r="L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</row>
    <row r="623" spans="1:63">
      <c r="A623" s="70"/>
      <c r="B623"/>
      <c r="C623"/>
      <c r="D623"/>
      <c r="E623"/>
      <c r="F623"/>
      <c r="G623"/>
      <c r="H623"/>
      <c r="I623"/>
      <c r="J623"/>
      <c r="K623"/>
      <c r="L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</row>
    <row r="624" spans="1:63">
      <c r="A624" s="70"/>
      <c r="B624"/>
      <c r="C624"/>
      <c r="D624"/>
      <c r="E624"/>
      <c r="F624"/>
      <c r="G624"/>
      <c r="H624"/>
      <c r="I624"/>
      <c r="J624"/>
      <c r="K624"/>
      <c r="L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</row>
    <row r="625" spans="1:63">
      <c r="A625" s="70"/>
      <c r="B625"/>
      <c r="C625"/>
      <c r="D625"/>
      <c r="E625"/>
      <c r="F625"/>
      <c r="G625"/>
      <c r="H625"/>
      <c r="I625"/>
      <c r="J625"/>
      <c r="K625"/>
      <c r="L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</row>
    <row r="626" spans="1:63">
      <c r="A626" s="70"/>
      <c r="B626"/>
      <c r="C626"/>
      <c r="D626"/>
      <c r="E626"/>
      <c r="F626"/>
      <c r="G626"/>
      <c r="H626"/>
      <c r="I626"/>
      <c r="J626"/>
      <c r="K626"/>
      <c r="L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</row>
    <row r="627" spans="1:63">
      <c r="A627" s="70"/>
      <c r="B627"/>
      <c r="C627"/>
      <c r="D627"/>
      <c r="E627"/>
      <c r="F627"/>
      <c r="G627"/>
      <c r="H627"/>
      <c r="I627"/>
      <c r="J627"/>
      <c r="K627"/>
      <c r="L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</row>
    <row r="628" spans="1:63">
      <c r="A628" s="70"/>
      <c r="B628"/>
      <c r="C628"/>
      <c r="D628"/>
      <c r="E628"/>
      <c r="F628"/>
      <c r="G628"/>
      <c r="H628"/>
      <c r="I628"/>
      <c r="J628"/>
      <c r="K628"/>
      <c r="L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</row>
    <row r="629" spans="1:63">
      <c r="A629" s="70"/>
      <c r="B629"/>
      <c r="C629"/>
      <c r="D629"/>
      <c r="E629"/>
      <c r="F629"/>
      <c r="G629"/>
      <c r="H629"/>
      <c r="I629"/>
      <c r="J629"/>
      <c r="K629"/>
      <c r="L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</row>
    <row r="630" spans="1:63">
      <c r="A630" s="70"/>
      <c r="B630"/>
      <c r="C630"/>
      <c r="D630"/>
      <c r="E630"/>
      <c r="F630"/>
      <c r="G630"/>
      <c r="H630"/>
      <c r="I630"/>
      <c r="J630"/>
      <c r="K630"/>
      <c r="L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</row>
    <row r="631" spans="1:63">
      <c r="A631" s="70"/>
      <c r="B631"/>
      <c r="C631"/>
      <c r="D631"/>
      <c r="E631"/>
      <c r="F631"/>
      <c r="G631"/>
      <c r="H631"/>
      <c r="I631"/>
      <c r="J631"/>
      <c r="K631"/>
      <c r="L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</row>
    <row r="632" spans="1:63">
      <c r="A632" s="70"/>
      <c r="B632"/>
      <c r="C632"/>
      <c r="D632"/>
      <c r="E632"/>
      <c r="F632"/>
      <c r="G632"/>
      <c r="H632"/>
      <c r="I632"/>
      <c r="J632"/>
      <c r="K632"/>
      <c r="L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</row>
    <row r="633" spans="1:63">
      <c r="A633" s="70"/>
      <c r="B633"/>
      <c r="C633"/>
      <c r="D633"/>
      <c r="E633"/>
      <c r="F633"/>
      <c r="G633"/>
      <c r="H633"/>
      <c r="I633"/>
      <c r="J633"/>
      <c r="K633"/>
      <c r="L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</row>
    <row r="634" spans="1:63">
      <c r="A634" s="70"/>
      <c r="B634"/>
      <c r="C634"/>
      <c r="D634"/>
      <c r="E634"/>
      <c r="F634"/>
      <c r="G634"/>
      <c r="H634"/>
      <c r="I634"/>
      <c r="J634"/>
      <c r="K634"/>
      <c r="L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</row>
    <row r="635" spans="1:63">
      <c r="A635" s="70"/>
      <c r="B635"/>
      <c r="C635"/>
      <c r="D635"/>
      <c r="E635"/>
      <c r="F635"/>
      <c r="G635"/>
      <c r="H635"/>
      <c r="I635"/>
      <c r="J635"/>
      <c r="K635"/>
      <c r="L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</row>
    <row r="636" spans="1:63">
      <c r="A636" s="70"/>
      <c r="B636"/>
      <c r="C636"/>
      <c r="D636"/>
      <c r="E636"/>
      <c r="F636"/>
      <c r="G636"/>
      <c r="H636"/>
      <c r="I636"/>
      <c r="J636"/>
      <c r="K636"/>
      <c r="L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</row>
    <row r="637" spans="1:63">
      <c r="A637" s="70"/>
      <c r="B637"/>
      <c r="C637"/>
      <c r="D637"/>
      <c r="E637"/>
      <c r="F637"/>
      <c r="G637"/>
      <c r="H637"/>
      <c r="I637"/>
      <c r="J637"/>
      <c r="K637"/>
      <c r="L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</row>
    <row r="638" spans="1:63">
      <c r="A638" s="70"/>
      <c r="B638"/>
      <c r="C638"/>
      <c r="D638"/>
      <c r="E638"/>
      <c r="F638"/>
      <c r="G638"/>
      <c r="H638"/>
      <c r="I638"/>
      <c r="J638"/>
      <c r="K638"/>
      <c r="L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</row>
    <row r="639" spans="1:63">
      <c r="A639" s="70"/>
      <c r="B639"/>
      <c r="C639"/>
      <c r="D639"/>
      <c r="E639"/>
      <c r="F639"/>
      <c r="G639"/>
      <c r="H639"/>
      <c r="I639"/>
      <c r="J639"/>
      <c r="K639"/>
      <c r="L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</row>
    <row r="640" spans="1:63">
      <c r="A640" s="70"/>
      <c r="B640"/>
      <c r="C640"/>
      <c r="D640"/>
      <c r="E640"/>
      <c r="F640"/>
      <c r="G640"/>
      <c r="H640"/>
      <c r="I640"/>
      <c r="J640"/>
      <c r="K640"/>
      <c r="L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</row>
    <row r="641" spans="1:63">
      <c r="A641" s="70"/>
      <c r="B641"/>
      <c r="C641"/>
      <c r="D641"/>
      <c r="E641"/>
      <c r="F641"/>
      <c r="G641"/>
      <c r="H641"/>
      <c r="I641"/>
      <c r="J641"/>
      <c r="K641"/>
      <c r="L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</row>
    <row r="642" spans="1:63">
      <c r="A642" s="70"/>
      <c r="B642"/>
      <c r="C642"/>
      <c r="D642"/>
      <c r="E642"/>
      <c r="F642"/>
      <c r="G642"/>
      <c r="H642"/>
      <c r="I642"/>
      <c r="J642"/>
      <c r="K642"/>
      <c r="L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</row>
    <row r="643" spans="1:63">
      <c r="A643" s="70"/>
      <c r="B643"/>
      <c r="C643"/>
      <c r="D643"/>
      <c r="E643"/>
      <c r="F643"/>
      <c r="G643"/>
      <c r="H643"/>
      <c r="I643"/>
      <c r="J643"/>
      <c r="K643"/>
      <c r="L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</row>
    <row r="644" spans="1:63">
      <c r="A644" s="70"/>
      <c r="B644"/>
      <c r="C644"/>
      <c r="D644"/>
      <c r="E644"/>
      <c r="F644"/>
      <c r="G644"/>
      <c r="H644"/>
      <c r="I644"/>
      <c r="J644"/>
      <c r="K644"/>
      <c r="L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</row>
    <row r="645" spans="1:63">
      <c r="A645" s="70"/>
      <c r="B645"/>
      <c r="C645"/>
      <c r="D645"/>
      <c r="E645"/>
      <c r="F645"/>
      <c r="G645"/>
      <c r="H645"/>
      <c r="I645"/>
      <c r="J645"/>
      <c r="K645"/>
      <c r="L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</row>
    <row r="646" spans="1:63">
      <c r="A646" s="70"/>
      <c r="B646"/>
      <c r="C646"/>
      <c r="D646"/>
      <c r="E646"/>
      <c r="F646"/>
      <c r="G646"/>
      <c r="H646"/>
      <c r="I646"/>
      <c r="J646"/>
      <c r="K646"/>
      <c r="L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</row>
    <row r="647" spans="1:63">
      <c r="A647" s="70"/>
      <c r="B647"/>
      <c r="C647"/>
      <c r="D647"/>
      <c r="E647"/>
      <c r="F647"/>
      <c r="G647"/>
      <c r="H647"/>
      <c r="I647"/>
      <c r="J647"/>
      <c r="K647"/>
      <c r="L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</row>
    <row r="648" spans="1:63">
      <c r="A648" s="70"/>
      <c r="B648"/>
      <c r="C648"/>
      <c r="D648"/>
      <c r="E648"/>
      <c r="F648"/>
      <c r="G648"/>
      <c r="H648"/>
      <c r="I648"/>
      <c r="J648"/>
      <c r="K648"/>
      <c r="L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</row>
    <row r="649" spans="1:63">
      <c r="A649" s="70"/>
      <c r="B649"/>
      <c r="C649"/>
      <c r="D649"/>
      <c r="E649"/>
      <c r="F649"/>
      <c r="G649"/>
      <c r="H649"/>
      <c r="I649"/>
      <c r="J649"/>
      <c r="K649"/>
      <c r="L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</row>
    <row r="650" spans="1:63">
      <c r="A650" s="70"/>
      <c r="B650"/>
      <c r="C650"/>
      <c r="D650"/>
      <c r="E650"/>
      <c r="F650"/>
      <c r="G650"/>
      <c r="H650"/>
      <c r="I650"/>
      <c r="J650"/>
      <c r="K650"/>
      <c r="L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</row>
    <row r="651" spans="1:63">
      <c r="A651" s="70"/>
      <c r="B651"/>
      <c r="C651"/>
      <c r="D651"/>
      <c r="E651"/>
      <c r="F651"/>
      <c r="G651"/>
      <c r="H651"/>
      <c r="I651"/>
      <c r="J651"/>
      <c r="K651"/>
      <c r="L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</row>
    <row r="652" spans="1:63">
      <c r="A652" s="70"/>
      <c r="B652"/>
      <c r="C652"/>
      <c r="D652"/>
      <c r="E652"/>
      <c r="F652"/>
      <c r="G652"/>
      <c r="H652"/>
      <c r="I652"/>
      <c r="J652"/>
      <c r="K652"/>
      <c r="L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</row>
    <row r="653" spans="1:63">
      <c r="A653" s="70"/>
      <c r="B653"/>
      <c r="C653"/>
      <c r="D653"/>
      <c r="E653"/>
      <c r="F653"/>
      <c r="G653"/>
      <c r="H653"/>
      <c r="I653"/>
      <c r="J653"/>
      <c r="K653"/>
      <c r="L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</row>
    <row r="654" spans="1:63">
      <c r="A654" s="70"/>
      <c r="B654"/>
      <c r="C654"/>
      <c r="D654"/>
      <c r="E654"/>
      <c r="F654"/>
      <c r="G654"/>
      <c r="H654"/>
      <c r="I654"/>
      <c r="J654"/>
      <c r="K654"/>
      <c r="L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</row>
    <row r="655" spans="1:63">
      <c r="A655" s="70"/>
      <c r="B655"/>
      <c r="C655"/>
      <c r="D655"/>
      <c r="E655"/>
      <c r="F655"/>
      <c r="G655"/>
      <c r="H655"/>
      <c r="I655"/>
      <c r="J655"/>
      <c r="K655"/>
      <c r="L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</row>
    <row r="656" spans="1:63">
      <c r="A656" s="70"/>
      <c r="B656"/>
      <c r="C656"/>
      <c r="D656"/>
      <c r="E656"/>
      <c r="F656"/>
      <c r="G656"/>
      <c r="H656"/>
      <c r="I656"/>
      <c r="J656"/>
      <c r="K656"/>
      <c r="L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</row>
    <row r="657" spans="1:63">
      <c r="A657" s="70"/>
      <c r="B657"/>
      <c r="C657"/>
      <c r="D657"/>
      <c r="E657"/>
      <c r="F657"/>
      <c r="G657"/>
      <c r="H657"/>
      <c r="I657"/>
      <c r="J657"/>
      <c r="K657"/>
      <c r="L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</row>
    <row r="658" spans="1:63">
      <c r="A658" s="70"/>
      <c r="B658"/>
      <c r="C658"/>
      <c r="D658"/>
      <c r="E658"/>
      <c r="F658"/>
      <c r="G658"/>
      <c r="H658"/>
      <c r="I658"/>
      <c r="J658"/>
      <c r="K658"/>
      <c r="L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</row>
    <row r="659" spans="1:63">
      <c r="A659" s="70"/>
      <c r="B659"/>
      <c r="C659"/>
      <c r="D659"/>
      <c r="E659"/>
      <c r="F659"/>
      <c r="G659"/>
      <c r="H659"/>
      <c r="I659"/>
      <c r="J659"/>
      <c r="K659"/>
      <c r="L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</row>
    <row r="660" spans="1:63">
      <c r="A660" s="70"/>
      <c r="B660"/>
      <c r="C660"/>
      <c r="D660"/>
      <c r="E660"/>
      <c r="F660"/>
      <c r="G660"/>
      <c r="H660"/>
      <c r="I660"/>
      <c r="J660"/>
      <c r="K660"/>
      <c r="L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</row>
    <row r="661" spans="1:63">
      <c r="A661" s="70"/>
      <c r="B661"/>
      <c r="C661"/>
      <c r="D661"/>
      <c r="E661"/>
      <c r="F661"/>
      <c r="G661"/>
      <c r="H661"/>
      <c r="I661"/>
      <c r="J661"/>
      <c r="K661"/>
      <c r="L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</row>
    <row r="662" spans="1:63">
      <c r="A662" s="70"/>
      <c r="B662"/>
      <c r="C662"/>
      <c r="D662"/>
      <c r="E662"/>
      <c r="F662"/>
      <c r="G662"/>
      <c r="H662"/>
      <c r="I662"/>
      <c r="J662"/>
      <c r="K662"/>
      <c r="L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</row>
    <row r="663" spans="1:63">
      <c r="A663" s="70"/>
      <c r="B663"/>
      <c r="C663"/>
      <c r="D663"/>
      <c r="E663"/>
      <c r="F663"/>
      <c r="G663"/>
      <c r="H663"/>
      <c r="I663"/>
      <c r="J663"/>
      <c r="K663"/>
      <c r="L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</row>
    <row r="664" spans="1:63">
      <c r="A664" s="70"/>
      <c r="B664"/>
      <c r="C664"/>
      <c r="D664"/>
      <c r="E664"/>
      <c r="F664"/>
      <c r="G664"/>
      <c r="H664"/>
      <c r="I664"/>
      <c r="J664"/>
      <c r="K664"/>
      <c r="L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</row>
    <row r="665" spans="1:63">
      <c r="A665" s="70"/>
      <c r="B665"/>
      <c r="C665"/>
      <c r="D665"/>
      <c r="E665"/>
      <c r="F665"/>
      <c r="G665"/>
      <c r="H665"/>
      <c r="I665"/>
      <c r="J665"/>
      <c r="K665"/>
      <c r="L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</row>
    <row r="666" spans="1:63">
      <c r="A666" s="70"/>
      <c r="B666"/>
      <c r="C666"/>
      <c r="D666"/>
      <c r="E666"/>
      <c r="F666"/>
      <c r="G666"/>
      <c r="H666"/>
      <c r="I666"/>
      <c r="J666"/>
      <c r="K666"/>
      <c r="L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</row>
    <row r="667" spans="1:63">
      <c r="A667" s="70"/>
      <c r="B667"/>
      <c r="C667"/>
      <c r="D667"/>
      <c r="E667"/>
      <c r="F667"/>
      <c r="G667"/>
      <c r="H667"/>
      <c r="I667"/>
      <c r="J667"/>
      <c r="K667"/>
      <c r="L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</row>
    <row r="668" spans="1:63">
      <c r="A668" s="70"/>
      <c r="B668"/>
      <c r="C668"/>
      <c r="D668"/>
      <c r="E668"/>
      <c r="F668"/>
      <c r="G668"/>
      <c r="H668"/>
      <c r="I668"/>
      <c r="J668"/>
      <c r="K668"/>
      <c r="L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</row>
    <row r="669" spans="1:63">
      <c r="A669" s="70"/>
      <c r="B669"/>
      <c r="C669"/>
      <c r="D669"/>
      <c r="E669"/>
      <c r="F669"/>
      <c r="G669"/>
      <c r="H669"/>
      <c r="I669"/>
      <c r="J669"/>
      <c r="K669"/>
      <c r="L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</row>
    <row r="670" spans="1:63">
      <c r="A670" s="70"/>
      <c r="B670"/>
      <c r="C670"/>
      <c r="D670"/>
      <c r="E670"/>
      <c r="F670"/>
      <c r="G670"/>
      <c r="H670"/>
      <c r="I670"/>
      <c r="J670"/>
      <c r="K670"/>
      <c r="L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</row>
    <row r="671" spans="1:63">
      <c r="A671" s="70"/>
      <c r="B671"/>
      <c r="C671"/>
      <c r="D671"/>
      <c r="E671"/>
      <c r="F671"/>
      <c r="G671"/>
      <c r="H671"/>
      <c r="I671"/>
      <c r="J671"/>
      <c r="K671"/>
      <c r="L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</row>
    <row r="672" spans="1:63">
      <c r="A672" s="70"/>
      <c r="B672"/>
      <c r="C672"/>
      <c r="D672"/>
      <c r="E672"/>
      <c r="F672"/>
      <c r="G672"/>
      <c r="H672"/>
      <c r="I672"/>
      <c r="J672"/>
      <c r="K672"/>
      <c r="L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</row>
    <row r="673" spans="1:63">
      <c r="A673" s="70"/>
      <c r="B673"/>
      <c r="C673"/>
      <c r="D673"/>
      <c r="E673"/>
      <c r="F673"/>
      <c r="G673"/>
      <c r="H673"/>
      <c r="I673"/>
      <c r="J673"/>
      <c r="K673"/>
      <c r="L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</row>
    <row r="674" spans="1:63">
      <c r="A674" s="70"/>
      <c r="B674"/>
      <c r="C674"/>
      <c r="D674"/>
      <c r="E674"/>
      <c r="F674"/>
      <c r="G674"/>
      <c r="H674"/>
      <c r="I674"/>
      <c r="J674"/>
      <c r="K674"/>
      <c r="L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</row>
    <row r="675" spans="1:63">
      <c r="A675" s="70"/>
      <c r="B675"/>
      <c r="C675"/>
      <c r="D675"/>
      <c r="E675"/>
      <c r="F675"/>
      <c r="G675"/>
      <c r="H675"/>
      <c r="I675"/>
      <c r="J675"/>
      <c r="K675"/>
      <c r="L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</row>
    <row r="676" spans="1:63">
      <c r="A676" s="70"/>
      <c r="B676"/>
      <c r="C676"/>
      <c r="D676"/>
      <c r="E676"/>
      <c r="F676"/>
      <c r="G676"/>
      <c r="H676"/>
      <c r="I676"/>
      <c r="J676"/>
      <c r="K676"/>
      <c r="L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</row>
    <row r="677" spans="1:63">
      <c r="A677" s="70"/>
      <c r="B677"/>
      <c r="C677"/>
      <c r="D677"/>
      <c r="E677"/>
      <c r="F677"/>
      <c r="G677"/>
      <c r="H677"/>
      <c r="I677"/>
      <c r="J677"/>
      <c r="K677"/>
      <c r="L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</row>
    <row r="678" spans="1:63">
      <c r="A678" s="70"/>
      <c r="B678"/>
      <c r="C678"/>
      <c r="D678"/>
      <c r="E678"/>
      <c r="F678"/>
      <c r="G678"/>
      <c r="H678"/>
      <c r="I678"/>
      <c r="J678"/>
      <c r="K678"/>
      <c r="L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</row>
    <row r="679" spans="1:63">
      <c r="A679" s="70"/>
      <c r="B679"/>
      <c r="C679"/>
      <c r="D679"/>
      <c r="E679"/>
      <c r="F679"/>
      <c r="G679"/>
      <c r="H679"/>
      <c r="I679"/>
      <c r="J679"/>
      <c r="K679"/>
      <c r="L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</row>
    <row r="680" spans="1:63">
      <c r="A680" s="70"/>
      <c r="B680"/>
      <c r="C680"/>
      <c r="D680"/>
      <c r="E680"/>
      <c r="F680"/>
      <c r="G680"/>
      <c r="H680"/>
      <c r="I680"/>
      <c r="J680"/>
      <c r="K680"/>
      <c r="L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</row>
    <row r="681" spans="1:63">
      <c r="A681" s="70"/>
      <c r="B681"/>
      <c r="C681"/>
      <c r="D681"/>
      <c r="E681"/>
      <c r="F681"/>
      <c r="G681"/>
      <c r="H681"/>
      <c r="I681"/>
      <c r="J681"/>
      <c r="K681"/>
      <c r="L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</row>
    <row r="682" spans="1:63">
      <c r="A682" s="70"/>
      <c r="B682"/>
      <c r="C682"/>
      <c r="D682"/>
      <c r="E682"/>
      <c r="F682"/>
      <c r="G682"/>
      <c r="H682"/>
      <c r="I682"/>
      <c r="J682"/>
      <c r="K682"/>
      <c r="L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</row>
    <row r="683" spans="1:63">
      <c r="A683" s="70"/>
      <c r="B683"/>
      <c r="C683"/>
      <c r="D683"/>
      <c r="E683"/>
      <c r="F683"/>
      <c r="G683"/>
      <c r="H683"/>
      <c r="I683"/>
      <c r="J683"/>
      <c r="K683"/>
      <c r="L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</row>
    <row r="684" spans="1:63">
      <c r="A684" s="70"/>
      <c r="B684"/>
      <c r="C684"/>
      <c r="D684"/>
      <c r="E684"/>
      <c r="F684"/>
      <c r="G684"/>
      <c r="H684"/>
      <c r="I684"/>
      <c r="J684"/>
      <c r="K684"/>
      <c r="L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</row>
    <row r="685" spans="1:63">
      <c r="A685" s="70"/>
      <c r="B685"/>
      <c r="C685"/>
      <c r="D685"/>
      <c r="E685"/>
      <c r="F685"/>
      <c r="G685"/>
      <c r="H685"/>
      <c r="I685"/>
      <c r="J685"/>
      <c r="K685"/>
      <c r="L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</row>
    <row r="686" spans="1:63">
      <c r="A686" s="70"/>
      <c r="B686"/>
      <c r="C686"/>
      <c r="D686"/>
      <c r="E686"/>
      <c r="F686"/>
      <c r="G686"/>
      <c r="H686"/>
      <c r="I686"/>
      <c r="J686"/>
      <c r="K686"/>
      <c r="L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</row>
    <row r="687" spans="1:63">
      <c r="A687" s="70"/>
      <c r="B687"/>
      <c r="C687"/>
      <c r="D687"/>
      <c r="E687"/>
      <c r="F687"/>
      <c r="G687"/>
      <c r="H687"/>
      <c r="I687"/>
      <c r="J687"/>
      <c r="K687"/>
      <c r="L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</row>
    <row r="688" spans="1:63">
      <c r="A688" s="70"/>
      <c r="B688"/>
      <c r="C688"/>
      <c r="D688"/>
      <c r="E688"/>
      <c r="F688"/>
      <c r="G688"/>
      <c r="H688"/>
      <c r="I688"/>
      <c r="J688"/>
      <c r="K688"/>
      <c r="L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</row>
    <row r="689" spans="1:63">
      <c r="A689" s="70"/>
      <c r="B689"/>
      <c r="C689"/>
      <c r="D689"/>
      <c r="E689"/>
      <c r="F689"/>
      <c r="G689"/>
      <c r="H689"/>
      <c r="I689"/>
      <c r="J689"/>
      <c r="K689"/>
      <c r="L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</row>
    <row r="690" spans="1:63">
      <c r="A690" s="70"/>
      <c r="B690"/>
      <c r="C690"/>
      <c r="D690"/>
      <c r="E690"/>
      <c r="F690"/>
      <c r="G690"/>
      <c r="H690"/>
      <c r="I690"/>
      <c r="J690"/>
      <c r="K690"/>
      <c r="L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</row>
    <row r="691" spans="1:63">
      <c r="A691" s="70"/>
      <c r="B691"/>
      <c r="C691"/>
      <c r="D691"/>
      <c r="E691"/>
      <c r="F691"/>
      <c r="G691"/>
      <c r="H691"/>
      <c r="I691"/>
      <c r="J691"/>
      <c r="K691"/>
      <c r="L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</row>
    <row r="692" spans="1:63">
      <c r="A692" s="70"/>
      <c r="B692"/>
      <c r="C692"/>
      <c r="D692"/>
      <c r="E692"/>
      <c r="F692"/>
      <c r="G692"/>
      <c r="H692"/>
      <c r="I692"/>
      <c r="J692"/>
      <c r="K692"/>
      <c r="L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</row>
    <row r="693" spans="1:63">
      <c r="A693" s="70"/>
      <c r="B693"/>
      <c r="C693"/>
      <c r="D693"/>
      <c r="E693"/>
      <c r="F693"/>
      <c r="G693"/>
      <c r="H693"/>
      <c r="I693"/>
      <c r="J693"/>
      <c r="K693"/>
      <c r="L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</row>
    <row r="694" spans="1:63">
      <c r="A694" s="70"/>
      <c r="B694"/>
      <c r="C694"/>
      <c r="D694"/>
      <c r="E694"/>
      <c r="F694"/>
      <c r="G694"/>
      <c r="H694"/>
      <c r="I694"/>
      <c r="J694"/>
      <c r="K694"/>
      <c r="L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</row>
    <row r="695" spans="1:63">
      <c r="A695" s="70"/>
      <c r="B695"/>
      <c r="C695"/>
      <c r="D695"/>
      <c r="E695"/>
      <c r="F695"/>
      <c r="G695"/>
      <c r="H695"/>
      <c r="I695"/>
      <c r="J695"/>
      <c r="K695"/>
      <c r="L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</row>
    <row r="696" spans="1:63">
      <c r="A696" s="70"/>
      <c r="B696"/>
      <c r="C696"/>
      <c r="D696"/>
      <c r="E696"/>
      <c r="F696"/>
      <c r="G696"/>
      <c r="H696"/>
      <c r="I696"/>
      <c r="J696"/>
      <c r="K696"/>
      <c r="L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</row>
    <row r="697" spans="1:63">
      <c r="A697" s="70"/>
      <c r="B697"/>
      <c r="C697"/>
      <c r="D697"/>
      <c r="E697"/>
      <c r="F697"/>
      <c r="G697"/>
      <c r="H697"/>
      <c r="I697"/>
      <c r="J697"/>
      <c r="K697"/>
      <c r="L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</row>
    <row r="698" spans="1:63">
      <c r="A698" s="70"/>
      <c r="B698"/>
      <c r="C698"/>
      <c r="D698"/>
      <c r="E698"/>
      <c r="F698"/>
      <c r="G698"/>
      <c r="H698"/>
      <c r="I698"/>
      <c r="J698"/>
      <c r="K698"/>
      <c r="L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</row>
    <row r="699" spans="1:63">
      <c r="A699" s="70"/>
      <c r="B699"/>
      <c r="C699"/>
      <c r="D699"/>
      <c r="E699"/>
      <c r="F699"/>
      <c r="G699"/>
      <c r="H699"/>
      <c r="I699"/>
      <c r="J699"/>
      <c r="K699"/>
      <c r="L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</row>
    <row r="700" spans="1:63">
      <c r="A700" s="70"/>
      <c r="B700"/>
      <c r="C700"/>
      <c r="D700"/>
      <c r="E700"/>
      <c r="F700"/>
      <c r="G700"/>
      <c r="H700"/>
      <c r="I700"/>
      <c r="J700"/>
      <c r="K700"/>
      <c r="L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</row>
    <row r="701" spans="1:63">
      <c r="A701" s="70"/>
      <c r="B701"/>
      <c r="C701"/>
      <c r="D701"/>
      <c r="E701"/>
      <c r="F701"/>
      <c r="G701"/>
      <c r="H701"/>
      <c r="I701"/>
      <c r="J701"/>
      <c r="K701"/>
      <c r="L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</row>
    <row r="702" spans="1:63">
      <c r="A702" s="70"/>
      <c r="B702"/>
      <c r="C702"/>
      <c r="D702"/>
      <c r="E702"/>
      <c r="F702"/>
      <c r="G702"/>
      <c r="H702"/>
      <c r="I702"/>
      <c r="J702"/>
      <c r="K702"/>
      <c r="L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</row>
    <row r="703" spans="1:63">
      <c r="A703" s="70"/>
      <c r="B703"/>
      <c r="C703"/>
      <c r="D703"/>
      <c r="E703"/>
      <c r="F703"/>
      <c r="G703"/>
      <c r="H703"/>
      <c r="I703"/>
      <c r="J703"/>
      <c r="K703"/>
      <c r="L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</row>
    <row r="704" spans="1:63">
      <c r="A704" s="70"/>
      <c r="B704"/>
      <c r="C704"/>
      <c r="D704"/>
      <c r="E704"/>
      <c r="F704"/>
      <c r="G704"/>
      <c r="H704"/>
      <c r="I704"/>
      <c r="J704"/>
      <c r="K704"/>
      <c r="L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</row>
    <row r="705" spans="1:63">
      <c r="A705" s="70"/>
      <c r="B705"/>
      <c r="C705"/>
      <c r="D705"/>
      <c r="E705"/>
      <c r="F705"/>
      <c r="G705"/>
      <c r="H705"/>
      <c r="I705"/>
      <c r="J705"/>
      <c r="K705"/>
      <c r="L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</row>
    <row r="706" spans="1:63">
      <c r="A706" s="70"/>
      <c r="B706"/>
      <c r="C706"/>
      <c r="D706"/>
      <c r="E706"/>
      <c r="F706"/>
      <c r="G706"/>
      <c r="H706"/>
      <c r="I706"/>
      <c r="J706"/>
      <c r="K706"/>
      <c r="L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</row>
    <row r="707" spans="1:63">
      <c r="A707" s="70"/>
      <c r="B707"/>
      <c r="C707"/>
      <c r="D707"/>
      <c r="E707"/>
      <c r="F707"/>
      <c r="G707"/>
      <c r="H707"/>
      <c r="I707"/>
      <c r="J707"/>
      <c r="K707"/>
      <c r="L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</row>
    <row r="708" spans="1:63">
      <c r="A708" s="70"/>
      <c r="B708"/>
      <c r="C708"/>
      <c r="D708"/>
      <c r="E708"/>
      <c r="F708"/>
      <c r="G708"/>
      <c r="H708"/>
      <c r="I708"/>
      <c r="J708"/>
      <c r="K708"/>
      <c r="L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</row>
    <row r="709" spans="1:63">
      <c r="A709" s="70"/>
      <c r="B709"/>
      <c r="C709"/>
      <c r="D709"/>
      <c r="E709"/>
      <c r="F709"/>
      <c r="G709"/>
      <c r="H709"/>
      <c r="I709"/>
      <c r="J709"/>
      <c r="K709"/>
      <c r="L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</row>
    <row r="710" spans="1:63">
      <c r="A710" s="70"/>
      <c r="B710"/>
      <c r="C710"/>
      <c r="D710"/>
      <c r="E710"/>
      <c r="F710"/>
      <c r="G710"/>
      <c r="H710"/>
      <c r="I710"/>
      <c r="J710"/>
      <c r="K710"/>
      <c r="L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</row>
    <row r="711" spans="1:63">
      <c r="A711" s="70"/>
      <c r="B711"/>
      <c r="C711"/>
      <c r="D711"/>
      <c r="E711"/>
      <c r="F711"/>
      <c r="G711"/>
      <c r="H711"/>
      <c r="I711"/>
      <c r="J711"/>
      <c r="K711"/>
      <c r="L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</row>
    <row r="712" spans="1:63">
      <c r="A712" s="70"/>
      <c r="B712"/>
      <c r="C712"/>
      <c r="D712"/>
      <c r="E712"/>
      <c r="F712"/>
      <c r="G712"/>
      <c r="H712"/>
      <c r="I712"/>
      <c r="J712"/>
      <c r="K712"/>
      <c r="L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</row>
    <row r="713" spans="1:63">
      <c r="A713" s="70"/>
      <c r="B713"/>
      <c r="C713"/>
      <c r="D713"/>
      <c r="E713"/>
      <c r="F713"/>
      <c r="G713"/>
      <c r="H713"/>
      <c r="I713"/>
      <c r="J713"/>
      <c r="K713"/>
      <c r="L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</row>
    <row r="714" spans="1:63">
      <c r="A714" s="70"/>
      <c r="B714"/>
      <c r="C714"/>
      <c r="D714"/>
      <c r="E714"/>
      <c r="F714"/>
      <c r="G714"/>
      <c r="H714"/>
      <c r="I714"/>
      <c r="J714"/>
      <c r="K714"/>
      <c r="L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</row>
    <row r="715" spans="1:63">
      <c r="A715" s="70"/>
      <c r="B715"/>
      <c r="C715"/>
      <c r="D715"/>
      <c r="E715"/>
      <c r="F715"/>
      <c r="G715"/>
      <c r="H715"/>
      <c r="I715"/>
      <c r="J715"/>
      <c r="K715"/>
      <c r="L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</row>
    <row r="716" spans="1:63">
      <c r="A716" s="70"/>
      <c r="B716"/>
      <c r="C716"/>
      <c r="D716"/>
      <c r="E716"/>
      <c r="F716"/>
      <c r="G716"/>
      <c r="H716"/>
      <c r="I716"/>
      <c r="J716"/>
      <c r="K716"/>
      <c r="L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</row>
    <row r="717" spans="1:63">
      <c r="A717" s="70"/>
      <c r="B717"/>
      <c r="C717"/>
      <c r="D717"/>
      <c r="E717"/>
      <c r="F717"/>
      <c r="G717"/>
      <c r="H717"/>
      <c r="I717"/>
      <c r="J717"/>
      <c r="K717"/>
      <c r="L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</row>
    <row r="718" spans="1:63">
      <c r="A718" s="70"/>
      <c r="B718"/>
      <c r="C718"/>
      <c r="D718"/>
      <c r="E718"/>
      <c r="F718"/>
      <c r="G718"/>
      <c r="H718"/>
      <c r="I718"/>
      <c r="J718"/>
      <c r="K718"/>
      <c r="L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</row>
    <row r="719" spans="1:63">
      <c r="A719" s="70"/>
      <c r="B719"/>
      <c r="C719"/>
      <c r="D719"/>
      <c r="E719"/>
      <c r="F719"/>
      <c r="G719"/>
      <c r="H719"/>
      <c r="I719"/>
      <c r="J719"/>
      <c r="K719"/>
      <c r="L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</row>
    <row r="720" spans="1:63">
      <c r="A720" s="70"/>
      <c r="B720"/>
      <c r="C720"/>
      <c r="D720"/>
      <c r="E720"/>
      <c r="F720"/>
      <c r="G720"/>
      <c r="H720"/>
      <c r="I720"/>
      <c r="J720"/>
      <c r="K720"/>
      <c r="L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</row>
    <row r="721" spans="1:63">
      <c r="A721" s="70"/>
      <c r="B721"/>
      <c r="C721"/>
      <c r="D721"/>
      <c r="E721"/>
      <c r="F721"/>
      <c r="G721"/>
      <c r="H721"/>
      <c r="I721"/>
      <c r="J721"/>
      <c r="K721"/>
      <c r="L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</row>
    <row r="722" spans="1:63">
      <c r="A722" s="70"/>
      <c r="B722"/>
      <c r="C722"/>
      <c r="D722"/>
      <c r="E722"/>
      <c r="F722"/>
      <c r="G722"/>
      <c r="H722"/>
      <c r="I722"/>
      <c r="J722"/>
      <c r="K722"/>
      <c r="L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</row>
    <row r="723" spans="1:63">
      <c r="A723" s="70"/>
      <c r="B723"/>
      <c r="C723"/>
      <c r="D723"/>
      <c r="E723"/>
      <c r="F723"/>
      <c r="G723"/>
      <c r="H723"/>
      <c r="I723"/>
      <c r="J723"/>
      <c r="K723"/>
      <c r="L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</row>
    <row r="724" spans="1:63">
      <c r="A724" s="70"/>
      <c r="B724"/>
      <c r="C724"/>
      <c r="D724"/>
      <c r="E724"/>
      <c r="F724"/>
      <c r="G724"/>
      <c r="H724"/>
      <c r="I724"/>
      <c r="J724"/>
      <c r="K724"/>
      <c r="L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</row>
    <row r="725" spans="1:63">
      <c r="A725" s="70"/>
      <c r="B725"/>
      <c r="C725"/>
      <c r="D725"/>
      <c r="E725"/>
      <c r="F725"/>
      <c r="G725"/>
      <c r="H725"/>
      <c r="I725"/>
      <c r="J725"/>
      <c r="K725"/>
      <c r="L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</row>
    <row r="726" spans="1:63">
      <c r="A726" s="70"/>
      <c r="B726"/>
      <c r="C726"/>
      <c r="D726"/>
      <c r="E726"/>
      <c r="F726"/>
      <c r="G726"/>
      <c r="H726"/>
      <c r="I726"/>
      <c r="J726"/>
      <c r="K726"/>
      <c r="L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</row>
    <row r="727" spans="1:63">
      <c r="A727" s="70"/>
      <c r="B727"/>
      <c r="C727"/>
      <c r="D727"/>
      <c r="E727"/>
      <c r="F727"/>
      <c r="G727"/>
      <c r="H727"/>
      <c r="I727"/>
      <c r="J727"/>
      <c r="K727"/>
      <c r="L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</row>
    <row r="728" spans="1:63">
      <c r="A728" s="70"/>
      <c r="B728"/>
      <c r="C728"/>
      <c r="D728"/>
      <c r="E728"/>
      <c r="F728"/>
      <c r="G728"/>
      <c r="H728"/>
      <c r="I728"/>
      <c r="J728"/>
      <c r="K728"/>
      <c r="L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</row>
    <row r="729" spans="1:63">
      <c r="A729" s="70"/>
      <c r="B729"/>
      <c r="C729"/>
      <c r="D729"/>
      <c r="E729"/>
      <c r="F729"/>
      <c r="G729"/>
      <c r="H729"/>
      <c r="I729"/>
      <c r="J729"/>
      <c r="K729"/>
      <c r="L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</row>
    <row r="730" spans="1:63">
      <c r="A730" s="70"/>
      <c r="B730"/>
      <c r="C730"/>
      <c r="D730"/>
      <c r="E730"/>
      <c r="F730"/>
      <c r="G730"/>
      <c r="H730"/>
      <c r="I730"/>
      <c r="J730"/>
      <c r="K730"/>
      <c r="L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</row>
    <row r="731" spans="1:63">
      <c r="A731" s="70"/>
      <c r="B731"/>
      <c r="C731"/>
      <c r="D731"/>
      <c r="E731"/>
      <c r="F731"/>
      <c r="G731"/>
      <c r="H731"/>
      <c r="I731"/>
      <c r="J731"/>
      <c r="K731"/>
      <c r="L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</row>
    <row r="732" spans="1:63">
      <c r="A732" s="70"/>
      <c r="B732"/>
      <c r="C732"/>
      <c r="D732"/>
      <c r="E732"/>
      <c r="F732"/>
      <c r="G732"/>
      <c r="H732"/>
      <c r="I732"/>
      <c r="J732"/>
      <c r="K732"/>
      <c r="L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</row>
    <row r="733" spans="1:63">
      <c r="A733" s="70"/>
      <c r="B733"/>
      <c r="C733"/>
      <c r="D733"/>
      <c r="E733"/>
      <c r="F733"/>
      <c r="G733"/>
      <c r="H733"/>
      <c r="I733"/>
      <c r="J733"/>
      <c r="K733"/>
      <c r="L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</row>
    <row r="734" spans="1:63">
      <c r="A734" s="70"/>
      <c r="B734"/>
      <c r="C734"/>
      <c r="D734"/>
      <c r="E734"/>
      <c r="F734"/>
      <c r="G734"/>
      <c r="H734"/>
      <c r="I734"/>
      <c r="J734"/>
      <c r="K734"/>
      <c r="L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</row>
    <row r="735" spans="1:63">
      <c r="A735" s="70"/>
      <c r="B735"/>
      <c r="C735"/>
      <c r="D735"/>
      <c r="E735"/>
      <c r="F735"/>
      <c r="G735"/>
      <c r="H735"/>
      <c r="I735"/>
      <c r="J735"/>
      <c r="K735"/>
      <c r="L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</row>
    <row r="736" spans="1:63">
      <c r="A736" s="70"/>
      <c r="B736"/>
      <c r="C736"/>
      <c r="D736"/>
      <c r="E736"/>
      <c r="F736"/>
      <c r="G736"/>
      <c r="H736"/>
      <c r="I736"/>
      <c r="J736"/>
      <c r="K736"/>
      <c r="L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</row>
    <row r="737" spans="1:63">
      <c r="A737" s="70"/>
      <c r="B737"/>
      <c r="C737"/>
      <c r="D737"/>
      <c r="E737"/>
      <c r="F737"/>
      <c r="G737"/>
      <c r="H737"/>
      <c r="I737"/>
      <c r="J737"/>
      <c r="K737"/>
      <c r="L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</row>
    <row r="738" spans="1:63">
      <c r="A738" s="70"/>
      <c r="B738"/>
      <c r="C738"/>
      <c r="D738"/>
      <c r="E738"/>
      <c r="F738"/>
      <c r="G738"/>
      <c r="H738"/>
      <c r="I738"/>
      <c r="J738"/>
      <c r="K738"/>
      <c r="L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</row>
    <row r="739" spans="1:63">
      <c r="A739" s="70"/>
      <c r="B739"/>
      <c r="C739"/>
      <c r="D739"/>
      <c r="E739"/>
      <c r="F739"/>
      <c r="G739"/>
      <c r="H739"/>
      <c r="I739"/>
      <c r="J739"/>
      <c r="K739"/>
      <c r="L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</row>
    <row r="740" spans="1:63">
      <c r="A740" s="70"/>
      <c r="B740"/>
      <c r="C740"/>
      <c r="D740"/>
      <c r="E740"/>
      <c r="F740"/>
      <c r="G740"/>
      <c r="H740"/>
      <c r="I740"/>
      <c r="J740"/>
      <c r="K740"/>
      <c r="L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</row>
    <row r="741" spans="1:63">
      <c r="A741" s="70"/>
      <c r="B741"/>
      <c r="C741"/>
      <c r="D741"/>
      <c r="E741"/>
      <c r="F741"/>
      <c r="G741"/>
      <c r="H741"/>
      <c r="I741"/>
      <c r="J741"/>
      <c r="K741"/>
      <c r="L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</row>
    <row r="742" spans="1:63">
      <c r="A742" s="70"/>
      <c r="B742"/>
      <c r="C742"/>
      <c r="D742"/>
      <c r="E742"/>
      <c r="F742"/>
      <c r="G742"/>
      <c r="H742"/>
      <c r="I742"/>
      <c r="J742"/>
      <c r="K742"/>
      <c r="L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</row>
    <row r="743" spans="1:63">
      <c r="A743" s="70"/>
      <c r="B743"/>
      <c r="C743"/>
      <c r="D743"/>
      <c r="E743"/>
      <c r="F743"/>
      <c r="G743"/>
      <c r="H743"/>
      <c r="I743"/>
      <c r="J743"/>
      <c r="K743"/>
      <c r="L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</row>
    <row r="744" spans="1:63">
      <c r="A744" s="70"/>
      <c r="B744"/>
      <c r="C744"/>
      <c r="D744"/>
      <c r="E744"/>
      <c r="F744"/>
      <c r="G744"/>
      <c r="H744"/>
      <c r="I744"/>
      <c r="J744"/>
      <c r="K744"/>
      <c r="L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</row>
    <row r="745" spans="1:63">
      <c r="A745" s="70"/>
      <c r="B745"/>
      <c r="C745"/>
      <c r="D745"/>
      <c r="E745"/>
      <c r="F745"/>
      <c r="G745"/>
      <c r="H745"/>
      <c r="I745"/>
      <c r="J745"/>
      <c r="K745"/>
      <c r="L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</row>
    <row r="746" spans="1:63">
      <c r="A746" s="70"/>
      <c r="B746"/>
      <c r="C746"/>
      <c r="D746"/>
      <c r="E746"/>
      <c r="F746"/>
      <c r="G746"/>
      <c r="H746"/>
      <c r="I746"/>
      <c r="J746"/>
      <c r="K746"/>
      <c r="L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</row>
    <row r="747" spans="1:63">
      <c r="A747" s="70"/>
      <c r="B747"/>
      <c r="C747"/>
      <c r="D747"/>
      <c r="E747"/>
      <c r="F747"/>
      <c r="G747"/>
      <c r="H747"/>
      <c r="I747"/>
      <c r="J747"/>
      <c r="K747"/>
      <c r="L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</row>
    <row r="748" spans="1:63">
      <c r="A748" s="70"/>
      <c r="B748"/>
      <c r="C748"/>
      <c r="D748"/>
      <c r="E748"/>
      <c r="F748"/>
      <c r="G748"/>
      <c r="H748"/>
      <c r="I748"/>
      <c r="J748"/>
      <c r="K748"/>
      <c r="L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</row>
    <row r="749" spans="1:63">
      <c r="A749" s="70"/>
      <c r="B749"/>
      <c r="C749"/>
      <c r="D749"/>
      <c r="E749"/>
      <c r="F749"/>
      <c r="G749"/>
      <c r="H749"/>
      <c r="I749"/>
      <c r="J749"/>
      <c r="K749"/>
      <c r="L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</row>
    <row r="750" spans="1:63">
      <c r="A750" s="70"/>
      <c r="B750"/>
      <c r="C750"/>
      <c r="D750"/>
      <c r="E750"/>
      <c r="F750"/>
      <c r="G750"/>
      <c r="H750"/>
      <c r="I750"/>
      <c r="J750"/>
      <c r="K750"/>
      <c r="L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</row>
    <row r="751" spans="1:63">
      <c r="A751" s="70"/>
      <c r="B751"/>
      <c r="C751"/>
      <c r="D751"/>
      <c r="E751"/>
      <c r="F751"/>
      <c r="G751"/>
      <c r="H751"/>
      <c r="I751"/>
      <c r="J751"/>
      <c r="K751"/>
      <c r="L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</row>
    <row r="752" spans="1:63">
      <c r="A752" s="70"/>
      <c r="B752"/>
      <c r="C752"/>
      <c r="D752"/>
      <c r="E752"/>
      <c r="F752"/>
      <c r="G752"/>
      <c r="H752"/>
      <c r="I752"/>
      <c r="J752"/>
      <c r="K752"/>
      <c r="L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</row>
    <row r="753" spans="1:63">
      <c r="A753" s="70"/>
      <c r="B753"/>
      <c r="C753"/>
      <c r="D753"/>
      <c r="E753"/>
      <c r="F753"/>
      <c r="G753"/>
      <c r="H753"/>
      <c r="I753"/>
      <c r="J753"/>
      <c r="K753"/>
      <c r="L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</row>
    <row r="754" spans="1:63">
      <c r="A754" s="70"/>
      <c r="B754"/>
      <c r="C754"/>
      <c r="D754"/>
      <c r="E754"/>
      <c r="F754"/>
      <c r="G754"/>
      <c r="H754"/>
      <c r="I754"/>
      <c r="J754"/>
      <c r="K754"/>
      <c r="L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</row>
    <row r="755" spans="1:63">
      <c r="A755" s="70"/>
      <c r="B755"/>
      <c r="C755"/>
      <c r="D755"/>
      <c r="E755"/>
      <c r="F755"/>
      <c r="G755"/>
      <c r="H755"/>
      <c r="I755"/>
      <c r="J755"/>
      <c r="K755"/>
      <c r="L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</row>
    <row r="756" spans="1:63">
      <c r="A756" s="70"/>
      <c r="B756"/>
      <c r="C756"/>
      <c r="D756"/>
      <c r="E756"/>
      <c r="F756"/>
      <c r="G756"/>
      <c r="H756"/>
      <c r="I756"/>
      <c r="J756"/>
      <c r="K756"/>
      <c r="L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</row>
    <row r="757" spans="1:63">
      <c r="A757" s="70"/>
      <c r="B757"/>
      <c r="C757"/>
      <c r="D757"/>
      <c r="E757"/>
      <c r="F757"/>
      <c r="G757"/>
      <c r="H757"/>
      <c r="I757"/>
      <c r="J757"/>
      <c r="K757"/>
      <c r="L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</row>
    <row r="758" spans="1:63">
      <c r="A758" s="70"/>
      <c r="B758"/>
      <c r="C758"/>
      <c r="D758"/>
      <c r="E758"/>
      <c r="F758"/>
      <c r="G758"/>
      <c r="H758"/>
      <c r="I758"/>
      <c r="J758"/>
      <c r="K758"/>
      <c r="L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</row>
    <row r="759" spans="1:63">
      <c r="A759" s="70"/>
      <c r="B759"/>
      <c r="C759"/>
      <c r="D759"/>
      <c r="E759"/>
      <c r="F759"/>
      <c r="G759"/>
      <c r="H759"/>
      <c r="I759"/>
      <c r="J759"/>
      <c r="K759"/>
      <c r="L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</row>
    <row r="760" spans="1:63">
      <c r="A760" s="70"/>
      <c r="B760"/>
      <c r="C760"/>
      <c r="D760"/>
      <c r="E760"/>
      <c r="F760"/>
      <c r="G760"/>
      <c r="H760"/>
      <c r="I760"/>
      <c r="J760"/>
      <c r="K760"/>
      <c r="L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</row>
    <row r="761" spans="1:63">
      <c r="A761" s="70"/>
      <c r="B761"/>
      <c r="C761"/>
      <c r="D761"/>
      <c r="E761"/>
      <c r="F761"/>
      <c r="G761"/>
      <c r="H761"/>
      <c r="I761"/>
      <c r="J761"/>
      <c r="K761"/>
      <c r="L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</row>
    <row r="762" spans="1:63">
      <c r="A762" s="70"/>
      <c r="B762"/>
      <c r="C762"/>
      <c r="D762"/>
      <c r="E762"/>
      <c r="F762"/>
      <c r="G762"/>
      <c r="H762"/>
      <c r="I762"/>
      <c r="J762"/>
      <c r="K762"/>
      <c r="L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</row>
    <row r="763" spans="1:63">
      <c r="A763" s="70"/>
      <c r="B763"/>
      <c r="C763"/>
      <c r="D763"/>
      <c r="E763"/>
      <c r="F763"/>
      <c r="G763"/>
      <c r="H763"/>
      <c r="I763"/>
      <c r="J763"/>
      <c r="K763"/>
      <c r="L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</row>
    <row r="764" spans="1:63">
      <c r="A764" s="70"/>
      <c r="B764"/>
      <c r="C764"/>
      <c r="D764"/>
      <c r="E764"/>
      <c r="F764"/>
      <c r="G764"/>
      <c r="H764"/>
      <c r="I764"/>
      <c r="J764"/>
      <c r="K764"/>
      <c r="L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</row>
    <row r="765" spans="1:63">
      <c r="A765" s="70"/>
      <c r="B765"/>
      <c r="C765"/>
      <c r="D765"/>
      <c r="E765"/>
      <c r="F765"/>
      <c r="G765"/>
      <c r="H765"/>
      <c r="I765"/>
      <c r="J765"/>
      <c r="K765"/>
      <c r="L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</row>
    <row r="766" spans="1:63">
      <c r="A766" s="70"/>
      <c r="B766"/>
      <c r="C766"/>
      <c r="D766"/>
      <c r="E766"/>
      <c r="F766"/>
      <c r="G766"/>
      <c r="H766"/>
      <c r="I766"/>
      <c r="J766"/>
      <c r="K766"/>
      <c r="L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</row>
    <row r="767" spans="1:63">
      <c r="A767" s="70"/>
      <c r="B767"/>
      <c r="C767"/>
      <c r="D767"/>
      <c r="E767"/>
      <c r="F767"/>
      <c r="G767"/>
      <c r="H767"/>
      <c r="I767"/>
      <c r="J767"/>
      <c r="K767"/>
      <c r="L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</row>
    <row r="768" spans="1:63">
      <c r="A768" s="70"/>
      <c r="B768"/>
      <c r="C768"/>
      <c r="D768"/>
      <c r="E768"/>
      <c r="F768"/>
      <c r="G768"/>
      <c r="H768"/>
      <c r="I768"/>
      <c r="J768"/>
      <c r="K768"/>
      <c r="L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</row>
    <row r="769" spans="1:63">
      <c r="A769" s="70"/>
      <c r="B769"/>
      <c r="C769"/>
      <c r="D769"/>
      <c r="E769"/>
      <c r="F769"/>
      <c r="G769"/>
      <c r="H769"/>
      <c r="I769"/>
      <c r="J769"/>
      <c r="K769"/>
      <c r="L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</row>
    <row r="770" spans="1:63">
      <c r="A770" s="70"/>
      <c r="B770"/>
      <c r="C770"/>
      <c r="D770"/>
      <c r="E770"/>
      <c r="F770"/>
      <c r="G770"/>
      <c r="H770"/>
      <c r="I770"/>
      <c r="J770"/>
      <c r="K770"/>
      <c r="L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</row>
    <row r="771" spans="1:63">
      <c r="A771" s="70"/>
      <c r="B771"/>
      <c r="C771"/>
      <c r="D771"/>
      <c r="E771"/>
      <c r="F771"/>
      <c r="G771"/>
      <c r="H771"/>
      <c r="I771"/>
      <c r="J771"/>
      <c r="K771"/>
      <c r="L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</row>
    <row r="772" spans="1:63">
      <c r="A772" s="70"/>
      <c r="B772"/>
      <c r="C772"/>
      <c r="D772"/>
      <c r="E772"/>
      <c r="F772"/>
      <c r="G772"/>
      <c r="H772"/>
      <c r="I772"/>
      <c r="J772"/>
      <c r="K772"/>
      <c r="L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</row>
    <row r="773" spans="1:63">
      <c r="A773" s="70"/>
      <c r="B773"/>
      <c r="C773"/>
      <c r="D773"/>
      <c r="E773"/>
      <c r="F773"/>
      <c r="G773"/>
      <c r="H773"/>
      <c r="I773"/>
      <c r="J773"/>
      <c r="K773"/>
      <c r="L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</row>
    <row r="774" spans="1:63">
      <c r="A774" s="70"/>
      <c r="B774"/>
      <c r="C774"/>
      <c r="D774"/>
      <c r="E774"/>
      <c r="F774"/>
      <c r="G774"/>
      <c r="H774"/>
      <c r="I774"/>
      <c r="J774"/>
      <c r="K774"/>
      <c r="L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</row>
    <row r="775" spans="1:63">
      <c r="A775" s="70"/>
      <c r="B775"/>
      <c r="C775"/>
      <c r="D775"/>
      <c r="E775"/>
      <c r="F775"/>
      <c r="G775"/>
      <c r="H775"/>
      <c r="I775"/>
      <c r="J775"/>
      <c r="K775"/>
      <c r="L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</row>
    <row r="776" spans="1:63">
      <c r="A776" s="70"/>
      <c r="B776"/>
      <c r="C776"/>
      <c r="D776"/>
      <c r="E776"/>
      <c r="F776"/>
      <c r="G776"/>
      <c r="H776"/>
      <c r="I776"/>
      <c r="J776"/>
      <c r="K776"/>
      <c r="L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</row>
    <row r="777" spans="1:63">
      <c r="A777" s="70"/>
      <c r="B777"/>
      <c r="C777"/>
      <c r="D777"/>
      <c r="E777"/>
      <c r="F777"/>
      <c r="G777"/>
      <c r="H777"/>
      <c r="I777"/>
      <c r="J777"/>
      <c r="K777"/>
      <c r="L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</row>
    <row r="778" spans="1:63">
      <c r="A778" s="70"/>
      <c r="B778"/>
      <c r="C778"/>
      <c r="D778"/>
      <c r="E778"/>
      <c r="F778"/>
      <c r="G778"/>
      <c r="H778"/>
      <c r="I778"/>
      <c r="J778"/>
      <c r="K778"/>
      <c r="L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</row>
    <row r="779" spans="1:63">
      <c r="A779" s="70"/>
      <c r="B779"/>
      <c r="C779"/>
      <c r="D779"/>
      <c r="E779"/>
      <c r="F779"/>
      <c r="G779"/>
      <c r="H779"/>
      <c r="I779"/>
      <c r="J779"/>
      <c r="K779"/>
      <c r="L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</row>
    <row r="780" spans="1:63">
      <c r="A780" s="70"/>
      <c r="B780"/>
      <c r="C780"/>
      <c r="D780"/>
      <c r="E780"/>
      <c r="F780"/>
      <c r="G780"/>
      <c r="H780"/>
      <c r="I780"/>
      <c r="J780"/>
      <c r="K780"/>
      <c r="L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</row>
    <row r="781" spans="1:63">
      <c r="A781" s="70"/>
      <c r="B781"/>
      <c r="C781"/>
      <c r="D781"/>
      <c r="E781"/>
      <c r="F781"/>
      <c r="G781"/>
      <c r="H781"/>
      <c r="I781"/>
      <c r="J781"/>
      <c r="K781"/>
      <c r="L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</row>
    <row r="782" spans="1:63">
      <c r="A782" s="70"/>
      <c r="B782"/>
      <c r="C782"/>
      <c r="D782"/>
      <c r="E782"/>
      <c r="F782"/>
      <c r="G782"/>
      <c r="H782"/>
      <c r="I782"/>
      <c r="J782"/>
      <c r="K782"/>
      <c r="L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</row>
    <row r="783" spans="1:63">
      <c r="A783" s="70"/>
      <c r="B783"/>
      <c r="C783"/>
      <c r="D783"/>
      <c r="E783"/>
      <c r="F783"/>
      <c r="G783"/>
      <c r="H783"/>
      <c r="I783"/>
      <c r="J783"/>
      <c r="K783"/>
      <c r="L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</row>
    <row r="784" spans="1:63">
      <c r="A784" s="70"/>
      <c r="B784"/>
      <c r="C784"/>
      <c r="D784"/>
      <c r="E784"/>
      <c r="F784"/>
      <c r="G784"/>
      <c r="H784"/>
      <c r="I784"/>
      <c r="J784"/>
      <c r="K784"/>
      <c r="L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</row>
    <row r="785" spans="1:63">
      <c r="A785" s="70"/>
      <c r="B785"/>
      <c r="C785"/>
      <c r="D785"/>
      <c r="E785"/>
      <c r="F785"/>
      <c r="G785"/>
      <c r="H785"/>
      <c r="I785"/>
      <c r="J785"/>
      <c r="K785"/>
      <c r="L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</row>
    <row r="786" spans="1:63">
      <c r="A786" s="70"/>
      <c r="B786"/>
      <c r="C786"/>
      <c r="D786"/>
      <c r="E786"/>
      <c r="F786"/>
      <c r="G786"/>
      <c r="H786"/>
      <c r="I786"/>
      <c r="J786"/>
      <c r="K786"/>
      <c r="L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</row>
    <row r="787" spans="1:63">
      <c r="A787" s="70"/>
      <c r="B787"/>
      <c r="C787"/>
      <c r="D787"/>
      <c r="E787"/>
      <c r="F787"/>
      <c r="G787"/>
      <c r="H787"/>
      <c r="I787"/>
      <c r="J787"/>
      <c r="K787"/>
      <c r="L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</row>
    <row r="788" spans="1:63">
      <c r="A788" s="70"/>
      <c r="B788"/>
      <c r="C788"/>
      <c r="D788"/>
      <c r="E788"/>
      <c r="F788"/>
      <c r="G788"/>
      <c r="H788"/>
      <c r="I788"/>
      <c r="J788"/>
      <c r="K788"/>
      <c r="L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</row>
    <row r="789" spans="1:63">
      <c r="A789" s="70"/>
      <c r="B789"/>
      <c r="C789"/>
      <c r="D789"/>
      <c r="E789"/>
      <c r="F789"/>
      <c r="G789"/>
      <c r="H789"/>
      <c r="I789"/>
      <c r="J789"/>
      <c r="K789"/>
      <c r="L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</row>
    <row r="790" spans="1:63">
      <c r="A790" s="70"/>
      <c r="B790"/>
      <c r="C790"/>
      <c r="D790"/>
      <c r="E790"/>
      <c r="F790"/>
      <c r="G790"/>
      <c r="H790"/>
      <c r="I790"/>
      <c r="J790"/>
      <c r="K790"/>
      <c r="L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</row>
    <row r="791" spans="1:63">
      <c r="A791" s="70"/>
      <c r="B791"/>
      <c r="C791"/>
      <c r="D791"/>
      <c r="E791"/>
      <c r="F791"/>
      <c r="G791"/>
      <c r="H791"/>
      <c r="I791"/>
      <c r="J791"/>
      <c r="K791"/>
      <c r="L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</row>
    <row r="792" spans="1:63">
      <c r="A792" s="70"/>
      <c r="B792"/>
      <c r="C792"/>
      <c r="D792"/>
      <c r="E792"/>
      <c r="F792"/>
      <c r="G792"/>
      <c r="H792"/>
      <c r="I792"/>
      <c r="J792"/>
      <c r="K792"/>
      <c r="L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</row>
    <row r="793" spans="1:63">
      <c r="A793" s="70"/>
      <c r="B793"/>
      <c r="C793"/>
      <c r="D793"/>
      <c r="E793"/>
      <c r="F793"/>
      <c r="G793"/>
      <c r="H793"/>
      <c r="I793"/>
      <c r="J793"/>
      <c r="K793"/>
      <c r="L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</row>
    <row r="794" spans="1:63">
      <c r="A794" s="70"/>
      <c r="B794"/>
      <c r="C794"/>
      <c r="D794"/>
      <c r="E794"/>
      <c r="F794"/>
      <c r="G794"/>
      <c r="H794"/>
      <c r="I794"/>
      <c r="J794"/>
      <c r="K794"/>
      <c r="L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</row>
    <row r="795" spans="1:63">
      <c r="A795" s="70"/>
      <c r="B795"/>
      <c r="C795"/>
      <c r="D795"/>
      <c r="E795"/>
      <c r="F795"/>
      <c r="G795"/>
      <c r="H795"/>
      <c r="I795"/>
      <c r="J795"/>
      <c r="K795"/>
      <c r="L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</row>
    <row r="796" spans="1:63">
      <c r="A796" s="70"/>
      <c r="B796"/>
      <c r="C796"/>
      <c r="D796"/>
      <c r="E796"/>
      <c r="F796"/>
      <c r="G796"/>
      <c r="H796"/>
      <c r="I796"/>
      <c r="J796"/>
      <c r="K796"/>
      <c r="L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</row>
    <row r="797" spans="1:63">
      <c r="A797" s="70"/>
      <c r="B797"/>
      <c r="C797"/>
      <c r="D797"/>
      <c r="E797"/>
      <c r="F797"/>
      <c r="G797"/>
      <c r="H797"/>
      <c r="I797"/>
      <c r="J797"/>
      <c r="K797"/>
      <c r="L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</row>
    <row r="798" spans="1:63">
      <c r="A798" s="70"/>
      <c r="B798"/>
      <c r="C798"/>
      <c r="D798"/>
      <c r="E798"/>
      <c r="F798"/>
      <c r="G798"/>
      <c r="H798"/>
      <c r="I798"/>
      <c r="J798"/>
      <c r="K798"/>
      <c r="L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</row>
    <row r="799" spans="1:63">
      <c r="A799" s="70"/>
      <c r="B799"/>
      <c r="C799"/>
      <c r="D799"/>
      <c r="E799"/>
      <c r="F799"/>
      <c r="G799"/>
      <c r="H799"/>
      <c r="I799"/>
      <c r="J799"/>
      <c r="K799"/>
      <c r="L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</row>
    <row r="800" spans="1:63">
      <c r="A800" s="70"/>
      <c r="B800"/>
      <c r="C800"/>
      <c r="D800"/>
      <c r="E800"/>
      <c r="F800"/>
      <c r="G800"/>
      <c r="H800"/>
      <c r="I800"/>
      <c r="J800"/>
      <c r="K800"/>
      <c r="L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</row>
    <row r="801" spans="1:63">
      <c r="A801" s="70"/>
      <c r="B801"/>
      <c r="C801"/>
      <c r="D801"/>
      <c r="E801"/>
      <c r="F801"/>
      <c r="G801"/>
      <c r="H801"/>
      <c r="I801"/>
      <c r="J801"/>
      <c r="K801"/>
      <c r="L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</row>
    <row r="802" spans="1:63">
      <c r="A802" s="70"/>
      <c r="B802"/>
      <c r="C802"/>
      <c r="D802"/>
      <c r="E802"/>
      <c r="F802"/>
      <c r="G802"/>
      <c r="H802"/>
      <c r="I802"/>
      <c r="J802"/>
      <c r="K802"/>
      <c r="L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</row>
    <row r="803" spans="1:63">
      <c r="A803" s="70"/>
      <c r="B803"/>
      <c r="C803"/>
      <c r="D803"/>
      <c r="E803"/>
      <c r="F803"/>
      <c r="G803"/>
      <c r="H803"/>
      <c r="I803"/>
      <c r="J803"/>
      <c r="K803"/>
      <c r="L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</row>
    <row r="804" spans="1:63">
      <c r="A804" s="70"/>
      <c r="B804"/>
      <c r="C804"/>
      <c r="D804"/>
      <c r="E804"/>
      <c r="F804"/>
      <c r="G804"/>
      <c r="H804"/>
      <c r="I804"/>
      <c r="J804"/>
      <c r="K804"/>
      <c r="L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</row>
    <row r="805" spans="1:63">
      <c r="A805" s="70"/>
      <c r="B805"/>
      <c r="C805"/>
      <c r="D805"/>
      <c r="E805"/>
      <c r="F805"/>
      <c r="G805"/>
      <c r="H805"/>
      <c r="I805"/>
      <c r="J805"/>
      <c r="K805"/>
      <c r="L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</row>
    <row r="806" spans="1:63">
      <c r="A806" s="70"/>
      <c r="B806"/>
      <c r="C806"/>
      <c r="D806"/>
      <c r="E806"/>
      <c r="F806"/>
      <c r="G806"/>
      <c r="H806"/>
      <c r="I806"/>
      <c r="J806"/>
      <c r="K806"/>
      <c r="L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</row>
    <row r="807" spans="1:63">
      <c r="A807" s="70"/>
      <c r="B807"/>
      <c r="C807"/>
      <c r="D807"/>
      <c r="E807"/>
      <c r="F807"/>
      <c r="G807"/>
      <c r="H807"/>
      <c r="I807"/>
      <c r="J807"/>
      <c r="K807"/>
      <c r="L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</row>
    <row r="808" spans="1:63">
      <c r="A808" s="70"/>
      <c r="B808"/>
      <c r="C808"/>
      <c r="D808"/>
      <c r="E808"/>
      <c r="F808"/>
      <c r="G808"/>
      <c r="H808"/>
      <c r="I808"/>
      <c r="J808"/>
      <c r="K808"/>
      <c r="L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</row>
    <row r="809" spans="1:63">
      <c r="A809" s="70"/>
      <c r="B809"/>
      <c r="C809"/>
      <c r="D809"/>
      <c r="E809"/>
      <c r="F809"/>
      <c r="G809"/>
      <c r="H809"/>
      <c r="I809"/>
      <c r="J809"/>
      <c r="K809"/>
      <c r="L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</row>
    <row r="810" spans="1:63">
      <c r="A810" s="70"/>
      <c r="B810"/>
      <c r="C810"/>
      <c r="D810"/>
      <c r="E810"/>
      <c r="F810"/>
      <c r="G810"/>
      <c r="H810"/>
      <c r="I810"/>
      <c r="J810"/>
      <c r="K810"/>
      <c r="L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</row>
    <row r="811" spans="1:63">
      <c r="A811" s="70"/>
      <c r="B811"/>
      <c r="C811"/>
      <c r="D811"/>
      <c r="E811"/>
      <c r="F811"/>
      <c r="G811"/>
      <c r="H811"/>
      <c r="I811"/>
      <c r="J811"/>
      <c r="K811"/>
      <c r="L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</row>
    <row r="812" spans="1:63">
      <c r="A812" s="70"/>
      <c r="B812"/>
      <c r="C812"/>
      <c r="D812"/>
      <c r="E812"/>
      <c r="F812"/>
      <c r="G812"/>
      <c r="H812"/>
      <c r="I812"/>
      <c r="J812"/>
      <c r="K812"/>
      <c r="L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</row>
    <row r="813" spans="1:63">
      <c r="A813" s="70"/>
      <c r="B813"/>
      <c r="C813"/>
      <c r="D813"/>
      <c r="E813"/>
      <c r="F813"/>
      <c r="G813"/>
      <c r="H813"/>
      <c r="I813"/>
      <c r="J813"/>
      <c r="K813"/>
      <c r="L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</row>
    <row r="814" spans="1:63">
      <c r="A814" s="70"/>
      <c r="B814"/>
      <c r="C814"/>
      <c r="D814"/>
      <c r="E814"/>
      <c r="F814"/>
      <c r="G814"/>
      <c r="H814"/>
      <c r="I814"/>
      <c r="J814"/>
      <c r="K814"/>
      <c r="L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</row>
    <row r="815" spans="1:63">
      <c r="A815" s="70"/>
      <c r="B815"/>
      <c r="C815"/>
      <c r="D815"/>
      <c r="E815"/>
      <c r="F815"/>
      <c r="G815"/>
      <c r="H815"/>
      <c r="I815"/>
      <c r="J815"/>
      <c r="K815"/>
      <c r="L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</row>
    <row r="816" spans="1:63">
      <c r="A816" s="70"/>
      <c r="B816"/>
      <c r="C816"/>
      <c r="D816"/>
      <c r="E816"/>
      <c r="F816"/>
      <c r="G816"/>
      <c r="H816"/>
      <c r="I816"/>
      <c r="J816"/>
      <c r="K816"/>
      <c r="L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</row>
    <row r="817" spans="1:63">
      <c r="A817" s="70"/>
      <c r="B817"/>
      <c r="C817"/>
      <c r="D817"/>
      <c r="E817"/>
      <c r="F817"/>
      <c r="G817"/>
      <c r="H817"/>
      <c r="I817"/>
      <c r="J817"/>
      <c r="K817"/>
      <c r="L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</row>
    <row r="818" spans="1:63">
      <c r="A818" s="70"/>
      <c r="B818"/>
      <c r="C818"/>
      <c r="D818"/>
      <c r="E818"/>
      <c r="F818"/>
      <c r="G818"/>
      <c r="H818"/>
      <c r="I818"/>
      <c r="J818"/>
      <c r="K818"/>
      <c r="L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</row>
    <row r="819" spans="1:63">
      <c r="A819" s="70"/>
      <c r="B819"/>
      <c r="C819"/>
      <c r="D819"/>
      <c r="E819"/>
      <c r="F819"/>
      <c r="G819"/>
      <c r="H819"/>
      <c r="I819"/>
      <c r="J819"/>
      <c r="K819"/>
      <c r="L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</row>
    <row r="820" spans="1:63">
      <c r="A820" s="70"/>
      <c r="B820"/>
      <c r="C820"/>
      <c r="D820"/>
      <c r="E820"/>
      <c r="F820"/>
      <c r="G820"/>
      <c r="H820"/>
      <c r="I820"/>
      <c r="J820"/>
      <c r="K820"/>
      <c r="L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</row>
    <row r="821" spans="1:63">
      <c r="A821" s="70"/>
      <c r="B821"/>
      <c r="C821"/>
      <c r="D821"/>
      <c r="E821"/>
      <c r="F821"/>
      <c r="G821"/>
      <c r="H821"/>
      <c r="I821"/>
      <c r="J821"/>
      <c r="K821"/>
      <c r="L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</row>
    <row r="822" spans="1:63">
      <c r="A822" s="70"/>
      <c r="B822"/>
      <c r="C822"/>
      <c r="D822"/>
      <c r="E822"/>
      <c r="F822"/>
      <c r="G822"/>
      <c r="H822"/>
      <c r="I822"/>
      <c r="J822"/>
      <c r="K822"/>
      <c r="L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</row>
    <row r="823" spans="1:63">
      <c r="A823" s="70"/>
      <c r="B823"/>
      <c r="C823"/>
      <c r="D823"/>
      <c r="E823"/>
      <c r="F823"/>
      <c r="G823"/>
      <c r="H823"/>
      <c r="I823"/>
      <c r="J823"/>
      <c r="K823"/>
      <c r="L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</row>
    <row r="824" spans="1:63">
      <c r="A824" s="70"/>
      <c r="B824"/>
      <c r="C824"/>
      <c r="D824"/>
      <c r="E824"/>
      <c r="F824"/>
      <c r="G824"/>
      <c r="H824"/>
      <c r="I824"/>
      <c r="J824"/>
      <c r="K824"/>
      <c r="L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</row>
    <row r="825" spans="1:63">
      <c r="A825" s="70"/>
      <c r="B825"/>
      <c r="C825"/>
      <c r="D825"/>
      <c r="E825"/>
      <c r="F825"/>
      <c r="G825"/>
      <c r="H825"/>
      <c r="I825"/>
      <c r="J825"/>
      <c r="K825"/>
      <c r="L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</row>
    <row r="826" spans="1:63">
      <c r="A826" s="70"/>
      <c r="B826"/>
      <c r="C826"/>
      <c r="D826"/>
      <c r="E826"/>
      <c r="F826"/>
      <c r="G826"/>
      <c r="H826"/>
      <c r="I826"/>
      <c r="J826"/>
      <c r="K826"/>
      <c r="L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</row>
    <row r="827" spans="1:63">
      <c r="A827" s="70"/>
      <c r="B827"/>
      <c r="C827"/>
      <c r="D827"/>
      <c r="E827"/>
      <c r="F827"/>
      <c r="G827"/>
      <c r="H827"/>
      <c r="I827"/>
      <c r="J827"/>
      <c r="K827"/>
      <c r="L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</row>
    <row r="828" spans="1:63">
      <c r="A828" s="70"/>
      <c r="B828"/>
      <c r="C828"/>
      <c r="D828"/>
      <c r="E828"/>
      <c r="F828"/>
      <c r="G828"/>
      <c r="H828"/>
      <c r="I828"/>
      <c r="J828"/>
      <c r="K828"/>
      <c r="L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</row>
    <row r="829" spans="1:63">
      <c r="A829" s="70"/>
      <c r="B829"/>
      <c r="C829"/>
      <c r="D829"/>
      <c r="E829"/>
      <c r="F829"/>
      <c r="G829"/>
      <c r="H829"/>
      <c r="I829"/>
      <c r="J829"/>
      <c r="K829"/>
      <c r="L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</row>
    <row r="830" spans="1:63">
      <c r="A830" s="70"/>
      <c r="B830"/>
      <c r="C830"/>
      <c r="D830"/>
      <c r="E830"/>
      <c r="F830"/>
      <c r="G830"/>
      <c r="H830"/>
      <c r="I830"/>
      <c r="J830"/>
      <c r="K830"/>
      <c r="L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</row>
    <row r="831" spans="1:63">
      <c r="A831" s="70"/>
      <c r="B831"/>
      <c r="C831"/>
      <c r="D831"/>
      <c r="E831"/>
      <c r="F831"/>
      <c r="G831"/>
      <c r="H831"/>
      <c r="I831"/>
      <c r="J831"/>
      <c r="K831"/>
      <c r="L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</row>
    <row r="832" spans="1:63">
      <c r="A832" s="70"/>
      <c r="B832"/>
      <c r="C832"/>
      <c r="D832"/>
      <c r="E832"/>
      <c r="F832"/>
      <c r="G832"/>
      <c r="H832"/>
      <c r="I832"/>
      <c r="J832"/>
      <c r="K832"/>
      <c r="L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</row>
    <row r="833" spans="1:63">
      <c r="A833" s="70"/>
      <c r="B833"/>
      <c r="C833"/>
      <c r="D833"/>
      <c r="E833"/>
      <c r="F833"/>
      <c r="G833"/>
      <c r="H833"/>
      <c r="I833"/>
      <c r="J833"/>
      <c r="K833"/>
      <c r="L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</row>
    <row r="834" spans="1:63">
      <c r="A834" s="70"/>
      <c r="B834"/>
      <c r="C834"/>
      <c r="D834"/>
      <c r="E834"/>
      <c r="F834"/>
      <c r="G834"/>
      <c r="H834"/>
      <c r="I834"/>
      <c r="J834"/>
      <c r="K834"/>
      <c r="L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</row>
    <row r="835" spans="1:63">
      <c r="A835" s="70"/>
      <c r="B835"/>
      <c r="C835"/>
      <c r="D835"/>
      <c r="E835"/>
      <c r="F835"/>
      <c r="G835"/>
      <c r="H835"/>
      <c r="I835"/>
      <c r="J835"/>
      <c r="K835"/>
      <c r="L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</row>
    <row r="836" spans="1:63">
      <c r="A836" s="70"/>
      <c r="B836"/>
      <c r="C836"/>
      <c r="D836"/>
      <c r="E836"/>
      <c r="F836"/>
      <c r="G836"/>
      <c r="H836"/>
      <c r="I836"/>
      <c r="J836"/>
      <c r="K836"/>
      <c r="L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</row>
    <row r="837" spans="1:63">
      <c r="A837" s="70"/>
      <c r="B837"/>
      <c r="C837"/>
      <c r="D837"/>
      <c r="E837"/>
      <c r="F837"/>
      <c r="G837"/>
      <c r="H837"/>
      <c r="I837"/>
      <c r="J837"/>
      <c r="K837"/>
      <c r="L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</row>
    <row r="838" spans="1:63">
      <c r="A838" s="70"/>
      <c r="B838"/>
      <c r="C838"/>
      <c r="D838"/>
      <c r="E838"/>
      <c r="F838"/>
      <c r="G838"/>
      <c r="H838"/>
      <c r="I838"/>
      <c r="J838"/>
      <c r="K838"/>
      <c r="L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</row>
    <row r="839" spans="1:63">
      <c r="A839" s="70"/>
      <c r="B839"/>
      <c r="C839"/>
      <c r="D839"/>
      <c r="E839"/>
      <c r="F839"/>
      <c r="G839"/>
      <c r="H839"/>
      <c r="I839"/>
      <c r="J839"/>
      <c r="K839"/>
      <c r="L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</row>
    <row r="840" spans="1:63">
      <c r="A840" s="70"/>
      <c r="B840"/>
      <c r="C840"/>
      <c r="D840"/>
      <c r="E840"/>
      <c r="F840"/>
      <c r="G840"/>
      <c r="H840"/>
      <c r="I840"/>
      <c r="J840"/>
      <c r="K840"/>
      <c r="L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</row>
    <row r="841" spans="1:63">
      <c r="A841" s="70"/>
      <c r="B841"/>
      <c r="C841"/>
      <c r="D841"/>
      <c r="E841"/>
      <c r="F841"/>
      <c r="G841"/>
      <c r="H841"/>
      <c r="I841"/>
      <c r="J841"/>
      <c r="K841"/>
      <c r="L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</row>
    <row r="842" spans="1:63">
      <c r="A842" s="70"/>
      <c r="B842"/>
      <c r="C842"/>
      <c r="D842"/>
      <c r="E842"/>
      <c r="F842"/>
      <c r="G842"/>
      <c r="H842"/>
      <c r="I842"/>
      <c r="J842"/>
      <c r="K842"/>
      <c r="L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</row>
    <row r="843" spans="1:63">
      <c r="A843" s="70"/>
      <c r="B843"/>
      <c r="C843"/>
      <c r="D843"/>
      <c r="E843"/>
      <c r="F843"/>
      <c r="G843"/>
      <c r="H843"/>
      <c r="I843"/>
      <c r="J843"/>
      <c r="K843"/>
      <c r="L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</row>
    <row r="844" spans="1:63">
      <c r="A844" s="70"/>
      <c r="B844"/>
      <c r="C844"/>
      <c r="D844"/>
      <c r="E844"/>
      <c r="F844"/>
      <c r="G844"/>
      <c r="H844"/>
      <c r="I844"/>
      <c r="J844"/>
      <c r="K844"/>
      <c r="L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</row>
    <row r="845" spans="1:63">
      <c r="A845" s="70"/>
      <c r="B845"/>
      <c r="C845"/>
      <c r="D845"/>
      <c r="E845"/>
      <c r="F845"/>
      <c r="G845"/>
      <c r="H845"/>
      <c r="I845"/>
      <c r="J845"/>
      <c r="K845"/>
      <c r="L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</row>
    <row r="846" spans="1:63">
      <c r="A846" s="70"/>
      <c r="B846"/>
      <c r="C846"/>
      <c r="D846"/>
      <c r="E846"/>
      <c r="F846"/>
      <c r="G846"/>
      <c r="H846"/>
      <c r="I846"/>
      <c r="J846"/>
      <c r="K846"/>
      <c r="L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</row>
    <row r="847" spans="1:63">
      <c r="A847" s="70"/>
      <c r="B847"/>
      <c r="C847"/>
      <c r="D847"/>
      <c r="E847"/>
      <c r="F847"/>
      <c r="G847"/>
      <c r="H847"/>
      <c r="I847"/>
      <c r="J847"/>
      <c r="K847"/>
      <c r="L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</row>
    <row r="848" spans="1:63">
      <c r="A848" s="70"/>
      <c r="B848"/>
      <c r="C848"/>
      <c r="D848"/>
      <c r="E848"/>
      <c r="F848"/>
      <c r="G848"/>
      <c r="H848"/>
      <c r="I848"/>
      <c r="J848"/>
      <c r="K848"/>
      <c r="L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</row>
    <row r="849" spans="1:63">
      <c r="A849" s="70"/>
      <c r="B849"/>
      <c r="C849"/>
      <c r="D849"/>
      <c r="E849"/>
      <c r="F849"/>
      <c r="G849"/>
      <c r="H849"/>
      <c r="I849"/>
      <c r="J849"/>
      <c r="K849"/>
      <c r="L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</row>
    <row r="850" spans="1:63">
      <c r="A850" s="70"/>
      <c r="B850"/>
      <c r="C850"/>
      <c r="D850"/>
      <c r="E850"/>
      <c r="F850"/>
      <c r="G850"/>
      <c r="H850"/>
      <c r="I850"/>
      <c r="J850"/>
      <c r="K850"/>
      <c r="L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</row>
    <row r="851" spans="1:63">
      <c r="A851" s="70"/>
      <c r="B851"/>
      <c r="C851"/>
      <c r="D851"/>
      <c r="E851"/>
      <c r="F851"/>
      <c r="G851"/>
      <c r="H851"/>
      <c r="I851"/>
      <c r="J851"/>
      <c r="K851"/>
      <c r="L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</row>
    <row r="852" spans="1:63">
      <c r="A852" s="70"/>
      <c r="B852"/>
      <c r="C852"/>
      <c r="D852"/>
      <c r="E852"/>
      <c r="F852"/>
      <c r="G852"/>
      <c r="H852"/>
      <c r="I852"/>
      <c r="J852"/>
      <c r="K852"/>
      <c r="L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</row>
    <row r="853" spans="1:63">
      <c r="A853" s="70"/>
      <c r="B853"/>
      <c r="C853"/>
      <c r="D853"/>
      <c r="E853"/>
      <c r="F853"/>
      <c r="G853"/>
      <c r="H853"/>
      <c r="I853"/>
      <c r="J853"/>
      <c r="K853"/>
      <c r="L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</row>
    <row r="854" spans="1:63">
      <c r="A854" s="70"/>
      <c r="B854"/>
      <c r="C854"/>
      <c r="D854"/>
      <c r="E854"/>
      <c r="F854"/>
      <c r="G854"/>
      <c r="H854"/>
      <c r="I854"/>
      <c r="J854"/>
      <c r="K854"/>
      <c r="L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</row>
    <row r="855" spans="1:63">
      <c r="A855" s="70"/>
      <c r="B855"/>
      <c r="C855"/>
      <c r="D855"/>
      <c r="E855"/>
      <c r="F855"/>
      <c r="G855"/>
      <c r="H855"/>
      <c r="I855"/>
      <c r="J855"/>
      <c r="K855"/>
      <c r="L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</row>
    <row r="856" spans="1:63">
      <c r="A856" s="70"/>
      <c r="B856"/>
      <c r="C856"/>
      <c r="D856"/>
      <c r="E856"/>
      <c r="F856"/>
      <c r="G856"/>
      <c r="H856"/>
      <c r="I856"/>
      <c r="J856"/>
      <c r="K856"/>
      <c r="L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</row>
    <row r="857" spans="1:63">
      <c r="A857" s="70"/>
      <c r="B857"/>
      <c r="C857"/>
      <c r="D857"/>
      <c r="E857"/>
      <c r="F857"/>
      <c r="G857"/>
      <c r="H857"/>
      <c r="I857"/>
      <c r="J857"/>
      <c r="K857"/>
      <c r="L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</row>
    <row r="858" spans="1:63">
      <c r="A858" s="70"/>
      <c r="B858"/>
      <c r="C858"/>
      <c r="D858"/>
      <c r="E858"/>
      <c r="F858"/>
      <c r="G858"/>
      <c r="H858"/>
      <c r="I858"/>
      <c r="J858"/>
      <c r="K858"/>
      <c r="L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</row>
    <row r="859" spans="1:63">
      <c r="A859" s="70"/>
      <c r="B859"/>
      <c r="C859"/>
      <c r="D859"/>
      <c r="E859"/>
      <c r="F859"/>
      <c r="G859"/>
      <c r="H859"/>
      <c r="I859"/>
      <c r="J859"/>
      <c r="K859"/>
      <c r="L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</row>
    <row r="860" spans="1:63">
      <c r="A860" s="70"/>
      <c r="B860"/>
      <c r="C860"/>
      <c r="D860"/>
      <c r="E860"/>
      <c r="F860"/>
      <c r="G860"/>
      <c r="H860"/>
      <c r="I860"/>
      <c r="J860"/>
      <c r="K860"/>
      <c r="L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</row>
    <row r="861" spans="1:63">
      <c r="A861" s="70"/>
      <c r="B861"/>
      <c r="C861"/>
      <c r="D861"/>
      <c r="E861"/>
      <c r="F861"/>
      <c r="G861"/>
      <c r="H861"/>
      <c r="I861"/>
      <c r="J861"/>
      <c r="K861"/>
      <c r="L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</row>
    <row r="862" spans="1:63">
      <c r="A862" s="70"/>
      <c r="B862"/>
      <c r="C862"/>
      <c r="D862"/>
      <c r="E862"/>
      <c r="F862"/>
      <c r="G862"/>
      <c r="H862"/>
      <c r="I862"/>
      <c r="J862"/>
      <c r="K862"/>
      <c r="L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</row>
    <row r="863" spans="1:63">
      <c r="A863" s="70"/>
      <c r="B863"/>
      <c r="C863"/>
      <c r="D863"/>
      <c r="E863"/>
      <c r="F863"/>
      <c r="G863"/>
      <c r="H863"/>
      <c r="I863"/>
      <c r="J863"/>
      <c r="K863"/>
      <c r="L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</row>
    <row r="864" spans="1:63">
      <c r="A864" s="70"/>
      <c r="B864"/>
      <c r="C864"/>
      <c r="D864"/>
      <c r="E864"/>
      <c r="F864"/>
      <c r="G864"/>
      <c r="H864"/>
      <c r="I864"/>
      <c r="J864"/>
      <c r="K864"/>
      <c r="L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</row>
    <row r="865" spans="1:63">
      <c r="A865" s="70"/>
      <c r="B865"/>
      <c r="C865"/>
      <c r="D865"/>
      <c r="E865"/>
      <c r="F865"/>
      <c r="G865"/>
      <c r="H865"/>
      <c r="I865"/>
      <c r="J865"/>
      <c r="K865"/>
      <c r="L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</row>
    <row r="866" spans="1:63">
      <c r="A866" s="70"/>
      <c r="B866"/>
      <c r="C866"/>
      <c r="D866"/>
      <c r="E866"/>
      <c r="F866"/>
      <c r="G866"/>
      <c r="H866"/>
      <c r="I866"/>
      <c r="J866"/>
      <c r="K866"/>
      <c r="L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</row>
    <row r="867" spans="1:63">
      <c r="A867" s="70"/>
      <c r="B867"/>
      <c r="C867"/>
      <c r="D867"/>
      <c r="E867"/>
      <c r="F867"/>
      <c r="G867"/>
      <c r="H867"/>
      <c r="I867"/>
      <c r="J867"/>
      <c r="K867"/>
      <c r="L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</row>
    <row r="868" spans="1:63">
      <c r="A868" s="70"/>
      <c r="B868"/>
      <c r="C868"/>
      <c r="D868"/>
      <c r="E868"/>
      <c r="F868"/>
      <c r="G868"/>
      <c r="H868"/>
      <c r="I868"/>
      <c r="J868"/>
      <c r="K868"/>
      <c r="L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</row>
    <row r="869" spans="1:63">
      <c r="A869" s="70"/>
      <c r="B869"/>
      <c r="C869"/>
      <c r="D869"/>
      <c r="E869"/>
      <c r="F869"/>
      <c r="G869"/>
      <c r="H869"/>
      <c r="I869"/>
      <c r="J869"/>
      <c r="K869"/>
      <c r="L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</row>
    <row r="870" spans="1:63">
      <c r="A870" s="70"/>
      <c r="B870"/>
      <c r="C870"/>
      <c r="D870"/>
      <c r="E870"/>
      <c r="F870"/>
      <c r="G870"/>
      <c r="H870"/>
      <c r="I870"/>
      <c r="J870"/>
      <c r="K870"/>
      <c r="L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</row>
    <row r="871" spans="1:63">
      <c r="A871" s="70"/>
      <c r="B871"/>
      <c r="C871"/>
      <c r="D871"/>
      <c r="E871"/>
      <c r="F871"/>
      <c r="G871"/>
      <c r="H871"/>
      <c r="I871"/>
      <c r="J871"/>
      <c r="K871"/>
      <c r="L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</row>
    <row r="872" spans="1:63">
      <c r="A872" s="70"/>
      <c r="B872"/>
      <c r="C872"/>
      <c r="D872"/>
      <c r="E872"/>
      <c r="F872"/>
      <c r="G872"/>
      <c r="H872"/>
      <c r="I872"/>
      <c r="J872"/>
      <c r="K872"/>
      <c r="L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</row>
    <row r="873" spans="1:63">
      <c r="A873" s="70"/>
      <c r="B873"/>
      <c r="C873"/>
      <c r="D873"/>
      <c r="E873"/>
      <c r="F873"/>
      <c r="G873"/>
      <c r="H873"/>
      <c r="I873"/>
      <c r="J873"/>
      <c r="K873"/>
      <c r="L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</row>
    <row r="874" spans="1:63">
      <c r="A874" s="70"/>
      <c r="B874"/>
      <c r="C874"/>
      <c r="D874"/>
      <c r="E874"/>
      <c r="F874"/>
      <c r="G874"/>
      <c r="H874"/>
      <c r="I874"/>
      <c r="J874"/>
      <c r="K874"/>
      <c r="L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</row>
    <row r="875" spans="1:63">
      <c r="A875" s="70"/>
      <c r="B875"/>
      <c r="C875"/>
      <c r="D875"/>
      <c r="E875"/>
      <c r="F875"/>
      <c r="G875"/>
      <c r="H875"/>
      <c r="I875"/>
      <c r="J875"/>
      <c r="K875"/>
      <c r="L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</row>
    <row r="876" spans="1:63">
      <c r="A876" s="70"/>
      <c r="B876"/>
      <c r="C876"/>
      <c r="D876"/>
      <c r="E876"/>
      <c r="F876"/>
      <c r="G876"/>
      <c r="H876"/>
      <c r="I876"/>
      <c r="J876"/>
      <c r="K876"/>
      <c r="L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</row>
    <row r="877" spans="1:63">
      <c r="A877" s="70"/>
      <c r="B877"/>
      <c r="C877"/>
      <c r="D877"/>
      <c r="E877"/>
      <c r="F877"/>
      <c r="G877"/>
      <c r="H877"/>
      <c r="I877"/>
      <c r="J877"/>
      <c r="K877"/>
      <c r="L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</row>
    <row r="878" spans="1:63">
      <c r="A878" s="70"/>
      <c r="B878"/>
      <c r="C878"/>
      <c r="D878"/>
      <c r="E878"/>
      <c r="F878"/>
      <c r="G878"/>
      <c r="H878"/>
      <c r="I878"/>
      <c r="J878"/>
      <c r="K878"/>
      <c r="L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</row>
    <row r="879" spans="1:63">
      <c r="A879" s="70"/>
      <c r="B879"/>
      <c r="C879"/>
      <c r="D879"/>
      <c r="E879"/>
      <c r="F879"/>
      <c r="G879"/>
      <c r="H879"/>
      <c r="I879"/>
      <c r="J879"/>
      <c r="K879"/>
      <c r="L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</row>
    <row r="880" spans="1:63">
      <c r="A880" s="70"/>
      <c r="B880"/>
      <c r="C880"/>
      <c r="D880"/>
      <c r="E880"/>
      <c r="F880"/>
      <c r="G880"/>
      <c r="H880"/>
      <c r="I880"/>
      <c r="J880"/>
      <c r="K880"/>
      <c r="L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</row>
    <row r="881" spans="1:63">
      <c r="A881" s="70"/>
      <c r="B881"/>
      <c r="C881"/>
      <c r="D881"/>
      <c r="E881"/>
      <c r="F881"/>
      <c r="G881"/>
      <c r="H881"/>
      <c r="I881"/>
      <c r="J881"/>
      <c r="K881"/>
      <c r="L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</row>
    <row r="882" spans="1:63">
      <c r="A882" s="70"/>
      <c r="B882"/>
      <c r="C882"/>
      <c r="D882"/>
      <c r="E882"/>
      <c r="F882"/>
      <c r="G882"/>
      <c r="H882"/>
      <c r="I882"/>
      <c r="J882"/>
      <c r="K882"/>
      <c r="L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</row>
    <row r="883" spans="1:63">
      <c r="A883" s="70"/>
      <c r="B883"/>
      <c r="C883"/>
      <c r="D883"/>
      <c r="E883"/>
      <c r="F883"/>
      <c r="G883"/>
      <c r="H883"/>
      <c r="I883"/>
      <c r="J883"/>
      <c r="K883"/>
      <c r="L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</row>
    <row r="884" spans="1:63">
      <c r="A884" s="70"/>
      <c r="B884"/>
      <c r="C884"/>
      <c r="D884"/>
      <c r="E884"/>
      <c r="F884"/>
      <c r="G884"/>
      <c r="H884"/>
      <c r="I884"/>
      <c r="J884"/>
      <c r="K884"/>
      <c r="L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</row>
    <row r="885" spans="1:63">
      <c r="A885" s="70"/>
      <c r="B885"/>
      <c r="C885"/>
      <c r="D885"/>
      <c r="E885"/>
      <c r="F885"/>
      <c r="G885"/>
      <c r="H885"/>
      <c r="I885"/>
      <c r="J885"/>
      <c r="K885"/>
      <c r="L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</row>
    <row r="886" spans="1:63">
      <c r="A886" s="70"/>
      <c r="B886"/>
      <c r="C886"/>
      <c r="D886"/>
      <c r="E886"/>
      <c r="F886"/>
      <c r="G886"/>
      <c r="H886"/>
      <c r="I886"/>
      <c r="J886"/>
      <c r="K886"/>
      <c r="L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</row>
    <row r="887" spans="1:63">
      <c r="A887" s="70"/>
      <c r="B887"/>
      <c r="C887"/>
      <c r="D887"/>
      <c r="E887"/>
      <c r="F887"/>
      <c r="G887"/>
      <c r="H887"/>
      <c r="I887"/>
      <c r="J887"/>
      <c r="K887"/>
      <c r="L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</row>
    <row r="888" spans="1:63">
      <c r="A888" s="70"/>
      <c r="B888"/>
      <c r="C888"/>
      <c r="D888"/>
      <c r="E888"/>
      <c r="F888"/>
      <c r="G888"/>
      <c r="H888"/>
      <c r="I888"/>
      <c r="J888"/>
      <c r="K888"/>
      <c r="L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</row>
    <row r="889" spans="1:63">
      <c r="A889" s="70"/>
      <c r="B889"/>
      <c r="C889"/>
      <c r="D889"/>
      <c r="E889"/>
      <c r="F889"/>
      <c r="G889"/>
      <c r="H889"/>
      <c r="I889"/>
      <c r="J889"/>
      <c r="K889"/>
      <c r="L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</row>
    <row r="890" spans="1:63">
      <c r="A890" s="70"/>
      <c r="B890"/>
      <c r="C890"/>
      <c r="D890"/>
      <c r="E890"/>
      <c r="F890"/>
      <c r="G890"/>
      <c r="H890"/>
      <c r="I890"/>
      <c r="J890"/>
      <c r="K890"/>
      <c r="L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</row>
    <row r="891" spans="1:63">
      <c r="A891" s="70"/>
      <c r="B891"/>
      <c r="C891"/>
      <c r="D891"/>
      <c r="E891"/>
      <c r="F891"/>
      <c r="G891"/>
      <c r="H891"/>
      <c r="I891"/>
      <c r="J891"/>
      <c r="K891"/>
      <c r="L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</row>
    <row r="892" spans="1:63">
      <c r="A892" s="70"/>
      <c r="B892"/>
      <c r="C892"/>
      <c r="D892"/>
      <c r="E892"/>
      <c r="F892"/>
      <c r="G892"/>
      <c r="H892"/>
      <c r="I892"/>
      <c r="J892"/>
      <c r="K892"/>
      <c r="L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</row>
    <row r="893" spans="1:63">
      <c r="A893" s="70"/>
      <c r="B893"/>
      <c r="C893"/>
      <c r="D893"/>
      <c r="E893"/>
      <c r="F893"/>
      <c r="G893"/>
      <c r="H893"/>
      <c r="I893"/>
      <c r="J893"/>
      <c r="K893"/>
      <c r="L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</row>
    <row r="894" spans="1:63">
      <c r="A894" s="70"/>
      <c r="B894"/>
      <c r="C894"/>
      <c r="D894"/>
      <c r="E894"/>
      <c r="F894"/>
      <c r="G894"/>
      <c r="H894"/>
      <c r="I894"/>
      <c r="J894"/>
      <c r="K894"/>
      <c r="L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</row>
    <row r="895" spans="1:63">
      <c r="A895" s="70"/>
      <c r="B895"/>
      <c r="C895"/>
      <c r="D895"/>
      <c r="E895"/>
      <c r="F895"/>
      <c r="G895"/>
      <c r="H895"/>
      <c r="I895"/>
      <c r="J895"/>
      <c r="K895"/>
      <c r="L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</row>
    <row r="896" spans="1:63">
      <c r="A896" s="70"/>
      <c r="B896"/>
      <c r="C896"/>
      <c r="D896"/>
      <c r="E896"/>
      <c r="F896"/>
      <c r="G896"/>
      <c r="H896"/>
      <c r="I896"/>
      <c r="J896"/>
      <c r="K896"/>
      <c r="L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</row>
    <row r="897" spans="1:63">
      <c r="A897" s="70"/>
      <c r="B897"/>
      <c r="C897"/>
      <c r="D897"/>
      <c r="E897"/>
      <c r="F897"/>
      <c r="G897"/>
      <c r="H897"/>
      <c r="I897"/>
      <c r="J897"/>
      <c r="K897"/>
      <c r="L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</row>
    <row r="898" spans="1:63">
      <c r="A898" s="70"/>
      <c r="B898"/>
      <c r="C898"/>
      <c r="D898"/>
      <c r="E898"/>
      <c r="F898"/>
      <c r="G898"/>
      <c r="H898"/>
      <c r="I898"/>
      <c r="J898"/>
      <c r="K898"/>
      <c r="L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</row>
    <row r="899" spans="1:63">
      <c r="A899" s="70"/>
      <c r="B899"/>
      <c r="C899"/>
      <c r="D899"/>
      <c r="E899"/>
      <c r="F899"/>
      <c r="G899"/>
      <c r="H899"/>
      <c r="I899"/>
      <c r="J899"/>
      <c r="K899"/>
      <c r="L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</row>
    <row r="900" spans="1:63">
      <c r="A900" s="70"/>
      <c r="B900"/>
      <c r="C900"/>
      <c r="D900"/>
      <c r="E900"/>
      <c r="F900"/>
      <c r="G900"/>
      <c r="H900"/>
      <c r="I900"/>
      <c r="J900"/>
      <c r="K900"/>
      <c r="L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</row>
    <row r="901" spans="1:63">
      <c r="A901" s="70"/>
      <c r="B901"/>
      <c r="C901"/>
      <c r="D901"/>
      <c r="E901"/>
      <c r="F901"/>
      <c r="G901"/>
      <c r="H901"/>
      <c r="I901"/>
      <c r="J901"/>
      <c r="K901"/>
      <c r="L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</row>
    <row r="902" spans="1:63">
      <c r="A902" s="70"/>
      <c r="B902"/>
      <c r="C902"/>
      <c r="D902"/>
      <c r="E902"/>
      <c r="F902"/>
      <c r="G902"/>
      <c r="H902"/>
      <c r="I902"/>
      <c r="J902"/>
      <c r="K902"/>
      <c r="L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</row>
    <row r="903" spans="1:63">
      <c r="A903" s="70"/>
      <c r="B903"/>
      <c r="C903"/>
      <c r="D903"/>
      <c r="E903"/>
      <c r="F903"/>
      <c r="G903"/>
      <c r="H903"/>
      <c r="I903"/>
      <c r="J903"/>
      <c r="K903"/>
      <c r="L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</row>
    <row r="904" spans="1:63">
      <c r="A904" s="70"/>
      <c r="B904"/>
      <c r="C904"/>
      <c r="D904"/>
      <c r="E904"/>
      <c r="F904"/>
      <c r="G904"/>
      <c r="H904"/>
      <c r="I904"/>
      <c r="J904"/>
      <c r="K904"/>
      <c r="L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</row>
    <row r="905" spans="1:63">
      <c r="A905" s="70"/>
      <c r="B905"/>
      <c r="C905"/>
      <c r="D905"/>
      <c r="E905"/>
      <c r="F905"/>
      <c r="G905"/>
      <c r="H905"/>
      <c r="I905"/>
      <c r="J905"/>
      <c r="K905"/>
      <c r="L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</row>
    <row r="906" spans="1:63">
      <c r="A906" s="70"/>
      <c r="B906"/>
      <c r="C906"/>
      <c r="D906"/>
      <c r="E906"/>
      <c r="F906"/>
      <c r="G906"/>
      <c r="H906"/>
      <c r="I906"/>
      <c r="J906"/>
      <c r="K906"/>
      <c r="L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</row>
    <row r="907" spans="1:63">
      <c r="A907" s="70"/>
      <c r="B907"/>
      <c r="C907"/>
      <c r="D907"/>
      <c r="E907"/>
      <c r="F907"/>
      <c r="G907"/>
      <c r="H907"/>
      <c r="I907"/>
      <c r="J907"/>
      <c r="K907"/>
      <c r="L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</row>
    <row r="908" spans="1:63">
      <c r="A908" s="70"/>
      <c r="B908"/>
      <c r="C908"/>
      <c r="D908"/>
      <c r="E908"/>
      <c r="F908"/>
      <c r="G908"/>
      <c r="H908"/>
      <c r="I908"/>
      <c r="J908"/>
      <c r="K908"/>
      <c r="L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</row>
    <row r="909" spans="1:63">
      <c r="A909" s="70"/>
      <c r="B909"/>
      <c r="C909"/>
      <c r="D909"/>
      <c r="E909"/>
      <c r="F909"/>
      <c r="G909"/>
      <c r="H909"/>
      <c r="I909"/>
      <c r="J909"/>
      <c r="K909"/>
      <c r="L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</row>
    <row r="910" spans="1:63">
      <c r="A910" s="70"/>
      <c r="B910"/>
      <c r="C910"/>
      <c r="D910"/>
      <c r="E910"/>
      <c r="F910"/>
      <c r="G910"/>
      <c r="H910"/>
      <c r="I910"/>
      <c r="J910"/>
      <c r="K910"/>
      <c r="L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</row>
    <row r="911" spans="1:63">
      <c r="A911" s="70"/>
      <c r="B911"/>
      <c r="C911"/>
      <c r="D911"/>
      <c r="E911"/>
      <c r="F911"/>
      <c r="G911"/>
      <c r="H911"/>
      <c r="I911"/>
      <c r="J911"/>
      <c r="K911"/>
      <c r="L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</row>
    <row r="912" spans="1:63">
      <c r="A912" s="70"/>
      <c r="B912"/>
      <c r="C912"/>
      <c r="D912"/>
      <c r="E912"/>
      <c r="F912"/>
      <c r="G912"/>
      <c r="H912"/>
      <c r="I912"/>
      <c r="J912"/>
      <c r="K912"/>
      <c r="L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</row>
    <row r="913" spans="1:63">
      <c r="A913" s="70"/>
      <c r="B913"/>
      <c r="C913"/>
      <c r="D913"/>
      <c r="E913"/>
      <c r="F913"/>
      <c r="G913"/>
      <c r="H913"/>
      <c r="I913"/>
      <c r="J913"/>
      <c r="K913"/>
      <c r="L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</row>
    <row r="914" spans="1:63">
      <c r="A914" s="70"/>
      <c r="B914"/>
      <c r="C914"/>
      <c r="D914"/>
      <c r="E914"/>
      <c r="F914"/>
      <c r="G914"/>
      <c r="H914"/>
      <c r="I914"/>
      <c r="J914"/>
      <c r="K914"/>
      <c r="L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</row>
    <row r="915" spans="1:63">
      <c r="A915" s="70"/>
      <c r="B915"/>
      <c r="C915"/>
      <c r="D915"/>
      <c r="E915"/>
      <c r="F915"/>
      <c r="G915"/>
      <c r="H915"/>
      <c r="I915"/>
      <c r="J915"/>
      <c r="K915"/>
      <c r="L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</row>
    <row r="916" spans="1:63">
      <c r="A916" s="70"/>
      <c r="B916"/>
      <c r="C916"/>
      <c r="D916"/>
      <c r="E916"/>
      <c r="F916"/>
      <c r="G916"/>
      <c r="H916"/>
      <c r="I916"/>
      <c r="J916"/>
      <c r="K916"/>
      <c r="L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</row>
    <row r="917" spans="1:63">
      <c r="A917" s="70"/>
      <c r="B917"/>
      <c r="C917"/>
      <c r="D917"/>
      <c r="E917"/>
      <c r="F917"/>
      <c r="G917"/>
      <c r="H917"/>
      <c r="I917"/>
      <c r="J917"/>
      <c r="K917"/>
      <c r="L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</row>
    <row r="918" spans="1:63">
      <c r="A918" s="70"/>
      <c r="B918"/>
      <c r="C918"/>
      <c r="D918"/>
      <c r="E918"/>
      <c r="F918"/>
      <c r="G918"/>
      <c r="H918"/>
      <c r="I918"/>
      <c r="J918"/>
      <c r="K918"/>
      <c r="L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</row>
    <row r="919" spans="1:63">
      <c r="A919" s="70"/>
      <c r="B919"/>
      <c r="C919"/>
      <c r="D919"/>
      <c r="E919"/>
      <c r="F919"/>
      <c r="G919"/>
      <c r="H919"/>
      <c r="I919"/>
      <c r="J919"/>
      <c r="K919"/>
      <c r="L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</row>
    <row r="920" spans="1:63">
      <c r="A920" s="70"/>
      <c r="B920"/>
      <c r="C920"/>
      <c r="D920"/>
      <c r="E920"/>
      <c r="F920"/>
      <c r="G920"/>
      <c r="H920"/>
      <c r="I920"/>
      <c r="J920"/>
      <c r="K920"/>
      <c r="L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</row>
    <row r="921" spans="1:63">
      <c r="A921" s="70"/>
      <c r="B921"/>
      <c r="C921"/>
      <c r="D921"/>
      <c r="E921"/>
      <c r="F921"/>
      <c r="G921"/>
      <c r="H921"/>
      <c r="I921"/>
      <c r="J921"/>
      <c r="K921"/>
      <c r="L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</row>
    <row r="922" spans="1:63">
      <c r="A922" s="70"/>
      <c r="B922"/>
      <c r="C922"/>
      <c r="D922"/>
      <c r="E922"/>
      <c r="F922"/>
      <c r="G922"/>
      <c r="H922"/>
      <c r="I922"/>
      <c r="J922"/>
      <c r="K922"/>
      <c r="L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</row>
    <row r="923" spans="1:63">
      <c r="A923" s="70"/>
      <c r="B923"/>
      <c r="C923"/>
      <c r="D923"/>
      <c r="E923"/>
      <c r="F923"/>
      <c r="G923"/>
      <c r="H923"/>
      <c r="I923"/>
      <c r="J923"/>
      <c r="K923"/>
      <c r="L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</row>
    <row r="924" spans="1:63">
      <c r="A924" s="70"/>
      <c r="B924"/>
      <c r="C924"/>
      <c r="D924"/>
      <c r="E924"/>
      <c r="F924"/>
      <c r="G924"/>
      <c r="H924"/>
      <c r="I924"/>
      <c r="J924"/>
      <c r="K924"/>
      <c r="L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</row>
    <row r="925" spans="1:63">
      <c r="A925" s="70"/>
      <c r="B925"/>
      <c r="C925"/>
      <c r="D925"/>
      <c r="E925"/>
      <c r="F925"/>
      <c r="G925"/>
      <c r="H925"/>
      <c r="I925"/>
      <c r="J925"/>
      <c r="K925"/>
      <c r="L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</row>
    <row r="926" spans="1:63">
      <c r="A926" s="70"/>
      <c r="B926"/>
      <c r="C926"/>
      <c r="D926"/>
      <c r="E926"/>
      <c r="F926"/>
      <c r="G926"/>
      <c r="H926"/>
      <c r="I926"/>
      <c r="J926"/>
      <c r="K926"/>
      <c r="L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</row>
    <row r="927" spans="1:63">
      <c r="A927" s="70"/>
      <c r="B927"/>
      <c r="C927"/>
      <c r="D927"/>
      <c r="E927"/>
      <c r="F927"/>
      <c r="G927"/>
      <c r="H927"/>
      <c r="I927"/>
      <c r="J927"/>
      <c r="K927"/>
      <c r="L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</row>
    <row r="928" spans="1:63">
      <c r="A928" s="70"/>
      <c r="B928"/>
      <c r="C928"/>
      <c r="D928"/>
      <c r="E928"/>
      <c r="F928"/>
      <c r="G928"/>
      <c r="H928"/>
      <c r="I928"/>
      <c r="J928"/>
      <c r="K928"/>
      <c r="L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</row>
    <row r="929" spans="1:63">
      <c r="A929" s="70"/>
      <c r="B929"/>
      <c r="C929"/>
      <c r="D929"/>
      <c r="E929"/>
      <c r="F929"/>
      <c r="G929"/>
      <c r="H929"/>
      <c r="I929"/>
      <c r="J929"/>
      <c r="K929"/>
      <c r="L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</row>
    <row r="930" spans="1:63">
      <c r="A930" s="70"/>
      <c r="B930"/>
      <c r="C930"/>
      <c r="D930"/>
      <c r="E930"/>
      <c r="F930"/>
      <c r="G930"/>
      <c r="H930"/>
      <c r="I930"/>
      <c r="J930"/>
      <c r="K930"/>
      <c r="L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</row>
    <row r="931" spans="1:63">
      <c r="A931" s="70"/>
      <c r="B931"/>
      <c r="C931"/>
      <c r="D931"/>
      <c r="E931"/>
      <c r="F931"/>
      <c r="G931"/>
      <c r="H931"/>
      <c r="I931"/>
      <c r="J931"/>
      <c r="K931"/>
      <c r="L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</row>
    <row r="932" spans="1:63">
      <c r="A932" s="70"/>
      <c r="B932"/>
      <c r="C932"/>
      <c r="D932"/>
      <c r="E932"/>
      <c r="F932"/>
      <c r="G932"/>
      <c r="H932"/>
      <c r="I932"/>
      <c r="J932"/>
      <c r="K932"/>
      <c r="L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</row>
    <row r="933" spans="1:63">
      <c r="A933" s="70"/>
      <c r="B933"/>
      <c r="C933"/>
      <c r="D933"/>
      <c r="E933"/>
      <c r="F933"/>
      <c r="G933"/>
      <c r="H933"/>
      <c r="I933"/>
      <c r="J933"/>
      <c r="K933"/>
      <c r="L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</row>
    <row r="934" spans="1:63">
      <c r="A934" s="70"/>
      <c r="B934"/>
      <c r="C934"/>
      <c r="D934"/>
      <c r="E934"/>
      <c r="F934"/>
      <c r="G934"/>
      <c r="H934"/>
      <c r="I934"/>
      <c r="J934"/>
      <c r="K934"/>
      <c r="L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</row>
    <row r="935" spans="1:63">
      <c r="A935" s="70"/>
      <c r="B935"/>
      <c r="C935"/>
      <c r="D935"/>
      <c r="E935"/>
      <c r="F935"/>
      <c r="G935"/>
      <c r="H935"/>
      <c r="I935"/>
      <c r="J935"/>
      <c r="K935"/>
      <c r="L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</row>
    <row r="936" spans="1:63">
      <c r="A936" s="70"/>
      <c r="B936"/>
      <c r="C936"/>
      <c r="D936"/>
      <c r="E936"/>
      <c r="F936"/>
      <c r="G936"/>
      <c r="H936"/>
      <c r="I936"/>
      <c r="J936"/>
      <c r="K936"/>
      <c r="L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</row>
    <row r="937" spans="1:63">
      <c r="A937" s="70"/>
      <c r="B937"/>
      <c r="C937"/>
      <c r="D937"/>
      <c r="E937"/>
      <c r="F937"/>
      <c r="G937"/>
      <c r="H937"/>
      <c r="I937"/>
      <c r="J937"/>
      <c r="K937"/>
      <c r="L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</row>
    <row r="938" spans="1:63">
      <c r="A938" s="70"/>
      <c r="B938"/>
      <c r="C938"/>
      <c r="D938"/>
      <c r="E938"/>
      <c r="F938"/>
      <c r="G938"/>
      <c r="H938"/>
      <c r="I938"/>
      <c r="J938"/>
      <c r="K938"/>
      <c r="L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</row>
    <row r="939" spans="1:63">
      <c r="A939" s="70"/>
      <c r="B939"/>
      <c r="C939"/>
      <c r="D939"/>
      <c r="E939"/>
      <c r="F939"/>
      <c r="G939"/>
      <c r="H939"/>
      <c r="I939"/>
      <c r="J939"/>
      <c r="K939"/>
      <c r="L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</row>
    <row r="940" spans="1:63">
      <c r="A940" s="70"/>
      <c r="B940"/>
      <c r="C940"/>
      <c r="D940"/>
      <c r="E940"/>
      <c r="F940"/>
      <c r="G940"/>
      <c r="H940"/>
      <c r="I940"/>
      <c r="J940"/>
      <c r="K940"/>
      <c r="L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</row>
    <row r="941" spans="1:63">
      <c r="A941" s="70"/>
      <c r="B941"/>
      <c r="C941"/>
      <c r="D941"/>
      <c r="E941"/>
      <c r="F941"/>
      <c r="G941"/>
      <c r="H941"/>
      <c r="I941"/>
      <c r="J941"/>
      <c r="K941"/>
      <c r="L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</row>
    <row r="942" spans="1:63">
      <c r="A942" s="70"/>
      <c r="B942"/>
      <c r="C942"/>
      <c r="D942"/>
      <c r="E942"/>
      <c r="F942"/>
      <c r="G942"/>
      <c r="H942"/>
      <c r="I942"/>
      <c r="J942"/>
      <c r="K942"/>
      <c r="L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</row>
    <row r="943" spans="1:63">
      <c r="A943" s="70"/>
      <c r="B943"/>
      <c r="C943"/>
      <c r="D943"/>
      <c r="E943"/>
      <c r="F943"/>
      <c r="G943"/>
      <c r="H943"/>
      <c r="I943"/>
      <c r="J943"/>
      <c r="K943"/>
      <c r="L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</row>
    <row r="944" spans="1:63">
      <c r="A944" s="70"/>
      <c r="B944"/>
      <c r="C944"/>
      <c r="D944"/>
      <c r="E944"/>
      <c r="F944"/>
      <c r="G944"/>
      <c r="H944"/>
      <c r="I944"/>
      <c r="J944"/>
      <c r="K944"/>
      <c r="L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</row>
    <row r="945" spans="1:63">
      <c r="A945" s="70"/>
      <c r="B945"/>
      <c r="C945"/>
      <c r="D945"/>
      <c r="E945"/>
      <c r="F945"/>
      <c r="G945"/>
      <c r="H945"/>
      <c r="I945"/>
      <c r="J945"/>
      <c r="K945"/>
      <c r="L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</row>
    <row r="946" spans="1:63">
      <c r="A946" s="70"/>
      <c r="B946"/>
      <c r="C946"/>
      <c r="D946"/>
      <c r="E946"/>
      <c r="F946"/>
      <c r="G946"/>
      <c r="H946"/>
      <c r="I946"/>
      <c r="J946"/>
      <c r="K946"/>
      <c r="L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</row>
    <row r="947" spans="1:63">
      <c r="A947" s="70"/>
      <c r="B947"/>
      <c r="C947"/>
      <c r="D947"/>
      <c r="E947"/>
      <c r="F947"/>
      <c r="G947"/>
      <c r="H947"/>
      <c r="I947"/>
      <c r="J947"/>
      <c r="K947"/>
      <c r="L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</row>
    <row r="948" spans="1:63">
      <c r="A948" s="70"/>
      <c r="B948"/>
      <c r="C948"/>
      <c r="D948"/>
      <c r="E948"/>
      <c r="F948"/>
      <c r="G948"/>
      <c r="H948"/>
      <c r="I948"/>
      <c r="J948"/>
      <c r="K948"/>
      <c r="L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</row>
    <row r="949" spans="1:63">
      <c r="A949" s="70"/>
      <c r="B949"/>
      <c r="C949"/>
      <c r="D949"/>
      <c r="E949"/>
      <c r="F949"/>
      <c r="G949"/>
      <c r="H949"/>
      <c r="I949"/>
      <c r="J949"/>
      <c r="K949"/>
      <c r="L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</row>
    <row r="950" spans="1:63">
      <c r="A950" s="70"/>
      <c r="B950"/>
      <c r="C950"/>
      <c r="D950"/>
      <c r="E950"/>
      <c r="F950"/>
      <c r="G950"/>
      <c r="H950"/>
      <c r="I950"/>
      <c r="J950"/>
      <c r="K950"/>
      <c r="L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</row>
    <row r="951" spans="1:63">
      <c r="A951" s="70"/>
      <c r="B951"/>
      <c r="C951"/>
      <c r="D951"/>
      <c r="E951"/>
      <c r="F951"/>
      <c r="G951"/>
      <c r="H951"/>
      <c r="I951"/>
      <c r="J951"/>
      <c r="K951"/>
      <c r="L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</row>
    <row r="952" spans="1:63">
      <c r="A952" s="70"/>
      <c r="B952"/>
      <c r="C952"/>
      <c r="D952"/>
      <c r="E952"/>
      <c r="F952"/>
      <c r="G952"/>
      <c r="H952"/>
      <c r="I952"/>
      <c r="J952"/>
      <c r="K952"/>
      <c r="L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</row>
    <row r="953" spans="1:63">
      <c r="A953" s="70"/>
      <c r="B953"/>
      <c r="C953"/>
      <c r="D953"/>
      <c r="E953"/>
      <c r="F953"/>
      <c r="G953"/>
      <c r="H953"/>
      <c r="I953"/>
      <c r="J953"/>
      <c r="K953"/>
      <c r="L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</row>
    <row r="954" spans="1:63">
      <c r="A954" s="70"/>
      <c r="B954"/>
      <c r="C954"/>
      <c r="D954"/>
      <c r="E954"/>
      <c r="F954"/>
      <c r="G954"/>
      <c r="H954"/>
      <c r="I954"/>
      <c r="J954"/>
      <c r="K954"/>
      <c r="L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</row>
    <row r="955" spans="1:63">
      <c r="A955" s="70"/>
      <c r="B955"/>
      <c r="C955"/>
      <c r="D955"/>
      <c r="E955"/>
      <c r="F955"/>
      <c r="G955"/>
      <c r="H955"/>
      <c r="I955"/>
      <c r="J955"/>
      <c r="K955"/>
      <c r="L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</row>
    <row r="956" spans="1:63">
      <c r="A956" s="70"/>
      <c r="B956"/>
      <c r="C956"/>
      <c r="D956"/>
      <c r="E956"/>
      <c r="F956"/>
      <c r="G956"/>
      <c r="H956"/>
      <c r="I956"/>
      <c r="J956"/>
      <c r="K956"/>
      <c r="L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</row>
    <row r="957" spans="1:63">
      <c r="A957" s="70"/>
      <c r="B957"/>
      <c r="C957"/>
      <c r="D957"/>
      <c r="E957"/>
      <c r="F957"/>
      <c r="G957"/>
      <c r="H957"/>
      <c r="I957"/>
      <c r="J957"/>
      <c r="K957"/>
      <c r="L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</row>
    <row r="958" spans="1:63">
      <c r="A958" s="70"/>
      <c r="B958"/>
      <c r="C958"/>
      <c r="D958"/>
      <c r="E958"/>
      <c r="F958"/>
      <c r="G958"/>
      <c r="H958"/>
      <c r="I958"/>
      <c r="J958"/>
      <c r="K958"/>
      <c r="L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</row>
    <row r="959" spans="1:63">
      <c r="A959" s="70"/>
      <c r="B959"/>
      <c r="C959"/>
      <c r="D959"/>
      <c r="E959"/>
      <c r="F959"/>
      <c r="G959"/>
      <c r="H959"/>
      <c r="I959"/>
      <c r="J959"/>
      <c r="K959"/>
      <c r="L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</row>
    <row r="960" spans="1:63">
      <c r="A960" s="70"/>
      <c r="B960"/>
      <c r="C960"/>
      <c r="D960"/>
      <c r="E960"/>
      <c r="F960"/>
      <c r="G960"/>
      <c r="H960"/>
      <c r="I960"/>
      <c r="J960"/>
      <c r="K960"/>
      <c r="L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</row>
    <row r="961" spans="1:63">
      <c r="A961" s="70"/>
      <c r="B961"/>
      <c r="C961"/>
      <c r="D961"/>
      <c r="E961"/>
      <c r="F961"/>
      <c r="G961"/>
      <c r="H961"/>
      <c r="I961"/>
      <c r="J961"/>
      <c r="K961"/>
      <c r="L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</row>
    <row r="962" spans="1:63">
      <c r="A962" s="70"/>
      <c r="B962"/>
      <c r="C962"/>
      <c r="D962"/>
      <c r="E962"/>
      <c r="F962"/>
      <c r="G962"/>
      <c r="H962"/>
      <c r="I962"/>
      <c r="J962"/>
      <c r="K962"/>
      <c r="L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</row>
    <row r="963" spans="1:63">
      <c r="A963" s="70"/>
      <c r="B963"/>
      <c r="C963"/>
      <c r="D963"/>
      <c r="E963"/>
      <c r="F963"/>
      <c r="G963"/>
      <c r="H963"/>
      <c r="I963"/>
      <c r="J963"/>
      <c r="K963"/>
      <c r="L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</row>
    <row r="964" spans="1:63">
      <c r="A964" s="70"/>
      <c r="B964"/>
      <c r="C964"/>
      <c r="D964"/>
      <c r="E964"/>
      <c r="F964"/>
      <c r="G964"/>
      <c r="H964"/>
      <c r="I964"/>
      <c r="J964"/>
      <c r="K964"/>
      <c r="L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</row>
    <row r="965" spans="1:63">
      <c r="A965" s="70"/>
      <c r="B965"/>
      <c r="C965"/>
      <c r="D965"/>
      <c r="E965"/>
      <c r="F965"/>
      <c r="G965"/>
      <c r="H965"/>
      <c r="I965"/>
      <c r="J965"/>
      <c r="K965"/>
      <c r="L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</row>
    <row r="966" spans="1:63">
      <c r="A966" s="70"/>
      <c r="B966"/>
      <c r="C966"/>
      <c r="D966"/>
      <c r="E966"/>
      <c r="F966"/>
      <c r="G966"/>
      <c r="H966"/>
      <c r="I966"/>
      <c r="J966"/>
      <c r="K966"/>
      <c r="L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</row>
    <row r="967" spans="1:63">
      <c r="A967" s="70"/>
      <c r="B967"/>
      <c r="C967"/>
      <c r="D967"/>
      <c r="E967"/>
      <c r="F967"/>
      <c r="G967"/>
      <c r="H967"/>
      <c r="I967"/>
      <c r="J967"/>
      <c r="K967"/>
      <c r="L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</row>
    <row r="968" spans="1:63">
      <c r="A968" s="70"/>
      <c r="B968"/>
      <c r="C968"/>
      <c r="D968"/>
      <c r="E968"/>
      <c r="F968"/>
      <c r="G968"/>
      <c r="H968"/>
      <c r="I968"/>
      <c r="J968"/>
      <c r="K968"/>
      <c r="L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</row>
    <row r="969" spans="1:63">
      <c r="A969" s="70"/>
      <c r="B969"/>
      <c r="C969"/>
      <c r="D969"/>
      <c r="E969"/>
      <c r="F969"/>
      <c r="G969"/>
      <c r="H969"/>
      <c r="I969"/>
      <c r="J969"/>
      <c r="K969"/>
      <c r="L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</row>
    <row r="970" spans="1:63">
      <c r="A970" s="70"/>
      <c r="B970"/>
      <c r="C970"/>
      <c r="D970"/>
      <c r="E970"/>
      <c r="F970"/>
      <c r="G970"/>
      <c r="H970"/>
      <c r="I970"/>
      <c r="J970"/>
      <c r="K970"/>
      <c r="L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</row>
    <row r="971" spans="1:63">
      <c r="A971" s="70"/>
      <c r="B971"/>
      <c r="C971"/>
      <c r="D971"/>
      <c r="E971"/>
      <c r="F971"/>
      <c r="G971"/>
      <c r="H971"/>
      <c r="I971"/>
      <c r="J971"/>
      <c r="K971"/>
      <c r="L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</row>
    <row r="972" spans="1:63">
      <c r="A972" s="70"/>
      <c r="B972"/>
      <c r="C972"/>
      <c r="D972"/>
      <c r="E972"/>
      <c r="F972"/>
      <c r="G972"/>
      <c r="H972"/>
      <c r="I972"/>
      <c r="J972"/>
      <c r="K972"/>
      <c r="L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</row>
    <row r="973" spans="1:63">
      <c r="A973" s="70"/>
      <c r="B973"/>
      <c r="C973"/>
      <c r="D973"/>
      <c r="E973"/>
      <c r="F973"/>
      <c r="G973"/>
      <c r="H973"/>
      <c r="I973"/>
      <c r="J973"/>
      <c r="K973"/>
      <c r="L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</row>
    <row r="974" spans="1:63">
      <c r="A974" s="70"/>
      <c r="B974"/>
      <c r="C974"/>
      <c r="D974"/>
      <c r="E974"/>
      <c r="F974"/>
      <c r="G974"/>
      <c r="H974"/>
      <c r="I974"/>
      <c r="J974"/>
      <c r="K974"/>
      <c r="L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</row>
    <row r="975" spans="1:63">
      <c r="A975" s="70"/>
      <c r="B975"/>
      <c r="C975"/>
      <c r="D975"/>
      <c r="E975"/>
      <c r="F975"/>
      <c r="G975"/>
      <c r="H975"/>
      <c r="I975"/>
      <c r="J975"/>
      <c r="K975"/>
      <c r="L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</row>
    <row r="976" spans="1:63">
      <c r="A976" s="70"/>
      <c r="B976"/>
      <c r="C976"/>
      <c r="D976"/>
      <c r="E976"/>
      <c r="F976"/>
      <c r="G976"/>
      <c r="H976"/>
      <c r="I976"/>
      <c r="J976"/>
      <c r="K976"/>
      <c r="L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</row>
    <row r="977" spans="1:63">
      <c r="A977" s="70"/>
      <c r="B977"/>
      <c r="C977"/>
      <c r="D977"/>
      <c r="E977"/>
      <c r="F977"/>
      <c r="G977"/>
      <c r="H977"/>
      <c r="I977"/>
      <c r="J977"/>
      <c r="K977"/>
      <c r="L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</row>
    <row r="978" spans="1:63">
      <c r="A978" s="70"/>
      <c r="B978"/>
      <c r="C978"/>
      <c r="D978"/>
      <c r="E978"/>
      <c r="F978"/>
      <c r="G978"/>
      <c r="H978"/>
      <c r="I978"/>
      <c r="J978"/>
      <c r="K978"/>
      <c r="L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</row>
    <row r="979" spans="1:63">
      <c r="A979" s="70"/>
      <c r="B979"/>
      <c r="C979"/>
      <c r="D979"/>
      <c r="E979"/>
      <c r="F979"/>
      <c r="G979"/>
      <c r="H979"/>
      <c r="I979"/>
      <c r="J979"/>
      <c r="K979"/>
      <c r="L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</row>
    <row r="980" spans="1:63">
      <c r="A980" s="70"/>
      <c r="B980"/>
      <c r="C980"/>
      <c r="D980"/>
      <c r="E980"/>
      <c r="F980"/>
      <c r="G980"/>
      <c r="H980"/>
      <c r="I980"/>
      <c r="J980"/>
      <c r="K980"/>
      <c r="L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</row>
    <row r="981" spans="1:63">
      <c r="A981" s="70"/>
      <c r="B981"/>
      <c r="C981"/>
      <c r="D981"/>
      <c r="E981"/>
      <c r="F981"/>
      <c r="G981"/>
      <c r="H981"/>
      <c r="I981"/>
      <c r="J981"/>
      <c r="K981"/>
      <c r="L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</row>
    <row r="982" spans="1:63">
      <c r="A982" s="70"/>
      <c r="B982"/>
      <c r="C982"/>
      <c r="D982"/>
      <c r="E982"/>
      <c r="F982"/>
      <c r="G982"/>
      <c r="H982"/>
      <c r="I982"/>
      <c r="J982"/>
      <c r="K982"/>
      <c r="L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</row>
    <row r="983" spans="1:63">
      <c r="A983" s="70"/>
      <c r="B983"/>
      <c r="C983"/>
      <c r="D983"/>
      <c r="E983"/>
      <c r="F983"/>
      <c r="G983"/>
      <c r="H983"/>
      <c r="I983"/>
      <c r="J983"/>
      <c r="K983"/>
      <c r="L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</row>
    <row r="984" spans="1:63">
      <c r="A984" s="70"/>
      <c r="B984"/>
      <c r="C984"/>
      <c r="D984"/>
      <c r="E984"/>
      <c r="F984"/>
      <c r="G984"/>
      <c r="H984"/>
      <c r="I984"/>
      <c r="J984"/>
      <c r="K984"/>
      <c r="L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</row>
    <row r="985" spans="1:63">
      <c r="A985" s="70"/>
      <c r="B985"/>
      <c r="C985"/>
      <c r="D985"/>
      <c r="E985"/>
      <c r="F985"/>
      <c r="G985"/>
      <c r="H985"/>
      <c r="I985"/>
      <c r="J985"/>
      <c r="K985"/>
      <c r="L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</row>
    <row r="986" spans="1:63">
      <c r="A986" s="70"/>
      <c r="B986"/>
      <c r="C986"/>
      <c r="D986"/>
      <c r="E986"/>
      <c r="F986"/>
      <c r="G986"/>
      <c r="H986"/>
      <c r="I986"/>
      <c r="J986"/>
      <c r="K986"/>
      <c r="L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</row>
    <row r="987" spans="1:63">
      <c r="A987" s="70"/>
      <c r="B987"/>
      <c r="C987"/>
      <c r="D987"/>
      <c r="E987"/>
      <c r="F987"/>
      <c r="G987"/>
      <c r="H987"/>
      <c r="I987"/>
      <c r="J987"/>
      <c r="K987"/>
      <c r="L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</row>
    <row r="988" spans="1:63">
      <c r="A988" s="70"/>
      <c r="B988"/>
      <c r="C988"/>
      <c r="D988"/>
      <c r="E988"/>
      <c r="F988"/>
      <c r="G988"/>
      <c r="H988"/>
      <c r="I988"/>
      <c r="J988"/>
      <c r="K988"/>
      <c r="L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</row>
    <row r="989" spans="1:63">
      <c r="A989" s="70"/>
      <c r="B989"/>
      <c r="C989"/>
      <c r="D989"/>
      <c r="E989"/>
      <c r="F989"/>
      <c r="G989"/>
      <c r="H989"/>
      <c r="I989"/>
      <c r="J989"/>
      <c r="K989"/>
      <c r="L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</row>
    <row r="990" spans="1:63">
      <c r="A990" s="70"/>
      <c r="B990"/>
      <c r="C990"/>
      <c r="D990"/>
      <c r="E990"/>
      <c r="F990"/>
      <c r="G990"/>
      <c r="H990"/>
      <c r="I990"/>
      <c r="J990"/>
      <c r="K990"/>
      <c r="L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</row>
    <row r="991" spans="1:63">
      <c r="A991" s="70"/>
      <c r="B991"/>
      <c r="C991"/>
      <c r="D991"/>
      <c r="E991"/>
      <c r="F991"/>
      <c r="G991"/>
      <c r="H991"/>
      <c r="I991"/>
      <c r="J991"/>
      <c r="K991"/>
      <c r="L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</row>
    <row r="992" spans="1:63">
      <c r="A992" s="70"/>
      <c r="B992"/>
      <c r="C992"/>
      <c r="D992"/>
      <c r="E992"/>
      <c r="F992"/>
      <c r="G992"/>
      <c r="H992"/>
      <c r="I992"/>
      <c r="J992"/>
      <c r="K992"/>
      <c r="L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</row>
    <row r="993" spans="1:63">
      <c r="A993" s="70"/>
      <c r="B993"/>
      <c r="C993"/>
      <c r="D993"/>
      <c r="E993"/>
      <c r="F993"/>
      <c r="G993"/>
      <c r="H993"/>
      <c r="I993"/>
      <c r="J993"/>
      <c r="K993"/>
      <c r="L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</row>
    <row r="994" spans="1:63">
      <c r="A994" s="70"/>
      <c r="B994"/>
      <c r="C994"/>
      <c r="D994"/>
      <c r="E994"/>
      <c r="F994"/>
      <c r="G994"/>
      <c r="H994"/>
      <c r="I994"/>
      <c r="J994"/>
      <c r="K994"/>
      <c r="L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</row>
    <row r="995" spans="1:63">
      <c r="A995" s="70"/>
      <c r="B995"/>
      <c r="C995"/>
      <c r="D995"/>
      <c r="E995"/>
      <c r="F995"/>
      <c r="G995"/>
      <c r="H995"/>
      <c r="I995"/>
      <c r="J995"/>
      <c r="K995"/>
      <c r="L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</row>
    <row r="996" spans="1:63">
      <c r="A996" s="70"/>
      <c r="B996"/>
      <c r="C996"/>
      <c r="D996"/>
      <c r="E996"/>
      <c r="F996"/>
      <c r="G996"/>
      <c r="H996"/>
      <c r="I996"/>
      <c r="J996"/>
      <c r="K996"/>
      <c r="L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</row>
    <row r="997" spans="1:63">
      <c r="A997" s="70"/>
      <c r="B997"/>
      <c r="C997"/>
      <c r="D997"/>
      <c r="E997"/>
      <c r="F997"/>
      <c r="G997"/>
      <c r="H997"/>
      <c r="I997"/>
      <c r="J997"/>
      <c r="K997"/>
      <c r="L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</row>
    <row r="998" spans="1:63">
      <c r="A998" s="70"/>
      <c r="B998"/>
      <c r="C998"/>
      <c r="D998"/>
      <c r="E998"/>
      <c r="F998"/>
      <c r="G998"/>
      <c r="H998"/>
      <c r="I998"/>
      <c r="J998"/>
      <c r="K998"/>
      <c r="L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</row>
    <row r="999" spans="1:63">
      <c r="A999" s="70"/>
      <c r="B999"/>
      <c r="C999"/>
      <c r="D999"/>
      <c r="E999"/>
      <c r="F999"/>
      <c r="G999"/>
      <c r="H999"/>
      <c r="I999"/>
      <c r="J999"/>
      <c r="K999"/>
      <c r="L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</row>
    <row r="1000" spans="1:63">
      <c r="A1000" s="70"/>
      <c r="B1000"/>
      <c r="C1000"/>
      <c r="D1000"/>
      <c r="E1000"/>
      <c r="F1000"/>
      <c r="G1000"/>
      <c r="H1000"/>
      <c r="I1000"/>
      <c r="J1000"/>
      <c r="K1000"/>
      <c r="L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</row>
    <row r="1001" spans="1:63">
      <c r="A1001" s="70"/>
      <c r="B1001"/>
      <c r="C1001"/>
      <c r="D1001"/>
      <c r="E1001"/>
      <c r="F1001"/>
      <c r="G1001"/>
      <c r="H1001"/>
      <c r="I1001"/>
      <c r="J1001"/>
      <c r="K1001"/>
      <c r="L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</row>
    <row r="1002" spans="1:63">
      <c r="A1002" s="70"/>
      <c r="B1002"/>
      <c r="C1002"/>
      <c r="D1002"/>
      <c r="E1002"/>
      <c r="F1002"/>
      <c r="G1002"/>
      <c r="H1002"/>
      <c r="I1002"/>
      <c r="J1002"/>
      <c r="K1002"/>
      <c r="L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</row>
    <row r="1003" spans="1:63">
      <c r="A1003" s="70"/>
      <c r="B1003"/>
      <c r="C1003"/>
      <c r="D1003"/>
      <c r="E1003"/>
      <c r="F1003"/>
      <c r="G1003"/>
      <c r="H1003"/>
      <c r="I1003"/>
      <c r="J1003"/>
      <c r="K1003"/>
      <c r="L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</row>
    <row r="1004" spans="1:63">
      <c r="A1004" s="70"/>
      <c r="B1004"/>
      <c r="C1004"/>
      <c r="D1004"/>
      <c r="E1004"/>
      <c r="F1004"/>
      <c r="G1004"/>
      <c r="H1004"/>
      <c r="I1004"/>
      <c r="J1004"/>
      <c r="K1004"/>
      <c r="L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</row>
    <row r="1005" spans="1:63">
      <c r="A1005" s="70"/>
      <c r="B1005"/>
      <c r="C1005"/>
      <c r="D1005"/>
      <c r="E1005"/>
      <c r="F1005"/>
      <c r="G1005"/>
      <c r="H1005"/>
      <c r="I1005"/>
      <c r="J1005"/>
      <c r="K1005"/>
      <c r="L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</row>
    <row r="1006" spans="1:63">
      <c r="A1006" s="70"/>
      <c r="B1006"/>
      <c r="C1006"/>
      <c r="D1006"/>
      <c r="E1006"/>
      <c r="F1006"/>
      <c r="G1006"/>
      <c r="H1006"/>
      <c r="I1006"/>
      <c r="J1006"/>
      <c r="K1006"/>
      <c r="L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</row>
    <row r="1007" spans="1:63">
      <c r="A1007" s="70"/>
      <c r="B1007"/>
      <c r="C1007"/>
      <c r="D1007"/>
      <c r="E1007"/>
      <c r="F1007"/>
      <c r="G1007"/>
      <c r="H1007"/>
      <c r="I1007"/>
      <c r="J1007"/>
      <c r="K1007"/>
      <c r="L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</row>
    <row r="1008" spans="1:63">
      <c r="A1008" s="70"/>
      <c r="B1008"/>
      <c r="C1008"/>
      <c r="D1008"/>
      <c r="E1008"/>
      <c r="F1008"/>
      <c r="G1008"/>
      <c r="H1008"/>
      <c r="I1008"/>
      <c r="J1008"/>
      <c r="K1008"/>
      <c r="L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</row>
    <row r="1009" spans="1:63">
      <c r="A1009" s="70"/>
      <c r="B1009"/>
      <c r="C1009"/>
      <c r="D1009"/>
      <c r="E1009"/>
      <c r="F1009"/>
      <c r="G1009"/>
      <c r="H1009"/>
      <c r="I1009"/>
      <c r="J1009"/>
      <c r="K1009"/>
      <c r="L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</row>
    <row r="1010" spans="1:63">
      <c r="A1010" s="70"/>
      <c r="B1010"/>
      <c r="C1010"/>
      <c r="D1010"/>
      <c r="E1010"/>
      <c r="F1010"/>
      <c r="G1010"/>
      <c r="H1010"/>
      <c r="I1010"/>
      <c r="J1010"/>
      <c r="K1010"/>
      <c r="L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</row>
    <row r="1011" spans="1:63">
      <c r="A1011" s="70"/>
      <c r="B1011"/>
      <c r="C1011"/>
      <c r="D1011"/>
      <c r="E1011"/>
      <c r="F1011"/>
      <c r="G1011"/>
      <c r="H1011"/>
      <c r="I1011"/>
      <c r="J1011"/>
      <c r="K1011"/>
      <c r="L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</row>
    <row r="1012" spans="1:63">
      <c r="A1012" s="70"/>
      <c r="B1012"/>
      <c r="C1012"/>
      <c r="D1012"/>
      <c r="E1012"/>
      <c r="F1012"/>
      <c r="G1012"/>
      <c r="H1012"/>
      <c r="I1012"/>
      <c r="J1012"/>
      <c r="K1012"/>
      <c r="L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</row>
    <row r="1013" spans="1:63">
      <c r="A1013" s="70"/>
      <c r="B1013"/>
      <c r="C1013"/>
      <c r="D1013"/>
      <c r="E1013"/>
      <c r="F1013"/>
      <c r="G1013"/>
      <c r="H1013"/>
      <c r="I1013"/>
      <c r="J1013"/>
      <c r="K1013"/>
      <c r="L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</row>
    <row r="1014" spans="1:63">
      <c r="A1014" s="70"/>
      <c r="B1014"/>
      <c r="C1014"/>
      <c r="D1014"/>
      <c r="E1014"/>
      <c r="F1014"/>
      <c r="G1014"/>
      <c r="H1014"/>
      <c r="I1014"/>
      <c r="J1014"/>
      <c r="K1014"/>
      <c r="L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</row>
    <row r="1015" spans="1:63">
      <c r="A1015" s="70"/>
      <c r="B1015"/>
      <c r="C1015"/>
      <c r="D1015"/>
      <c r="E1015"/>
      <c r="F1015"/>
      <c r="G1015"/>
      <c r="H1015"/>
      <c r="I1015"/>
      <c r="J1015"/>
      <c r="K1015"/>
      <c r="L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</row>
    <row r="1016" spans="1:63">
      <c r="A1016" s="70"/>
      <c r="B1016"/>
      <c r="C1016"/>
      <c r="D1016"/>
      <c r="E1016"/>
      <c r="F1016"/>
      <c r="G1016"/>
      <c r="H1016"/>
      <c r="I1016"/>
      <c r="J1016"/>
      <c r="K1016"/>
      <c r="L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</row>
    <row r="1017" spans="1:63">
      <c r="A1017" s="70"/>
      <c r="B1017"/>
      <c r="C1017"/>
      <c r="D1017"/>
      <c r="E1017"/>
      <c r="F1017"/>
      <c r="G1017"/>
      <c r="H1017"/>
      <c r="I1017"/>
      <c r="J1017"/>
      <c r="K1017"/>
      <c r="L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</row>
    <row r="1018" spans="1:63">
      <c r="A1018" s="70"/>
      <c r="B1018"/>
      <c r="C1018"/>
      <c r="D1018"/>
      <c r="E1018"/>
      <c r="F1018"/>
      <c r="G1018"/>
      <c r="H1018"/>
      <c r="I1018"/>
      <c r="J1018"/>
      <c r="K1018"/>
      <c r="L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</row>
    <row r="1019" spans="1:63">
      <c r="A1019" s="70"/>
      <c r="B1019"/>
      <c r="C1019"/>
      <c r="D1019"/>
      <c r="E1019"/>
      <c r="F1019"/>
      <c r="G1019"/>
      <c r="H1019"/>
      <c r="I1019"/>
      <c r="J1019"/>
      <c r="K1019"/>
      <c r="L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</row>
    <row r="1020" spans="1:63">
      <c r="A1020" s="70"/>
      <c r="B1020"/>
      <c r="C1020"/>
      <c r="D1020"/>
      <c r="E1020"/>
      <c r="F1020"/>
      <c r="G1020"/>
      <c r="H1020"/>
      <c r="I1020"/>
      <c r="J1020"/>
      <c r="K1020"/>
      <c r="L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</row>
    <row r="1021" spans="1:63">
      <c r="A1021" s="70"/>
      <c r="B1021"/>
      <c r="C1021"/>
      <c r="D1021"/>
      <c r="E1021"/>
      <c r="F1021"/>
      <c r="G1021"/>
      <c r="H1021"/>
      <c r="I1021"/>
      <c r="J1021"/>
      <c r="K1021"/>
      <c r="L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</row>
    <row r="1022" spans="1:63">
      <c r="A1022" s="70"/>
      <c r="B1022"/>
      <c r="C1022"/>
      <c r="D1022"/>
      <c r="E1022"/>
      <c r="F1022"/>
      <c r="G1022"/>
      <c r="H1022"/>
      <c r="I1022"/>
      <c r="J1022"/>
      <c r="K1022"/>
      <c r="L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</row>
    <row r="1023" spans="1:63">
      <c r="A1023" s="70"/>
      <c r="B1023"/>
      <c r="C1023"/>
      <c r="D1023"/>
      <c r="E1023"/>
      <c r="F1023"/>
      <c r="G1023"/>
      <c r="H1023"/>
      <c r="I1023"/>
      <c r="J1023"/>
      <c r="K1023"/>
      <c r="L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</row>
    <row r="1024" spans="1:63">
      <c r="A1024" s="70"/>
      <c r="B1024"/>
      <c r="C1024"/>
      <c r="D1024"/>
      <c r="E1024"/>
      <c r="F1024"/>
      <c r="G1024"/>
      <c r="H1024"/>
      <c r="I1024"/>
      <c r="J1024"/>
      <c r="K1024"/>
      <c r="L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</row>
    <row r="1025" spans="1:63">
      <c r="A1025" s="70"/>
      <c r="B1025"/>
      <c r="C1025"/>
      <c r="D1025"/>
      <c r="E1025"/>
      <c r="F1025"/>
      <c r="G1025"/>
      <c r="H1025"/>
      <c r="I1025"/>
      <c r="J1025"/>
      <c r="K1025"/>
      <c r="L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</row>
    <row r="1026" spans="1:63">
      <c r="A1026" s="70"/>
      <c r="B1026"/>
      <c r="C1026"/>
      <c r="D1026"/>
      <c r="E1026"/>
      <c r="F1026"/>
      <c r="G1026"/>
      <c r="H1026"/>
      <c r="I1026"/>
      <c r="J1026"/>
      <c r="K1026"/>
      <c r="L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</row>
    <row r="1027" spans="1:63">
      <c r="A1027" s="70"/>
      <c r="B1027"/>
      <c r="C1027"/>
      <c r="D1027"/>
      <c r="E1027"/>
      <c r="F1027"/>
      <c r="G1027"/>
      <c r="H1027"/>
      <c r="I1027"/>
      <c r="J1027"/>
      <c r="K1027"/>
      <c r="L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</row>
    <row r="1028" spans="1:63">
      <c r="A1028" s="70"/>
      <c r="B1028"/>
      <c r="C1028"/>
      <c r="D1028"/>
      <c r="E1028"/>
      <c r="F1028"/>
      <c r="G1028"/>
      <c r="H1028"/>
      <c r="I1028"/>
      <c r="J1028"/>
      <c r="K1028"/>
      <c r="L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</row>
    <row r="1029" spans="1:63">
      <c r="A1029" s="70"/>
      <c r="B1029"/>
      <c r="C1029"/>
      <c r="D1029"/>
      <c r="E1029"/>
      <c r="F1029"/>
      <c r="G1029"/>
      <c r="H1029"/>
      <c r="I1029"/>
      <c r="J1029"/>
      <c r="K1029"/>
      <c r="L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</row>
    <row r="1030" spans="1:63">
      <c r="A1030" s="70"/>
      <c r="B1030"/>
      <c r="C1030"/>
      <c r="D1030"/>
      <c r="E1030"/>
      <c r="F1030"/>
      <c r="G1030"/>
      <c r="H1030"/>
      <c r="I1030"/>
      <c r="J1030"/>
      <c r="K1030"/>
      <c r="L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</row>
    <row r="1031" spans="1:63">
      <c r="A1031" s="70"/>
      <c r="B1031"/>
      <c r="C1031"/>
      <c r="D1031"/>
      <c r="E1031"/>
      <c r="F1031"/>
      <c r="G1031"/>
      <c r="H1031"/>
      <c r="I1031"/>
      <c r="J1031"/>
      <c r="K1031"/>
      <c r="L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</row>
    <row r="1032" spans="1:63">
      <c r="A1032" s="70"/>
      <c r="B1032"/>
      <c r="C1032"/>
      <c r="D1032"/>
      <c r="E1032"/>
      <c r="F1032"/>
      <c r="G1032"/>
      <c r="H1032"/>
      <c r="I1032"/>
      <c r="J1032"/>
      <c r="K1032"/>
      <c r="L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</row>
    <row r="1033" spans="1:63">
      <c r="A1033" s="70"/>
      <c r="B1033"/>
      <c r="C1033"/>
      <c r="D1033"/>
      <c r="E1033"/>
      <c r="F1033"/>
      <c r="G1033"/>
      <c r="H1033"/>
      <c r="I1033"/>
      <c r="J1033"/>
      <c r="K1033"/>
      <c r="L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</row>
    <row r="1034" spans="1:63">
      <c r="A1034" s="70"/>
      <c r="B1034"/>
      <c r="C1034"/>
      <c r="D1034"/>
      <c r="E1034"/>
      <c r="F1034"/>
      <c r="G1034"/>
      <c r="H1034"/>
      <c r="I1034"/>
      <c r="J1034"/>
      <c r="K1034"/>
      <c r="L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</row>
    <row r="1035" spans="1:63">
      <c r="A1035" s="70"/>
      <c r="B1035"/>
      <c r="C1035"/>
      <c r="D1035"/>
      <c r="E1035"/>
      <c r="F1035"/>
      <c r="G1035"/>
      <c r="H1035"/>
      <c r="I1035"/>
      <c r="J1035"/>
      <c r="K1035"/>
      <c r="L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</row>
    <row r="1036" spans="1:63">
      <c r="A1036" s="70"/>
      <c r="B1036"/>
      <c r="C1036"/>
      <c r="D1036"/>
      <c r="E1036"/>
      <c r="F1036"/>
      <c r="G1036"/>
      <c r="H1036"/>
      <c r="I1036"/>
      <c r="J1036"/>
      <c r="K1036"/>
      <c r="L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</row>
    <row r="1037" spans="1:63">
      <c r="A1037" s="70"/>
      <c r="B1037"/>
      <c r="C1037"/>
      <c r="D1037"/>
      <c r="E1037"/>
      <c r="F1037"/>
      <c r="G1037"/>
      <c r="H1037"/>
      <c r="I1037"/>
      <c r="J1037"/>
      <c r="K1037"/>
      <c r="L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</row>
    <row r="1038" spans="1:63">
      <c r="A1038" s="70"/>
      <c r="B1038"/>
      <c r="C1038"/>
      <c r="D1038"/>
      <c r="E1038"/>
      <c r="F1038"/>
      <c r="G1038"/>
      <c r="H1038"/>
      <c r="I1038"/>
      <c r="J1038"/>
      <c r="K1038"/>
      <c r="L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</row>
    <row r="1039" spans="1:63">
      <c r="A1039" s="70"/>
      <c r="B1039"/>
      <c r="C1039"/>
      <c r="D1039"/>
      <c r="E1039"/>
      <c r="F1039"/>
      <c r="G1039"/>
      <c r="H1039"/>
      <c r="I1039"/>
      <c r="J1039"/>
      <c r="K1039"/>
      <c r="L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</row>
    <row r="1040" spans="1:63">
      <c r="A1040" s="70"/>
      <c r="B1040"/>
      <c r="C1040"/>
      <c r="D1040"/>
      <c r="E1040"/>
      <c r="F1040"/>
      <c r="G1040"/>
      <c r="H1040"/>
      <c r="I1040"/>
      <c r="J1040"/>
      <c r="K1040"/>
      <c r="L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</row>
    <row r="1041" spans="1:63">
      <c r="A1041" s="70"/>
      <c r="B1041"/>
      <c r="C1041"/>
      <c r="D1041"/>
      <c r="E1041"/>
      <c r="F1041"/>
      <c r="G1041"/>
      <c r="H1041"/>
      <c r="I1041"/>
      <c r="J1041"/>
      <c r="K1041"/>
      <c r="L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</row>
    <row r="1042" spans="1:63">
      <c r="A1042" s="70"/>
      <c r="B1042"/>
      <c r="C1042"/>
      <c r="D1042"/>
      <c r="E1042"/>
      <c r="F1042"/>
      <c r="G1042"/>
      <c r="H1042"/>
      <c r="I1042"/>
      <c r="J1042"/>
      <c r="K1042"/>
      <c r="L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</row>
    <row r="1043" spans="1:63">
      <c r="A1043" s="70"/>
      <c r="B1043"/>
      <c r="C1043"/>
      <c r="D1043"/>
      <c r="E1043"/>
      <c r="F1043"/>
      <c r="G1043"/>
      <c r="H1043"/>
      <c r="I1043"/>
      <c r="J1043"/>
      <c r="K1043"/>
      <c r="L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</row>
    <row r="1044" spans="1:63">
      <c r="A1044" s="70"/>
      <c r="B1044"/>
      <c r="C1044"/>
      <c r="D1044"/>
      <c r="E1044"/>
      <c r="F1044"/>
      <c r="G1044"/>
      <c r="H1044"/>
      <c r="I1044"/>
      <c r="J1044"/>
      <c r="K1044"/>
      <c r="L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</row>
    <row r="1045" spans="1:63">
      <c r="A1045" s="70"/>
      <c r="B1045"/>
      <c r="C1045"/>
      <c r="D1045"/>
      <c r="E1045"/>
      <c r="F1045"/>
      <c r="G1045"/>
      <c r="H1045"/>
      <c r="I1045"/>
      <c r="J1045"/>
      <c r="K1045"/>
      <c r="L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</row>
    <row r="1046" spans="1:63">
      <c r="A1046" s="70"/>
      <c r="B1046"/>
      <c r="C1046"/>
      <c r="D1046"/>
      <c r="E1046"/>
      <c r="F1046"/>
      <c r="G1046"/>
      <c r="H1046"/>
      <c r="I1046"/>
      <c r="J1046"/>
      <c r="K1046"/>
      <c r="L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</row>
    <row r="1047" spans="1:63">
      <c r="A1047" s="70"/>
      <c r="B1047"/>
      <c r="C1047"/>
      <c r="D1047"/>
      <c r="E1047"/>
      <c r="F1047"/>
      <c r="G1047"/>
      <c r="H1047"/>
      <c r="I1047"/>
      <c r="J1047"/>
      <c r="K1047"/>
      <c r="L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</row>
    <row r="1048" spans="1:63">
      <c r="A1048" s="70"/>
      <c r="B1048"/>
      <c r="C1048"/>
      <c r="D1048"/>
      <c r="E1048"/>
      <c r="F1048"/>
      <c r="G1048"/>
      <c r="H1048"/>
      <c r="I1048"/>
      <c r="J1048"/>
      <c r="K1048"/>
      <c r="L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</row>
    <row r="1049" spans="1:63">
      <c r="A1049" s="70"/>
      <c r="B1049"/>
      <c r="C1049"/>
      <c r="D1049"/>
      <c r="E1049"/>
      <c r="F1049"/>
      <c r="G1049"/>
      <c r="H1049"/>
      <c r="I1049"/>
      <c r="J1049"/>
      <c r="K1049"/>
      <c r="L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</row>
    <row r="1050" spans="1:63">
      <c r="A1050" s="70"/>
      <c r="B1050"/>
      <c r="C1050"/>
      <c r="D1050"/>
      <c r="E1050"/>
      <c r="F1050"/>
      <c r="G1050"/>
      <c r="H1050"/>
      <c r="I1050"/>
      <c r="J1050"/>
      <c r="K1050"/>
      <c r="L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</row>
    <row r="1051" spans="1:63">
      <c r="A1051" s="70"/>
      <c r="B1051"/>
      <c r="C1051"/>
      <c r="D1051"/>
      <c r="E1051"/>
      <c r="F1051"/>
      <c r="G1051"/>
      <c r="H1051"/>
      <c r="I1051"/>
      <c r="J1051"/>
      <c r="K1051"/>
      <c r="L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</row>
    <row r="1052" spans="1:63">
      <c r="A1052" s="70"/>
      <c r="B1052"/>
      <c r="C1052"/>
      <c r="D1052"/>
      <c r="E1052"/>
      <c r="F1052"/>
      <c r="G1052"/>
      <c r="H1052"/>
      <c r="I1052"/>
      <c r="J1052"/>
      <c r="K1052"/>
      <c r="L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</row>
    <row r="1053" spans="1:63">
      <c r="A1053" s="70"/>
      <c r="B1053"/>
      <c r="C1053"/>
      <c r="D1053"/>
      <c r="E1053"/>
      <c r="F1053"/>
      <c r="G1053"/>
      <c r="H1053"/>
      <c r="I1053"/>
      <c r="J1053"/>
      <c r="K1053"/>
      <c r="L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</row>
    <row r="1054" spans="1:63">
      <c r="A1054" s="70"/>
      <c r="B1054"/>
      <c r="C1054"/>
      <c r="D1054"/>
      <c r="E1054"/>
      <c r="F1054"/>
      <c r="G1054"/>
      <c r="H1054"/>
      <c r="I1054"/>
      <c r="J1054"/>
      <c r="K1054"/>
      <c r="L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</row>
  </sheetData>
  <mergeCells count="5">
    <mergeCell ref="A1:G1"/>
    <mergeCell ref="H1:U1"/>
    <mergeCell ref="V1:AN1"/>
    <mergeCell ref="AO1:AX1"/>
    <mergeCell ref="AY1:BK1"/>
  </mergeCells>
  <phoneticPr fontId="29" type="noConversion"/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7"/>
  <sheetViews>
    <sheetView showGridLines="0" tabSelected="1" topLeftCell="C1" zoomScale="85" zoomScaleNormal="70" workbookViewId="0">
      <selection activeCell="AJ3" sqref="AJ3:AK3"/>
    </sheetView>
  </sheetViews>
  <sheetFormatPr baseColWidth="10" defaultRowHeight="15"/>
  <cols>
    <col min="2" max="7" width="5.7109375" customWidth="1"/>
    <col min="8" max="8" width="5.7109375" style="2" customWidth="1"/>
    <col min="9" max="9" width="3.7109375" customWidth="1"/>
    <col min="11" max="16" width="5.7109375" customWidth="1"/>
    <col min="17" max="17" width="5.7109375" style="2" customWidth="1"/>
    <col min="18" max="18" width="3.7109375" customWidth="1"/>
    <col min="20" max="25" width="5.7109375" customWidth="1"/>
    <col min="26" max="26" width="5.7109375" style="2" customWidth="1"/>
    <col min="27" max="27" width="3.7109375" customWidth="1"/>
    <col min="29" max="34" width="5.7109375" customWidth="1"/>
    <col min="35" max="35" width="5.7109375" style="2" customWidth="1"/>
    <col min="36" max="36" width="20.140625" bestFit="1" customWidth="1"/>
    <col min="37" max="37" width="10.7109375" bestFit="1" customWidth="1"/>
    <col min="38" max="43" width="5.7109375" customWidth="1"/>
    <col min="44" max="44" width="3.7109375" customWidth="1"/>
    <col min="46" max="51" width="5.7109375" customWidth="1"/>
    <col min="54" max="59" width="5.7109375" customWidth="1"/>
  </cols>
  <sheetData>
    <row r="1" spans="1:37" s="2" customFormat="1" ht="32.25" customHeight="1">
      <c r="J1" s="90" t="s">
        <v>69</v>
      </c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J1" s="85" t="s">
        <v>70</v>
      </c>
      <c r="AK1" s="86"/>
    </row>
    <row r="2" spans="1:37" ht="18" customHeight="1" thickBot="1">
      <c r="A2" s="87" t="s">
        <v>71</v>
      </c>
      <c r="B2" s="88"/>
      <c r="C2" s="88"/>
      <c r="D2" s="88"/>
      <c r="E2" s="88"/>
      <c r="F2" s="88"/>
      <c r="G2" s="88"/>
      <c r="H2" s="88"/>
      <c r="J2" s="89" t="s">
        <v>72</v>
      </c>
      <c r="K2" s="88"/>
      <c r="L2" s="88"/>
      <c r="M2" s="88"/>
      <c r="N2" s="88"/>
      <c r="O2" s="93" t="s">
        <v>73</v>
      </c>
      <c r="P2" s="92"/>
      <c r="Q2" s="86"/>
      <c r="R2" s="92"/>
      <c r="S2" s="92"/>
      <c r="T2" s="92"/>
      <c r="U2" s="94" t="s">
        <v>74</v>
      </c>
      <c r="V2" s="88"/>
      <c r="W2" s="88"/>
      <c r="X2" s="88"/>
      <c r="Y2" s="88"/>
      <c r="Z2" s="88"/>
      <c r="AB2" s="87" t="s">
        <v>75</v>
      </c>
      <c r="AC2" s="88"/>
      <c r="AD2" s="88"/>
      <c r="AE2" s="88"/>
      <c r="AF2" s="88"/>
      <c r="AG2" s="88"/>
      <c r="AH2" s="88"/>
      <c r="AI2" s="88"/>
      <c r="AJ2" s="1" t="s">
        <v>7</v>
      </c>
      <c r="AK2" t="s">
        <v>76</v>
      </c>
    </row>
    <row r="3" spans="1:37" ht="15.75" customHeight="1" thickTop="1">
      <c r="A3" s="6" t="str">
        <f>CONCATENATE("TOTAL: ",SUM(B3:G3))</f>
        <v>TOTAL: 0</v>
      </c>
      <c r="B3" s="5">
        <f>SUM(EPV_PARALISIS_FLACIDA_AGUDA[D1])</f>
        <v>0</v>
      </c>
      <c r="C3" s="5">
        <f>SUM(EPV_PARALISIS_FLACIDA_AGUDA[D2])</f>
        <v>0</v>
      </c>
      <c r="D3" s="5">
        <f>SUM(EPV_PARALISIS_FLACIDA_AGUDA[D3])</f>
        <v>0</v>
      </c>
      <c r="E3" s="5">
        <f>SUM(EPV_PARALISIS_FLACIDA_AGUDA[D4])</f>
        <v>0</v>
      </c>
      <c r="F3" s="5">
        <f>SUM(EPV_PARALISIS_FLACIDA_AGUDA[D5])</f>
        <v>0</v>
      </c>
      <c r="G3" s="5">
        <f>SUM(EPV_PARALISIS_FLACIDA_AGUDA[D6])</f>
        <v>0</v>
      </c>
      <c r="H3" s="7"/>
      <c r="J3" s="6" t="str">
        <f>CONCATENATE("TOTAL: ",SUM(K3:P3))</f>
        <v>TOTAL: 0</v>
      </c>
      <c r="K3" s="5">
        <f>SUM(EPV_RUBEOLA[D1])</f>
        <v>0</v>
      </c>
      <c r="L3" s="5">
        <f>SUM(EPV_RUBEOLA[D2])</f>
        <v>0</v>
      </c>
      <c r="M3" s="5">
        <f>SUM(EPV_RUBEOLA[D3])</f>
        <v>0</v>
      </c>
      <c r="N3" s="5">
        <f>SUM(EPV_RUBEOLA[D4])</f>
        <v>0</v>
      </c>
      <c r="O3" s="5">
        <f>SUM(EPV_RUBEOLA[D5])</f>
        <v>0</v>
      </c>
      <c r="P3" s="5">
        <f>SUM(EPV_RUBEOLA[D6])</f>
        <v>0</v>
      </c>
      <c r="Q3" s="7"/>
      <c r="S3" s="6" t="str">
        <f>CONCATENATE("TOTAL: ",SUM(T3:Y3))</f>
        <v>TOTAL: 0</v>
      </c>
      <c r="T3" s="5">
        <f>SUM(EPV_SARAMPION[D1])</f>
        <v>0</v>
      </c>
      <c r="U3" s="5">
        <f>SUM(EPV_SARAMPION[D2])</f>
        <v>0</v>
      </c>
      <c r="V3" s="5">
        <f>SUM(EPV_SARAMPION[D3])</f>
        <v>0</v>
      </c>
      <c r="W3" s="5">
        <f>SUM(EPV_SARAMPION[D4])</f>
        <v>0</v>
      </c>
      <c r="X3" s="5">
        <f>SUM(EPV_SARAMPION[D5])</f>
        <v>0</v>
      </c>
      <c r="Y3" s="5">
        <f>SUM(EPV_SARAMPION[D6])</f>
        <v>0</v>
      </c>
      <c r="Z3" s="7"/>
      <c r="AB3" s="6" t="str">
        <f>CONCATENATE("TOTAL: ",SUM(AC3:AH3))</f>
        <v>TOTAL: 0</v>
      </c>
      <c r="AC3" s="5">
        <f>SUM(EPV_DIFTERIA[D1])</f>
        <v>0</v>
      </c>
      <c r="AD3" s="5">
        <f>SUM(EPV_DIFTERIA[D2])</f>
        <v>0</v>
      </c>
      <c r="AE3" s="5">
        <f>SUM(EPV_DIFTERIA[D3])</f>
        <v>0</v>
      </c>
      <c r="AF3" s="5">
        <f>SUM(EPV_DIFTERIA[D4])</f>
        <v>0</v>
      </c>
      <c r="AG3" s="5">
        <f>SUM(EPV_DIFTERIA[D5])</f>
        <v>0</v>
      </c>
      <c r="AH3" s="5">
        <f>SUM(EPV_DIFTERIA[D6])</f>
        <v>0</v>
      </c>
      <c r="AI3" s="7"/>
      <c r="AJ3" s="86"/>
      <c r="AK3" s="86"/>
    </row>
    <row r="4" spans="1:37">
      <c r="A4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10" t="s">
        <v>84</v>
      </c>
      <c r="J4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8" t="s">
        <v>84</v>
      </c>
      <c r="S4" t="s">
        <v>77</v>
      </c>
      <c r="T4" s="3" t="s">
        <v>78</v>
      </c>
      <c r="U4" s="3" t="s">
        <v>79</v>
      </c>
      <c r="V4" s="3" t="s">
        <v>80</v>
      </c>
      <c r="W4" s="3" t="s">
        <v>81</v>
      </c>
      <c r="X4" s="3" t="s">
        <v>82</v>
      </c>
      <c r="Y4" s="3" t="s">
        <v>83</v>
      </c>
      <c r="Z4" s="8" t="s">
        <v>84</v>
      </c>
      <c r="AB4" t="s">
        <v>77</v>
      </c>
      <c r="AC4" s="3" t="s">
        <v>78</v>
      </c>
      <c r="AD4" s="3" t="s">
        <v>79</v>
      </c>
      <c r="AE4" s="3" t="s">
        <v>80</v>
      </c>
      <c r="AF4" s="3" t="s">
        <v>81</v>
      </c>
      <c r="AG4" s="3" t="s">
        <v>82</v>
      </c>
      <c r="AH4" s="3" t="s">
        <v>83</v>
      </c>
      <c r="AI4" s="8" t="s">
        <v>84</v>
      </c>
    </row>
    <row r="5" spans="1:37">
      <c r="A5" s="4" t="s">
        <v>85</v>
      </c>
      <c r="B5" s="3">
        <f>IF($AK$2="(Todas)",COUNTIF(BASE[CODCIE10],EPV_PARALISIS_FLACIDA_AGUDA[[#This Row],[CIE-10]]),COUNTIFS(BASE[Cod.Establecimiento],$AK$2,BASE[CODCIE10],EPV_PARALISIS_FLACIDA_AGUDA[[#This Row],[CIE-10]]))</f>
        <v>0</v>
      </c>
      <c r="C5" s="3">
        <f>IF($AK$2="(Todas)",COUNTIF(BASE[CODCIE102],EPV_PARALISIS_FLACIDA_AGUDA[[#This Row],[CIE-10]]),COUNTIFS(BASE[Cod.Establecimiento],$AK$2,BASE[CODCIE102],EPV_PARALISIS_FLACIDA_AGUDA[[#This Row],[CIE-10]]))</f>
        <v>0</v>
      </c>
      <c r="D5" s="3">
        <f>IF($AK$2="(Todas)",COUNTIF(BASE[CODCIE104],EPV_PARALISIS_FLACIDA_AGUDA[[#This Row],[CIE-10]]),COUNTIFS(BASE[Cod.Establecimiento],$AK$2,BASE[CODCIE104],EPV_PARALISIS_FLACIDA_AGUDA[[#This Row],[CIE-10]]))</f>
        <v>0</v>
      </c>
      <c r="E5" s="3">
        <f>IF($AK$2="(Todas)",COUNTIF(BASE[CODCIE106],EPV_PARALISIS_FLACIDA_AGUDA[[#This Row],[CIE-10]]),COUNTIFS(BASE[Cod.Establecimiento],$AK$2,BASE[CODCIE106],EPV_PARALISIS_FLACIDA_AGUDA[[#This Row],[CIE-10]]))</f>
        <v>0</v>
      </c>
      <c r="F5" s="3">
        <f>IF($AK$2="(Todas)",COUNTIF(BASE[CODCIE108],EPV_PARALISIS_FLACIDA_AGUDA[[#This Row],[CIE-10]]),COUNTIFS(BASE[Cod.Establecimiento],$AK$2,BASE[CODCIE108],EPV_PARALISIS_FLACIDA_AGUDA[[#This Row],[CIE-10]]))</f>
        <v>0</v>
      </c>
      <c r="G5" s="3">
        <f>IF($AK$2="(Todas)",COUNTIF(BASE[CODCIE1010],EPV_PARALISIS_FLACIDA_AGUDA[[#This Row],[CIE-10]]),COUNTIFS(BASE[Cod.Establecimiento],$AK$2,BASE[CODCIE1010],EPV_PARALISIS_FLACIDA_AGUDA[[#This Row],[CIE-10]]))</f>
        <v>0</v>
      </c>
      <c r="H5" s="9">
        <f>SUM(EPV_PARALISIS_FLACIDA_AGUDA[[#This Row],[D1]:[D6]])</f>
        <v>0</v>
      </c>
      <c r="J5" s="4" t="s">
        <v>86</v>
      </c>
      <c r="K5" s="3">
        <f>IF($AK$2="(Todas)",COUNTIF(BASE[CODCIE10],EPV_RUBEOLA[[#This Row],[CIE-10]]),COUNTIFS(BASE[Cod.Establecimiento],$AK$2,BASE[CODCIE10],EPV_RUBEOLA[[#This Row],[CIE-10]]))</f>
        <v>0</v>
      </c>
      <c r="L5" s="3">
        <f>IF($AK$2="(Todas)",COUNTIF(BASE[CODCIE102],EPV_RUBEOLA[[#This Row],[CIE-10]]),COUNTIFS(BASE[Cod.Establecimiento],$AK$2,BASE[CODCIE102],EPV_RUBEOLA[[#This Row],[CIE-10]]))</f>
        <v>0</v>
      </c>
      <c r="M5" s="3">
        <f>IF($AK$2="(Todas)",COUNTIF(BASE[CODCIE104],EPV_RUBEOLA[[#This Row],[CIE-10]]),COUNTIFS(BASE[Cod.Establecimiento],$AK$2,BASE[CODCIE104],EPV_RUBEOLA[[#This Row],[CIE-10]]))</f>
        <v>0</v>
      </c>
      <c r="N5" s="3">
        <f>IF($AK$2="(Todas)",COUNTIF(BASE[CODCIE106],EPV_RUBEOLA[[#This Row],[CIE-10]]),COUNTIFS(BASE[Cod.Establecimiento],$AK$2,BASE[CODCIE106],EPV_RUBEOLA[[#This Row],[CIE-10]]))</f>
        <v>0</v>
      </c>
      <c r="O5" s="3">
        <f>IF($AK$2="(Todas)",COUNTIF(BASE[CODCIE108],EPV_RUBEOLA[[#This Row],[CIE-10]]),COUNTIFS(BASE[Cod.Establecimiento],$AK$2,BASE[CODCIE108],EPV_RUBEOLA[[#This Row],[CIE-10]]))</f>
        <v>0</v>
      </c>
      <c r="P5" s="3">
        <f>IF($AK$2="(Todas)",COUNTIF(BASE[CODCIE1010],EPV_RUBEOLA[[#This Row],[CIE-10]]),COUNTIFS(BASE[Cod.Establecimiento],$AK$2,BASE[CODCIE1010],EPV_RUBEOLA[[#This Row],[CIE-10]]))</f>
        <v>0</v>
      </c>
      <c r="Q5" s="9">
        <f>SUM(EPV_RUBEOLA[[#This Row],[D1]:[D6]])</f>
        <v>0</v>
      </c>
      <c r="S5" s="4" t="s">
        <v>86</v>
      </c>
      <c r="T5" s="3">
        <f>IF($AK$2="(Todas)",COUNTIF(BASE[CODCIE10],EPV_SARAMPION[[#This Row],[CIE-10]]),COUNTIFS(BASE[Cod.Establecimiento],$AK$2,BASE[CODCIE10],EPV_SARAMPION[[#This Row],[CIE-10]]))</f>
        <v>0</v>
      </c>
      <c r="U5" s="3">
        <f>IF($AK$2="(Todas)",COUNTIF(BASE[CODCIE102],EPV_SARAMPION[[#This Row],[CIE-10]]),COUNTIFS(BASE[Cod.Establecimiento],$AK$2,BASE[CODCIE102],EPV_SARAMPION[[#This Row],[CIE-10]]))</f>
        <v>0</v>
      </c>
      <c r="V5" s="3">
        <f>IF($AK$2="(Todas)",COUNTIF(BASE[CODCIE104],EPV_SARAMPION[[#This Row],[CIE-10]]),COUNTIFS(BASE[Cod.Establecimiento],$AK$2,BASE[CODCIE104],EPV_SARAMPION[[#This Row],[CIE-10]]))</f>
        <v>0</v>
      </c>
      <c r="W5" s="3">
        <f>IF($AK$2="(Todas)",COUNTIF(BASE[CODCIE106],EPV_SARAMPION[[#This Row],[CIE-10]]),COUNTIFS(BASE[Cod.Establecimiento],$AK$2,BASE[CODCIE106],EPV_SARAMPION[[#This Row],[CIE-10]]))</f>
        <v>0</v>
      </c>
      <c r="X5" s="3">
        <f>IF($AK$2="(Todas)",COUNTIF(BASE[CODCIE108],EPV_SARAMPION[[#This Row],[CIE-10]]),COUNTIFS(BASE[Cod.Establecimiento],$AK$2,BASE[CODCIE108],EPV_SARAMPION[[#This Row],[CIE-10]]))</f>
        <v>0</v>
      </c>
      <c r="Y5" s="3">
        <f>IF($AK$2="(Todas)",COUNTIF(BASE[CODCIE1010],EPV_SARAMPION[[#This Row],[CIE-10]]),COUNTIFS(BASE[Cod.Establecimiento],$AK$2,BASE[CODCIE1010],EPV_SARAMPION[[#This Row],[CIE-10]]))</f>
        <v>0</v>
      </c>
      <c r="Z5" s="9">
        <f>SUM(EPV_SARAMPION[[#This Row],[D1]:[D6]])</f>
        <v>0</v>
      </c>
      <c r="AB5" s="4" t="s">
        <v>289</v>
      </c>
      <c r="AC5" s="3">
        <f>IF($AK$2="(Todas)",COUNTIF(BASE[CODCIE10],EPV_DIFTERIA[[#This Row],[CIE-10]]),COUNTIFS(BASE[Cod.Establecimiento],$AK$2,BASE[CODCIE10],EPV_DIFTERIA[[#This Row],[CIE-10]]))</f>
        <v>0</v>
      </c>
      <c r="AD5" s="3">
        <f>IF($AK$2="(Todas)",COUNTIF(BASE[CODCIE102],EPV_DIFTERIA[[#This Row],[CIE-10]]),COUNTIFS(BASE[Cod.Establecimiento],$AK$2,BASE[CODCIE102],EPV_DIFTERIA[[#This Row],[CIE-10]]))</f>
        <v>0</v>
      </c>
      <c r="AE5" s="3">
        <f>IF($AK$2="(Todas)",COUNTIF(BASE[CODCIE104],EPV_DIFTERIA[[#This Row],[CIE-10]]),COUNTIFS(BASE[Cod.Establecimiento],$AK$2,BASE[CODCIE104],EPV_DIFTERIA[[#This Row],[CIE-10]]))</f>
        <v>0</v>
      </c>
      <c r="AF5" s="3">
        <f>IF($AK$2="(Todas)",COUNTIF(BASE[CODCIE106],EPV_DIFTERIA[[#This Row],[CIE-10]]),COUNTIFS(BASE[Cod.Establecimiento],$AK$2,BASE[CODCIE106],EPV_DIFTERIA[[#This Row],[CIE-10]]))</f>
        <v>0</v>
      </c>
      <c r="AG5" s="3">
        <f>IF($AK$2="(Todas)",COUNTIF(BASE[CODCIE108],EPV_DIFTERIA[[#This Row],[CIE-10]]),COUNTIFS(BASE[Cod.Establecimiento],$AK$2,BASE[CODCIE108],EPV_DIFTERIA[[#This Row],[CIE-10]]))</f>
        <v>0</v>
      </c>
      <c r="AH5" s="3">
        <f>IF($AK$2="(Todas)",COUNTIF(BASE[CODCIE1010],EPV_DIFTERIA[[#This Row],[CIE-10]]),COUNTIFS(BASE[Cod.Establecimiento],$AK$2,BASE[CODCIE1010],EPV_DIFTERIA[[#This Row],[CIE-10]]))</f>
        <v>0</v>
      </c>
      <c r="AI5" s="9">
        <f>SUM(EPV_DIFTERIA[[#This Row],[D1]:[D6]])</f>
        <v>0</v>
      </c>
    </row>
    <row r="6" spans="1:37">
      <c r="A6" s="4" t="s">
        <v>87</v>
      </c>
      <c r="B6" s="3">
        <f>IF($AK$2="(Todas)",COUNTIF(BASE[CODCIE10],EPV_PARALISIS_FLACIDA_AGUDA[[#This Row],[CIE-10]]),COUNTIFS(BASE[Cod.Establecimiento],$AK$2,BASE[CODCIE10],EPV_PARALISIS_FLACIDA_AGUDA[[#This Row],[CIE-10]]))</f>
        <v>0</v>
      </c>
      <c r="C6" s="3">
        <f>IF($AK$2="(Todas)",COUNTIF(BASE[CODCIE102],EPV_PARALISIS_FLACIDA_AGUDA[[#This Row],[CIE-10]]),COUNTIFS(BASE[Cod.Establecimiento],$AK$2,BASE[CODCIE102],EPV_PARALISIS_FLACIDA_AGUDA[[#This Row],[CIE-10]]))</f>
        <v>0</v>
      </c>
      <c r="D6" s="3">
        <f>IF($AK$2="(Todas)",COUNTIF(BASE[CODCIE104],EPV_PARALISIS_FLACIDA_AGUDA[[#This Row],[CIE-10]]),COUNTIFS(BASE[Cod.Establecimiento],$AK$2,BASE[CODCIE104],EPV_PARALISIS_FLACIDA_AGUDA[[#This Row],[CIE-10]]))</f>
        <v>0</v>
      </c>
      <c r="E6" s="3">
        <f>IF($AK$2="(Todas)",COUNTIF(BASE[CODCIE106],EPV_PARALISIS_FLACIDA_AGUDA[[#This Row],[CIE-10]]),COUNTIFS(BASE[Cod.Establecimiento],$AK$2,BASE[CODCIE106],EPV_PARALISIS_FLACIDA_AGUDA[[#This Row],[CIE-10]]))</f>
        <v>0</v>
      </c>
      <c r="F6" s="3">
        <f>IF($AK$2="(Todas)",COUNTIF(BASE[CODCIE108],EPV_PARALISIS_FLACIDA_AGUDA[[#This Row],[CIE-10]]),COUNTIFS(BASE[Cod.Establecimiento],$AK$2,BASE[CODCIE108],EPV_PARALISIS_FLACIDA_AGUDA[[#This Row],[CIE-10]]))</f>
        <v>0</v>
      </c>
      <c r="G6" s="3">
        <f>IF($AK$2="(Todas)",COUNTIF(BASE[CODCIE1010],EPV_PARALISIS_FLACIDA_AGUDA[[#This Row],[CIE-10]]),COUNTIFS(BASE[Cod.Establecimiento],$AK$2,BASE[CODCIE1010],EPV_PARALISIS_FLACIDA_AGUDA[[#This Row],[CIE-10]]))</f>
        <v>0</v>
      </c>
      <c r="H6" s="9">
        <f>SUM(EPV_PARALISIS_FLACIDA_AGUDA[[#This Row],[D1]:[D6]])</f>
        <v>0</v>
      </c>
      <c r="J6" s="4" t="s">
        <v>88</v>
      </c>
      <c r="K6" s="3">
        <f>IF($AK$2="(Todas)",COUNTIF(BASE[CODCIE10],EPV_RUBEOLA[[#This Row],[CIE-10]]),COUNTIFS(BASE[Cod.Establecimiento],$AK$2,BASE[CODCIE10],EPV_RUBEOLA[[#This Row],[CIE-10]]))</f>
        <v>0</v>
      </c>
      <c r="L6" s="3">
        <f>IF($AK$2="(Todas)",COUNTIF(BASE[CODCIE102],EPV_RUBEOLA[[#This Row],[CIE-10]]),COUNTIFS(BASE[Cod.Establecimiento],$AK$2,BASE[CODCIE102],EPV_RUBEOLA[[#This Row],[CIE-10]]))</f>
        <v>0</v>
      </c>
      <c r="M6" s="3">
        <f>IF($AK$2="(Todas)",COUNTIF(BASE[CODCIE104],EPV_RUBEOLA[[#This Row],[CIE-10]]),COUNTIFS(BASE[Cod.Establecimiento],$AK$2,BASE[CODCIE104],EPV_RUBEOLA[[#This Row],[CIE-10]]))</f>
        <v>0</v>
      </c>
      <c r="N6" s="3">
        <f>IF($AK$2="(Todas)",COUNTIF(BASE[CODCIE106],EPV_RUBEOLA[[#This Row],[CIE-10]]),COUNTIFS(BASE[Cod.Establecimiento],$AK$2,BASE[CODCIE106],EPV_RUBEOLA[[#This Row],[CIE-10]]))</f>
        <v>0</v>
      </c>
      <c r="O6" s="3">
        <f>IF($AK$2="(Todas)",COUNTIF(BASE[CODCIE108],EPV_RUBEOLA[[#This Row],[CIE-10]]),COUNTIFS(BASE[Cod.Establecimiento],$AK$2,BASE[CODCIE108],EPV_RUBEOLA[[#This Row],[CIE-10]]))</f>
        <v>0</v>
      </c>
      <c r="P6" s="3">
        <f>IF($AK$2="(Todas)",COUNTIF(BASE[CODCIE1010],EPV_RUBEOLA[[#This Row],[CIE-10]]),COUNTIFS(BASE[Cod.Establecimiento],$AK$2,BASE[CODCIE1010],EPV_RUBEOLA[[#This Row],[CIE-10]]))</f>
        <v>0</v>
      </c>
      <c r="Q6" s="9">
        <f>SUM(EPV_RUBEOLA[[#This Row],[D1]:[D6]])</f>
        <v>0</v>
      </c>
      <c r="S6" s="4" t="s">
        <v>88</v>
      </c>
      <c r="T6" s="3">
        <f>IF($AK$2="(Todas)",COUNTIF(BASE[CODCIE10],EPV_SARAMPION[[#This Row],[CIE-10]]),COUNTIFS(BASE[Cod.Establecimiento],$AK$2,BASE[CODCIE10],EPV_SARAMPION[[#This Row],[CIE-10]]))</f>
        <v>0</v>
      </c>
      <c r="U6" s="3">
        <f>IF($AK$2="(Todas)",COUNTIF(BASE[CODCIE102],EPV_SARAMPION[[#This Row],[CIE-10]]),COUNTIFS(BASE[Cod.Establecimiento],$AK$2,BASE[CODCIE102],EPV_SARAMPION[[#This Row],[CIE-10]]))</f>
        <v>0</v>
      </c>
      <c r="V6" s="3">
        <f>IF($AK$2="(Todas)",COUNTIF(BASE[CODCIE104],EPV_SARAMPION[[#This Row],[CIE-10]]),COUNTIFS(BASE[Cod.Establecimiento],$AK$2,BASE[CODCIE104],EPV_SARAMPION[[#This Row],[CIE-10]]))</f>
        <v>0</v>
      </c>
      <c r="W6" s="3">
        <f>IF($AK$2="(Todas)",COUNTIF(BASE[CODCIE106],EPV_SARAMPION[[#This Row],[CIE-10]]),COUNTIFS(BASE[Cod.Establecimiento],$AK$2,BASE[CODCIE106],EPV_SARAMPION[[#This Row],[CIE-10]]))</f>
        <v>0</v>
      </c>
      <c r="X6" s="3">
        <f>IF($AK$2="(Todas)",COUNTIF(BASE[CODCIE108],EPV_SARAMPION[[#This Row],[CIE-10]]),COUNTIFS(BASE[Cod.Establecimiento],$AK$2,BASE[CODCIE108],EPV_SARAMPION[[#This Row],[CIE-10]]))</f>
        <v>0</v>
      </c>
      <c r="Y6" s="3">
        <f>IF($AK$2="(Todas)",COUNTIF(BASE[CODCIE1010],EPV_SARAMPION[[#This Row],[CIE-10]]),COUNTIFS(BASE[Cod.Establecimiento],$AK$2,BASE[CODCIE1010],EPV_SARAMPION[[#This Row],[CIE-10]]))</f>
        <v>0</v>
      </c>
      <c r="Z6" s="9">
        <f>SUM(EPV_SARAMPION[[#This Row],[D1]:[D6]])</f>
        <v>0</v>
      </c>
      <c r="AB6" s="4" t="s">
        <v>290</v>
      </c>
      <c r="AC6" s="3">
        <f>IF($AK$2="(Todas)",COUNTIF(BASE[CODCIE10],EPV_DIFTERIA[[#This Row],[CIE-10]]),COUNTIFS(BASE[Cod.Establecimiento],$AK$2,BASE[CODCIE10],EPV_DIFTERIA[[#This Row],[CIE-10]]))</f>
        <v>0</v>
      </c>
      <c r="AD6" s="3">
        <f>IF($AK$2="(Todas)",COUNTIF(BASE[CODCIE102],EPV_DIFTERIA[[#This Row],[CIE-10]]),COUNTIFS(BASE[Cod.Establecimiento],$AK$2,BASE[CODCIE102],EPV_DIFTERIA[[#This Row],[CIE-10]]))</f>
        <v>0</v>
      </c>
      <c r="AE6" s="3">
        <f>IF($AK$2="(Todas)",COUNTIF(BASE[CODCIE104],EPV_DIFTERIA[[#This Row],[CIE-10]]),COUNTIFS(BASE[Cod.Establecimiento],$AK$2,BASE[CODCIE104],EPV_DIFTERIA[[#This Row],[CIE-10]]))</f>
        <v>0</v>
      </c>
      <c r="AF6" s="3">
        <f>IF($AK$2="(Todas)",COUNTIF(BASE[CODCIE106],EPV_DIFTERIA[[#This Row],[CIE-10]]),COUNTIFS(BASE[Cod.Establecimiento],$AK$2,BASE[CODCIE106],EPV_DIFTERIA[[#This Row],[CIE-10]]))</f>
        <v>0</v>
      </c>
      <c r="AG6" s="3">
        <f>IF($AK$2="(Todas)",COUNTIF(BASE[CODCIE108],EPV_DIFTERIA[[#This Row],[CIE-10]]),COUNTIFS(BASE[Cod.Establecimiento],$AK$2,BASE[CODCIE108],EPV_DIFTERIA[[#This Row],[CIE-10]]))</f>
        <v>0</v>
      </c>
      <c r="AH6" s="3">
        <f>IF($AK$2="(Todas)",COUNTIF(BASE[CODCIE1010],EPV_DIFTERIA[[#This Row],[CIE-10]]),COUNTIFS(BASE[Cod.Establecimiento],$AK$2,BASE[CODCIE1010],EPV_DIFTERIA[[#This Row],[CIE-10]]))</f>
        <v>0</v>
      </c>
      <c r="AI6" s="9">
        <f>SUM(EPV_DIFTERIA[[#This Row],[D1]:[D6]])</f>
        <v>0</v>
      </c>
    </row>
    <row r="7" spans="1:37">
      <c r="A7" s="4" t="s">
        <v>89</v>
      </c>
      <c r="B7" s="3">
        <f>IF($AK$2="(Todas)",COUNTIF(BASE[CODCIE10],EPV_PARALISIS_FLACIDA_AGUDA[[#This Row],[CIE-10]]),COUNTIFS(BASE[Cod.Establecimiento],$AK$2,BASE[CODCIE10],EPV_PARALISIS_FLACIDA_AGUDA[[#This Row],[CIE-10]]))</f>
        <v>0</v>
      </c>
      <c r="C7" s="3">
        <f>IF($AK$2="(Todas)",COUNTIF(BASE[CODCIE102],EPV_PARALISIS_FLACIDA_AGUDA[[#This Row],[CIE-10]]),COUNTIFS(BASE[Cod.Establecimiento],$AK$2,BASE[CODCIE102],EPV_PARALISIS_FLACIDA_AGUDA[[#This Row],[CIE-10]]))</f>
        <v>0</v>
      </c>
      <c r="D7" s="3">
        <f>IF($AK$2="(Todas)",COUNTIF(BASE[CODCIE104],EPV_PARALISIS_FLACIDA_AGUDA[[#This Row],[CIE-10]]),COUNTIFS(BASE[Cod.Establecimiento],$AK$2,BASE[CODCIE104],EPV_PARALISIS_FLACIDA_AGUDA[[#This Row],[CIE-10]]))</f>
        <v>0</v>
      </c>
      <c r="E7" s="3">
        <f>IF($AK$2="(Todas)",COUNTIF(BASE[CODCIE106],EPV_PARALISIS_FLACIDA_AGUDA[[#This Row],[CIE-10]]),COUNTIFS(BASE[Cod.Establecimiento],$AK$2,BASE[CODCIE106],EPV_PARALISIS_FLACIDA_AGUDA[[#This Row],[CIE-10]]))</f>
        <v>0</v>
      </c>
      <c r="F7" s="3">
        <f>IF($AK$2="(Todas)",COUNTIF(BASE[CODCIE108],EPV_PARALISIS_FLACIDA_AGUDA[[#This Row],[CIE-10]]),COUNTIFS(BASE[Cod.Establecimiento],$AK$2,BASE[CODCIE108],EPV_PARALISIS_FLACIDA_AGUDA[[#This Row],[CIE-10]]))</f>
        <v>0</v>
      </c>
      <c r="G7" s="3">
        <f>IF($AK$2="(Todas)",COUNTIF(BASE[CODCIE1010],EPV_PARALISIS_FLACIDA_AGUDA[[#This Row],[CIE-10]]),COUNTIFS(BASE[Cod.Establecimiento],$AK$2,BASE[CODCIE1010],EPV_PARALISIS_FLACIDA_AGUDA[[#This Row],[CIE-10]]))</f>
        <v>0</v>
      </c>
      <c r="H7" s="9">
        <f>SUM(EPV_PARALISIS_FLACIDA_AGUDA[[#This Row],[D1]:[D6]])</f>
        <v>0</v>
      </c>
      <c r="J7" s="4" t="s">
        <v>90</v>
      </c>
      <c r="K7" s="3">
        <f>IF($AK$2="(Todas)",COUNTIF(BASE[CODCIE10],EPV_RUBEOLA[[#This Row],[CIE-10]]),COUNTIFS(BASE[Cod.Establecimiento],$AK$2,BASE[CODCIE10],EPV_RUBEOLA[[#This Row],[CIE-10]]))</f>
        <v>0</v>
      </c>
      <c r="L7" s="3">
        <f>IF($AK$2="(Todas)",COUNTIF(BASE[CODCIE102],EPV_RUBEOLA[[#This Row],[CIE-10]]),COUNTIFS(BASE[Cod.Establecimiento],$AK$2,BASE[CODCIE102],EPV_RUBEOLA[[#This Row],[CIE-10]]))</f>
        <v>0</v>
      </c>
      <c r="M7" s="3">
        <f>IF($AK$2="(Todas)",COUNTIF(BASE[CODCIE104],EPV_RUBEOLA[[#This Row],[CIE-10]]),COUNTIFS(BASE[Cod.Establecimiento],$AK$2,BASE[CODCIE104],EPV_RUBEOLA[[#This Row],[CIE-10]]))</f>
        <v>0</v>
      </c>
      <c r="N7" s="3">
        <f>IF($AK$2="(Todas)",COUNTIF(BASE[CODCIE106],EPV_RUBEOLA[[#This Row],[CIE-10]]),COUNTIFS(BASE[Cod.Establecimiento],$AK$2,BASE[CODCIE106],EPV_RUBEOLA[[#This Row],[CIE-10]]))</f>
        <v>0</v>
      </c>
      <c r="O7" s="3">
        <f>IF($AK$2="(Todas)",COUNTIF(BASE[CODCIE108],EPV_RUBEOLA[[#This Row],[CIE-10]]),COUNTIFS(BASE[Cod.Establecimiento],$AK$2,BASE[CODCIE108],EPV_RUBEOLA[[#This Row],[CIE-10]]))</f>
        <v>0</v>
      </c>
      <c r="P7" s="3">
        <f>IF($AK$2="(Todas)",COUNTIF(BASE[CODCIE1010],EPV_RUBEOLA[[#This Row],[CIE-10]]),COUNTIFS(BASE[Cod.Establecimiento],$AK$2,BASE[CODCIE1010],EPV_RUBEOLA[[#This Row],[CIE-10]]))</f>
        <v>0</v>
      </c>
      <c r="Q7" s="9">
        <f>SUM(EPV_RUBEOLA[[#This Row],[D1]:[D6]])</f>
        <v>0</v>
      </c>
      <c r="S7" s="4" t="s">
        <v>90</v>
      </c>
      <c r="T7" s="3">
        <f>IF($AK$2="(Todas)",COUNTIF(BASE[CODCIE10],EPV_SARAMPION[[#This Row],[CIE-10]]),COUNTIFS(BASE[Cod.Establecimiento],$AK$2,BASE[CODCIE10],EPV_SARAMPION[[#This Row],[CIE-10]]))</f>
        <v>0</v>
      </c>
      <c r="U7" s="3">
        <f>IF($AK$2="(Todas)",COUNTIF(BASE[CODCIE102],EPV_SARAMPION[[#This Row],[CIE-10]]),COUNTIFS(BASE[Cod.Establecimiento],$AK$2,BASE[CODCIE102],EPV_SARAMPION[[#This Row],[CIE-10]]))</f>
        <v>0</v>
      </c>
      <c r="V7" s="3">
        <f>IF($AK$2="(Todas)",COUNTIF(BASE[CODCIE104],EPV_SARAMPION[[#This Row],[CIE-10]]),COUNTIFS(BASE[Cod.Establecimiento],$AK$2,BASE[CODCIE104],EPV_SARAMPION[[#This Row],[CIE-10]]))</f>
        <v>0</v>
      </c>
      <c r="W7" s="3">
        <f>IF($AK$2="(Todas)",COUNTIF(BASE[CODCIE106],EPV_SARAMPION[[#This Row],[CIE-10]]),COUNTIFS(BASE[Cod.Establecimiento],$AK$2,BASE[CODCIE106],EPV_SARAMPION[[#This Row],[CIE-10]]))</f>
        <v>0</v>
      </c>
      <c r="X7" s="3">
        <f>IF($AK$2="(Todas)",COUNTIF(BASE[CODCIE108],EPV_SARAMPION[[#This Row],[CIE-10]]),COUNTIFS(BASE[Cod.Establecimiento],$AK$2,BASE[CODCIE108],EPV_SARAMPION[[#This Row],[CIE-10]]))</f>
        <v>0</v>
      </c>
      <c r="Y7" s="3">
        <f>IF($AK$2="(Todas)",COUNTIF(BASE[CODCIE1010],EPV_SARAMPION[[#This Row],[CIE-10]]),COUNTIFS(BASE[Cod.Establecimiento],$AK$2,BASE[CODCIE1010],EPV_SARAMPION[[#This Row],[CIE-10]]))</f>
        <v>0</v>
      </c>
      <c r="Z7" s="9">
        <f>SUM(EPV_SARAMPION[[#This Row],[D1]:[D6]])</f>
        <v>0</v>
      </c>
      <c r="AB7" s="4" t="s">
        <v>291</v>
      </c>
      <c r="AC7" s="3">
        <f>IF($AK$2="(Todas)",COUNTIF(BASE[CODCIE10],EPV_DIFTERIA[[#This Row],[CIE-10]]),COUNTIFS(BASE[Cod.Establecimiento],$AK$2,BASE[CODCIE10],EPV_DIFTERIA[[#This Row],[CIE-10]]))</f>
        <v>0</v>
      </c>
      <c r="AD7" s="3">
        <f>IF($AK$2="(Todas)",COUNTIF(BASE[CODCIE102],EPV_DIFTERIA[[#This Row],[CIE-10]]),COUNTIFS(BASE[Cod.Establecimiento],$AK$2,BASE[CODCIE102],EPV_DIFTERIA[[#This Row],[CIE-10]]))</f>
        <v>0</v>
      </c>
      <c r="AE7" s="3">
        <f>IF($AK$2="(Todas)",COUNTIF(BASE[CODCIE104],EPV_DIFTERIA[[#This Row],[CIE-10]]),COUNTIFS(BASE[Cod.Establecimiento],$AK$2,BASE[CODCIE104],EPV_DIFTERIA[[#This Row],[CIE-10]]))</f>
        <v>0</v>
      </c>
      <c r="AF7" s="3">
        <f>IF($AK$2="(Todas)",COUNTIF(BASE[CODCIE106],EPV_DIFTERIA[[#This Row],[CIE-10]]),COUNTIFS(BASE[Cod.Establecimiento],$AK$2,BASE[CODCIE106],EPV_DIFTERIA[[#This Row],[CIE-10]]))</f>
        <v>0</v>
      </c>
      <c r="AG7" s="3">
        <f>IF($AK$2="(Todas)",COUNTIF(BASE[CODCIE108],EPV_DIFTERIA[[#This Row],[CIE-10]]),COUNTIFS(BASE[Cod.Establecimiento],$AK$2,BASE[CODCIE108],EPV_DIFTERIA[[#This Row],[CIE-10]]))</f>
        <v>0</v>
      </c>
      <c r="AH7" s="3">
        <f>IF($AK$2="(Todas)",COUNTIF(BASE[CODCIE1010],EPV_DIFTERIA[[#This Row],[CIE-10]]),COUNTIFS(BASE[Cod.Establecimiento],$AK$2,BASE[CODCIE1010],EPV_DIFTERIA[[#This Row],[CIE-10]]))</f>
        <v>0</v>
      </c>
      <c r="AI7" s="9">
        <f>SUM(EPV_DIFTERIA[[#This Row],[D1]:[D6]])</f>
        <v>0</v>
      </c>
    </row>
    <row r="8" spans="1:37">
      <c r="A8" s="4" t="s">
        <v>91</v>
      </c>
      <c r="B8" s="3">
        <f>IF($AK$2="(Todas)",COUNTIF(BASE[CODCIE10],EPV_PARALISIS_FLACIDA_AGUDA[[#This Row],[CIE-10]]),COUNTIFS(BASE[Cod.Establecimiento],$AK$2,BASE[CODCIE10],EPV_PARALISIS_FLACIDA_AGUDA[[#This Row],[CIE-10]]))</f>
        <v>0</v>
      </c>
      <c r="C8" s="3">
        <f>IF($AK$2="(Todas)",COUNTIF(BASE[CODCIE102],EPV_PARALISIS_FLACIDA_AGUDA[[#This Row],[CIE-10]]),COUNTIFS(BASE[Cod.Establecimiento],$AK$2,BASE[CODCIE102],EPV_PARALISIS_FLACIDA_AGUDA[[#This Row],[CIE-10]]))</f>
        <v>0</v>
      </c>
      <c r="D8" s="3">
        <f>IF($AK$2="(Todas)",COUNTIF(BASE[CODCIE104],EPV_PARALISIS_FLACIDA_AGUDA[[#This Row],[CIE-10]]),COUNTIFS(BASE[Cod.Establecimiento],$AK$2,BASE[CODCIE104],EPV_PARALISIS_FLACIDA_AGUDA[[#This Row],[CIE-10]]))</f>
        <v>0</v>
      </c>
      <c r="E8" s="3">
        <f>IF($AK$2="(Todas)",COUNTIF(BASE[CODCIE106],EPV_PARALISIS_FLACIDA_AGUDA[[#This Row],[CIE-10]]),COUNTIFS(BASE[Cod.Establecimiento],$AK$2,BASE[CODCIE106],EPV_PARALISIS_FLACIDA_AGUDA[[#This Row],[CIE-10]]))</f>
        <v>0</v>
      </c>
      <c r="F8" s="3">
        <f>IF($AK$2="(Todas)",COUNTIF(BASE[CODCIE108],EPV_PARALISIS_FLACIDA_AGUDA[[#This Row],[CIE-10]]),COUNTIFS(BASE[Cod.Establecimiento],$AK$2,BASE[CODCIE108],EPV_PARALISIS_FLACIDA_AGUDA[[#This Row],[CIE-10]]))</f>
        <v>0</v>
      </c>
      <c r="G8" s="3">
        <f>IF($AK$2="(Todas)",COUNTIF(BASE[CODCIE1010],EPV_PARALISIS_FLACIDA_AGUDA[[#This Row],[CIE-10]]),COUNTIFS(BASE[Cod.Establecimiento],$AK$2,BASE[CODCIE1010],EPV_PARALISIS_FLACIDA_AGUDA[[#This Row],[CIE-10]]))</f>
        <v>0</v>
      </c>
      <c r="H8" s="9">
        <f>SUM(EPV_PARALISIS_FLACIDA_AGUDA[[#This Row],[D1]:[D6]])</f>
        <v>0</v>
      </c>
      <c r="J8" s="4" t="s">
        <v>68</v>
      </c>
      <c r="K8" s="3">
        <f>IF($AK$2="(Todas)",COUNTIF(BASE[CODCIE10],EPV_RUBEOLA[[#This Row],[CIE-10]]),COUNTIFS(BASE[Cod.Establecimiento],$AK$2,BASE[CODCIE10],EPV_RUBEOLA[[#This Row],[CIE-10]]))</f>
        <v>0</v>
      </c>
      <c r="L8" s="3">
        <f>IF($AK$2="(Todas)",COUNTIF(BASE[CODCIE102],EPV_RUBEOLA[[#This Row],[CIE-10]]),COUNTIFS(BASE[Cod.Establecimiento],$AK$2,BASE[CODCIE102],EPV_RUBEOLA[[#This Row],[CIE-10]]))</f>
        <v>0</v>
      </c>
      <c r="M8" s="3">
        <f>IF($AK$2="(Todas)",COUNTIF(BASE[CODCIE104],EPV_RUBEOLA[[#This Row],[CIE-10]]),COUNTIFS(BASE[Cod.Establecimiento],$AK$2,BASE[CODCIE104],EPV_RUBEOLA[[#This Row],[CIE-10]]))</f>
        <v>0</v>
      </c>
      <c r="N8" s="3">
        <f>IF($AK$2="(Todas)",COUNTIF(BASE[CODCIE106],EPV_RUBEOLA[[#This Row],[CIE-10]]),COUNTIFS(BASE[Cod.Establecimiento],$AK$2,BASE[CODCIE106],EPV_RUBEOLA[[#This Row],[CIE-10]]))</f>
        <v>0</v>
      </c>
      <c r="O8" s="3">
        <f>IF($AK$2="(Todas)",COUNTIF(BASE[CODCIE108],EPV_RUBEOLA[[#This Row],[CIE-10]]),COUNTIFS(BASE[Cod.Establecimiento],$AK$2,BASE[CODCIE108],EPV_RUBEOLA[[#This Row],[CIE-10]]))</f>
        <v>0</v>
      </c>
      <c r="P8" s="3">
        <f>IF($AK$2="(Todas)",COUNTIF(BASE[CODCIE1010],EPV_RUBEOLA[[#This Row],[CIE-10]]),COUNTIFS(BASE[Cod.Establecimiento],$AK$2,BASE[CODCIE1010],EPV_RUBEOLA[[#This Row],[CIE-10]]))</f>
        <v>0</v>
      </c>
      <c r="Q8" s="9">
        <f>SUM(EPV_RUBEOLA[[#This Row],[D1]:[D6]])</f>
        <v>0</v>
      </c>
      <c r="S8" s="4" t="s">
        <v>68</v>
      </c>
      <c r="T8" s="3">
        <f>IF($AK$2="(Todas)",COUNTIF(BASE[CODCIE10],EPV_SARAMPION[[#This Row],[CIE-10]]),COUNTIFS(BASE[Cod.Establecimiento],$AK$2,BASE[CODCIE10],EPV_SARAMPION[[#This Row],[CIE-10]]))</f>
        <v>0</v>
      </c>
      <c r="U8" s="3">
        <f>IF($AK$2="(Todas)",COUNTIF(BASE[CODCIE102],EPV_SARAMPION[[#This Row],[CIE-10]]),COUNTIFS(BASE[Cod.Establecimiento],$AK$2,BASE[CODCIE102],EPV_SARAMPION[[#This Row],[CIE-10]]))</f>
        <v>0</v>
      </c>
      <c r="V8" s="3">
        <f>IF($AK$2="(Todas)",COUNTIF(BASE[CODCIE104],EPV_SARAMPION[[#This Row],[CIE-10]]),COUNTIFS(BASE[Cod.Establecimiento],$AK$2,BASE[CODCIE104],EPV_SARAMPION[[#This Row],[CIE-10]]))</f>
        <v>0</v>
      </c>
      <c r="W8" s="3">
        <f>IF($AK$2="(Todas)",COUNTIF(BASE[CODCIE106],EPV_SARAMPION[[#This Row],[CIE-10]]),COUNTIFS(BASE[Cod.Establecimiento],$AK$2,BASE[CODCIE106],EPV_SARAMPION[[#This Row],[CIE-10]]))</f>
        <v>0</v>
      </c>
      <c r="X8" s="3">
        <f>IF($AK$2="(Todas)",COUNTIF(BASE[CODCIE108],EPV_SARAMPION[[#This Row],[CIE-10]]),COUNTIFS(BASE[Cod.Establecimiento],$AK$2,BASE[CODCIE108],EPV_SARAMPION[[#This Row],[CIE-10]]))</f>
        <v>0</v>
      </c>
      <c r="Y8" s="3">
        <f>IF($AK$2="(Todas)",COUNTIF(BASE[CODCIE1010],EPV_SARAMPION[[#This Row],[CIE-10]]),COUNTIFS(BASE[Cod.Establecimiento],$AK$2,BASE[CODCIE1010],EPV_SARAMPION[[#This Row],[CIE-10]]))</f>
        <v>0</v>
      </c>
      <c r="Z8" s="9">
        <f>SUM(EPV_SARAMPION[[#This Row],[D1]:[D6]])</f>
        <v>0</v>
      </c>
      <c r="AB8" s="4" t="s">
        <v>92</v>
      </c>
      <c r="AC8" s="3">
        <f>IF($AK$2="(Todas)",COUNTIF(BASE[CODCIE10],EPV_DIFTERIA[[#This Row],[CIE-10]]),COUNTIFS(BASE[Cod.Establecimiento],$AK$2,BASE[CODCIE10],EPV_DIFTERIA[[#This Row],[CIE-10]]))</f>
        <v>0</v>
      </c>
      <c r="AD8" s="3">
        <f>IF($AK$2="(Todas)",COUNTIF(BASE[CODCIE102],EPV_DIFTERIA[[#This Row],[CIE-10]]),COUNTIFS(BASE[Cod.Establecimiento],$AK$2,BASE[CODCIE102],EPV_DIFTERIA[[#This Row],[CIE-10]]))</f>
        <v>0</v>
      </c>
      <c r="AE8" s="3">
        <f>IF($AK$2="(Todas)",COUNTIF(BASE[CODCIE104],EPV_DIFTERIA[[#This Row],[CIE-10]]),COUNTIFS(BASE[Cod.Establecimiento],$AK$2,BASE[CODCIE104],EPV_DIFTERIA[[#This Row],[CIE-10]]))</f>
        <v>0</v>
      </c>
      <c r="AF8" s="3">
        <f>IF($AK$2="(Todas)",COUNTIF(BASE[CODCIE106],EPV_DIFTERIA[[#This Row],[CIE-10]]),COUNTIFS(BASE[Cod.Establecimiento],$AK$2,BASE[CODCIE106],EPV_DIFTERIA[[#This Row],[CIE-10]]))</f>
        <v>0</v>
      </c>
      <c r="AG8" s="3">
        <f>IF($AK$2="(Todas)",COUNTIF(BASE[CODCIE108],EPV_DIFTERIA[[#This Row],[CIE-10]]),COUNTIFS(BASE[Cod.Establecimiento],$AK$2,BASE[CODCIE108],EPV_DIFTERIA[[#This Row],[CIE-10]]))</f>
        <v>0</v>
      </c>
      <c r="AH8" s="3">
        <f>IF($AK$2="(Todas)",COUNTIF(BASE[CODCIE1010],EPV_DIFTERIA[[#This Row],[CIE-10]]),COUNTIFS(BASE[Cod.Establecimiento],$AK$2,BASE[CODCIE1010],EPV_DIFTERIA[[#This Row],[CIE-10]]))</f>
        <v>0</v>
      </c>
      <c r="AI8" s="9">
        <f>SUM(EPV_DIFTERIA[[#This Row],[D1]:[D6]])</f>
        <v>0</v>
      </c>
    </row>
    <row r="9" spans="1:37">
      <c r="A9" s="4" t="s">
        <v>93</v>
      </c>
      <c r="B9" s="3">
        <f>IF($AK$2="(Todas)",COUNTIF(BASE[CODCIE10],EPV_PARALISIS_FLACIDA_AGUDA[[#This Row],[CIE-10]]),COUNTIFS(BASE[Cod.Establecimiento],$AK$2,BASE[CODCIE10],EPV_PARALISIS_FLACIDA_AGUDA[[#This Row],[CIE-10]]))</f>
        <v>0</v>
      </c>
      <c r="C9" s="3">
        <f>IF($AK$2="(Todas)",COUNTIF(BASE[CODCIE102],EPV_PARALISIS_FLACIDA_AGUDA[[#This Row],[CIE-10]]),COUNTIFS(BASE[Cod.Establecimiento],$AK$2,BASE[CODCIE102],EPV_PARALISIS_FLACIDA_AGUDA[[#This Row],[CIE-10]]))</f>
        <v>0</v>
      </c>
      <c r="D9" s="3">
        <f>IF($AK$2="(Todas)",COUNTIF(BASE[CODCIE104],EPV_PARALISIS_FLACIDA_AGUDA[[#This Row],[CIE-10]]),COUNTIFS(BASE[Cod.Establecimiento],$AK$2,BASE[CODCIE104],EPV_PARALISIS_FLACIDA_AGUDA[[#This Row],[CIE-10]]))</f>
        <v>0</v>
      </c>
      <c r="E9" s="3">
        <f>IF($AK$2="(Todas)",COUNTIF(BASE[CODCIE106],EPV_PARALISIS_FLACIDA_AGUDA[[#This Row],[CIE-10]]),COUNTIFS(BASE[Cod.Establecimiento],$AK$2,BASE[CODCIE106],EPV_PARALISIS_FLACIDA_AGUDA[[#This Row],[CIE-10]]))</f>
        <v>0</v>
      </c>
      <c r="F9" s="3">
        <f>IF($AK$2="(Todas)",COUNTIF(BASE[CODCIE108],EPV_PARALISIS_FLACIDA_AGUDA[[#This Row],[CIE-10]]),COUNTIFS(BASE[Cod.Establecimiento],$AK$2,BASE[CODCIE108],EPV_PARALISIS_FLACIDA_AGUDA[[#This Row],[CIE-10]]))</f>
        <v>0</v>
      </c>
      <c r="G9" s="3">
        <f>IF($AK$2="(Todas)",COUNTIF(BASE[CODCIE1010],EPV_PARALISIS_FLACIDA_AGUDA[[#This Row],[CIE-10]]),COUNTIFS(BASE[Cod.Establecimiento],$AK$2,BASE[CODCIE1010],EPV_PARALISIS_FLACIDA_AGUDA[[#This Row],[CIE-10]]))</f>
        <v>0</v>
      </c>
      <c r="H9" s="9">
        <f>SUM(EPV_PARALISIS_FLACIDA_AGUDA[[#This Row],[D1]:[D6]])</f>
        <v>0</v>
      </c>
      <c r="J9" s="4" t="s">
        <v>94</v>
      </c>
      <c r="K9" s="3">
        <f>IF($AK$2="(Todas)",COUNTIF(BASE[CODCIE10],EPV_RUBEOLA[[#This Row],[CIE-10]]),COUNTIFS(BASE[Cod.Establecimiento],$AK$2,BASE[CODCIE10],EPV_RUBEOLA[[#This Row],[CIE-10]]))</f>
        <v>0</v>
      </c>
      <c r="L9" s="3">
        <f>IF($AK$2="(Todas)",COUNTIF(BASE[CODCIE102],EPV_RUBEOLA[[#This Row],[CIE-10]]),COUNTIFS(BASE[Cod.Establecimiento],$AK$2,BASE[CODCIE102],EPV_RUBEOLA[[#This Row],[CIE-10]]))</f>
        <v>0</v>
      </c>
      <c r="M9" s="3">
        <f>IF($AK$2="(Todas)",COUNTIF(BASE[CODCIE104],EPV_RUBEOLA[[#This Row],[CIE-10]]),COUNTIFS(BASE[Cod.Establecimiento],$AK$2,BASE[CODCIE104],EPV_RUBEOLA[[#This Row],[CIE-10]]))</f>
        <v>0</v>
      </c>
      <c r="N9" s="3">
        <f>IF($AK$2="(Todas)",COUNTIF(BASE[CODCIE106],EPV_RUBEOLA[[#This Row],[CIE-10]]),COUNTIFS(BASE[Cod.Establecimiento],$AK$2,BASE[CODCIE106],EPV_RUBEOLA[[#This Row],[CIE-10]]))</f>
        <v>0</v>
      </c>
      <c r="O9" s="3">
        <f>IF($AK$2="(Todas)",COUNTIF(BASE[CODCIE108],EPV_RUBEOLA[[#This Row],[CIE-10]]),COUNTIFS(BASE[Cod.Establecimiento],$AK$2,BASE[CODCIE108],EPV_RUBEOLA[[#This Row],[CIE-10]]))</f>
        <v>0</v>
      </c>
      <c r="P9" s="3">
        <f>IF($AK$2="(Todas)",COUNTIF(BASE[CODCIE1010],EPV_RUBEOLA[[#This Row],[CIE-10]]),COUNTIFS(BASE[Cod.Establecimiento],$AK$2,BASE[CODCIE1010],EPV_RUBEOLA[[#This Row],[CIE-10]]))</f>
        <v>0</v>
      </c>
      <c r="Q9" s="9">
        <f>SUM(EPV_RUBEOLA[[#This Row],[D1]:[D6]])</f>
        <v>0</v>
      </c>
      <c r="S9" s="4" t="s">
        <v>94</v>
      </c>
      <c r="T9" s="3">
        <f>IF($AK$2="(Todas)",COUNTIF(BASE[CODCIE10],EPV_SARAMPION[[#This Row],[CIE-10]]),COUNTIFS(BASE[Cod.Establecimiento],$AK$2,BASE[CODCIE10],EPV_SARAMPION[[#This Row],[CIE-10]]))</f>
        <v>0</v>
      </c>
      <c r="U9" s="3">
        <f>IF($AK$2="(Todas)",COUNTIF(BASE[CODCIE102],EPV_SARAMPION[[#This Row],[CIE-10]]),COUNTIFS(BASE[Cod.Establecimiento],$AK$2,BASE[CODCIE102],EPV_SARAMPION[[#This Row],[CIE-10]]))</f>
        <v>0</v>
      </c>
      <c r="V9" s="3">
        <f>IF($AK$2="(Todas)",COUNTIF(BASE[CODCIE104],EPV_SARAMPION[[#This Row],[CIE-10]]),COUNTIFS(BASE[Cod.Establecimiento],$AK$2,BASE[CODCIE104],EPV_SARAMPION[[#This Row],[CIE-10]]))</f>
        <v>0</v>
      </c>
      <c r="W9" s="3">
        <f>IF($AK$2="(Todas)",COUNTIF(BASE[CODCIE106],EPV_SARAMPION[[#This Row],[CIE-10]]),COUNTIFS(BASE[Cod.Establecimiento],$AK$2,BASE[CODCIE106],EPV_SARAMPION[[#This Row],[CIE-10]]))</f>
        <v>0</v>
      </c>
      <c r="X9" s="3">
        <f>IF($AK$2="(Todas)",COUNTIF(BASE[CODCIE108],EPV_SARAMPION[[#This Row],[CIE-10]]),COUNTIFS(BASE[Cod.Establecimiento],$AK$2,BASE[CODCIE108],EPV_SARAMPION[[#This Row],[CIE-10]]))</f>
        <v>0</v>
      </c>
      <c r="Y9" s="3">
        <f>IF($AK$2="(Todas)",COUNTIF(BASE[CODCIE1010],EPV_SARAMPION[[#This Row],[CIE-10]]),COUNTIFS(BASE[Cod.Establecimiento],$AK$2,BASE[CODCIE1010],EPV_SARAMPION[[#This Row],[CIE-10]]))</f>
        <v>0</v>
      </c>
      <c r="Z9" s="9">
        <f>SUM(EPV_SARAMPION[[#This Row],[D1]:[D6]])</f>
        <v>0</v>
      </c>
      <c r="AB9" s="4" t="s">
        <v>95</v>
      </c>
      <c r="AC9" s="3">
        <f>IF($AK$2="(Todas)",COUNTIF(BASE[CODCIE10],EPV_DIFTERIA[[#This Row],[CIE-10]]),COUNTIFS(BASE[Cod.Establecimiento],$AK$2,BASE[CODCIE10],EPV_DIFTERIA[[#This Row],[CIE-10]]))</f>
        <v>0</v>
      </c>
      <c r="AD9" s="3">
        <f>IF($AK$2="(Todas)",COUNTIF(BASE[CODCIE102],EPV_DIFTERIA[[#This Row],[CIE-10]]),COUNTIFS(BASE[Cod.Establecimiento],$AK$2,BASE[CODCIE102],EPV_DIFTERIA[[#This Row],[CIE-10]]))</f>
        <v>0</v>
      </c>
      <c r="AE9" s="3">
        <f>IF($AK$2="(Todas)",COUNTIF(BASE[CODCIE104],EPV_DIFTERIA[[#This Row],[CIE-10]]),COUNTIFS(BASE[Cod.Establecimiento],$AK$2,BASE[CODCIE104],EPV_DIFTERIA[[#This Row],[CIE-10]]))</f>
        <v>0</v>
      </c>
      <c r="AF9" s="3">
        <f>IF($AK$2="(Todas)",COUNTIF(BASE[CODCIE106],EPV_DIFTERIA[[#This Row],[CIE-10]]),COUNTIFS(BASE[Cod.Establecimiento],$AK$2,BASE[CODCIE106],EPV_DIFTERIA[[#This Row],[CIE-10]]))</f>
        <v>0</v>
      </c>
      <c r="AG9" s="3">
        <f>IF($AK$2="(Todas)",COUNTIF(BASE[CODCIE108],EPV_DIFTERIA[[#This Row],[CIE-10]]),COUNTIFS(BASE[Cod.Establecimiento],$AK$2,BASE[CODCIE108],EPV_DIFTERIA[[#This Row],[CIE-10]]))</f>
        <v>0</v>
      </c>
      <c r="AH9" s="3">
        <f>IF($AK$2="(Todas)",COUNTIF(BASE[CODCIE1010],EPV_DIFTERIA[[#This Row],[CIE-10]]),COUNTIFS(BASE[Cod.Establecimiento],$AK$2,BASE[CODCIE1010],EPV_DIFTERIA[[#This Row],[CIE-10]]))</f>
        <v>0</v>
      </c>
      <c r="AI9" s="9">
        <f>SUM(EPV_DIFTERIA[[#This Row],[D1]:[D6]])</f>
        <v>0</v>
      </c>
    </row>
    <row r="10" spans="1:37">
      <c r="A10" s="4" t="s">
        <v>96</v>
      </c>
      <c r="B10" s="3">
        <f>IF($AK$2="(Todas)",COUNTIF(BASE[CODCIE10],EPV_PARALISIS_FLACIDA_AGUDA[[#This Row],[CIE-10]]),COUNTIFS(BASE[Cod.Establecimiento],$AK$2,BASE[CODCIE10],EPV_PARALISIS_FLACIDA_AGUDA[[#This Row],[CIE-10]]))</f>
        <v>0</v>
      </c>
      <c r="C10" s="3">
        <f>IF($AK$2="(Todas)",COUNTIF(BASE[CODCIE102],EPV_PARALISIS_FLACIDA_AGUDA[[#This Row],[CIE-10]]),COUNTIFS(BASE[Cod.Establecimiento],$AK$2,BASE[CODCIE102],EPV_PARALISIS_FLACIDA_AGUDA[[#This Row],[CIE-10]]))</f>
        <v>0</v>
      </c>
      <c r="D10" s="3">
        <f>IF($AK$2="(Todas)",COUNTIF(BASE[CODCIE104],EPV_PARALISIS_FLACIDA_AGUDA[[#This Row],[CIE-10]]),COUNTIFS(BASE[Cod.Establecimiento],$AK$2,BASE[CODCIE104],EPV_PARALISIS_FLACIDA_AGUDA[[#This Row],[CIE-10]]))</f>
        <v>0</v>
      </c>
      <c r="E10" s="3">
        <f>IF($AK$2="(Todas)",COUNTIF(BASE[CODCIE106],EPV_PARALISIS_FLACIDA_AGUDA[[#This Row],[CIE-10]]),COUNTIFS(BASE[Cod.Establecimiento],$AK$2,BASE[CODCIE106],EPV_PARALISIS_FLACIDA_AGUDA[[#This Row],[CIE-10]]))</f>
        <v>0</v>
      </c>
      <c r="F10" s="3">
        <f>IF($AK$2="(Todas)",COUNTIF(BASE[CODCIE108],EPV_PARALISIS_FLACIDA_AGUDA[[#This Row],[CIE-10]]),COUNTIFS(BASE[Cod.Establecimiento],$AK$2,BASE[CODCIE108],EPV_PARALISIS_FLACIDA_AGUDA[[#This Row],[CIE-10]]))</f>
        <v>0</v>
      </c>
      <c r="G10" s="3">
        <f>IF($AK$2="(Todas)",COUNTIF(BASE[CODCIE1010],EPV_PARALISIS_FLACIDA_AGUDA[[#This Row],[CIE-10]]),COUNTIFS(BASE[Cod.Establecimiento],$AK$2,BASE[CODCIE1010],EPV_PARALISIS_FLACIDA_AGUDA[[#This Row],[CIE-10]]))</f>
        <v>0</v>
      </c>
      <c r="H10" s="9">
        <f>SUM(EPV_PARALISIS_FLACIDA_AGUDA[[#This Row],[D1]:[D6]])</f>
        <v>0</v>
      </c>
      <c r="J10" s="4" t="s">
        <v>97</v>
      </c>
      <c r="K10" s="3">
        <f>IF($AK$2="(Todas)",COUNTIF(BASE[CODCIE10],EPV_RUBEOLA[[#This Row],[CIE-10]]),COUNTIFS(BASE[Cod.Establecimiento],$AK$2,BASE[CODCIE10],EPV_RUBEOLA[[#This Row],[CIE-10]]))</f>
        <v>0</v>
      </c>
      <c r="L10" s="3">
        <f>IF($AK$2="(Todas)",COUNTIF(BASE[CODCIE102],EPV_RUBEOLA[[#This Row],[CIE-10]]),COUNTIFS(BASE[Cod.Establecimiento],$AK$2,BASE[CODCIE102],EPV_RUBEOLA[[#This Row],[CIE-10]]))</f>
        <v>0</v>
      </c>
      <c r="M10" s="3">
        <f>IF($AK$2="(Todas)",COUNTIF(BASE[CODCIE104],EPV_RUBEOLA[[#This Row],[CIE-10]]),COUNTIFS(BASE[Cod.Establecimiento],$AK$2,BASE[CODCIE104],EPV_RUBEOLA[[#This Row],[CIE-10]]))</f>
        <v>0</v>
      </c>
      <c r="N10" s="3">
        <f>IF($AK$2="(Todas)",COUNTIF(BASE[CODCIE106],EPV_RUBEOLA[[#This Row],[CIE-10]]),COUNTIFS(BASE[Cod.Establecimiento],$AK$2,BASE[CODCIE106],EPV_RUBEOLA[[#This Row],[CIE-10]]))</f>
        <v>0</v>
      </c>
      <c r="O10" s="3">
        <f>IF($AK$2="(Todas)",COUNTIF(BASE[CODCIE108],EPV_RUBEOLA[[#This Row],[CIE-10]]),COUNTIFS(BASE[Cod.Establecimiento],$AK$2,BASE[CODCIE108],EPV_RUBEOLA[[#This Row],[CIE-10]]))</f>
        <v>0</v>
      </c>
      <c r="P10" s="3">
        <f>IF($AK$2="(Todas)",COUNTIF(BASE[CODCIE1010],EPV_RUBEOLA[[#This Row],[CIE-10]]),COUNTIFS(BASE[Cod.Establecimiento],$AK$2,BASE[CODCIE1010],EPV_RUBEOLA[[#This Row],[CIE-10]]))</f>
        <v>0</v>
      </c>
      <c r="Q10" s="9">
        <f>SUM(EPV_RUBEOLA[[#This Row],[D1]:[D6]])</f>
        <v>0</v>
      </c>
      <c r="S10" s="4" t="s">
        <v>97</v>
      </c>
      <c r="T10" s="3">
        <f>IF($AK$2="(Todas)",COUNTIF(BASE[CODCIE10],EPV_SARAMPION[[#This Row],[CIE-10]]),COUNTIFS(BASE[Cod.Establecimiento],$AK$2,BASE[CODCIE10],EPV_SARAMPION[[#This Row],[CIE-10]]))</f>
        <v>0</v>
      </c>
      <c r="U10" s="3">
        <f>IF($AK$2="(Todas)",COUNTIF(BASE[CODCIE102],EPV_SARAMPION[[#This Row],[CIE-10]]),COUNTIFS(BASE[Cod.Establecimiento],$AK$2,BASE[CODCIE102],EPV_SARAMPION[[#This Row],[CIE-10]]))</f>
        <v>0</v>
      </c>
      <c r="V10" s="3">
        <f>IF($AK$2="(Todas)",COUNTIF(BASE[CODCIE104],EPV_SARAMPION[[#This Row],[CIE-10]]),COUNTIFS(BASE[Cod.Establecimiento],$AK$2,BASE[CODCIE104],EPV_SARAMPION[[#This Row],[CIE-10]]))</f>
        <v>0</v>
      </c>
      <c r="W10" s="3">
        <f>IF($AK$2="(Todas)",COUNTIF(BASE[CODCIE106],EPV_SARAMPION[[#This Row],[CIE-10]]),COUNTIFS(BASE[Cod.Establecimiento],$AK$2,BASE[CODCIE106],EPV_SARAMPION[[#This Row],[CIE-10]]))</f>
        <v>0</v>
      </c>
      <c r="X10" s="3">
        <f>IF($AK$2="(Todas)",COUNTIF(BASE[CODCIE108],EPV_SARAMPION[[#This Row],[CIE-10]]),COUNTIFS(BASE[Cod.Establecimiento],$AK$2,BASE[CODCIE108],EPV_SARAMPION[[#This Row],[CIE-10]]))</f>
        <v>0</v>
      </c>
      <c r="Y10" s="3">
        <f>IF($AK$2="(Todas)",COUNTIF(BASE[CODCIE1010],EPV_SARAMPION[[#This Row],[CIE-10]]),COUNTIFS(BASE[Cod.Establecimiento],$AK$2,BASE[CODCIE1010],EPV_SARAMPION[[#This Row],[CIE-10]]))</f>
        <v>0</v>
      </c>
      <c r="Z10" s="9">
        <f>SUM(EPV_SARAMPION[[#This Row],[D1]:[D6]])</f>
        <v>0</v>
      </c>
      <c r="AB10" s="4" t="s">
        <v>98</v>
      </c>
      <c r="AC10" s="3">
        <f>IF($AK$2="(Todas)",COUNTIF(BASE[CODCIE10],EPV_DIFTERIA[[#This Row],[CIE-10]]),COUNTIFS(BASE[Cod.Establecimiento],$AK$2,BASE[CODCIE10],EPV_DIFTERIA[[#This Row],[CIE-10]]))</f>
        <v>0</v>
      </c>
      <c r="AD10" s="3">
        <f>IF($AK$2="(Todas)",COUNTIF(BASE[CODCIE102],EPV_DIFTERIA[[#This Row],[CIE-10]]),COUNTIFS(BASE[Cod.Establecimiento],$AK$2,BASE[CODCIE102],EPV_DIFTERIA[[#This Row],[CIE-10]]))</f>
        <v>0</v>
      </c>
      <c r="AE10" s="3">
        <f>IF($AK$2="(Todas)",COUNTIF(BASE[CODCIE104],EPV_DIFTERIA[[#This Row],[CIE-10]]),COUNTIFS(BASE[Cod.Establecimiento],$AK$2,BASE[CODCIE104],EPV_DIFTERIA[[#This Row],[CIE-10]]))</f>
        <v>0</v>
      </c>
      <c r="AF10" s="3">
        <f>IF($AK$2="(Todas)",COUNTIF(BASE[CODCIE106],EPV_DIFTERIA[[#This Row],[CIE-10]]),COUNTIFS(BASE[Cod.Establecimiento],$AK$2,BASE[CODCIE106],EPV_DIFTERIA[[#This Row],[CIE-10]]))</f>
        <v>0</v>
      </c>
      <c r="AG10" s="3">
        <f>IF($AK$2="(Todas)",COUNTIF(BASE[CODCIE108],EPV_DIFTERIA[[#This Row],[CIE-10]]),COUNTIFS(BASE[Cod.Establecimiento],$AK$2,BASE[CODCIE108],EPV_DIFTERIA[[#This Row],[CIE-10]]))</f>
        <v>0</v>
      </c>
      <c r="AH10" s="3">
        <f>IF($AK$2="(Todas)",COUNTIF(BASE[CODCIE1010],EPV_DIFTERIA[[#This Row],[CIE-10]]),COUNTIFS(BASE[Cod.Establecimiento],$AK$2,BASE[CODCIE1010],EPV_DIFTERIA[[#This Row],[CIE-10]]))</f>
        <v>0</v>
      </c>
      <c r="AI10" s="9">
        <f>SUM(EPV_DIFTERIA[[#This Row],[D1]:[D6]])</f>
        <v>0</v>
      </c>
    </row>
    <row r="11" spans="1:37">
      <c r="A11" s="4" t="s">
        <v>99</v>
      </c>
      <c r="B11" s="3">
        <f>IF($AK$2="(Todas)",COUNTIF(BASE[CODCIE10],EPV_PARALISIS_FLACIDA_AGUDA[[#This Row],[CIE-10]]),COUNTIFS(BASE[Cod.Establecimiento],$AK$2,BASE[CODCIE10],EPV_PARALISIS_FLACIDA_AGUDA[[#This Row],[CIE-10]]))</f>
        <v>0</v>
      </c>
      <c r="C11" s="3">
        <f>IF($AK$2="(Todas)",COUNTIF(BASE[CODCIE102],EPV_PARALISIS_FLACIDA_AGUDA[[#This Row],[CIE-10]]),COUNTIFS(BASE[Cod.Establecimiento],$AK$2,BASE[CODCIE102],EPV_PARALISIS_FLACIDA_AGUDA[[#This Row],[CIE-10]]))</f>
        <v>0</v>
      </c>
      <c r="D11" s="3">
        <f>IF($AK$2="(Todas)",COUNTIF(BASE[CODCIE104],EPV_PARALISIS_FLACIDA_AGUDA[[#This Row],[CIE-10]]),COUNTIFS(BASE[Cod.Establecimiento],$AK$2,BASE[CODCIE104],EPV_PARALISIS_FLACIDA_AGUDA[[#This Row],[CIE-10]]))</f>
        <v>0</v>
      </c>
      <c r="E11" s="3">
        <f>IF($AK$2="(Todas)",COUNTIF(BASE[CODCIE106],EPV_PARALISIS_FLACIDA_AGUDA[[#This Row],[CIE-10]]),COUNTIFS(BASE[Cod.Establecimiento],$AK$2,BASE[CODCIE106],EPV_PARALISIS_FLACIDA_AGUDA[[#This Row],[CIE-10]]))</f>
        <v>0</v>
      </c>
      <c r="F11" s="3">
        <f>IF($AK$2="(Todas)",COUNTIF(BASE[CODCIE108],EPV_PARALISIS_FLACIDA_AGUDA[[#This Row],[CIE-10]]),COUNTIFS(BASE[Cod.Establecimiento],$AK$2,BASE[CODCIE108],EPV_PARALISIS_FLACIDA_AGUDA[[#This Row],[CIE-10]]))</f>
        <v>0</v>
      </c>
      <c r="G11" s="3">
        <f>IF($AK$2="(Todas)",COUNTIF(BASE[CODCIE1010],EPV_PARALISIS_FLACIDA_AGUDA[[#This Row],[CIE-10]]),COUNTIFS(BASE[Cod.Establecimiento],$AK$2,BASE[CODCIE1010],EPV_PARALISIS_FLACIDA_AGUDA[[#This Row],[CIE-10]]))</f>
        <v>0</v>
      </c>
      <c r="H11" s="9">
        <f>SUM(EPV_PARALISIS_FLACIDA_AGUDA[[#This Row],[D1]:[D6]])</f>
        <v>0</v>
      </c>
      <c r="J11" s="4" t="s">
        <v>100</v>
      </c>
      <c r="K11" s="3">
        <f>IF($AK$2="(Todas)",COUNTIF(BASE[CODCIE10],EPV_RUBEOLA[[#This Row],[CIE-10]]),COUNTIFS(BASE[Cod.Establecimiento],$AK$2,BASE[CODCIE10],EPV_RUBEOLA[[#This Row],[CIE-10]]))</f>
        <v>0</v>
      </c>
      <c r="L11" s="3">
        <f>IF($AK$2="(Todas)",COUNTIF(BASE[CODCIE102],EPV_RUBEOLA[[#This Row],[CIE-10]]),COUNTIFS(BASE[Cod.Establecimiento],$AK$2,BASE[CODCIE102],EPV_RUBEOLA[[#This Row],[CIE-10]]))</f>
        <v>0</v>
      </c>
      <c r="M11" s="3">
        <f>IF($AK$2="(Todas)",COUNTIF(BASE[CODCIE104],EPV_RUBEOLA[[#This Row],[CIE-10]]),COUNTIFS(BASE[Cod.Establecimiento],$AK$2,BASE[CODCIE104],EPV_RUBEOLA[[#This Row],[CIE-10]]))</f>
        <v>0</v>
      </c>
      <c r="N11" s="3">
        <f>IF($AK$2="(Todas)",COUNTIF(BASE[CODCIE106],EPV_RUBEOLA[[#This Row],[CIE-10]]),COUNTIFS(BASE[Cod.Establecimiento],$AK$2,BASE[CODCIE106],EPV_RUBEOLA[[#This Row],[CIE-10]]))</f>
        <v>0</v>
      </c>
      <c r="O11" s="3">
        <f>IF($AK$2="(Todas)",COUNTIF(BASE[CODCIE108],EPV_RUBEOLA[[#This Row],[CIE-10]]),COUNTIFS(BASE[Cod.Establecimiento],$AK$2,BASE[CODCIE108],EPV_RUBEOLA[[#This Row],[CIE-10]]))</f>
        <v>0</v>
      </c>
      <c r="P11" s="3">
        <f>IF($AK$2="(Todas)",COUNTIF(BASE[CODCIE1010],EPV_RUBEOLA[[#This Row],[CIE-10]]),COUNTIFS(BASE[Cod.Establecimiento],$AK$2,BASE[CODCIE1010],EPV_RUBEOLA[[#This Row],[CIE-10]]))</f>
        <v>0</v>
      </c>
      <c r="Q11" s="9">
        <f>SUM(EPV_RUBEOLA[[#This Row],[D1]:[D6]])</f>
        <v>0</v>
      </c>
      <c r="S11" s="4" t="s">
        <v>100</v>
      </c>
      <c r="T11" s="3">
        <f>IF($AK$2="(Todas)",COUNTIF(BASE[CODCIE10],EPV_SARAMPION[[#This Row],[CIE-10]]),COUNTIFS(BASE[Cod.Establecimiento],$AK$2,BASE[CODCIE10],EPV_SARAMPION[[#This Row],[CIE-10]]))</f>
        <v>0</v>
      </c>
      <c r="U11" s="3">
        <f>IF($AK$2="(Todas)",COUNTIF(BASE[CODCIE102],EPV_SARAMPION[[#This Row],[CIE-10]]),COUNTIFS(BASE[Cod.Establecimiento],$AK$2,BASE[CODCIE102],EPV_SARAMPION[[#This Row],[CIE-10]]))</f>
        <v>0</v>
      </c>
      <c r="V11" s="3">
        <f>IF($AK$2="(Todas)",COUNTIF(BASE[CODCIE104],EPV_SARAMPION[[#This Row],[CIE-10]]),COUNTIFS(BASE[Cod.Establecimiento],$AK$2,BASE[CODCIE104],EPV_SARAMPION[[#This Row],[CIE-10]]))</f>
        <v>0</v>
      </c>
      <c r="W11" s="3">
        <f>IF($AK$2="(Todas)",COUNTIF(BASE[CODCIE106],EPV_SARAMPION[[#This Row],[CIE-10]]),COUNTIFS(BASE[Cod.Establecimiento],$AK$2,BASE[CODCIE106],EPV_SARAMPION[[#This Row],[CIE-10]]))</f>
        <v>0</v>
      </c>
      <c r="X11" s="3">
        <f>IF($AK$2="(Todas)",COUNTIF(BASE[CODCIE108],EPV_SARAMPION[[#This Row],[CIE-10]]),COUNTIFS(BASE[Cod.Establecimiento],$AK$2,BASE[CODCIE108],EPV_SARAMPION[[#This Row],[CIE-10]]))</f>
        <v>0</v>
      </c>
      <c r="Y11" s="3">
        <f>IF($AK$2="(Todas)",COUNTIF(BASE[CODCIE1010],EPV_SARAMPION[[#This Row],[CIE-10]]),COUNTIFS(BASE[Cod.Establecimiento],$AK$2,BASE[CODCIE1010],EPV_SARAMPION[[#This Row],[CIE-10]]))</f>
        <v>0</v>
      </c>
      <c r="Z11" s="9">
        <f>SUM(EPV_SARAMPION[[#This Row],[D1]:[D6]])</f>
        <v>0</v>
      </c>
      <c r="AB11" s="4" t="s">
        <v>101</v>
      </c>
      <c r="AC11" s="3">
        <f>IF($AK$2="(Todas)",COUNTIF(BASE[CODCIE10],EPV_DIFTERIA[[#This Row],[CIE-10]]),COUNTIFS(BASE[Cod.Establecimiento],$AK$2,BASE[CODCIE10],EPV_DIFTERIA[[#This Row],[CIE-10]]))</f>
        <v>0</v>
      </c>
      <c r="AD11" s="3">
        <f>IF($AK$2="(Todas)",COUNTIF(BASE[CODCIE102],EPV_DIFTERIA[[#This Row],[CIE-10]]),COUNTIFS(BASE[Cod.Establecimiento],$AK$2,BASE[CODCIE102],EPV_DIFTERIA[[#This Row],[CIE-10]]))</f>
        <v>0</v>
      </c>
      <c r="AE11" s="3">
        <f>IF($AK$2="(Todas)",COUNTIF(BASE[CODCIE104],EPV_DIFTERIA[[#This Row],[CIE-10]]),COUNTIFS(BASE[Cod.Establecimiento],$AK$2,BASE[CODCIE104],EPV_DIFTERIA[[#This Row],[CIE-10]]))</f>
        <v>0</v>
      </c>
      <c r="AF11" s="3">
        <f>IF($AK$2="(Todas)",COUNTIF(BASE[CODCIE106],EPV_DIFTERIA[[#This Row],[CIE-10]]),COUNTIFS(BASE[Cod.Establecimiento],$AK$2,BASE[CODCIE106],EPV_DIFTERIA[[#This Row],[CIE-10]]))</f>
        <v>0</v>
      </c>
      <c r="AG11" s="3">
        <f>IF($AK$2="(Todas)",COUNTIF(BASE[CODCIE108],EPV_DIFTERIA[[#This Row],[CIE-10]]),COUNTIFS(BASE[Cod.Establecimiento],$AK$2,BASE[CODCIE108],EPV_DIFTERIA[[#This Row],[CIE-10]]))</f>
        <v>0</v>
      </c>
      <c r="AH11" s="3">
        <f>IF($AK$2="(Todas)",COUNTIF(BASE[CODCIE1010],EPV_DIFTERIA[[#This Row],[CIE-10]]),COUNTIFS(BASE[Cod.Establecimiento],$AK$2,BASE[CODCIE1010],EPV_DIFTERIA[[#This Row],[CIE-10]]))</f>
        <v>0</v>
      </c>
      <c r="AI11" s="9">
        <f>SUM(EPV_DIFTERIA[[#This Row],[D1]:[D6]])</f>
        <v>0</v>
      </c>
    </row>
    <row r="12" spans="1:37">
      <c r="J12" s="4" t="s">
        <v>102</v>
      </c>
      <c r="K12" s="3">
        <f>IF($AK$2="(Todas)",COUNTIF(BASE[CODCIE10],EPV_RUBEOLA[[#This Row],[CIE-10]]),COUNTIFS(BASE[Cod.Establecimiento],$AK$2,BASE[CODCIE10],EPV_RUBEOLA[[#This Row],[CIE-10]]))</f>
        <v>0</v>
      </c>
      <c r="L12" s="3">
        <f>IF($AK$2="(Todas)",COUNTIF(BASE[CODCIE102],EPV_RUBEOLA[[#This Row],[CIE-10]]),COUNTIFS(BASE[Cod.Establecimiento],$AK$2,BASE[CODCIE102],EPV_RUBEOLA[[#This Row],[CIE-10]]))</f>
        <v>0</v>
      </c>
      <c r="M12" s="3">
        <f>IF($AK$2="(Todas)",COUNTIF(BASE[CODCIE104],EPV_RUBEOLA[[#This Row],[CIE-10]]),COUNTIFS(BASE[Cod.Establecimiento],$AK$2,BASE[CODCIE104],EPV_RUBEOLA[[#This Row],[CIE-10]]))</f>
        <v>0</v>
      </c>
      <c r="N12" s="3">
        <f>IF($AK$2="(Todas)",COUNTIF(BASE[CODCIE106],EPV_RUBEOLA[[#This Row],[CIE-10]]),COUNTIFS(BASE[Cod.Establecimiento],$AK$2,BASE[CODCIE106],EPV_RUBEOLA[[#This Row],[CIE-10]]))</f>
        <v>0</v>
      </c>
      <c r="O12" s="3">
        <f>IF($AK$2="(Todas)",COUNTIF(BASE[CODCIE108],EPV_RUBEOLA[[#This Row],[CIE-10]]),COUNTIFS(BASE[Cod.Establecimiento],$AK$2,BASE[CODCIE108],EPV_RUBEOLA[[#This Row],[CIE-10]]))</f>
        <v>0</v>
      </c>
      <c r="P12" s="3">
        <f>IF($AK$2="(Todas)",COUNTIF(BASE[CODCIE1010],EPV_RUBEOLA[[#This Row],[CIE-10]]),COUNTIFS(BASE[Cod.Establecimiento],$AK$2,BASE[CODCIE1010],EPV_RUBEOLA[[#This Row],[CIE-10]]))</f>
        <v>0</v>
      </c>
      <c r="Q12" s="9">
        <f>SUM(EPV_RUBEOLA[[#This Row],[D1]:[D6]])</f>
        <v>0</v>
      </c>
      <c r="S12" s="4" t="s">
        <v>102</v>
      </c>
      <c r="T12" s="3">
        <f>IF($AK$2="(Todas)",COUNTIF(BASE[CODCIE10],EPV_SARAMPION[[#This Row],[CIE-10]]),COUNTIFS(BASE[Cod.Establecimiento],$AK$2,BASE[CODCIE10],EPV_SARAMPION[[#This Row],[CIE-10]]))</f>
        <v>0</v>
      </c>
      <c r="U12" s="3">
        <f>IF($AK$2="(Todas)",COUNTIF(BASE[CODCIE102],EPV_SARAMPION[[#This Row],[CIE-10]]),COUNTIFS(BASE[Cod.Establecimiento],$AK$2,BASE[CODCIE102],EPV_SARAMPION[[#This Row],[CIE-10]]))</f>
        <v>0</v>
      </c>
      <c r="V12" s="3">
        <f>IF($AK$2="(Todas)",COUNTIF(BASE[CODCIE104],EPV_SARAMPION[[#This Row],[CIE-10]]),COUNTIFS(BASE[Cod.Establecimiento],$AK$2,BASE[CODCIE104],EPV_SARAMPION[[#This Row],[CIE-10]]))</f>
        <v>0</v>
      </c>
      <c r="W12" s="3">
        <f>IF($AK$2="(Todas)",COUNTIF(BASE[CODCIE106],EPV_SARAMPION[[#This Row],[CIE-10]]),COUNTIFS(BASE[Cod.Establecimiento],$AK$2,BASE[CODCIE106],EPV_SARAMPION[[#This Row],[CIE-10]]))</f>
        <v>0</v>
      </c>
      <c r="X12" s="3">
        <f>IF($AK$2="(Todas)",COUNTIF(BASE[CODCIE108],EPV_SARAMPION[[#This Row],[CIE-10]]),COUNTIFS(BASE[Cod.Establecimiento],$AK$2,BASE[CODCIE108],EPV_SARAMPION[[#This Row],[CIE-10]]))</f>
        <v>0</v>
      </c>
      <c r="Y12" s="3">
        <f>IF($AK$2="(Todas)",COUNTIF(BASE[CODCIE1010],EPV_SARAMPION[[#This Row],[CIE-10]]),COUNTIFS(BASE[Cod.Establecimiento],$AK$2,BASE[CODCIE1010],EPV_SARAMPION[[#This Row],[CIE-10]]))</f>
        <v>0</v>
      </c>
      <c r="Z12" s="9">
        <f>SUM(EPV_SARAMPION[[#This Row],[D1]:[D6]])</f>
        <v>0</v>
      </c>
      <c r="AB12" s="4" t="s">
        <v>103</v>
      </c>
      <c r="AC12" s="3">
        <f>IF($AK$2="(Todas)",COUNTIF(BASE[CODCIE10],EPV_DIFTERIA[[#This Row],[CIE-10]]),COUNTIFS(BASE[Cod.Establecimiento],$AK$2,BASE[CODCIE10],EPV_DIFTERIA[[#This Row],[CIE-10]]))</f>
        <v>0</v>
      </c>
      <c r="AD12" s="3">
        <f>IF($AK$2="(Todas)",COUNTIF(BASE[CODCIE102],EPV_DIFTERIA[[#This Row],[CIE-10]]),COUNTIFS(BASE[Cod.Establecimiento],$AK$2,BASE[CODCIE102],EPV_DIFTERIA[[#This Row],[CIE-10]]))</f>
        <v>0</v>
      </c>
      <c r="AE12" s="3">
        <f>IF($AK$2="(Todas)",COUNTIF(BASE[CODCIE104],EPV_DIFTERIA[[#This Row],[CIE-10]]),COUNTIFS(BASE[Cod.Establecimiento],$AK$2,BASE[CODCIE104],EPV_DIFTERIA[[#This Row],[CIE-10]]))</f>
        <v>0</v>
      </c>
      <c r="AF12" s="3">
        <f>IF($AK$2="(Todas)",COUNTIF(BASE[CODCIE106],EPV_DIFTERIA[[#This Row],[CIE-10]]),COUNTIFS(BASE[Cod.Establecimiento],$AK$2,BASE[CODCIE106],EPV_DIFTERIA[[#This Row],[CIE-10]]))</f>
        <v>0</v>
      </c>
      <c r="AG12" s="3">
        <f>IF($AK$2="(Todas)",COUNTIF(BASE[CODCIE108],EPV_DIFTERIA[[#This Row],[CIE-10]]),COUNTIFS(BASE[Cod.Establecimiento],$AK$2,BASE[CODCIE108],EPV_DIFTERIA[[#This Row],[CIE-10]]))</f>
        <v>0</v>
      </c>
      <c r="AH12" s="3">
        <f>IF($AK$2="(Todas)",COUNTIF(BASE[CODCIE1010],EPV_DIFTERIA[[#This Row],[CIE-10]]),COUNTIFS(BASE[Cod.Establecimiento],$AK$2,BASE[CODCIE1010],EPV_DIFTERIA[[#This Row],[CIE-10]]))</f>
        <v>0</v>
      </c>
      <c r="AI12" s="9">
        <f>SUM(EPV_DIFTERIA[[#This Row],[D1]:[D6]])</f>
        <v>0</v>
      </c>
    </row>
    <row r="13" spans="1:37">
      <c r="J13" s="4" t="s">
        <v>104</v>
      </c>
      <c r="K13" s="3">
        <f>IF($AK$2="(Todas)",COUNTIF(BASE[CODCIE10],EPV_RUBEOLA[[#This Row],[CIE-10]]),COUNTIFS(BASE[Cod.Establecimiento],$AK$2,BASE[CODCIE10],EPV_RUBEOLA[[#This Row],[CIE-10]]))</f>
        <v>0</v>
      </c>
      <c r="L13" s="3">
        <f>IF($AK$2="(Todas)",COUNTIF(BASE[CODCIE102],EPV_RUBEOLA[[#This Row],[CIE-10]]),COUNTIFS(BASE[Cod.Establecimiento],$AK$2,BASE[CODCIE102],EPV_RUBEOLA[[#This Row],[CIE-10]]))</f>
        <v>0</v>
      </c>
      <c r="M13" s="3">
        <f>IF($AK$2="(Todas)",COUNTIF(BASE[CODCIE104],EPV_RUBEOLA[[#This Row],[CIE-10]]),COUNTIFS(BASE[Cod.Establecimiento],$AK$2,BASE[CODCIE104],EPV_RUBEOLA[[#This Row],[CIE-10]]))</f>
        <v>0</v>
      </c>
      <c r="N13" s="3">
        <f>IF($AK$2="(Todas)",COUNTIF(BASE[CODCIE106],EPV_RUBEOLA[[#This Row],[CIE-10]]),COUNTIFS(BASE[Cod.Establecimiento],$AK$2,BASE[CODCIE106],EPV_RUBEOLA[[#This Row],[CIE-10]]))</f>
        <v>0</v>
      </c>
      <c r="O13" s="3">
        <f>IF($AK$2="(Todas)",COUNTIF(BASE[CODCIE108],EPV_RUBEOLA[[#This Row],[CIE-10]]),COUNTIFS(BASE[Cod.Establecimiento],$AK$2,BASE[CODCIE108],EPV_RUBEOLA[[#This Row],[CIE-10]]))</f>
        <v>0</v>
      </c>
      <c r="P13" s="3">
        <f>IF($AK$2="(Todas)",COUNTIF(BASE[CODCIE1010],EPV_RUBEOLA[[#This Row],[CIE-10]]),COUNTIFS(BASE[Cod.Establecimiento],$AK$2,BASE[CODCIE1010],EPV_RUBEOLA[[#This Row],[CIE-10]]))</f>
        <v>0</v>
      </c>
      <c r="Q13" s="9">
        <f>SUM(EPV_RUBEOLA[[#This Row],[D1]:[D6]])</f>
        <v>0</v>
      </c>
      <c r="S13" s="4" t="s">
        <v>105</v>
      </c>
      <c r="T13" s="3">
        <f>IF($AK$2="(Todas)",COUNTIF(BASE[CODCIE10],EPV_SARAMPION[[#This Row],[CIE-10]]),COUNTIFS(BASE[Cod.Establecimiento],$AK$2,BASE[CODCIE10],EPV_SARAMPION[[#This Row],[CIE-10]]))</f>
        <v>0</v>
      </c>
      <c r="U13" s="3">
        <f>IF($AK$2="(Todas)",COUNTIF(BASE[CODCIE102],EPV_SARAMPION[[#This Row],[CIE-10]]),COUNTIFS(BASE[Cod.Establecimiento],$AK$2,BASE[CODCIE102],EPV_SARAMPION[[#This Row],[CIE-10]]))</f>
        <v>0</v>
      </c>
      <c r="V13" s="3">
        <f>IF($AK$2="(Todas)",COUNTIF(BASE[CODCIE104],EPV_SARAMPION[[#This Row],[CIE-10]]),COUNTIFS(BASE[Cod.Establecimiento],$AK$2,BASE[CODCIE104],EPV_SARAMPION[[#This Row],[CIE-10]]))</f>
        <v>0</v>
      </c>
      <c r="W13" s="3">
        <f>IF($AK$2="(Todas)",COUNTIF(BASE[CODCIE106],EPV_SARAMPION[[#This Row],[CIE-10]]),COUNTIFS(BASE[Cod.Establecimiento],$AK$2,BASE[CODCIE106],EPV_SARAMPION[[#This Row],[CIE-10]]))</f>
        <v>0</v>
      </c>
      <c r="X13" s="3">
        <f>IF($AK$2="(Todas)",COUNTIF(BASE[CODCIE108],EPV_SARAMPION[[#This Row],[CIE-10]]),COUNTIFS(BASE[Cod.Establecimiento],$AK$2,BASE[CODCIE108],EPV_SARAMPION[[#This Row],[CIE-10]]))</f>
        <v>0</v>
      </c>
      <c r="Y13" s="3">
        <f>IF($AK$2="(Todas)",COUNTIF(BASE[CODCIE1010],EPV_SARAMPION[[#This Row],[CIE-10]]),COUNTIFS(BASE[Cod.Establecimiento],$AK$2,BASE[CODCIE1010],EPV_SARAMPION[[#This Row],[CIE-10]]))</f>
        <v>0</v>
      </c>
      <c r="Z13" s="9">
        <f>SUM(EPV_SARAMPION[[#This Row],[D1]:[D6]])</f>
        <v>0</v>
      </c>
      <c r="AB13" s="4" t="s">
        <v>106</v>
      </c>
      <c r="AC13" s="3">
        <f>IF($AK$2="(Todas)",COUNTIF(BASE[CODCIE10],EPV_DIFTERIA[[#This Row],[CIE-10]]),COUNTIFS(BASE[Cod.Establecimiento],$AK$2,BASE[CODCIE10],EPV_DIFTERIA[[#This Row],[CIE-10]]))</f>
        <v>0</v>
      </c>
      <c r="AD13" s="3">
        <f>IF($AK$2="(Todas)",COUNTIF(BASE[CODCIE102],EPV_DIFTERIA[[#This Row],[CIE-10]]),COUNTIFS(BASE[Cod.Establecimiento],$AK$2,BASE[CODCIE102],EPV_DIFTERIA[[#This Row],[CIE-10]]))</f>
        <v>0</v>
      </c>
      <c r="AE13" s="3">
        <f>IF($AK$2="(Todas)",COUNTIF(BASE[CODCIE104],EPV_DIFTERIA[[#This Row],[CIE-10]]),COUNTIFS(BASE[Cod.Establecimiento],$AK$2,BASE[CODCIE104],EPV_DIFTERIA[[#This Row],[CIE-10]]))</f>
        <v>0</v>
      </c>
      <c r="AF13" s="3">
        <f>IF($AK$2="(Todas)",COUNTIF(BASE[CODCIE106],EPV_DIFTERIA[[#This Row],[CIE-10]]),COUNTIFS(BASE[Cod.Establecimiento],$AK$2,BASE[CODCIE106],EPV_DIFTERIA[[#This Row],[CIE-10]]))</f>
        <v>0</v>
      </c>
      <c r="AG13" s="3">
        <f>IF($AK$2="(Todas)",COUNTIF(BASE[CODCIE108],EPV_DIFTERIA[[#This Row],[CIE-10]]),COUNTIFS(BASE[Cod.Establecimiento],$AK$2,BASE[CODCIE108],EPV_DIFTERIA[[#This Row],[CIE-10]]))</f>
        <v>0</v>
      </c>
      <c r="AH13" s="3">
        <f>IF($AK$2="(Todas)",COUNTIF(BASE[CODCIE1010],EPV_DIFTERIA[[#This Row],[CIE-10]]),COUNTIFS(BASE[Cod.Establecimiento],$AK$2,BASE[CODCIE1010],EPV_DIFTERIA[[#This Row],[CIE-10]]))</f>
        <v>0</v>
      </c>
      <c r="AI13" s="9">
        <f>SUM(EPV_DIFTERIA[[#This Row],[D1]:[D6]])</f>
        <v>0</v>
      </c>
    </row>
    <row r="14" spans="1:37">
      <c r="J14" s="4" t="s">
        <v>107</v>
      </c>
      <c r="K14" s="3">
        <f>IF($AK$2="(Todas)",COUNTIF(BASE[CODCIE10],EPV_RUBEOLA[[#This Row],[CIE-10]]),COUNTIFS(BASE[Cod.Establecimiento],$AK$2,BASE[CODCIE10],EPV_RUBEOLA[[#This Row],[CIE-10]]))</f>
        <v>0</v>
      </c>
      <c r="L14" s="3">
        <f>IF($AK$2="(Todas)",COUNTIF(BASE[CODCIE102],EPV_RUBEOLA[[#This Row],[CIE-10]]),COUNTIFS(BASE[Cod.Establecimiento],$AK$2,BASE[CODCIE102],EPV_RUBEOLA[[#This Row],[CIE-10]]))</f>
        <v>0</v>
      </c>
      <c r="M14" s="3">
        <f>IF($AK$2="(Todas)",COUNTIF(BASE[CODCIE104],EPV_RUBEOLA[[#This Row],[CIE-10]]),COUNTIFS(BASE[Cod.Establecimiento],$AK$2,BASE[CODCIE104],EPV_RUBEOLA[[#This Row],[CIE-10]]))</f>
        <v>0</v>
      </c>
      <c r="N14" s="3">
        <f>IF($AK$2="(Todas)",COUNTIF(BASE[CODCIE106],EPV_RUBEOLA[[#This Row],[CIE-10]]),COUNTIFS(BASE[Cod.Establecimiento],$AK$2,BASE[CODCIE106],EPV_RUBEOLA[[#This Row],[CIE-10]]))</f>
        <v>0</v>
      </c>
      <c r="O14" s="3">
        <f>IF($AK$2="(Todas)",COUNTIF(BASE[CODCIE108],EPV_RUBEOLA[[#This Row],[CIE-10]]),COUNTIFS(BASE[Cod.Establecimiento],$AK$2,BASE[CODCIE108],EPV_RUBEOLA[[#This Row],[CIE-10]]))</f>
        <v>0</v>
      </c>
      <c r="P14" s="3">
        <f>IF($AK$2="(Todas)",COUNTIF(BASE[CODCIE1010],EPV_RUBEOLA[[#This Row],[CIE-10]]),COUNTIFS(BASE[Cod.Establecimiento],$AK$2,BASE[CODCIE1010],EPV_RUBEOLA[[#This Row],[CIE-10]]))</f>
        <v>0</v>
      </c>
      <c r="Q14" s="9">
        <f>SUM(EPV_RUBEOLA[[#This Row],[D1]:[D6]])</f>
        <v>0</v>
      </c>
    </row>
    <row r="15" spans="1:37">
      <c r="J15" s="4" t="s">
        <v>108</v>
      </c>
      <c r="K15" s="3">
        <f>IF($AK$2="(Todas)",COUNTIF(BASE[CODCIE10],EPV_RUBEOLA[[#This Row],[CIE-10]]),COUNTIFS(BASE[Cod.Establecimiento],$AK$2,BASE[CODCIE10],EPV_RUBEOLA[[#This Row],[CIE-10]]))</f>
        <v>0</v>
      </c>
      <c r="L15" s="3">
        <f>IF($AK$2="(Todas)",COUNTIF(BASE[CODCIE102],EPV_RUBEOLA[[#This Row],[CIE-10]]),COUNTIFS(BASE[Cod.Establecimiento],$AK$2,BASE[CODCIE102],EPV_RUBEOLA[[#This Row],[CIE-10]]))</f>
        <v>0</v>
      </c>
      <c r="M15" s="3">
        <f>IF($AK$2="(Todas)",COUNTIF(BASE[CODCIE104],EPV_RUBEOLA[[#This Row],[CIE-10]]),COUNTIFS(BASE[Cod.Establecimiento],$AK$2,BASE[CODCIE104],EPV_RUBEOLA[[#This Row],[CIE-10]]))</f>
        <v>0</v>
      </c>
      <c r="N15" s="3">
        <f>IF($AK$2="(Todas)",COUNTIF(BASE[CODCIE106],EPV_RUBEOLA[[#This Row],[CIE-10]]),COUNTIFS(BASE[Cod.Establecimiento],$AK$2,BASE[CODCIE106],EPV_RUBEOLA[[#This Row],[CIE-10]]))</f>
        <v>0</v>
      </c>
      <c r="O15" s="3">
        <f>IF($AK$2="(Todas)",COUNTIF(BASE[CODCIE108],EPV_RUBEOLA[[#This Row],[CIE-10]]),COUNTIFS(BASE[Cod.Establecimiento],$AK$2,BASE[CODCIE108],EPV_RUBEOLA[[#This Row],[CIE-10]]))</f>
        <v>0</v>
      </c>
      <c r="P15" s="3">
        <f>IF($AK$2="(Todas)",COUNTIF(BASE[CODCIE1010],EPV_RUBEOLA[[#This Row],[CIE-10]]),COUNTIFS(BASE[Cod.Establecimiento],$AK$2,BASE[CODCIE1010],EPV_RUBEOLA[[#This Row],[CIE-10]]))</f>
        <v>0</v>
      </c>
      <c r="Q15" s="9">
        <f>SUM(EPV_RUBEOLA[[#This Row],[D1]:[D6]])</f>
        <v>0</v>
      </c>
    </row>
    <row r="17" spans="1:35" ht="18" customHeight="1" thickBot="1">
      <c r="A17" s="87" t="s">
        <v>109</v>
      </c>
      <c r="B17" s="88"/>
      <c r="C17" s="88"/>
      <c r="D17" s="88"/>
      <c r="E17" s="88"/>
      <c r="F17" s="88"/>
      <c r="G17" s="88"/>
      <c r="H17" s="88"/>
      <c r="J17" s="87" t="s">
        <v>110</v>
      </c>
      <c r="K17" s="88"/>
      <c r="L17" s="88"/>
      <c r="M17" s="88"/>
      <c r="N17" s="88"/>
      <c r="O17" s="88"/>
      <c r="P17" s="88"/>
      <c r="Q17" s="88"/>
      <c r="S17" s="87" t="s">
        <v>111</v>
      </c>
      <c r="T17" s="88"/>
      <c r="U17" s="88"/>
      <c r="V17" s="88"/>
      <c r="W17" s="88"/>
      <c r="X17" s="88"/>
      <c r="Y17" s="88"/>
      <c r="Z17" s="88"/>
      <c r="AB17" s="87" t="s">
        <v>112</v>
      </c>
      <c r="AC17" s="88"/>
      <c r="AD17" s="88"/>
      <c r="AE17" s="88"/>
      <c r="AF17" s="88"/>
      <c r="AG17" s="88"/>
      <c r="AH17" s="88"/>
      <c r="AI17" s="88"/>
    </row>
    <row r="18" spans="1:35" ht="15.75" customHeight="1" thickTop="1">
      <c r="A18" s="6" t="str">
        <f>CONCATENATE("TOTAL: ",SUM(B18:G18))</f>
        <v>TOTAL: 0</v>
      </c>
      <c r="B18" s="5">
        <f>SUM(EPV_COQUELUCHE[D1])</f>
        <v>0</v>
      </c>
      <c r="C18" s="5">
        <f>SUM(EPV_COQUELUCHE[D2])</f>
        <v>0</v>
      </c>
      <c r="D18" s="5">
        <f>SUM(EPV_COQUELUCHE[D3])</f>
        <v>0</v>
      </c>
      <c r="E18" s="5">
        <f>SUM(EPV_COQUELUCHE[D4])</f>
        <v>0</v>
      </c>
      <c r="F18" s="5">
        <f>SUM(EPV_COQUELUCHE[D5])</f>
        <v>0</v>
      </c>
      <c r="G18" s="5">
        <f>SUM(EPV_COQUELUCHE[D6])</f>
        <v>0</v>
      </c>
      <c r="H18" s="7"/>
      <c r="J18" s="6" t="str">
        <f>CONCATENATE("TOTAL: ",SUM(K18:P18))</f>
        <v>TOTAL: 0</v>
      </c>
      <c r="K18" s="5">
        <f>SUM(EPV_PAROTIDITIS[D1])</f>
        <v>0</v>
      </c>
      <c r="L18" s="5">
        <f>SUM(EPV_PAROTIDITIS[D2])</f>
        <v>0</v>
      </c>
      <c r="M18" s="5">
        <f>SUM(EPV_PAROTIDITIS[D3])</f>
        <v>0</v>
      </c>
      <c r="N18" s="5">
        <f>SUM(EPV_PAROTIDITIS[D4])</f>
        <v>0</v>
      </c>
      <c r="O18" s="5">
        <f>SUM(EPV_PAROTIDITIS[D5])</f>
        <v>0</v>
      </c>
      <c r="P18" s="5">
        <f>SUM(EPV_PAROTIDITIS[D6])</f>
        <v>0</v>
      </c>
      <c r="Q18" s="7"/>
      <c r="S18" s="6" t="str">
        <f>CONCATENATE("TOTAL: ",SUM(T18:Y18))</f>
        <v>TOTAL: 0</v>
      </c>
      <c r="T18" s="5">
        <f>SUM(EPV_TETANOS_NEONATAL[D1])</f>
        <v>0</v>
      </c>
      <c r="U18" s="5">
        <f>SUM(EPV_TETANOS_NEONATAL[D2])</f>
        <v>0</v>
      </c>
      <c r="V18" s="5">
        <f>SUM(EPV_TETANOS_NEONATAL[D3])</f>
        <v>0</v>
      </c>
      <c r="W18" s="5">
        <f>SUM(EPV_TETANOS_NEONATAL[D4])</f>
        <v>0</v>
      </c>
      <c r="X18" s="5">
        <f>SUM(EPV_TETANOS_NEONATAL[D5])</f>
        <v>0</v>
      </c>
      <c r="Y18" s="5">
        <f>SUM(EPV_TETANOS_NEONATAL[D6])</f>
        <v>0</v>
      </c>
      <c r="Z18" s="7"/>
      <c r="AB18" s="6" t="str">
        <f>CONCATENATE("TOTAL: ",SUM(AC18:AH18))</f>
        <v>TOTAL: 0</v>
      </c>
      <c r="AC18" s="5">
        <f>SUM(EPV_TETANOS_OTRAS_EDADES[D1])</f>
        <v>0</v>
      </c>
      <c r="AD18" s="5">
        <f>SUM(EPV_TETANOS_OTRAS_EDADES[D2])</f>
        <v>0</v>
      </c>
      <c r="AE18" s="5">
        <f>SUM(EPV_TETANOS_OTRAS_EDADES[D3])</f>
        <v>0</v>
      </c>
      <c r="AF18" s="5">
        <f>SUM(EPV_TETANOS_OTRAS_EDADES[D4])</f>
        <v>0</v>
      </c>
      <c r="AG18" s="5">
        <f>SUM(EPV_TETANOS_OTRAS_EDADES[D5])</f>
        <v>0</v>
      </c>
      <c r="AH18" s="5">
        <f>SUM(EPV_TETANOS_OTRAS_EDADES[D6])</f>
        <v>0</v>
      </c>
      <c r="AI18" s="7"/>
    </row>
    <row r="19" spans="1:35">
      <c r="A19" t="s">
        <v>77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82</v>
      </c>
      <c r="G19" s="3" t="s">
        <v>83</v>
      </c>
      <c r="H19" s="8" t="s">
        <v>84</v>
      </c>
      <c r="J19" t="s">
        <v>77</v>
      </c>
      <c r="K19" s="3" t="s">
        <v>78</v>
      </c>
      <c r="L19" s="3" t="s">
        <v>79</v>
      </c>
      <c r="M19" s="3" t="s">
        <v>80</v>
      </c>
      <c r="N19" s="3" t="s">
        <v>81</v>
      </c>
      <c r="O19" s="3" t="s">
        <v>82</v>
      </c>
      <c r="P19" s="3" t="s">
        <v>83</v>
      </c>
      <c r="Q19" s="8" t="s">
        <v>84</v>
      </c>
      <c r="S19" t="s">
        <v>77</v>
      </c>
      <c r="T19" s="3" t="s">
        <v>78</v>
      </c>
      <c r="U19" s="3" t="s">
        <v>79</v>
      </c>
      <c r="V19" s="3" t="s">
        <v>80</v>
      </c>
      <c r="W19" s="3" t="s">
        <v>81</v>
      </c>
      <c r="X19" s="3" t="s">
        <v>82</v>
      </c>
      <c r="Y19" s="3" t="s">
        <v>83</v>
      </c>
      <c r="Z19" s="8" t="s">
        <v>84</v>
      </c>
      <c r="AB19" t="s">
        <v>77</v>
      </c>
      <c r="AC19" s="3" t="s">
        <v>78</v>
      </c>
      <c r="AD19" s="3" t="s">
        <v>79</v>
      </c>
      <c r="AE19" s="3" t="s">
        <v>80</v>
      </c>
      <c r="AF19" s="3" t="s">
        <v>81</v>
      </c>
      <c r="AG19" s="3" t="s">
        <v>82</v>
      </c>
      <c r="AH19" s="3" t="s">
        <v>83</v>
      </c>
      <c r="AI19" s="8" t="s">
        <v>84</v>
      </c>
    </row>
    <row r="20" spans="1:35">
      <c r="A20" s="4" t="s">
        <v>113</v>
      </c>
      <c r="B20" s="3">
        <f>IF($AK$2="(Todas)",COUNTIF(BASE[CODCIE10],EPV_COQUELUCHE[[#This Row],[CIE-10]]),COUNTIFS(BASE[Cod.Establecimiento],$AK$2,BASE[CODCIE10],EPV_COQUELUCHE[[#This Row],[CIE-10]]))</f>
        <v>0</v>
      </c>
      <c r="C20" s="3">
        <f>IF($AK$2="(Todas)",COUNTIF(BASE[CODCIE102],EPV_COQUELUCHE[[#This Row],[CIE-10]]),COUNTIFS(BASE[Cod.Establecimiento],$AK$2,BASE[CODCIE102],EPV_COQUELUCHE[[#This Row],[CIE-10]]))</f>
        <v>0</v>
      </c>
      <c r="D20" s="3">
        <f>IF($AK$2="(Todas)",COUNTIF(BASE[CODCIE104],EPV_COQUELUCHE[[#This Row],[CIE-10]]),COUNTIFS(BASE[Cod.Establecimiento],$AK$2,BASE[CODCIE104],EPV_COQUELUCHE[[#This Row],[CIE-10]]))</f>
        <v>0</v>
      </c>
      <c r="E20" s="3">
        <f>IF($AK$2="(Todas)",COUNTIF(BASE[CODCIE106],EPV_COQUELUCHE[[#This Row],[CIE-10]]),COUNTIFS(BASE[Cod.Establecimiento],$AK$2,BASE[CODCIE106],EPV_COQUELUCHE[[#This Row],[CIE-10]]))</f>
        <v>0</v>
      </c>
      <c r="F20" s="3">
        <f>IF($AK$2="(Todas)",COUNTIF(BASE[CODCIE108],EPV_COQUELUCHE[[#This Row],[CIE-10]]),COUNTIFS(BASE[Cod.Establecimiento],$AK$2,BASE[CODCIE108],EPV_COQUELUCHE[[#This Row],[CIE-10]]))</f>
        <v>0</v>
      </c>
      <c r="G20" s="3">
        <f>IF($AK$2="(Todas)",COUNTIF(BASE[CODCIE1010],EPV_COQUELUCHE[[#This Row],[CIE-10]]),COUNTIFS(BASE[Cod.Establecimiento],$AK$2,BASE[CODCIE1010],EPV_COQUELUCHE[[#This Row],[CIE-10]]))</f>
        <v>0</v>
      </c>
      <c r="H20" s="9">
        <f>SUM(EPV_COQUELUCHE[[#This Row],[D1]:[D6]])</f>
        <v>0</v>
      </c>
      <c r="J20" s="31" t="s">
        <v>114</v>
      </c>
      <c r="K20" s="3">
        <f>IF($AK$2="(Todas)",COUNTIF(BASE[CODCIE10],EPV_PAROTIDITIS[[#This Row],[CIE-10]]),COUNTIFS(BASE[Cod.Establecimiento],$AK$2,BASE[CODCIE10],EPV_PAROTIDITIS[[#This Row],[CIE-10]]))</f>
        <v>0</v>
      </c>
      <c r="L20" s="3">
        <f>IF($AK$2="(Todas)",COUNTIF(BASE[CODCIE102],EPV_PAROTIDITIS[[#This Row],[CIE-10]]),COUNTIFS(BASE[Cod.Establecimiento],$AK$2,BASE[CODCIE102],EPV_PAROTIDITIS[[#This Row],[CIE-10]]))</f>
        <v>0</v>
      </c>
      <c r="M20" s="3">
        <f>IF($AK$2="(Todas)",COUNTIF(BASE[CODCIE104],EPV_PAROTIDITIS[[#This Row],[CIE-10]]),COUNTIFS(BASE[Cod.Establecimiento],$AK$2,BASE[CODCIE104],EPV_PAROTIDITIS[[#This Row],[CIE-10]]))</f>
        <v>0</v>
      </c>
      <c r="N20" s="3">
        <f>IF($AK$2="(Todas)",COUNTIF(BASE[CODCIE106],EPV_PAROTIDITIS[[#This Row],[CIE-10]]),COUNTIFS(BASE[Cod.Establecimiento],$AK$2,BASE[CODCIE106],EPV_PAROTIDITIS[[#This Row],[CIE-10]]))</f>
        <v>0</v>
      </c>
      <c r="O20" s="3">
        <f>IF($AK$2="(Todas)",COUNTIF(BASE[CODCIE108],EPV_PAROTIDITIS[[#This Row],[CIE-10]]),COUNTIFS(BASE[Cod.Establecimiento],$AK$2,BASE[CODCIE108],EPV_PAROTIDITIS[[#This Row],[CIE-10]]))</f>
        <v>0</v>
      </c>
      <c r="P20" s="3">
        <f>IF($AK$2="(Todas)",COUNTIF(BASE[CODCIE1010],EPV_PAROTIDITIS[[#This Row],[CIE-10]]),COUNTIFS(BASE[Cod.Establecimiento],$AK$2,BASE[CODCIE1010],EPV_PAROTIDITIS[[#This Row],[CIE-10]]))</f>
        <v>0</v>
      </c>
      <c r="Q20" s="9">
        <f>SUM(EPV_PAROTIDITIS[[#This Row],[D1]:[D6]])</f>
        <v>0</v>
      </c>
      <c r="S20" s="4" t="s">
        <v>115</v>
      </c>
      <c r="T20" s="3">
        <f>IF($AK$2="(Todas)",COUNTIF(BASE[CODCIE10],EPV_TETANOS_NEONATAL[[#This Row],[CIE-10]]),COUNTIFS(BASE[Cod.Establecimiento],$AK$2,BASE[CODCIE10],EPV_TETANOS_NEONATAL[[#This Row],[CIE-10]]))</f>
        <v>0</v>
      </c>
      <c r="U20" s="3">
        <f>IF($AK$2="(Todas)",COUNTIF(BASE[CODCIE102],EPV_TETANOS_NEONATAL[[#This Row],[CIE-10]]),COUNTIFS(BASE[Cod.Establecimiento],$AK$2,BASE[CODCIE102],EPV_TETANOS_NEONATAL[[#This Row],[CIE-10]]))</f>
        <v>0</v>
      </c>
      <c r="V20" s="3">
        <f>IF($AK$2="(Todas)",COUNTIF(BASE[CODCIE104],EPV_TETANOS_NEONATAL[[#This Row],[CIE-10]]),COUNTIFS(BASE[Cod.Establecimiento],$AK$2,BASE[CODCIE104],EPV_TETANOS_NEONATAL[[#This Row],[CIE-10]]))</f>
        <v>0</v>
      </c>
      <c r="W20" s="3">
        <f>IF($AK$2="(Todas)",COUNTIF(BASE[CODCIE106],EPV_TETANOS_NEONATAL[[#This Row],[CIE-10]]),COUNTIFS(BASE[Cod.Establecimiento],$AK$2,BASE[CODCIE106],EPV_TETANOS_NEONATAL[[#This Row],[CIE-10]]))</f>
        <v>0</v>
      </c>
      <c r="X20" s="3">
        <f>IF($AK$2="(Todas)",COUNTIF(BASE[CODCIE108],EPV_TETANOS_NEONATAL[[#This Row],[CIE-10]]),COUNTIFS(BASE[Cod.Establecimiento],$AK$2,BASE[CODCIE108],EPV_TETANOS_NEONATAL[[#This Row],[CIE-10]]))</f>
        <v>0</v>
      </c>
      <c r="Y20" s="3">
        <f>IF($AK$2="(Todas)",COUNTIF(BASE[CODCIE1010],EPV_TETANOS_NEONATAL[[#This Row],[CIE-10]]),COUNTIFS(BASE[Cod.Establecimiento],$AK$2,BASE[CODCIE1010],EPV_TETANOS_NEONATAL[[#This Row],[CIE-10]]))</f>
        <v>0</v>
      </c>
      <c r="Z20" s="9">
        <f>SUM(EPV_TETANOS_NEONATAL[[#This Row],[D1]:[D6]])</f>
        <v>0</v>
      </c>
      <c r="AB20" s="4" t="s">
        <v>116</v>
      </c>
      <c r="AC20" s="3">
        <f>IF($AK$2="(Todas)",COUNTIF(BASE[CODCIE10],EPV_TETANOS_OTRAS_EDADES[[#This Row],[CIE-10]]),COUNTIFS(BASE[Cod.Establecimiento],$AK$2,BASE[CODCIE10],EPV_TETANOS_OTRAS_EDADES[[#This Row],[CIE-10]]))</f>
        <v>0</v>
      </c>
      <c r="AD20" s="3">
        <f>IF($AK$2="(Todas)",COUNTIF(BASE[CODCIE102],EPV_TETANOS_OTRAS_EDADES[[#This Row],[CIE-10]]),COUNTIFS(BASE[Cod.Establecimiento],$AK$2,BASE[CODCIE102],EPV_TETANOS_OTRAS_EDADES[[#This Row],[CIE-10]]))</f>
        <v>0</v>
      </c>
      <c r="AE20" s="3">
        <f>IF($AK$2="(Todas)",COUNTIF(BASE[CODCIE104],EPV_TETANOS_OTRAS_EDADES[[#This Row],[CIE-10]]),COUNTIFS(BASE[Cod.Establecimiento],$AK$2,BASE[CODCIE104],EPV_TETANOS_OTRAS_EDADES[[#This Row],[CIE-10]]))</f>
        <v>0</v>
      </c>
      <c r="AF20" s="3">
        <f>IF($AK$2="(Todas)",COUNTIF(BASE[CODCIE106],EPV_TETANOS_OTRAS_EDADES[[#This Row],[CIE-10]]),COUNTIFS(BASE[Cod.Establecimiento],$AK$2,BASE[CODCIE106],EPV_TETANOS_OTRAS_EDADES[[#This Row],[CIE-10]]))</f>
        <v>0</v>
      </c>
      <c r="AG20" s="3">
        <f>IF($AK$2="(Todas)",COUNTIF(BASE[CODCIE108],EPV_TETANOS_OTRAS_EDADES[[#This Row],[CIE-10]]),COUNTIFS(BASE[Cod.Establecimiento],$AK$2,BASE[CODCIE108],EPV_TETANOS_OTRAS_EDADES[[#This Row],[CIE-10]]))</f>
        <v>0</v>
      </c>
      <c r="AH20" s="3">
        <f>IF($AK$2="(Todas)",COUNTIF(BASE[CODCIE1010],EPV_TETANOS_OTRAS_EDADES[[#This Row],[CIE-10]]),COUNTIFS(BASE[Cod.Establecimiento],$AK$2,BASE[CODCIE1010],EPV_TETANOS_OTRAS_EDADES[[#This Row],[CIE-10]]))</f>
        <v>0</v>
      </c>
      <c r="AI20" s="9">
        <f>SUM(EPV_TETANOS_OTRAS_EDADES[[#This Row],[D1]:[D6]])</f>
        <v>0</v>
      </c>
    </row>
    <row r="21" spans="1:35">
      <c r="A21" s="4" t="s">
        <v>117</v>
      </c>
      <c r="B21" s="3">
        <f>IF($AK$2="(Todas)",COUNTIF(BASE[CODCIE10],EPV_COQUELUCHE[[#This Row],[CIE-10]]),COUNTIFS(BASE[Cod.Establecimiento],$AK$2,BASE[CODCIE10],EPV_COQUELUCHE[[#This Row],[CIE-10]]))</f>
        <v>0</v>
      </c>
      <c r="C21" s="3">
        <f>IF($AK$2="(Todas)",COUNTIF(BASE[CODCIE102],EPV_COQUELUCHE[[#This Row],[CIE-10]]),COUNTIFS(BASE[Cod.Establecimiento],$AK$2,BASE[CODCIE102],EPV_COQUELUCHE[[#This Row],[CIE-10]]))</f>
        <v>0</v>
      </c>
      <c r="D21" s="3">
        <f>IF($AK$2="(Todas)",COUNTIF(BASE[CODCIE104],EPV_COQUELUCHE[[#This Row],[CIE-10]]),COUNTIFS(BASE[Cod.Establecimiento],$AK$2,BASE[CODCIE104],EPV_COQUELUCHE[[#This Row],[CIE-10]]))</f>
        <v>0</v>
      </c>
      <c r="E21" s="3">
        <f>IF($AK$2="(Todas)",COUNTIF(BASE[CODCIE106],EPV_COQUELUCHE[[#This Row],[CIE-10]]),COUNTIFS(BASE[Cod.Establecimiento],$AK$2,BASE[CODCIE106],EPV_COQUELUCHE[[#This Row],[CIE-10]]))</f>
        <v>0</v>
      </c>
      <c r="F21" s="3">
        <f>IF($AK$2="(Todas)",COUNTIF(BASE[CODCIE108],EPV_COQUELUCHE[[#This Row],[CIE-10]]),COUNTIFS(BASE[Cod.Establecimiento],$AK$2,BASE[CODCIE108],EPV_COQUELUCHE[[#This Row],[CIE-10]]))</f>
        <v>0</v>
      </c>
      <c r="G21" s="3">
        <f>IF($AK$2="(Todas)",COUNTIF(BASE[CODCIE1010],EPV_COQUELUCHE[[#This Row],[CIE-10]]),COUNTIFS(BASE[Cod.Establecimiento],$AK$2,BASE[CODCIE1010],EPV_COQUELUCHE[[#This Row],[CIE-10]]))</f>
        <v>0</v>
      </c>
      <c r="H21" s="9">
        <f>SUM(EPV_COQUELUCHE[[#This Row],[D1]:[D6]])</f>
        <v>0</v>
      </c>
      <c r="J21" s="31" t="s">
        <v>118</v>
      </c>
      <c r="K21" s="3">
        <f>IF($AK$2="(Todas)",COUNTIF(BASE[CODCIE10],EPV_PAROTIDITIS[[#This Row],[CIE-10]]),COUNTIFS(BASE[Cod.Establecimiento],$AK$2,BASE[CODCIE10],EPV_PAROTIDITIS[[#This Row],[CIE-10]]))</f>
        <v>0</v>
      </c>
      <c r="L21" s="3">
        <f>IF($AK$2="(Todas)",COUNTIF(BASE[CODCIE102],EPV_PAROTIDITIS[[#This Row],[CIE-10]]),COUNTIFS(BASE[Cod.Establecimiento],$AK$2,BASE[CODCIE102],EPV_PAROTIDITIS[[#This Row],[CIE-10]]))</f>
        <v>0</v>
      </c>
      <c r="M21" s="3">
        <f>IF($AK$2="(Todas)",COUNTIF(BASE[CODCIE104],EPV_PAROTIDITIS[[#This Row],[CIE-10]]),COUNTIFS(BASE[Cod.Establecimiento],$AK$2,BASE[CODCIE104],EPV_PAROTIDITIS[[#This Row],[CIE-10]]))</f>
        <v>0</v>
      </c>
      <c r="N21" s="3">
        <f>IF($AK$2="(Todas)",COUNTIF(BASE[CODCIE106],EPV_PAROTIDITIS[[#This Row],[CIE-10]]),COUNTIFS(BASE[Cod.Establecimiento],$AK$2,BASE[CODCIE106],EPV_PAROTIDITIS[[#This Row],[CIE-10]]))</f>
        <v>0</v>
      </c>
      <c r="O21" s="3">
        <f>IF($AK$2="(Todas)",COUNTIF(BASE[CODCIE108],EPV_PAROTIDITIS[[#This Row],[CIE-10]]),COUNTIFS(BASE[Cod.Establecimiento],$AK$2,BASE[CODCIE108],EPV_PAROTIDITIS[[#This Row],[CIE-10]]))</f>
        <v>0</v>
      </c>
      <c r="P21" s="3">
        <f>IF($AK$2="(Todas)",COUNTIF(BASE[CODCIE1010],EPV_PAROTIDITIS[[#This Row],[CIE-10]]),COUNTIFS(BASE[Cod.Establecimiento],$AK$2,BASE[CODCIE1010],EPV_PAROTIDITIS[[#This Row],[CIE-10]]))</f>
        <v>0</v>
      </c>
      <c r="Q21" s="9">
        <f>SUM(EPV_PAROTIDITIS[[#This Row],[D1]:[D6]])</f>
        <v>0</v>
      </c>
      <c r="S21" s="4" t="s">
        <v>119</v>
      </c>
      <c r="T21" s="3">
        <f>IF($AK$2="(Todas)",COUNTIF(BASE[CODCIE10],EPV_TETANOS_NEONATAL[[#This Row],[CIE-10]]),COUNTIFS(BASE[Cod.Establecimiento],$AK$2,BASE[CODCIE10],EPV_TETANOS_NEONATAL[[#This Row],[CIE-10]]))</f>
        <v>0</v>
      </c>
      <c r="U21" s="3">
        <f>IF($AK$2="(Todas)",COUNTIF(BASE[CODCIE102],EPV_TETANOS_NEONATAL[[#This Row],[CIE-10]]),COUNTIFS(BASE[Cod.Establecimiento],$AK$2,BASE[CODCIE102],EPV_TETANOS_NEONATAL[[#This Row],[CIE-10]]))</f>
        <v>0</v>
      </c>
      <c r="V21" s="3">
        <f>IF($AK$2="(Todas)",COUNTIF(BASE[CODCIE104],EPV_TETANOS_NEONATAL[[#This Row],[CIE-10]]),COUNTIFS(BASE[Cod.Establecimiento],$AK$2,BASE[CODCIE104],EPV_TETANOS_NEONATAL[[#This Row],[CIE-10]]))</f>
        <v>0</v>
      </c>
      <c r="W21" s="3">
        <f>IF($AK$2="(Todas)",COUNTIF(BASE[CODCIE106],EPV_TETANOS_NEONATAL[[#This Row],[CIE-10]]),COUNTIFS(BASE[Cod.Establecimiento],$AK$2,BASE[CODCIE106],EPV_TETANOS_NEONATAL[[#This Row],[CIE-10]]))</f>
        <v>0</v>
      </c>
      <c r="X21" s="3">
        <f>IF($AK$2="(Todas)",COUNTIF(BASE[CODCIE108],EPV_TETANOS_NEONATAL[[#This Row],[CIE-10]]),COUNTIFS(BASE[Cod.Establecimiento],$AK$2,BASE[CODCIE108],EPV_TETANOS_NEONATAL[[#This Row],[CIE-10]]))</f>
        <v>0</v>
      </c>
      <c r="Y21" s="3">
        <f>IF($AK$2="(Todas)",COUNTIF(BASE[CODCIE1010],EPV_TETANOS_NEONATAL[[#This Row],[CIE-10]]),COUNTIFS(BASE[Cod.Establecimiento],$AK$2,BASE[CODCIE1010],EPV_TETANOS_NEONATAL[[#This Row],[CIE-10]]))</f>
        <v>0</v>
      </c>
      <c r="Z21" s="9">
        <f>SUM(EPV_TETANOS_NEONATAL[[#This Row],[D1]:[D6]])</f>
        <v>0</v>
      </c>
    </row>
    <row r="22" spans="1:35">
      <c r="A22" s="4" t="s">
        <v>120</v>
      </c>
      <c r="B22" s="3">
        <f>IF($AK$2="(Todas)",COUNTIF(BASE[CODCIE10],EPV_COQUELUCHE[[#This Row],[CIE-10]]),COUNTIFS(BASE[Cod.Establecimiento],$AK$2,BASE[CODCIE10],EPV_COQUELUCHE[[#This Row],[CIE-10]]))</f>
        <v>0</v>
      </c>
      <c r="C22" s="3">
        <f>IF($AK$2="(Todas)",COUNTIF(BASE[CODCIE102],EPV_COQUELUCHE[[#This Row],[CIE-10]]),COUNTIFS(BASE[Cod.Establecimiento],$AK$2,BASE[CODCIE102],EPV_COQUELUCHE[[#This Row],[CIE-10]]))</f>
        <v>0</v>
      </c>
      <c r="D22" s="3">
        <f>IF($AK$2="(Todas)",COUNTIF(BASE[CODCIE104],EPV_COQUELUCHE[[#This Row],[CIE-10]]),COUNTIFS(BASE[Cod.Establecimiento],$AK$2,BASE[CODCIE104],EPV_COQUELUCHE[[#This Row],[CIE-10]]))</f>
        <v>0</v>
      </c>
      <c r="E22" s="3">
        <f>IF($AK$2="(Todas)",COUNTIF(BASE[CODCIE106],EPV_COQUELUCHE[[#This Row],[CIE-10]]),COUNTIFS(BASE[Cod.Establecimiento],$AK$2,BASE[CODCIE106],EPV_COQUELUCHE[[#This Row],[CIE-10]]))</f>
        <v>0</v>
      </c>
      <c r="F22" s="3">
        <f>IF($AK$2="(Todas)",COUNTIF(BASE[CODCIE108],EPV_COQUELUCHE[[#This Row],[CIE-10]]),COUNTIFS(BASE[Cod.Establecimiento],$AK$2,BASE[CODCIE108],EPV_COQUELUCHE[[#This Row],[CIE-10]]))</f>
        <v>0</v>
      </c>
      <c r="G22" s="3">
        <f>IF($AK$2="(Todas)",COUNTIF(BASE[CODCIE1010],EPV_COQUELUCHE[[#This Row],[CIE-10]]),COUNTIFS(BASE[Cod.Establecimiento],$AK$2,BASE[CODCIE1010],EPV_COQUELUCHE[[#This Row],[CIE-10]]))</f>
        <v>0</v>
      </c>
      <c r="H22" s="9">
        <f>SUM(EPV_COQUELUCHE[[#This Row],[D1]:[D6]])</f>
        <v>0</v>
      </c>
      <c r="J22" s="31" t="s">
        <v>121</v>
      </c>
      <c r="K22" s="3">
        <f>IF($AK$2="(Todas)",COUNTIF(BASE[CODCIE10],EPV_PAROTIDITIS[[#This Row],[CIE-10]]),COUNTIFS(BASE[Cod.Establecimiento],$AK$2,BASE[CODCIE10],EPV_PAROTIDITIS[[#This Row],[CIE-10]]))</f>
        <v>0</v>
      </c>
      <c r="L22" s="3">
        <f>IF($AK$2="(Todas)",COUNTIF(BASE[CODCIE102],EPV_PAROTIDITIS[[#This Row],[CIE-10]]),COUNTIFS(BASE[Cod.Establecimiento],$AK$2,BASE[CODCIE102],EPV_PAROTIDITIS[[#This Row],[CIE-10]]))</f>
        <v>0</v>
      </c>
      <c r="M22" s="3">
        <f>IF($AK$2="(Todas)",COUNTIF(BASE[CODCIE104],EPV_PAROTIDITIS[[#This Row],[CIE-10]]),COUNTIFS(BASE[Cod.Establecimiento],$AK$2,BASE[CODCIE104],EPV_PAROTIDITIS[[#This Row],[CIE-10]]))</f>
        <v>0</v>
      </c>
      <c r="N22" s="3">
        <f>IF($AK$2="(Todas)",COUNTIF(BASE[CODCIE106],EPV_PAROTIDITIS[[#This Row],[CIE-10]]),COUNTIFS(BASE[Cod.Establecimiento],$AK$2,BASE[CODCIE106],EPV_PAROTIDITIS[[#This Row],[CIE-10]]))</f>
        <v>0</v>
      </c>
      <c r="O22" s="3">
        <f>IF($AK$2="(Todas)",COUNTIF(BASE[CODCIE108],EPV_PAROTIDITIS[[#This Row],[CIE-10]]),COUNTIFS(BASE[Cod.Establecimiento],$AK$2,BASE[CODCIE108],EPV_PAROTIDITIS[[#This Row],[CIE-10]]))</f>
        <v>0</v>
      </c>
      <c r="P22" s="3">
        <f>IF($AK$2="(Todas)",COUNTIF(BASE[CODCIE1010],EPV_PAROTIDITIS[[#This Row],[CIE-10]]),COUNTIFS(BASE[Cod.Establecimiento],$AK$2,BASE[CODCIE1010],EPV_PAROTIDITIS[[#This Row],[CIE-10]]))</f>
        <v>0</v>
      </c>
      <c r="Q22" s="9">
        <f>SUM(EPV_PAROTIDITIS[[#This Row],[D1]:[D6]])</f>
        <v>0</v>
      </c>
    </row>
    <row r="23" spans="1:35">
      <c r="A23" s="4" t="s">
        <v>122</v>
      </c>
      <c r="B23" s="3">
        <f>IF($AK$2="(Todas)",COUNTIF(BASE[CODCIE10],EPV_COQUELUCHE[[#This Row],[CIE-10]]),COUNTIFS(BASE[Cod.Establecimiento],$AK$2,BASE[CODCIE10],EPV_COQUELUCHE[[#This Row],[CIE-10]]))</f>
        <v>0</v>
      </c>
      <c r="C23" s="3">
        <f>IF($AK$2="(Todas)",COUNTIF(BASE[CODCIE102],EPV_COQUELUCHE[[#This Row],[CIE-10]]),COUNTIFS(BASE[Cod.Establecimiento],$AK$2,BASE[CODCIE102],EPV_COQUELUCHE[[#This Row],[CIE-10]]))</f>
        <v>0</v>
      </c>
      <c r="D23" s="3">
        <f>IF($AK$2="(Todas)",COUNTIF(BASE[CODCIE104],EPV_COQUELUCHE[[#This Row],[CIE-10]]),COUNTIFS(BASE[Cod.Establecimiento],$AK$2,BASE[CODCIE104],EPV_COQUELUCHE[[#This Row],[CIE-10]]))</f>
        <v>0</v>
      </c>
      <c r="E23" s="3">
        <f>IF($AK$2="(Todas)",COUNTIF(BASE[CODCIE106],EPV_COQUELUCHE[[#This Row],[CIE-10]]),COUNTIFS(BASE[Cod.Establecimiento],$AK$2,BASE[CODCIE106],EPV_COQUELUCHE[[#This Row],[CIE-10]]))</f>
        <v>0</v>
      </c>
      <c r="F23" s="3">
        <f>IF($AK$2="(Todas)",COUNTIF(BASE[CODCIE108],EPV_COQUELUCHE[[#This Row],[CIE-10]]),COUNTIFS(BASE[Cod.Establecimiento],$AK$2,BASE[CODCIE108],EPV_COQUELUCHE[[#This Row],[CIE-10]]))</f>
        <v>0</v>
      </c>
      <c r="G23" s="3">
        <f>IF($AK$2="(Todas)",COUNTIF(BASE[CODCIE1010],EPV_COQUELUCHE[[#This Row],[CIE-10]]),COUNTIFS(BASE[Cod.Establecimiento],$AK$2,BASE[CODCIE1010],EPV_COQUELUCHE[[#This Row],[CIE-10]]))</f>
        <v>0</v>
      </c>
      <c r="H23" s="9">
        <f>SUM(EPV_COQUELUCHE[[#This Row],[D1]:[D6]])</f>
        <v>0</v>
      </c>
      <c r="J23" s="31" t="s">
        <v>123</v>
      </c>
      <c r="K23" s="3">
        <f>IF($AK$2="(Todas)",COUNTIF(BASE[CODCIE10],EPV_PAROTIDITIS[[#This Row],[CIE-10]]),COUNTIFS(BASE[Cod.Establecimiento],$AK$2,BASE[CODCIE10],EPV_PAROTIDITIS[[#This Row],[CIE-10]]))</f>
        <v>0</v>
      </c>
      <c r="L23" s="3">
        <f>IF($AK$2="(Todas)",COUNTIF(BASE[CODCIE102],EPV_PAROTIDITIS[[#This Row],[CIE-10]]),COUNTIFS(BASE[Cod.Establecimiento],$AK$2,BASE[CODCIE102],EPV_PAROTIDITIS[[#This Row],[CIE-10]]))</f>
        <v>0</v>
      </c>
      <c r="M23" s="3">
        <f>IF($AK$2="(Todas)",COUNTIF(BASE[CODCIE104],EPV_PAROTIDITIS[[#This Row],[CIE-10]]),COUNTIFS(BASE[Cod.Establecimiento],$AK$2,BASE[CODCIE104],EPV_PAROTIDITIS[[#This Row],[CIE-10]]))</f>
        <v>0</v>
      </c>
      <c r="N23" s="3">
        <f>IF($AK$2="(Todas)",COUNTIF(BASE[CODCIE106],EPV_PAROTIDITIS[[#This Row],[CIE-10]]),COUNTIFS(BASE[Cod.Establecimiento],$AK$2,BASE[CODCIE106],EPV_PAROTIDITIS[[#This Row],[CIE-10]]))</f>
        <v>0</v>
      </c>
      <c r="O23" s="3">
        <f>IF($AK$2="(Todas)",COUNTIF(BASE[CODCIE108],EPV_PAROTIDITIS[[#This Row],[CIE-10]]),COUNTIFS(BASE[Cod.Establecimiento],$AK$2,BASE[CODCIE108],EPV_PAROTIDITIS[[#This Row],[CIE-10]]))</f>
        <v>0</v>
      </c>
      <c r="P23" s="3">
        <f>IF($AK$2="(Todas)",COUNTIF(BASE[CODCIE1010],EPV_PAROTIDITIS[[#This Row],[CIE-10]]),COUNTIFS(BASE[Cod.Establecimiento],$AK$2,BASE[CODCIE1010],EPV_PAROTIDITIS[[#This Row],[CIE-10]]))</f>
        <v>0</v>
      </c>
      <c r="Q23" s="9">
        <f>SUM(EPV_PAROTIDITIS[[#This Row],[D1]:[D6]])</f>
        <v>0</v>
      </c>
    </row>
    <row r="24" spans="1:35">
      <c r="J24" s="31" t="s">
        <v>124</v>
      </c>
      <c r="K24" s="3">
        <f>IF($AK$2="(Todas)",COUNTIF(BASE[CODCIE10],EPV_PAROTIDITIS[[#This Row],[CIE-10]]),COUNTIFS(BASE[Cod.Establecimiento],$AK$2,BASE[CODCIE10],EPV_PAROTIDITIS[[#This Row],[CIE-10]]))</f>
        <v>0</v>
      </c>
      <c r="L24" s="3">
        <f>IF($AK$2="(Todas)",COUNTIF(BASE[CODCIE102],EPV_PAROTIDITIS[[#This Row],[CIE-10]]),COUNTIFS(BASE[Cod.Establecimiento],$AK$2,BASE[CODCIE102],EPV_PAROTIDITIS[[#This Row],[CIE-10]]))</f>
        <v>0</v>
      </c>
      <c r="M24" s="3">
        <f>IF($AK$2="(Todas)",COUNTIF(BASE[CODCIE104],EPV_PAROTIDITIS[[#This Row],[CIE-10]]),COUNTIFS(BASE[Cod.Establecimiento],$AK$2,BASE[CODCIE104],EPV_PAROTIDITIS[[#This Row],[CIE-10]]))</f>
        <v>0</v>
      </c>
      <c r="N24" s="3">
        <f>IF($AK$2="(Todas)",COUNTIF(BASE[CODCIE106],EPV_PAROTIDITIS[[#This Row],[CIE-10]]),COUNTIFS(BASE[Cod.Establecimiento],$AK$2,BASE[CODCIE106],EPV_PAROTIDITIS[[#This Row],[CIE-10]]))</f>
        <v>0</v>
      </c>
      <c r="O24" s="3">
        <f>IF($AK$2="(Todas)",COUNTIF(BASE[CODCIE108],EPV_PAROTIDITIS[[#This Row],[CIE-10]]),COUNTIFS(BASE[Cod.Establecimiento],$AK$2,BASE[CODCIE108],EPV_PAROTIDITIS[[#This Row],[CIE-10]]))</f>
        <v>0</v>
      </c>
      <c r="P24" s="3">
        <f>IF($AK$2="(Todas)",COUNTIF(BASE[CODCIE1010],EPV_PAROTIDITIS[[#This Row],[CIE-10]]),COUNTIFS(BASE[Cod.Establecimiento],$AK$2,BASE[CODCIE1010],EPV_PAROTIDITIS[[#This Row],[CIE-10]]))</f>
        <v>0</v>
      </c>
      <c r="Q24" s="9">
        <f>SUM(EPV_PAROTIDITIS[[#This Row],[D1]:[D6]])</f>
        <v>0</v>
      </c>
    </row>
    <row r="25" spans="1:35">
      <c r="J25" s="31" t="s">
        <v>125</v>
      </c>
      <c r="K25" s="3">
        <f>IF($AK$2="(Todas)",COUNTIF(BASE[CODCIE10],EPV_PAROTIDITIS[[#This Row],[CIE-10]]),COUNTIFS(BASE[Cod.Establecimiento],$AK$2,BASE[CODCIE10],EPV_PAROTIDITIS[[#This Row],[CIE-10]]))</f>
        <v>0</v>
      </c>
      <c r="L25" s="3">
        <f>IF($AK$2="(Todas)",COUNTIF(BASE[CODCIE102],EPV_PAROTIDITIS[[#This Row],[CIE-10]]),COUNTIFS(BASE[Cod.Establecimiento],$AK$2,BASE[CODCIE102],EPV_PAROTIDITIS[[#This Row],[CIE-10]]))</f>
        <v>0</v>
      </c>
      <c r="M25" s="3">
        <f>IF($AK$2="(Todas)",COUNTIF(BASE[CODCIE104],EPV_PAROTIDITIS[[#This Row],[CIE-10]]),COUNTIFS(BASE[Cod.Establecimiento],$AK$2,BASE[CODCIE104],EPV_PAROTIDITIS[[#This Row],[CIE-10]]))</f>
        <v>0</v>
      </c>
      <c r="N25" s="3">
        <f>IF($AK$2="(Todas)",COUNTIF(BASE[CODCIE106],EPV_PAROTIDITIS[[#This Row],[CIE-10]]),COUNTIFS(BASE[Cod.Establecimiento],$AK$2,BASE[CODCIE106],EPV_PAROTIDITIS[[#This Row],[CIE-10]]))</f>
        <v>0</v>
      </c>
      <c r="O25" s="3">
        <f>IF($AK$2="(Todas)",COUNTIF(BASE[CODCIE108],EPV_PAROTIDITIS[[#This Row],[CIE-10]]),COUNTIFS(BASE[Cod.Establecimiento],$AK$2,BASE[CODCIE108],EPV_PAROTIDITIS[[#This Row],[CIE-10]]))</f>
        <v>0</v>
      </c>
      <c r="P25" s="3">
        <f>IF($AK$2="(Todas)",COUNTIF(BASE[CODCIE1010],EPV_PAROTIDITIS[[#This Row],[CIE-10]]),COUNTIFS(BASE[Cod.Establecimiento],$AK$2,BASE[CODCIE1010],EPV_PAROTIDITIS[[#This Row],[CIE-10]]))</f>
        <v>0</v>
      </c>
      <c r="Q25" s="9">
        <f>SUM(EPV_PAROTIDITIS[[#This Row],[D1]:[D6]])</f>
        <v>0</v>
      </c>
      <c r="S25" s="91" t="s">
        <v>126</v>
      </c>
      <c r="T25" s="92"/>
      <c r="U25" s="92"/>
      <c r="V25" s="92"/>
      <c r="W25" s="92"/>
      <c r="X25" s="92"/>
      <c r="Y25" s="92"/>
      <c r="Z25" s="86"/>
      <c r="AA25" s="92"/>
      <c r="AB25" s="92"/>
      <c r="AC25" s="92"/>
      <c r="AD25" s="92"/>
      <c r="AE25" s="92"/>
      <c r="AF25" s="92"/>
      <c r="AG25" s="92"/>
      <c r="AH25" s="92"/>
      <c r="AI25" s="86"/>
    </row>
    <row r="26" spans="1:35" s="2" customFormat="1">
      <c r="J26" s="4" t="s">
        <v>127</v>
      </c>
      <c r="K26" s="8">
        <f>IF($AK$2="(Todas)",COUNTIF(BASE[CODCIE10],EPV_PAROTIDITIS[[#This Row],[CIE-10]]),COUNTIFS(BASE[Cod.Establecimiento],$AK$2,BASE[CODCIE10],EPV_PAROTIDITIS[[#This Row],[CIE-10]]))</f>
        <v>0</v>
      </c>
      <c r="L26" s="8">
        <f>IF($AK$2="(Todas)",COUNTIF(BASE[CODCIE102],EPV_PAROTIDITIS[[#This Row],[CIE-10]]),COUNTIFS(BASE[Cod.Establecimiento],$AK$2,BASE[CODCIE102],EPV_PAROTIDITIS[[#This Row],[CIE-10]]))</f>
        <v>0</v>
      </c>
      <c r="M26" s="8">
        <f>IF($AK$2="(Todas)",COUNTIF(BASE[CODCIE104],EPV_PAROTIDITIS[[#This Row],[CIE-10]]),COUNTIFS(BASE[Cod.Establecimiento],$AK$2,BASE[CODCIE104],EPV_PAROTIDITIS[[#This Row],[CIE-10]]))</f>
        <v>0</v>
      </c>
      <c r="N26" s="8">
        <f>IF($AK$2="(Todas)",COUNTIF(BASE[CODCIE106],EPV_PAROTIDITIS[[#This Row],[CIE-10]]),COUNTIFS(BASE[Cod.Establecimiento],$AK$2,BASE[CODCIE106],EPV_PAROTIDITIS[[#This Row],[CIE-10]]))</f>
        <v>0</v>
      </c>
      <c r="O26" s="8">
        <f>IF($AK$2="(Todas)",COUNTIF(BASE[CODCIE108],EPV_PAROTIDITIS[[#This Row],[CIE-10]]),COUNTIFS(BASE[Cod.Establecimiento],$AK$2,BASE[CODCIE108],EPV_PAROTIDITIS[[#This Row],[CIE-10]]))</f>
        <v>0</v>
      </c>
      <c r="P26" s="8">
        <f>IF($AK$2="(Todas)",COUNTIF(BASE[CODCIE1010],EPV_PAROTIDITIS[[#This Row],[CIE-10]]),COUNTIFS(BASE[Cod.Establecimiento],$AK$2,BASE[CODCIE1010],EPV_PAROTIDITIS[[#This Row],[CIE-10]]))</f>
        <v>0</v>
      </c>
      <c r="Q26" s="9">
        <f>SUM(EPV_PAROTIDITIS[[#This Row],[D1]:[D6]])</f>
        <v>0</v>
      </c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</row>
    <row r="27" spans="1:35">
      <c r="S27" s="92"/>
      <c r="T27" s="92"/>
      <c r="U27" s="92"/>
      <c r="V27" s="92"/>
      <c r="W27" s="92"/>
      <c r="X27" s="92"/>
      <c r="Y27" s="92"/>
      <c r="Z27" s="86"/>
      <c r="AA27" s="92"/>
      <c r="AB27" s="92"/>
      <c r="AC27" s="92"/>
      <c r="AD27" s="92"/>
      <c r="AE27" s="92"/>
      <c r="AF27" s="92"/>
      <c r="AG27" s="92"/>
      <c r="AH27" s="92"/>
      <c r="AI27" s="86"/>
    </row>
    <row r="28" spans="1:35" ht="18" customHeight="1" thickBot="1">
      <c r="A28" s="87" t="s">
        <v>128</v>
      </c>
      <c r="B28" s="88"/>
      <c r="C28" s="88"/>
      <c r="D28" s="88"/>
      <c r="E28" s="88"/>
      <c r="F28" s="88"/>
      <c r="G28" s="88"/>
      <c r="H28" s="88"/>
      <c r="J28" s="87" t="s">
        <v>129</v>
      </c>
      <c r="K28" s="88"/>
      <c r="L28" s="88"/>
      <c r="M28" s="88"/>
      <c r="N28" s="88"/>
      <c r="O28" s="88"/>
      <c r="P28" s="88"/>
      <c r="Q28" s="88"/>
      <c r="S28" s="92"/>
      <c r="T28" s="92"/>
      <c r="U28" s="92"/>
      <c r="V28" s="92"/>
      <c r="W28" s="92"/>
      <c r="X28" s="92"/>
      <c r="Y28" s="92"/>
      <c r="Z28" s="86"/>
      <c r="AA28" s="92"/>
      <c r="AB28" s="92"/>
      <c r="AC28" s="92"/>
      <c r="AD28" s="92"/>
      <c r="AE28" s="92"/>
      <c r="AF28" s="92"/>
      <c r="AG28" s="92"/>
      <c r="AH28" s="92"/>
      <c r="AI28" s="86"/>
    </row>
    <row r="29" spans="1:35" ht="15.75" customHeight="1" thickTop="1">
      <c r="A29" s="6" t="str">
        <f>CONCATENATE("TOTAL: ",SUM(B29:G29))</f>
        <v>TOTAL: 0</v>
      </c>
      <c r="B29" s="5">
        <f>SUM(EPV_VARICELA[D1])</f>
        <v>0</v>
      </c>
      <c r="C29" s="5">
        <f>SUM(EPV_VARICELA[D2])</f>
        <v>0</v>
      </c>
      <c r="D29" s="5">
        <f>SUM(EPV_VARICELA[D3])</f>
        <v>0</v>
      </c>
      <c r="E29" s="5">
        <f>SUM(EPV_VARICELA[D4])</f>
        <v>0</v>
      </c>
      <c r="F29" s="5">
        <f>SUM(EPV_VARICELA[D5])</f>
        <v>0</v>
      </c>
      <c r="G29" s="5">
        <f>SUM(EPV_VARICELA[D6])</f>
        <v>0</v>
      </c>
      <c r="H29" s="7"/>
      <c r="J29" s="6" t="str">
        <f>CONCATENATE("TOTAL: ",SUM(K29:P29))</f>
        <v>TOTAL: 0</v>
      </c>
      <c r="K29" s="5">
        <f>SUM(EPV_ESAVI[D1])</f>
        <v>0</v>
      </c>
      <c r="L29" s="5">
        <f>SUM(EPV_ESAVI[D2])</f>
        <v>0</v>
      </c>
      <c r="M29" s="5">
        <f>SUM(EPV_ESAVI[D3])</f>
        <v>0</v>
      </c>
      <c r="N29" s="5">
        <f>SUM(EPV_ESAVI[D4])</f>
        <v>0</v>
      </c>
      <c r="O29" s="5">
        <f>SUM(EPV_ESAVI[D5])</f>
        <v>0</v>
      </c>
      <c r="P29" s="5">
        <f>SUM(EPV_ESAVI[D6])</f>
        <v>0</v>
      </c>
      <c r="Q29" s="7"/>
      <c r="S29" s="92"/>
      <c r="T29" s="92"/>
      <c r="U29" s="92"/>
      <c r="V29" s="92"/>
      <c r="W29" s="92"/>
      <c r="X29" s="92"/>
      <c r="Y29" s="92"/>
      <c r="Z29" s="86"/>
      <c r="AA29" s="92"/>
      <c r="AB29" s="92"/>
      <c r="AC29" s="92"/>
      <c r="AD29" s="92"/>
      <c r="AE29" s="92"/>
      <c r="AF29" s="92"/>
      <c r="AG29" s="92"/>
      <c r="AH29" s="92"/>
      <c r="AI29" s="86"/>
    </row>
    <row r="30" spans="1:35">
      <c r="A30" t="s">
        <v>77</v>
      </c>
      <c r="B30" s="3" t="s">
        <v>78</v>
      </c>
      <c r="C30" s="3" t="s">
        <v>79</v>
      </c>
      <c r="D30" s="3" t="s">
        <v>80</v>
      </c>
      <c r="E30" s="3" t="s">
        <v>81</v>
      </c>
      <c r="F30" s="3" t="s">
        <v>82</v>
      </c>
      <c r="G30" s="3" t="s">
        <v>83</v>
      </c>
      <c r="H30" s="8" t="s">
        <v>84</v>
      </c>
      <c r="J30" t="s">
        <v>77</v>
      </c>
      <c r="K30" s="3" t="s">
        <v>78</v>
      </c>
      <c r="L30" s="3" t="s">
        <v>79</v>
      </c>
      <c r="M30" s="3" t="s">
        <v>80</v>
      </c>
      <c r="N30" s="3" t="s">
        <v>81</v>
      </c>
      <c r="O30" s="3" t="s">
        <v>82</v>
      </c>
      <c r="P30" s="3" t="s">
        <v>83</v>
      </c>
      <c r="Q30" s="8" t="s">
        <v>84</v>
      </c>
      <c r="S30" s="92"/>
      <c r="T30" s="92"/>
      <c r="U30" s="92"/>
      <c r="V30" s="92"/>
      <c r="W30" s="92"/>
      <c r="X30" s="92"/>
      <c r="Y30" s="92"/>
      <c r="Z30" s="86"/>
      <c r="AA30" s="92"/>
      <c r="AB30" s="92"/>
      <c r="AC30" s="92"/>
      <c r="AD30" s="92"/>
      <c r="AE30" s="92"/>
      <c r="AF30" s="92"/>
      <c r="AG30" s="92"/>
      <c r="AH30" s="92"/>
      <c r="AI30" s="86"/>
    </row>
    <row r="31" spans="1:35">
      <c r="A31" s="4" t="s">
        <v>130</v>
      </c>
      <c r="B31" s="3">
        <f>IF($AK$2="(Todas)",COUNTIF(BASE[CODCIE10],EPV_VARICELA[[#This Row],[CIE-10]]),COUNTIFS(BASE[Cod.Establecimiento],$AK$2,BASE[CODCIE10],EPV_VARICELA[[#This Row],[CIE-10]]))</f>
        <v>0</v>
      </c>
      <c r="C31" s="3">
        <f>IF($AK$2="(Todas)",COUNTIF(BASE[CODCIE102],EPV_VARICELA[[#This Row],[CIE-10]]),COUNTIFS(BASE[Cod.Establecimiento],$AK$2,BASE[CODCIE102],EPV_VARICELA[[#This Row],[CIE-10]]))</f>
        <v>0</v>
      </c>
      <c r="D31" s="3">
        <f>IF($AK$2="(Todas)",COUNTIF(BASE[CODCIE104],EPV_VARICELA[[#This Row],[CIE-10]]),COUNTIFS(BASE[Cod.Establecimiento],$AK$2,BASE[CODCIE104],EPV_VARICELA[[#This Row],[CIE-10]]))</f>
        <v>0</v>
      </c>
      <c r="E31" s="3">
        <f>IF($AK$2="(Todas)",COUNTIF(BASE[CODCIE106],EPV_VARICELA[[#This Row],[CIE-10]]),COUNTIFS(BASE[Cod.Establecimiento],$AK$2,BASE[CODCIE106],EPV_VARICELA[[#This Row],[CIE-10]]))</f>
        <v>0</v>
      </c>
      <c r="F31" s="3">
        <f>IF($AK$2="(Todas)",COUNTIF(BASE[CODCIE108],EPV_VARICELA[[#This Row],[CIE-10]]),COUNTIFS(BASE[Cod.Establecimiento],$AK$2,BASE[CODCIE108],EPV_VARICELA[[#This Row],[CIE-10]]))</f>
        <v>0</v>
      </c>
      <c r="G31" s="3">
        <f>IF($AK$2="(Todas)",COUNTIF(BASE[CODCIE1010],EPV_VARICELA[[#This Row],[CIE-10]]),COUNTIFS(BASE[Cod.Establecimiento],$AK$2,BASE[CODCIE1010],EPV_VARICELA[[#This Row],[CIE-10]]))</f>
        <v>0</v>
      </c>
      <c r="H31" s="9">
        <f>SUM(EPV_VARICELA[[#This Row],[D1]:[D6]])</f>
        <v>0</v>
      </c>
      <c r="J31" s="4" t="s">
        <v>312</v>
      </c>
      <c r="K31" s="3">
        <f>IF($AK$2="(Todas)",COUNTIF(BASE[CODCIE10],EPV_ESAVI[[#This Row],[CIE-10]]),COUNTIFS(BASE[Cod.Establecimiento],$AK$2,BASE[CODCIE10],EPV_ESAVI[[#This Row],[CIE-10]]))</f>
        <v>0</v>
      </c>
      <c r="L31" s="3">
        <f>IF($AK$2="(Todas)",COUNTIF(BASE[CODCIE102],EPV_ESAVI[[#This Row],[CIE-10]]),COUNTIFS(BASE[Cod.Establecimiento],$AK$2,BASE[CODCIE102],EPV_ESAVI[[#This Row],[CIE-10]]))</f>
        <v>0</v>
      </c>
      <c r="M31" s="3">
        <f>IF($AK$2="(Todas)",COUNTIF(BASE[CODCIE104],EPV_ESAVI[[#This Row],[CIE-10]]),COUNTIFS(BASE[Cod.Establecimiento],$AK$2,BASE[CODCIE104],EPV_ESAVI[[#This Row],[CIE-10]]))</f>
        <v>0</v>
      </c>
      <c r="N31" s="3">
        <f>IF($AK$2="(Todas)",COUNTIF(BASE[CODCIE106],EPV_ESAVI[[#This Row],[CIE-10]]),COUNTIFS(BASE[Cod.Establecimiento],$AK$2,BASE[CODCIE106],EPV_ESAVI[[#This Row],[CIE-10]]))</f>
        <v>0</v>
      </c>
      <c r="O31" s="3">
        <f>IF($AK$2="(Todas)",COUNTIF(BASE[CODCIE108],EPV_ESAVI[[#This Row],[CIE-10]]),COUNTIFS(BASE[Cod.Establecimiento],$AK$2,BASE[CODCIE108],EPV_ESAVI[[#This Row],[CIE-10]]))</f>
        <v>0</v>
      </c>
      <c r="P31" s="3">
        <f>IF($AK$2="(Todas)",COUNTIF(BASE[CODCIE1010],EPV_ESAVI[[#This Row],[CIE-10]]),COUNTIFS(BASE[Cod.Establecimiento],$AK$2,BASE[CODCIE1010],EPV_ESAVI[[#This Row],[CIE-10]]))</f>
        <v>0</v>
      </c>
      <c r="Q31" s="9">
        <f>SUM(EPV_ESAVI[[#This Row],[D1]:[D6]])</f>
        <v>0</v>
      </c>
    </row>
    <row r="32" spans="1:35">
      <c r="A32" s="4" t="s">
        <v>597</v>
      </c>
      <c r="B32" s="3">
        <f>IF($AK$2="(Todas)",COUNTIF(BASE[CODCIE10],EPV_VARICELA[[#This Row],[CIE-10]]),COUNTIFS(BASE[Cod.Establecimiento],$AK$2,BASE[CODCIE10],EPV_VARICELA[[#This Row],[CIE-10]]))</f>
        <v>0</v>
      </c>
      <c r="C32" s="3">
        <f>IF($AK$2="(Todas)",COUNTIF(BASE[CODCIE102],EPV_VARICELA[[#This Row],[CIE-10]]),COUNTIFS(BASE[Cod.Establecimiento],$AK$2,BASE[CODCIE102],EPV_VARICELA[[#This Row],[CIE-10]]))</f>
        <v>0</v>
      </c>
      <c r="D32" s="3">
        <f>IF($AK$2="(Todas)",COUNTIF(BASE[CODCIE104],EPV_VARICELA[[#This Row],[CIE-10]]),COUNTIFS(BASE[Cod.Establecimiento],$AK$2,BASE[CODCIE104],EPV_VARICELA[[#This Row],[CIE-10]]))</f>
        <v>0</v>
      </c>
      <c r="E32" s="3">
        <f>IF($AK$2="(Todas)",COUNTIF(BASE[CODCIE106],EPV_VARICELA[[#This Row],[CIE-10]]),COUNTIFS(BASE[Cod.Establecimiento],$AK$2,BASE[CODCIE106],EPV_VARICELA[[#This Row],[CIE-10]]))</f>
        <v>0</v>
      </c>
      <c r="F32" s="3">
        <f>IF($AK$2="(Todas)",COUNTIF(BASE[CODCIE108],EPV_VARICELA[[#This Row],[CIE-10]]),COUNTIFS(BASE[Cod.Establecimiento],$AK$2,BASE[CODCIE108],EPV_VARICELA[[#This Row],[CIE-10]]))</f>
        <v>0</v>
      </c>
      <c r="G32" s="3">
        <f>IF($AK$2="(Todas)",COUNTIF(BASE[CODCIE1010],EPV_VARICELA[[#This Row],[CIE-10]]),COUNTIFS(BASE[Cod.Establecimiento],$AK$2,BASE[CODCIE1010],EPV_VARICELA[[#This Row],[CIE-10]]))</f>
        <v>0</v>
      </c>
      <c r="H32" s="9">
        <f>SUM(EPV_VARICELA[[#This Row],[D1]:[D6]])</f>
        <v>0</v>
      </c>
      <c r="J32" s="4" t="s">
        <v>132</v>
      </c>
      <c r="K32" s="3">
        <f>IF($AK$2="(Todas)",COUNTIF(BASE[CODCIE10],EPV_ESAVI[[#This Row],[CIE-10]]),COUNTIFS(BASE[Cod.Establecimiento],$AK$2,BASE[CODCIE10],EPV_ESAVI[[#This Row],[CIE-10]]))</f>
        <v>0</v>
      </c>
      <c r="L32" s="3">
        <f>IF($AK$2="(Todas)",COUNTIF(BASE[CODCIE102],EPV_ESAVI[[#This Row],[CIE-10]]),COUNTIFS(BASE[Cod.Establecimiento],$AK$2,BASE[CODCIE102],EPV_ESAVI[[#This Row],[CIE-10]]))</f>
        <v>0</v>
      </c>
      <c r="M32" s="3">
        <f>IF($AK$2="(Todas)",COUNTIF(BASE[CODCIE104],EPV_ESAVI[[#This Row],[CIE-10]]),COUNTIFS(BASE[Cod.Establecimiento],$AK$2,BASE[CODCIE104],EPV_ESAVI[[#This Row],[CIE-10]]))</f>
        <v>0</v>
      </c>
      <c r="N32" s="3">
        <f>IF($AK$2="(Todas)",COUNTIF(BASE[CODCIE106],EPV_ESAVI[[#This Row],[CIE-10]]),COUNTIFS(BASE[Cod.Establecimiento],$AK$2,BASE[CODCIE106],EPV_ESAVI[[#This Row],[CIE-10]]))</f>
        <v>0</v>
      </c>
      <c r="O32" s="3">
        <f>IF($AK$2="(Todas)",COUNTIF(BASE[CODCIE108],EPV_ESAVI[[#This Row],[CIE-10]]),COUNTIFS(BASE[Cod.Establecimiento],$AK$2,BASE[CODCIE108],EPV_ESAVI[[#This Row],[CIE-10]]))</f>
        <v>0</v>
      </c>
      <c r="P32" s="3">
        <f>IF($AK$2="(Todas)",COUNTIF(BASE[CODCIE1010],EPV_ESAVI[[#This Row],[CIE-10]]),COUNTIFS(BASE[Cod.Establecimiento],$AK$2,BASE[CODCIE1010],EPV_ESAVI[[#This Row],[CIE-10]]))</f>
        <v>0</v>
      </c>
      <c r="Q32" s="9">
        <f>SUM(EPV_ESAVI[[#This Row],[D1]:[D6]])</f>
        <v>0</v>
      </c>
    </row>
    <row r="33" spans="1:17">
      <c r="A33" s="31" t="s">
        <v>131</v>
      </c>
      <c r="B33" s="3">
        <f>IF($AK$2="(Todas)",COUNTIF(BASE[CODCIE10],EPV_VARICELA[[#This Row],[CIE-10]]),COUNTIFS(BASE[Cod.Establecimiento],$AK$2,BASE[CODCIE10],EPV_VARICELA[[#This Row],[CIE-10]]))</f>
        <v>0</v>
      </c>
      <c r="C33" s="3">
        <f>IF($AK$2="(Todas)",COUNTIF(BASE[CODCIE102],EPV_VARICELA[[#This Row],[CIE-10]]),COUNTIFS(BASE[Cod.Establecimiento],$AK$2,BASE[CODCIE102],EPV_VARICELA[[#This Row],[CIE-10]]))</f>
        <v>0</v>
      </c>
      <c r="D33" s="3">
        <f>IF($AK$2="(Todas)",COUNTIF(BASE[CODCIE104],EPV_VARICELA[[#This Row],[CIE-10]]),COUNTIFS(BASE[Cod.Establecimiento],$AK$2,BASE[CODCIE104],EPV_VARICELA[[#This Row],[CIE-10]]))</f>
        <v>0</v>
      </c>
      <c r="E33" s="3">
        <f>IF($AK$2="(Todas)",COUNTIF(BASE[CODCIE106],EPV_VARICELA[[#This Row],[CIE-10]]),COUNTIFS(BASE[Cod.Establecimiento],$AK$2,BASE[CODCIE106],EPV_VARICELA[[#This Row],[CIE-10]]))</f>
        <v>0</v>
      </c>
      <c r="F33" s="3">
        <f>IF($AK$2="(Todas)",COUNTIF(BASE[CODCIE108],EPV_VARICELA[[#This Row],[CIE-10]]),COUNTIFS(BASE[Cod.Establecimiento],$AK$2,BASE[CODCIE108],EPV_VARICELA[[#This Row],[CIE-10]]))</f>
        <v>0</v>
      </c>
      <c r="G33" s="3">
        <f>IF($AK$2="(Todas)",COUNTIF(BASE[CODCIE1010],EPV_VARICELA[[#This Row],[CIE-10]]),COUNTIFS(BASE[Cod.Establecimiento],$AK$2,BASE[CODCIE1010],EPV_VARICELA[[#This Row],[CIE-10]]))</f>
        <v>0</v>
      </c>
      <c r="H33" s="9">
        <f>SUM(EPV_VARICELA[[#This Row],[D1]:[D6]])</f>
        <v>0</v>
      </c>
      <c r="J33" s="4" t="s">
        <v>133</v>
      </c>
      <c r="K33" s="3">
        <f>IF($AK$2="(Todas)",COUNTIF(BASE[CODCIE10],EPV_ESAVI[[#This Row],[CIE-10]]),COUNTIFS(BASE[Cod.Establecimiento],$AK$2,BASE[CODCIE10],EPV_ESAVI[[#This Row],[CIE-10]]))</f>
        <v>0</v>
      </c>
      <c r="L33" s="3">
        <f>IF($AK$2="(Todas)",COUNTIF(BASE[CODCIE102],EPV_ESAVI[[#This Row],[CIE-10]]),COUNTIFS(BASE[Cod.Establecimiento],$AK$2,BASE[CODCIE102],EPV_ESAVI[[#This Row],[CIE-10]]))</f>
        <v>0</v>
      </c>
      <c r="M33" s="3">
        <f>IF($AK$2="(Todas)",COUNTIF(BASE[CODCIE104],EPV_ESAVI[[#This Row],[CIE-10]]),COUNTIFS(BASE[Cod.Establecimiento],$AK$2,BASE[CODCIE104],EPV_ESAVI[[#This Row],[CIE-10]]))</f>
        <v>0</v>
      </c>
      <c r="N33" s="3">
        <f>IF($AK$2="(Todas)",COUNTIF(BASE[CODCIE106],EPV_ESAVI[[#This Row],[CIE-10]]),COUNTIFS(BASE[Cod.Establecimiento],$AK$2,BASE[CODCIE106],EPV_ESAVI[[#This Row],[CIE-10]]))</f>
        <v>0</v>
      </c>
      <c r="O33" s="3">
        <f>IF($AK$2="(Todas)",COUNTIF(BASE[CODCIE108],EPV_ESAVI[[#This Row],[CIE-10]]),COUNTIFS(BASE[Cod.Establecimiento],$AK$2,BASE[CODCIE108],EPV_ESAVI[[#This Row],[CIE-10]]))</f>
        <v>0</v>
      </c>
      <c r="P33" s="3">
        <f>IF($AK$2="(Todas)",COUNTIF(BASE[CODCIE1010],EPV_ESAVI[[#This Row],[CIE-10]]),COUNTIFS(BASE[Cod.Establecimiento],$AK$2,BASE[CODCIE1010],EPV_ESAVI[[#This Row],[CIE-10]]))</f>
        <v>0</v>
      </c>
      <c r="Q33" s="9">
        <f>SUM(EPV_ESAVI[[#This Row],[D1]:[D6]])</f>
        <v>0</v>
      </c>
    </row>
    <row r="34" spans="1:17">
      <c r="J34" s="4" t="s">
        <v>134</v>
      </c>
      <c r="K34" s="3">
        <f>IF($AK$2="(Todas)",COUNTIF(BASE[CODCIE10],EPV_ESAVI[[#This Row],[CIE-10]]),COUNTIFS(BASE[Cod.Establecimiento],$AK$2,BASE[CODCIE10],EPV_ESAVI[[#This Row],[CIE-10]]))</f>
        <v>0</v>
      </c>
      <c r="L34" s="3">
        <f>IF($AK$2="(Todas)",COUNTIF(BASE[CODCIE102],EPV_ESAVI[[#This Row],[CIE-10]]),COUNTIFS(BASE[Cod.Establecimiento],$AK$2,BASE[CODCIE102],EPV_ESAVI[[#This Row],[CIE-10]]))</f>
        <v>0</v>
      </c>
      <c r="M34" s="3">
        <f>IF($AK$2="(Todas)",COUNTIF(BASE[CODCIE104],EPV_ESAVI[[#This Row],[CIE-10]]),COUNTIFS(BASE[Cod.Establecimiento],$AK$2,BASE[CODCIE104],EPV_ESAVI[[#This Row],[CIE-10]]))</f>
        <v>0</v>
      </c>
      <c r="N34" s="3">
        <f>IF($AK$2="(Todas)",COUNTIF(BASE[CODCIE106],EPV_ESAVI[[#This Row],[CIE-10]]),COUNTIFS(BASE[Cod.Establecimiento],$AK$2,BASE[CODCIE106],EPV_ESAVI[[#This Row],[CIE-10]]))</f>
        <v>0</v>
      </c>
      <c r="O34" s="3">
        <f>IF($AK$2="(Todas)",COUNTIF(BASE[CODCIE108],EPV_ESAVI[[#This Row],[CIE-10]]),COUNTIFS(BASE[Cod.Establecimiento],$AK$2,BASE[CODCIE108],EPV_ESAVI[[#This Row],[CIE-10]]))</f>
        <v>0</v>
      </c>
      <c r="P34" s="3">
        <f>IF($AK$2="(Todas)",COUNTIF(BASE[CODCIE1010],EPV_ESAVI[[#This Row],[CIE-10]]),COUNTIFS(BASE[Cod.Establecimiento],$AK$2,BASE[CODCIE1010],EPV_ESAVI[[#This Row],[CIE-10]]))</f>
        <v>0</v>
      </c>
      <c r="Q34" s="9">
        <f>SUM(EPV_ESAVI[[#This Row],[D1]:[D6]])</f>
        <v>0</v>
      </c>
    </row>
    <row r="35" spans="1:17">
      <c r="J35" s="4" t="s">
        <v>135</v>
      </c>
      <c r="K35" s="3">
        <f>IF($AK$2="(Todas)",COUNTIF(BASE[CODCIE10],EPV_ESAVI[[#This Row],[CIE-10]]),COUNTIFS(BASE[Cod.Establecimiento],$AK$2,BASE[CODCIE10],EPV_ESAVI[[#This Row],[CIE-10]]))</f>
        <v>0</v>
      </c>
      <c r="L35" s="3">
        <f>IF($AK$2="(Todas)",COUNTIF(BASE[CODCIE102],EPV_ESAVI[[#This Row],[CIE-10]]),COUNTIFS(BASE[Cod.Establecimiento],$AK$2,BASE[CODCIE102],EPV_ESAVI[[#This Row],[CIE-10]]))</f>
        <v>0</v>
      </c>
      <c r="M35" s="3">
        <f>IF($AK$2="(Todas)",COUNTIF(BASE[CODCIE104],EPV_ESAVI[[#This Row],[CIE-10]]),COUNTIFS(BASE[Cod.Establecimiento],$AK$2,BASE[CODCIE104],EPV_ESAVI[[#This Row],[CIE-10]]))</f>
        <v>0</v>
      </c>
      <c r="N35" s="3">
        <f>IF($AK$2="(Todas)",COUNTIF(BASE[CODCIE106],EPV_ESAVI[[#This Row],[CIE-10]]),COUNTIFS(BASE[Cod.Establecimiento],$AK$2,BASE[CODCIE106],EPV_ESAVI[[#This Row],[CIE-10]]))</f>
        <v>0</v>
      </c>
      <c r="O35" s="3">
        <f>IF($AK$2="(Todas)",COUNTIF(BASE[CODCIE108],EPV_ESAVI[[#This Row],[CIE-10]]),COUNTIFS(BASE[Cod.Establecimiento],$AK$2,BASE[CODCIE108],EPV_ESAVI[[#This Row],[CIE-10]]))</f>
        <v>0</v>
      </c>
      <c r="P35" s="3">
        <f>IF($AK$2="(Todas)",COUNTIF(BASE[CODCIE1010],EPV_ESAVI[[#This Row],[CIE-10]]),COUNTIFS(BASE[Cod.Establecimiento],$AK$2,BASE[CODCIE1010],EPV_ESAVI[[#This Row],[CIE-10]]))</f>
        <v>0</v>
      </c>
      <c r="Q35" s="9">
        <f>SUM(EPV_ESAVI[[#This Row],[D1]:[D6]])</f>
        <v>0</v>
      </c>
    </row>
    <row r="36" spans="1:17">
      <c r="J36" s="4" t="s">
        <v>136</v>
      </c>
      <c r="K36" s="3">
        <f>IF($AK$2="(Todas)",COUNTIF(BASE[CODCIE10],EPV_ESAVI[[#This Row],[CIE-10]]),COUNTIFS(BASE[Cod.Establecimiento],$AK$2,BASE[CODCIE10],EPV_ESAVI[[#This Row],[CIE-10]]))</f>
        <v>0</v>
      </c>
      <c r="L36" s="3">
        <f>IF($AK$2="(Todas)",COUNTIF(BASE[CODCIE102],EPV_ESAVI[[#This Row],[CIE-10]]),COUNTIFS(BASE[Cod.Establecimiento],$AK$2,BASE[CODCIE102],EPV_ESAVI[[#This Row],[CIE-10]]))</f>
        <v>0</v>
      </c>
      <c r="M36" s="3">
        <f>IF($AK$2="(Todas)",COUNTIF(BASE[CODCIE104],EPV_ESAVI[[#This Row],[CIE-10]]),COUNTIFS(BASE[Cod.Establecimiento],$AK$2,BASE[CODCIE104],EPV_ESAVI[[#This Row],[CIE-10]]))</f>
        <v>0</v>
      </c>
      <c r="N36" s="3">
        <f>IF($AK$2="(Todas)",COUNTIF(BASE[CODCIE106],EPV_ESAVI[[#This Row],[CIE-10]]),COUNTIFS(BASE[Cod.Establecimiento],$AK$2,BASE[CODCIE106],EPV_ESAVI[[#This Row],[CIE-10]]))</f>
        <v>0</v>
      </c>
      <c r="O36" s="3">
        <f>IF($AK$2="(Todas)",COUNTIF(BASE[CODCIE108],EPV_ESAVI[[#This Row],[CIE-10]]),COUNTIFS(BASE[Cod.Establecimiento],$AK$2,BASE[CODCIE108],EPV_ESAVI[[#This Row],[CIE-10]]))</f>
        <v>0</v>
      </c>
      <c r="P36" s="3">
        <f>IF($AK$2="(Todas)",COUNTIF(BASE[CODCIE1010],EPV_ESAVI[[#This Row],[CIE-10]]),COUNTIFS(BASE[Cod.Establecimiento],$AK$2,BASE[CODCIE1010],EPV_ESAVI[[#This Row],[CIE-10]]))</f>
        <v>0</v>
      </c>
      <c r="Q36" s="9">
        <f>SUM(EPV_ESAVI[[#This Row],[D1]:[D6]])</f>
        <v>0</v>
      </c>
    </row>
    <row r="37" spans="1:17">
      <c r="J37" s="4" t="s">
        <v>137</v>
      </c>
      <c r="K37" s="3">
        <f>IF($AK$2="(Todas)",COUNTIF(BASE[CODCIE10],EPV_ESAVI[[#This Row],[CIE-10]]),COUNTIFS(BASE[Cod.Establecimiento],$AK$2,BASE[CODCIE10],EPV_ESAVI[[#This Row],[CIE-10]]))</f>
        <v>0</v>
      </c>
      <c r="L37" s="3">
        <f>IF($AK$2="(Todas)",COUNTIF(BASE[CODCIE102],EPV_ESAVI[[#This Row],[CIE-10]]),COUNTIFS(BASE[Cod.Establecimiento],$AK$2,BASE[CODCIE102],EPV_ESAVI[[#This Row],[CIE-10]]))</f>
        <v>0</v>
      </c>
      <c r="M37" s="3">
        <f>IF($AK$2="(Todas)",COUNTIF(BASE[CODCIE104],EPV_ESAVI[[#This Row],[CIE-10]]),COUNTIFS(BASE[Cod.Establecimiento],$AK$2,BASE[CODCIE104],EPV_ESAVI[[#This Row],[CIE-10]]))</f>
        <v>0</v>
      </c>
      <c r="N37" s="3">
        <f>IF($AK$2="(Todas)",COUNTIF(BASE[CODCIE106],EPV_ESAVI[[#This Row],[CIE-10]]),COUNTIFS(BASE[Cod.Establecimiento],$AK$2,BASE[CODCIE106],EPV_ESAVI[[#This Row],[CIE-10]]))</f>
        <v>0</v>
      </c>
      <c r="O37" s="3">
        <f>IF($AK$2="(Todas)",COUNTIF(BASE[CODCIE108],EPV_ESAVI[[#This Row],[CIE-10]]),COUNTIFS(BASE[Cod.Establecimiento],$AK$2,BASE[CODCIE108],EPV_ESAVI[[#This Row],[CIE-10]]))</f>
        <v>0</v>
      </c>
      <c r="P37" s="3">
        <f>IF($AK$2="(Todas)",COUNTIF(BASE[CODCIE1010],EPV_ESAVI[[#This Row],[CIE-10]]),COUNTIFS(BASE[Cod.Establecimiento],$AK$2,BASE[CODCIE1010],EPV_ESAVI[[#This Row],[CIE-10]]))</f>
        <v>0</v>
      </c>
      <c r="Q37" s="9">
        <f>SUM(EPV_ESAVI[[#This Row],[D1]:[D6]])</f>
        <v>0</v>
      </c>
    </row>
  </sheetData>
  <mergeCells count="15">
    <mergeCell ref="AJ1:AK1"/>
    <mergeCell ref="AB17:AI17"/>
    <mergeCell ref="J2:N2"/>
    <mergeCell ref="J1:Z1"/>
    <mergeCell ref="A28:H28"/>
    <mergeCell ref="AB2:AI2"/>
    <mergeCell ref="J17:Q17"/>
    <mergeCell ref="A17:H17"/>
    <mergeCell ref="J28:Q28"/>
    <mergeCell ref="S25:AI30"/>
    <mergeCell ref="O2:T2"/>
    <mergeCell ref="U2:Z2"/>
    <mergeCell ref="S17:Z17"/>
    <mergeCell ref="A2:H2"/>
    <mergeCell ref="AJ3:AK3"/>
  </mergeCells>
  <conditionalFormatting sqref="B5:H11">
    <cfRule type="cellIs" dxfId="83" priority="4" operator="greaterThan">
      <formula>0</formula>
    </cfRule>
  </conditionalFormatting>
  <conditionalFormatting sqref="K5:Q15">
    <cfRule type="cellIs" dxfId="82" priority="3" operator="greaterThan">
      <formula>0</formula>
    </cfRule>
  </conditionalFormatting>
  <conditionalFormatting sqref="T5:Z13">
    <cfRule type="cellIs" dxfId="81" priority="2" operator="greaterThan">
      <formula>0</formula>
    </cfRule>
  </conditionalFormatting>
  <conditionalFormatting sqref="AC5:AI13 AC20:AI20 T20:Z21 B20:H23 K20:Q26 B31:H33 K31:Q37">
    <cfRule type="cellIs" dxfId="80" priority="1" operator="greaterThan">
      <formula>0</formula>
    </cfRule>
  </conditionalFormatting>
  <pageMargins left="0.7" right="0.7" top="0.75" bottom="0.75" header="0.3" footer="0.3"/>
  <pageSetup orientation="portrait" r:id="rId2"/>
  <legacyDrawing r:id="rId3"/>
  <tableParts count="10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44"/>
  <sheetViews>
    <sheetView showGridLines="0" zoomScale="85" zoomScaleNormal="85" workbookViewId="0">
      <selection activeCell="N4" sqref="N4:O4"/>
    </sheetView>
  </sheetViews>
  <sheetFormatPr baseColWidth="10" defaultRowHeight="15"/>
  <cols>
    <col min="12" max="12" width="21" bestFit="1" customWidth="1"/>
    <col min="13" max="13" width="11.7109375" bestFit="1" customWidth="1"/>
    <col min="14" max="14" width="20.140625" bestFit="1" customWidth="1"/>
    <col min="15" max="15" width="10.7109375" bestFit="1" customWidth="1"/>
    <col min="17" max="23" width="5.7109375" customWidth="1"/>
    <col min="26" max="32" width="5.7109375" customWidth="1"/>
    <col min="35" max="35" width="21" bestFit="1" customWidth="1"/>
    <col min="36" max="36" width="11.7109375" bestFit="1" customWidth="1"/>
  </cols>
  <sheetData>
    <row r="1" spans="1:32" ht="22.5" customHeight="1">
      <c r="A1" s="2"/>
      <c r="B1" s="90" t="s">
        <v>138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Z1" s="2"/>
      <c r="AA1" s="2"/>
      <c r="AB1" s="2"/>
      <c r="AC1" s="2"/>
      <c r="AD1" s="2"/>
      <c r="AE1" s="2"/>
      <c r="AF1" s="2"/>
    </row>
    <row r="2" spans="1:32" ht="15.75" customHeight="1">
      <c r="A2" s="2"/>
      <c r="B2" s="147" t="s">
        <v>139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146" t="s">
        <v>70</v>
      </c>
      <c r="O2" s="9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>
      <c r="A3" s="2"/>
      <c r="B3" s="100" t="s">
        <v>140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" t="s">
        <v>7</v>
      </c>
      <c r="O3" t="s">
        <v>76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6.5" customHeight="1">
      <c r="A4" s="2"/>
      <c r="B4" s="11" t="s">
        <v>141</v>
      </c>
      <c r="C4" s="12"/>
      <c r="D4" s="12" t="s">
        <v>67</v>
      </c>
      <c r="E4" s="12"/>
      <c r="F4" s="13" t="s">
        <v>142</v>
      </c>
      <c r="G4" s="13"/>
      <c r="H4" s="14"/>
      <c r="I4" s="15">
        <v>2025</v>
      </c>
      <c r="J4" s="16"/>
      <c r="K4" s="17"/>
      <c r="N4" s="86"/>
      <c r="O4" s="8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F4" s="2"/>
    </row>
    <row r="5" spans="1:32" ht="16.5" customHeight="1" thickBot="1">
      <c r="A5" s="2"/>
      <c r="B5" s="11" t="str">
        <f>CONCATENATE("Establecimiento: ",$O$3)</f>
        <v>Establecimiento: (Todas)</v>
      </c>
      <c r="C5" s="12"/>
      <c r="D5" s="12"/>
      <c r="E5" s="12"/>
      <c r="F5" s="16"/>
      <c r="G5" s="16"/>
      <c r="H5" s="18" t="str">
        <f>CONCATENATE("N° total de consultas NUEVOS: ",IF($O$3="(Todas)",COUNT(BASE[Fecha]),COUNTIFS(BASE[Cod.Establecimiento],$O$3))," (Ambulatorios: ",IF($O$3="(Todas)",COUNTIFS(BASE[Se interna],"NO"),COUNTIFS(BASE[Cod.Establecimiento],$O$3,BASE[Se interna],"NO")),", Internados: ",IF($O$3="(Todas)",COUNTIFS(BASE[Se interna],"SI"),COUNTIFS(BASE[Cod.Establecimiento],$O$3,BASE[Se interna],"SI")),")")</f>
        <v>N° total de consultas NUEVOS: 0 (Ambulatorios: 0, Internados: 0)</v>
      </c>
      <c r="I5" s="19"/>
      <c r="J5" s="16"/>
      <c r="K5" s="20"/>
      <c r="L5" s="2"/>
      <c r="M5" s="21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7.75" customHeight="1" thickBot="1">
      <c r="A6" s="2"/>
      <c r="B6" s="105" t="s">
        <v>143</v>
      </c>
      <c r="C6" s="106"/>
      <c r="D6" s="106"/>
      <c r="E6" s="106"/>
      <c r="F6" s="106"/>
      <c r="G6" s="107"/>
      <c r="H6" s="105" t="s">
        <v>144</v>
      </c>
      <c r="I6" s="106"/>
      <c r="J6" s="106"/>
      <c r="K6" s="106"/>
      <c r="L6" s="106"/>
      <c r="M6" s="10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3.25" customHeight="1">
      <c r="A7" s="2"/>
      <c r="B7" s="95" t="s">
        <v>145</v>
      </c>
      <c r="C7" s="96"/>
      <c r="D7" s="22" t="s">
        <v>146</v>
      </c>
      <c r="E7" s="23" t="s">
        <v>147</v>
      </c>
      <c r="F7" s="23" t="s">
        <v>148</v>
      </c>
      <c r="G7" s="24" t="s">
        <v>149</v>
      </c>
      <c r="H7" s="95" t="s">
        <v>150</v>
      </c>
      <c r="I7" s="96"/>
      <c r="J7" s="125" t="s">
        <v>146</v>
      </c>
      <c r="K7" s="99"/>
      <c r="L7" s="25" t="s">
        <v>147</v>
      </c>
      <c r="M7" s="26" t="s">
        <v>151</v>
      </c>
      <c r="N7" s="2"/>
      <c r="O7" s="2"/>
    </row>
    <row r="8" spans="1:32" ht="15.75" customHeight="1">
      <c r="A8" s="2"/>
      <c r="B8" s="97"/>
      <c r="C8" s="96"/>
      <c r="D8" s="27" t="s">
        <v>152</v>
      </c>
      <c r="E8" s="28" t="s">
        <v>153</v>
      </c>
      <c r="F8" s="29">
        <f>SUM(ENOS_G1_COLERA[TOT])</f>
        <v>0</v>
      </c>
      <c r="G8" s="29">
        <v>0</v>
      </c>
      <c r="H8" s="97"/>
      <c r="I8" s="96"/>
      <c r="J8" s="103" t="s">
        <v>154</v>
      </c>
      <c r="K8" s="104"/>
      <c r="L8" s="28" t="s">
        <v>155</v>
      </c>
      <c r="M8" s="30">
        <f>SUM(ENOS_G2_PAROTIDITIS_INFECCIOSA_PAPERAS[TOT])</f>
        <v>0</v>
      </c>
      <c r="N8" s="2"/>
      <c r="O8" s="2"/>
    </row>
    <row r="9" spans="1:32">
      <c r="A9" s="2"/>
      <c r="B9" s="97"/>
      <c r="C9" s="96"/>
      <c r="D9" s="27" t="s">
        <v>156</v>
      </c>
      <c r="E9" s="28" t="s">
        <v>157</v>
      </c>
      <c r="F9" s="29">
        <f>SUM(ENOS_G1_FIEBRE_AMARILLA[TOT])</f>
        <v>0</v>
      </c>
      <c r="G9" s="29">
        <v>0</v>
      </c>
      <c r="H9" s="97"/>
      <c r="I9" s="96"/>
      <c r="J9" s="103" t="s">
        <v>158</v>
      </c>
      <c r="K9" s="104"/>
      <c r="L9" s="28" t="s">
        <v>159</v>
      </c>
      <c r="M9" s="30">
        <f>SUM(ENOS_G2_VARICELA[TOT])</f>
        <v>0</v>
      </c>
      <c r="N9" s="2"/>
      <c r="O9" s="2"/>
    </row>
    <row r="10" spans="1:32">
      <c r="A10" s="2"/>
      <c r="B10" s="97"/>
      <c r="C10" s="96"/>
      <c r="D10" s="32" t="s">
        <v>160</v>
      </c>
      <c r="E10" s="28" t="s">
        <v>161</v>
      </c>
      <c r="F10" s="33">
        <f>SUM(ENOS_G1_PESTE[TOT])</f>
        <v>0</v>
      </c>
      <c r="G10" s="33">
        <v>0</v>
      </c>
      <c r="H10" s="97"/>
      <c r="I10" s="96"/>
      <c r="J10" s="103" t="s">
        <v>162</v>
      </c>
      <c r="K10" s="104"/>
      <c r="L10" s="28" t="s">
        <v>163</v>
      </c>
      <c r="M10" s="30">
        <f>SUM(ENOS_G2_HEPATITIS_A[TOT])</f>
        <v>0</v>
      </c>
      <c r="N10" s="2"/>
      <c r="O10" s="2"/>
    </row>
    <row r="11" spans="1:32" ht="18" customHeight="1">
      <c r="A11" s="2"/>
      <c r="B11" s="97"/>
      <c r="C11" s="96"/>
      <c r="D11" s="103" t="s">
        <v>164</v>
      </c>
      <c r="E11" s="108" t="s">
        <v>165</v>
      </c>
      <c r="F11" s="120">
        <f>SUM(ENOS_G1_POLIOMIELITIS_AGUDA[TOT])</f>
        <v>0</v>
      </c>
      <c r="G11" s="120">
        <v>0</v>
      </c>
      <c r="H11" s="97"/>
      <c r="I11" s="96"/>
      <c r="J11" s="135" t="s">
        <v>166</v>
      </c>
      <c r="K11" s="133"/>
      <c r="L11" s="108" t="s">
        <v>167</v>
      </c>
      <c r="M11" s="101">
        <f>SUM(ENOS_G2_HEPATITIS_VIRAL_SIN_OTRA_ESPECIFIACION[TOT])</f>
        <v>0</v>
      </c>
      <c r="N11" s="2"/>
      <c r="O11" s="2"/>
    </row>
    <row r="12" spans="1:32" ht="15.75" customHeight="1">
      <c r="A12" s="2"/>
      <c r="B12" s="98"/>
      <c r="C12" s="99"/>
      <c r="D12" s="109"/>
      <c r="E12" s="109"/>
      <c r="F12" s="109"/>
      <c r="G12" s="109"/>
      <c r="H12" s="97"/>
      <c r="I12" s="96"/>
      <c r="J12" s="134"/>
      <c r="K12" s="99"/>
      <c r="L12" s="109"/>
      <c r="M12" s="102"/>
      <c r="N12" s="2"/>
      <c r="O12" s="2"/>
    </row>
    <row r="13" spans="1:32" ht="22.5" customHeight="1" thickBot="1">
      <c r="A13" s="2"/>
      <c r="B13" s="140" t="s">
        <v>168</v>
      </c>
      <c r="C13" s="133"/>
      <c r="D13" s="34" t="s">
        <v>169</v>
      </c>
      <c r="E13" s="35" t="s">
        <v>170</v>
      </c>
      <c r="F13" s="36">
        <f>SUM(ENOS_G1_RUBEOLA[TOT])</f>
        <v>0</v>
      </c>
      <c r="G13" s="36">
        <v>0</v>
      </c>
      <c r="H13" s="97"/>
      <c r="I13" s="96"/>
      <c r="J13" s="103" t="s">
        <v>171</v>
      </c>
      <c r="K13" s="104"/>
      <c r="L13" s="37" t="s">
        <v>172</v>
      </c>
      <c r="M13" s="38">
        <f>SUM(ENOS_G2_ETA[TOT])</f>
        <v>0</v>
      </c>
      <c r="N13" s="2"/>
      <c r="O13" s="2"/>
    </row>
    <row r="14" spans="1:32">
      <c r="A14" s="2"/>
      <c r="B14" s="97"/>
      <c r="C14" s="96"/>
      <c r="D14" s="103" t="s">
        <v>173</v>
      </c>
      <c r="E14" s="108" t="s">
        <v>108</v>
      </c>
      <c r="F14" s="120">
        <f>SUM(ENOS_G1_SINDROME_DE_RUBEOLA_CONGENITA[TOT])</f>
        <v>0</v>
      </c>
      <c r="G14" s="120">
        <v>0</v>
      </c>
      <c r="H14" s="97"/>
      <c r="I14" s="96"/>
      <c r="J14" s="103" t="s">
        <v>174</v>
      </c>
      <c r="K14" s="133"/>
      <c r="L14" s="112" t="s">
        <v>175</v>
      </c>
      <c r="M14" s="101">
        <f>SUM(ENOS_G2_CONJUNTIVITIS_VIRAL[TOT])</f>
        <v>0</v>
      </c>
      <c r="N14" s="2"/>
      <c r="O14" s="2"/>
    </row>
    <row r="15" spans="1:32" ht="18" customHeight="1">
      <c r="A15" s="2"/>
      <c r="B15" s="97"/>
      <c r="C15" s="96"/>
      <c r="D15" s="109"/>
      <c r="E15" s="109"/>
      <c r="F15" s="109"/>
      <c r="G15" s="109"/>
      <c r="H15" s="97"/>
      <c r="I15" s="96"/>
      <c r="J15" s="134"/>
      <c r="K15" s="99"/>
      <c r="L15" s="109"/>
      <c r="M15" s="102"/>
      <c r="N15" s="2"/>
      <c r="O15" s="2"/>
    </row>
    <row r="16" spans="1:32" ht="15.75" customHeight="1">
      <c r="A16" s="2"/>
      <c r="B16" s="97"/>
      <c r="C16" s="96"/>
      <c r="D16" s="132" t="s">
        <v>176</v>
      </c>
      <c r="E16" s="108" t="s">
        <v>177</v>
      </c>
      <c r="F16" s="120">
        <f>SUM(ENOS_G1_SARAMPION[TOT])</f>
        <v>0</v>
      </c>
      <c r="G16" s="120">
        <v>0</v>
      </c>
      <c r="H16" s="97"/>
      <c r="I16" s="96"/>
      <c r="J16" s="135" t="s">
        <v>178</v>
      </c>
      <c r="K16" s="133"/>
      <c r="L16" s="112" t="s">
        <v>179</v>
      </c>
      <c r="M16" s="101">
        <f>SUM(ENOS_G2_ENF_VIRICAS_LESIONES_PIEL_Y_MEMB_MUCOSAS[TOT])</f>
        <v>0</v>
      </c>
      <c r="N16" s="2"/>
      <c r="O16" s="2"/>
    </row>
    <row r="17" spans="1:32">
      <c r="A17" s="2"/>
      <c r="B17" s="97"/>
      <c r="C17" s="96"/>
      <c r="D17" s="109"/>
      <c r="E17" s="109"/>
      <c r="F17" s="109"/>
      <c r="G17" s="109"/>
      <c r="H17" s="97"/>
      <c r="I17" s="96"/>
      <c r="J17" s="136"/>
      <c r="K17" s="96"/>
      <c r="L17" s="113"/>
      <c r="M17" s="145"/>
      <c r="N17" s="2"/>
      <c r="O17" s="2"/>
    </row>
    <row r="18" spans="1:32">
      <c r="A18" s="2"/>
      <c r="B18" s="97"/>
      <c r="C18" s="96"/>
      <c r="D18" s="103" t="s">
        <v>180</v>
      </c>
      <c r="E18" s="108" t="s">
        <v>181</v>
      </c>
      <c r="F18" s="120">
        <f>SUM(ENOS_G1_TETANOS_NEONATAL[TOT])</f>
        <v>0</v>
      </c>
      <c r="G18" s="120">
        <v>0</v>
      </c>
      <c r="H18" s="98"/>
      <c r="I18" s="99"/>
      <c r="J18" s="134"/>
      <c r="K18" s="99"/>
      <c r="L18" s="109"/>
      <c r="M18" s="102"/>
      <c r="N18" s="2"/>
      <c r="O18" s="2"/>
    </row>
    <row r="19" spans="1:32" ht="18" customHeight="1" thickBot="1">
      <c r="A19" s="2"/>
      <c r="B19" s="97"/>
      <c r="C19" s="96"/>
      <c r="D19" s="113"/>
      <c r="E19" s="113"/>
      <c r="F19" s="113"/>
      <c r="G19" s="113"/>
      <c r="H19" s="140" t="s">
        <v>182</v>
      </c>
      <c r="I19" s="133"/>
      <c r="J19" s="132" t="s">
        <v>183</v>
      </c>
      <c r="K19" s="133"/>
      <c r="L19" s="108" t="s">
        <v>184</v>
      </c>
      <c r="M19" s="101">
        <f>SUM(ENOS_G2_SIFILIS_CONGENITA[TOT])</f>
        <v>0</v>
      </c>
      <c r="N19" s="2"/>
      <c r="O19" s="2"/>
    </row>
    <row r="20" spans="1:32">
      <c r="A20" s="2"/>
      <c r="B20" s="97"/>
      <c r="C20" s="96"/>
      <c r="D20" s="109"/>
      <c r="E20" s="109"/>
      <c r="F20" s="109"/>
      <c r="G20" s="109"/>
      <c r="H20" s="97"/>
      <c r="I20" s="96"/>
      <c r="J20" s="134"/>
      <c r="K20" s="99"/>
      <c r="L20" s="109"/>
      <c r="M20" s="102"/>
      <c r="N20" s="2"/>
      <c r="O20" s="2"/>
    </row>
    <row r="21" spans="1:32">
      <c r="A21" s="2"/>
      <c r="B21" s="97"/>
      <c r="C21" s="96"/>
      <c r="D21" s="132" t="s">
        <v>185</v>
      </c>
      <c r="E21" s="112" t="s">
        <v>186</v>
      </c>
      <c r="F21" s="119">
        <f>SUM(ENOS_G1_PALUDISMO[TOT])</f>
        <v>0</v>
      </c>
      <c r="G21" s="119">
        <v>0</v>
      </c>
      <c r="H21" s="97"/>
      <c r="I21" s="96"/>
      <c r="J21" s="103" t="s">
        <v>187</v>
      </c>
      <c r="K21" s="104"/>
      <c r="L21" s="28" t="s">
        <v>188</v>
      </c>
      <c r="M21" s="30">
        <f>SUM(ENOS_G2_SIFILIS_EMBARAZADA[TOT])</f>
        <v>0</v>
      </c>
      <c r="N21" s="2"/>
      <c r="O21" s="2"/>
    </row>
    <row r="22" spans="1:32" ht="15.75" customHeight="1" thickBot="1">
      <c r="A22" s="2"/>
      <c r="B22" s="141"/>
      <c r="C22" s="142"/>
      <c r="D22" s="109"/>
      <c r="E22" s="109"/>
      <c r="F22" s="109"/>
      <c r="G22" s="109"/>
      <c r="H22" s="141"/>
      <c r="I22" s="142"/>
      <c r="J22" s="121" t="s">
        <v>189</v>
      </c>
      <c r="K22" s="122"/>
      <c r="L22" s="40" t="s">
        <v>190</v>
      </c>
      <c r="M22" s="41">
        <f>SUM(ENOS_G2_SIFILIS_TODOS_LOS_CASOS[TOT])</f>
        <v>0</v>
      </c>
      <c r="N22" s="2"/>
      <c r="O22" s="2"/>
    </row>
    <row r="23" spans="1:32" ht="18" customHeight="1" thickBot="1">
      <c r="A23" s="2"/>
      <c r="B23" s="126" t="s">
        <v>191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7"/>
      <c r="N23" s="2"/>
      <c r="O23" s="2"/>
    </row>
    <row r="24" spans="1:32">
      <c r="A24" s="2"/>
      <c r="B24" s="127" t="s">
        <v>192</v>
      </c>
      <c r="C24" s="96"/>
      <c r="D24" s="114" t="s">
        <v>147</v>
      </c>
      <c r="E24" s="92"/>
      <c r="F24" s="115"/>
      <c r="G24" s="130" t="s">
        <v>193</v>
      </c>
      <c r="H24" s="131"/>
      <c r="I24" s="131"/>
      <c r="J24" s="131"/>
      <c r="K24" s="131"/>
      <c r="L24" s="99"/>
      <c r="M24" s="143" t="s">
        <v>194</v>
      </c>
      <c r="N24" s="2"/>
      <c r="O24" s="2"/>
    </row>
    <row r="25" spans="1:32" ht="22.5" customHeight="1">
      <c r="A25" s="2"/>
      <c r="B25" s="128"/>
      <c r="C25" s="129"/>
      <c r="D25" s="116"/>
      <c r="E25" s="117"/>
      <c r="F25" s="118"/>
      <c r="G25" s="42" t="s">
        <v>195</v>
      </c>
      <c r="H25" s="43" t="s">
        <v>196</v>
      </c>
      <c r="I25" s="44" t="s">
        <v>197</v>
      </c>
      <c r="J25" s="28" t="s">
        <v>198</v>
      </c>
      <c r="K25" s="39" t="s">
        <v>199</v>
      </c>
      <c r="L25" s="28" t="s">
        <v>200</v>
      </c>
      <c r="M25" s="102"/>
      <c r="N25" s="2"/>
      <c r="O25" s="2"/>
    </row>
    <row r="26" spans="1:32">
      <c r="A26" s="2"/>
      <c r="B26" s="110" t="s">
        <v>201</v>
      </c>
      <c r="C26" s="111"/>
      <c r="D26" s="139" t="s">
        <v>202</v>
      </c>
      <c r="E26" s="124"/>
      <c r="F26" s="111"/>
      <c r="G26" s="45">
        <f>SUM(ENOS_G3_ETI_MENOR_QUE_1_AÑO[TOT])</f>
        <v>0</v>
      </c>
      <c r="H26" s="45">
        <f>SUM(ENOS_G3_ETI_1_4_AÑOS[TOT])</f>
        <v>0</v>
      </c>
      <c r="I26" s="45">
        <f>SUM(ENOS_G3_ETI_5_19_AÑOS[TOT])</f>
        <v>0</v>
      </c>
      <c r="J26" s="45">
        <f>SUM(ENOS_G3_ETI_20_59_AÑOS[TOT])</f>
        <v>0</v>
      </c>
      <c r="K26" s="45">
        <f>SUM(ENOS_G3_ETI_60_MAS_AÑOS[TOT])</f>
        <v>0</v>
      </c>
      <c r="L26" s="45">
        <f>SUM(ENOS_G3_ETI_SD_AÑOS[TOT])</f>
        <v>0</v>
      </c>
      <c r="M26" s="45">
        <f>SUM(G26:L26)</f>
        <v>0</v>
      </c>
      <c r="N26" s="2"/>
      <c r="O26" s="2"/>
    </row>
    <row r="27" spans="1:32">
      <c r="A27" s="2"/>
      <c r="B27" s="110" t="s">
        <v>203</v>
      </c>
      <c r="C27" s="111"/>
      <c r="D27" s="123" t="s">
        <v>204</v>
      </c>
      <c r="E27" s="124"/>
      <c r="F27" s="111"/>
      <c r="G27" s="45">
        <f>SUM(ENOS_G3_IRANN_MENOR_QUE_1_AÑO[TOT])</f>
        <v>0</v>
      </c>
      <c r="H27" s="45">
        <f>SUM(ENOS_G3_IRANN_1_4_AÑOS[TOT])</f>
        <v>0</v>
      </c>
      <c r="I27" s="45">
        <f>SUM(ENOS_G3_IRANN_5_19_AÑOS[TOT])</f>
        <v>0</v>
      </c>
      <c r="J27" s="45">
        <f>SUM(ENOS_G3_IRANN_20_59_AÑOS[TOT])</f>
        <v>0</v>
      </c>
      <c r="K27" s="45">
        <f>SUM(ENOS_G3_IRANN_60_MAS_AÑOS[TOT])</f>
        <v>0</v>
      </c>
      <c r="L27" s="45">
        <f>SUM(ENOS_G3_IRANN_SD_AÑOS[TOT])</f>
        <v>0</v>
      </c>
      <c r="M27" s="45">
        <f>SUM(G27:L27)</f>
        <v>0</v>
      </c>
      <c r="N27" s="2"/>
      <c r="O27" s="2"/>
    </row>
    <row r="28" spans="1:32">
      <c r="A28" s="2"/>
      <c r="B28" s="110" t="s">
        <v>205</v>
      </c>
      <c r="C28" s="111"/>
      <c r="D28" s="123" t="s">
        <v>206</v>
      </c>
      <c r="E28" s="124"/>
      <c r="F28" s="111"/>
      <c r="G28" s="45">
        <f>SUM(ENOS_G3_NEU_MENOR_QUE_1_AÑO[TOT])</f>
        <v>0</v>
      </c>
      <c r="H28" s="45">
        <f>SUM(ENOS_G3_NEU_1_4_AÑOS[TOT])</f>
        <v>0</v>
      </c>
      <c r="I28" s="45">
        <f>SUM(ENOS_G3_NEU_5_19_AÑOS[TOT])</f>
        <v>0</v>
      </c>
      <c r="J28" s="45">
        <f>SUM(ENOS_G3_NEU_20_59_AÑOS[TOT])</f>
        <v>0</v>
      </c>
      <c r="K28" s="45">
        <f>SUM(ENOS_G3_NEU_60_MAS_AÑOS[TOT])</f>
        <v>0</v>
      </c>
      <c r="L28" s="45">
        <f>SUM(ENOS_G3_NEU_SD_AÑOS[TOT])</f>
        <v>0</v>
      </c>
      <c r="M28" s="45">
        <f>SUM(G28:L28)</f>
        <v>0</v>
      </c>
      <c r="N28" s="2"/>
      <c r="O28" s="2"/>
    </row>
    <row r="29" spans="1:32">
      <c r="A29" s="2"/>
      <c r="B29" s="110" t="s">
        <v>207</v>
      </c>
      <c r="C29" s="111"/>
      <c r="D29" s="139" t="s">
        <v>208</v>
      </c>
      <c r="E29" s="124"/>
      <c r="F29" s="111"/>
      <c r="G29" s="45">
        <f>SUM(ENOS_G3_IRAGNG_MENOR_QUE_1_AÑO[TOT])</f>
        <v>0</v>
      </c>
      <c r="H29" s="45">
        <f>SUM(ENOS_G3_IRAGNG_1_4_AÑOS[TOT])</f>
        <v>0</v>
      </c>
      <c r="I29" s="45">
        <f>SUM(ENOS_G3_IRAGNG_5_19_AÑOS[TOT])</f>
        <v>0</v>
      </c>
      <c r="J29" s="45">
        <f>SUM(ENOS_G3_IRAGNG_20_59_AÑOS[TOT])</f>
        <v>0</v>
      </c>
      <c r="K29" s="45">
        <f>SUM(ENOS_G3_IRAGNG_60_MAS_AÑOS[TOT])</f>
        <v>0</v>
      </c>
      <c r="L29" s="45">
        <f>SUM(ENOS_G3_IRAGNG_SD_AÑOS[TOT])</f>
        <v>0</v>
      </c>
      <c r="M29" s="45">
        <f>SUM(G29:L29)</f>
        <v>0</v>
      </c>
      <c r="N29" s="2"/>
      <c r="O29" s="2"/>
      <c r="P29" s="91" t="s">
        <v>126</v>
      </c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</row>
    <row r="30" spans="1:32" ht="15.75" customHeight="1" thickBot="1">
      <c r="A30" s="2"/>
      <c r="B30" s="137" t="s">
        <v>209</v>
      </c>
      <c r="C30" s="138"/>
      <c r="D30" s="148" t="s">
        <v>210</v>
      </c>
      <c r="E30" s="149"/>
      <c r="F30" s="138"/>
      <c r="G30" s="46">
        <f>SUM(ENOS_G3_DA_MENOR_QUE_1_AÑO[TOT])</f>
        <v>0</v>
      </c>
      <c r="H30" s="46">
        <f>SUM(ENOS_G3_DA_1_4_AÑOS[TOT])</f>
        <v>0</v>
      </c>
      <c r="I30" s="46">
        <f>SUM(ENOS_G3_DA_5_19_AÑOS[TOT])</f>
        <v>0</v>
      </c>
      <c r="J30" s="46">
        <f>SUM(ENOS_G3_DA_20_59_AÑOS[TOT])</f>
        <v>0</v>
      </c>
      <c r="K30" s="46">
        <f>SUM(ENOS_G3_DA_60_MAS_AÑOS[TOT])</f>
        <v>0</v>
      </c>
      <c r="L30" s="46">
        <f>SUM(ENOS_G3_DA_SD_AÑOS[TOT])</f>
        <v>0</v>
      </c>
      <c r="M30" s="45">
        <f>SUM(G30:L30)</f>
        <v>0</v>
      </c>
      <c r="N30" s="2"/>
      <c r="O30" s="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</row>
    <row r="31" spans="1:32" ht="18" customHeight="1">
      <c r="A31" s="2"/>
      <c r="B31" s="47" t="s">
        <v>211</v>
      </c>
      <c r="C31" s="48"/>
      <c r="D31" s="48"/>
      <c r="E31" s="48"/>
      <c r="F31" s="47" t="s">
        <v>212</v>
      </c>
      <c r="G31" s="49"/>
      <c r="H31" s="50"/>
      <c r="I31" s="50"/>
      <c r="J31" s="50"/>
      <c r="K31" s="50"/>
      <c r="L31" s="50"/>
      <c r="M31" s="49"/>
      <c r="N31" s="2"/>
      <c r="O31" s="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</row>
    <row r="32" spans="1:32" ht="15.75" customHeight="1">
      <c r="A32" s="2"/>
      <c r="B32" s="47" t="s">
        <v>213</v>
      </c>
      <c r="C32" s="51"/>
      <c r="D32" s="51"/>
      <c r="E32" s="51"/>
      <c r="F32" s="51"/>
      <c r="G32" s="51"/>
      <c r="H32" s="49"/>
      <c r="I32" s="49"/>
      <c r="J32" s="52"/>
      <c r="K32" s="49"/>
      <c r="L32" s="49"/>
      <c r="M32" s="49"/>
      <c r="N32" s="2"/>
      <c r="O32" s="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</row>
    <row r="33" spans="1:32" ht="15.75" customHeight="1">
      <c r="A33" s="2"/>
      <c r="B33" s="49" t="s">
        <v>214</v>
      </c>
      <c r="C33" s="48"/>
      <c r="D33" s="48"/>
      <c r="E33" s="48"/>
      <c r="F33" s="53"/>
      <c r="G33" s="16"/>
      <c r="H33" s="49"/>
      <c r="I33" s="49"/>
      <c r="J33" s="144" t="s">
        <v>215</v>
      </c>
      <c r="K33" s="92"/>
      <c r="L33" s="92"/>
      <c r="M33" s="54"/>
      <c r="N33" s="2"/>
      <c r="O33" s="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</row>
    <row r="34" spans="1:32">
      <c r="A34" s="2"/>
      <c r="B34" s="16" t="s">
        <v>216</v>
      </c>
      <c r="C34" s="55"/>
      <c r="D34" s="55"/>
      <c r="E34" s="56"/>
      <c r="F34" s="47" t="s">
        <v>217</v>
      </c>
      <c r="G34" s="49"/>
      <c r="H34" s="49"/>
      <c r="I34" s="49"/>
      <c r="J34" s="49"/>
      <c r="K34" s="57"/>
      <c r="L34" s="16"/>
      <c r="M34" s="58"/>
      <c r="N34" s="2"/>
      <c r="O34" s="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</row>
    <row r="35" spans="1:32" ht="18" customHeight="1" thickBot="1">
      <c r="A35" s="2"/>
      <c r="B35" s="49"/>
      <c r="C35" s="59"/>
      <c r="D35" s="49"/>
      <c r="E35" s="49"/>
      <c r="F35" s="2"/>
      <c r="G35" s="51"/>
      <c r="H35" s="60"/>
      <c r="I35" s="60"/>
      <c r="J35" s="49"/>
      <c r="K35" s="61"/>
      <c r="L35" s="62"/>
      <c r="M35" s="63"/>
      <c r="N35" s="2"/>
      <c r="O35" s="2"/>
      <c r="P35" s="87" t="s">
        <v>218</v>
      </c>
      <c r="Q35" s="88"/>
      <c r="R35" s="88"/>
      <c r="S35" s="88"/>
      <c r="T35" s="88"/>
      <c r="U35" s="88"/>
      <c r="V35" s="88"/>
      <c r="W35" s="88"/>
      <c r="X35" s="2"/>
      <c r="Y35" s="87" t="s">
        <v>219</v>
      </c>
      <c r="Z35" s="88"/>
      <c r="AA35" s="88"/>
      <c r="AB35" s="88"/>
      <c r="AC35" s="88"/>
      <c r="AD35" s="88"/>
      <c r="AE35" s="88"/>
      <c r="AF35" s="88"/>
    </row>
    <row r="36" spans="1:32" ht="15.75" customHeight="1" thickTop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 t="s">
        <v>77</v>
      </c>
      <c r="Q36" s="8" t="s">
        <v>78</v>
      </c>
      <c r="R36" s="8" t="s">
        <v>79</v>
      </c>
      <c r="S36" s="8" t="s">
        <v>80</v>
      </c>
      <c r="T36" s="8" t="s">
        <v>81</v>
      </c>
      <c r="U36" s="8" t="s">
        <v>82</v>
      </c>
      <c r="V36" s="8" t="s">
        <v>83</v>
      </c>
      <c r="W36" s="10" t="s">
        <v>84</v>
      </c>
      <c r="X36" s="2"/>
      <c r="Y36" s="2" t="s">
        <v>77</v>
      </c>
      <c r="Z36" s="8" t="s">
        <v>78</v>
      </c>
      <c r="AA36" s="8" t="s">
        <v>79</v>
      </c>
      <c r="AB36" s="8" t="s">
        <v>80</v>
      </c>
      <c r="AC36" s="8" t="s">
        <v>81</v>
      </c>
      <c r="AD36" s="8" t="s">
        <v>82</v>
      </c>
      <c r="AE36" s="8" t="s">
        <v>83</v>
      </c>
      <c r="AF36" s="10" t="s">
        <v>84</v>
      </c>
    </row>
    <row r="37" spans="1:3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1" t="s">
        <v>220</v>
      </c>
      <c r="Q37" s="8">
        <f>IF($O$3="(Todas)",COUNTIF(BASE[CODCIE10],ENOS_G1_COLERA[[#This Row],[CIE-10]]),COUNTIFS(BASE[Cod.Establecimiento],$O$3,BASE[CODCIE10],ENOS_G1_COLERA[[#This Row],[CIE-10]]))</f>
        <v>0</v>
      </c>
      <c r="R37" s="8">
        <f>IF($O$3="(Todas)",COUNTIF(BASE[CODCIE102],ENOS_G1_COLERA[[#This Row],[CIE-10]]),COUNTIFS(BASE[Cod.Establecimiento],$O$3,BASE[CODCIE102],ENOS_G1_COLERA[[#This Row],[CIE-10]]))</f>
        <v>0</v>
      </c>
      <c r="S37" s="8">
        <f>IF($O$3="(Todas)",COUNTIF(BASE[CODCIE104],ENOS_G1_COLERA[[#This Row],[CIE-10]]),COUNTIFS(BASE[Cod.Establecimiento],$O$3,BASE[CODCIE104],ENOS_G1_COLERA[[#This Row],[CIE-10]]))</f>
        <v>0</v>
      </c>
      <c r="T37" s="8">
        <f>IF($O$3="(Todas)",COUNTIF(BASE[CODCIE106],ENOS_G1_COLERA[[#This Row],[CIE-10]]),COUNTIFS(BASE[Cod.Establecimiento],$O$3,BASE[CODCIE106],ENOS_G1_COLERA[[#This Row],[CIE-10]]))</f>
        <v>0</v>
      </c>
      <c r="U37" s="8">
        <f>IF($O$3="(Todas)",COUNTIF(BASE[CODCIE108],ENOS_G1_COLERA[[#This Row],[CIE-10]]),COUNTIFS(BASE[Cod.Establecimiento],$O$3,BASE[CODCIE108],ENOS_G1_COLERA[[#This Row],[CIE-10]]))</f>
        <v>0</v>
      </c>
      <c r="V37" s="8">
        <f>IF($O$3="(Todas)",COUNTIF(BASE[CODCIE1010],ENOS_G1_COLERA[[#This Row],[CIE-10]]),COUNTIFS(BASE[Cod.Establecimiento],$O$3,BASE[CODCIE1010],ENOS_G1_COLERA[[#This Row],[CIE-10]]))</f>
        <v>0</v>
      </c>
      <c r="W37" s="9">
        <f>SUM(ENOS_G1_COLERA[[#This Row],[D1]:[D6]])</f>
        <v>0</v>
      </c>
      <c r="X37" s="2"/>
      <c r="Y37" s="31" t="s">
        <v>221</v>
      </c>
      <c r="Z37" s="8">
        <f>IF($O$3="(Todas)",COUNTIF(BASE[CODCIE10],ENOS_G1_FIEBRE_AMARILLA[[#This Row],[CIE-10]]),COUNTIFS(BASE[Cod.Establecimiento],$O$3,BASE[CODCIE10],ENOS_G1_FIEBRE_AMARILLA[[#This Row],[CIE-10]]))</f>
        <v>0</v>
      </c>
      <c r="AA37" s="8">
        <f>IF($O$3="(Todas)",COUNTIF(BASE[CODCIE102],ENOS_G1_FIEBRE_AMARILLA[[#This Row],[CIE-10]]),COUNTIFS(BASE[Cod.Establecimiento],$O$3,BASE[CODCIE102],ENOS_G1_FIEBRE_AMARILLA[[#This Row],[CIE-10]]))</f>
        <v>0</v>
      </c>
      <c r="AB37" s="8">
        <f>IF($O$3="(Todas)",COUNTIF(BASE[CODCIE104],ENOS_G1_FIEBRE_AMARILLA[[#This Row],[CIE-10]]),COUNTIFS(BASE[Cod.Establecimiento],$O$3,BASE[CODCIE104],ENOS_G1_FIEBRE_AMARILLA[[#This Row],[CIE-10]]))</f>
        <v>0</v>
      </c>
      <c r="AC37" s="8">
        <f>IF($O$3="(Todas)",COUNTIF(BASE[CODCIE106],ENOS_G1_FIEBRE_AMARILLA[[#This Row],[CIE-10]]),COUNTIFS(BASE[Cod.Establecimiento],$O$3,BASE[CODCIE106],ENOS_G1_FIEBRE_AMARILLA[[#This Row],[CIE-10]]))</f>
        <v>0</v>
      </c>
      <c r="AD37" s="8">
        <f>IF($O$3="(Todas)",COUNTIF(BASE[CODCIE108],ENOS_G1_FIEBRE_AMARILLA[[#This Row],[CIE-10]]),COUNTIFS(BASE[Cod.Establecimiento],$O$3,BASE[CODCIE108],ENOS_G1_FIEBRE_AMARILLA[[#This Row],[CIE-10]]))</f>
        <v>0</v>
      </c>
      <c r="AE37" s="8">
        <f>IF($O$3="(Todas)",COUNTIF(BASE[CODCIE1010],ENOS_G1_FIEBRE_AMARILLA[[#This Row],[CIE-10]]),COUNTIFS(BASE[Cod.Establecimiento],$O$3,BASE[CODCIE1010],ENOS_G1_FIEBRE_AMARILLA[[#This Row],[CIE-10]]))</f>
        <v>0</v>
      </c>
      <c r="AF37" s="9">
        <f>SUM(ENOS_G1_FIEBRE_AMARILLA[[#This Row],[D1]:[D6]])</f>
        <v>0</v>
      </c>
    </row>
    <row r="38" spans="1:32" s="2" customFormat="1"/>
    <row r="39" spans="1:32" s="2" customFormat="1" ht="18" customHeight="1" thickBot="1">
      <c r="P39" s="87" t="s">
        <v>222</v>
      </c>
      <c r="Q39" s="88"/>
      <c r="R39" s="88"/>
      <c r="S39" s="88"/>
      <c r="T39" s="88"/>
      <c r="U39" s="88"/>
      <c r="V39" s="88"/>
      <c r="W39" s="88"/>
      <c r="Y39" s="87" t="s">
        <v>223</v>
      </c>
      <c r="Z39" s="88"/>
      <c r="AA39" s="88"/>
      <c r="AB39" s="88"/>
      <c r="AC39" s="88"/>
      <c r="AD39" s="88"/>
      <c r="AE39" s="88"/>
      <c r="AF39" s="88"/>
    </row>
    <row r="40" spans="1:32" s="2" customFormat="1" ht="15.75" customHeight="1" thickTop="1">
      <c r="P40" s="2" t="s">
        <v>77</v>
      </c>
      <c r="Q40" s="8" t="s">
        <v>78</v>
      </c>
      <c r="R40" s="8" t="s">
        <v>79</v>
      </c>
      <c r="S40" s="8" t="s">
        <v>80</v>
      </c>
      <c r="T40" s="8" t="s">
        <v>81</v>
      </c>
      <c r="U40" s="8" t="s">
        <v>82</v>
      </c>
      <c r="V40" s="8" t="s">
        <v>83</v>
      </c>
      <c r="W40" s="10" t="s">
        <v>84</v>
      </c>
      <c r="Y40" s="2" t="s">
        <v>77</v>
      </c>
      <c r="Z40" s="8" t="s">
        <v>78</v>
      </c>
      <c r="AA40" s="8" t="s">
        <v>79</v>
      </c>
      <c r="AB40" s="8" t="s">
        <v>80</v>
      </c>
      <c r="AC40" s="8" t="s">
        <v>81</v>
      </c>
      <c r="AD40" s="8" t="s">
        <v>82</v>
      </c>
      <c r="AE40" s="8" t="s">
        <v>83</v>
      </c>
      <c r="AF40" s="10" t="s">
        <v>84</v>
      </c>
    </row>
    <row r="41" spans="1:3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1" t="s">
        <v>224</v>
      </c>
      <c r="Q41" s="8">
        <f>IF($O$3="(Todas)",COUNTIF(BASE[CODCIE10],ENOS_G1_PESTE[[#This Row],[CIE-10]]),COUNTIFS(BASE[Cod.Establecimiento],$O$3,BASE[CODCIE10],ENOS_G1_PESTE[[#This Row],[CIE-10]]))</f>
        <v>0</v>
      </c>
      <c r="R41" s="8">
        <f>IF($O$3="(Todas)",COUNTIF(BASE[CODCIE102],ENOS_G1_PESTE[[#This Row],[CIE-10]]),COUNTIFS(BASE[Cod.Establecimiento],$O$3,BASE[CODCIE102],ENOS_G1_PESTE[[#This Row],[CIE-10]]))</f>
        <v>0</v>
      </c>
      <c r="S41" s="8">
        <f>IF($O$3="(Todas)",COUNTIF(BASE[CODCIE104],ENOS_G1_PESTE[[#This Row],[CIE-10]]),COUNTIFS(BASE[Cod.Establecimiento],$O$3,BASE[CODCIE104],ENOS_G1_PESTE[[#This Row],[CIE-10]]))</f>
        <v>0</v>
      </c>
      <c r="T41" s="8">
        <f>IF($O$3="(Todas)",COUNTIF(BASE[CODCIE106],ENOS_G1_PESTE[[#This Row],[CIE-10]]),COUNTIFS(BASE[Cod.Establecimiento],$O$3,BASE[CODCIE106],ENOS_G1_PESTE[[#This Row],[CIE-10]]))</f>
        <v>0</v>
      </c>
      <c r="U41" s="8">
        <f>IF($O$3="(Todas)",COUNTIF(BASE[CODCIE108],ENOS_G1_PESTE[[#This Row],[CIE-10]]),COUNTIFS(BASE[Cod.Establecimiento],$O$3,BASE[CODCIE108],ENOS_G1_PESTE[[#This Row],[CIE-10]]))</f>
        <v>0</v>
      </c>
      <c r="V41" s="8">
        <f>IF($O$3="(Todas)",COUNTIF(BASE[CODCIE1010],ENOS_G1_PESTE[[#This Row],[CIE-10]]),COUNTIFS(BASE[Cod.Establecimiento],$O$3,BASE[CODCIE1010],ENOS_G1_PESTE[[#This Row],[CIE-10]]))</f>
        <v>0</v>
      </c>
      <c r="W41" s="9">
        <f>SUM(ENOS_G1_PESTE[[#This Row],[D1]:[D6]])</f>
        <v>0</v>
      </c>
      <c r="X41" s="2"/>
      <c r="Y41" s="31" t="s">
        <v>99</v>
      </c>
      <c r="Z41" s="8">
        <f>IF($O$3="(Todas)",COUNTIF(BASE[CODCIE10],ENOS_G1_POLIOMIELITIS_AGUDA[[#This Row],[CIE-10]]),COUNTIFS(BASE[Cod.Establecimiento],$O$3,BASE[CODCIE10],ENOS_G1_POLIOMIELITIS_AGUDA[[#This Row],[CIE-10]]))</f>
        <v>0</v>
      </c>
      <c r="AA41" s="8">
        <f>IF($O$3="(Todas)",COUNTIF(BASE[CODCIE102],ENOS_G1_POLIOMIELITIS_AGUDA[[#This Row],[CIE-10]]),COUNTIFS(BASE[Cod.Establecimiento],$O$3,BASE[CODCIE102],ENOS_G1_POLIOMIELITIS_AGUDA[[#This Row],[CIE-10]]))</f>
        <v>0</v>
      </c>
      <c r="AB41" s="8">
        <f>IF($O$3="(Todas)",COUNTIF(BASE[CODCIE104],ENOS_G1_POLIOMIELITIS_AGUDA[[#This Row],[CIE-10]]),COUNTIFS(BASE[Cod.Establecimiento],$O$3,BASE[CODCIE104],ENOS_G1_POLIOMIELITIS_AGUDA[[#This Row],[CIE-10]]))</f>
        <v>0</v>
      </c>
      <c r="AC41" s="8">
        <f>IF($O$3="(Todas)",COUNTIF(BASE[CODCIE106],ENOS_G1_POLIOMIELITIS_AGUDA[[#This Row],[CIE-10]]),COUNTIFS(BASE[Cod.Establecimiento],$O$3,BASE[CODCIE106],ENOS_G1_POLIOMIELITIS_AGUDA[[#This Row],[CIE-10]]))</f>
        <v>0</v>
      </c>
      <c r="AD41" s="8">
        <f>IF($O$3="(Todas)",COUNTIF(BASE[CODCIE108],ENOS_G1_POLIOMIELITIS_AGUDA[[#This Row],[CIE-10]]),COUNTIFS(BASE[Cod.Establecimiento],$O$3,BASE[CODCIE108],ENOS_G1_POLIOMIELITIS_AGUDA[[#This Row],[CIE-10]]))</f>
        <v>0</v>
      </c>
      <c r="AE41" s="8">
        <f>IF($O$3="(Todas)",COUNTIF(BASE[CODCIE1010],ENOS_G1_POLIOMIELITIS_AGUDA[[#This Row],[CIE-10]]),COUNTIFS(BASE[Cod.Establecimiento],$O$3,BASE[CODCIE1010],ENOS_G1_POLIOMIELITIS_AGUDA[[#This Row],[CIE-10]]))</f>
        <v>0</v>
      </c>
      <c r="AF41" s="9">
        <f>SUM(ENOS_G1_POLIOMIELITIS_AGUDA[[#This Row],[D1]:[D6]])</f>
        <v>0</v>
      </c>
    </row>
    <row r="42" spans="1:32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64"/>
      <c r="Z42" s="8"/>
      <c r="AA42" s="8"/>
      <c r="AB42" s="8"/>
      <c r="AC42" s="8"/>
      <c r="AD42" s="8"/>
      <c r="AE42" s="8"/>
      <c r="AF42" s="65"/>
    </row>
    <row r="43" spans="1:32" ht="15.75" customHeight="1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87" t="s">
        <v>225</v>
      </c>
      <c r="Q43" s="88"/>
      <c r="R43" s="88"/>
      <c r="S43" s="88"/>
      <c r="T43" s="88"/>
      <c r="U43" s="88"/>
      <c r="V43" s="88"/>
      <c r="W43" s="88"/>
      <c r="X43" s="2"/>
      <c r="Y43" s="87" t="s">
        <v>226</v>
      </c>
      <c r="Z43" s="88"/>
      <c r="AA43" s="88"/>
      <c r="AB43" s="88"/>
      <c r="AC43" s="88"/>
      <c r="AD43" s="88"/>
      <c r="AE43" s="88"/>
      <c r="AF43" s="88"/>
    </row>
    <row r="44" spans="1:32" ht="15.75" customHeight="1" thickTop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 t="s">
        <v>77</v>
      </c>
      <c r="Q44" s="8" t="s">
        <v>78</v>
      </c>
      <c r="R44" s="8" t="s">
        <v>79</v>
      </c>
      <c r="S44" s="8" t="s">
        <v>80</v>
      </c>
      <c r="T44" s="8" t="s">
        <v>81</v>
      </c>
      <c r="U44" s="8" t="s">
        <v>82</v>
      </c>
      <c r="V44" s="8" t="s">
        <v>83</v>
      </c>
      <c r="W44" s="10" t="s">
        <v>84</v>
      </c>
      <c r="X44" s="2"/>
      <c r="Y44" s="2" t="s">
        <v>77</v>
      </c>
      <c r="Z44" s="8" t="s">
        <v>78</v>
      </c>
      <c r="AA44" s="8" t="s">
        <v>79</v>
      </c>
      <c r="AB44" s="8" t="s">
        <v>80</v>
      </c>
      <c r="AC44" s="8" t="s">
        <v>81</v>
      </c>
      <c r="AD44" s="8" t="s">
        <v>82</v>
      </c>
      <c r="AE44" s="8" t="s">
        <v>83</v>
      </c>
      <c r="AF44" s="10" t="s">
        <v>84</v>
      </c>
    </row>
    <row r="45" spans="1:32" s="2" customFormat="1">
      <c r="P45" s="31" t="s">
        <v>104</v>
      </c>
      <c r="Q45" s="8">
        <f>IF($O$3="(Todas)",COUNTIF(BASE[CODCIE10],ENOS_G1_RUBEOLA[[#This Row],[CIE-10]]),COUNTIFS(BASE[Cod.Establecimiento],$O$3,BASE[CODCIE10],ENOS_G1_RUBEOLA[[#This Row],[CIE-10]]))</f>
        <v>0</v>
      </c>
      <c r="R45" s="8">
        <f>IF($O$3="(Todas)",COUNTIF(BASE[CODCIE102],ENOS_G1_RUBEOLA[[#This Row],[CIE-10]]),COUNTIFS(BASE[Cod.Establecimiento],$O$3,BASE[CODCIE102],ENOS_G1_RUBEOLA[[#This Row],[CIE-10]]))</f>
        <v>0</v>
      </c>
      <c r="S45" s="8">
        <f>IF($O$3="(Todas)",COUNTIF(BASE[CODCIE104],ENOS_G1_RUBEOLA[[#This Row],[CIE-10]]),COUNTIFS(BASE[Cod.Establecimiento],$O$3,BASE[CODCIE104],ENOS_G1_RUBEOLA[[#This Row],[CIE-10]]))</f>
        <v>0</v>
      </c>
      <c r="T45" s="8">
        <f>IF($O$3="(Todas)",COUNTIF(BASE[CODCIE106],ENOS_G1_RUBEOLA[[#This Row],[CIE-10]]),COUNTIFS(BASE[Cod.Establecimiento],$O$3,BASE[CODCIE106],ENOS_G1_RUBEOLA[[#This Row],[CIE-10]]))</f>
        <v>0</v>
      </c>
      <c r="U45" s="8">
        <f>IF($O$3="(Todas)",COUNTIF(BASE[CODCIE108],ENOS_G1_RUBEOLA[[#This Row],[CIE-10]]),COUNTIFS(BASE[Cod.Establecimiento],$O$3,BASE[CODCIE108],ENOS_G1_RUBEOLA[[#This Row],[CIE-10]]))</f>
        <v>0</v>
      </c>
      <c r="V45" s="8">
        <f>IF($O$3="(Todas)",COUNTIF(BASE[CODCIE1010],ENOS_G1_RUBEOLA[[#This Row],[CIE-10]]),COUNTIFS(BASE[Cod.Establecimiento],$O$3,BASE[CODCIE1010],ENOS_G1_RUBEOLA[[#This Row],[CIE-10]]))</f>
        <v>0</v>
      </c>
      <c r="W45" s="9">
        <f>SUM(ENOS_G1_RUBEOLA[[#This Row],[D1]:[D6]])</f>
        <v>0</v>
      </c>
      <c r="Y45" s="31" t="s">
        <v>105</v>
      </c>
      <c r="Z45" s="8">
        <f>IF($O$3="(Todas)",COUNTIF(BASE[CODCIE10],ENOS_G1_SARAMPION[[#This Row],[CIE-10]]),COUNTIFS(BASE[Cod.Establecimiento],$O$3,BASE[CODCIE10],ENOS_G1_SARAMPION[[#This Row],[CIE-10]]))</f>
        <v>0</v>
      </c>
      <c r="AA45" s="8">
        <f>IF($O$3="(Todas)",COUNTIF(BASE[CODCIE102],ENOS_G1_SARAMPION[[#This Row],[CIE-10]]),COUNTIFS(BASE[Cod.Establecimiento],$O$3,BASE[CODCIE102],ENOS_G1_SARAMPION[[#This Row],[CIE-10]]))</f>
        <v>0</v>
      </c>
      <c r="AB45" s="8">
        <f>IF($O$3="(Todas)",COUNTIF(BASE[CODCIE104],ENOS_G1_SARAMPION[[#This Row],[CIE-10]]),COUNTIFS(BASE[Cod.Establecimiento],$O$3,BASE[CODCIE104],ENOS_G1_SARAMPION[[#This Row],[CIE-10]]))</f>
        <v>0</v>
      </c>
      <c r="AC45" s="8">
        <f>IF($O$3="(Todas)",COUNTIF(BASE[CODCIE106],ENOS_G1_SARAMPION[[#This Row],[CIE-10]]),COUNTIFS(BASE[Cod.Establecimiento],$O$3,BASE[CODCIE106],ENOS_G1_SARAMPION[[#This Row],[CIE-10]]))</f>
        <v>0</v>
      </c>
      <c r="AD45" s="8">
        <f>IF($O$3="(Todas)",COUNTIF(BASE[CODCIE108],ENOS_G1_SARAMPION[[#This Row],[CIE-10]]),COUNTIFS(BASE[Cod.Establecimiento],$O$3,BASE[CODCIE108],ENOS_G1_SARAMPION[[#This Row],[CIE-10]]))</f>
        <v>0</v>
      </c>
      <c r="AE45" s="8">
        <f>IF($O$3="(Todas)",COUNTIF(BASE[CODCIE1010],ENOS_G1_SARAMPION[[#This Row],[CIE-10]]),COUNTIFS(BASE[Cod.Establecimiento],$O$3,BASE[CODCIE1010],ENOS_G1_SARAMPION[[#This Row],[CIE-10]]))</f>
        <v>0</v>
      </c>
      <c r="AF45" s="9">
        <f>SUM(ENOS_G1_SARAMPION[[#This Row],[D1]:[D6]])</f>
        <v>0</v>
      </c>
    </row>
    <row r="46" spans="1:32" s="2" customFormat="1">
      <c r="P46" s="64"/>
      <c r="Q46" s="8"/>
      <c r="R46" s="8"/>
      <c r="S46" s="8"/>
      <c r="T46" s="8"/>
      <c r="U46" s="8"/>
      <c r="V46" s="8"/>
      <c r="W46" s="65"/>
    </row>
    <row r="47" spans="1:32" s="2" customFormat="1" ht="18" customHeight="1" thickBot="1">
      <c r="P47" s="87" t="s">
        <v>227</v>
      </c>
      <c r="Q47" s="88"/>
      <c r="R47" s="88"/>
      <c r="S47" s="88"/>
      <c r="T47" s="88"/>
      <c r="U47" s="88"/>
      <c r="V47" s="88"/>
      <c r="W47" s="88"/>
      <c r="Y47" s="87" t="s">
        <v>228</v>
      </c>
      <c r="Z47" s="88"/>
      <c r="AA47" s="88"/>
      <c r="AB47" s="88"/>
      <c r="AC47" s="88"/>
      <c r="AD47" s="88"/>
      <c r="AE47" s="88"/>
      <c r="AF47" s="88"/>
    </row>
    <row r="48" spans="1:32" s="2" customFormat="1" ht="15.75" customHeight="1" thickTop="1">
      <c r="P48" s="2" t="s">
        <v>77</v>
      </c>
      <c r="Q48" s="8" t="s">
        <v>78</v>
      </c>
      <c r="R48" s="8" t="s">
        <v>79</v>
      </c>
      <c r="S48" s="8" t="s">
        <v>80</v>
      </c>
      <c r="T48" s="8" t="s">
        <v>81</v>
      </c>
      <c r="U48" s="8" t="s">
        <v>82</v>
      </c>
      <c r="V48" s="8" t="s">
        <v>83</v>
      </c>
      <c r="W48" s="10" t="s">
        <v>84</v>
      </c>
      <c r="Y48" s="2" t="s">
        <v>77</v>
      </c>
      <c r="Z48" s="8" t="s">
        <v>78</v>
      </c>
      <c r="AA48" s="8" t="s">
        <v>79</v>
      </c>
      <c r="AB48" s="8" t="s">
        <v>80</v>
      </c>
      <c r="AC48" s="8" t="s">
        <v>81</v>
      </c>
      <c r="AD48" s="8" t="s">
        <v>82</v>
      </c>
      <c r="AE48" s="8" t="s">
        <v>83</v>
      </c>
      <c r="AF48" s="10" t="s">
        <v>84</v>
      </c>
    </row>
    <row r="49" spans="1:32" s="2" customFormat="1">
      <c r="P49" s="31" t="s">
        <v>108</v>
      </c>
      <c r="Q49" s="8">
        <f>IF($O$3="(Todas)",COUNTIF(BASE[CODCIE10],ENOS_G1_SINDROME_DE_RUBEOLA_CONGENITA[[#This Row],[CIE-10]]),COUNTIFS(BASE[Cod.Establecimiento],$O$3,BASE[CODCIE10],ENOS_G1_SINDROME_DE_RUBEOLA_CONGENITA[[#This Row],[CIE-10]]))</f>
        <v>0</v>
      </c>
      <c r="R49" s="8">
        <f>IF($O$3="(Todas)",COUNTIF(BASE[CODCIE102],ENOS_G1_SINDROME_DE_RUBEOLA_CONGENITA[[#This Row],[CIE-10]]),COUNTIFS(BASE[Cod.Establecimiento],$O$3,BASE[CODCIE102],ENOS_G1_SINDROME_DE_RUBEOLA_CONGENITA[[#This Row],[CIE-10]]))</f>
        <v>0</v>
      </c>
      <c r="S49" s="8">
        <f>IF($O$3="(Todas)",COUNTIF(BASE[CODCIE104],ENOS_G1_SINDROME_DE_RUBEOLA_CONGENITA[[#This Row],[CIE-10]]),COUNTIFS(BASE[Cod.Establecimiento],$O$3,BASE[CODCIE104],ENOS_G1_SINDROME_DE_RUBEOLA_CONGENITA[[#This Row],[CIE-10]]))</f>
        <v>0</v>
      </c>
      <c r="T49" s="8">
        <f>IF($O$3="(Todas)",COUNTIF(BASE[CODCIE106],ENOS_G1_SINDROME_DE_RUBEOLA_CONGENITA[[#This Row],[CIE-10]]),COUNTIFS(BASE[Cod.Establecimiento],$O$3,BASE[CODCIE106],ENOS_G1_SINDROME_DE_RUBEOLA_CONGENITA[[#This Row],[CIE-10]]))</f>
        <v>0</v>
      </c>
      <c r="U49" s="8">
        <f>IF($O$3="(Todas)",COUNTIF(BASE[CODCIE108],ENOS_G1_SINDROME_DE_RUBEOLA_CONGENITA[[#This Row],[CIE-10]]),COUNTIFS(BASE[Cod.Establecimiento],$O$3,BASE[CODCIE108],ENOS_G1_SINDROME_DE_RUBEOLA_CONGENITA[[#This Row],[CIE-10]]))</f>
        <v>0</v>
      </c>
      <c r="V49" s="8">
        <f>IF($O$3="(Todas)",COUNTIF(BASE[CODCIE1010],ENOS_G1_SINDROME_DE_RUBEOLA_CONGENITA[[#This Row],[CIE-10]]),COUNTIFS(BASE[Cod.Establecimiento],$O$3,BASE[CODCIE1010],ENOS_G1_SINDROME_DE_RUBEOLA_CONGENITA[[#This Row],[CIE-10]]))</f>
        <v>0</v>
      </c>
      <c r="W49" s="9">
        <f>SUM(ENOS_G1_SINDROME_DE_RUBEOLA_CONGENITA[[#This Row],[D1]:[D6]])</f>
        <v>0</v>
      </c>
      <c r="Y49" s="31" t="s">
        <v>115</v>
      </c>
      <c r="Z49" s="8">
        <f>IF($O$3="(Todas)",COUNTIF(BASE[CODCIE10],ENOS_G1_TETANOS_NEONATAL[[#This Row],[CIE-10]]),COUNTIFS(BASE[Cod.Establecimiento],$O$3,BASE[CODCIE10],ENOS_G1_TETANOS_NEONATAL[[#This Row],[CIE-10]]))</f>
        <v>0</v>
      </c>
      <c r="AA49" s="8">
        <f>IF($O$3="(Todas)",COUNTIF(BASE[CODCIE102],ENOS_G1_TETANOS_NEONATAL[[#This Row],[CIE-10]]),COUNTIFS(BASE[Cod.Establecimiento],$O$3,BASE[CODCIE102],ENOS_G1_TETANOS_NEONATAL[[#This Row],[CIE-10]]))</f>
        <v>0</v>
      </c>
      <c r="AB49" s="8">
        <f>IF($O$3="(Todas)",COUNTIF(BASE[CODCIE104],ENOS_G1_TETANOS_NEONATAL[[#This Row],[CIE-10]]),COUNTIFS(BASE[Cod.Establecimiento],$O$3,BASE[CODCIE104],ENOS_G1_TETANOS_NEONATAL[[#This Row],[CIE-10]]))</f>
        <v>0</v>
      </c>
      <c r="AC49" s="8">
        <f>IF($O$3="(Todas)",COUNTIF(BASE[CODCIE106],ENOS_G1_TETANOS_NEONATAL[[#This Row],[CIE-10]]),COUNTIFS(BASE[Cod.Establecimiento],$O$3,BASE[CODCIE106],ENOS_G1_TETANOS_NEONATAL[[#This Row],[CIE-10]]))</f>
        <v>0</v>
      </c>
      <c r="AD49" s="8">
        <f>IF($O$3="(Todas)",COUNTIF(BASE[CODCIE108],ENOS_G1_TETANOS_NEONATAL[[#This Row],[CIE-10]]),COUNTIFS(BASE[Cod.Establecimiento],$O$3,BASE[CODCIE108],ENOS_G1_TETANOS_NEONATAL[[#This Row],[CIE-10]]))</f>
        <v>0</v>
      </c>
      <c r="AE49" s="8">
        <f>IF($O$3="(Todas)",COUNTIF(BASE[CODCIE1010],ENOS_G1_TETANOS_NEONATAL[[#This Row],[CIE-10]]),COUNTIFS(BASE[Cod.Establecimiento],$O$3,BASE[CODCIE1010],ENOS_G1_TETANOS_NEONATAL[[#This Row],[CIE-10]]))</f>
        <v>0</v>
      </c>
      <c r="AF49" s="9">
        <f>SUM(ENOS_G1_TETANOS_NEONATAL[[#This Row],[D1]:[D6]])</f>
        <v>0</v>
      </c>
    </row>
    <row r="50" spans="1:32" s="2" customFormat="1"/>
    <row r="51" spans="1:32" ht="18" customHeight="1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87" t="s">
        <v>229</v>
      </c>
      <c r="Q51" s="88"/>
      <c r="R51" s="88"/>
      <c r="S51" s="88"/>
      <c r="T51" s="88"/>
      <c r="U51" s="88"/>
      <c r="V51" s="88"/>
      <c r="W51" s="88"/>
      <c r="X51" s="2"/>
      <c r="Y51" s="87" t="s">
        <v>230</v>
      </c>
      <c r="Z51" s="88"/>
      <c r="AA51" s="88"/>
      <c r="AB51" s="88"/>
      <c r="AC51" s="88"/>
      <c r="AD51" s="88"/>
      <c r="AE51" s="88"/>
      <c r="AF51" s="88"/>
    </row>
    <row r="52" spans="1:32" ht="18" customHeight="1" thickTop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 t="s">
        <v>77</v>
      </c>
      <c r="Q52" s="8" t="s">
        <v>78</v>
      </c>
      <c r="R52" s="8" t="s">
        <v>79</v>
      </c>
      <c r="S52" s="8" t="s">
        <v>80</v>
      </c>
      <c r="T52" s="8" t="s">
        <v>81</v>
      </c>
      <c r="U52" s="8" t="s">
        <v>82</v>
      </c>
      <c r="V52" s="8" t="s">
        <v>83</v>
      </c>
      <c r="W52" s="10" t="s">
        <v>84</v>
      </c>
      <c r="X52" s="2"/>
      <c r="Y52" s="2" t="s">
        <v>77</v>
      </c>
      <c r="Z52" s="8" t="s">
        <v>78</v>
      </c>
      <c r="AA52" s="8" t="s">
        <v>79</v>
      </c>
      <c r="AB52" s="8" t="s">
        <v>80</v>
      </c>
      <c r="AC52" s="8" t="s">
        <v>81</v>
      </c>
      <c r="AD52" s="8" t="s">
        <v>82</v>
      </c>
      <c r="AE52" s="8" t="s">
        <v>83</v>
      </c>
      <c r="AF52" s="10" t="s">
        <v>84</v>
      </c>
    </row>
    <row r="53" spans="1:32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1" t="s">
        <v>231</v>
      </c>
      <c r="Q53" s="8">
        <f>IF($O$3="(Todas)",COUNTIF(BASE[CODCIE10],ENOS_G1_PALUDISMO[[#This Row],[CIE-10]]),COUNTIFS(BASE[Cod.Establecimiento],$O$3,BASE[CODCIE10],ENOS_G1_PALUDISMO[[#This Row],[CIE-10]]))</f>
        <v>0</v>
      </c>
      <c r="R53" s="8">
        <f>IF($O$3="(Todas)",COUNTIF(BASE[CODCIE102],ENOS_G1_PALUDISMO[[#This Row],[CIE-10]]),COUNTIFS(BASE[Cod.Establecimiento],$O$3,BASE[CODCIE102],ENOS_G1_PALUDISMO[[#This Row],[CIE-10]]))</f>
        <v>0</v>
      </c>
      <c r="S53" s="8">
        <f>IF($O$3="(Todas)",COUNTIF(BASE[CODCIE104],ENOS_G1_PALUDISMO[[#This Row],[CIE-10]]),COUNTIFS(BASE[Cod.Establecimiento],$O$3,BASE[CODCIE104],ENOS_G1_PALUDISMO[[#This Row],[CIE-10]]))</f>
        <v>0</v>
      </c>
      <c r="T53" s="8">
        <f>IF($O$3="(Todas)",COUNTIF(BASE[CODCIE106],ENOS_G1_PALUDISMO[[#This Row],[CIE-10]]),COUNTIFS(BASE[Cod.Establecimiento],$O$3,BASE[CODCIE106],ENOS_G1_PALUDISMO[[#This Row],[CIE-10]]))</f>
        <v>0</v>
      </c>
      <c r="U53" s="8">
        <f>IF($O$3="(Todas)",COUNTIF(BASE[CODCIE108],ENOS_G1_PALUDISMO[[#This Row],[CIE-10]]),COUNTIFS(BASE[Cod.Establecimiento],$O$3,BASE[CODCIE108],ENOS_G1_PALUDISMO[[#This Row],[CIE-10]]))</f>
        <v>0</v>
      </c>
      <c r="V53" s="8">
        <f>IF($O$3="(Todas)",COUNTIF(BASE[CODCIE1010],ENOS_G1_PALUDISMO[[#This Row],[CIE-10]]),COUNTIFS(BASE[Cod.Establecimiento],$O$3,BASE[CODCIE1010],ENOS_G1_PALUDISMO[[#This Row],[CIE-10]]))</f>
        <v>0</v>
      </c>
      <c r="W53" s="9">
        <f>SUM(ENOS_G1_PALUDISMO[[#This Row],[D1]:[D6]])</f>
        <v>0</v>
      </c>
      <c r="X53" s="2"/>
      <c r="Y53" s="31" t="s">
        <v>232</v>
      </c>
      <c r="Z53" s="8">
        <f>IF($O$3="(Todas)",COUNTIF(BASE[CODCIE10],ENOS_G2_CONJUNTIVITIS_VIRAL[[#This Row],[CIE-10]]),COUNTIFS(BASE[Cod.Establecimiento],$O$3,BASE[CODCIE10],ENOS_G2_CONJUNTIVITIS_VIRAL[[#This Row],[CIE-10]]))</f>
        <v>0</v>
      </c>
      <c r="AA53" s="8">
        <f>IF($O$3="(Todas)",COUNTIF(BASE[CODCIE102],ENOS_G2_CONJUNTIVITIS_VIRAL[[#This Row],[CIE-10]]),COUNTIFS(BASE[Cod.Establecimiento],$O$3,BASE[CODCIE102],ENOS_G2_CONJUNTIVITIS_VIRAL[[#This Row],[CIE-10]]))</f>
        <v>0</v>
      </c>
      <c r="AB53" s="8">
        <f>IF($O$3="(Todas)",COUNTIF(BASE[CODCIE104],ENOS_G2_CONJUNTIVITIS_VIRAL[[#This Row],[CIE-10]]),COUNTIFS(BASE[Cod.Establecimiento],$O$3,BASE[CODCIE104],ENOS_G2_CONJUNTIVITIS_VIRAL[[#This Row],[CIE-10]]))</f>
        <v>0</v>
      </c>
      <c r="AC53" s="8">
        <f>IF($O$3="(Todas)",COUNTIF(BASE[CODCIE106],ENOS_G2_CONJUNTIVITIS_VIRAL[[#This Row],[CIE-10]]),COUNTIFS(BASE[Cod.Establecimiento],$O$3,BASE[CODCIE106],ENOS_G2_CONJUNTIVITIS_VIRAL[[#This Row],[CIE-10]]))</f>
        <v>0</v>
      </c>
      <c r="AD53" s="8">
        <f>IF($O$3="(Todas)",COUNTIF(BASE[CODCIE108],ENOS_G2_CONJUNTIVITIS_VIRAL[[#This Row],[CIE-10]]),COUNTIFS(BASE[Cod.Establecimiento],$O$3,BASE[CODCIE108],ENOS_G2_CONJUNTIVITIS_VIRAL[[#This Row],[CIE-10]]))</f>
        <v>0</v>
      </c>
      <c r="AE53" s="8">
        <f>IF($O$3="(Todas)",COUNTIF(BASE[CODCIE1010],ENOS_G2_CONJUNTIVITIS_VIRAL[[#This Row],[CIE-10]]),COUNTIFS(BASE[Cod.Establecimiento],$O$3,BASE[CODCIE1010],ENOS_G2_CONJUNTIVITIS_VIRAL[[#This Row],[CIE-10]]))</f>
        <v>0</v>
      </c>
      <c r="AF53" s="9">
        <f>SUM(ENOS_G2_CONJUNTIVITIS_VIRAL[[#This Row],[D1]:[D6]])</f>
        <v>0</v>
      </c>
    </row>
    <row r="54" spans="1:3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1" t="s">
        <v>233</v>
      </c>
      <c r="Q54" s="8">
        <f>IF($O$3="(Todas)",COUNTIF(BASE[CODCIE10],ENOS_G1_PALUDISMO[[#This Row],[CIE-10]]),COUNTIFS(BASE[Cod.Establecimiento],$O$3,BASE[CODCIE10],ENOS_G1_PALUDISMO[[#This Row],[CIE-10]]))</f>
        <v>0</v>
      </c>
      <c r="R54" s="8">
        <f>IF($O$3="(Todas)",COUNTIF(BASE[CODCIE102],ENOS_G1_PALUDISMO[[#This Row],[CIE-10]]),COUNTIFS(BASE[Cod.Establecimiento],$O$3,BASE[CODCIE102],ENOS_G1_PALUDISMO[[#This Row],[CIE-10]]))</f>
        <v>0</v>
      </c>
      <c r="S54" s="8">
        <f>IF($O$3="(Todas)",COUNTIF(BASE[CODCIE104],ENOS_G1_PALUDISMO[[#This Row],[CIE-10]]),COUNTIFS(BASE[Cod.Establecimiento],$O$3,BASE[CODCIE104],ENOS_G1_PALUDISMO[[#This Row],[CIE-10]]))</f>
        <v>0</v>
      </c>
      <c r="T54" s="8">
        <f>IF($O$3="(Todas)",COUNTIF(BASE[CODCIE106],ENOS_G1_PALUDISMO[[#This Row],[CIE-10]]),COUNTIFS(BASE[Cod.Establecimiento],$O$3,BASE[CODCIE106],ENOS_G1_PALUDISMO[[#This Row],[CIE-10]]))</f>
        <v>0</v>
      </c>
      <c r="U54" s="8">
        <f>IF($O$3="(Todas)",COUNTIF(BASE[CODCIE108],ENOS_G1_PALUDISMO[[#This Row],[CIE-10]]),COUNTIFS(BASE[Cod.Establecimiento],$O$3,BASE[CODCIE108],ENOS_G1_PALUDISMO[[#This Row],[CIE-10]]))</f>
        <v>0</v>
      </c>
      <c r="V54" s="8">
        <f>IF($O$3="(Todas)",COUNTIF(BASE[CODCIE1010],ENOS_G1_PALUDISMO[[#This Row],[CIE-10]]),COUNTIFS(BASE[Cod.Establecimiento],$O$3,BASE[CODCIE1010],ENOS_G1_PALUDISMO[[#This Row],[CIE-10]]))</f>
        <v>0</v>
      </c>
      <c r="W54" s="9">
        <f>SUM(ENOS_G1_PALUDISMO[[#This Row],[D1]:[D6]])</f>
        <v>0</v>
      </c>
      <c r="X54" s="2"/>
      <c r="Y54" s="2"/>
      <c r="Z54" s="2"/>
      <c r="AA54" s="2"/>
      <c r="AB54" s="2"/>
      <c r="AC54" s="2"/>
      <c r="AD54" s="2"/>
      <c r="AE54" s="2"/>
      <c r="AF54" s="2"/>
    </row>
    <row r="55" spans="1:32" s="2" customFormat="1">
      <c r="P55" s="31" t="s">
        <v>234</v>
      </c>
      <c r="Q55" s="8">
        <f>IF($O$3="(Todas)",COUNTIF(BASE[CODCIE10],ENOS_G1_PALUDISMO[[#This Row],[CIE-10]]),COUNTIFS(BASE[Cod.Establecimiento],$O$3,BASE[CODCIE10],ENOS_G1_PALUDISMO[[#This Row],[CIE-10]]))</f>
        <v>0</v>
      </c>
      <c r="R55" s="8">
        <f>IF($O$3="(Todas)",COUNTIF(BASE[CODCIE102],ENOS_G1_PALUDISMO[[#This Row],[CIE-10]]),COUNTIFS(BASE[Cod.Establecimiento],$O$3,BASE[CODCIE102],ENOS_G1_PALUDISMO[[#This Row],[CIE-10]]))</f>
        <v>0</v>
      </c>
      <c r="S55" s="8">
        <f>IF($O$3="(Todas)",COUNTIF(BASE[CODCIE104],ENOS_G1_PALUDISMO[[#This Row],[CIE-10]]),COUNTIFS(BASE[Cod.Establecimiento],$O$3,BASE[CODCIE104],ENOS_G1_PALUDISMO[[#This Row],[CIE-10]]))</f>
        <v>0</v>
      </c>
      <c r="T55" s="8">
        <f>IF($O$3="(Todas)",COUNTIF(BASE[CODCIE106],ENOS_G1_PALUDISMO[[#This Row],[CIE-10]]),COUNTIFS(BASE[Cod.Establecimiento],$O$3,BASE[CODCIE106],ENOS_G1_PALUDISMO[[#This Row],[CIE-10]]))</f>
        <v>0</v>
      </c>
      <c r="U55" s="8">
        <f>IF($O$3="(Todas)",COUNTIF(BASE[CODCIE108],ENOS_G1_PALUDISMO[[#This Row],[CIE-10]]),COUNTIFS(BASE[Cod.Establecimiento],$O$3,BASE[CODCIE108],ENOS_G1_PALUDISMO[[#This Row],[CIE-10]]))</f>
        <v>0</v>
      </c>
      <c r="V55" s="8">
        <f>IF($O$3="(Todas)",COUNTIF(BASE[CODCIE1010],ENOS_G1_PALUDISMO[[#This Row],[CIE-10]]),COUNTIFS(BASE[Cod.Establecimiento],$O$3,BASE[CODCIE1010],ENOS_G1_PALUDISMO[[#This Row],[CIE-10]]))</f>
        <v>0</v>
      </c>
      <c r="W55" s="9">
        <f>SUM(ENOS_G1_PALUDISMO[[#This Row],[D1]:[D6]])</f>
        <v>0</v>
      </c>
    </row>
    <row r="56" spans="1:32" s="2" customFormat="1">
      <c r="P56" s="31" t="s">
        <v>235</v>
      </c>
      <c r="Q56" s="8">
        <f>IF($O$3="(Todas)",COUNTIF(BASE[CODCIE10],ENOS_G1_PALUDISMO[[#This Row],[CIE-10]]),COUNTIFS(BASE[Cod.Establecimiento],$O$3,BASE[CODCIE10],ENOS_G1_PALUDISMO[[#This Row],[CIE-10]]))</f>
        <v>0</v>
      </c>
      <c r="R56" s="8">
        <f>IF($O$3="(Todas)",COUNTIF(BASE[CODCIE102],ENOS_G1_PALUDISMO[[#This Row],[CIE-10]]),COUNTIFS(BASE[Cod.Establecimiento],$O$3,BASE[CODCIE102],ENOS_G1_PALUDISMO[[#This Row],[CIE-10]]))</f>
        <v>0</v>
      </c>
      <c r="S56" s="8">
        <f>IF($O$3="(Todas)",COUNTIF(BASE[CODCIE104],ENOS_G1_PALUDISMO[[#This Row],[CIE-10]]),COUNTIFS(BASE[Cod.Establecimiento],$O$3,BASE[CODCIE104],ENOS_G1_PALUDISMO[[#This Row],[CIE-10]]))</f>
        <v>0</v>
      </c>
      <c r="T56" s="8">
        <f>IF($O$3="(Todas)",COUNTIF(BASE[CODCIE106],ENOS_G1_PALUDISMO[[#This Row],[CIE-10]]),COUNTIFS(BASE[Cod.Establecimiento],$O$3,BASE[CODCIE106],ENOS_G1_PALUDISMO[[#This Row],[CIE-10]]))</f>
        <v>0</v>
      </c>
      <c r="U56" s="8">
        <f>IF($O$3="(Todas)",COUNTIF(BASE[CODCIE108],ENOS_G1_PALUDISMO[[#This Row],[CIE-10]]),COUNTIFS(BASE[Cod.Establecimiento],$O$3,BASE[CODCIE108],ENOS_G1_PALUDISMO[[#This Row],[CIE-10]]))</f>
        <v>0</v>
      </c>
      <c r="V56" s="8">
        <f>IF($O$3="(Todas)",COUNTIF(BASE[CODCIE1010],ENOS_G1_PALUDISMO[[#This Row],[CIE-10]]),COUNTIFS(BASE[Cod.Establecimiento],$O$3,BASE[CODCIE1010],ENOS_G1_PALUDISMO[[#This Row],[CIE-10]]))</f>
        <v>0</v>
      </c>
      <c r="W56" s="9">
        <f>SUM(ENOS_G1_PALUDISMO[[#This Row],[D1]:[D6]])</f>
        <v>0</v>
      </c>
    </row>
    <row r="57" spans="1:32" s="2" customFormat="1">
      <c r="P57" s="31" t="s">
        <v>236</v>
      </c>
      <c r="Q57" s="8">
        <f>IF($O$3="(Todas)",COUNTIF(BASE[CODCIE10],ENOS_G1_PALUDISMO[[#This Row],[CIE-10]]),COUNTIFS(BASE[Cod.Establecimiento],$O$3,BASE[CODCIE10],ENOS_G1_PALUDISMO[[#This Row],[CIE-10]]))</f>
        <v>0</v>
      </c>
      <c r="R57" s="8">
        <f>IF($O$3="(Todas)",COUNTIF(BASE[CODCIE102],ENOS_G1_PALUDISMO[[#This Row],[CIE-10]]),COUNTIFS(BASE[Cod.Establecimiento],$O$3,BASE[CODCIE102],ENOS_G1_PALUDISMO[[#This Row],[CIE-10]]))</f>
        <v>0</v>
      </c>
      <c r="S57" s="8">
        <f>IF($O$3="(Todas)",COUNTIF(BASE[CODCIE104],ENOS_G1_PALUDISMO[[#This Row],[CIE-10]]),COUNTIFS(BASE[Cod.Establecimiento],$O$3,BASE[CODCIE104],ENOS_G1_PALUDISMO[[#This Row],[CIE-10]]))</f>
        <v>0</v>
      </c>
      <c r="T57" s="8">
        <f>IF($O$3="(Todas)",COUNTIF(BASE[CODCIE106],ENOS_G1_PALUDISMO[[#This Row],[CIE-10]]),COUNTIFS(BASE[Cod.Establecimiento],$O$3,BASE[CODCIE106],ENOS_G1_PALUDISMO[[#This Row],[CIE-10]]))</f>
        <v>0</v>
      </c>
      <c r="U57" s="8">
        <f>IF($O$3="(Todas)",COUNTIF(BASE[CODCIE108],ENOS_G1_PALUDISMO[[#This Row],[CIE-10]]),COUNTIFS(BASE[Cod.Establecimiento],$O$3,BASE[CODCIE108],ENOS_G1_PALUDISMO[[#This Row],[CIE-10]]))</f>
        <v>0</v>
      </c>
      <c r="V57" s="8">
        <f>IF($O$3="(Todas)",COUNTIF(BASE[CODCIE1010],ENOS_G1_PALUDISMO[[#This Row],[CIE-10]]),COUNTIFS(BASE[Cod.Establecimiento],$O$3,BASE[CODCIE1010],ENOS_G1_PALUDISMO[[#This Row],[CIE-10]]))</f>
        <v>0</v>
      </c>
      <c r="W57" s="9">
        <f>SUM(ENOS_G1_PALUDISMO[[#This Row],[D1]:[D6]])</f>
        <v>0</v>
      </c>
    </row>
    <row r="58" spans="1:3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8" customHeight="1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87" t="s">
        <v>237</v>
      </c>
      <c r="Q59" s="88"/>
      <c r="R59" s="88"/>
      <c r="S59" s="88"/>
      <c r="T59" s="88"/>
      <c r="U59" s="88"/>
      <c r="V59" s="88"/>
      <c r="W59" s="88"/>
      <c r="X59" s="2"/>
      <c r="Y59" s="87" t="s">
        <v>238</v>
      </c>
      <c r="Z59" s="88"/>
      <c r="AA59" s="88"/>
      <c r="AB59" s="88"/>
      <c r="AC59" s="88"/>
      <c r="AD59" s="88"/>
      <c r="AE59" s="88"/>
      <c r="AF59" s="88"/>
    </row>
    <row r="60" spans="1:32" ht="15.75" customHeight="1" thickTop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 t="s">
        <v>77</v>
      </c>
      <c r="Q60" s="8" t="s">
        <v>78</v>
      </c>
      <c r="R60" s="8" t="s">
        <v>79</v>
      </c>
      <c r="S60" s="8" t="s">
        <v>80</v>
      </c>
      <c r="T60" s="8" t="s">
        <v>81</v>
      </c>
      <c r="U60" s="8" t="s">
        <v>82</v>
      </c>
      <c r="V60" s="8" t="s">
        <v>83</v>
      </c>
      <c r="W60" s="10" t="s">
        <v>84</v>
      </c>
      <c r="X60" s="2"/>
      <c r="Y60" s="2" t="s">
        <v>77</v>
      </c>
      <c r="Z60" s="8" t="s">
        <v>78</v>
      </c>
      <c r="AA60" s="8" t="s">
        <v>79</v>
      </c>
      <c r="AB60" s="8" t="s">
        <v>80</v>
      </c>
      <c r="AC60" s="8" t="s">
        <v>81</v>
      </c>
      <c r="AD60" s="8" t="s">
        <v>82</v>
      </c>
      <c r="AE60" s="8" t="s">
        <v>83</v>
      </c>
      <c r="AF60" s="10" t="s">
        <v>84</v>
      </c>
    </row>
    <row r="61" spans="1:32" ht="1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1" t="s">
        <v>114</v>
      </c>
      <c r="Q61" s="8">
        <f>IF($O$3="(Todas)",COUNTIF(BASE[CODCIE10],ENOS_G2_PAROTIDITIS_INFECCIOSA_PAPERAS[[#This Row],[CIE-10]]),COUNTIFS(BASE[Cod.Establecimiento],$O$3,BASE[CODCIE10],ENOS_G2_PAROTIDITIS_INFECCIOSA_PAPERAS[[#This Row],[CIE-10]]))</f>
        <v>0</v>
      </c>
      <c r="R61" s="8">
        <f>IF($O$3="(Todas)",COUNTIF(BASE[CODCIE102],ENOS_G2_PAROTIDITIS_INFECCIOSA_PAPERAS[[#This Row],[CIE-10]]),COUNTIFS(BASE[Cod.Establecimiento],$O$3,BASE[CODCIE102],ENOS_G2_PAROTIDITIS_INFECCIOSA_PAPERAS[[#This Row],[CIE-10]]))</f>
        <v>0</v>
      </c>
      <c r="S61" s="8">
        <f>IF($O$3="(Todas)",COUNTIF(BASE[CODCIE104],ENOS_G2_PAROTIDITIS_INFECCIOSA_PAPERAS[[#This Row],[CIE-10]]),COUNTIFS(BASE[Cod.Establecimiento],$O$3,BASE[CODCIE104],ENOS_G2_PAROTIDITIS_INFECCIOSA_PAPERAS[[#This Row],[CIE-10]]))</f>
        <v>0</v>
      </c>
      <c r="T61" s="8">
        <f>IF($O$3="(Todas)",COUNTIF(BASE[CODCIE106],ENOS_G2_PAROTIDITIS_INFECCIOSA_PAPERAS[[#This Row],[CIE-10]]),COUNTIFS(BASE[Cod.Establecimiento],$O$3,BASE[CODCIE106],ENOS_G2_PAROTIDITIS_INFECCIOSA_PAPERAS[[#This Row],[CIE-10]]))</f>
        <v>0</v>
      </c>
      <c r="U61" s="8">
        <f>IF($O$3="(Todas)",COUNTIF(BASE[CODCIE108],ENOS_G2_PAROTIDITIS_INFECCIOSA_PAPERAS[[#This Row],[CIE-10]]),COUNTIFS(BASE[Cod.Establecimiento],$O$3,BASE[CODCIE108],ENOS_G2_PAROTIDITIS_INFECCIOSA_PAPERAS[[#This Row],[CIE-10]]))</f>
        <v>0</v>
      </c>
      <c r="V61" s="8">
        <f>IF($O$3="(Todas)",COUNTIF(BASE[CODCIE1010],ENOS_G2_PAROTIDITIS_INFECCIOSA_PAPERAS[[#This Row],[CIE-10]]),COUNTIFS(BASE[Cod.Establecimiento],$O$3,BASE[CODCIE1010],ENOS_G2_PAROTIDITIS_INFECCIOSA_PAPERAS[[#This Row],[CIE-10]]))</f>
        <v>0</v>
      </c>
      <c r="W61" s="9">
        <f>SUM(ENOS_G2_PAROTIDITIS_INFECCIOSA_PAPERAS[[#This Row],[D1]:[D6]])</f>
        <v>0</v>
      </c>
      <c r="X61" s="2"/>
      <c r="Y61" s="31" t="s">
        <v>131</v>
      </c>
      <c r="Z61" s="8">
        <f>IF($O$3="(Todas)",COUNTIF(BASE[CODCIE10],ENOS_G2_VARICELA[[#This Row],[CIE-10]]),COUNTIFS(BASE[Cod.Establecimiento],$O$3,BASE[CODCIE10],ENOS_G2_VARICELA[[#This Row],[CIE-10]]))</f>
        <v>0</v>
      </c>
      <c r="AA61" s="8">
        <f>IF($O$3="(Todas)",COUNTIF(BASE[CODCIE102],ENOS_G2_VARICELA[[#This Row],[CIE-10]]),COUNTIFS(BASE[Cod.Establecimiento],$O$3,BASE[CODCIE102],ENOS_G2_VARICELA[[#This Row],[CIE-10]]))</f>
        <v>0</v>
      </c>
      <c r="AB61" s="8">
        <f>IF($O$3="(Todas)",COUNTIF(BASE[CODCIE104],ENOS_G2_VARICELA[[#This Row],[CIE-10]]),COUNTIFS(BASE[Cod.Establecimiento],$O$3,BASE[CODCIE104],ENOS_G2_VARICELA[[#This Row],[CIE-10]]))</f>
        <v>0</v>
      </c>
      <c r="AC61" s="8">
        <f>IF($O$3="(Todas)",COUNTIF(BASE[CODCIE106],ENOS_G2_VARICELA[[#This Row],[CIE-10]]),COUNTIFS(BASE[Cod.Establecimiento],$O$3,BASE[CODCIE106],ENOS_G2_VARICELA[[#This Row],[CIE-10]]))</f>
        <v>0</v>
      </c>
      <c r="AD61" s="8">
        <f>IF($O$3="(Todas)",COUNTIF(BASE[CODCIE108],ENOS_G2_VARICELA[[#This Row],[CIE-10]]),COUNTIFS(BASE[Cod.Establecimiento],$O$3,BASE[CODCIE108],ENOS_G2_VARICELA[[#This Row],[CIE-10]]))</f>
        <v>0</v>
      </c>
      <c r="AE61" s="8">
        <f>IF($O$3="(Todas)",COUNTIF(BASE[CODCIE1010],ENOS_G2_VARICELA[[#This Row],[CIE-10]]),COUNTIFS(BASE[Cod.Establecimiento],$O$3,BASE[CODCIE1010],ENOS_G2_VARICELA[[#This Row],[CIE-10]]))</f>
        <v>0</v>
      </c>
      <c r="AF61" s="9">
        <f>SUM(ENOS_G2_VARICELA[[#This Row],[D1]:[D6]])</f>
        <v>0</v>
      </c>
    </row>
    <row r="62" spans="1:3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32" ht="18" customHeight="1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87" t="s">
        <v>239</v>
      </c>
      <c r="Q63" s="88"/>
      <c r="R63" s="88"/>
      <c r="S63" s="88"/>
      <c r="T63" s="88"/>
      <c r="U63" s="88"/>
      <c r="V63" s="88"/>
      <c r="W63" s="88"/>
      <c r="X63" s="2"/>
      <c r="Y63" s="87" t="s">
        <v>240</v>
      </c>
      <c r="Z63" s="88"/>
      <c r="AA63" s="88"/>
      <c r="AB63" s="88"/>
      <c r="AC63" s="88"/>
      <c r="AD63" s="88"/>
      <c r="AE63" s="88"/>
      <c r="AF63" s="88"/>
    </row>
    <row r="64" spans="1:32" ht="15.75" customHeight="1" thickTop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 t="s">
        <v>77</v>
      </c>
      <c r="Q64" s="8" t="s">
        <v>78</v>
      </c>
      <c r="R64" s="8" t="s">
        <v>79</v>
      </c>
      <c r="S64" s="8" t="s">
        <v>80</v>
      </c>
      <c r="T64" s="8" t="s">
        <v>81</v>
      </c>
      <c r="U64" s="8" t="s">
        <v>82</v>
      </c>
      <c r="V64" s="8" t="s">
        <v>83</v>
      </c>
      <c r="W64" s="10" t="s">
        <v>84</v>
      </c>
      <c r="X64" s="2"/>
      <c r="Y64" s="2" t="s">
        <v>77</v>
      </c>
      <c r="Z64" s="8" t="s">
        <v>78</v>
      </c>
      <c r="AA64" s="8" t="s">
        <v>79</v>
      </c>
      <c r="AB64" s="8" t="s">
        <v>80</v>
      </c>
      <c r="AC64" s="8" t="s">
        <v>81</v>
      </c>
      <c r="AD64" s="8" t="s">
        <v>82</v>
      </c>
      <c r="AE64" s="8" t="s">
        <v>83</v>
      </c>
      <c r="AF64" s="10" t="s">
        <v>84</v>
      </c>
    </row>
    <row r="65" spans="1:3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31" t="s">
        <v>241</v>
      </c>
      <c r="Q65" s="8">
        <f>IF($O$3="(Todas)",COUNTIF(BASE[CODCIE10],ENOS_G2_HEPATITIS_A[[#This Row],[CIE-10]]),COUNTIFS(BASE[Cod.Establecimiento],$O$3,BASE[CODCIE10],ENOS_G2_HEPATITIS_A[[#This Row],[CIE-10]]))</f>
        <v>0</v>
      </c>
      <c r="R65" s="8">
        <f>IF($O$3="(Todas)",COUNTIF(BASE[CODCIE102],ENOS_G2_HEPATITIS_A[[#This Row],[CIE-10]]),COUNTIFS(BASE[Cod.Establecimiento],$O$3,BASE[CODCIE102],ENOS_G2_HEPATITIS_A[[#This Row],[CIE-10]]))</f>
        <v>0</v>
      </c>
      <c r="S65" s="8">
        <f>IF($O$3="(Todas)",COUNTIF(BASE[CODCIE104],ENOS_G2_HEPATITIS_A[[#This Row],[CIE-10]]),COUNTIFS(BASE[Cod.Establecimiento],$O$3,BASE[CODCIE104],ENOS_G2_HEPATITIS_A[[#This Row],[CIE-10]]))</f>
        <v>0</v>
      </c>
      <c r="T65" s="8">
        <f>IF($O$3="(Todas)",COUNTIF(BASE[CODCIE106],ENOS_G2_HEPATITIS_A[[#This Row],[CIE-10]]),COUNTIFS(BASE[Cod.Establecimiento],$O$3,BASE[CODCIE106],ENOS_G2_HEPATITIS_A[[#This Row],[CIE-10]]))</f>
        <v>0</v>
      </c>
      <c r="U65" s="8">
        <f>IF($O$3="(Todas)",COUNTIF(BASE[CODCIE108],ENOS_G2_HEPATITIS_A[[#This Row],[CIE-10]]),COUNTIFS(BASE[Cod.Establecimiento],$O$3,BASE[CODCIE108],ENOS_G2_HEPATITIS_A[[#This Row],[CIE-10]]))</f>
        <v>0</v>
      </c>
      <c r="V65" s="8">
        <f>IF($O$3="(Todas)",COUNTIF(BASE[CODCIE1010],ENOS_G2_HEPATITIS_A[[#This Row],[CIE-10]]),COUNTIFS(BASE[Cod.Establecimiento],$O$3,BASE[CODCIE1010],ENOS_G2_HEPATITIS_A[[#This Row],[CIE-10]]))</f>
        <v>0</v>
      </c>
      <c r="W65" s="9">
        <f>SUM(ENOS_G2_HEPATITIS_A[[#This Row],[D1]:[D6]])</f>
        <v>0</v>
      </c>
      <c r="X65" s="2"/>
      <c r="Y65" s="31" t="s">
        <v>242</v>
      </c>
      <c r="Z65" s="8">
        <f>IF($O$3="(Todas)",COUNTIF(BASE[CODCIE10],ENOS_G2_HEPATITIS_VIRAL_SIN_OTRA_ESPECIFIACION[[#This Row],[CIE-10]]),COUNTIFS(BASE[Cod.Establecimiento],$O$3,BASE[CODCIE10],ENOS_G2_HEPATITIS_VIRAL_SIN_OTRA_ESPECIFIACION[[#This Row],[CIE-10]]))</f>
        <v>0</v>
      </c>
      <c r="AA65" s="8">
        <f>IF($O$3="(Todas)",COUNTIF(BASE[CODCIE102],ENOS_G2_HEPATITIS_VIRAL_SIN_OTRA_ESPECIFIACION[[#This Row],[CIE-10]]),COUNTIFS(BASE[Cod.Establecimiento],$O$3,BASE[CODCIE102],ENOS_G2_HEPATITIS_VIRAL_SIN_OTRA_ESPECIFIACION[[#This Row],[CIE-10]]))</f>
        <v>0</v>
      </c>
      <c r="AB65" s="8">
        <f>IF($O$3="(Todas)",COUNTIF(BASE[CODCIE104],ENOS_G2_HEPATITIS_VIRAL_SIN_OTRA_ESPECIFIACION[[#This Row],[CIE-10]]),COUNTIFS(BASE[Cod.Establecimiento],$O$3,BASE[CODCIE104],ENOS_G2_HEPATITIS_VIRAL_SIN_OTRA_ESPECIFIACION[[#This Row],[CIE-10]]))</f>
        <v>0</v>
      </c>
      <c r="AC65" s="8">
        <f>IF($O$3="(Todas)",COUNTIF(BASE[CODCIE106],ENOS_G2_HEPATITIS_VIRAL_SIN_OTRA_ESPECIFIACION[[#This Row],[CIE-10]]),COUNTIFS(BASE[Cod.Establecimiento],$O$3,BASE[CODCIE106],ENOS_G2_HEPATITIS_VIRAL_SIN_OTRA_ESPECIFIACION[[#This Row],[CIE-10]]))</f>
        <v>0</v>
      </c>
      <c r="AD65" s="8">
        <f>IF($O$3="(Todas)",COUNTIF(BASE[CODCIE108],ENOS_G2_HEPATITIS_VIRAL_SIN_OTRA_ESPECIFIACION[[#This Row],[CIE-10]]),COUNTIFS(BASE[Cod.Establecimiento],$O$3,BASE[CODCIE108],ENOS_G2_HEPATITIS_VIRAL_SIN_OTRA_ESPECIFIACION[[#This Row],[CIE-10]]))</f>
        <v>0</v>
      </c>
      <c r="AE65" s="8">
        <f>IF($O$3="(Todas)",COUNTIF(BASE[CODCIE1010],ENOS_G2_HEPATITIS_VIRAL_SIN_OTRA_ESPECIFIACION[[#This Row],[CIE-10]]),COUNTIFS(BASE[Cod.Establecimiento],$O$3,BASE[CODCIE1010],ENOS_G2_HEPATITIS_VIRAL_SIN_OTRA_ESPECIFIACION[[#This Row],[CIE-10]]))</f>
        <v>0</v>
      </c>
      <c r="AF65" s="9">
        <f>SUM(ENOS_G2_HEPATITIS_VIRAL_SIN_OTRA_ESPECIFIACION[[#This Row],[D1]:[D6]])</f>
        <v>0</v>
      </c>
    </row>
    <row r="66" spans="1:3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32" ht="18" customHeight="1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87" t="s">
        <v>243</v>
      </c>
      <c r="Q67" s="88"/>
      <c r="R67" s="88"/>
      <c r="S67" s="88"/>
      <c r="T67" s="88"/>
      <c r="U67" s="88"/>
      <c r="V67" s="88"/>
      <c r="W67" s="88"/>
      <c r="X67" s="2"/>
      <c r="Y67" s="87" t="s">
        <v>244</v>
      </c>
      <c r="Z67" s="88"/>
      <c r="AA67" s="88"/>
      <c r="AB67" s="88"/>
      <c r="AC67" s="88"/>
      <c r="AD67" s="88"/>
      <c r="AE67" s="88"/>
      <c r="AF67" s="88"/>
    </row>
    <row r="68" spans="1:32" ht="15.75" customHeight="1" thickTop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 t="s">
        <v>77</v>
      </c>
      <c r="Q68" s="8" t="s">
        <v>78</v>
      </c>
      <c r="R68" s="8" t="s">
        <v>79</v>
      </c>
      <c r="S68" s="8" t="s">
        <v>80</v>
      </c>
      <c r="T68" s="8" t="s">
        <v>81</v>
      </c>
      <c r="U68" s="8" t="s">
        <v>82</v>
      </c>
      <c r="V68" s="8" t="s">
        <v>83</v>
      </c>
      <c r="W68" s="10" t="s">
        <v>84</v>
      </c>
      <c r="X68" s="2"/>
      <c r="Y68" s="2" t="s">
        <v>77</v>
      </c>
      <c r="Z68" s="8" t="s">
        <v>78</v>
      </c>
      <c r="AA68" s="8" t="s">
        <v>79</v>
      </c>
      <c r="AB68" s="8" t="s">
        <v>80</v>
      </c>
      <c r="AC68" s="8" t="s">
        <v>81</v>
      </c>
      <c r="AD68" s="8" t="s">
        <v>82</v>
      </c>
      <c r="AE68" s="8" t="s">
        <v>83</v>
      </c>
      <c r="AF68" s="10" t="s">
        <v>84</v>
      </c>
    </row>
    <row r="69" spans="1:32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1" t="s">
        <v>245</v>
      </c>
      <c r="Q69" s="8">
        <f>IF($O$3="(Todas)",COUNTIF(BASE[CODCIE10],ENOS_G2_ETA[[#This Row],[CIE-10]]),COUNTIFS(BASE[Cod.Establecimiento],$O$3,BASE[CODCIE10],ENOS_G2_ETA[[#This Row],[CIE-10]]))</f>
        <v>0</v>
      </c>
      <c r="R69" s="8">
        <f>IF($O$3="(Todas)",COUNTIF(BASE[CODCIE102],ENOS_G2_ETA[[#This Row],[CIE-10]]),COUNTIFS(BASE[Cod.Establecimiento],$O$3,BASE[CODCIE102],ENOS_G2_ETA[[#This Row],[CIE-10]]))</f>
        <v>0</v>
      </c>
      <c r="S69" s="8">
        <f>IF($O$3="(Todas)",COUNTIF(BASE[CODCIE104],ENOS_G2_ETA[[#This Row],[CIE-10]]),COUNTIFS(BASE[Cod.Establecimiento],$O$3,BASE[CODCIE104],ENOS_G2_ETA[[#This Row],[CIE-10]]))</f>
        <v>0</v>
      </c>
      <c r="T69" s="8">
        <f>IF($O$3="(Todas)",COUNTIF(BASE[CODCIE106],ENOS_G2_ETA[[#This Row],[CIE-10]]),COUNTIFS(BASE[Cod.Establecimiento],$O$3,BASE[CODCIE106],ENOS_G2_ETA[[#This Row],[CIE-10]]))</f>
        <v>0</v>
      </c>
      <c r="U69" s="8">
        <f>IF($O$3="(Todas)",COUNTIF(BASE[CODCIE108],ENOS_G2_ETA[[#This Row],[CIE-10]]),COUNTIFS(BASE[Cod.Establecimiento],$O$3,BASE[CODCIE108],ENOS_G2_ETA[[#This Row],[CIE-10]]))</f>
        <v>0</v>
      </c>
      <c r="V69" s="8">
        <f>IF($O$3="(Todas)",COUNTIF(BASE[CODCIE1010],ENOS_G2_ETA[[#This Row],[CIE-10]]),COUNTIFS(BASE[Cod.Establecimiento],$O$3,BASE[CODCIE1010],ENOS_G2_ETA[[#This Row],[CIE-10]]))</f>
        <v>0</v>
      </c>
      <c r="W69" s="9">
        <f>SUM(ENOS_G2_ETA[[#This Row],[D1]:[D6]])</f>
        <v>0</v>
      </c>
      <c r="X69" s="2"/>
      <c r="Y69" s="31" t="s">
        <v>246</v>
      </c>
      <c r="Z69" s="8">
        <f>IF($O$3="(Todas)",COUNTIF(BASE[CODCIE10],ENOS_G2_SIFILIS_CONGENITA[[#This Row],[CIE-10]]),COUNTIFS(BASE[Cod.Establecimiento],$O$3,BASE[CODCIE10],ENOS_G2_SIFILIS_CONGENITA[[#This Row],[CIE-10]]))</f>
        <v>0</v>
      </c>
      <c r="AA69" s="8">
        <f>IF($O$3="(Todas)",COUNTIF(BASE[CODCIE102],ENOS_G2_SIFILIS_CONGENITA[[#This Row],[CIE-10]]),COUNTIFS(BASE[Cod.Establecimiento],$O$3,BASE[CODCIE102],ENOS_G2_SIFILIS_CONGENITA[[#This Row],[CIE-10]]))</f>
        <v>0</v>
      </c>
      <c r="AB69" s="8">
        <f>IF($O$3="(Todas)",COUNTIF(BASE[CODCIE104],ENOS_G2_SIFILIS_CONGENITA[[#This Row],[CIE-10]]),COUNTIFS(BASE[Cod.Establecimiento],$O$3,BASE[CODCIE104],ENOS_G2_SIFILIS_CONGENITA[[#This Row],[CIE-10]]))</f>
        <v>0</v>
      </c>
      <c r="AC69" s="8">
        <f>IF($O$3="(Todas)",COUNTIF(BASE[CODCIE106],ENOS_G2_SIFILIS_CONGENITA[[#This Row],[CIE-10]]),COUNTIFS(BASE[Cod.Establecimiento],$O$3,BASE[CODCIE106],ENOS_G2_SIFILIS_CONGENITA[[#This Row],[CIE-10]]))</f>
        <v>0</v>
      </c>
      <c r="AD69" s="8">
        <f>IF($O$3="(Todas)",COUNTIF(BASE[CODCIE108],ENOS_G2_SIFILIS_CONGENITA[[#This Row],[CIE-10]]),COUNTIFS(BASE[Cod.Establecimiento],$O$3,BASE[CODCIE108],ENOS_G2_SIFILIS_CONGENITA[[#This Row],[CIE-10]]))</f>
        <v>0</v>
      </c>
      <c r="AE69" s="8">
        <f>IF($O$3="(Todas)",COUNTIF(BASE[CODCIE1010],ENOS_G2_SIFILIS_CONGENITA[[#This Row],[CIE-10]]),COUNTIFS(BASE[Cod.Establecimiento],$O$3,BASE[CODCIE1010],ENOS_G2_SIFILIS_CONGENITA[[#This Row],[CIE-10]]))</f>
        <v>0</v>
      </c>
      <c r="AF69" s="9">
        <f>SUM(ENOS_G2_SIFILIS_CONGENITA[[#This Row],[D1]:[D6]])</f>
        <v>0</v>
      </c>
    </row>
    <row r="70" spans="1:32" s="2" customFormat="1" ht="15.75" customHeight="1"/>
    <row r="71" spans="1:32" s="2" customFormat="1" ht="15.75" customHeight="1" thickBot="1">
      <c r="P71" s="87" t="s">
        <v>247</v>
      </c>
      <c r="Q71" s="88"/>
      <c r="R71" s="88"/>
      <c r="S71" s="88"/>
      <c r="T71" s="88"/>
      <c r="U71" s="88"/>
      <c r="V71" s="88"/>
      <c r="W71" s="88"/>
      <c r="Y71" s="87" t="s">
        <v>248</v>
      </c>
      <c r="Z71" s="88"/>
      <c r="AA71" s="88"/>
      <c r="AB71" s="88"/>
      <c r="AC71" s="88"/>
      <c r="AD71" s="88"/>
      <c r="AE71" s="88"/>
      <c r="AF71" s="88"/>
    </row>
    <row r="72" spans="1:32" s="2" customFormat="1" ht="15.75" customHeight="1" thickTop="1">
      <c r="P72" s="2" t="s">
        <v>77</v>
      </c>
      <c r="Q72" s="8" t="s">
        <v>78</v>
      </c>
      <c r="R72" s="8" t="s">
        <v>79</v>
      </c>
      <c r="S72" s="8" t="s">
        <v>80</v>
      </c>
      <c r="T72" s="8" t="s">
        <v>81</v>
      </c>
      <c r="U72" s="8" t="s">
        <v>82</v>
      </c>
      <c r="V72" s="8" t="s">
        <v>83</v>
      </c>
      <c r="W72" s="10" t="s">
        <v>84</v>
      </c>
      <c r="Y72" s="2" t="s">
        <v>77</v>
      </c>
      <c r="Z72" s="8" t="s">
        <v>78</v>
      </c>
      <c r="AA72" s="8" t="s">
        <v>79</v>
      </c>
      <c r="AB72" s="8" t="s">
        <v>80</v>
      </c>
      <c r="AC72" s="8" t="s">
        <v>81</v>
      </c>
      <c r="AD72" s="8" t="s">
        <v>82</v>
      </c>
      <c r="AE72" s="8" t="s">
        <v>83</v>
      </c>
      <c r="AF72" s="10" t="s">
        <v>84</v>
      </c>
    </row>
    <row r="73" spans="1:32" s="2" customFormat="1" ht="15.75" customHeight="1">
      <c r="P73" s="31" t="s">
        <v>188</v>
      </c>
      <c r="Q73" s="8">
        <f>IF($O$3="(Todas)",COUNTIF(BASE[CODCIE10],ENOS_G2_SIFILIS_EMBARAZADA[[#This Row],[CIE-10]]),COUNTIFS(BASE[Cod.Establecimiento],$O$3,BASE[CODCIE10],ENOS_G2_SIFILIS_EMBARAZADA[[#This Row],[CIE-10]]))</f>
        <v>0</v>
      </c>
      <c r="R73" s="8">
        <f>IF($O$3="(Todas)",COUNTIF(BASE[CODCIE102],ENOS_G2_SIFILIS_EMBARAZADA[[#This Row],[CIE-10]]),COUNTIFS(BASE[Cod.Establecimiento],$O$3,BASE[CODCIE102],ENOS_G2_SIFILIS_EMBARAZADA[[#This Row],[CIE-10]]))</f>
        <v>0</v>
      </c>
      <c r="S73" s="8">
        <f>IF($O$3="(Todas)",COUNTIF(BASE[CODCIE104],ENOS_G2_SIFILIS_EMBARAZADA[[#This Row],[CIE-10]]),COUNTIFS(BASE[Cod.Establecimiento],$O$3,BASE[CODCIE104],ENOS_G2_SIFILIS_EMBARAZADA[[#This Row],[CIE-10]]))</f>
        <v>0</v>
      </c>
      <c r="T73" s="8">
        <f>IF($O$3="(Todas)",COUNTIF(BASE[CODCIE106],ENOS_G2_SIFILIS_EMBARAZADA[[#This Row],[CIE-10]]),COUNTIFS(BASE[Cod.Establecimiento],$O$3,BASE[CODCIE106],ENOS_G2_SIFILIS_EMBARAZADA[[#This Row],[CIE-10]]))</f>
        <v>0</v>
      </c>
      <c r="U73" s="8">
        <f>IF($O$3="(Todas)",COUNTIF(BASE[CODCIE108],ENOS_G2_SIFILIS_EMBARAZADA[[#This Row],[CIE-10]]),COUNTIFS(BASE[Cod.Establecimiento],$O$3,BASE[CODCIE108],ENOS_G2_SIFILIS_EMBARAZADA[[#This Row],[CIE-10]]))</f>
        <v>0</v>
      </c>
      <c r="V73" s="8">
        <f>IF($O$3="(Todas)",COUNTIF(BASE[CODCIE1010],ENOS_G2_SIFILIS_EMBARAZADA[[#This Row],[CIE-10]]),COUNTIFS(BASE[Cod.Establecimiento],$O$3,BASE[CODCIE1010],ENOS_G2_SIFILIS_EMBARAZADA[[#This Row],[CIE-10]]))</f>
        <v>0</v>
      </c>
      <c r="W73" s="9">
        <f>SUM(ENOS_G2_SIFILIS_EMBARAZADA[[#This Row],[D1]:[D6]])</f>
        <v>0</v>
      </c>
      <c r="Y73" s="31" t="s">
        <v>249</v>
      </c>
      <c r="Z73" s="8">
        <f>IF($O$3="(Todas)",COUNTIF(BASE[CODCIE10],ENOS_G2_SIFILIS_TODOS_LOS_CASOS[[#This Row],[CIE-10]]),COUNTIFS(BASE[Cod.Establecimiento],$O$3,BASE[CODCIE10],ENOS_G2_SIFILIS_TODOS_LOS_CASOS[[#This Row],[CIE-10]]))</f>
        <v>0</v>
      </c>
      <c r="AA73" s="8">
        <f>IF($O$3="(Todas)",COUNTIF(BASE[CODCIE102],ENOS_G2_SIFILIS_TODOS_LOS_CASOS[[#This Row],[CIE-10]]),COUNTIFS(BASE[Cod.Establecimiento],$O$3,BASE[CODCIE102],ENOS_G2_SIFILIS_TODOS_LOS_CASOS[[#This Row],[CIE-10]]))</f>
        <v>0</v>
      </c>
      <c r="AB73" s="8">
        <f>IF($O$3="(Todas)",COUNTIF(BASE[CODCIE104],ENOS_G2_SIFILIS_TODOS_LOS_CASOS[[#This Row],[CIE-10]]),COUNTIFS(BASE[Cod.Establecimiento],$O$3,BASE[CODCIE104],ENOS_G2_SIFILIS_TODOS_LOS_CASOS[[#This Row],[CIE-10]]))</f>
        <v>0</v>
      </c>
      <c r="AC73" s="8">
        <f>IF($O$3="(Todas)",COUNTIF(BASE[CODCIE106],ENOS_G2_SIFILIS_TODOS_LOS_CASOS[[#This Row],[CIE-10]]),COUNTIFS(BASE[Cod.Establecimiento],$O$3,BASE[CODCIE106],ENOS_G2_SIFILIS_TODOS_LOS_CASOS[[#This Row],[CIE-10]]))</f>
        <v>0</v>
      </c>
      <c r="AD73" s="8">
        <f>IF($O$3="(Todas)",COUNTIF(BASE[CODCIE108],ENOS_G2_SIFILIS_TODOS_LOS_CASOS[[#This Row],[CIE-10]]),COUNTIFS(BASE[Cod.Establecimiento],$O$3,BASE[CODCIE108],ENOS_G2_SIFILIS_TODOS_LOS_CASOS[[#This Row],[CIE-10]]))</f>
        <v>0</v>
      </c>
      <c r="AE73" s="8">
        <f>IF($O$3="(Todas)",COUNTIF(BASE[CODCIE1010],ENOS_G2_SIFILIS_TODOS_LOS_CASOS[[#This Row],[CIE-10]]),COUNTIFS(BASE[Cod.Establecimiento],$O$3,BASE[CODCIE1010],ENOS_G2_SIFILIS_TODOS_LOS_CASOS[[#This Row],[CIE-10]]))</f>
        <v>0</v>
      </c>
      <c r="AF73" s="9">
        <f>SUM(ENOS_G2_SIFILIS_TODOS_LOS_CASOS[[#This Row],[D1]:[D6]])</f>
        <v>0</v>
      </c>
    </row>
    <row r="74" spans="1:32" s="2" customFormat="1" ht="15.75" customHeight="1">
      <c r="Y74" s="31" t="s">
        <v>250</v>
      </c>
      <c r="Z74" s="8">
        <f>IF($O$3="(Todas)",COUNTIF(BASE[CODCIE10],ENOS_G2_SIFILIS_TODOS_LOS_CASOS[[#This Row],[CIE-10]]),COUNTIFS(BASE[Cod.Establecimiento],$O$3,BASE[CODCIE10],ENOS_G2_SIFILIS_TODOS_LOS_CASOS[[#This Row],[CIE-10]]))</f>
        <v>0</v>
      </c>
      <c r="AA74" s="8">
        <f>IF($O$3="(Todas)",COUNTIF(BASE[CODCIE102],ENOS_G2_SIFILIS_TODOS_LOS_CASOS[[#This Row],[CIE-10]]),COUNTIFS(BASE[Cod.Establecimiento],$O$3,BASE[CODCIE102],ENOS_G2_SIFILIS_TODOS_LOS_CASOS[[#This Row],[CIE-10]]))</f>
        <v>0</v>
      </c>
      <c r="AB74" s="8">
        <f>IF($O$3="(Todas)",COUNTIF(BASE[CODCIE104],ENOS_G2_SIFILIS_TODOS_LOS_CASOS[[#This Row],[CIE-10]]),COUNTIFS(BASE[Cod.Establecimiento],$O$3,BASE[CODCIE104],ENOS_G2_SIFILIS_TODOS_LOS_CASOS[[#This Row],[CIE-10]]))</f>
        <v>0</v>
      </c>
      <c r="AC74" s="8">
        <f>IF($O$3="(Todas)",COUNTIF(BASE[CODCIE106],ENOS_G2_SIFILIS_TODOS_LOS_CASOS[[#This Row],[CIE-10]]),COUNTIFS(BASE[Cod.Establecimiento],$O$3,BASE[CODCIE106],ENOS_G2_SIFILIS_TODOS_LOS_CASOS[[#This Row],[CIE-10]]))</f>
        <v>0</v>
      </c>
      <c r="AD74" s="8">
        <f>IF($O$3="(Todas)",COUNTIF(BASE[CODCIE108],ENOS_G2_SIFILIS_TODOS_LOS_CASOS[[#This Row],[CIE-10]]),COUNTIFS(BASE[Cod.Establecimiento],$O$3,BASE[CODCIE108],ENOS_G2_SIFILIS_TODOS_LOS_CASOS[[#This Row],[CIE-10]]))</f>
        <v>0</v>
      </c>
      <c r="AE74" s="8">
        <f>IF($O$3="(Todas)",COUNTIF(BASE[CODCIE1010],ENOS_G2_SIFILIS_TODOS_LOS_CASOS[[#This Row],[CIE-10]]),COUNTIFS(BASE[Cod.Establecimiento],$O$3,BASE[CODCIE1010],ENOS_G2_SIFILIS_TODOS_LOS_CASOS[[#This Row],[CIE-10]]))</f>
        <v>0</v>
      </c>
      <c r="AF74" s="9">
        <f>SUM(ENOS_G2_SIFILIS_TODOS_LOS_CASOS[[#This Row],[D1]:[D6]])</f>
        <v>0</v>
      </c>
    </row>
    <row r="75" spans="1:32" s="2" customFormat="1" ht="15.75" customHeight="1">
      <c r="Y75" s="31" t="s">
        <v>251</v>
      </c>
      <c r="Z75" s="8">
        <f>IF($O$3="(Todas)",COUNTIF(BASE[CODCIE10],ENOS_G2_SIFILIS_TODOS_LOS_CASOS[[#This Row],[CIE-10]]),COUNTIFS(BASE[Cod.Establecimiento],$O$3,BASE[CODCIE10],ENOS_G2_SIFILIS_TODOS_LOS_CASOS[[#This Row],[CIE-10]]))</f>
        <v>0</v>
      </c>
      <c r="AA75" s="8">
        <f>IF($O$3="(Todas)",COUNTIF(BASE[CODCIE102],ENOS_G2_SIFILIS_TODOS_LOS_CASOS[[#This Row],[CIE-10]]),COUNTIFS(BASE[Cod.Establecimiento],$O$3,BASE[CODCIE102],ENOS_G2_SIFILIS_TODOS_LOS_CASOS[[#This Row],[CIE-10]]))</f>
        <v>0</v>
      </c>
      <c r="AB75" s="8">
        <f>IF($O$3="(Todas)",COUNTIF(BASE[CODCIE104],ENOS_G2_SIFILIS_TODOS_LOS_CASOS[[#This Row],[CIE-10]]),COUNTIFS(BASE[Cod.Establecimiento],$O$3,BASE[CODCIE104],ENOS_G2_SIFILIS_TODOS_LOS_CASOS[[#This Row],[CIE-10]]))</f>
        <v>0</v>
      </c>
      <c r="AC75" s="8">
        <f>IF($O$3="(Todas)",COUNTIF(BASE[CODCIE106],ENOS_G2_SIFILIS_TODOS_LOS_CASOS[[#This Row],[CIE-10]]),COUNTIFS(BASE[Cod.Establecimiento],$O$3,BASE[CODCIE106],ENOS_G2_SIFILIS_TODOS_LOS_CASOS[[#This Row],[CIE-10]]))</f>
        <v>0</v>
      </c>
      <c r="AD75" s="8">
        <f>IF($O$3="(Todas)",COUNTIF(BASE[CODCIE108],ENOS_G2_SIFILIS_TODOS_LOS_CASOS[[#This Row],[CIE-10]]),COUNTIFS(BASE[Cod.Establecimiento],$O$3,BASE[CODCIE108],ENOS_G2_SIFILIS_TODOS_LOS_CASOS[[#This Row],[CIE-10]]))</f>
        <v>0</v>
      </c>
      <c r="AE75" s="8">
        <f>IF($O$3="(Todas)",COUNTIF(BASE[CODCIE1010],ENOS_G2_SIFILIS_TODOS_LOS_CASOS[[#This Row],[CIE-10]]),COUNTIFS(BASE[Cod.Establecimiento],$O$3,BASE[CODCIE1010],ENOS_G2_SIFILIS_TODOS_LOS_CASOS[[#This Row],[CIE-10]]))</f>
        <v>0</v>
      </c>
      <c r="AF75" s="9">
        <f>SUM(ENOS_G2_SIFILIS_TODOS_LOS_CASOS[[#This Row],[D1]:[D6]])</f>
        <v>0</v>
      </c>
    </row>
    <row r="76" spans="1:32" s="2" customFormat="1" ht="15.75" customHeight="1"/>
    <row r="77" spans="1:32" s="2" customFormat="1" ht="15.75" customHeight="1" thickBot="1">
      <c r="P77" s="87" t="s">
        <v>252</v>
      </c>
      <c r="Q77" s="88"/>
      <c r="R77" s="88"/>
      <c r="S77" s="88"/>
      <c r="T77" s="88"/>
      <c r="U77" s="88"/>
      <c r="V77" s="88"/>
      <c r="W77" s="88"/>
    </row>
    <row r="78" spans="1:32" s="2" customFormat="1" ht="15.75" customHeight="1" thickTop="1">
      <c r="P78" s="2" t="s">
        <v>77</v>
      </c>
      <c r="Q78" s="8" t="s">
        <v>78</v>
      </c>
      <c r="R78" s="8" t="s">
        <v>79</v>
      </c>
      <c r="S78" s="8" t="s">
        <v>80</v>
      </c>
      <c r="T78" s="8" t="s">
        <v>81</v>
      </c>
      <c r="U78" s="8" t="s">
        <v>82</v>
      </c>
      <c r="V78" s="8" t="s">
        <v>83</v>
      </c>
      <c r="W78" s="10" t="s">
        <v>84</v>
      </c>
    </row>
    <row r="79" spans="1:32" s="2" customFormat="1" ht="15.75" customHeight="1">
      <c r="P79" s="31" t="s">
        <v>88</v>
      </c>
      <c r="Q79" s="8">
        <f>IF($O$3="(Todas)",COUNTIF(BASE[CODCIE10],ENOS_G2_ENF_VIRICAS_LESIONES_PIEL_Y_MEMB_MUCOSAS[[#This Row],[CIE-10]]),COUNTIFS(BASE[Cod.Establecimiento],$O$3,BASE[CODCIE10],ENOS_G2_ENF_VIRICAS_LESIONES_PIEL_Y_MEMB_MUCOSAS[[#This Row],[CIE-10]]))</f>
        <v>0</v>
      </c>
      <c r="R79" s="8">
        <f>IF($O$3="(Todas)",COUNTIF(BASE[CODCIE102],ENOS_G2_ENF_VIRICAS_LESIONES_PIEL_Y_MEMB_MUCOSAS[[#This Row],[CIE-10]]),COUNTIFS(BASE[Cod.Establecimiento],$O$3,BASE[CODCIE102],ENOS_G2_ENF_VIRICAS_LESIONES_PIEL_Y_MEMB_MUCOSAS[[#This Row],[CIE-10]]))</f>
        <v>0</v>
      </c>
      <c r="S79" s="8">
        <f>IF($O$3="(Todas)",COUNTIF(BASE[CODCIE104],ENOS_G2_ENF_VIRICAS_LESIONES_PIEL_Y_MEMB_MUCOSAS[[#This Row],[CIE-10]]),COUNTIFS(BASE[Cod.Establecimiento],$O$3,BASE[CODCIE104],ENOS_G2_ENF_VIRICAS_LESIONES_PIEL_Y_MEMB_MUCOSAS[[#This Row],[CIE-10]]))</f>
        <v>0</v>
      </c>
      <c r="T79" s="8">
        <f>IF($O$3="(Todas)",COUNTIF(BASE[CODCIE106],ENOS_G2_ENF_VIRICAS_LESIONES_PIEL_Y_MEMB_MUCOSAS[[#This Row],[CIE-10]]),COUNTIFS(BASE[Cod.Establecimiento],$O$3,BASE[CODCIE106],ENOS_G2_ENF_VIRICAS_LESIONES_PIEL_Y_MEMB_MUCOSAS[[#This Row],[CIE-10]]))</f>
        <v>0</v>
      </c>
      <c r="U79" s="8">
        <f>IF($O$3="(Todas)",COUNTIF(BASE[CODCIE108],ENOS_G2_ENF_VIRICAS_LESIONES_PIEL_Y_MEMB_MUCOSAS[[#This Row],[CIE-10]]),COUNTIFS(BASE[Cod.Establecimiento],$O$3,BASE[CODCIE108],ENOS_G2_ENF_VIRICAS_LESIONES_PIEL_Y_MEMB_MUCOSAS[[#This Row],[CIE-10]]))</f>
        <v>0</v>
      </c>
      <c r="V79" s="8">
        <f>IF($O$3="(Todas)",COUNTIF(BASE[CODCIE1010],ENOS_G2_ENF_VIRICAS_LESIONES_PIEL_Y_MEMB_MUCOSAS[[#This Row],[CIE-10]]),COUNTIFS(BASE[Cod.Establecimiento],$O$3,BASE[CODCIE1010],ENOS_G2_ENF_VIRICAS_LESIONES_PIEL_Y_MEMB_MUCOSAS[[#This Row],[CIE-10]]))</f>
        <v>0</v>
      </c>
      <c r="W79" s="9">
        <f>SUM(ENOS_G2_ENF_VIRICAS_LESIONES_PIEL_Y_MEMB_MUCOSAS[[#This Row],[D1]:[D6]])</f>
        <v>0</v>
      </c>
    </row>
    <row r="80" spans="1:32" s="2" customFormat="1" ht="15.75" customHeight="1">
      <c r="P80" s="31" t="s">
        <v>90</v>
      </c>
      <c r="Q80" s="8">
        <f>IF($O$3="(Todas)",COUNTIF(BASE[CODCIE10],ENOS_G2_ENF_VIRICAS_LESIONES_PIEL_Y_MEMB_MUCOSAS[[#This Row],[CIE-10]]),COUNTIFS(BASE[Cod.Establecimiento],$O$3,BASE[CODCIE10],ENOS_G2_ENF_VIRICAS_LESIONES_PIEL_Y_MEMB_MUCOSAS[[#This Row],[CIE-10]]))</f>
        <v>0</v>
      </c>
      <c r="R80" s="8">
        <f>IF($O$3="(Todas)",COUNTIF(BASE[CODCIE102],ENOS_G2_ENF_VIRICAS_LESIONES_PIEL_Y_MEMB_MUCOSAS[[#This Row],[CIE-10]]),COUNTIFS(BASE[Cod.Establecimiento],$O$3,BASE[CODCIE102],ENOS_G2_ENF_VIRICAS_LESIONES_PIEL_Y_MEMB_MUCOSAS[[#This Row],[CIE-10]]))</f>
        <v>0</v>
      </c>
      <c r="S80" s="8">
        <f>IF($O$3="(Todas)",COUNTIF(BASE[CODCIE104],ENOS_G2_ENF_VIRICAS_LESIONES_PIEL_Y_MEMB_MUCOSAS[[#This Row],[CIE-10]]),COUNTIFS(BASE[Cod.Establecimiento],$O$3,BASE[CODCIE104],ENOS_G2_ENF_VIRICAS_LESIONES_PIEL_Y_MEMB_MUCOSAS[[#This Row],[CIE-10]]))</f>
        <v>0</v>
      </c>
      <c r="T80" s="8">
        <f>IF($O$3="(Todas)",COUNTIF(BASE[CODCIE106],ENOS_G2_ENF_VIRICAS_LESIONES_PIEL_Y_MEMB_MUCOSAS[[#This Row],[CIE-10]]),COUNTIFS(BASE[Cod.Establecimiento],$O$3,BASE[CODCIE106],ENOS_G2_ENF_VIRICAS_LESIONES_PIEL_Y_MEMB_MUCOSAS[[#This Row],[CIE-10]]))</f>
        <v>0</v>
      </c>
      <c r="U80" s="8">
        <f>IF($O$3="(Todas)",COUNTIF(BASE[CODCIE108],ENOS_G2_ENF_VIRICAS_LESIONES_PIEL_Y_MEMB_MUCOSAS[[#This Row],[CIE-10]]),COUNTIFS(BASE[Cod.Establecimiento],$O$3,BASE[CODCIE108],ENOS_G2_ENF_VIRICAS_LESIONES_PIEL_Y_MEMB_MUCOSAS[[#This Row],[CIE-10]]))</f>
        <v>0</v>
      </c>
      <c r="V80" s="8">
        <f>IF($O$3="(Todas)",COUNTIF(BASE[CODCIE1010],ENOS_G2_ENF_VIRICAS_LESIONES_PIEL_Y_MEMB_MUCOSAS[[#This Row],[CIE-10]]),COUNTIFS(BASE[Cod.Establecimiento],$O$3,BASE[CODCIE1010],ENOS_G2_ENF_VIRICAS_LESIONES_PIEL_Y_MEMB_MUCOSAS[[#This Row],[CIE-10]]))</f>
        <v>0</v>
      </c>
      <c r="W80" s="9">
        <f>SUM(ENOS_G2_ENF_VIRICAS_LESIONES_PIEL_Y_MEMB_MUCOSAS[[#This Row],[D1]:[D6]])</f>
        <v>0</v>
      </c>
    </row>
    <row r="81" spans="1:32" s="2" customFormat="1" ht="15.75" customHeight="1">
      <c r="P81" s="31" t="s">
        <v>764</v>
      </c>
      <c r="Q81" s="8">
        <f>IF($O$3="(Todas)",COUNTIF(BASE[CODCIE10],ENOS_G2_ENF_VIRICAS_LESIONES_PIEL_Y_MEMB_MUCOSAS[[#This Row],[CIE-10]]),COUNTIFS(BASE[Cod.Establecimiento],$O$3,BASE[CODCIE10],ENOS_G2_ENF_VIRICAS_LESIONES_PIEL_Y_MEMB_MUCOSAS[[#This Row],[CIE-10]]))</f>
        <v>0</v>
      </c>
      <c r="R81" s="8">
        <f>IF($O$3="(Todas)",COUNTIF(BASE[CODCIE102],ENOS_G2_ENF_VIRICAS_LESIONES_PIEL_Y_MEMB_MUCOSAS[[#This Row],[CIE-10]]),COUNTIFS(BASE[Cod.Establecimiento],$O$3,BASE[CODCIE102],ENOS_G2_ENF_VIRICAS_LESIONES_PIEL_Y_MEMB_MUCOSAS[[#This Row],[CIE-10]]))</f>
        <v>0</v>
      </c>
      <c r="S81" s="8">
        <f>IF($O$3="(Todas)",COUNTIF(BASE[CODCIE104],ENOS_G2_ENF_VIRICAS_LESIONES_PIEL_Y_MEMB_MUCOSAS[[#This Row],[CIE-10]]),COUNTIFS(BASE[Cod.Establecimiento],$O$3,BASE[CODCIE104],ENOS_G2_ENF_VIRICAS_LESIONES_PIEL_Y_MEMB_MUCOSAS[[#This Row],[CIE-10]]))</f>
        <v>0</v>
      </c>
      <c r="T81" s="8">
        <f>IF($O$3="(Todas)",COUNTIF(BASE[CODCIE106],ENOS_G2_ENF_VIRICAS_LESIONES_PIEL_Y_MEMB_MUCOSAS[[#This Row],[CIE-10]]),COUNTIFS(BASE[Cod.Establecimiento],$O$3,BASE[CODCIE106],ENOS_G2_ENF_VIRICAS_LESIONES_PIEL_Y_MEMB_MUCOSAS[[#This Row],[CIE-10]]))</f>
        <v>0</v>
      </c>
      <c r="U81" s="8">
        <f>IF($O$3="(Todas)",COUNTIF(BASE[CODCIE108],ENOS_G2_ENF_VIRICAS_LESIONES_PIEL_Y_MEMB_MUCOSAS[[#This Row],[CIE-10]]),COUNTIFS(BASE[Cod.Establecimiento],$O$3,BASE[CODCIE108],ENOS_G2_ENF_VIRICAS_LESIONES_PIEL_Y_MEMB_MUCOSAS[[#This Row],[CIE-10]]))</f>
        <v>0</v>
      </c>
      <c r="V81" s="8">
        <f>IF($O$3="(Todas)",COUNTIF(BASE[CODCIE1010],ENOS_G2_ENF_VIRICAS_LESIONES_PIEL_Y_MEMB_MUCOSAS[[#This Row],[CIE-10]]),COUNTIFS(BASE[Cod.Establecimiento],$O$3,BASE[CODCIE1010],ENOS_G2_ENF_VIRICAS_LESIONES_PIEL_Y_MEMB_MUCOSAS[[#This Row],[CIE-10]]))</f>
        <v>0</v>
      </c>
      <c r="W81" s="9">
        <f>SUM(ENOS_G2_ENF_VIRICAS_LESIONES_PIEL_Y_MEMB_MUCOSAS[[#This Row],[D1]:[D6]])</f>
        <v>0</v>
      </c>
    </row>
    <row r="82" spans="1:32" ht="1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.75" customHeight="1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87" t="s">
        <v>253</v>
      </c>
      <c r="Q83" s="88"/>
      <c r="R83" s="88"/>
      <c r="S83" s="88"/>
      <c r="T83" s="88"/>
      <c r="U83" s="88"/>
      <c r="V83" s="88"/>
      <c r="W83" s="88"/>
      <c r="X83" s="2"/>
      <c r="Y83" s="87" t="s">
        <v>254</v>
      </c>
      <c r="Z83" s="88"/>
      <c r="AA83" s="88"/>
      <c r="AB83" s="88"/>
      <c r="AC83" s="88"/>
      <c r="AD83" s="88"/>
      <c r="AE83" s="88"/>
      <c r="AF83" s="88"/>
    </row>
    <row r="84" spans="1:32" ht="15.75" customHeight="1" thickTop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 t="s">
        <v>77</v>
      </c>
      <c r="Q84" s="8" t="s">
        <v>78</v>
      </c>
      <c r="R84" s="8" t="s">
        <v>79</v>
      </c>
      <c r="S84" s="8" t="s">
        <v>80</v>
      </c>
      <c r="T84" s="8" t="s">
        <v>81</v>
      </c>
      <c r="U84" s="8" t="s">
        <v>82</v>
      </c>
      <c r="V84" s="8" t="s">
        <v>83</v>
      </c>
      <c r="W84" s="10" t="s">
        <v>84</v>
      </c>
      <c r="X84" s="2"/>
      <c r="Y84" s="2" t="s">
        <v>77</v>
      </c>
      <c r="Z84" s="8" t="s">
        <v>78</v>
      </c>
      <c r="AA84" s="8" t="s">
        <v>79</v>
      </c>
      <c r="AB84" s="8" t="s">
        <v>80</v>
      </c>
      <c r="AC84" s="8" t="s">
        <v>81</v>
      </c>
      <c r="AD84" s="8" t="s">
        <v>82</v>
      </c>
      <c r="AE84" s="8" t="s">
        <v>83</v>
      </c>
      <c r="AF84" s="10" t="s">
        <v>84</v>
      </c>
    </row>
    <row r="85" spans="1:32" ht="1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1" t="s">
        <v>255</v>
      </c>
      <c r="Q85" s="8">
        <f>IF($O$3="(Todas)",COUNTIFS(BASE[CODCIE10],ENOS_G3_ETI_MENOR_QUE_1_AÑO[[#This Row],[CIE-10]],BASE[Edad],"&lt;1"),COUNTIFS(BASE[Cod.Establecimiento],$O$3,BASE[CODCIE10],ENOS_G3_ETI_MENOR_QUE_1_AÑO[[#This Row],[CIE-10]],BASE[Edad],"&lt;1"))</f>
        <v>0</v>
      </c>
      <c r="R85" s="8">
        <f>IF($O$3="(Todas)",COUNTIFS(BASE[CODCIE102],ENOS_G3_ETI_MENOR_QUE_1_AÑO[[#This Row],[CIE-10]],BASE[Edad],"&lt;1"),COUNTIFS(BASE[Cod.Establecimiento],$O$3,BASE[CODCIE102],ENOS_G3_ETI_MENOR_QUE_1_AÑO[[#This Row],[CIE-10]],BASE[Edad],"&lt;1"))</f>
        <v>0</v>
      </c>
      <c r="S85" s="8">
        <f>IF($O$3="(Todas)",COUNTIFS(BASE[CODCIE104],ENOS_G3_ETI_MENOR_QUE_1_AÑO[[#This Row],[CIE-10]],BASE[Edad],"&lt;1"),COUNTIFS(BASE[Cod.Establecimiento],$O$3,BASE[CODCIE104],ENOS_G3_ETI_MENOR_QUE_1_AÑO[[#This Row],[CIE-10]],BASE[Edad],"&lt;1"))</f>
        <v>0</v>
      </c>
      <c r="T85" s="8">
        <f>IF($O$3="(Todas)",COUNTIFS(BASE[CODCIE106],ENOS_G3_ETI_MENOR_QUE_1_AÑO[[#This Row],[CIE-10]],BASE[Edad],"&lt;1"),COUNTIFS(BASE[Cod.Establecimiento],$O$3,BASE[CODCIE106],ENOS_G3_ETI_MENOR_QUE_1_AÑO[[#This Row],[CIE-10]],BASE[Edad],"&lt;1"))</f>
        <v>0</v>
      </c>
      <c r="U85" s="8">
        <f>IF($O$3="(Todas)",COUNTIFS(BASE[CODCIE108],ENOS_G3_ETI_MENOR_QUE_1_AÑO[[#This Row],[CIE-10]],BASE[Edad],"&lt;1"),COUNTIFS(BASE[Cod.Establecimiento],$O$3,BASE[CODCIE108],ENOS_G3_ETI_MENOR_QUE_1_AÑO[[#This Row],[CIE-10]],BASE[Edad],"&lt;1"))</f>
        <v>0</v>
      </c>
      <c r="V85" s="8">
        <f>IF($O$3="(Todas)",COUNTIFS(BASE[CODCIE1010],ENOS_G3_ETI_MENOR_QUE_1_AÑO[[#This Row],[CIE-10]],BASE[Edad],"&lt;1"),COUNTIFS(BASE[Cod.Establecimiento],$O$3,BASE[CODCIE1010],ENOS_G3_ETI_MENOR_QUE_1_AÑO[[#This Row],[CIE-10]],BASE[Edad],"&lt;1"))</f>
        <v>0</v>
      </c>
      <c r="W85" s="9">
        <f>SUM(ENOS_G3_ETI_MENOR_QUE_1_AÑO[[#This Row],[D1]:[D6]])</f>
        <v>0</v>
      </c>
      <c r="X85" s="2"/>
      <c r="Y85" s="31" t="s">
        <v>255</v>
      </c>
      <c r="Z85" s="8">
        <f>IF($O$3="(Todas)",COUNTIFS(BASE[CODCIE10],ENOS_G3_ETI_1_4_AÑOS[[#This Row],[CIE-10]],BASE[Edad],"&gt;=1",BASE[Edad],"&lt;=4"),COUNTIFS(BASE[Cod.Establecimiento],$O$3,BASE[CODCIE10],ENOS_G3_ETI_1_4_AÑOS[[#This Row],[CIE-10]],BASE[Edad],"&gt;=1",BASE[Edad],"&lt;=4"))</f>
        <v>0</v>
      </c>
      <c r="AA85" s="8">
        <f>IF($O$3="(Todas)",COUNTIFS(BASE[CODCIE102],ENOS_G3_ETI_1_4_AÑOS[[#This Row],[CIE-10]],BASE[Edad],"&gt;=1",BASE[Edad],"&lt;=4"),COUNTIFS(BASE[Cod.Establecimiento],$O$3,BASE[CODCIE102],ENOS_G3_ETI_1_4_AÑOS[[#This Row],[CIE-10]],BASE[Edad],"&gt;=1",BASE[Edad],"&lt;=4"))</f>
        <v>0</v>
      </c>
      <c r="AB85" s="8">
        <f>IF($O$3="(Todas)",COUNTIFS(BASE[CODCIE104],ENOS_G3_ETI_1_4_AÑOS[[#This Row],[CIE-10]],BASE[Edad],"&gt;=1",BASE[Edad],"&lt;=4"),COUNTIFS(BASE[Cod.Establecimiento],$O$3,BASE[CODCIE104],ENOS_G3_ETI_1_4_AÑOS[[#This Row],[CIE-10]],BASE[Edad],"&gt;=1",BASE[Edad],"&lt;=4"))</f>
        <v>0</v>
      </c>
      <c r="AC85" s="8">
        <f>IF($O$3="(Todas)",COUNTIFS(BASE[CODCIE106],ENOS_G3_ETI_1_4_AÑOS[[#This Row],[CIE-10]],BASE[Edad],"&gt;=1",BASE[Edad],"&lt;=4"),COUNTIFS(BASE[Cod.Establecimiento],$O$3,BASE[CODCIE106],ENOS_G3_ETI_1_4_AÑOS[[#This Row],[CIE-10]],BASE[Edad],"&gt;=1",BASE[Edad],"&lt;=4"))</f>
        <v>0</v>
      </c>
      <c r="AD85" s="8">
        <f>IF($O$3="(Todas)",COUNTIFS(BASE[CODCIE108],ENOS_G3_ETI_1_4_AÑOS[[#This Row],[CIE-10]],BASE[Edad],"&gt;=1",BASE[Edad],"&lt;=4"),COUNTIFS(BASE[Cod.Establecimiento],$O$3,BASE[CODCIE108],ENOS_G3_ETI_1_4_AÑOS[[#This Row],[CIE-10]],BASE[Edad],"&gt;=1",BASE[Edad],"&lt;=4"))</f>
        <v>0</v>
      </c>
      <c r="AE85" s="8">
        <f>IF($O$3="(Todas)",COUNTIFS(BASE[CODCIE1010],ENOS_G3_ETI_1_4_AÑOS[[#This Row],[CIE-10]],BASE[Edad],"&gt;=1",BASE[Edad],"&lt;=4"),COUNTIFS(BASE[Cod.Establecimiento],$O$3,BASE[CODCIE1010],ENOS_G3_ETI_1_4_AÑOS[[#This Row],[CIE-10]],BASE[Edad],"&gt;=1",BASE[Edad],"&lt;=4"))</f>
        <v>0</v>
      </c>
      <c r="AF85" s="9">
        <f>SUM(ENOS_G3_ETI_1_4_AÑOS[[#This Row],[D1]:[D6]])</f>
        <v>0</v>
      </c>
    </row>
    <row r="86" spans="1:32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1" t="s">
        <v>256</v>
      </c>
      <c r="Q86" s="8">
        <f>IF($O$3="(Todas)",COUNTIFS(BASE[CODCIE10],ENOS_G3_ETI_MENOR_QUE_1_AÑO[[#This Row],[CIE-10]],BASE[Edad],"&lt;1"),COUNTIFS(BASE[Cod.Establecimiento],$O$3,BASE[CODCIE10],ENOS_G3_ETI_MENOR_QUE_1_AÑO[[#This Row],[CIE-10]],BASE[Edad],"&lt;1"))</f>
        <v>0</v>
      </c>
      <c r="R86" s="8">
        <f>IF($O$3="(Todas)",COUNTIFS(BASE[CODCIE102],ENOS_G3_ETI_MENOR_QUE_1_AÑO[[#This Row],[CIE-10]],BASE[Edad],"&lt;1"),COUNTIFS(BASE[Cod.Establecimiento],$O$3,BASE[CODCIE102],ENOS_G3_ETI_MENOR_QUE_1_AÑO[[#This Row],[CIE-10]],BASE[Edad],"&lt;1"))</f>
        <v>0</v>
      </c>
      <c r="S86" s="8">
        <f>IF($O$3="(Todas)",COUNTIFS(BASE[CODCIE104],ENOS_G3_ETI_MENOR_QUE_1_AÑO[[#This Row],[CIE-10]],BASE[Edad],"&lt;1"),COUNTIFS(BASE[Cod.Establecimiento],$O$3,BASE[CODCIE104],ENOS_G3_ETI_MENOR_QUE_1_AÑO[[#This Row],[CIE-10]],BASE[Edad],"&lt;1"))</f>
        <v>0</v>
      </c>
      <c r="T86" s="8">
        <f>IF($O$3="(Todas)",COUNTIFS(BASE[CODCIE106],ENOS_G3_ETI_MENOR_QUE_1_AÑO[[#This Row],[CIE-10]],BASE[Edad],"&lt;1"),COUNTIFS(BASE[Cod.Establecimiento],$O$3,BASE[CODCIE106],ENOS_G3_ETI_MENOR_QUE_1_AÑO[[#This Row],[CIE-10]],BASE[Edad],"&lt;1"))</f>
        <v>0</v>
      </c>
      <c r="U86" s="8">
        <f>IF($O$3="(Todas)",COUNTIFS(BASE[CODCIE108],ENOS_G3_ETI_MENOR_QUE_1_AÑO[[#This Row],[CIE-10]],BASE[Edad],"&lt;1"),COUNTIFS(BASE[Cod.Establecimiento],$O$3,BASE[CODCIE108],ENOS_G3_ETI_MENOR_QUE_1_AÑO[[#This Row],[CIE-10]],BASE[Edad],"&lt;1"))</f>
        <v>0</v>
      </c>
      <c r="V86" s="8">
        <f>IF($O$3="(Todas)",COUNTIFS(BASE[CODCIE1010],ENOS_G3_ETI_MENOR_QUE_1_AÑO[[#This Row],[CIE-10]],BASE[Edad],"&lt;1"),COUNTIFS(BASE[Cod.Establecimiento],$O$3,BASE[CODCIE1010],ENOS_G3_ETI_MENOR_QUE_1_AÑO[[#This Row],[CIE-10]],BASE[Edad],"&lt;1"))</f>
        <v>0</v>
      </c>
      <c r="W86" s="9">
        <f>SUM(ENOS_G3_ETI_MENOR_QUE_1_AÑO[[#This Row],[D1]:[D6]])</f>
        <v>0</v>
      </c>
      <c r="X86" s="2"/>
      <c r="Y86" s="31" t="s">
        <v>256</v>
      </c>
      <c r="Z86" s="8">
        <f>IF($O$3="(Todas)",COUNTIFS(BASE[CODCIE10],ENOS_G3_ETI_1_4_AÑOS[[#This Row],[CIE-10]],BASE[Edad],"&gt;=1",BASE[Edad],"&lt;=4"),COUNTIFS(BASE[Cod.Establecimiento],$O$3,BASE[CODCIE10],ENOS_G3_ETI_1_4_AÑOS[[#This Row],[CIE-10]],BASE[Edad],"&gt;=1",BASE[Edad],"&lt;=4"))</f>
        <v>0</v>
      </c>
      <c r="AA86" s="8">
        <f>IF($O$3="(Todas)",COUNTIFS(BASE[CODCIE102],ENOS_G3_ETI_1_4_AÑOS[[#This Row],[CIE-10]],BASE[Edad],"&gt;=1",BASE[Edad],"&lt;=4"),COUNTIFS(BASE[Cod.Establecimiento],$O$3,BASE[CODCIE102],ENOS_G3_ETI_1_4_AÑOS[[#This Row],[CIE-10]],BASE[Edad],"&gt;=1",BASE[Edad],"&lt;=4"))</f>
        <v>0</v>
      </c>
      <c r="AB86" s="8">
        <f>IF($O$3="(Todas)",COUNTIFS(BASE[CODCIE104],ENOS_G3_ETI_1_4_AÑOS[[#This Row],[CIE-10]],BASE[Edad],"&gt;=1",BASE[Edad],"&lt;=4"),COUNTIFS(BASE[Cod.Establecimiento],$O$3,BASE[CODCIE104],ENOS_G3_ETI_1_4_AÑOS[[#This Row],[CIE-10]],BASE[Edad],"&gt;=1",BASE[Edad],"&lt;=4"))</f>
        <v>0</v>
      </c>
      <c r="AC86" s="8">
        <f>IF($O$3="(Todas)",COUNTIFS(BASE[CODCIE106],ENOS_G3_ETI_1_4_AÑOS[[#This Row],[CIE-10]],BASE[Edad],"&gt;=1",BASE[Edad],"&lt;=4"),COUNTIFS(BASE[Cod.Establecimiento],$O$3,BASE[CODCIE106],ENOS_G3_ETI_1_4_AÑOS[[#This Row],[CIE-10]],BASE[Edad],"&gt;=1",BASE[Edad],"&lt;=4"))</f>
        <v>0</v>
      </c>
      <c r="AD86" s="8">
        <f>IF($O$3="(Todas)",COUNTIFS(BASE[CODCIE108],ENOS_G3_ETI_1_4_AÑOS[[#This Row],[CIE-10]],BASE[Edad],"&gt;=1",BASE[Edad],"&lt;=4"),COUNTIFS(BASE[Cod.Establecimiento],$O$3,BASE[CODCIE108],ENOS_G3_ETI_1_4_AÑOS[[#This Row],[CIE-10]],BASE[Edad],"&gt;=1",BASE[Edad],"&lt;=4"))</f>
        <v>0</v>
      </c>
      <c r="AE86" s="8">
        <f>IF($O$3="(Todas)",COUNTIFS(BASE[CODCIE1010],ENOS_G3_ETI_1_4_AÑOS[[#This Row],[CIE-10]],BASE[Edad],"&gt;=1",BASE[Edad],"&lt;=4"),COUNTIFS(BASE[Cod.Establecimiento],$O$3,BASE[CODCIE1010],ENOS_G3_ETI_1_4_AÑOS[[#This Row],[CIE-10]],BASE[Edad],"&gt;=1",BASE[Edad],"&lt;=4"))</f>
        <v>0</v>
      </c>
      <c r="AF86" s="9">
        <f>SUM(ENOS_G3_ETI_1_4_AÑOS[[#This Row],[D1]:[D6]])</f>
        <v>0</v>
      </c>
    </row>
    <row r="87" spans="1:32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1" t="s">
        <v>257</v>
      </c>
      <c r="Q87" s="8">
        <f>IF($O$3="(Todas)",COUNTIFS(BASE[CODCIE10],ENOS_G3_ETI_MENOR_QUE_1_AÑO[[#This Row],[CIE-10]],BASE[Edad],"&lt;1"),COUNTIFS(BASE[Cod.Establecimiento],$O$3,BASE[CODCIE10],ENOS_G3_ETI_MENOR_QUE_1_AÑO[[#This Row],[CIE-10]],BASE[Edad],"&lt;1"))</f>
        <v>0</v>
      </c>
      <c r="R87" s="8">
        <f>IF($O$3="(Todas)",COUNTIFS(BASE[CODCIE102],ENOS_G3_ETI_MENOR_QUE_1_AÑO[[#This Row],[CIE-10]],BASE[Edad],"&lt;1"),COUNTIFS(BASE[Cod.Establecimiento],$O$3,BASE[CODCIE102],ENOS_G3_ETI_MENOR_QUE_1_AÑO[[#This Row],[CIE-10]],BASE[Edad],"&lt;1"))</f>
        <v>0</v>
      </c>
      <c r="S87" s="8">
        <f>IF($O$3="(Todas)",COUNTIFS(BASE[CODCIE104],ENOS_G3_ETI_MENOR_QUE_1_AÑO[[#This Row],[CIE-10]],BASE[Edad],"&lt;1"),COUNTIFS(BASE[Cod.Establecimiento],$O$3,BASE[CODCIE104],ENOS_G3_ETI_MENOR_QUE_1_AÑO[[#This Row],[CIE-10]],BASE[Edad],"&lt;1"))</f>
        <v>0</v>
      </c>
      <c r="T87" s="8">
        <f>IF($O$3="(Todas)",COUNTIFS(BASE[CODCIE106],ENOS_G3_ETI_MENOR_QUE_1_AÑO[[#This Row],[CIE-10]],BASE[Edad],"&lt;1"),COUNTIFS(BASE[Cod.Establecimiento],$O$3,BASE[CODCIE106],ENOS_G3_ETI_MENOR_QUE_1_AÑO[[#This Row],[CIE-10]],BASE[Edad],"&lt;1"))</f>
        <v>0</v>
      </c>
      <c r="U87" s="8">
        <f>IF($O$3="(Todas)",COUNTIFS(BASE[CODCIE108],ENOS_G3_ETI_MENOR_QUE_1_AÑO[[#This Row],[CIE-10]],BASE[Edad],"&lt;1"),COUNTIFS(BASE[Cod.Establecimiento],$O$3,BASE[CODCIE108],ENOS_G3_ETI_MENOR_QUE_1_AÑO[[#This Row],[CIE-10]],BASE[Edad],"&lt;1"))</f>
        <v>0</v>
      </c>
      <c r="V87" s="8">
        <f>IF($O$3="(Todas)",COUNTIFS(BASE[CODCIE1010],ENOS_G3_ETI_MENOR_QUE_1_AÑO[[#This Row],[CIE-10]],BASE[Edad],"&lt;1"),COUNTIFS(BASE[Cod.Establecimiento],$O$3,BASE[CODCIE1010],ENOS_G3_ETI_MENOR_QUE_1_AÑO[[#This Row],[CIE-10]],BASE[Edad],"&lt;1"))</f>
        <v>0</v>
      </c>
      <c r="W87" s="9">
        <f>SUM(ENOS_G3_ETI_MENOR_QUE_1_AÑO[[#This Row],[D1]:[D6]])</f>
        <v>0</v>
      </c>
      <c r="X87" s="2"/>
      <c r="Y87" s="31" t="s">
        <v>257</v>
      </c>
      <c r="Z87" s="8">
        <f>IF($O$3="(Todas)",COUNTIFS(BASE[CODCIE10],ENOS_G3_ETI_1_4_AÑOS[[#This Row],[CIE-10]],BASE[Edad],"&gt;=1",BASE[Edad],"&lt;=4"),COUNTIFS(BASE[Cod.Establecimiento],$O$3,BASE[CODCIE10],ENOS_G3_ETI_1_4_AÑOS[[#This Row],[CIE-10]],BASE[Edad],"&gt;=1",BASE[Edad],"&lt;=4"))</f>
        <v>0</v>
      </c>
      <c r="AA87" s="8">
        <f>IF($O$3="(Todas)",COUNTIFS(BASE[CODCIE102],ENOS_G3_ETI_1_4_AÑOS[[#This Row],[CIE-10]],BASE[Edad],"&gt;=1",BASE[Edad],"&lt;=4"),COUNTIFS(BASE[Cod.Establecimiento],$O$3,BASE[CODCIE102],ENOS_G3_ETI_1_4_AÑOS[[#This Row],[CIE-10]],BASE[Edad],"&gt;=1",BASE[Edad],"&lt;=4"))</f>
        <v>0</v>
      </c>
      <c r="AB87" s="8">
        <f>IF($O$3="(Todas)",COUNTIFS(BASE[CODCIE104],ENOS_G3_ETI_1_4_AÑOS[[#This Row],[CIE-10]],BASE[Edad],"&gt;=1",BASE[Edad],"&lt;=4"),COUNTIFS(BASE[Cod.Establecimiento],$O$3,BASE[CODCIE104],ENOS_G3_ETI_1_4_AÑOS[[#This Row],[CIE-10]],BASE[Edad],"&gt;=1",BASE[Edad],"&lt;=4"))</f>
        <v>0</v>
      </c>
      <c r="AC87" s="8">
        <f>IF($O$3="(Todas)",COUNTIFS(BASE[CODCIE106],ENOS_G3_ETI_1_4_AÑOS[[#This Row],[CIE-10]],BASE[Edad],"&gt;=1",BASE[Edad],"&lt;=4"),COUNTIFS(BASE[Cod.Establecimiento],$O$3,BASE[CODCIE106],ENOS_G3_ETI_1_4_AÑOS[[#This Row],[CIE-10]],BASE[Edad],"&gt;=1",BASE[Edad],"&lt;=4"))</f>
        <v>0</v>
      </c>
      <c r="AD87" s="8">
        <f>IF($O$3="(Todas)",COUNTIFS(BASE[CODCIE108],ENOS_G3_ETI_1_4_AÑOS[[#This Row],[CIE-10]],BASE[Edad],"&gt;=1",BASE[Edad],"&lt;=4"),COUNTIFS(BASE[Cod.Establecimiento],$O$3,BASE[CODCIE108],ENOS_G3_ETI_1_4_AÑOS[[#This Row],[CIE-10]],BASE[Edad],"&gt;=1",BASE[Edad],"&lt;=4"))</f>
        <v>0</v>
      </c>
      <c r="AE87" s="8">
        <f>IF($O$3="(Todas)",COUNTIFS(BASE[CODCIE1010],ENOS_G3_ETI_1_4_AÑOS[[#This Row],[CIE-10]],BASE[Edad],"&gt;=1",BASE[Edad],"&lt;=4"),COUNTIFS(BASE[Cod.Establecimiento],$O$3,BASE[CODCIE1010],ENOS_G3_ETI_1_4_AÑOS[[#This Row],[CIE-10]],BASE[Edad],"&gt;=1",BASE[Edad],"&lt;=4"))</f>
        <v>0</v>
      </c>
      <c r="AF87" s="9">
        <f>SUM(ENOS_G3_ETI_1_4_AÑOS[[#This Row],[D1]:[D6]])</f>
        <v>0</v>
      </c>
    </row>
    <row r="88" spans="1:3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32" ht="18" customHeight="1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87" t="s">
        <v>258</v>
      </c>
      <c r="Q89" s="88"/>
      <c r="R89" s="88"/>
      <c r="S89" s="88"/>
      <c r="T89" s="88"/>
      <c r="U89" s="88"/>
      <c r="V89" s="88"/>
      <c r="W89" s="88"/>
      <c r="X89" s="2"/>
      <c r="Y89" s="87" t="s">
        <v>259</v>
      </c>
      <c r="Z89" s="88"/>
      <c r="AA89" s="88"/>
      <c r="AB89" s="88"/>
      <c r="AC89" s="88"/>
      <c r="AD89" s="88"/>
      <c r="AE89" s="88"/>
      <c r="AF89" s="88"/>
    </row>
    <row r="90" spans="1:32" ht="18" customHeight="1" thickTop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 t="s">
        <v>77</v>
      </c>
      <c r="Q90" s="8" t="s">
        <v>78</v>
      </c>
      <c r="R90" s="8" t="s">
        <v>79</v>
      </c>
      <c r="S90" s="8" t="s">
        <v>80</v>
      </c>
      <c r="T90" s="8" t="s">
        <v>81</v>
      </c>
      <c r="U90" s="8" t="s">
        <v>82</v>
      </c>
      <c r="V90" s="8" t="s">
        <v>83</v>
      </c>
      <c r="W90" s="10" t="s">
        <v>84</v>
      </c>
      <c r="X90" s="2"/>
      <c r="Y90" s="2" t="s">
        <v>77</v>
      </c>
      <c r="Z90" s="8" t="s">
        <v>78</v>
      </c>
      <c r="AA90" s="8" t="s">
        <v>79</v>
      </c>
      <c r="AB90" s="8" t="s">
        <v>80</v>
      </c>
      <c r="AC90" s="8" t="s">
        <v>81</v>
      </c>
      <c r="AD90" s="8" t="s">
        <v>82</v>
      </c>
      <c r="AE90" s="8" t="s">
        <v>83</v>
      </c>
      <c r="AF90" s="10" t="s">
        <v>84</v>
      </c>
    </row>
    <row r="91" spans="1:32" ht="1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1" t="s">
        <v>255</v>
      </c>
      <c r="Q91" s="8">
        <f>IF($O$3="(Todas)",COUNTIFS(BASE[CODCIE10],ENOS_G3_ETI_5_19_AÑOS[[#This Row],[CIE-10]],BASE[Edad],"&gt;=5",BASE[Edad],"&lt;=19"),COUNTIFS(BASE[Cod.Establecimiento],$O$3,BASE[CODCIE10],ENOS_G3_ETI_5_19_AÑOS[[#This Row],[CIE-10]],BASE[Edad],"&gt;=5",BASE[Edad],"&lt;=19"))</f>
        <v>0</v>
      </c>
      <c r="R91" s="8">
        <f>IF($O$3="(Todas)",COUNTIFS(BASE[CODCIE102],ENOS_G3_ETI_5_19_AÑOS[[#This Row],[CIE-10]],BASE[Edad],"&gt;=5",BASE[Edad],"&lt;=19"),COUNTIFS(BASE[Cod.Establecimiento],$O$3,BASE[CODCIE102],ENOS_G3_ETI_5_19_AÑOS[[#This Row],[CIE-10]],BASE[Edad],"&gt;=5",BASE[Edad],"&lt;=19"))</f>
        <v>0</v>
      </c>
      <c r="S91" s="8">
        <f>IF($O$3="(Todas)",COUNTIFS(BASE[CODCIE104],ENOS_G3_ETI_5_19_AÑOS[[#This Row],[CIE-10]],BASE[Edad],"&gt;=5",BASE[Edad],"&lt;=19"),COUNTIFS(BASE[Cod.Establecimiento],$O$3,BASE[CODCIE104],ENOS_G3_ETI_5_19_AÑOS[[#This Row],[CIE-10]],BASE[Edad],"&gt;=5",BASE[Edad],"&lt;=19"))</f>
        <v>0</v>
      </c>
      <c r="T91" s="8">
        <f>IF($O$3="(Todas)",COUNTIFS(BASE[CODCIE106],ENOS_G3_ETI_5_19_AÑOS[[#This Row],[CIE-10]],BASE[Edad],"&gt;=5",BASE[Edad],"&lt;=19"),COUNTIFS(BASE[Cod.Establecimiento],$O$3,BASE[CODCIE106],ENOS_G3_ETI_5_19_AÑOS[[#This Row],[CIE-10]],BASE[Edad],"&gt;=5",BASE[Edad],"&lt;=19"))</f>
        <v>0</v>
      </c>
      <c r="U91" s="8">
        <f>IF($O$3="(Todas)",COUNTIFS(BASE[CODCIE108],ENOS_G3_ETI_5_19_AÑOS[[#This Row],[CIE-10]],BASE[Edad],"&gt;=5",BASE[Edad],"&lt;=19"),COUNTIFS(BASE[Cod.Establecimiento],$O$3,BASE[CODCIE108],ENOS_G3_ETI_5_19_AÑOS[[#This Row],[CIE-10]],BASE[Edad],"&gt;=5",BASE[Edad],"&lt;=19"))</f>
        <v>0</v>
      </c>
      <c r="V91" s="8">
        <f>IF($O$3="(Todas)",COUNTIFS(BASE[CODCIE1010],ENOS_G3_ETI_5_19_AÑOS[[#This Row],[CIE-10]],BASE[Edad],"&gt;=5",BASE[Edad],"&lt;=19"),COUNTIFS(BASE[Cod.Establecimiento],$O$3,BASE[CODCIE1010],ENOS_G3_ETI_5_19_AÑOS[[#This Row],[CIE-10]],BASE[Edad],"&gt;=5",BASE[Edad],"&lt;=19"))</f>
        <v>0</v>
      </c>
      <c r="W91" s="9">
        <f>SUM(ENOS_G3_ETI_5_19_AÑOS[[#This Row],[D1]:[D6]])</f>
        <v>0</v>
      </c>
      <c r="X91" s="2"/>
      <c r="Y91" s="31" t="s">
        <v>255</v>
      </c>
      <c r="Z91" s="8">
        <f>IF($O$3="(Todas)",COUNTIFS(BASE[CODCIE10],ENOS_G3_ETI_20_59_AÑOS[[#This Row],[CIE-10]],BASE[Edad],"&gt;=20",BASE[Edad],"&lt;=59"),COUNTIFS(BASE[Cod.Establecimiento],$O$3,BASE[CODCIE10],ENOS_G3_ETI_20_59_AÑOS[[#This Row],[CIE-10]],BASE[Edad],"&gt;=20",BASE[Edad],"&lt;=59"))</f>
        <v>0</v>
      </c>
      <c r="AA91" s="8">
        <f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f>
        <v>0</v>
      </c>
      <c r="AB91" s="8">
        <f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f>
        <v>0</v>
      </c>
      <c r="AC91" s="8">
        <f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f>
        <v>0</v>
      </c>
      <c r="AD91" s="8">
        <f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f>
        <v>0</v>
      </c>
      <c r="AE91" s="8">
        <f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f>
        <v>0</v>
      </c>
      <c r="AF91" s="9">
        <f>SUM(ENOS_G3_ETI_20_59_AÑOS[[#This Row],[D1]:[D6]])</f>
        <v>0</v>
      </c>
    </row>
    <row r="92" spans="1:3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1" t="s">
        <v>256</v>
      </c>
      <c r="Q92" s="8">
        <f>IF($O$3="(Todas)",COUNTIFS(BASE[CODCIE10],ENOS_G3_ETI_5_19_AÑOS[[#This Row],[CIE-10]],BASE[Edad],"&gt;=5",BASE[Edad],"&lt;=19"),COUNTIFS(BASE[Cod.Establecimiento],$O$3,BASE[CODCIE10],ENOS_G3_ETI_5_19_AÑOS[[#This Row],[CIE-10]],BASE[Edad],"&gt;=5",BASE[Edad],"&lt;=19"))</f>
        <v>0</v>
      </c>
      <c r="R92" s="8">
        <f>IF($O$3="(Todas)",COUNTIFS(BASE[CODCIE102],ENOS_G3_ETI_5_19_AÑOS[[#This Row],[CIE-10]],BASE[Edad],"&gt;=5",BASE[Edad],"&lt;=19"),COUNTIFS(BASE[Cod.Establecimiento],$O$3,BASE[CODCIE102],ENOS_G3_ETI_5_19_AÑOS[[#This Row],[CIE-10]],BASE[Edad],"&gt;=5",BASE[Edad],"&lt;=19"))</f>
        <v>0</v>
      </c>
      <c r="S92" s="8">
        <f>IF($O$3="(Todas)",COUNTIFS(BASE[CODCIE104],ENOS_G3_ETI_5_19_AÑOS[[#This Row],[CIE-10]],BASE[Edad],"&gt;=5",BASE[Edad],"&lt;=19"),COUNTIFS(BASE[Cod.Establecimiento],$O$3,BASE[CODCIE104],ENOS_G3_ETI_5_19_AÑOS[[#This Row],[CIE-10]],BASE[Edad],"&gt;=5",BASE[Edad],"&lt;=19"))</f>
        <v>0</v>
      </c>
      <c r="T92" s="8">
        <f>IF($O$3="(Todas)",COUNTIFS(BASE[CODCIE106],ENOS_G3_ETI_5_19_AÑOS[[#This Row],[CIE-10]],BASE[Edad],"&gt;=5",BASE[Edad],"&lt;=19"),COUNTIFS(BASE[Cod.Establecimiento],$O$3,BASE[CODCIE106],ENOS_G3_ETI_5_19_AÑOS[[#This Row],[CIE-10]],BASE[Edad],"&gt;=5",BASE[Edad],"&lt;=19"))</f>
        <v>0</v>
      </c>
      <c r="U92" s="8">
        <f>IF($O$3="(Todas)",COUNTIFS(BASE[CODCIE108],ENOS_G3_ETI_5_19_AÑOS[[#This Row],[CIE-10]],BASE[Edad],"&gt;=5",BASE[Edad],"&lt;=19"),COUNTIFS(BASE[Cod.Establecimiento],$O$3,BASE[CODCIE108],ENOS_G3_ETI_5_19_AÑOS[[#This Row],[CIE-10]],BASE[Edad],"&gt;=5",BASE[Edad],"&lt;=19"))</f>
        <v>0</v>
      </c>
      <c r="V92" s="8">
        <f>IF($O$3="(Todas)",COUNTIFS(BASE[CODCIE1010],ENOS_G3_ETI_5_19_AÑOS[[#This Row],[CIE-10]],BASE[Edad],"&gt;=5",BASE[Edad],"&lt;=19"),COUNTIFS(BASE[Cod.Establecimiento],$O$3,BASE[CODCIE1010],ENOS_G3_ETI_5_19_AÑOS[[#This Row],[CIE-10]],BASE[Edad],"&gt;=5",BASE[Edad],"&lt;=19"))</f>
        <v>0</v>
      </c>
      <c r="W92" s="9">
        <f>SUM(ENOS_G3_ETI_5_19_AÑOS[[#This Row],[D1]:[D6]])</f>
        <v>0</v>
      </c>
      <c r="X92" s="2"/>
      <c r="Y92" s="31" t="s">
        <v>256</v>
      </c>
      <c r="Z92" s="8">
        <f>IF($O$3="(Todas)",COUNTIFS(BASE[CODCIE10],ENOS_G3_ETI_20_59_AÑOS[[#This Row],[CIE-10]],BASE[Edad],"&gt;=20",BASE[Edad],"&lt;=59"),COUNTIFS(BASE[Cod.Establecimiento],$O$3,BASE[CODCIE10],ENOS_G3_ETI_20_59_AÑOS[[#This Row],[CIE-10]],BASE[Edad],"&gt;=20",BASE[Edad],"&lt;=59"))</f>
        <v>0</v>
      </c>
      <c r="AA92" s="8">
        <f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f>
        <v>0</v>
      </c>
      <c r="AB92" s="8">
        <f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f>
        <v>0</v>
      </c>
      <c r="AC92" s="8">
        <f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f>
        <v>0</v>
      </c>
      <c r="AD92" s="8">
        <f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f>
        <v>0</v>
      </c>
      <c r="AE92" s="8">
        <f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f>
        <v>0</v>
      </c>
      <c r="AF92" s="9">
        <f>SUM(ENOS_G3_ETI_20_59_AÑOS[[#This Row],[D1]:[D6]])</f>
        <v>0</v>
      </c>
    </row>
    <row r="93" spans="1:3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1" t="s">
        <v>257</v>
      </c>
      <c r="Q93" s="8">
        <f>IF($O$3="(Todas)",COUNTIFS(BASE[CODCIE10],ENOS_G3_ETI_5_19_AÑOS[[#This Row],[CIE-10]],BASE[Edad],"&gt;=5",BASE[Edad],"&lt;=19"),COUNTIFS(BASE[Cod.Establecimiento],$O$3,BASE[CODCIE10],ENOS_G3_ETI_5_19_AÑOS[[#This Row],[CIE-10]],BASE[Edad],"&gt;=5",BASE[Edad],"&lt;=19"))</f>
        <v>0</v>
      </c>
      <c r="R93" s="8">
        <f>IF($O$3="(Todas)",COUNTIFS(BASE[CODCIE102],ENOS_G3_ETI_5_19_AÑOS[[#This Row],[CIE-10]],BASE[Edad],"&gt;=5",BASE[Edad],"&lt;=19"),COUNTIFS(BASE[Cod.Establecimiento],$O$3,BASE[CODCIE102],ENOS_G3_ETI_5_19_AÑOS[[#This Row],[CIE-10]],BASE[Edad],"&gt;=5",BASE[Edad],"&lt;=19"))</f>
        <v>0</v>
      </c>
      <c r="S93" s="8">
        <f>IF($O$3="(Todas)",COUNTIFS(BASE[CODCIE104],ENOS_G3_ETI_5_19_AÑOS[[#This Row],[CIE-10]],BASE[Edad],"&gt;=5",BASE[Edad],"&lt;=19"),COUNTIFS(BASE[Cod.Establecimiento],$O$3,BASE[CODCIE104],ENOS_G3_ETI_5_19_AÑOS[[#This Row],[CIE-10]],BASE[Edad],"&gt;=5",BASE[Edad],"&lt;=19"))</f>
        <v>0</v>
      </c>
      <c r="T93" s="8">
        <f>IF($O$3="(Todas)",COUNTIFS(BASE[CODCIE106],ENOS_G3_ETI_5_19_AÑOS[[#This Row],[CIE-10]],BASE[Edad],"&gt;=5",BASE[Edad],"&lt;=19"),COUNTIFS(BASE[Cod.Establecimiento],$O$3,BASE[CODCIE106],ENOS_G3_ETI_5_19_AÑOS[[#This Row],[CIE-10]],BASE[Edad],"&gt;=5",BASE[Edad],"&lt;=19"))</f>
        <v>0</v>
      </c>
      <c r="U93" s="8">
        <f>IF($O$3="(Todas)",COUNTIFS(BASE[CODCIE108],ENOS_G3_ETI_5_19_AÑOS[[#This Row],[CIE-10]],BASE[Edad],"&gt;=5",BASE[Edad],"&lt;=19"),COUNTIFS(BASE[Cod.Establecimiento],$O$3,BASE[CODCIE108],ENOS_G3_ETI_5_19_AÑOS[[#This Row],[CIE-10]],BASE[Edad],"&gt;=5",BASE[Edad],"&lt;=19"))</f>
        <v>0</v>
      </c>
      <c r="V93" s="8">
        <f>IF($O$3="(Todas)",COUNTIFS(BASE[CODCIE1010],ENOS_G3_ETI_5_19_AÑOS[[#This Row],[CIE-10]],BASE[Edad],"&gt;=5",BASE[Edad],"&lt;=19"),COUNTIFS(BASE[Cod.Establecimiento],$O$3,BASE[CODCIE1010],ENOS_G3_ETI_5_19_AÑOS[[#This Row],[CIE-10]],BASE[Edad],"&gt;=5",BASE[Edad],"&lt;=19"))</f>
        <v>0</v>
      </c>
      <c r="W93" s="9">
        <f>SUM(ENOS_G3_ETI_5_19_AÑOS[[#This Row],[D1]:[D6]])</f>
        <v>0</v>
      </c>
      <c r="X93" s="2"/>
      <c r="Y93" s="31" t="s">
        <v>257</v>
      </c>
      <c r="Z93" s="8">
        <f>IF($O$3="(Todas)",COUNTIFS(BASE[CODCIE10],ENOS_G3_ETI_20_59_AÑOS[[#This Row],[CIE-10]],BASE[Edad],"&gt;=20",BASE[Edad],"&lt;=59"),COUNTIFS(BASE[Cod.Establecimiento],$O$3,BASE[CODCIE10],ENOS_G3_ETI_20_59_AÑOS[[#This Row],[CIE-10]],BASE[Edad],"&gt;=20",BASE[Edad],"&lt;=59"))</f>
        <v>0</v>
      </c>
      <c r="AA93" s="8">
        <f>IF($O$3="(Todas)",COUNTIFS(BASE[CODCIE102],ENOS_G3_ETI_20_59_AÑOS[[#This Row],[CIE-10]],BASE[Edad],"&gt;=20",BASE[Edad],"&lt;=59"),COUNTIFS(BASE[Cod.Establecimiento],$O$3,BASE[CODCIE102],ENOS_G3_ETI_20_59_AÑOS[[#This Row],[CIE-10]],BASE[Edad],"&gt;=20",BASE[Edad],"&lt;=59"))</f>
        <v>0</v>
      </c>
      <c r="AB93" s="8">
        <f>IF($O$3="(Todas)",COUNTIFS(BASE[CODCIE104],ENOS_G3_ETI_20_59_AÑOS[[#This Row],[CIE-10]],BASE[Edad],"&gt;=20",BASE[Edad],"&lt;=59"),COUNTIFS(BASE[Cod.Establecimiento],$O$3,BASE[CODCIE104],ENOS_G3_ETI_20_59_AÑOS[[#This Row],[CIE-10]],BASE[Edad],"&gt;=20",BASE[Edad],"&lt;=59"))</f>
        <v>0</v>
      </c>
      <c r="AC93" s="8">
        <f>IF($O$3="(Todas)",COUNTIFS(BASE[CODCIE106],ENOS_G3_ETI_20_59_AÑOS[[#This Row],[CIE-10]],BASE[Edad],"&gt;=20",BASE[Edad],"&lt;=59"),COUNTIFS(BASE[Cod.Establecimiento],$O$3,BASE[CODCIE106],ENOS_G3_ETI_20_59_AÑOS[[#This Row],[CIE-10]],BASE[Edad],"&gt;=20",BASE[Edad],"&lt;=59"))</f>
        <v>0</v>
      </c>
      <c r="AD93" s="8">
        <f>IF($O$3="(Todas)",COUNTIFS(BASE[CODCIE108],ENOS_G3_ETI_20_59_AÑOS[[#This Row],[CIE-10]],BASE[Edad],"&gt;=20",BASE[Edad],"&lt;=59"),COUNTIFS(BASE[Cod.Establecimiento],$O$3,BASE[CODCIE108],ENOS_G3_ETI_20_59_AÑOS[[#This Row],[CIE-10]],BASE[Edad],"&gt;=20",BASE[Edad],"&lt;=59"))</f>
        <v>0</v>
      </c>
      <c r="AE93" s="8">
        <f>IF($O$3="(Todas)",COUNTIFS(BASE[CODCIE1010],ENOS_G3_ETI_20_59_AÑOS[[#This Row],[CIE-10]],BASE[Edad],"&gt;=20",BASE[Edad],"&lt;=59"),COUNTIFS(BASE[Cod.Establecimiento],$O$3,BASE[CODCIE1010],ENOS_G3_ETI_20_59_AÑOS[[#This Row],[CIE-10]],BASE[Edad],"&gt;=20",BASE[Edad],"&lt;=59"))</f>
        <v>0</v>
      </c>
      <c r="AF93" s="9">
        <f>SUM(ENOS_G3_ETI_20_59_AÑOS[[#This Row],[D1]:[D6]])</f>
        <v>0</v>
      </c>
    </row>
    <row r="94" spans="1:32" ht="1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32" ht="15.75" customHeight="1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87" t="s">
        <v>260</v>
      </c>
      <c r="Q95" s="88"/>
      <c r="R95" s="88"/>
      <c r="S95" s="88"/>
      <c r="T95" s="88"/>
      <c r="U95" s="88"/>
      <c r="V95" s="88"/>
      <c r="W95" s="88"/>
      <c r="X95" s="2"/>
      <c r="Y95" s="87" t="s">
        <v>261</v>
      </c>
      <c r="Z95" s="88"/>
      <c r="AA95" s="88"/>
      <c r="AB95" s="88"/>
      <c r="AC95" s="88"/>
      <c r="AD95" s="88"/>
      <c r="AE95" s="88"/>
      <c r="AF95" s="88"/>
    </row>
    <row r="96" spans="1:32" ht="15.75" customHeight="1" thickTop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 t="s">
        <v>77</v>
      </c>
      <c r="Q96" s="8" t="s">
        <v>78</v>
      </c>
      <c r="R96" s="8" t="s">
        <v>79</v>
      </c>
      <c r="S96" s="8" t="s">
        <v>80</v>
      </c>
      <c r="T96" s="8" t="s">
        <v>81</v>
      </c>
      <c r="U96" s="8" t="s">
        <v>82</v>
      </c>
      <c r="V96" s="8" t="s">
        <v>83</v>
      </c>
      <c r="W96" s="10" t="s">
        <v>84</v>
      </c>
      <c r="X96" s="2"/>
      <c r="Y96" s="2" t="s">
        <v>77</v>
      </c>
      <c r="Z96" s="8" t="s">
        <v>78</v>
      </c>
      <c r="AA96" s="8" t="s">
        <v>79</v>
      </c>
      <c r="AB96" s="8" t="s">
        <v>80</v>
      </c>
      <c r="AC96" s="8" t="s">
        <v>81</v>
      </c>
      <c r="AD96" s="8" t="s">
        <v>82</v>
      </c>
      <c r="AE96" s="8" t="s">
        <v>83</v>
      </c>
      <c r="AF96" s="10" t="s">
        <v>84</v>
      </c>
    </row>
    <row r="97" spans="1:32" ht="1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1" t="s">
        <v>255</v>
      </c>
      <c r="Q97" s="8">
        <f>IF($O$3="(Todas)",COUNTIFS(BASE[CODCIE10],ENOS_G3_ETI_60_MAS_AÑOS[[#This Row],[CIE-10]],BASE[Edad],"&gt;=60"),COUNTIFS(BASE[Cod.Establecimiento],$O$3,BASE[CODCIE10],ENOS_G3_ETI_60_MAS_AÑOS[[#This Row],[CIE-10]],BASE[Edad],"&gt;=60"))</f>
        <v>0</v>
      </c>
      <c r="R97" s="8">
        <f>IF($O$3="(Todas)",COUNTIFS(BASE[CODCIE102],ENOS_G3_ETI_60_MAS_AÑOS[[#This Row],[CIE-10]],BASE[Edad],"&gt;=60"),COUNTIFS(BASE[Cod.Establecimiento],$O$3,BASE[CODCIE102],ENOS_G3_ETI_60_MAS_AÑOS[[#This Row],[CIE-10]],BASE[Edad],"&gt;=60"))</f>
        <v>0</v>
      </c>
      <c r="S97" s="8">
        <f>IF($O$3="(Todas)",COUNTIFS(BASE[CODCIE104],ENOS_G3_ETI_60_MAS_AÑOS[[#This Row],[CIE-10]],BASE[Edad],"&gt;=60"),COUNTIFS(BASE[Cod.Establecimiento],$O$3,BASE[CODCIE104],ENOS_G3_ETI_60_MAS_AÑOS[[#This Row],[CIE-10]],BASE[Edad],"&gt;=60"))</f>
        <v>0</v>
      </c>
      <c r="T97" s="8">
        <f>IF($O$3="(Todas)",COUNTIFS(BASE[CODCIE106],ENOS_G3_ETI_60_MAS_AÑOS[[#This Row],[CIE-10]],BASE[Edad],"&gt;=60"),COUNTIFS(BASE[Cod.Establecimiento],$O$3,BASE[CODCIE106],ENOS_G3_ETI_60_MAS_AÑOS[[#This Row],[CIE-10]],BASE[Edad],"&gt;=60"))</f>
        <v>0</v>
      </c>
      <c r="U97" s="8">
        <f>IF($O$3="(Todas)",COUNTIFS(BASE[CODCIE108],ENOS_G3_ETI_60_MAS_AÑOS[[#This Row],[CIE-10]],BASE[Edad],"&gt;=60"),COUNTIFS(BASE[Cod.Establecimiento],$O$3,BASE[CODCIE108],ENOS_G3_ETI_60_MAS_AÑOS[[#This Row],[CIE-10]],BASE[Edad],"&gt;=60"))</f>
        <v>0</v>
      </c>
      <c r="V97" s="8">
        <f>IF($O$3="(Todas)",COUNTIFS(BASE[CODCIE1010],ENOS_G3_ETI_60_MAS_AÑOS[[#This Row],[CIE-10]],BASE[Edad],"&gt;=60"),COUNTIFS(BASE[Cod.Establecimiento],$O$3,BASE[CODCIE1010],ENOS_G3_ETI_60_MAS_AÑOS[[#This Row],[CIE-10]],BASE[Edad],"&gt;=60"))</f>
        <v>0</v>
      </c>
      <c r="W97" s="9">
        <f>SUM(ENOS_G3_ETI_60_MAS_AÑOS[[#This Row],[D1]:[D6]])</f>
        <v>0</v>
      </c>
      <c r="X97" s="2"/>
      <c r="Y97" s="31" t="s">
        <v>255</v>
      </c>
      <c r="Z97" s="8">
        <f>IF($O$3="(Todas)",COUNTIFS(BASE[CODCIE10],ENOS_G3_ETI_SD_AÑOS[[#This Row],[CIE-10]],BASE[Edad],""),COUNTIFS(BASE[Cod.Establecimiento],$O$3,BASE[CODCIE10],ENOS_G3_ETI_SD_AÑOS[[#This Row],[CIE-10]],BASE[Edad],""))</f>
        <v>0</v>
      </c>
      <c r="AA97" s="8">
        <f>IF($O$3="(Todas)",COUNTIFS(BASE[CODCIE102],ENOS_G3_ETI_SD_AÑOS[[#This Row],[CIE-10]],BASE[Edad],""),COUNTIFS(BASE[Cod.Establecimiento],$O$3,BASE[CODCIE102],ENOS_G3_ETI_SD_AÑOS[[#This Row],[CIE-10]],BASE[Edad],""))</f>
        <v>0</v>
      </c>
      <c r="AB97" s="8">
        <f>IF($O$3="(Todas)",COUNTIFS(BASE[CODCIE104],ENOS_G3_ETI_SD_AÑOS[[#This Row],[CIE-10]],BASE[Edad],""),COUNTIFS(BASE[Cod.Establecimiento],$O$3,BASE[CODCIE104],ENOS_G3_ETI_SD_AÑOS[[#This Row],[CIE-10]],BASE[Edad],""))</f>
        <v>0</v>
      </c>
      <c r="AC97" s="8">
        <f>IF($O$3="(Todas)",COUNTIFS(BASE[CODCIE106],ENOS_G3_ETI_SD_AÑOS[[#This Row],[CIE-10]],BASE[Edad],""),COUNTIFS(BASE[Cod.Establecimiento],$O$3,BASE[CODCIE106],ENOS_G3_ETI_SD_AÑOS[[#This Row],[CIE-10]],BASE[Edad],""))</f>
        <v>0</v>
      </c>
      <c r="AD97" s="8">
        <f>IF($O$3="(Todas)",COUNTIFS(BASE[CODCIE108],ENOS_G3_ETI_SD_AÑOS[[#This Row],[CIE-10]],BASE[Edad],""),COUNTIFS(BASE[Cod.Establecimiento],$O$3,BASE[CODCIE108],ENOS_G3_ETI_SD_AÑOS[[#This Row],[CIE-10]],BASE[Edad],""))</f>
        <v>0</v>
      </c>
      <c r="AE97" s="8">
        <f>IF($O$3="(Todas)",COUNTIFS(BASE[CODCIE1010],ENOS_G3_ETI_SD_AÑOS[[#This Row],[CIE-10]],BASE[Edad],""),COUNTIFS(BASE[Cod.Establecimiento],$O$3,BASE[CODCIE1010],ENOS_G3_ETI_SD_AÑOS[[#This Row],[CIE-10]],BASE[Edad],""))</f>
        <v>0</v>
      </c>
      <c r="AF97" s="9">
        <f>SUM(ENOS_G3_ETI_SD_AÑOS[[#This Row],[D1]:[D6]])</f>
        <v>0</v>
      </c>
    </row>
    <row r="98" spans="1:32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1" t="s">
        <v>256</v>
      </c>
      <c r="Q98" s="8">
        <f>IF($O$3="(Todas)",COUNTIFS(BASE[CODCIE10],ENOS_G3_ETI_60_MAS_AÑOS[[#This Row],[CIE-10]],BASE[Edad],"&gt;=60"),COUNTIFS(BASE[Cod.Establecimiento],$O$3,BASE[CODCIE10],ENOS_G3_ETI_60_MAS_AÑOS[[#This Row],[CIE-10]],BASE[Edad],"&gt;=60"))</f>
        <v>0</v>
      </c>
      <c r="R98" s="8">
        <f>IF($O$3="(Todas)",COUNTIFS(BASE[CODCIE102],ENOS_G3_ETI_60_MAS_AÑOS[[#This Row],[CIE-10]],BASE[Edad],"&gt;=60"),COUNTIFS(BASE[Cod.Establecimiento],$O$3,BASE[CODCIE102],ENOS_G3_ETI_60_MAS_AÑOS[[#This Row],[CIE-10]],BASE[Edad],"&gt;=60"))</f>
        <v>0</v>
      </c>
      <c r="S98" s="8">
        <f>IF($O$3="(Todas)",COUNTIFS(BASE[CODCIE104],ENOS_G3_ETI_60_MAS_AÑOS[[#This Row],[CIE-10]],BASE[Edad],"&gt;=60"),COUNTIFS(BASE[Cod.Establecimiento],$O$3,BASE[CODCIE104],ENOS_G3_ETI_60_MAS_AÑOS[[#This Row],[CIE-10]],BASE[Edad],"&gt;=60"))</f>
        <v>0</v>
      </c>
      <c r="T98" s="8">
        <f>IF($O$3="(Todas)",COUNTIFS(BASE[CODCIE106],ENOS_G3_ETI_60_MAS_AÑOS[[#This Row],[CIE-10]],BASE[Edad],"&gt;=60"),COUNTIFS(BASE[Cod.Establecimiento],$O$3,BASE[CODCIE106],ENOS_G3_ETI_60_MAS_AÑOS[[#This Row],[CIE-10]],BASE[Edad],"&gt;=60"))</f>
        <v>0</v>
      </c>
      <c r="U98" s="8">
        <f>IF($O$3="(Todas)",COUNTIFS(BASE[CODCIE108],ENOS_G3_ETI_60_MAS_AÑOS[[#This Row],[CIE-10]],BASE[Edad],"&gt;=60"),COUNTIFS(BASE[Cod.Establecimiento],$O$3,BASE[CODCIE108],ENOS_G3_ETI_60_MAS_AÑOS[[#This Row],[CIE-10]],BASE[Edad],"&gt;=60"))</f>
        <v>0</v>
      </c>
      <c r="V98" s="8">
        <f>IF($O$3="(Todas)",COUNTIFS(BASE[CODCIE1010],ENOS_G3_ETI_60_MAS_AÑOS[[#This Row],[CIE-10]],BASE[Edad],"&gt;=60"),COUNTIFS(BASE[Cod.Establecimiento],$O$3,BASE[CODCIE1010],ENOS_G3_ETI_60_MAS_AÑOS[[#This Row],[CIE-10]],BASE[Edad],"&gt;=60"))</f>
        <v>0</v>
      </c>
      <c r="W98" s="9">
        <f>SUM(ENOS_G3_ETI_60_MAS_AÑOS[[#This Row],[D1]:[D6]])</f>
        <v>0</v>
      </c>
      <c r="X98" s="2"/>
      <c r="Y98" s="31" t="s">
        <v>256</v>
      </c>
      <c r="Z98" s="8">
        <f>IF($O$3="(Todas)",COUNTIFS(BASE[CODCIE10],ENOS_G3_ETI_SD_AÑOS[[#This Row],[CIE-10]],BASE[Edad],""),COUNTIFS(BASE[Cod.Establecimiento],$O$3,BASE[CODCIE10],ENOS_G3_ETI_SD_AÑOS[[#This Row],[CIE-10]],BASE[Edad],""))</f>
        <v>0</v>
      </c>
      <c r="AA98" s="8">
        <f>IF($O$3="(Todas)",COUNTIFS(BASE[CODCIE102],ENOS_G3_ETI_SD_AÑOS[[#This Row],[CIE-10]],BASE[Edad],""),COUNTIFS(BASE[Cod.Establecimiento],$O$3,BASE[CODCIE102],ENOS_G3_ETI_SD_AÑOS[[#This Row],[CIE-10]],BASE[Edad],""))</f>
        <v>0</v>
      </c>
      <c r="AB98" s="8">
        <f>IF($O$3="(Todas)",COUNTIFS(BASE[CODCIE104],ENOS_G3_ETI_SD_AÑOS[[#This Row],[CIE-10]],BASE[Edad],""),COUNTIFS(BASE[Cod.Establecimiento],$O$3,BASE[CODCIE104],ENOS_G3_ETI_SD_AÑOS[[#This Row],[CIE-10]],BASE[Edad],""))</f>
        <v>0</v>
      </c>
      <c r="AC98" s="8">
        <f>IF($O$3="(Todas)",COUNTIFS(BASE[CODCIE106],ENOS_G3_ETI_SD_AÑOS[[#This Row],[CIE-10]],BASE[Edad],""),COUNTIFS(BASE[Cod.Establecimiento],$O$3,BASE[CODCIE106],ENOS_G3_ETI_SD_AÑOS[[#This Row],[CIE-10]],BASE[Edad],""))</f>
        <v>0</v>
      </c>
      <c r="AD98" s="8">
        <f>IF($O$3="(Todas)",COUNTIFS(BASE[CODCIE108],ENOS_G3_ETI_SD_AÑOS[[#This Row],[CIE-10]],BASE[Edad],""),COUNTIFS(BASE[Cod.Establecimiento],$O$3,BASE[CODCIE108],ENOS_G3_ETI_SD_AÑOS[[#This Row],[CIE-10]],BASE[Edad],""))</f>
        <v>0</v>
      </c>
      <c r="AE98" s="8">
        <f>IF($O$3="(Todas)",COUNTIFS(BASE[CODCIE1010],ENOS_G3_ETI_SD_AÑOS[[#This Row],[CIE-10]],BASE[Edad],""),COUNTIFS(BASE[Cod.Establecimiento],$O$3,BASE[CODCIE1010],ENOS_G3_ETI_SD_AÑOS[[#This Row],[CIE-10]],BASE[Edad],""))</f>
        <v>0</v>
      </c>
      <c r="AF98" s="9">
        <f>SUM(ENOS_G3_ETI_SD_AÑOS[[#This Row],[D1]:[D6]])</f>
        <v>0</v>
      </c>
    </row>
    <row r="99" spans="1:3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1" t="s">
        <v>257</v>
      </c>
      <c r="Q99" s="8">
        <f>IF($O$3="(Todas)",COUNTIFS(BASE[CODCIE10],ENOS_G3_ETI_60_MAS_AÑOS[[#This Row],[CIE-10]],BASE[Edad],"&gt;=60"),COUNTIFS(BASE[Cod.Establecimiento],$O$3,BASE[CODCIE10],ENOS_G3_ETI_60_MAS_AÑOS[[#This Row],[CIE-10]],BASE[Edad],"&gt;=60"))</f>
        <v>0</v>
      </c>
      <c r="R99" s="8">
        <f>IF($O$3="(Todas)",COUNTIFS(BASE[CODCIE102],ENOS_G3_ETI_60_MAS_AÑOS[[#This Row],[CIE-10]],BASE[Edad],"&gt;=60"),COUNTIFS(BASE[Cod.Establecimiento],$O$3,BASE[CODCIE102],ENOS_G3_ETI_60_MAS_AÑOS[[#This Row],[CIE-10]],BASE[Edad],"&gt;=60"))</f>
        <v>0</v>
      </c>
      <c r="S99" s="8">
        <f>IF($O$3="(Todas)",COUNTIFS(BASE[CODCIE104],ENOS_G3_ETI_60_MAS_AÑOS[[#This Row],[CIE-10]],BASE[Edad],"&gt;=60"),COUNTIFS(BASE[Cod.Establecimiento],$O$3,BASE[CODCIE104],ENOS_G3_ETI_60_MAS_AÑOS[[#This Row],[CIE-10]],BASE[Edad],"&gt;=60"))</f>
        <v>0</v>
      </c>
      <c r="T99" s="8">
        <f>IF($O$3="(Todas)",COUNTIFS(BASE[CODCIE106],ENOS_G3_ETI_60_MAS_AÑOS[[#This Row],[CIE-10]],BASE[Edad],"&gt;=60"),COUNTIFS(BASE[Cod.Establecimiento],$O$3,BASE[CODCIE106],ENOS_G3_ETI_60_MAS_AÑOS[[#This Row],[CIE-10]],BASE[Edad],"&gt;=60"))</f>
        <v>0</v>
      </c>
      <c r="U99" s="8">
        <f>IF($O$3="(Todas)",COUNTIFS(BASE[CODCIE108],ENOS_G3_ETI_60_MAS_AÑOS[[#This Row],[CIE-10]],BASE[Edad],"&gt;=60"),COUNTIFS(BASE[Cod.Establecimiento],$O$3,BASE[CODCIE108],ENOS_G3_ETI_60_MAS_AÑOS[[#This Row],[CIE-10]],BASE[Edad],"&gt;=60"))</f>
        <v>0</v>
      </c>
      <c r="V99" s="8">
        <f>IF($O$3="(Todas)",COUNTIFS(BASE[CODCIE1010],ENOS_G3_ETI_60_MAS_AÑOS[[#This Row],[CIE-10]],BASE[Edad],"&gt;=60"),COUNTIFS(BASE[Cod.Establecimiento],$O$3,BASE[CODCIE1010],ENOS_G3_ETI_60_MAS_AÑOS[[#This Row],[CIE-10]],BASE[Edad],"&gt;=60"))</f>
        <v>0</v>
      </c>
      <c r="W99" s="9">
        <f>SUM(ENOS_G3_ETI_60_MAS_AÑOS[[#This Row],[D1]:[D6]])</f>
        <v>0</v>
      </c>
      <c r="X99" s="2"/>
      <c r="Y99" s="31" t="s">
        <v>257</v>
      </c>
      <c r="Z99" s="8">
        <f>IF($O$3="(Todas)",COUNTIFS(BASE[CODCIE10],ENOS_G3_ETI_SD_AÑOS[[#This Row],[CIE-10]],BASE[Edad],""),COUNTIFS(BASE[Cod.Establecimiento],$O$3,BASE[CODCIE10],ENOS_G3_ETI_SD_AÑOS[[#This Row],[CIE-10]],BASE[Edad],""))</f>
        <v>0</v>
      </c>
      <c r="AA99" s="8">
        <f>IF($O$3="(Todas)",COUNTIFS(BASE[CODCIE102],ENOS_G3_ETI_SD_AÑOS[[#This Row],[CIE-10]],BASE[Edad],""),COUNTIFS(BASE[Cod.Establecimiento],$O$3,BASE[CODCIE102],ENOS_G3_ETI_SD_AÑOS[[#This Row],[CIE-10]],BASE[Edad],""))</f>
        <v>0</v>
      </c>
      <c r="AB99" s="8">
        <f>IF($O$3="(Todas)",COUNTIFS(BASE[CODCIE104],ENOS_G3_ETI_SD_AÑOS[[#This Row],[CIE-10]],BASE[Edad],""),COUNTIFS(BASE[Cod.Establecimiento],$O$3,BASE[CODCIE104],ENOS_G3_ETI_SD_AÑOS[[#This Row],[CIE-10]],BASE[Edad],""))</f>
        <v>0</v>
      </c>
      <c r="AC99" s="8">
        <f>IF($O$3="(Todas)",COUNTIFS(BASE[CODCIE106],ENOS_G3_ETI_SD_AÑOS[[#This Row],[CIE-10]],BASE[Edad],""),COUNTIFS(BASE[Cod.Establecimiento],$O$3,BASE[CODCIE106],ENOS_G3_ETI_SD_AÑOS[[#This Row],[CIE-10]],BASE[Edad],""))</f>
        <v>0</v>
      </c>
      <c r="AD99" s="8">
        <f>IF($O$3="(Todas)",COUNTIFS(BASE[CODCIE108],ENOS_G3_ETI_SD_AÑOS[[#This Row],[CIE-10]],BASE[Edad],""),COUNTIFS(BASE[Cod.Establecimiento],$O$3,BASE[CODCIE108],ENOS_G3_ETI_SD_AÑOS[[#This Row],[CIE-10]],BASE[Edad],""))</f>
        <v>0</v>
      </c>
      <c r="AE99" s="8">
        <f>IF($O$3="(Todas)",COUNTIFS(BASE[CODCIE1010],ENOS_G3_ETI_SD_AÑOS[[#This Row],[CIE-10]],BASE[Edad],""),COUNTIFS(BASE[Cod.Establecimiento],$O$3,BASE[CODCIE1010],ENOS_G3_ETI_SD_AÑOS[[#This Row],[CIE-10]],BASE[Edad],""))</f>
        <v>0</v>
      </c>
      <c r="AF99" s="9">
        <f>SUM(ENOS_G3_ETI_SD_AÑOS[[#This Row],[D1]:[D6]])</f>
        <v>0</v>
      </c>
    </row>
    <row r="100" spans="1:32" ht="1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.75" customHeight="1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87" t="s">
        <v>262</v>
      </c>
      <c r="Q101" s="88"/>
      <c r="R101" s="88"/>
      <c r="S101" s="88"/>
      <c r="T101" s="88"/>
      <c r="U101" s="88"/>
      <c r="V101" s="88"/>
      <c r="W101" s="88"/>
      <c r="X101" s="2"/>
      <c r="Y101" s="87" t="s">
        <v>263</v>
      </c>
      <c r="Z101" s="88"/>
      <c r="AA101" s="88"/>
      <c r="AB101" s="88"/>
      <c r="AC101" s="88"/>
      <c r="AD101" s="88"/>
      <c r="AE101" s="88"/>
      <c r="AF101" s="88"/>
    </row>
    <row r="102" spans="1:32" ht="15.75" customHeight="1" thickTop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 t="s">
        <v>77</v>
      </c>
      <c r="Q102" s="8" t="s">
        <v>78</v>
      </c>
      <c r="R102" s="8" t="s">
        <v>79</v>
      </c>
      <c r="S102" s="8" t="s">
        <v>80</v>
      </c>
      <c r="T102" s="8" t="s">
        <v>81</v>
      </c>
      <c r="U102" s="8" t="s">
        <v>82</v>
      </c>
      <c r="V102" s="8" t="s">
        <v>83</v>
      </c>
      <c r="W102" s="10" t="s">
        <v>84</v>
      </c>
      <c r="X102" s="2"/>
      <c r="Y102" s="2" t="s">
        <v>77</v>
      </c>
      <c r="Z102" s="8" t="s">
        <v>78</v>
      </c>
      <c r="AA102" s="8" t="s">
        <v>79</v>
      </c>
      <c r="AB102" s="8" t="s">
        <v>80</v>
      </c>
      <c r="AC102" s="8" t="s">
        <v>81</v>
      </c>
      <c r="AD102" s="8" t="s">
        <v>82</v>
      </c>
      <c r="AE102" s="8" t="s">
        <v>83</v>
      </c>
      <c r="AF102" s="10" t="s">
        <v>84</v>
      </c>
    </row>
    <row r="103" spans="1:3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1" t="s">
        <v>288</v>
      </c>
      <c r="Q103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3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3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3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3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3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3" s="9">
        <f>SUM(ENOS_G3_IRANN_MENOR_QUE_1_AÑO[[#This Row],[D1]:[D6]])</f>
        <v>0</v>
      </c>
      <c r="X103" s="2"/>
      <c r="Y103" s="31" t="s">
        <v>288</v>
      </c>
      <c r="Z103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3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3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3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3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3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3" s="9">
        <f>SUM(ENOS_G3_IRANN_1_4_AÑOS[[#This Row],[D1]:[D6]])</f>
        <v>0</v>
      </c>
    </row>
    <row r="104" spans="1:3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1" t="s">
        <v>289</v>
      </c>
      <c r="Q104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4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4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4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4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4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4" s="9">
        <f>SUM(ENOS_G3_IRANN_MENOR_QUE_1_AÑO[[#This Row],[D1]:[D6]])</f>
        <v>0</v>
      </c>
      <c r="X104" s="2"/>
      <c r="Y104" s="31" t="s">
        <v>289</v>
      </c>
      <c r="Z104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4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4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4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4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4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4" s="9">
        <f>SUM(ENOS_G3_IRANN_1_4_AÑOS[[#This Row],[D1]:[D6]])</f>
        <v>0</v>
      </c>
    </row>
    <row r="105" spans="1:3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1" t="s">
        <v>290</v>
      </c>
      <c r="Q105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5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5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5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5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5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5" s="9">
        <f>SUM(ENOS_G3_IRANN_MENOR_QUE_1_AÑO[[#This Row],[D1]:[D6]])</f>
        <v>0</v>
      </c>
      <c r="X105" s="2"/>
      <c r="Y105" s="31" t="s">
        <v>290</v>
      </c>
      <c r="Z105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5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5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5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5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5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5" s="9">
        <f>SUM(ENOS_G3_IRANN_1_4_AÑOS[[#This Row],[D1]:[D6]])</f>
        <v>0</v>
      </c>
    </row>
    <row r="106" spans="1:3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1" t="s">
        <v>291</v>
      </c>
      <c r="Q106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6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6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6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6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6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6" s="9">
        <f>SUM(ENOS_G3_IRANN_MENOR_QUE_1_AÑO[[#This Row],[D1]:[D6]])</f>
        <v>0</v>
      </c>
      <c r="X106" s="2"/>
      <c r="Y106" s="31" t="s">
        <v>291</v>
      </c>
      <c r="Z106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6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6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6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6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6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6" s="9">
        <f>SUM(ENOS_G3_IRANN_1_4_AÑOS[[#This Row],[D1]:[D6]])</f>
        <v>0</v>
      </c>
    </row>
    <row r="107" spans="1:32" ht="1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1" t="s">
        <v>292</v>
      </c>
      <c r="Q107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7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7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7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7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7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7" s="9">
        <f>SUM(ENOS_G3_IRANN_MENOR_QUE_1_AÑO[[#This Row],[D1]:[D6]])</f>
        <v>0</v>
      </c>
      <c r="X107" s="2"/>
      <c r="Y107" s="31" t="s">
        <v>292</v>
      </c>
      <c r="Z107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7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7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7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7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7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7" s="9">
        <f>SUM(ENOS_G3_IRANN_1_4_AÑOS[[#This Row],[D1]:[D6]])</f>
        <v>0</v>
      </c>
    </row>
    <row r="108" spans="1:32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1" t="s">
        <v>293</v>
      </c>
      <c r="Q108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8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8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8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8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8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8" s="9">
        <f>SUM(ENOS_G3_IRANN_MENOR_QUE_1_AÑO[[#This Row],[D1]:[D6]])</f>
        <v>0</v>
      </c>
      <c r="X108" s="2"/>
      <c r="Y108" s="31" t="s">
        <v>293</v>
      </c>
      <c r="Z108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8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8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8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8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8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8" s="9">
        <f>SUM(ENOS_G3_IRANN_1_4_AÑOS[[#This Row],[D1]:[D6]])</f>
        <v>0</v>
      </c>
    </row>
    <row r="109" spans="1:32" ht="1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1" t="s">
        <v>294</v>
      </c>
      <c r="Q109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09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09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09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09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09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09" s="9">
        <f>SUM(ENOS_G3_IRANN_MENOR_QUE_1_AÑO[[#This Row],[D1]:[D6]])</f>
        <v>0</v>
      </c>
      <c r="X109" s="2"/>
      <c r="Y109" s="31" t="s">
        <v>294</v>
      </c>
      <c r="Z109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09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09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09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09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09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09" s="9">
        <f>SUM(ENOS_G3_IRANN_1_4_AÑOS[[#This Row],[D1]:[D6]])</f>
        <v>0</v>
      </c>
    </row>
    <row r="110" spans="1:32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1" t="s">
        <v>295</v>
      </c>
      <c r="Q110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10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10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10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10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10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10" s="9">
        <f>SUM(ENOS_G3_IRANN_MENOR_QUE_1_AÑO[[#This Row],[D1]:[D6]])</f>
        <v>0</v>
      </c>
      <c r="X110" s="2"/>
      <c r="Y110" s="31" t="s">
        <v>295</v>
      </c>
      <c r="Z110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10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10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10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10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10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10" s="9">
        <f>SUM(ENOS_G3_IRANN_1_4_AÑOS[[#This Row],[D1]:[D6]])</f>
        <v>0</v>
      </c>
    </row>
    <row r="111" spans="1:3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1" t="s">
        <v>296</v>
      </c>
      <c r="Q111" s="8">
        <f>IF($O$3="(Todas)",COUNTIFS(BASE[CODCIE10],ENOS_G3_IRANN_MENOR_QUE_1_AÑO[[#This Row],[CIE-10]],BASE[Edad],"&lt;1"),COUNTIFS(BASE[Cod.Establecimiento],$O$3,BASE[CODCIE10],ENOS_G3_IRANN_MENOR_QUE_1_AÑO[[#This Row],[CIE-10]],BASE[Edad],"&lt;1"))</f>
        <v>0</v>
      </c>
      <c r="R111" s="8">
        <f>IF($O$3="(Todas)",COUNTIFS(BASE[CODCIE102],ENOS_G3_IRANN_MENOR_QUE_1_AÑO[[#This Row],[CIE-10]],BASE[Edad],"&lt;1"),COUNTIFS(BASE[Cod.Establecimiento],$O$3,BASE[CODCIE102],ENOS_G3_IRANN_MENOR_QUE_1_AÑO[[#This Row],[CIE-10]],BASE[Edad],"&lt;1"))</f>
        <v>0</v>
      </c>
      <c r="S111" s="8">
        <f>IF($O$3="(Todas)",COUNTIFS(BASE[CODCIE104],ENOS_G3_IRANN_MENOR_QUE_1_AÑO[[#This Row],[CIE-10]],BASE[Edad],"&lt;1"),COUNTIFS(BASE[Cod.Establecimiento],$O$3,BASE[CODCIE104],ENOS_G3_IRANN_MENOR_QUE_1_AÑO[[#This Row],[CIE-10]],BASE[Edad],"&lt;1"))</f>
        <v>0</v>
      </c>
      <c r="T111" s="8">
        <f>IF($O$3="(Todas)",COUNTIFS(BASE[CODCIE106],ENOS_G3_IRANN_MENOR_QUE_1_AÑO[[#This Row],[CIE-10]],BASE[Edad],"&lt;1"),COUNTIFS(BASE[Cod.Establecimiento],$O$3,BASE[CODCIE106],ENOS_G3_IRANN_MENOR_QUE_1_AÑO[[#This Row],[CIE-10]],BASE[Edad],"&lt;1"))</f>
        <v>0</v>
      </c>
      <c r="U111" s="8">
        <f>IF($O$3="(Todas)",COUNTIFS(BASE[CODCIE108],ENOS_G3_IRANN_MENOR_QUE_1_AÑO[[#This Row],[CIE-10]],BASE[Edad],"&lt;1"),COUNTIFS(BASE[Cod.Establecimiento],$O$3,BASE[CODCIE108],ENOS_G3_IRANN_MENOR_QUE_1_AÑO[[#This Row],[CIE-10]],BASE[Edad],"&lt;1"))</f>
        <v>0</v>
      </c>
      <c r="V111" s="8">
        <f>IF($O$3="(Todas)",COUNTIFS(BASE[CODCIE1010],ENOS_G3_IRANN_MENOR_QUE_1_AÑO[[#This Row],[CIE-10]],BASE[Edad],"&lt;1"),COUNTIFS(BASE[Cod.Establecimiento],$O$3,BASE[CODCIE1010],ENOS_G3_IRANN_MENOR_QUE_1_AÑO[[#This Row],[CIE-10]],BASE[Edad],"&lt;1"))</f>
        <v>0</v>
      </c>
      <c r="W111" s="9">
        <f>SUM(ENOS_G3_IRANN_MENOR_QUE_1_AÑO[[#This Row],[D1]:[D6]])</f>
        <v>0</v>
      </c>
      <c r="X111" s="2"/>
      <c r="Y111" s="31" t="s">
        <v>296</v>
      </c>
      <c r="Z111" s="8">
        <f>IF($O$3="(Todas)",COUNTIFS(BASE[CODCIE10],ENOS_G3_IRANN_1_4_AÑOS[[#This Row],[CIE-10]],BASE[Edad],"&gt;=1",BASE[Edad],"&lt;=4"),COUNTIFS(BASE[Cod.Establecimiento],$O$3,BASE[CODCIE10],ENOS_G3_IRANN_1_4_AÑOS[[#This Row],[CIE-10]],BASE[Edad],"&gt;=1",BASE[Edad],"&lt;=4"))</f>
        <v>0</v>
      </c>
      <c r="AA111" s="8">
        <f>IF($O$3="(Todas)",COUNTIFS(BASE[CODCIE102],ENOS_G3_IRANN_1_4_AÑOS[[#This Row],[CIE-10]],BASE[Edad],"&gt;=1",BASE[Edad],"&lt;=4"),COUNTIFS(BASE[Cod.Establecimiento],$O$3,BASE[CODCIE102],ENOS_G3_IRANN_1_4_AÑOS[[#This Row],[CIE-10]],BASE[Edad],"&gt;=1",BASE[Edad],"&lt;=4"))</f>
        <v>0</v>
      </c>
      <c r="AB111" s="8">
        <f>IF($O$3="(Todas)",COUNTIFS(BASE[CODCIE104],ENOS_G3_IRANN_1_4_AÑOS[[#This Row],[CIE-10]],BASE[Edad],"&gt;=1",BASE[Edad],"&lt;=4"),COUNTIFS(BASE[Cod.Establecimiento],$O$3,BASE[CODCIE104],ENOS_G3_IRANN_1_4_AÑOS[[#This Row],[CIE-10]],BASE[Edad],"&gt;=1",BASE[Edad],"&lt;=4"))</f>
        <v>0</v>
      </c>
      <c r="AC111" s="8">
        <f>IF($O$3="(Todas)",COUNTIFS(BASE[CODCIE106],ENOS_G3_IRANN_1_4_AÑOS[[#This Row],[CIE-10]],BASE[Edad],"&gt;=1",BASE[Edad],"&lt;=4"),COUNTIFS(BASE[Cod.Establecimiento],$O$3,BASE[CODCIE106],ENOS_G3_IRANN_1_4_AÑOS[[#This Row],[CIE-10]],BASE[Edad],"&gt;=1",BASE[Edad],"&lt;=4"))</f>
        <v>0</v>
      </c>
      <c r="AD111" s="8">
        <f>IF($O$3="(Todas)",COUNTIFS(BASE[CODCIE108],ENOS_G3_IRANN_1_4_AÑOS[[#This Row],[CIE-10]],BASE[Edad],"&gt;=1",BASE[Edad],"&lt;=4"),COUNTIFS(BASE[Cod.Establecimiento],$O$3,BASE[CODCIE108],ENOS_G3_IRANN_1_4_AÑOS[[#This Row],[CIE-10]],BASE[Edad],"&gt;=1",BASE[Edad],"&lt;=4"))</f>
        <v>0</v>
      </c>
      <c r="AE111" s="8">
        <f>IF($O$3="(Todas)",COUNTIFS(BASE[CODCIE1010],ENOS_G3_IRANN_1_4_AÑOS[[#This Row],[CIE-10]],BASE[Edad],"&gt;=1",BASE[Edad],"&lt;=4"),COUNTIFS(BASE[Cod.Establecimiento],$O$3,BASE[CODCIE1010],ENOS_G3_IRANN_1_4_AÑOS[[#This Row],[CIE-10]],BASE[Edad],"&gt;=1",BASE[Edad],"&lt;=4"))</f>
        <v>0</v>
      </c>
      <c r="AF111" s="9">
        <f>SUM(ENOS_G3_IRANN_1_4_AÑOS[[#This Row],[D1]:[D6]])</f>
        <v>0</v>
      </c>
    </row>
    <row r="112" spans="1:3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8" customHeight="1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87" t="s">
        <v>264</v>
      </c>
      <c r="Q113" s="88"/>
      <c r="R113" s="88"/>
      <c r="S113" s="88"/>
      <c r="T113" s="88"/>
      <c r="U113" s="88"/>
      <c r="V113" s="88"/>
      <c r="W113" s="88"/>
      <c r="X113" s="2"/>
      <c r="Y113" s="87" t="s">
        <v>265</v>
      </c>
      <c r="Z113" s="88"/>
      <c r="AA113" s="88"/>
      <c r="AB113" s="88"/>
      <c r="AC113" s="88"/>
      <c r="AD113" s="88"/>
      <c r="AE113" s="88"/>
      <c r="AF113" s="88"/>
    </row>
    <row r="114" spans="1:32" ht="15.75" customHeight="1" thickTop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 t="s">
        <v>77</v>
      </c>
      <c r="Q114" s="8" t="s">
        <v>78</v>
      </c>
      <c r="R114" s="8" t="s">
        <v>79</v>
      </c>
      <c r="S114" s="8" t="s">
        <v>80</v>
      </c>
      <c r="T114" s="8" t="s">
        <v>81</v>
      </c>
      <c r="U114" s="8" t="s">
        <v>82</v>
      </c>
      <c r="V114" s="8" t="s">
        <v>83</v>
      </c>
      <c r="W114" s="10" t="s">
        <v>84</v>
      </c>
      <c r="X114" s="2"/>
      <c r="Y114" s="2" t="s">
        <v>77</v>
      </c>
      <c r="Z114" s="8" t="s">
        <v>78</v>
      </c>
      <c r="AA114" s="8" t="s">
        <v>79</v>
      </c>
      <c r="AB114" s="8" t="s">
        <v>80</v>
      </c>
      <c r="AC114" s="8" t="s">
        <v>81</v>
      </c>
      <c r="AD114" s="8" t="s">
        <v>82</v>
      </c>
      <c r="AE114" s="8" t="s">
        <v>83</v>
      </c>
      <c r="AF114" s="10" t="s">
        <v>84</v>
      </c>
    </row>
    <row r="115" spans="1:3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1" t="s">
        <v>288</v>
      </c>
      <c r="Q115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5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5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5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5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5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5" s="9">
        <f>SUM(ENOS_G3_IRANN_5_19_AÑOS[[#This Row],[D1]:[D6]])</f>
        <v>0</v>
      </c>
      <c r="X115" s="2"/>
      <c r="Y115" s="31" t="s">
        <v>288</v>
      </c>
      <c r="Z115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5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5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5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5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5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5" s="9">
        <f>SUM(ENOS_G3_IRANN_20_59_AÑOS[[#This Row],[D1]:[D6]])</f>
        <v>0</v>
      </c>
    </row>
    <row r="116" spans="1:3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1" t="s">
        <v>289</v>
      </c>
      <c r="Q116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6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6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6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6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6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6" s="9">
        <f>SUM(ENOS_G3_IRANN_5_19_AÑOS[[#This Row],[D1]:[D6]])</f>
        <v>0</v>
      </c>
      <c r="X116" s="2"/>
      <c r="Y116" s="31" t="s">
        <v>289</v>
      </c>
      <c r="Z116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6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6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6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6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6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6" s="9">
        <f>SUM(ENOS_G3_IRANN_20_59_AÑOS[[#This Row],[D1]:[D6]])</f>
        <v>0</v>
      </c>
    </row>
    <row r="117" spans="1:3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1" t="s">
        <v>290</v>
      </c>
      <c r="Q117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7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7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7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7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7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7" s="9">
        <f>SUM(ENOS_G3_IRANN_5_19_AÑOS[[#This Row],[D1]:[D6]])</f>
        <v>0</v>
      </c>
      <c r="X117" s="2"/>
      <c r="Y117" s="31" t="s">
        <v>290</v>
      </c>
      <c r="Z117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7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7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7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7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7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7" s="9">
        <f>SUM(ENOS_G3_IRANN_20_59_AÑOS[[#This Row],[D1]:[D6]])</f>
        <v>0</v>
      </c>
    </row>
    <row r="118" spans="1:3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1" t="s">
        <v>291</v>
      </c>
      <c r="Q118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8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8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8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8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8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8" s="9">
        <f>SUM(ENOS_G3_IRANN_5_19_AÑOS[[#This Row],[D1]:[D6]])</f>
        <v>0</v>
      </c>
      <c r="X118" s="2"/>
      <c r="Y118" s="31" t="s">
        <v>291</v>
      </c>
      <c r="Z118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8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8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8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8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8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8" s="9">
        <f>SUM(ENOS_G3_IRANN_20_59_AÑOS[[#This Row],[D1]:[D6]])</f>
        <v>0</v>
      </c>
    </row>
    <row r="119" spans="1:32" ht="1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1" t="s">
        <v>292</v>
      </c>
      <c r="Q119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19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19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19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19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19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19" s="9">
        <f>SUM(ENOS_G3_IRANN_5_19_AÑOS[[#This Row],[D1]:[D6]])</f>
        <v>0</v>
      </c>
      <c r="X119" s="2"/>
      <c r="Y119" s="31" t="s">
        <v>292</v>
      </c>
      <c r="Z119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19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19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19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19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19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19" s="9">
        <f>SUM(ENOS_G3_IRANN_20_59_AÑOS[[#This Row],[D1]:[D6]])</f>
        <v>0</v>
      </c>
    </row>
    <row r="120" spans="1:32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1" t="s">
        <v>293</v>
      </c>
      <c r="Q120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0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0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0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0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0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0" s="9">
        <f>SUM(ENOS_G3_IRANN_5_19_AÑOS[[#This Row],[D1]:[D6]])</f>
        <v>0</v>
      </c>
      <c r="X120" s="2"/>
      <c r="Y120" s="31" t="s">
        <v>293</v>
      </c>
      <c r="Z120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0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0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0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0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0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0" s="9">
        <f>SUM(ENOS_G3_IRANN_20_59_AÑOS[[#This Row],[D1]:[D6]])</f>
        <v>0</v>
      </c>
    </row>
    <row r="121" spans="1:32" ht="1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1" t="s">
        <v>294</v>
      </c>
      <c r="Q121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1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1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1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1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1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1" s="9">
        <f>SUM(ENOS_G3_IRANN_5_19_AÑOS[[#This Row],[D1]:[D6]])</f>
        <v>0</v>
      </c>
      <c r="X121" s="2"/>
      <c r="Y121" s="31" t="s">
        <v>294</v>
      </c>
      <c r="Z121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1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1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1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1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1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1" s="9">
        <f>SUM(ENOS_G3_IRANN_20_59_AÑOS[[#This Row],[D1]:[D6]])</f>
        <v>0</v>
      </c>
    </row>
    <row r="122" spans="1:3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1" t="s">
        <v>295</v>
      </c>
      <c r="Q122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2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2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2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2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2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2" s="9">
        <f>SUM(ENOS_G3_IRANN_5_19_AÑOS[[#This Row],[D1]:[D6]])</f>
        <v>0</v>
      </c>
      <c r="X122" s="2"/>
      <c r="Y122" s="31" t="s">
        <v>295</v>
      </c>
      <c r="Z122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2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2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2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2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2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2" s="9">
        <f>SUM(ENOS_G3_IRANN_20_59_AÑOS[[#This Row],[D1]:[D6]])</f>
        <v>0</v>
      </c>
    </row>
    <row r="123" spans="1:3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1" t="s">
        <v>296</v>
      </c>
      <c r="Q123" s="8">
        <f>IF($O$3="(Todas)",COUNTIFS(BASE[CODCIE10],ENOS_G3_IRANN_5_19_AÑOS[[#This Row],[CIE-10]],BASE[Edad],"&gt;=5",BASE[Edad],"&lt;=19"),COUNTIFS(BASE[Cod.Establecimiento],$O$3,BASE[CODCIE10],ENOS_G3_IRANN_5_19_AÑOS[[#This Row],[CIE-10]],BASE[Edad],"&gt;=5",BASE[Edad],"&lt;=19"))</f>
        <v>0</v>
      </c>
      <c r="R123" s="8">
        <f>IF($O$3="(Todas)",COUNTIFS(BASE[CODCIE102],ENOS_G3_IRANN_5_19_AÑOS[[#This Row],[CIE-10]],BASE[Edad],"&gt;=5",BASE[Edad],"&lt;=19"),COUNTIFS(BASE[Cod.Establecimiento],$O$3,BASE[CODCIE102],ENOS_G3_IRANN_5_19_AÑOS[[#This Row],[CIE-10]],BASE[Edad],"&gt;=5",BASE[Edad],"&lt;=19"))</f>
        <v>0</v>
      </c>
      <c r="S123" s="8">
        <f>IF($O$3="(Todas)",COUNTIFS(BASE[CODCIE104],ENOS_G3_IRANN_5_19_AÑOS[[#This Row],[CIE-10]],BASE[Edad],"&gt;=5",BASE[Edad],"&lt;=19"),COUNTIFS(BASE[Cod.Establecimiento],$O$3,BASE[CODCIE104],ENOS_G3_IRANN_5_19_AÑOS[[#This Row],[CIE-10]],BASE[Edad],"&gt;=5",BASE[Edad],"&lt;=19"))</f>
        <v>0</v>
      </c>
      <c r="T123" s="8">
        <f>IF($O$3="(Todas)",COUNTIFS(BASE[CODCIE106],ENOS_G3_IRANN_5_19_AÑOS[[#This Row],[CIE-10]],BASE[Edad],"&gt;=5",BASE[Edad],"&lt;=19"),COUNTIFS(BASE[Cod.Establecimiento],$O$3,BASE[CODCIE106],ENOS_G3_IRANN_5_19_AÑOS[[#This Row],[CIE-10]],BASE[Edad],"&gt;=5",BASE[Edad],"&lt;=19"))</f>
        <v>0</v>
      </c>
      <c r="U123" s="8">
        <f>IF($O$3="(Todas)",COUNTIFS(BASE[CODCIE108],ENOS_G3_IRANN_5_19_AÑOS[[#This Row],[CIE-10]],BASE[Edad],"&gt;=5",BASE[Edad],"&lt;=19"),COUNTIFS(BASE[Cod.Establecimiento],$O$3,BASE[CODCIE108],ENOS_G3_IRANN_5_19_AÑOS[[#This Row],[CIE-10]],BASE[Edad],"&gt;=5",BASE[Edad],"&lt;=19"))</f>
        <v>0</v>
      </c>
      <c r="V123" s="8">
        <f>IF($O$3="(Todas)",COUNTIFS(BASE[CODCIE1010],ENOS_G3_IRANN_5_19_AÑOS[[#This Row],[CIE-10]],BASE[Edad],"&gt;=5",BASE[Edad],"&lt;=19"),COUNTIFS(BASE[Cod.Establecimiento],$O$3,BASE[CODCIE1010],ENOS_G3_IRANN_5_19_AÑOS[[#This Row],[CIE-10]],BASE[Edad],"&gt;=5",BASE[Edad],"&lt;=19"))</f>
        <v>0</v>
      </c>
      <c r="W123" s="9">
        <f>SUM(ENOS_G3_IRANN_5_19_AÑOS[[#This Row],[D1]:[D6]])</f>
        <v>0</v>
      </c>
      <c r="X123" s="2"/>
      <c r="Y123" s="31" t="s">
        <v>296</v>
      </c>
      <c r="Z123" s="8">
        <f>IF($O$3="(Todas)",COUNTIFS(BASE[CODCIE10],ENOS_G3_IRANN_20_59_AÑOS[[#This Row],[CIE-10]],BASE[Edad],"&gt;=20",BASE[Edad],"&lt;=59"),COUNTIFS(BASE[Cod.Establecimiento],$O$3,BASE[CODCIE10],ENOS_G3_IRANN_20_59_AÑOS[[#This Row],[CIE-10]],BASE[Edad],"&gt;=20",BASE[Edad],"&lt;=59"))</f>
        <v>0</v>
      </c>
      <c r="AA123" s="8">
        <f>IF($O$3="(Todas)",COUNTIFS(BASE[CODCIE102],ENOS_G3_IRANN_20_59_AÑOS[[#This Row],[CIE-10]],BASE[Edad],"&gt;=20",BASE[Edad],"&lt;=59"),COUNTIFS(BASE[Cod.Establecimiento],$O$3,BASE[CODCIE102],ENOS_G3_IRANN_20_59_AÑOS[[#This Row],[CIE-10]],BASE[Edad],"&gt;=20",BASE[Edad],"&lt;=59"))</f>
        <v>0</v>
      </c>
      <c r="AB123" s="8">
        <f>IF($O$3="(Todas)",COUNTIFS(BASE[CODCIE104],ENOS_G3_IRANN_20_59_AÑOS[[#This Row],[CIE-10]],BASE[Edad],"&gt;=20",BASE[Edad],"&lt;=59"),COUNTIFS(BASE[Cod.Establecimiento],$O$3,BASE[CODCIE104],ENOS_G3_IRANN_20_59_AÑOS[[#This Row],[CIE-10]],BASE[Edad],"&gt;=20",BASE[Edad],"&lt;=59"))</f>
        <v>0</v>
      </c>
      <c r="AC123" s="8">
        <f>IF($O$3="(Todas)",COUNTIFS(BASE[CODCIE106],ENOS_G3_IRANN_20_59_AÑOS[[#This Row],[CIE-10]],BASE[Edad],"&gt;=20",BASE[Edad],"&lt;=59"),COUNTIFS(BASE[Cod.Establecimiento],$O$3,BASE[CODCIE106],ENOS_G3_IRANN_20_59_AÑOS[[#This Row],[CIE-10]],BASE[Edad],"&gt;=20",BASE[Edad],"&lt;=59"))</f>
        <v>0</v>
      </c>
      <c r="AD123" s="8">
        <f>IF($O$3="(Todas)",COUNTIFS(BASE[CODCIE108],ENOS_G3_IRANN_20_59_AÑOS[[#This Row],[CIE-10]],BASE[Edad],"&gt;=20",BASE[Edad],"&lt;=59"),COUNTIFS(BASE[Cod.Establecimiento],$O$3,BASE[CODCIE108],ENOS_G3_IRANN_20_59_AÑOS[[#This Row],[CIE-10]],BASE[Edad],"&gt;=20",BASE[Edad],"&lt;=59"))</f>
        <v>0</v>
      </c>
      <c r="AE123" s="8">
        <f>IF($O$3="(Todas)",COUNTIFS(BASE[CODCIE1010],ENOS_G3_IRANN_20_59_AÑOS[[#This Row],[CIE-10]],BASE[Edad],"&gt;=20",BASE[Edad],"&lt;=59"),COUNTIFS(BASE[Cod.Establecimiento],$O$3,BASE[CODCIE1010],ENOS_G3_IRANN_20_59_AÑOS[[#This Row],[CIE-10]],BASE[Edad],"&gt;=20",BASE[Edad],"&lt;=59"))</f>
        <v>0</v>
      </c>
      <c r="AF123" s="9">
        <f>SUM(ENOS_G3_IRANN_20_59_AÑOS[[#This Row],[D1]:[D6]])</f>
        <v>0</v>
      </c>
    </row>
    <row r="124" spans="1:3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8" customHeight="1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87" t="s">
        <v>266</v>
      </c>
      <c r="Q125" s="88"/>
      <c r="R125" s="88"/>
      <c r="S125" s="88"/>
      <c r="T125" s="88"/>
      <c r="U125" s="88"/>
      <c r="V125" s="88"/>
      <c r="W125" s="88"/>
      <c r="X125" s="2"/>
      <c r="Y125" s="87" t="s">
        <v>267</v>
      </c>
      <c r="Z125" s="88"/>
      <c r="AA125" s="88"/>
      <c r="AB125" s="88"/>
      <c r="AC125" s="88"/>
      <c r="AD125" s="88"/>
      <c r="AE125" s="88"/>
      <c r="AF125" s="88"/>
    </row>
    <row r="126" spans="1:32" ht="15.75" customHeight="1" thickTop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 t="s">
        <v>77</v>
      </c>
      <c r="Q126" s="8" t="s">
        <v>78</v>
      </c>
      <c r="R126" s="8" t="s">
        <v>79</v>
      </c>
      <c r="S126" s="8" t="s">
        <v>80</v>
      </c>
      <c r="T126" s="8" t="s">
        <v>81</v>
      </c>
      <c r="U126" s="8" t="s">
        <v>82</v>
      </c>
      <c r="V126" s="8" t="s">
        <v>83</v>
      </c>
      <c r="W126" s="10" t="s">
        <v>84</v>
      </c>
      <c r="X126" s="2"/>
      <c r="Y126" s="2" t="s">
        <v>77</v>
      </c>
      <c r="Z126" s="8" t="s">
        <v>78</v>
      </c>
      <c r="AA126" s="8" t="s">
        <v>79</v>
      </c>
      <c r="AB126" s="8" t="s">
        <v>80</v>
      </c>
      <c r="AC126" s="8" t="s">
        <v>81</v>
      </c>
      <c r="AD126" s="8" t="s">
        <v>82</v>
      </c>
      <c r="AE126" s="8" t="s">
        <v>83</v>
      </c>
      <c r="AF126" s="10" t="s">
        <v>84</v>
      </c>
    </row>
    <row r="127" spans="1:3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1" t="s">
        <v>288</v>
      </c>
      <c r="Q127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27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27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27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27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27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27" s="9">
        <f>SUM(ENOS_G3_IRANN_60_MAS_AÑOS[[#This Row],[D1]:[D6]])</f>
        <v>0</v>
      </c>
      <c r="X127" s="2"/>
      <c r="Y127" s="31" t="s">
        <v>288</v>
      </c>
      <c r="Z127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27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27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27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27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27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27" s="9">
        <f>SUM(ENOS_G3_IRANN_SD_AÑOS[[#This Row],[D1]:[D6]])</f>
        <v>0</v>
      </c>
    </row>
    <row r="128" spans="1:3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1" t="s">
        <v>289</v>
      </c>
      <c r="Q128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28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28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28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28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28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28" s="9">
        <f>SUM(ENOS_G3_IRANN_60_MAS_AÑOS[[#This Row],[D1]:[D6]])</f>
        <v>0</v>
      </c>
      <c r="X128" s="2"/>
      <c r="Y128" s="31" t="s">
        <v>289</v>
      </c>
      <c r="Z128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28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28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28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28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28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28" s="9">
        <f>SUM(ENOS_G3_IRANN_SD_AÑOS[[#This Row],[D1]:[D6]])</f>
        <v>0</v>
      </c>
    </row>
    <row r="129" spans="1:3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1" t="s">
        <v>290</v>
      </c>
      <c r="Q129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29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29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29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29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29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29" s="9">
        <f>SUM(ENOS_G3_IRANN_60_MAS_AÑOS[[#This Row],[D1]:[D6]])</f>
        <v>0</v>
      </c>
      <c r="X129" s="2"/>
      <c r="Y129" s="31" t="s">
        <v>290</v>
      </c>
      <c r="Z129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29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29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29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29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29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29" s="9">
        <f>SUM(ENOS_G3_IRANN_SD_AÑOS[[#This Row],[D1]:[D6]])</f>
        <v>0</v>
      </c>
    </row>
    <row r="130" spans="1:3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1" t="s">
        <v>291</v>
      </c>
      <c r="Q130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0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0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0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0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0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0" s="9">
        <f>SUM(ENOS_G3_IRANN_60_MAS_AÑOS[[#This Row],[D1]:[D6]])</f>
        <v>0</v>
      </c>
      <c r="X130" s="2"/>
      <c r="Y130" s="31" t="s">
        <v>291</v>
      </c>
      <c r="Z130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0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0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0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0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0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0" s="9">
        <f>SUM(ENOS_G3_IRANN_SD_AÑOS[[#This Row],[D1]:[D6]])</f>
        <v>0</v>
      </c>
    </row>
    <row r="131" spans="1:3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1" t="s">
        <v>292</v>
      </c>
      <c r="Q131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1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1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1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1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1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1" s="9">
        <f>SUM(ENOS_G3_IRANN_60_MAS_AÑOS[[#This Row],[D1]:[D6]])</f>
        <v>0</v>
      </c>
      <c r="X131" s="2"/>
      <c r="Y131" s="31" t="s">
        <v>292</v>
      </c>
      <c r="Z131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1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1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1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1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1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1" s="9">
        <f>SUM(ENOS_G3_IRANN_SD_AÑOS[[#This Row],[D1]:[D6]])</f>
        <v>0</v>
      </c>
    </row>
    <row r="132" spans="1: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1" t="s">
        <v>293</v>
      </c>
      <c r="Q132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2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2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2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2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2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2" s="9">
        <f>SUM(ENOS_G3_IRANN_60_MAS_AÑOS[[#This Row],[D1]:[D6]])</f>
        <v>0</v>
      </c>
      <c r="X132" s="2"/>
      <c r="Y132" s="31" t="s">
        <v>293</v>
      </c>
      <c r="Z132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2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2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2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2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2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2" s="9">
        <f>SUM(ENOS_G3_IRANN_SD_AÑOS[[#This Row],[D1]:[D6]])</f>
        <v>0</v>
      </c>
    </row>
    <row r="133" spans="1:32" ht="1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1" t="s">
        <v>294</v>
      </c>
      <c r="Q133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3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3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3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3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3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3" s="9">
        <f>SUM(ENOS_G3_IRANN_60_MAS_AÑOS[[#This Row],[D1]:[D6]])</f>
        <v>0</v>
      </c>
      <c r="X133" s="2"/>
      <c r="Y133" s="31" t="s">
        <v>294</v>
      </c>
      <c r="Z133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3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3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3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3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3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3" s="9">
        <f>SUM(ENOS_G3_IRANN_SD_AÑOS[[#This Row],[D1]:[D6]])</f>
        <v>0</v>
      </c>
    </row>
    <row r="134" spans="1:32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1" t="s">
        <v>295</v>
      </c>
      <c r="Q134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4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4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4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4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4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4" s="9">
        <f>SUM(ENOS_G3_IRANN_60_MAS_AÑOS[[#This Row],[D1]:[D6]])</f>
        <v>0</v>
      </c>
      <c r="X134" s="2"/>
      <c r="Y134" s="31" t="s">
        <v>295</v>
      </c>
      <c r="Z134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4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4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4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4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4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4" s="9">
        <f>SUM(ENOS_G3_IRANN_SD_AÑOS[[#This Row],[D1]:[D6]])</f>
        <v>0</v>
      </c>
    </row>
    <row r="135" spans="1:3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1" t="s">
        <v>296</v>
      </c>
      <c r="Q135" s="8">
        <f>IF($O$3="(Todas)",COUNTIFS(BASE[CODCIE10],ENOS_G3_IRANN_60_MAS_AÑOS[[#This Row],[CIE-10]],BASE[Edad],"&gt;=60"),COUNTIFS(BASE[Cod.Establecimiento],$O$3,BASE[CODCIE10],ENOS_G3_IRANN_60_MAS_AÑOS[[#This Row],[CIE-10]],BASE[Edad],"&gt;=60"))</f>
        <v>0</v>
      </c>
      <c r="R135" s="8">
        <f>IF($O$3="(Todas)",COUNTIFS(BASE[CODCIE102],ENOS_G3_IRANN_60_MAS_AÑOS[[#This Row],[CIE-10]],BASE[Edad],"&gt;=60"),COUNTIFS(BASE[Cod.Establecimiento],$O$3,BASE[CODCIE102],ENOS_G3_IRANN_60_MAS_AÑOS[[#This Row],[CIE-10]],BASE[Edad],"&gt;=60"))</f>
        <v>0</v>
      </c>
      <c r="S135" s="8">
        <f>IF($O$3="(Todas)",COUNTIFS(BASE[CODCIE104],ENOS_G3_IRANN_60_MAS_AÑOS[[#This Row],[CIE-10]],BASE[Edad],"&gt;=60"),COUNTIFS(BASE[Cod.Establecimiento],$O$3,BASE[CODCIE104],ENOS_G3_IRANN_60_MAS_AÑOS[[#This Row],[CIE-10]],BASE[Edad],"&gt;=60"))</f>
        <v>0</v>
      </c>
      <c r="T135" s="8">
        <f>IF($O$3="(Todas)",COUNTIFS(BASE[CODCIE106],ENOS_G3_IRANN_60_MAS_AÑOS[[#This Row],[CIE-10]],BASE[Edad],"&gt;=60"),COUNTIFS(BASE[Cod.Establecimiento],$O$3,BASE[CODCIE106],ENOS_G3_IRANN_60_MAS_AÑOS[[#This Row],[CIE-10]],BASE[Edad],"&gt;=60"))</f>
        <v>0</v>
      </c>
      <c r="U135" s="8">
        <f>IF($O$3="(Todas)",COUNTIFS(BASE[CODCIE108],ENOS_G3_IRANN_60_MAS_AÑOS[[#This Row],[CIE-10]],BASE[Edad],"&gt;=60"),COUNTIFS(BASE[Cod.Establecimiento],$O$3,BASE[CODCIE108],ENOS_G3_IRANN_60_MAS_AÑOS[[#This Row],[CIE-10]],BASE[Edad],"&gt;=60"))</f>
        <v>0</v>
      </c>
      <c r="V135" s="8">
        <f>IF($O$3="(Todas)",COUNTIFS(BASE[CODCIE1010],ENOS_G3_IRANN_60_MAS_AÑOS[[#This Row],[CIE-10]],BASE[Edad],"&gt;=60"),COUNTIFS(BASE[Cod.Establecimiento],$O$3,BASE[CODCIE1010],ENOS_G3_IRANN_60_MAS_AÑOS[[#This Row],[CIE-10]],BASE[Edad],"&gt;=60"))</f>
        <v>0</v>
      </c>
      <c r="W135" s="9">
        <f>SUM(ENOS_G3_IRANN_60_MAS_AÑOS[[#This Row],[D1]:[D6]])</f>
        <v>0</v>
      </c>
      <c r="X135" s="2"/>
      <c r="Y135" s="31" t="s">
        <v>296</v>
      </c>
      <c r="Z135" s="8">
        <f>IF($O$3="(Todas)",COUNTIFS(BASE[CODCIE10],ENOS_G3_IRANN_SD_AÑOS[[#This Row],[CIE-10]],BASE[Edad],""),COUNTIFS(BASE[Cod.Establecimiento],$O$3,BASE[CODCIE10],ENOS_G3_IRANN_SD_AÑOS[[#This Row],[CIE-10]],BASE[Edad],""))</f>
        <v>0</v>
      </c>
      <c r="AA135" s="8">
        <f>IF($O$3="(Todas)",COUNTIFS(BASE[CODCIE102],ENOS_G3_IRANN_SD_AÑOS[[#This Row],[CIE-10]],BASE[Edad],""),COUNTIFS(BASE[Cod.Establecimiento],$O$3,BASE[CODCIE102],ENOS_G3_IRANN_SD_AÑOS[[#This Row],[CIE-10]],BASE[Edad],""))</f>
        <v>0</v>
      </c>
      <c r="AB135" s="8">
        <f>IF($O$3="(Todas)",COUNTIFS(BASE[CODCIE104],ENOS_G3_IRANN_SD_AÑOS[[#This Row],[CIE-10]],BASE[Edad],""),COUNTIFS(BASE[Cod.Establecimiento],$O$3,BASE[CODCIE104],ENOS_G3_IRANN_SD_AÑOS[[#This Row],[CIE-10]],BASE[Edad],""))</f>
        <v>0</v>
      </c>
      <c r="AC135" s="8">
        <f>IF($O$3="(Todas)",COUNTIFS(BASE[CODCIE106],ENOS_G3_IRANN_SD_AÑOS[[#This Row],[CIE-10]],BASE[Edad],""),COUNTIFS(BASE[Cod.Establecimiento],$O$3,BASE[CODCIE106],ENOS_G3_IRANN_SD_AÑOS[[#This Row],[CIE-10]],BASE[Edad],""))</f>
        <v>0</v>
      </c>
      <c r="AD135" s="8">
        <f>IF($O$3="(Todas)",COUNTIFS(BASE[CODCIE108],ENOS_G3_IRANN_SD_AÑOS[[#This Row],[CIE-10]],BASE[Edad],""),COUNTIFS(BASE[Cod.Establecimiento],$O$3,BASE[CODCIE108],ENOS_G3_IRANN_SD_AÑOS[[#This Row],[CIE-10]],BASE[Edad],""))</f>
        <v>0</v>
      </c>
      <c r="AE135" s="8">
        <f>IF($O$3="(Todas)",COUNTIFS(BASE[CODCIE1010],ENOS_G3_IRANN_SD_AÑOS[[#This Row],[CIE-10]],BASE[Edad],""),COUNTIFS(BASE[Cod.Establecimiento],$O$3,BASE[CODCIE1010],ENOS_G3_IRANN_SD_AÑOS[[#This Row],[CIE-10]],BASE[Edad],""))</f>
        <v>0</v>
      </c>
      <c r="AF135" s="9">
        <f>SUM(ENOS_G3_IRANN_SD_AÑOS[[#This Row],[D1]:[D6]])</f>
        <v>0</v>
      </c>
    </row>
    <row r="136" spans="1:3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8" customHeight="1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87" t="s">
        <v>268</v>
      </c>
      <c r="Q137" s="88"/>
      <c r="R137" s="88"/>
      <c r="S137" s="88"/>
      <c r="T137" s="88"/>
      <c r="U137" s="88"/>
      <c r="V137" s="88"/>
      <c r="W137" s="88"/>
      <c r="X137" s="2"/>
      <c r="Y137" s="87" t="s">
        <v>269</v>
      </c>
      <c r="Z137" s="88"/>
      <c r="AA137" s="88"/>
      <c r="AB137" s="88"/>
      <c r="AC137" s="88"/>
      <c r="AD137" s="88"/>
      <c r="AE137" s="88"/>
      <c r="AF137" s="88"/>
    </row>
    <row r="138" spans="1:32" ht="15.75" customHeight="1" thickTop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 t="s">
        <v>77</v>
      </c>
      <c r="Q138" s="8" t="s">
        <v>78</v>
      </c>
      <c r="R138" s="8" t="s">
        <v>79</v>
      </c>
      <c r="S138" s="8" t="s">
        <v>80</v>
      </c>
      <c r="T138" s="8" t="s">
        <v>81</v>
      </c>
      <c r="U138" s="8" t="s">
        <v>82</v>
      </c>
      <c r="V138" s="8" t="s">
        <v>83</v>
      </c>
      <c r="W138" s="10" t="s">
        <v>84</v>
      </c>
      <c r="X138" s="2"/>
      <c r="Y138" s="2" t="s">
        <v>77</v>
      </c>
      <c r="Z138" s="8" t="s">
        <v>78</v>
      </c>
      <c r="AA138" s="8" t="s">
        <v>79</v>
      </c>
      <c r="AB138" s="8" t="s">
        <v>80</v>
      </c>
      <c r="AC138" s="8" t="s">
        <v>81</v>
      </c>
      <c r="AD138" s="8" t="s">
        <v>82</v>
      </c>
      <c r="AE138" s="8" t="s">
        <v>83</v>
      </c>
      <c r="AF138" s="10" t="s">
        <v>84</v>
      </c>
    </row>
    <row r="139" spans="1:3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1" t="s">
        <v>297</v>
      </c>
      <c r="Q139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39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39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39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39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39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39" s="9">
        <f>SUM(ENOS_G3_NEU_MENOR_QUE_1_AÑO[[#This Row],[D1]:[D6]])</f>
        <v>0</v>
      </c>
      <c r="X139" s="2"/>
      <c r="Y139" s="31" t="s">
        <v>297</v>
      </c>
      <c r="Z139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39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39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39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39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39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39" s="9">
        <f>SUM(ENOS_G3_NEU_1_4_AÑOS[[#This Row],[D1]:[D6]])</f>
        <v>0</v>
      </c>
    </row>
    <row r="140" spans="1:3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1" t="s">
        <v>298</v>
      </c>
      <c r="Q140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0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0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0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0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0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0" s="9">
        <f>SUM(ENOS_G3_NEU_MENOR_QUE_1_AÑO[[#This Row],[D1]:[D6]])</f>
        <v>0</v>
      </c>
      <c r="X140" s="2"/>
      <c r="Y140" s="31" t="s">
        <v>298</v>
      </c>
      <c r="Z140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0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0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0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0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0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0" s="9">
        <f>SUM(ENOS_G3_NEU_1_4_AÑOS[[#This Row],[D1]:[D6]])</f>
        <v>0</v>
      </c>
    </row>
    <row r="141" spans="1:3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1" t="s">
        <v>299</v>
      </c>
      <c r="Q141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1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1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1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1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1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1" s="9">
        <f>SUM(ENOS_G3_NEU_MENOR_QUE_1_AÑO[[#This Row],[D1]:[D6]])</f>
        <v>0</v>
      </c>
      <c r="X141" s="2"/>
      <c r="Y141" s="31" t="s">
        <v>299</v>
      </c>
      <c r="Z141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1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1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1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1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1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1" s="9">
        <f>SUM(ENOS_G3_NEU_1_4_AÑOS[[#This Row],[D1]:[D6]])</f>
        <v>0</v>
      </c>
    </row>
    <row r="142" spans="1:3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1" t="s">
        <v>300</v>
      </c>
      <c r="Q142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2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2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2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2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2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2" s="9">
        <f>SUM(ENOS_G3_NEU_MENOR_QUE_1_AÑO[[#This Row],[D1]:[D6]])</f>
        <v>0</v>
      </c>
      <c r="X142" s="2"/>
      <c r="Y142" s="31" t="s">
        <v>300</v>
      </c>
      <c r="Z142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2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2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2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2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2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2" s="9">
        <f>SUM(ENOS_G3_NEU_1_4_AÑOS[[#This Row],[D1]:[D6]])</f>
        <v>0</v>
      </c>
    </row>
    <row r="143" spans="1:32" ht="1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1" t="s">
        <v>301</v>
      </c>
      <c r="Q143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3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3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3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3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3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3" s="9">
        <f>SUM(ENOS_G3_NEU_MENOR_QUE_1_AÑO[[#This Row],[D1]:[D6]])</f>
        <v>0</v>
      </c>
      <c r="X143" s="2"/>
      <c r="Y143" s="31" t="s">
        <v>301</v>
      </c>
      <c r="Z143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3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3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3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3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3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3" s="9">
        <f>SUM(ENOS_G3_NEU_1_4_AÑOS[[#This Row],[D1]:[D6]])</f>
        <v>0</v>
      </c>
    </row>
    <row r="144" spans="1:32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1" t="s">
        <v>302</v>
      </c>
      <c r="Q144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4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4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4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4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4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4" s="9">
        <f>SUM(ENOS_G3_NEU_MENOR_QUE_1_AÑO[[#This Row],[D1]:[D6]])</f>
        <v>0</v>
      </c>
      <c r="X144" s="2"/>
      <c r="Y144" s="31" t="s">
        <v>302</v>
      </c>
      <c r="Z144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4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4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4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4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4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4" s="9">
        <f>SUM(ENOS_G3_NEU_1_4_AÑOS[[#This Row],[D1]:[D6]])</f>
        <v>0</v>
      </c>
    </row>
    <row r="145" spans="1:3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1" t="s">
        <v>303</v>
      </c>
      <c r="Q145" s="8">
        <f>IF($O$3="(Todas)",COUNTIFS(BASE[CODCIE10],ENOS_G3_NEU_MENOR_QUE_1_AÑO[[#This Row],[CIE-10]],BASE[Edad],"&lt;1"),COUNTIFS(BASE[Cod.Establecimiento],$O$3,BASE[CODCIE10],ENOS_G3_NEU_MENOR_QUE_1_AÑO[[#This Row],[CIE-10]],BASE[Edad],"&lt;1"))</f>
        <v>0</v>
      </c>
      <c r="R145" s="8">
        <f>IF($O$3="(Todas)",COUNTIFS(BASE[CODCIE102],ENOS_G3_NEU_MENOR_QUE_1_AÑO[[#This Row],[CIE-10]],BASE[Edad],"&lt;1"),COUNTIFS(BASE[Cod.Establecimiento],$O$3,BASE[CODCIE102],ENOS_G3_NEU_MENOR_QUE_1_AÑO[[#This Row],[CIE-10]],BASE[Edad],"&lt;1"))</f>
        <v>0</v>
      </c>
      <c r="S145" s="8">
        <f>IF($O$3="(Todas)",COUNTIFS(BASE[CODCIE104],ENOS_G3_NEU_MENOR_QUE_1_AÑO[[#This Row],[CIE-10]],BASE[Edad],"&lt;1"),COUNTIFS(BASE[Cod.Establecimiento],$O$3,BASE[CODCIE104],ENOS_G3_NEU_MENOR_QUE_1_AÑO[[#This Row],[CIE-10]],BASE[Edad],"&lt;1"))</f>
        <v>0</v>
      </c>
      <c r="T145" s="8">
        <f>IF($O$3="(Todas)",COUNTIFS(BASE[CODCIE106],ENOS_G3_NEU_MENOR_QUE_1_AÑO[[#This Row],[CIE-10]],BASE[Edad],"&lt;1"),COUNTIFS(BASE[Cod.Establecimiento],$O$3,BASE[CODCIE106],ENOS_G3_NEU_MENOR_QUE_1_AÑO[[#This Row],[CIE-10]],BASE[Edad],"&lt;1"))</f>
        <v>0</v>
      </c>
      <c r="U145" s="8">
        <f>IF($O$3="(Todas)",COUNTIFS(BASE[CODCIE108],ENOS_G3_NEU_MENOR_QUE_1_AÑO[[#This Row],[CIE-10]],BASE[Edad],"&lt;1"),COUNTIFS(BASE[Cod.Establecimiento],$O$3,BASE[CODCIE108],ENOS_G3_NEU_MENOR_QUE_1_AÑO[[#This Row],[CIE-10]],BASE[Edad],"&lt;1"))</f>
        <v>0</v>
      </c>
      <c r="V145" s="8">
        <f>IF($O$3="(Todas)",COUNTIFS(BASE[CODCIE1010],ENOS_G3_NEU_MENOR_QUE_1_AÑO[[#This Row],[CIE-10]],BASE[Edad],"&lt;1"),COUNTIFS(BASE[Cod.Establecimiento],$O$3,BASE[CODCIE1010],ENOS_G3_NEU_MENOR_QUE_1_AÑO[[#This Row],[CIE-10]],BASE[Edad],"&lt;1"))</f>
        <v>0</v>
      </c>
      <c r="W145" s="9">
        <f>SUM(ENOS_G3_NEU_MENOR_QUE_1_AÑO[[#This Row],[D1]:[D6]])</f>
        <v>0</v>
      </c>
      <c r="X145" s="2"/>
      <c r="Y145" s="31" t="s">
        <v>303</v>
      </c>
      <c r="Z145" s="8">
        <f>IF($O$3="(Todas)",COUNTIFS(BASE[CODCIE10],ENOS_G3_NEU_1_4_AÑOS[[#This Row],[CIE-10]],BASE[Edad],"&gt;=1",BASE[Edad],"&lt;=4"),COUNTIFS(BASE[Cod.Establecimiento],$O$3,BASE[CODCIE10],ENOS_G3_NEU_1_4_AÑOS[[#This Row],[CIE-10]],BASE[Edad],"&gt;=1",BASE[Edad],"&lt;=4"))</f>
        <v>0</v>
      </c>
      <c r="AA145" s="8">
        <f>IF($O$3="(Todas)",COUNTIFS(BASE[CODCIE102],ENOS_G3_NEU_1_4_AÑOS[[#This Row],[CIE-10]],BASE[Edad],"&gt;=1",BASE[Edad],"&lt;=4"),COUNTIFS(BASE[Cod.Establecimiento],$O$3,BASE[CODCIE102],ENOS_G3_NEU_1_4_AÑOS[[#This Row],[CIE-10]],BASE[Edad],"&gt;=1",BASE[Edad],"&lt;=4"))</f>
        <v>0</v>
      </c>
      <c r="AB145" s="8">
        <f>IF($O$3="(Todas)",COUNTIFS(BASE[CODCIE104],ENOS_G3_NEU_1_4_AÑOS[[#This Row],[CIE-10]],BASE[Edad],"&gt;=1",BASE[Edad],"&lt;=4"),COUNTIFS(BASE[Cod.Establecimiento],$O$3,BASE[CODCIE104],ENOS_G3_NEU_1_4_AÑOS[[#This Row],[CIE-10]],BASE[Edad],"&gt;=1",BASE[Edad],"&lt;=4"))</f>
        <v>0</v>
      </c>
      <c r="AC145" s="8">
        <f>IF($O$3="(Todas)",COUNTIFS(BASE[CODCIE106],ENOS_G3_NEU_1_4_AÑOS[[#This Row],[CIE-10]],BASE[Edad],"&gt;=1",BASE[Edad],"&lt;=4"),COUNTIFS(BASE[Cod.Establecimiento],$O$3,BASE[CODCIE106],ENOS_G3_NEU_1_4_AÑOS[[#This Row],[CIE-10]],BASE[Edad],"&gt;=1",BASE[Edad],"&lt;=4"))</f>
        <v>0</v>
      </c>
      <c r="AD145" s="8">
        <f>IF($O$3="(Todas)",COUNTIFS(BASE[CODCIE108],ENOS_G3_NEU_1_4_AÑOS[[#This Row],[CIE-10]],BASE[Edad],"&gt;=1",BASE[Edad],"&lt;=4"),COUNTIFS(BASE[Cod.Establecimiento],$O$3,BASE[CODCIE108],ENOS_G3_NEU_1_4_AÑOS[[#This Row],[CIE-10]],BASE[Edad],"&gt;=1",BASE[Edad],"&lt;=4"))</f>
        <v>0</v>
      </c>
      <c r="AE145" s="8">
        <f>IF($O$3="(Todas)",COUNTIFS(BASE[CODCIE1010],ENOS_G3_NEU_1_4_AÑOS[[#This Row],[CIE-10]],BASE[Edad],"&gt;=1",BASE[Edad],"&lt;=4"),COUNTIFS(BASE[Cod.Establecimiento],$O$3,BASE[CODCIE1010],ENOS_G3_NEU_1_4_AÑOS[[#This Row],[CIE-10]],BASE[Edad],"&gt;=1",BASE[Edad],"&lt;=4"))</f>
        <v>0</v>
      </c>
      <c r="AF145" s="9">
        <f>SUM(ENOS_G3_NEU_1_4_AÑOS[[#This Row],[D1]:[D6]])</f>
        <v>0</v>
      </c>
    </row>
    <row r="146" spans="1:3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8" customHeight="1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87" t="s">
        <v>270</v>
      </c>
      <c r="Q147" s="88"/>
      <c r="R147" s="88"/>
      <c r="S147" s="88"/>
      <c r="T147" s="88"/>
      <c r="U147" s="88"/>
      <c r="V147" s="88"/>
      <c r="W147" s="88"/>
      <c r="X147" s="2"/>
      <c r="Y147" s="87" t="s">
        <v>271</v>
      </c>
      <c r="Z147" s="88"/>
      <c r="AA147" s="88"/>
      <c r="AB147" s="88"/>
      <c r="AC147" s="88"/>
      <c r="AD147" s="88"/>
      <c r="AE147" s="88"/>
      <c r="AF147" s="88"/>
    </row>
    <row r="148" spans="1:32" ht="15.75" customHeight="1" thickTop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 t="s">
        <v>77</v>
      </c>
      <c r="Q148" s="8" t="s">
        <v>78</v>
      </c>
      <c r="R148" s="8" t="s">
        <v>79</v>
      </c>
      <c r="S148" s="8" t="s">
        <v>80</v>
      </c>
      <c r="T148" s="8" t="s">
        <v>81</v>
      </c>
      <c r="U148" s="8" t="s">
        <v>82</v>
      </c>
      <c r="V148" s="8" t="s">
        <v>83</v>
      </c>
      <c r="W148" s="10" t="s">
        <v>84</v>
      </c>
      <c r="X148" s="2"/>
      <c r="Y148" s="2" t="s">
        <v>77</v>
      </c>
      <c r="Z148" s="8" t="s">
        <v>78</v>
      </c>
      <c r="AA148" s="8" t="s">
        <v>79</v>
      </c>
      <c r="AB148" s="8" t="s">
        <v>80</v>
      </c>
      <c r="AC148" s="8" t="s">
        <v>81</v>
      </c>
      <c r="AD148" s="8" t="s">
        <v>82</v>
      </c>
      <c r="AE148" s="8" t="s">
        <v>83</v>
      </c>
      <c r="AF148" s="10" t="s">
        <v>84</v>
      </c>
    </row>
    <row r="149" spans="1:32" ht="1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1" t="s">
        <v>297</v>
      </c>
      <c r="Q149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49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49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49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49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49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49" s="9">
        <f>SUM(ENOS_G3_NEU_5_19_AÑOS[[#This Row],[D1]:[D6]])</f>
        <v>0</v>
      </c>
      <c r="X149" s="2"/>
      <c r="Y149" s="31" t="s">
        <v>297</v>
      </c>
      <c r="Z149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49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49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49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49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49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49" s="9">
        <f>SUM(ENOS_G3_NEU_20_59_AÑOS[[#This Row],[D1]:[D6]])</f>
        <v>0</v>
      </c>
    </row>
    <row r="150" spans="1:32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31" t="s">
        <v>298</v>
      </c>
      <c r="Q150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0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0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0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0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0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0" s="9">
        <f>SUM(ENOS_G3_NEU_5_19_AÑOS[[#This Row],[D1]:[D6]])</f>
        <v>0</v>
      </c>
      <c r="X150" s="2"/>
      <c r="Y150" s="31" t="s">
        <v>298</v>
      </c>
      <c r="Z150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0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0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0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0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0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0" s="9">
        <f>SUM(ENOS_G3_NEU_20_59_AÑOS[[#This Row],[D1]:[D6]])</f>
        <v>0</v>
      </c>
    </row>
    <row r="151" spans="1:3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31" t="s">
        <v>299</v>
      </c>
      <c r="Q151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1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1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1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1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1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1" s="9">
        <f>SUM(ENOS_G3_NEU_5_19_AÑOS[[#This Row],[D1]:[D6]])</f>
        <v>0</v>
      </c>
      <c r="X151" s="2"/>
      <c r="Y151" s="31" t="s">
        <v>299</v>
      </c>
      <c r="Z151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1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1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1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1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1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1" s="9">
        <f>SUM(ENOS_G3_NEU_20_59_AÑOS[[#This Row],[D1]:[D6]])</f>
        <v>0</v>
      </c>
    </row>
    <row r="152" spans="1:3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31" t="s">
        <v>300</v>
      </c>
      <c r="Q152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2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2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2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2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2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2" s="9">
        <f>SUM(ENOS_G3_NEU_5_19_AÑOS[[#This Row],[D1]:[D6]])</f>
        <v>0</v>
      </c>
      <c r="X152" s="2"/>
      <c r="Y152" s="31" t="s">
        <v>300</v>
      </c>
      <c r="Z152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2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2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2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2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2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2" s="9">
        <f>SUM(ENOS_G3_NEU_20_59_AÑOS[[#This Row],[D1]:[D6]])</f>
        <v>0</v>
      </c>
    </row>
    <row r="153" spans="1:3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31" t="s">
        <v>301</v>
      </c>
      <c r="Q153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3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3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3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3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3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3" s="9">
        <f>SUM(ENOS_G3_NEU_5_19_AÑOS[[#This Row],[D1]:[D6]])</f>
        <v>0</v>
      </c>
      <c r="X153" s="2"/>
      <c r="Y153" s="31" t="s">
        <v>301</v>
      </c>
      <c r="Z153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3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3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3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3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3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3" s="9">
        <f>SUM(ENOS_G3_NEU_20_59_AÑOS[[#This Row],[D1]:[D6]])</f>
        <v>0</v>
      </c>
    </row>
    <row r="154" spans="1:3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31" t="s">
        <v>302</v>
      </c>
      <c r="Q154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4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4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4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4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4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4" s="9">
        <f>SUM(ENOS_G3_NEU_5_19_AÑOS[[#This Row],[D1]:[D6]])</f>
        <v>0</v>
      </c>
      <c r="X154" s="2"/>
      <c r="Y154" s="31" t="s">
        <v>302</v>
      </c>
      <c r="Z154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4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4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4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4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4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4" s="9">
        <f>SUM(ENOS_G3_NEU_20_59_AÑOS[[#This Row],[D1]:[D6]])</f>
        <v>0</v>
      </c>
    </row>
    <row r="155" spans="1:32" ht="1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31" t="s">
        <v>303</v>
      </c>
      <c r="Q155" s="8">
        <f>IF($O$3="(Todas)",COUNTIFS(BASE[CODCIE10],ENOS_G3_NEU_5_19_AÑOS[[#This Row],[CIE-10]],BASE[Edad],"&gt;=5",BASE[Edad],"&lt;=19"),COUNTIFS(BASE[Cod.Establecimiento],$O$3,BASE[CODCIE10],ENOS_G3_NEU_5_19_AÑOS[[#This Row],[CIE-10]],BASE[Edad],"&gt;=5",BASE[Edad],"&lt;=19"))</f>
        <v>0</v>
      </c>
      <c r="R155" s="8">
        <f>IF($O$3="(Todas)",COUNTIFS(BASE[CODCIE102],ENOS_G3_NEU_5_19_AÑOS[[#This Row],[CIE-10]],BASE[Edad],"&gt;=5",BASE[Edad],"&lt;=19"),COUNTIFS(BASE[Cod.Establecimiento],$O$3,BASE[CODCIE102],ENOS_G3_NEU_5_19_AÑOS[[#This Row],[CIE-10]],BASE[Edad],"&gt;=5",BASE[Edad],"&lt;=19"))</f>
        <v>0</v>
      </c>
      <c r="S155" s="8">
        <f>IF($O$3="(Todas)",COUNTIFS(BASE[CODCIE104],ENOS_G3_NEU_5_19_AÑOS[[#This Row],[CIE-10]],BASE[Edad],"&gt;=5",BASE[Edad],"&lt;=19"),COUNTIFS(BASE[Cod.Establecimiento],$O$3,BASE[CODCIE104],ENOS_G3_NEU_5_19_AÑOS[[#This Row],[CIE-10]],BASE[Edad],"&gt;=5",BASE[Edad],"&lt;=19"))</f>
        <v>0</v>
      </c>
      <c r="T155" s="8">
        <f>IF($O$3="(Todas)",COUNTIFS(BASE[CODCIE106],ENOS_G3_NEU_5_19_AÑOS[[#This Row],[CIE-10]],BASE[Edad],"&gt;=5",BASE[Edad],"&lt;=19"),COUNTIFS(BASE[Cod.Establecimiento],$O$3,BASE[CODCIE106],ENOS_G3_NEU_5_19_AÑOS[[#This Row],[CIE-10]],BASE[Edad],"&gt;=5",BASE[Edad],"&lt;=19"))</f>
        <v>0</v>
      </c>
      <c r="U155" s="8">
        <f>IF($O$3="(Todas)",COUNTIFS(BASE[CODCIE108],ENOS_G3_NEU_5_19_AÑOS[[#This Row],[CIE-10]],BASE[Edad],"&gt;=5",BASE[Edad],"&lt;=19"),COUNTIFS(BASE[Cod.Establecimiento],$O$3,BASE[CODCIE108],ENOS_G3_NEU_5_19_AÑOS[[#This Row],[CIE-10]],BASE[Edad],"&gt;=5",BASE[Edad],"&lt;=19"))</f>
        <v>0</v>
      </c>
      <c r="V155" s="8">
        <f>IF($O$3="(Todas)",COUNTIFS(BASE[CODCIE1010],ENOS_G3_NEU_5_19_AÑOS[[#This Row],[CIE-10]],BASE[Edad],"&gt;=5",BASE[Edad],"&lt;=19"),COUNTIFS(BASE[Cod.Establecimiento],$O$3,BASE[CODCIE1010],ENOS_G3_NEU_5_19_AÑOS[[#This Row],[CIE-10]],BASE[Edad],"&gt;=5",BASE[Edad],"&lt;=19"))</f>
        <v>0</v>
      </c>
      <c r="W155" s="9">
        <f>SUM(ENOS_G3_NEU_5_19_AÑOS[[#This Row],[D1]:[D6]])</f>
        <v>0</v>
      </c>
      <c r="X155" s="2"/>
      <c r="Y155" s="31" t="s">
        <v>303</v>
      </c>
      <c r="Z155" s="8">
        <f>IF($O$3="(Todas)",COUNTIFS(BASE[CODCIE10],ENOS_G3_NEU_20_59_AÑOS[[#This Row],[CIE-10]],BASE[Edad],"&gt;=20",BASE[Edad],"&lt;=59"),COUNTIFS(BASE[Cod.Establecimiento],$O$3,BASE[CODCIE10],ENOS_G3_NEU_20_59_AÑOS[[#This Row],[CIE-10]],BASE[Edad],"&gt;=20",BASE[Edad],"&lt;=59"))</f>
        <v>0</v>
      </c>
      <c r="AA155" s="8">
        <f>IF($O$3="(Todas)",COUNTIFS(BASE[CODCIE102],ENOS_G3_NEU_20_59_AÑOS[[#This Row],[CIE-10]],BASE[Edad],"&gt;=20",BASE[Edad],"&lt;=59"),COUNTIFS(BASE[Cod.Establecimiento],$O$3,BASE[CODCIE102],ENOS_G3_NEU_20_59_AÑOS[[#This Row],[CIE-10]],BASE[Edad],"&gt;=20",BASE[Edad],"&lt;=59"))</f>
        <v>0</v>
      </c>
      <c r="AB155" s="8">
        <f>IF($O$3="(Todas)",COUNTIFS(BASE[CODCIE104],ENOS_G3_NEU_20_59_AÑOS[[#This Row],[CIE-10]],BASE[Edad],"&gt;=20",BASE[Edad],"&lt;=59"),COUNTIFS(BASE[Cod.Establecimiento],$O$3,BASE[CODCIE104],ENOS_G3_NEU_20_59_AÑOS[[#This Row],[CIE-10]],BASE[Edad],"&gt;=20",BASE[Edad],"&lt;=59"))</f>
        <v>0</v>
      </c>
      <c r="AC155" s="8">
        <f>IF($O$3="(Todas)",COUNTIFS(BASE[CODCIE106],ENOS_G3_NEU_20_59_AÑOS[[#This Row],[CIE-10]],BASE[Edad],"&gt;=20",BASE[Edad],"&lt;=59"),COUNTIFS(BASE[Cod.Establecimiento],$O$3,BASE[CODCIE106],ENOS_G3_NEU_20_59_AÑOS[[#This Row],[CIE-10]],BASE[Edad],"&gt;=20",BASE[Edad],"&lt;=59"))</f>
        <v>0</v>
      </c>
      <c r="AD155" s="8">
        <f>IF($O$3="(Todas)",COUNTIFS(BASE[CODCIE108],ENOS_G3_NEU_20_59_AÑOS[[#This Row],[CIE-10]],BASE[Edad],"&gt;=20",BASE[Edad],"&lt;=59"),COUNTIFS(BASE[Cod.Establecimiento],$O$3,BASE[CODCIE108],ENOS_G3_NEU_20_59_AÑOS[[#This Row],[CIE-10]],BASE[Edad],"&gt;=20",BASE[Edad],"&lt;=59"))</f>
        <v>0</v>
      </c>
      <c r="AE155" s="8">
        <f>IF($O$3="(Todas)",COUNTIFS(BASE[CODCIE1010],ENOS_G3_NEU_20_59_AÑOS[[#This Row],[CIE-10]],BASE[Edad],"&gt;=20",BASE[Edad],"&lt;=59"),COUNTIFS(BASE[Cod.Establecimiento],$O$3,BASE[CODCIE1010],ENOS_G3_NEU_20_59_AÑOS[[#This Row],[CIE-10]],BASE[Edad],"&gt;=20",BASE[Edad],"&lt;=59"))</f>
        <v>0</v>
      </c>
      <c r="AF155" s="9">
        <f>SUM(ENOS_G3_NEU_20_59_AÑOS[[#This Row],[D1]:[D6]])</f>
        <v>0</v>
      </c>
    </row>
    <row r="156" spans="1:3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8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87" t="s">
        <v>272</v>
      </c>
      <c r="Q157" s="88"/>
      <c r="R157" s="88"/>
      <c r="S157" s="88"/>
      <c r="T157" s="88"/>
      <c r="U157" s="88"/>
      <c r="V157" s="88"/>
      <c r="W157" s="88"/>
      <c r="X157" s="2"/>
      <c r="Y157" s="87" t="s">
        <v>273</v>
      </c>
      <c r="Z157" s="88"/>
      <c r="AA157" s="88"/>
      <c r="AB157" s="88"/>
      <c r="AC157" s="88"/>
      <c r="AD157" s="88"/>
      <c r="AE157" s="88"/>
      <c r="AF157" s="88"/>
    </row>
    <row r="158" spans="1:32" ht="15.75" thickTop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 t="s">
        <v>77</v>
      </c>
      <c r="Q158" s="8" t="s">
        <v>78</v>
      </c>
      <c r="R158" s="8" t="s">
        <v>79</v>
      </c>
      <c r="S158" s="8" t="s">
        <v>80</v>
      </c>
      <c r="T158" s="8" t="s">
        <v>81</v>
      </c>
      <c r="U158" s="8" t="s">
        <v>82</v>
      </c>
      <c r="V158" s="8" t="s">
        <v>83</v>
      </c>
      <c r="W158" s="10" t="s">
        <v>84</v>
      </c>
      <c r="X158" s="2"/>
      <c r="Y158" s="2" t="s">
        <v>77</v>
      </c>
      <c r="Z158" s="8" t="s">
        <v>78</v>
      </c>
      <c r="AA158" s="8" t="s">
        <v>79</v>
      </c>
      <c r="AB158" s="8" t="s">
        <v>80</v>
      </c>
      <c r="AC158" s="8" t="s">
        <v>81</v>
      </c>
      <c r="AD158" s="8" t="s">
        <v>82</v>
      </c>
      <c r="AE158" s="8" t="s">
        <v>83</v>
      </c>
      <c r="AF158" s="10" t="s">
        <v>84</v>
      </c>
    </row>
    <row r="159" spans="1:32" ht="1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31" t="s">
        <v>297</v>
      </c>
      <c r="Q159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59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59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59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59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59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59" s="9">
        <f>SUM(ENOS_G3_NEU_60_MAS_AÑOS[[#This Row],[D1]:[D6]])</f>
        <v>0</v>
      </c>
      <c r="X159" s="2"/>
      <c r="Y159" s="31" t="s">
        <v>297</v>
      </c>
      <c r="Z159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59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59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59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59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59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59" s="9">
        <f>SUM(ENOS_G3_NEU_SD_AÑOS[[#This Row],[D1]:[D6]])</f>
        <v>0</v>
      </c>
    </row>
    <row r="160" spans="1:32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31" t="s">
        <v>298</v>
      </c>
      <c r="Q160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0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0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0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0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0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0" s="9">
        <f>SUM(ENOS_G3_NEU_60_MAS_AÑOS[[#This Row],[D1]:[D6]])</f>
        <v>0</v>
      </c>
      <c r="X160" s="2"/>
      <c r="Y160" s="31" t="s">
        <v>298</v>
      </c>
      <c r="Z160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0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0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0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0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0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0" s="9">
        <f>SUM(ENOS_G3_NEU_SD_AÑOS[[#This Row],[D1]:[D6]])</f>
        <v>0</v>
      </c>
    </row>
    <row r="161" spans="1:32" ht="1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31" t="s">
        <v>299</v>
      </c>
      <c r="Q161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1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1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1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1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1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1" s="9">
        <f>SUM(ENOS_G3_NEU_60_MAS_AÑOS[[#This Row],[D1]:[D6]])</f>
        <v>0</v>
      </c>
      <c r="X161" s="2"/>
      <c r="Y161" s="31" t="s">
        <v>299</v>
      </c>
      <c r="Z161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1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1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1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1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1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1" s="9">
        <f>SUM(ENOS_G3_NEU_SD_AÑOS[[#This Row],[D1]:[D6]])</f>
        <v>0</v>
      </c>
    </row>
    <row r="162" spans="1:3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31" t="s">
        <v>300</v>
      </c>
      <c r="Q162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2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2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2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2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2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2" s="9">
        <f>SUM(ENOS_G3_NEU_60_MAS_AÑOS[[#This Row],[D1]:[D6]])</f>
        <v>0</v>
      </c>
      <c r="X162" s="2"/>
      <c r="Y162" s="31" t="s">
        <v>300</v>
      </c>
      <c r="Z162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2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2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2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2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2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2" s="9">
        <f>SUM(ENOS_G3_NEU_SD_AÑOS[[#This Row],[D1]:[D6]])</f>
        <v>0</v>
      </c>
    </row>
    <row r="163" spans="1:3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31" t="s">
        <v>301</v>
      </c>
      <c r="Q163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3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3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3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3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3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3" s="9">
        <f>SUM(ENOS_G3_NEU_60_MAS_AÑOS[[#This Row],[D1]:[D6]])</f>
        <v>0</v>
      </c>
      <c r="X163" s="2"/>
      <c r="Y163" s="31" t="s">
        <v>301</v>
      </c>
      <c r="Z163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3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3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3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3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3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3" s="9">
        <f>SUM(ENOS_G3_NEU_SD_AÑOS[[#This Row],[D1]:[D6]])</f>
        <v>0</v>
      </c>
    </row>
    <row r="164" spans="1:3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31" t="s">
        <v>302</v>
      </c>
      <c r="Q164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4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4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4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4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4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4" s="9">
        <f>SUM(ENOS_G3_NEU_60_MAS_AÑOS[[#This Row],[D1]:[D6]])</f>
        <v>0</v>
      </c>
      <c r="X164" s="2"/>
      <c r="Y164" s="31" t="s">
        <v>302</v>
      </c>
      <c r="Z164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4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4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4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4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4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4" s="9">
        <f>SUM(ENOS_G3_NEU_SD_AÑOS[[#This Row],[D1]:[D6]])</f>
        <v>0</v>
      </c>
    </row>
    <row r="165" spans="1:3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31" t="s">
        <v>303</v>
      </c>
      <c r="Q165" s="8">
        <f>IF($O$3="(Todas)",COUNTIFS(BASE[CODCIE10],ENOS_G3_NEU_60_MAS_AÑOS[[#This Row],[CIE-10]],BASE[Edad],"&gt;=60"),COUNTIFS(BASE[Cod.Establecimiento],$O$3,BASE[CODCIE10],ENOS_G3_NEU_60_MAS_AÑOS[[#This Row],[CIE-10]],BASE[Edad],"&gt;=60"))</f>
        <v>0</v>
      </c>
      <c r="R165" s="8">
        <f>IF($O$3="(Todas)",COUNTIFS(BASE[CODCIE102],ENOS_G3_NEU_60_MAS_AÑOS[[#This Row],[CIE-10]],BASE[Edad],"&gt;=60"),COUNTIFS(BASE[Cod.Establecimiento],$O$3,BASE[CODCIE102],ENOS_G3_NEU_60_MAS_AÑOS[[#This Row],[CIE-10]],BASE[Edad],"&gt;=60"))</f>
        <v>0</v>
      </c>
      <c r="S165" s="8">
        <f>IF($O$3="(Todas)",COUNTIFS(BASE[CODCIE104],ENOS_G3_NEU_60_MAS_AÑOS[[#This Row],[CIE-10]],BASE[Edad],"&gt;=60"),COUNTIFS(BASE[Cod.Establecimiento],$O$3,BASE[CODCIE104],ENOS_G3_NEU_60_MAS_AÑOS[[#This Row],[CIE-10]],BASE[Edad],"&gt;=60"))</f>
        <v>0</v>
      </c>
      <c r="T165" s="8">
        <f>IF($O$3="(Todas)",COUNTIFS(BASE[CODCIE106],ENOS_G3_NEU_60_MAS_AÑOS[[#This Row],[CIE-10]],BASE[Edad],"&gt;=60"),COUNTIFS(BASE[Cod.Establecimiento],$O$3,BASE[CODCIE106],ENOS_G3_NEU_60_MAS_AÑOS[[#This Row],[CIE-10]],BASE[Edad],"&gt;=60"))</f>
        <v>0</v>
      </c>
      <c r="U165" s="8">
        <f>IF($O$3="(Todas)",COUNTIFS(BASE[CODCIE108],ENOS_G3_NEU_60_MAS_AÑOS[[#This Row],[CIE-10]],BASE[Edad],"&gt;=60"),COUNTIFS(BASE[Cod.Establecimiento],$O$3,BASE[CODCIE108],ENOS_G3_NEU_60_MAS_AÑOS[[#This Row],[CIE-10]],BASE[Edad],"&gt;=60"))</f>
        <v>0</v>
      </c>
      <c r="V165" s="8">
        <f>IF($O$3="(Todas)",COUNTIFS(BASE[CODCIE1010],ENOS_G3_NEU_60_MAS_AÑOS[[#This Row],[CIE-10]],BASE[Edad],"&gt;=60"),COUNTIFS(BASE[Cod.Establecimiento],$O$3,BASE[CODCIE1010],ENOS_G3_NEU_60_MAS_AÑOS[[#This Row],[CIE-10]],BASE[Edad],"&gt;=60"))</f>
        <v>0</v>
      </c>
      <c r="W165" s="9">
        <f>SUM(ENOS_G3_NEU_60_MAS_AÑOS[[#This Row],[D1]:[D6]])</f>
        <v>0</v>
      </c>
      <c r="X165" s="2"/>
      <c r="Y165" s="31" t="s">
        <v>303</v>
      </c>
      <c r="Z165" s="8">
        <f>IF($O$3="(Todas)",COUNTIFS(BASE[CODCIE10],ENOS_G3_NEU_SD_AÑOS[[#This Row],[CIE-10]],BASE[Edad],""),COUNTIFS(BASE[Cod.Establecimiento],$O$3,BASE[CODCIE10],ENOS_G3_NEU_SD_AÑOS[[#This Row],[CIE-10]],BASE[Edad],""))</f>
        <v>0</v>
      </c>
      <c r="AA165" s="8">
        <f>IF($O$3="(Todas)",COUNTIFS(BASE[CODCIE102],ENOS_G3_NEU_SD_AÑOS[[#This Row],[CIE-10]],BASE[Edad],""),COUNTIFS(BASE[Cod.Establecimiento],$O$3,BASE[CODCIE102],ENOS_G3_NEU_SD_AÑOS[[#This Row],[CIE-10]],BASE[Edad],""))</f>
        <v>0</v>
      </c>
      <c r="AB165" s="8">
        <f>IF($O$3="(Todas)",COUNTIFS(BASE[CODCIE104],ENOS_G3_NEU_SD_AÑOS[[#This Row],[CIE-10]],BASE[Edad],""),COUNTIFS(BASE[Cod.Establecimiento],$O$3,BASE[CODCIE104],ENOS_G3_NEU_SD_AÑOS[[#This Row],[CIE-10]],BASE[Edad],""))</f>
        <v>0</v>
      </c>
      <c r="AC165" s="8">
        <f>IF($O$3="(Todas)",COUNTIFS(BASE[CODCIE106],ENOS_G3_NEU_SD_AÑOS[[#This Row],[CIE-10]],BASE[Edad],""),COUNTIFS(BASE[Cod.Establecimiento],$O$3,BASE[CODCIE106],ENOS_G3_NEU_SD_AÑOS[[#This Row],[CIE-10]],BASE[Edad],""))</f>
        <v>0</v>
      </c>
      <c r="AD165" s="8">
        <f>IF($O$3="(Todas)",COUNTIFS(BASE[CODCIE108],ENOS_G3_NEU_SD_AÑOS[[#This Row],[CIE-10]],BASE[Edad],""),COUNTIFS(BASE[Cod.Establecimiento],$O$3,BASE[CODCIE108],ENOS_G3_NEU_SD_AÑOS[[#This Row],[CIE-10]],BASE[Edad],""))</f>
        <v>0</v>
      </c>
      <c r="AE165" s="8">
        <f>IF($O$3="(Todas)",COUNTIFS(BASE[CODCIE1010],ENOS_G3_NEU_SD_AÑOS[[#This Row],[CIE-10]],BASE[Edad],""),COUNTIFS(BASE[Cod.Establecimiento],$O$3,BASE[CODCIE1010],ENOS_G3_NEU_SD_AÑOS[[#This Row],[CIE-10]],BASE[Edad],""))</f>
        <v>0</v>
      </c>
      <c r="AF165" s="9">
        <f>SUM(ENOS_G3_NEU_SD_AÑOS[[#This Row],[D1]:[D6]])</f>
        <v>0</v>
      </c>
    </row>
    <row r="166" spans="1:3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8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86"/>
      <c r="K167" s="92"/>
      <c r="L167" s="86"/>
      <c r="M167" s="92"/>
      <c r="N167" s="92"/>
      <c r="O167" s="2"/>
      <c r="P167" s="87" t="s">
        <v>274</v>
      </c>
      <c r="Q167" s="88"/>
      <c r="R167" s="88"/>
      <c r="S167" s="88"/>
      <c r="T167" s="88"/>
      <c r="U167" s="88"/>
      <c r="V167" s="88"/>
      <c r="W167" s="88"/>
      <c r="X167" s="2"/>
      <c r="Y167" s="87" t="s">
        <v>275</v>
      </c>
      <c r="Z167" s="88"/>
      <c r="AA167" s="88"/>
      <c r="AB167" s="88"/>
      <c r="AC167" s="88"/>
      <c r="AD167" s="88"/>
      <c r="AE167" s="88"/>
      <c r="AF167" s="88"/>
    </row>
    <row r="168" spans="1:32" ht="15.75" customHeight="1" thickTop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 t="s">
        <v>77</v>
      </c>
      <c r="Q168" s="8" t="s">
        <v>78</v>
      </c>
      <c r="R168" s="8" t="s">
        <v>79</v>
      </c>
      <c r="S168" s="8" t="s">
        <v>80</v>
      </c>
      <c r="T168" s="8" t="s">
        <v>81</v>
      </c>
      <c r="U168" s="8" t="s">
        <v>82</v>
      </c>
      <c r="V168" s="8" t="s">
        <v>83</v>
      </c>
      <c r="W168" s="10" t="s">
        <v>84</v>
      </c>
      <c r="X168" s="2"/>
      <c r="Y168" s="2" t="s">
        <v>77</v>
      </c>
      <c r="Z168" s="8" t="s">
        <v>78</v>
      </c>
      <c r="AA168" s="8" t="s">
        <v>79</v>
      </c>
      <c r="AB168" s="8" t="s">
        <v>80</v>
      </c>
      <c r="AC168" s="8" t="s">
        <v>81</v>
      </c>
      <c r="AD168" s="8" t="s">
        <v>82</v>
      </c>
      <c r="AE168" s="8" t="s">
        <v>83</v>
      </c>
      <c r="AF168" s="10" t="s">
        <v>84</v>
      </c>
    </row>
    <row r="169" spans="1:3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31" t="s">
        <v>304</v>
      </c>
      <c r="Q169" s="8">
        <f>IF($O$3="(Todas)",COUNTIFS(BASE[CODCIE10],ENOS_G3_IRAGNG_MENOR_QUE_1_AÑO[[#This Row],[CIE-10]],BASE[Edad],"&lt;1"),COUNTIFS(BASE[Cod.Establecimiento],$O$3,BASE[CODCIE10],ENOS_G3_IRAGNG_MENOR_QUE_1_AÑO[[#This Row],[CIE-10]],BASE[Edad],"&lt;1"))</f>
        <v>0</v>
      </c>
      <c r="R169" s="8">
        <f>IF($O$3="(Todas)",COUNTIFS(BASE[CODCIE102],ENOS_G3_IRAGNG_MENOR_QUE_1_AÑO[[#This Row],[CIE-10]],BASE[Edad],"&lt;1"),COUNTIFS(BASE[Cod.Establecimiento],$O$3,BASE[CODCIE102],ENOS_G3_IRAGNG_MENOR_QUE_1_AÑO[[#This Row],[CIE-10]],BASE[Edad],"&lt;1"))</f>
        <v>0</v>
      </c>
      <c r="S169" s="8">
        <f>IF($O$3="(Todas)",COUNTIFS(BASE[CODCIE104],ENOS_G3_IRAGNG_MENOR_QUE_1_AÑO[[#This Row],[CIE-10]],BASE[Edad],"&lt;1"),COUNTIFS(BASE[Cod.Establecimiento],$O$3,BASE[CODCIE104],ENOS_G3_IRAGNG_MENOR_QUE_1_AÑO[[#This Row],[CIE-10]],BASE[Edad],"&lt;1"))</f>
        <v>0</v>
      </c>
      <c r="T169" s="8">
        <f>IF($O$3="(Todas)",COUNTIFS(BASE[CODCIE106],ENOS_G3_IRAGNG_MENOR_QUE_1_AÑO[[#This Row],[CIE-10]],BASE[Edad],"&lt;1"),COUNTIFS(BASE[Cod.Establecimiento],$O$3,BASE[CODCIE106],ENOS_G3_IRAGNG_MENOR_QUE_1_AÑO[[#This Row],[CIE-10]],BASE[Edad],"&lt;1"))</f>
        <v>0</v>
      </c>
      <c r="U169" s="8">
        <f>IF($O$3="(Todas)",COUNTIFS(BASE[CODCIE108],ENOS_G3_IRAGNG_MENOR_QUE_1_AÑO[[#This Row],[CIE-10]],BASE[Edad],"&lt;1"),COUNTIFS(BASE[Cod.Establecimiento],$O$3,BASE[CODCIE108],ENOS_G3_IRAGNG_MENOR_QUE_1_AÑO[[#This Row],[CIE-10]],BASE[Edad],"&lt;1"))</f>
        <v>0</v>
      </c>
      <c r="V169" s="8">
        <f>IF($O$3="(Todas)",COUNTIFS(BASE[CODCIE1010],ENOS_G3_IRAGNG_MENOR_QUE_1_AÑO[[#This Row],[CIE-10]],BASE[Edad],"&lt;1"),COUNTIFS(BASE[Cod.Establecimiento],$O$3,BASE[CODCIE1010],ENOS_G3_IRAGNG_MENOR_QUE_1_AÑO[[#This Row],[CIE-10]],BASE[Edad],"&lt;1"))</f>
        <v>0</v>
      </c>
      <c r="W169" s="9">
        <f>SUM(ENOS_G3_IRAGNG_MENOR_QUE_1_AÑO[[#This Row],[D1]:[D6]])</f>
        <v>0</v>
      </c>
      <c r="X169" s="2"/>
      <c r="Y169" s="31" t="s">
        <v>304</v>
      </c>
      <c r="Z169" s="8">
        <f>IF($O$3="(Todas)",COUNTIFS(BASE[CODCIE10],ENOS_G3_IRAGNG_1_4_AÑOS[[#This Row],[CIE-10]],BASE[Edad],"&gt;=1",BASE[Edad],"&lt;=4"),COUNTIFS(BASE[Cod.Establecimiento],$O$3,BASE[CODCIE10],ENOS_G3_IRAGNG_1_4_AÑOS[[#This Row],[CIE-10]],BASE[Edad],"&gt;=1",BASE[Edad],"&lt;=4"))</f>
        <v>0</v>
      </c>
      <c r="AA169" s="8">
        <f>IF($O$3="(Todas)",COUNTIFS(BASE[CODCIE102],ENOS_G3_IRAGNG_1_4_AÑOS[[#This Row],[CIE-10]],BASE[Edad],"&gt;=1",BASE[Edad],"&lt;=4"),COUNTIFS(BASE[Cod.Establecimiento],$O$3,BASE[CODCIE102],ENOS_G3_IRAGNG_1_4_AÑOS[[#This Row],[CIE-10]],BASE[Edad],"&gt;=1",BASE[Edad],"&lt;=4"))</f>
        <v>0</v>
      </c>
      <c r="AB169" s="8">
        <f>IF($O$3="(Todas)",COUNTIFS(BASE[CODCIE104],ENOS_G3_IRAGNG_1_4_AÑOS[[#This Row],[CIE-10]],BASE[Edad],"&gt;=1",BASE[Edad],"&lt;=4"),COUNTIFS(BASE[Cod.Establecimiento],$O$3,BASE[CODCIE104],ENOS_G3_IRAGNG_1_4_AÑOS[[#This Row],[CIE-10]],BASE[Edad],"&gt;=1",BASE[Edad],"&lt;=4"))</f>
        <v>0</v>
      </c>
      <c r="AC169" s="8">
        <f>IF($O$3="(Todas)",COUNTIFS(BASE[CODCIE106],ENOS_G3_IRAGNG_1_4_AÑOS[[#This Row],[CIE-10]],BASE[Edad],"&gt;=1",BASE[Edad],"&lt;=4"),COUNTIFS(BASE[Cod.Establecimiento],$O$3,BASE[CODCIE106],ENOS_G3_IRAGNG_1_4_AÑOS[[#This Row],[CIE-10]],BASE[Edad],"&gt;=1",BASE[Edad],"&lt;=4"))</f>
        <v>0</v>
      </c>
      <c r="AD169" s="8">
        <f>IF($O$3="(Todas)",COUNTIFS(BASE[CODCIE108],ENOS_G3_IRAGNG_1_4_AÑOS[[#This Row],[CIE-10]],BASE[Edad],"&gt;=1",BASE[Edad],"&lt;=4"),COUNTIFS(BASE[Cod.Establecimiento],$O$3,BASE[CODCIE108],ENOS_G3_IRAGNG_1_4_AÑOS[[#This Row],[CIE-10]],BASE[Edad],"&gt;=1",BASE[Edad],"&lt;=4"))</f>
        <v>0</v>
      </c>
      <c r="AE169" s="8">
        <f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f>
        <v>0</v>
      </c>
      <c r="AF169" s="9">
        <f>SUM(ENOS_G3_IRAGNG_1_4_AÑOS[[#This Row],[D1]:[D6]])</f>
        <v>0</v>
      </c>
    </row>
    <row r="170" spans="1:3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31" t="s">
        <v>305</v>
      </c>
      <c r="Q170" s="8">
        <f>IF($O$3="(Todas)",COUNTIFS(BASE[CODCIE10],ENOS_G3_IRAGNG_MENOR_QUE_1_AÑO[[#This Row],[CIE-10]],BASE[Edad],"&lt;1"),COUNTIFS(BASE[Cod.Establecimiento],$O$3,BASE[CODCIE10],ENOS_G3_IRAGNG_MENOR_QUE_1_AÑO[[#This Row],[CIE-10]],BASE[Edad],"&lt;1"))</f>
        <v>0</v>
      </c>
      <c r="R170" s="8">
        <f>IF($O$3="(Todas)",COUNTIFS(BASE[CODCIE102],ENOS_G3_IRAGNG_MENOR_QUE_1_AÑO[[#This Row],[CIE-10]],BASE[Edad],"&lt;1"),COUNTIFS(BASE[Cod.Establecimiento],$O$3,BASE[CODCIE102],ENOS_G3_IRAGNG_MENOR_QUE_1_AÑO[[#This Row],[CIE-10]],BASE[Edad],"&lt;1"))</f>
        <v>0</v>
      </c>
      <c r="S170" s="8">
        <f>IF($O$3="(Todas)",COUNTIFS(BASE[CODCIE104],ENOS_G3_IRAGNG_MENOR_QUE_1_AÑO[[#This Row],[CIE-10]],BASE[Edad],"&lt;1"),COUNTIFS(BASE[Cod.Establecimiento],$O$3,BASE[CODCIE104],ENOS_G3_IRAGNG_MENOR_QUE_1_AÑO[[#This Row],[CIE-10]],BASE[Edad],"&lt;1"))</f>
        <v>0</v>
      </c>
      <c r="T170" s="8">
        <f>IF($O$3="(Todas)",COUNTIFS(BASE[CODCIE106],ENOS_G3_IRAGNG_MENOR_QUE_1_AÑO[[#This Row],[CIE-10]],BASE[Edad],"&lt;1"),COUNTIFS(BASE[Cod.Establecimiento],$O$3,BASE[CODCIE106],ENOS_G3_IRAGNG_MENOR_QUE_1_AÑO[[#This Row],[CIE-10]],BASE[Edad],"&lt;1"))</f>
        <v>0</v>
      </c>
      <c r="U170" s="8">
        <f>IF($O$3="(Todas)",COUNTIFS(BASE[CODCIE108],ENOS_G3_IRAGNG_MENOR_QUE_1_AÑO[[#This Row],[CIE-10]],BASE[Edad],"&lt;1"),COUNTIFS(BASE[Cod.Establecimiento],$O$3,BASE[CODCIE108],ENOS_G3_IRAGNG_MENOR_QUE_1_AÑO[[#This Row],[CIE-10]],BASE[Edad],"&lt;1"))</f>
        <v>0</v>
      </c>
      <c r="V170" s="8">
        <f>IF($O$3="(Todas)",COUNTIFS(BASE[CODCIE1010],ENOS_G3_IRAGNG_MENOR_QUE_1_AÑO[[#This Row],[CIE-10]],BASE[Edad],"&lt;1"),COUNTIFS(BASE[Cod.Establecimiento],$O$3,BASE[CODCIE1010],ENOS_G3_IRAGNG_MENOR_QUE_1_AÑO[[#This Row],[CIE-10]],BASE[Edad],"&lt;1"))</f>
        <v>0</v>
      </c>
      <c r="W170" s="9">
        <f>SUM(ENOS_G3_IRAGNG_MENOR_QUE_1_AÑO[[#This Row],[D1]:[D6]])</f>
        <v>0</v>
      </c>
      <c r="X170" s="2"/>
      <c r="Y170" s="31" t="s">
        <v>305</v>
      </c>
      <c r="Z170" s="8">
        <f>IF($O$3="(Todas)",COUNTIFS(BASE[CODCIE10],ENOS_G3_IRAGNG_1_4_AÑOS[[#This Row],[CIE-10]],BASE[Edad],"&gt;=1",BASE[Edad],"&lt;=4"),COUNTIFS(BASE[Cod.Establecimiento],$O$3,BASE[CODCIE10],ENOS_G3_IRAGNG_1_4_AÑOS[[#This Row],[CIE-10]],BASE[Edad],"&gt;=1",BASE[Edad],"&lt;=4"))</f>
        <v>0</v>
      </c>
      <c r="AA170" s="8">
        <f>IF($O$3="(Todas)",COUNTIFS(BASE[CODCIE102],ENOS_G3_IRAGNG_1_4_AÑOS[[#This Row],[CIE-10]],BASE[Edad],"&gt;=1",BASE[Edad],"&lt;=4"),COUNTIFS(BASE[Cod.Establecimiento],$O$3,BASE[CODCIE102],ENOS_G3_IRAGNG_1_4_AÑOS[[#This Row],[CIE-10]],BASE[Edad],"&gt;=1",BASE[Edad],"&lt;=4"))</f>
        <v>0</v>
      </c>
      <c r="AB170" s="8">
        <f>IF($O$3="(Todas)",COUNTIFS(BASE[CODCIE104],ENOS_G3_IRAGNG_1_4_AÑOS[[#This Row],[CIE-10]],BASE[Edad],"&gt;=1",BASE[Edad],"&lt;=4"),COUNTIFS(BASE[Cod.Establecimiento],$O$3,BASE[CODCIE104],ENOS_G3_IRAGNG_1_4_AÑOS[[#This Row],[CIE-10]],BASE[Edad],"&gt;=1",BASE[Edad],"&lt;=4"))</f>
        <v>0</v>
      </c>
      <c r="AC170" s="8">
        <f>IF($O$3="(Todas)",COUNTIFS(BASE[CODCIE106],ENOS_G3_IRAGNG_1_4_AÑOS[[#This Row],[CIE-10]],BASE[Edad],"&gt;=1",BASE[Edad],"&lt;=4"),COUNTIFS(BASE[Cod.Establecimiento],$O$3,BASE[CODCIE106],ENOS_G3_IRAGNG_1_4_AÑOS[[#This Row],[CIE-10]],BASE[Edad],"&gt;=1",BASE[Edad],"&lt;=4"))</f>
        <v>0</v>
      </c>
      <c r="AD170" s="8">
        <f>IF($O$3="(Todas)",COUNTIFS(BASE[CODCIE108],ENOS_G3_IRAGNG_1_4_AÑOS[[#This Row],[CIE-10]],BASE[Edad],"&gt;=1",BASE[Edad],"&lt;=4"),COUNTIFS(BASE[Cod.Establecimiento],$O$3,BASE[CODCIE108],ENOS_G3_IRAGNG_1_4_AÑOS[[#This Row],[CIE-10]],BASE[Edad],"&gt;=1",BASE[Edad],"&lt;=4"))</f>
        <v>0</v>
      </c>
      <c r="AE170" s="8">
        <f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f>
        <v>0</v>
      </c>
      <c r="AF170" s="9">
        <f>SUM(ENOS_G3_IRAGNG_1_4_AÑOS[[#This Row],[D1]:[D6]])</f>
        <v>0</v>
      </c>
    </row>
    <row r="171" spans="1:32" ht="1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31" t="s">
        <v>306</v>
      </c>
      <c r="Q171" s="8">
        <f>IF($O$3="(Todas)",COUNTIFS(BASE[CODCIE10],ENOS_G3_IRAGNG_MENOR_QUE_1_AÑO[[#This Row],[CIE-10]],BASE[Edad],"&lt;1"),COUNTIFS(BASE[Cod.Establecimiento],$O$3,BASE[CODCIE10],ENOS_G3_IRAGNG_MENOR_QUE_1_AÑO[[#This Row],[CIE-10]],BASE[Edad],"&lt;1"))</f>
        <v>0</v>
      </c>
      <c r="R171" s="8">
        <f>IF($O$3="(Todas)",COUNTIFS(BASE[CODCIE102],ENOS_G3_IRAGNG_MENOR_QUE_1_AÑO[[#This Row],[CIE-10]],BASE[Edad],"&lt;1"),COUNTIFS(BASE[Cod.Establecimiento],$O$3,BASE[CODCIE102],ENOS_G3_IRAGNG_MENOR_QUE_1_AÑO[[#This Row],[CIE-10]],BASE[Edad],"&lt;1"))</f>
        <v>0</v>
      </c>
      <c r="S171" s="8">
        <f>IF($O$3="(Todas)",COUNTIFS(BASE[CODCIE104],ENOS_G3_IRAGNG_MENOR_QUE_1_AÑO[[#This Row],[CIE-10]],BASE[Edad],"&lt;1"),COUNTIFS(BASE[Cod.Establecimiento],$O$3,BASE[CODCIE104],ENOS_G3_IRAGNG_MENOR_QUE_1_AÑO[[#This Row],[CIE-10]],BASE[Edad],"&lt;1"))</f>
        <v>0</v>
      </c>
      <c r="T171" s="8">
        <f>IF($O$3="(Todas)",COUNTIFS(BASE[CODCIE106],ENOS_G3_IRAGNG_MENOR_QUE_1_AÑO[[#This Row],[CIE-10]],BASE[Edad],"&lt;1"),COUNTIFS(BASE[Cod.Establecimiento],$O$3,BASE[CODCIE106],ENOS_G3_IRAGNG_MENOR_QUE_1_AÑO[[#This Row],[CIE-10]],BASE[Edad],"&lt;1"))</f>
        <v>0</v>
      </c>
      <c r="U171" s="8">
        <f>IF($O$3="(Todas)",COUNTIFS(BASE[CODCIE108],ENOS_G3_IRAGNG_MENOR_QUE_1_AÑO[[#This Row],[CIE-10]],BASE[Edad],"&lt;1"),COUNTIFS(BASE[Cod.Establecimiento],$O$3,BASE[CODCIE108],ENOS_G3_IRAGNG_MENOR_QUE_1_AÑO[[#This Row],[CIE-10]],BASE[Edad],"&lt;1"))</f>
        <v>0</v>
      </c>
      <c r="V171" s="8">
        <f>IF($O$3="(Todas)",COUNTIFS(BASE[CODCIE1010],ENOS_G3_IRAGNG_MENOR_QUE_1_AÑO[[#This Row],[CIE-10]],BASE[Edad],"&lt;1"),COUNTIFS(BASE[Cod.Establecimiento],$O$3,BASE[CODCIE1010],ENOS_G3_IRAGNG_MENOR_QUE_1_AÑO[[#This Row],[CIE-10]],BASE[Edad],"&lt;1"))</f>
        <v>0</v>
      </c>
      <c r="W171" s="9">
        <f>SUM(ENOS_G3_IRAGNG_MENOR_QUE_1_AÑO[[#This Row],[D1]:[D6]])</f>
        <v>0</v>
      </c>
      <c r="X171" s="2"/>
      <c r="Y171" s="31" t="s">
        <v>306</v>
      </c>
      <c r="Z171" s="8">
        <f>IF($O$3="(Todas)",COUNTIFS(BASE[CODCIE10],ENOS_G3_IRAGNG_1_4_AÑOS[[#This Row],[CIE-10]],BASE[Edad],"&gt;=1",BASE[Edad],"&lt;=4"),COUNTIFS(BASE[Cod.Establecimiento],$O$3,BASE[CODCIE10],ENOS_G3_IRAGNG_1_4_AÑOS[[#This Row],[CIE-10]],BASE[Edad],"&gt;=1",BASE[Edad],"&lt;=4"))</f>
        <v>0</v>
      </c>
      <c r="AA171" s="8">
        <f>IF($O$3="(Todas)",COUNTIFS(BASE[CODCIE102],ENOS_G3_IRAGNG_1_4_AÑOS[[#This Row],[CIE-10]],BASE[Edad],"&gt;=1",BASE[Edad],"&lt;=4"),COUNTIFS(BASE[Cod.Establecimiento],$O$3,BASE[CODCIE102],ENOS_G3_IRAGNG_1_4_AÑOS[[#This Row],[CIE-10]],BASE[Edad],"&gt;=1",BASE[Edad],"&lt;=4"))</f>
        <v>0</v>
      </c>
      <c r="AB171" s="8">
        <f>IF($O$3="(Todas)",COUNTIFS(BASE[CODCIE104],ENOS_G3_IRAGNG_1_4_AÑOS[[#This Row],[CIE-10]],BASE[Edad],"&gt;=1",BASE[Edad],"&lt;=4"),COUNTIFS(BASE[Cod.Establecimiento],$O$3,BASE[CODCIE104],ENOS_G3_IRAGNG_1_4_AÑOS[[#This Row],[CIE-10]],BASE[Edad],"&gt;=1",BASE[Edad],"&lt;=4"))</f>
        <v>0</v>
      </c>
      <c r="AC171" s="8">
        <f>IF($O$3="(Todas)",COUNTIFS(BASE[CODCIE106],ENOS_G3_IRAGNG_1_4_AÑOS[[#This Row],[CIE-10]],BASE[Edad],"&gt;=1",BASE[Edad],"&lt;=4"),COUNTIFS(BASE[Cod.Establecimiento],$O$3,BASE[CODCIE106],ENOS_G3_IRAGNG_1_4_AÑOS[[#This Row],[CIE-10]],BASE[Edad],"&gt;=1",BASE[Edad],"&lt;=4"))</f>
        <v>0</v>
      </c>
      <c r="AD171" s="8">
        <f>IF($O$3="(Todas)",COUNTIFS(BASE[CODCIE108],ENOS_G3_IRAGNG_1_4_AÑOS[[#This Row],[CIE-10]],BASE[Edad],"&gt;=1",BASE[Edad],"&lt;=4"),COUNTIFS(BASE[Cod.Establecimiento],$O$3,BASE[CODCIE108],ENOS_G3_IRAGNG_1_4_AÑOS[[#This Row],[CIE-10]],BASE[Edad],"&gt;=1",BASE[Edad],"&lt;=4"))</f>
        <v>0</v>
      </c>
      <c r="AE171" s="8">
        <f>IF($O$3="(Todas)",COUNTIFS(BASE[CODCIE1010],ENOS_G3_IRAGNG_1_4_AÑOS[[#This Row],[CIE-10]],BASE[Edad],"&gt;=1",BASE[Edad],"&lt;=4"),COUNTIFS(BASE[Cod.Establecimiento],$O$3,BASE[CODCIE1010],ENOS_G3_IRAGNG_1_4_AÑOS[[#This Row],[CIE-10]],BASE[Edad],"&gt;=1",BASE[Edad],"&lt;=4"))</f>
        <v>0</v>
      </c>
      <c r="AF171" s="9">
        <f>SUM(ENOS_G3_IRAGNG_1_4_AÑOS[[#This Row],[D1]:[D6]])</f>
        <v>0</v>
      </c>
    </row>
    <row r="172" spans="1:3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8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87" t="s">
        <v>276</v>
      </c>
      <c r="Q173" s="88"/>
      <c r="R173" s="88"/>
      <c r="S173" s="88"/>
      <c r="T173" s="88"/>
      <c r="U173" s="88"/>
      <c r="V173" s="88"/>
      <c r="W173" s="88"/>
      <c r="X173" s="2"/>
      <c r="Y173" s="87" t="s">
        <v>277</v>
      </c>
      <c r="Z173" s="88"/>
      <c r="AA173" s="88"/>
      <c r="AB173" s="88"/>
      <c r="AC173" s="88"/>
      <c r="AD173" s="88"/>
      <c r="AE173" s="88"/>
      <c r="AF173" s="88"/>
    </row>
    <row r="174" spans="1:32" ht="15.75" customHeight="1" thickTop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 t="s">
        <v>77</v>
      </c>
      <c r="Q174" s="8" t="s">
        <v>78</v>
      </c>
      <c r="R174" s="8" t="s">
        <v>79</v>
      </c>
      <c r="S174" s="8" t="s">
        <v>80</v>
      </c>
      <c r="T174" s="8" t="s">
        <v>81</v>
      </c>
      <c r="U174" s="8" t="s">
        <v>82</v>
      </c>
      <c r="V174" s="8" t="s">
        <v>83</v>
      </c>
      <c r="W174" s="10" t="s">
        <v>84</v>
      </c>
      <c r="X174" s="2"/>
      <c r="Y174" s="2" t="s">
        <v>77</v>
      </c>
      <c r="Z174" s="8" t="s">
        <v>78</v>
      </c>
      <c r="AA174" s="8" t="s">
        <v>79</v>
      </c>
      <c r="AB174" s="8" t="s">
        <v>80</v>
      </c>
      <c r="AC174" s="8" t="s">
        <v>81</v>
      </c>
      <c r="AD174" s="8" t="s">
        <v>82</v>
      </c>
      <c r="AE174" s="8" t="s">
        <v>83</v>
      </c>
      <c r="AF174" s="10" t="s">
        <v>84</v>
      </c>
    </row>
    <row r="175" spans="1:3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31" t="s">
        <v>304</v>
      </c>
      <c r="Q175" s="8">
        <f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f>
        <v>0</v>
      </c>
      <c r="R175" s="8">
        <f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f>
        <v>0</v>
      </c>
      <c r="S175" s="8">
        <f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f>
        <v>0</v>
      </c>
      <c r="T175" s="8">
        <f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f>
        <v>0</v>
      </c>
      <c r="U175" s="8">
        <f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f>
        <v>0</v>
      </c>
      <c r="V175" s="8">
        <f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f>
        <v>0</v>
      </c>
      <c r="W175" s="9">
        <f>SUM(ENOS_G3_IRAGNG_5_19_AÑOS[[#This Row],[D1]:[D6]])</f>
        <v>0</v>
      </c>
      <c r="X175" s="2"/>
      <c r="Y175" s="31" t="s">
        <v>304</v>
      </c>
      <c r="Z175" s="8">
        <f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f>
        <v>0</v>
      </c>
      <c r="AA175" s="8">
        <f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f>
        <v>0</v>
      </c>
      <c r="AB175" s="8">
        <f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f>
        <v>0</v>
      </c>
      <c r="AC175" s="8">
        <f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f>
        <v>0</v>
      </c>
      <c r="AD175" s="8">
        <f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f>
        <v>0</v>
      </c>
      <c r="AE175" s="8">
        <f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f>
        <v>0</v>
      </c>
      <c r="AF175" s="9">
        <f>SUM(ENOS_G3_IRAGNG_20_59_AÑOS[[#This Row],[D1]:[D6]])</f>
        <v>0</v>
      </c>
    </row>
    <row r="176" spans="1:3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31" t="s">
        <v>305</v>
      </c>
      <c r="Q176" s="8">
        <f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f>
        <v>0</v>
      </c>
      <c r="R176" s="8">
        <f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f>
        <v>0</v>
      </c>
      <c r="S176" s="8">
        <f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f>
        <v>0</v>
      </c>
      <c r="T176" s="8">
        <f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f>
        <v>0</v>
      </c>
      <c r="U176" s="8">
        <f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f>
        <v>0</v>
      </c>
      <c r="V176" s="8">
        <f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f>
        <v>0</v>
      </c>
      <c r="W176" s="9">
        <f>SUM(ENOS_G3_IRAGNG_5_19_AÑOS[[#This Row],[D1]:[D6]])</f>
        <v>0</v>
      </c>
      <c r="X176" s="2"/>
      <c r="Y176" s="31" t="s">
        <v>305</v>
      </c>
      <c r="Z176" s="8">
        <f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f>
        <v>0</v>
      </c>
      <c r="AA176" s="8">
        <f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f>
        <v>0</v>
      </c>
      <c r="AB176" s="8">
        <f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f>
        <v>0</v>
      </c>
      <c r="AC176" s="8">
        <f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f>
        <v>0</v>
      </c>
      <c r="AD176" s="8">
        <f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f>
        <v>0</v>
      </c>
      <c r="AE176" s="8">
        <f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f>
        <v>0</v>
      </c>
      <c r="AF176" s="9">
        <f>SUM(ENOS_G3_IRAGNG_20_59_AÑOS[[#This Row],[D1]:[D6]])</f>
        <v>0</v>
      </c>
    </row>
    <row r="177" spans="1:32" ht="1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31" t="s">
        <v>306</v>
      </c>
      <c r="Q177" s="8">
        <f>IF($O$3="(Todas)",COUNTIFS(BASE[CODCIE10],ENOS_G3_IRAGNG_5_19_AÑOS[[#This Row],[CIE-10]],BASE[Edad],"&gt;=5",BASE[Edad],"&lt;=19"),COUNTIFS(BASE[Cod.Establecimiento],$O$3,BASE[CODCIE10],ENOS_G3_IRAGNG_5_19_AÑOS[[#This Row],[CIE-10]],BASE[Edad],"&gt;=5",BASE[Edad],"&lt;=19"))</f>
        <v>0</v>
      </c>
      <c r="R177" s="8">
        <f>IF($O$3="(Todas)",COUNTIFS(BASE[CODCIE102],ENOS_G3_IRAGNG_5_19_AÑOS[[#This Row],[CIE-10]],BASE[Edad],"&gt;=5",BASE[Edad],"&lt;=19"),COUNTIFS(BASE[Cod.Establecimiento],$O$3,BASE[CODCIE102],ENOS_G3_IRAGNG_5_19_AÑOS[[#This Row],[CIE-10]],BASE[Edad],"&gt;=5",BASE[Edad],"&lt;=19"))</f>
        <v>0</v>
      </c>
      <c r="S177" s="8">
        <f>IF($O$3="(Todas)",COUNTIFS(BASE[CODCIE104],ENOS_G3_IRAGNG_5_19_AÑOS[[#This Row],[CIE-10]],BASE[Edad],"&gt;=5",BASE[Edad],"&lt;=19"),COUNTIFS(BASE[Cod.Establecimiento],$O$3,BASE[CODCIE104],ENOS_G3_IRAGNG_5_19_AÑOS[[#This Row],[CIE-10]],BASE[Edad],"&gt;=5",BASE[Edad],"&lt;=19"))</f>
        <v>0</v>
      </c>
      <c r="T177" s="8">
        <f>IF($O$3="(Todas)",COUNTIFS(BASE[CODCIE106],ENOS_G3_IRAGNG_5_19_AÑOS[[#This Row],[CIE-10]],BASE[Edad],"&gt;=5",BASE[Edad],"&lt;=19"),COUNTIFS(BASE[Cod.Establecimiento],$O$3,BASE[CODCIE106],ENOS_G3_IRAGNG_5_19_AÑOS[[#This Row],[CIE-10]],BASE[Edad],"&gt;=5",BASE[Edad],"&lt;=19"))</f>
        <v>0</v>
      </c>
      <c r="U177" s="8">
        <f>IF($O$3="(Todas)",COUNTIFS(BASE[CODCIE108],ENOS_G3_IRAGNG_5_19_AÑOS[[#This Row],[CIE-10]],BASE[Edad],"&gt;=5",BASE[Edad],"&lt;=19"),COUNTIFS(BASE[Cod.Establecimiento],$O$3,BASE[CODCIE108],ENOS_G3_IRAGNG_5_19_AÑOS[[#This Row],[CIE-10]],BASE[Edad],"&gt;=5",BASE[Edad],"&lt;=19"))</f>
        <v>0</v>
      </c>
      <c r="V177" s="8">
        <f>IF($O$3="(Todas)",COUNTIFS(BASE[CODCIE1010],ENOS_G3_IRAGNG_5_19_AÑOS[[#This Row],[CIE-10]],BASE[Edad],"&gt;=5",BASE[Edad],"&lt;=19"),COUNTIFS(BASE[Cod.Establecimiento],$O$3,BASE[CODCIE1010],ENOS_G3_IRAGNG_5_19_AÑOS[[#This Row],[CIE-10]],BASE[Edad],"&gt;=5",BASE[Edad],"&lt;=19"))</f>
        <v>0</v>
      </c>
      <c r="W177" s="9">
        <f>SUM(ENOS_G3_IRAGNG_5_19_AÑOS[[#This Row],[D1]:[D6]])</f>
        <v>0</v>
      </c>
      <c r="X177" s="2"/>
      <c r="Y177" s="31" t="s">
        <v>306</v>
      </c>
      <c r="Z177" s="8">
        <f>IF($O$3="(Todas)",COUNTIFS(BASE[CODCIE10],ENOS_G3_IRAGNG_20_59_AÑOS[[#This Row],[CIE-10]],BASE[Edad],"&gt;=20",BASE[Edad],"&lt;=59"),COUNTIFS(BASE[Cod.Establecimiento],$O$3,BASE[CODCIE10],ENOS_G3_IRAGNG_20_59_AÑOS[[#This Row],[CIE-10]],BASE[Edad],"&gt;=20",BASE[Edad],"&lt;=59"))</f>
        <v>0</v>
      </c>
      <c r="AA177" s="8">
        <f>IF($O$3="(Todas)",COUNTIFS(BASE[CODCIE102],ENOS_G3_IRAGNG_20_59_AÑOS[[#This Row],[CIE-10]],BASE[Edad],"&gt;=20",BASE[Edad],"&lt;=59"),COUNTIFS(BASE[Cod.Establecimiento],$O$3,BASE[CODCIE102],ENOS_G3_IRAGNG_20_59_AÑOS[[#This Row],[CIE-10]],BASE[Edad],"&gt;=20",BASE[Edad],"&lt;=59"))</f>
        <v>0</v>
      </c>
      <c r="AB177" s="8">
        <f>IF($O$3="(Todas)",COUNTIFS(BASE[CODCIE104],ENOS_G3_IRAGNG_20_59_AÑOS[[#This Row],[CIE-10]],BASE[Edad],"&gt;=20",BASE[Edad],"&lt;=59"),COUNTIFS(BASE[Cod.Establecimiento],$O$3,BASE[CODCIE104],ENOS_G3_IRAGNG_20_59_AÑOS[[#This Row],[CIE-10]],BASE[Edad],"&gt;=20",BASE[Edad],"&lt;=59"))</f>
        <v>0</v>
      </c>
      <c r="AC177" s="8">
        <f>IF($O$3="(Todas)",COUNTIFS(BASE[CODCIE106],ENOS_G3_IRAGNG_20_59_AÑOS[[#This Row],[CIE-10]],BASE[Edad],"&gt;=20",BASE[Edad],"&lt;=59"),COUNTIFS(BASE[Cod.Establecimiento],$O$3,BASE[CODCIE106],ENOS_G3_IRAGNG_20_59_AÑOS[[#This Row],[CIE-10]],BASE[Edad],"&gt;=20",BASE[Edad],"&lt;=59"))</f>
        <v>0</v>
      </c>
      <c r="AD177" s="8">
        <f>IF($O$3="(Todas)",COUNTIFS(BASE[CODCIE108],ENOS_G3_IRAGNG_20_59_AÑOS[[#This Row],[CIE-10]],BASE[Edad],"&gt;=20",BASE[Edad],"&lt;=59"),COUNTIFS(BASE[Cod.Establecimiento],$O$3,BASE[CODCIE108],ENOS_G3_IRAGNG_20_59_AÑOS[[#This Row],[CIE-10]],BASE[Edad],"&gt;=20",BASE[Edad],"&lt;=59"))</f>
        <v>0</v>
      </c>
      <c r="AE177" s="8">
        <f>IF($O$3="(Todas)",COUNTIFS(BASE[CODCIE1010],ENOS_G3_IRAGNG_20_59_AÑOS[[#This Row],[CIE-10]],BASE[Edad],"&gt;=20",BASE[Edad],"&lt;=59"),COUNTIFS(BASE[Cod.Establecimiento],$O$3,BASE[CODCIE1010],ENOS_G3_IRAGNG_20_59_AÑOS[[#This Row],[CIE-10]],BASE[Edad],"&gt;=20",BASE[Edad],"&lt;=59"))</f>
        <v>0</v>
      </c>
      <c r="AF177" s="9">
        <f>SUM(ENOS_G3_IRAGNG_20_59_AÑOS[[#This Row],[D1]:[D6]])</f>
        <v>0</v>
      </c>
    </row>
    <row r="178" spans="1:3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8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87" t="s">
        <v>278</v>
      </c>
      <c r="Q179" s="88"/>
      <c r="R179" s="88"/>
      <c r="S179" s="88"/>
      <c r="T179" s="88"/>
      <c r="U179" s="88"/>
      <c r="V179" s="88"/>
      <c r="W179" s="88"/>
      <c r="X179" s="2"/>
      <c r="Y179" s="87" t="s">
        <v>279</v>
      </c>
      <c r="Z179" s="88"/>
      <c r="AA179" s="88"/>
      <c r="AB179" s="88"/>
      <c r="AC179" s="88"/>
      <c r="AD179" s="88"/>
      <c r="AE179" s="88"/>
      <c r="AF179" s="88"/>
    </row>
    <row r="180" spans="1:32" ht="15.75" customHeight="1" thickTop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 t="s">
        <v>77</v>
      </c>
      <c r="Q180" s="8" t="s">
        <v>78</v>
      </c>
      <c r="R180" s="8" t="s">
        <v>79</v>
      </c>
      <c r="S180" s="8" t="s">
        <v>80</v>
      </c>
      <c r="T180" s="8" t="s">
        <v>81</v>
      </c>
      <c r="U180" s="8" t="s">
        <v>82</v>
      </c>
      <c r="V180" s="8" t="s">
        <v>83</v>
      </c>
      <c r="W180" s="10" t="s">
        <v>84</v>
      </c>
      <c r="X180" s="2"/>
      <c r="Y180" s="2" t="s">
        <v>77</v>
      </c>
      <c r="Z180" s="8" t="s">
        <v>78</v>
      </c>
      <c r="AA180" s="8" t="s">
        <v>79</v>
      </c>
      <c r="AB180" s="8" t="s">
        <v>80</v>
      </c>
      <c r="AC180" s="8" t="s">
        <v>81</v>
      </c>
      <c r="AD180" s="8" t="s">
        <v>82</v>
      </c>
      <c r="AE180" s="8" t="s">
        <v>83</v>
      </c>
      <c r="AF180" s="10" t="s">
        <v>84</v>
      </c>
    </row>
    <row r="181" spans="1:3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31" t="s">
        <v>304</v>
      </c>
      <c r="Q181" s="8">
        <f>IF($O$3="(Todas)",COUNTIFS(BASE[CODCIE10],ENOS_G3_IRAGNG_60_MAS_AÑOS[[#This Row],[CIE-10]],BASE[Edad],"&gt;=60"),COUNTIFS(BASE[Cod.Establecimiento],$O$3,BASE[CODCIE10],ENOS_G3_IRAGNG_60_MAS_AÑOS[[#This Row],[CIE-10]],BASE[Edad],"&gt;=60"))</f>
        <v>0</v>
      </c>
      <c r="R181" s="8">
        <f>IF($O$3="(Todas)",COUNTIFS(BASE[CODCIE102],ENOS_G3_IRAGNG_60_MAS_AÑOS[[#This Row],[CIE-10]],BASE[Edad],"&gt;=60"),COUNTIFS(BASE[Cod.Establecimiento],$O$3,BASE[CODCIE102],ENOS_G3_IRAGNG_60_MAS_AÑOS[[#This Row],[CIE-10]],BASE[Edad],"&gt;=60"))</f>
        <v>0</v>
      </c>
      <c r="S181" s="8">
        <f>IF($O$3="(Todas)",COUNTIFS(BASE[CODCIE104],ENOS_G3_IRAGNG_60_MAS_AÑOS[[#This Row],[CIE-10]],BASE[Edad],"&gt;=60"),COUNTIFS(BASE[Cod.Establecimiento],$O$3,BASE[CODCIE104],ENOS_G3_IRAGNG_60_MAS_AÑOS[[#This Row],[CIE-10]],BASE[Edad],"&gt;=60"))</f>
        <v>0</v>
      </c>
      <c r="T181" s="8">
        <f>IF($O$3="(Todas)",COUNTIFS(BASE[CODCIE106],ENOS_G3_IRAGNG_60_MAS_AÑOS[[#This Row],[CIE-10]],BASE[Edad],"&gt;=60"),COUNTIFS(BASE[Cod.Establecimiento],$O$3,BASE[CODCIE106],ENOS_G3_IRAGNG_60_MAS_AÑOS[[#This Row],[CIE-10]],BASE[Edad],"&gt;=60"))</f>
        <v>0</v>
      </c>
      <c r="U181" s="8">
        <f>IF($O$3="(Todas)",COUNTIFS(BASE[CODCIE108],ENOS_G3_IRAGNG_60_MAS_AÑOS[[#This Row],[CIE-10]],BASE[Edad],"&gt;=60"),COUNTIFS(BASE[Cod.Establecimiento],$O$3,BASE[CODCIE108],ENOS_G3_IRAGNG_60_MAS_AÑOS[[#This Row],[CIE-10]],BASE[Edad],"&gt;=60"))</f>
        <v>0</v>
      </c>
      <c r="V181" s="8">
        <f>IF($O$3="(Todas)",COUNTIFS(BASE[CODCIE1010],ENOS_G3_IRAGNG_60_MAS_AÑOS[[#This Row],[CIE-10]],BASE[Edad],"&gt;=60"),COUNTIFS(BASE[Cod.Establecimiento],$O$3,BASE[CODCIE1010],ENOS_G3_IRAGNG_60_MAS_AÑOS[[#This Row],[CIE-10]],BASE[Edad],"&gt;=60"))</f>
        <v>0</v>
      </c>
      <c r="W181" s="9">
        <f>SUM(ENOS_G3_IRAGNG_60_MAS_AÑOS[[#This Row],[D1]:[D6]])</f>
        <v>0</v>
      </c>
      <c r="X181" s="2"/>
      <c r="Y181" s="31" t="s">
        <v>304</v>
      </c>
      <c r="Z181" s="8">
        <f>IF($O$3="(Todas)",COUNTIFS(BASE[CODCIE10],ENOS_G3_IRAGNG_SD_AÑOS[[#This Row],[CIE-10]],BASE[Edad],""),COUNTIFS(BASE[Cod.Establecimiento],$O$3,BASE[CODCIE10],ENOS_G3_IRAGNG_SD_AÑOS[[#This Row],[CIE-10]],BASE[Edad],""))</f>
        <v>0</v>
      </c>
      <c r="AA181" s="8">
        <f>IF($O$3="(Todas)",COUNTIFS(BASE[CODCIE102],ENOS_G3_IRAGNG_SD_AÑOS[[#This Row],[CIE-10]],BASE[Edad],""),COUNTIFS(BASE[Cod.Establecimiento],$O$3,BASE[CODCIE102],ENOS_G3_IRAGNG_SD_AÑOS[[#This Row],[CIE-10]],BASE[Edad],""))</f>
        <v>0</v>
      </c>
      <c r="AB181" s="8">
        <f>IF($O$3="(Todas)",COUNTIFS(BASE[CODCIE104],ENOS_G3_IRAGNG_SD_AÑOS[[#This Row],[CIE-10]],BASE[Edad],""),COUNTIFS(BASE[Cod.Establecimiento],$O$3,BASE[CODCIE104],ENOS_G3_IRAGNG_SD_AÑOS[[#This Row],[CIE-10]],BASE[Edad],""))</f>
        <v>0</v>
      </c>
      <c r="AC181" s="8">
        <f>IF($O$3="(Todas)",COUNTIFS(BASE[CODCIE106],ENOS_G3_IRAGNG_SD_AÑOS[[#This Row],[CIE-10]],BASE[Edad],""),COUNTIFS(BASE[Cod.Establecimiento],$O$3,BASE[CODCIE106],ENOS_G3_IRAGNG_SD_AÑOS[[#This Row],[CIE-10]],BASE[Edad],""))</f>
        <v>0</v>
      </c>
      <c r="AD181" s="8">
        <f>IF($O$3="(Todas)",COUNTIFS(BASE[CODCIE108],ENOS_G3_IRAGNG_SD_AÑOS[[#This Row],[CIE-10]],BASE[Edad],""),COUNTIFS(BASE[Cod.Establecimiento],$O$3,BASE[CODCIE108],ENOS_G3_IRAGNG_SD_AÑOS[[#This Row],[CIE-10]],BASE[Edad],""))</f>
        <v>0</v>
      </c>
      <c r="AE181" s="8">
        <f>IF($O$3="(Todas)",COUNTIFS(BASE[CODCIE1010],ENOS_G3_IRAGNG_SD_AÑOS[[#This Row],[CIE-10]],BASE[Edad],""),COUNTIFS(BASE[Cod.Establecimiento],$O$3,BASE[CODCIE1010],ENOS_G3_IRAGNG_SD_AÑOS[[#This Row],[CIE-10]],BASE[Edad],""))</f>
        <v>0</v>
      </c>
      <c r="AF181" s="9">
        <f>SUM(ENOS_G3_IRAGNG_SD_AÑOS[[#This Row],[D1]:[D6]])</f>
        <v>0</v>
      </c>
    </row>
    <row r="182" spans="1:3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31" t="s">
        <v>305</v>
      </c>
      <c r="Q182" s="8">
        <f>IF($O$3="(Todas)",COUNTIFS(BASE[CODCIE10],ENOS_G3_IRAGNG_60_MAS_AÑOS[[#This Row],[CIE-10]],BASE[Edad],"&gt;=60"),COUNTIFS(BASE[Cod.Establecimiento],$O$3,BASE[CODCIE10],ENOS_G3_IRAGNG_60_MAS_AÑOS[[#This Row],[CIE-10]],BASE[Edad],"&gt;=60"))</f>
        <v>0</v>
      </c>
      <c r="R182" s="8">
        <f>IF($O$3="(Todas)",COUNTIFS(BASE[CODCIE102],ENOS_G3_IRAGNG_60_MAS_AÑOS[[#This Row],[CIE-10]],BASE[Edad],"&gt;=60"),COUNTIFS(BASE[Cod.Establecimiento],$O$3,BASE[CODCIE102],ENOS_G3_IRAGNG_60_MAS_AÑOS[[#This Row],[CIE-10]],BASE[Edad],"&gt;=60"))</f>
        <v>0</v>
      </c>
      <c r="S182" s="8">
        <f>IF($O$3="(Todas)",COUNTIFS(BASE[CODCIE104],ENOS_G3_IRAGNG_60_MAS_AÑOS[[#This Row],[CIE-10]],BASE[Edad],"&gt;=60"),COUNTIFS(BASE[Cod.Establecimiento],$O$3,BASE[CODCIE104],ENOS_G3_IRAGNG_60_MAS_AÑOS[[#This Row],[CIE-10]],BASE[Edad],"&gt;=60"))</f>
        <v>0</v>
      </c>
      <c r="T182" s="8">
        <f>IF($O$3="(Todas)",COUNTIFS(BASE[CODCIE106],ENOS_G3_IRAGNG_60_MAS_AÑOS[[#This Row],[CIE-10]],BASE[Edad],"&gt;=60"),COUNTIFS(BASE[Cod.Establecimiento],$O$3,BASE[CODCIE106],ENOS_G3_IRAGNG_60_MAS_AÑOS[[#This Row],[CIE-10]],BASE[Edad],"&gt;=60"))</f>
        <v>0</v>
      </c>
      <c r="U182" s="8">
        <f>IF($O$3="(Todas)",COUNTIFS(BASE[CODCIE108],ENOS_G3_IRAGNG_60_MAS_AÑOS[[#This Row],[CIE-10]],BASE[Edad],"&gt;=60"),COUNTIFS(BASE[Cod.Establecimiento],$O$3,BASE[CODCIE108],ENOS_G3_IRAGNG_60_MAS_AÑOS[[#This Row],[CIE-10]],BASE[Edad],"&gt;=60"))</f>
        <v>0</v>
      </c>
      <c r="V182" s="8">
        <f>IF($O$3="(Todas)",COUNTIFS(BASE[CODCIE1010],ENOS_G3_IRAGNG_60_MAS_AÑOS[[#This Row],[CIE-10]],BASE[Edad],"&gt;=60"),COUNTIFS(BASE[Cod.Establecimiento],$O$3,BASE[CODCIE1010],ENOS_G3_IRAGNG_60_MAS_AÑOS[[#This Row],[CIE-10]],BASE[Edad],"&gt;=60"))</f>
        <v>0</v>
      </c>
      <c r="W182" s="9">
        <f>SUM(ENOS_G3_IRAGNG_60_MAS_AÑOS[[#This Row],[D1]:[D6]])</f>
        <v>0</v>
      </c>
      <c r="X182" s="2"/>
      <c r="Y182" s="31" t="s">
        <v>305</v>
      </c>
      <c r="Z182" s="8">
        <f>IF($O$3="(Todas)",COUNTIFS(BASE[CODCIE10],ENOS_G3_IRAGNG_SD_AÑOS[[#This Row],[CIE-10]],BASE[Edad],""),COUNTIFS(BASE[Cod.Establecimiento],$O$3,BASE[CODCIE10],ENOS_G3_IRAGNG_SD_AÑOS[[#This Row],[CIE-10]],BASE[Edad],""))</f>
        <v>0</v>
      </c>
      <c r="AA182" s="8">
        <f>IF($O$3="(Todas)",COUNTIFS(BASE[CODCIE102],ENOS_G3_IRAGNG_SD_AÑOS[[#This Row],[CIE-10]],BASE[Edad],""),COUNTIFS(BASE[Cod.Establecimiento],$O$3,BASE[CODCIE102],ENOS_G3_IRAGNG_SD_AÑOS[[#This Row],[CIE-10]],BASE[Edad],""))</f>
        <v>0</v>
      </c>
      <c r="AB182" s="8">
        <f>IF($O$3="(Todas)",COUNTIFS(BASE[CODCIE104],ENOS_G3_IRAGNG_SD_AÑOS[[#This Row],[CIE-10]],BASE[Edad],""),COUNTIFS(BASE[Cod.Establecimiento],$O$3,BASE[CODCIE104],ENOS_G3_IRAGNG_SD_AÑOS[[#This Row],[CIE-10]],BASE[Edad],""))</f>
        <v>0</v>
      </c>
      <c r="AC182" s="8">
        <f>IF($O$3="(Todas)",COUNTIFS(BASE[CODCIE106],ENOS_G3_IRAGNG_SD_AÑOS[[#This Row],[CIE-10]],BASE[Edad],""),COUNTIFS(BASE[Cod.Establecimiento],$O$3,BASE[CODCIE106],ENOS_G3_IRAGNG_SD_AÑOS[[#This Row],[CIE-10]],BASE[Edad],""))</f>
        <v>0</v>
      </c>
      <c r="AD182" s="8">
        <f>IF($O$3="(Todas)",COUNTIFS(BASE[CODCIE108],ENOS_G3_IRAGNG_SD_AÑOS[[#This Row],[CIE-10]],BASE[Edad],""),COUNTIFS(BASE[Cod.Establecimiento],$O$3,BASE[CODCIE108],ENOS_G3_IRAGNG_SD_AÑOS[[#This Row],[CIE-10]],BASE[Edad],""))</f>
        <v>0</v>
      </c>
      <c r="AE182" s="8">
        <f>IF($O$3="(Todas)",COUNTIFS(BASE[CODCIE1010],ENOS_G3_IRAGNG_SD_AÑOS[[#This Row],[CIE-10]],BASE[Edad],""),COUNTIFS(BASE[Cod.Establecimiento],$O$3,BASE[CODCIE1010],ENOS_G3_IRAGNG_SD_AÑOS[[#This Row],[CIE-10]],BASE[Edad],""))</f>
        <v>0</v>
      </c>
      <c r="AF182" s="9">
        <f>SUM(ENOS_G3_IRAGNG_SD_AÑOS[[#This Row],[D1]:[D6]])</f>
        <v>0</v>
      </c>
    </row>
    <row r="183" spans="1:32" ht="1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31" t="s">
        <v>306</v>
      </c>
      <c r="Q183" s="8">
        <f>IF($O$3="(Todas)",COUNTIFS(BASE[CODCIE10],ENOS_G3_IRAGNG_60_MAS_AÑOS[[#This Row],[CIE-10]],BASE[Edad],"&gt;=60"),COUNTIFS(BASE[Cod.Establecimiento],$O$3,BASE[CODCIE10],ENOS_G3_IRAGNG_60_MAS_AÑOS[[#This Row],[CIE-10]],BASE[Edad],"&gt;=60"))</f>
        <v>0</v>
      </c>
      <c r="R183" s="8">
        <f>IF($O$3="(Todas)",COUNTIFS(BASE[CODCIE102],ENOS_G3_IRAGNG_60_MAS_AÑOS[[#This Row],[CIE-10]],BASE[Edad],"&gt;=60"),COUNTIFS(BASE[Cod.Establecimiento],$O$3,BASE[CODCIE102],ENOS_G3_IRAGNG_60_MAS_AÑOS[[#This Row],[CIE-10]],BASE[Edad],"&gt;=60"))</f>
        <v>0</v>
      </c>
      <c r="S183" s="8">
        <f>IF($O$3="(Todas)",COUNTIFS(BASE[CODCIE104],ENOS_G3_IRAGNG_60_MAS_AÑOS[[#This Row],[CIE-10]],BASE[Edad],"&gt;=60"),COUNTIFS(BASE[Cod.Establecimiento],$O$3,BASE[CODCIE104],ENOS_G3_IRAGNG_60_MAS_AÑOS[[#This Row],[CIE-10]],BASE[Edad],"&gt;=60"))</f>
        <v>0</v>
      </c>
      <c r="T183" s="8">
        <f>IF($O$3="(Todas)",COUNTIFS(BASE[CODCIE106],ENOS_G3_IRAGNG_60_MAS_AÑOS[[#This Row],[CIE-10]],BASE[Edad],"&gt;=60"),COUNTIFS(BASE[Cod.Establecimiento],$O$3,BASE[CODCIE106],ENOS_G3_IRAGNG_60_MAS_AÑOS[[#This Row],[CIE-10]],BASE[Edad],"&gt;=60"))</f>
        <v>0</v>
      </c>
      <c r="U183" s="8">
        <f>IF($O$3="(Todas)",COUNTIFS(BASE[CODCIE108],ENOS_G3_IRAGNG_60_MAS_AÑOS[[#This Row],[CIE-10]],BASE[Edad],"&gt;=60"),COUNTIFS(BASE[Cod.Establecimiento],$O$3,BASE[CODCIE108],ENOS_G3_IRAGNG_60_MAS_AÑOS[[#This Row],[CIE-10]],BASE[Edad],"&gt;=60"))</f>
        <v>0</v>
      </c>
      <c r="V183" s="8">
        <f>IF($O$3="(Todas)",COUNTIFS(BASE[CODCIE1010],ENOS_G3_IRAGNG_60_MAS_AÑOS[[#This Row],[CIE-10]],BASE[Edad],"&gt;=60"),COUNTIFS(BASE[Cod.Establecimiento],$O$3,BASE[CODCIE1010],ENOS_G3_IRAGNG_60_MAS_AÑOS[[#This Row],[CIE-10]],BASE[Edad],"&gt;=60"))</f>
        <v>0</v>
      </c>
      <c r="W183" s="9">
        <f>SUM(ENOS_G3_IRAGNG_60_MAS_AÑOS[[#This Row],[D1]:[D6]])</f>
        <v>0</v>
      </c>
      <c r="X183" s="2"/>
      <c r="Y183" s="31" t="s">
        <v>306</v>
      </c>
      <c r="Z183" s="8">
        <f>IF($O$3="(Todas)",COUNTIFS(BASE[CODCIE10],ENOS_G3_IRAGNG_SD_AÑOS[[#This Row],[CIE-10]],BASE[Edad],""),COUNTIFS(BASE[Cod.Establecimiento],$O$3,BASE[CODCIE10],ENOS_G3_IRAGNG_SD_AÑOS[[#This Row],[CIE-10]],BASE[Edad],""))</f>
        <v>0</v>
      </c>
      <c r="AA183" s="8">
        <f>IF($O$3="(Todas)",COUNTIFS(BASE[CODCIE102],ENOS_G3_IRAGNG_SD_AÑOS[[#This Row],[CIE-10]],BASE[Edad],""),COUNTIFS(BASE[Cod.Establecimiento],$O$3,BASE[CODCIE102],ENOS_G3_IRAGNG_SD_AÑOS[[#This Row],[CIE-10]],BASE[Edad],""))</f>
        <v>0</v>
      </c>
      <c r="AB183" s="8">
        <f>IF($O$3="(Todas)",COUNTIFS(BASE[CODCIE104],ENOS_G3_IRAGNG_SD_AÑOS[[#This Row],[CIE-10]],BASE[Edad],""),COUNTIFS(BASE[Cod.Establecimiento],$O$3,BASE[CODCIE104],ENOS_G3_IRAGNG_SD_AÑOS[[#This Row],[CIE-10]],BASE[Edad],""))</f>
        <v>0</v>
      </c>
      <c r="AC183" s="8">
        <f>IF($O$3="(Todas)",COUNTIFS(BASE[CODCIE106],ENOS_G3_IRAGNG_SD_AÑOS[[#This Row],[CIE-10]],BASE[Edad],""),COUNTIFS(BASE[Cod.Establecimiento],$O$3,BASE[CODCIE106],ENOS_G3_IRAGNG_SD_AÑOS[[#This Row],[CIE-10]],BASE[Edad],""))</f>
        <v>0</v>
      </c>
      <c r="AD183" s="8">
        <f>IF($O$3="(Todas)",COUNTIFS(BASE[CODCIE108],ENOS_G3_IRAGNG_SD_AÑOS[[#This Row],[CIE-10]],BASE[Edad],""),COUNTIFS(BASE[Cod.Establecimiento],$O$3,BASE[CODCIE108],ENOS_G3_IRAGNG_SD_AÑOS[[#This Row],[CIE-10]],BASE[Edad],""))</f>
        <v>0</v>
      </c>
      <c r="AE183" s="8">
        <f>IF($O$3="(Todas)",COUNTIFS(BASE[CODCIE1010],ENOS_G3_IRAGNG_SD_AÑOS[[#This Row],[CIE-10]],BASE[Edad],""),COUNTIFS(BASE[Cod.Establecimiento],$O$3,BASE[CODCIE1010],ENOS_G3_IRAGNG_SD_AÑOS[[#This Row],[CIE-10]],BASE[Edad],""))</f>
        <v>0</v>
      </c>
      <c r="AF183" s="9">
        <f>SUM(ENOS_G3_IRAGNG_SD_AÑOS[[#This Row],[D1]:[D6]])</f>
        <v>0</v>
      </c>
    </row>
    <row r="184" spans="1:3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8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87" t="s">
        <v>280</v>
      </c>
      <c r="Q185" s="88"/>
      <c r="R185" s="88"/>
      <c r="S185" s="88"/>
      <c r="T185" s="88"/>
      <c r="U185" s="88"/>
      <c r="V185" s="88"/>
      <c r="W185" s="88"/>
      <c r="X185" s="2"/>
      <c r="Y185" s="87" t="s">
        <v>281</v>
      </c>
      <c r="Z185" s="88"/>
      <c r="AA185" s="88"/>
      <c r="AB185" s="88"/>
      <c r="AC185" s="88"/>
      <c r="AD185" s="88"/>
      <c r="AE185" s="88"/>
      <c r="AF185" s="88"/>
    </row>
    <row r="186" spans="1:32" ht="15.75" customHeight="1" thickTop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 t="s">
        <v>77</v>
      </c>
      <c r="Q186" s="8" t="s">
        <v>78</v>
      </c>
      <c r="R186" s="8" t="s">
        <v>79</v>
      </c>
      <c r="S186" s="8" t="s">
        <v>80</v>
      </c>
      <c r="T186" s="8" t="s">
        <v>81</v>
      </c>
      <c r="U186" s="8" t="s">
        <v>82</v>
      </c>
      <c r="V186" s="8" t="s">
        <v>83</v>
      </c>
      <c r="W186" s="10" t="s">
        <v>84</v>
      </c>
      <c r="X186" s="2"/>
      <c r="Y186" s="2" t="s">
        <v>77</v>
      </c>
      <c r="Z186" s="8" t="s">
        <v>78</v>
      </c>
      <c r="AA186" s="8" t="s">
        <v>79</v>
      </c>
      <c r="AB186" s="8" t="s">
        <v>80</v>
      </c>
      <c r="AC186" s="8" t="s">
        <v>81</v>
      </c>
      <c r="AD186" s="8" t="s">
        <v>82</v>
      </c>
      <c r="AE186" s="8" t="s">
        <v>83</v>
      </c>
      <c r="AF186" s="10" t="s">
        <v>84</v>
      </c>
    </row>
    <row r="187" spans="1:3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31" t="s">
        <v>282</v>
      </c>
      <c r="Q187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87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87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87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87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87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87" s="9">
        <f>SUM(ENOS_G3_DA_MENOR_QUE_1_AÑO[[#This Row],[D1]:[D6]])</f>
        <v>0</v>
      </c>
      <c r="X187" s="2"/>
      <c r="Y187" s="31" t="s">
        <v>282</v>
      </c>
      <c r="Z187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87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87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87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87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87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87" s="9">
        <f>SUM(ENOS_G3_DA_1_4_AÑOS[[#This Row],[D1]:[D6]])</f>
        <v>0</v>
      </c>
    </row>
    <row r="188" spans="1:3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31" t="s">
        <v>307</v>
      </c>
      <c r="Q188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88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88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88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88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88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88" s="9">
        <f>SUM(ENOS_G3_DA_MENOR_QUE_1_AÑO[[#This Row],[D1]:[D6]])</f>
        <v>0</v>
      </c>
      <c r="X188" s="2"/>
      <c r="Y188" s="31" t="s">
        <v>307</v>
      </c>
      <c r="Z188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88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88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88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88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88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88" s="9">
        <f>SUM(ENOS_G3_DA_1_4_AÑOS[[#This Row],[D1]:[D6]])</f>
        <v>0</v>
      </c>
    </row>
    <row r="189" spans="1:32" ht="1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31" t="s">
        <v>308</v>
      </c>
      <c r="Q189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89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89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89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89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89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89" s="9">
        <f>SUM(ENOS_G3_DA_MENOR_QUE_1_AÑO[[#This Row],[D1]:[D6]])</f>
        <v>0</v>
      </c>
      <c r="X189" s="2"/>
      <c r="Y189" s="31" t="s">
        <v>308</v>
      </c>
      <c r="Z189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89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89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89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89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89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89" s="9">
        <f>SUM(ENOS_G3_DA_1_4_AÑOS[[#This Row],[D1]:[D6]])</f>
        <v>0</v>
      </c>
    </row>
    <row r="190" spans="1:3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31" t="s">
        <v>245</v>
      </c>
      <c r="Q190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0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0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0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0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0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0" s="9">
        <f>SUM(ENOS_G3_DA_MENOR_QUE_1_AÑO[[#This Row],[D1]:[D6]])</f>
        <v>0</v>
      </c>
      <c r="X190" s="2"/>
      <c r="Y190" s="31" t="s">
        <v>245</v>
      </c>
      <c r="Z190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0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0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0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0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0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0" s="9">
        <f>SUM(ENOS_G3_DA_1_4_AÑOS[[#This Row],[D1]:[D6]])</f>
        <v>0</v>
      </c>
    </row>
    <row r="191" spans="1:3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31" t="s">
        <v>283</v>
      </c>
      <c r="Q191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1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1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1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1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1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1" s="9">
        <f>SUM(ENOS_G3_DA_MENOR_QUE_1_AÑO[[#This Row],[D1]:[D6]])</f>
        <v>0</v>
      </c>
      <c r="X191" s="2"/>
      <c r="Y191" s="31" t="s">
        <v>283</v>
      </c>
      <c r="Z191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1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1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1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1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1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1" s="9">
        <f>SUM(ENOS_G3_DA_1_4_AÑOS[[#This Row],[D1]:[D6]])</f>
        <v>0</v>
      </c>
    </row>
    <row r="192" spans="1:3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31" t="s">
        <v>309</v>
      </c>
      <c r="Q192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2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2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2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2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2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2" s="9">
        <f>SUM(ENOS_G3_DA_MENOR_QUE_1_AÑO[[#This Row],[D1]:[D6]])</f>
        <v>0</v>
      </c>
      <c r="X192" s="2"/>
      <c r="Y192" s="31" t="s">
        <v>309</v>
      </c>
      <c r="Z192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2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2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2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2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2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2" s="9">
        <f>SUM(ENOS_G3_DA_1_4_AÑOS[[#This Row],[D1]:[D6]])</f>
        <v>0</v>
      </c>
    </row>
    <row r="193" spans="1:3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31" t="s">
        <v>310</v>
      </c>
      <c r="Q193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3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3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3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3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3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3" s="9">
        <f>SUM(ENOS_G3_DA_MENOR_QUE_1_AÑO[[#This Row],[D1]:[D6]])</f>
        <v>0</v>
      </c>
      <c r="X193" s="2"/>
      <c r="Y193" s="31" t="s">
        <v>310</v>
      </c>
      <c r="Z193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3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3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3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3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3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3" s="9">
        <f>SUM(ENOS_G3_DA_1_4_AÑOS[[#This Row],[D1]:[D6]])</f>
        <v>0</v>
      </c>
    </row>
    <row r="194" spans="1:3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31" t="s">
        <v>311</v>
      </c>
      <c r="Q194" s="8">
        <f>IF($O$3="(Todas)",COUNTIFS(BASE[CODCIE10],ENOS_G3_DA_MENOR_QUE_1_AÑO[[#This Row],[CIE-10]],BASE[Edad],"&lt;1"),COUNTIFS(BASE[Cod.Establecimiento],$O$3,BASE[CODCIE10],ENOS_G3_DA_MENOR_QUE_1_AÑO[[#This Row],[CIE-10]],BASE[Edad],"&lt;1"))</f>
        <v>0</v>
      </c>
      <c r="R194" s="8">
        <f>IF($O$3="(Todas)",COUNTIFS(BASE[CODCIE102],ENOS_G3_DA_MENOR_QUE_1_AÑO[[#This Row],[CIE-10]],BASE[Edad],"&lt;1"),COUNTIFS(BASE[Cod.Establecimiento],$O$3,BASE[CODCIE102],ENOS_G3_DA_MENOR_QUE_1_AÑO[[#This Row],[CIE-10]],BASE[Edad],"&lt;1"))</f>
        <v>0</v>
      </c>
      <c r="S194" s="8">
        <f>IF($O$3="(Todas)",COUNTIFS(BASE[CODCIE104],ENOS_G3_DA_MENOR_QUE_1_AÑO[[#This Row],[CIE-10]],BASE[Edad],"&lt;1"),COUNTIFS(BASE[Cod.Establecimiento],$O$3,BASE[CODCIE104],ENOS_G3_DA_MENOR_QUE_1_AÑO[[#This Row],[CIE-10]],BASE[Edad],"&lt;1"))</f>
        <v>0</v>
      </c>
      <c r="T194" s="8">
        <f>IF($O$3="(Todas)",COUNTIFS(BASE[CODCIE106],ENOS_G3_DA_MENOR_QUE_1_AÑO[[#This Row],[CIE-10]],BASE[Edad],"&lt;1"),COUNTIFS(BASE[Cod.Establecimiento],$O$3,BASE[CODCIE106],ENOS_G3_DA_MENOR_QUE_1_AÑO[[#This Row],[CIE-10]],BASE[Edad],"&lt;1"))</f>
        <v>0</v>
      </c>
      <c r="U194" s="8">
        <f>IF($O$3="(Todas)",COUNTIFS(BASE[CODCIE108],ENOS_G3_DA_MENOR_QUE_1_AÑO[[#This Row],[CIE-10]],BASE[Edad],"&lt;1"),COUNTIFS(BASE[Cod.Establecimiento],$O$3,BASE[CODCIE108],ENOS_G3_DA_MENOR_QUE_1_AÑO[[#This Row],[CIE-10]],BASE[Edad],"&lt;1"))</f>
        <v>0</v>
      </c>
      <c r="V194" s="8">
        <f>IF($O$3="(Todas)",COUNTIFS(BASE[CODCIE1010],ENOS_G3_DA_MENOR_QUE_1_AÑO[[#This Row],[CIE-10]],BASE[Edad],"&lt;1"),COUNTIFS(BASE[Cod.Establecimiento],$O$3,BASE[CODCIE1010],ENOS_G3_DA_MENOR_QUE_1_AÑO[[#This Row],[CIE-10]],BASE[Edad],"&lt;1"))</f>
        <v>0</v>
      </c>
      <c r="W194" s="9">
        <f>SUM(ENOS_G3_DA_MENOR_QUE_1_AÑO[[#This Row],[D1]:[D6]])</f>
        <v>0</v>
      </c>
      <c r="X194" s="2"/>
      <c r="Y194" s="31" t="s">
        <v>311</v>
      </c>
      <c r="Z194" s="8">
        <f>IF($O$3="(Todas)",COUNTIFS(BASE[CODCIE10],ENOS_G3_DA_1_4_AÑOS[[#This Row],[CIE-10]],BASE[Edad],"&gt;=1",BASE[Edad],"&lt;=4"),COUNTIFS(BASE[Cod.Establecimiento],$O$3,BASE[CODCIE10],ENOS_G3_DA_1_4_AÑOS[[#This Row],[CIE-10]],BASE[Edad],"&gt;=1",BASE[Edad],"&lt;=4"))</f>
        <v>0</v>
      </c>
      <c r="AA194" s="8">
        <f>IF($O$3="(Todas)",COUNTIFS(BASE[CODCIE102],ENOS_G3_DA_1_4_AÑOS[[#This Row],[CIE-10]],BASE[Edad],"&gt;=1",BASE[Edad],"&lt;=4"),COUNTIFS(BASE[Cod.Establecimiento],$O$3,BASE[CODCIE102],ENOS_G3_DA_1_4_AÑOS[[#This Row],[CIE-10]],BASE[Edad],"&gt;=1",BASE[Edad],"&lt;=4"))</f>
        <v>0</v>
      </c>
      <c r="AB194" s="8">
        <f>IF($O$3="(Todas)",COUNTIFS(BASE[CODCIE104],ENOS_G3_DA_1_4_AÑOS[[#This Row],[CIE-10]],BASE[Edad],"&gt;=1",BASE[Edad],"&lt;=4"),COUNTIFS(BASE[Cod.Establecimiento],$O$3,BASE[CODCIE104],ENOS_G3_DA_1_4_AÑOS[[#This Row],[CIE-10]],BASE[Edad],"&gt;=1",BASE[Edad],"&lt;=4"))</f>
        <v>0</v>
      </c>
      <c r="AC194" s="8">
        <f>IF($O$3="(Todas)",COUNTIFS(BASE[CODCIE106],ENOS_G3_DA_1_4_AÑOS[[#This Row],[CIE-10]],BASE[Edad],"&gt;=1",BASE[Edad],"&lt;=4"),COUNTIFS(BASE[Cod.Establecimiento],$O$3,BASE[CODCIE106],ENOS_G3_DA_1_4_AÑOS[[#This Row],[CIE-10]],BASE[Edad],"&gt;=1",BASE[Edad],"&lt;=4"))</f>
        <v>0</v>
      </c>
      <c r="AD194" s="8">
        <f>IF($O$3="(Todas)",COUNTIFS(BASE[CODCIE108],ENOS_G3_DA_1_4_AÑOS[[#This Row],[CIE-10]],BASE[Edad],"&gt;=1",BASE[Edad],"&lt;=4"),COUNTIFS(BASE[Cod.Establecimiento],$O$3,BASE[CODCIE108],ENOS_G3_DA_1_4_AÑOS[[#This Row],[CIE-10]],BASE[Edad],"&gt;=1",BASE[Edad],"&lt;=4"))</f>
        <v>0</v>
      </c>
      <c r="AE194" s="8">
        <f>IF($O$3="(Todas)",COUNTIFS(BASE[CODCIE1010],ENOS_G3_DA_1_4_AÑOS[[#This Row],[CIE-10]],BASE[Edad],"&gt;=1",BASE[Edad],"&lt;=4"),COUNTIFS(BASE[Cod.Establecimiento],$O$3,BASE[CODCIE1010],ENOS_G3_DA_1_4_AÑOS[[#This Row],[CIE-10]],BASE[Edad],"&gt;=1",BASE[Edad],"&lt;=4"))</f>
        <v>0</v>
      </c>
      <c r="AF194" s="9">
        <f>SUM(ENOS_G3_DA_1_4_AÑOS[[#This Row],[D1]:[D6]])</f>
        <v>0</v>
      </c>
    </row>
    <row r="195" spans="1:32" ht="1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8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87" t="s">
        <v>284</v>
      </c>
      <c r="Q196" s="88"/>
      <c r="R196" s="88"/>
      <c r="S196" s="88"/>
      <c r="T196" s="88"/>
      <c r="U196" s="88"/>
      <c r="V196" s="88"/>
      <c r="W196" s="88"/>
      <c r="X196" s="2"/>
      <c r="Y196" s="87" t="s">
        <v>285</v>
      </c>
      <c r="Z196" s="88"/>
      <c r="AA196" s="88"/>
      <c r="AB196" s="88"/>
      <c r="AC196" s="88"/>
      <c r="AD196" s="88"/>
      <c r="AE196" s="88"/>
      <c r="AF196" s="88"/>
    </row>
    <row r="197" spans="1:32" ht="15.75" customHeight="1" thickTop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 t="s">
        <v>77</v>
      </c>
      <c r="Q197" s="8" t="s">
        <v>78</v>
      </c>
      <c r="R197" s="8" t="s">
        <v>79</v>
      </c>
      <c r="S197" s="8" t="s">
        <v>80</v>
      </c>
      <c r="T197" s="8" t="s">
        <v>81</v>
      </c>
      <c r="U197" s="8" t="s">
        <v>82</v>
      </c>
      <c r="V197" s="8" t="s">
        <v>83</v>
      </c>
      <c r="W197" s="10" t="s">
        <v>84</v>
      </c>
      <c r="X197" s="2"/>
      <c r="Y197" s="2" t="s">
        <v>77</v>
      </c>
      <c r="Z197" s="8" t="s">
        <v>78</v>
      </c>
      <c r="AA197" s="8" t="s">
        <v>79</v>
      </c>
      <c r="AB197" s="8" t="s">
        <v>80</v>
      </c>
      <c r="AC197" s="8" t="s">
        <v>81</v>
      </c>
      <c r="AD197" s="8" t="s">
        <v>82</v>
      </c>
      <c r="AE197" s="8" t="s">
        <v>83</v>
      </c>
      <c r="AF197" s="10" t="s">
        <v>84</v>
      </c>
    </row>
    <row r="198" spans="1:3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31" t="s">
        <v>282</v>
      </c>
      <c r="Q198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198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198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198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198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198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198" s="9">
        <f>SUM(ENOS_G3_DA_5_19_AÑOS[[#This Row],[D1]:[D6]])</f>
        <v>0</v>
      </c>
      <c r="X198" s="2"/>
      <c r="Y198" s="31" t="s">
        <v>282</v>
      </c>
      <c r="Z198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198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198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198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198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198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198" s="9">
        <f>SUM(ENOS_G3_DA_20_59_AÑOS[[#This Row],[D1]:[D6]])</f>
        <v>0</v>
      </c>
    </row>
    <row r="199" spans="1:3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31" t="s">
        <v>307</v>
      </c>
      <c r="Q199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199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199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199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199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199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199" s="9">
        <f>SUM(ENOS_G3_DA_5_19_AÑOS[[#This Row],[D1]:[D6]])</f>
        <v>0</v>
      </c>
      <c r="X199" s="2"/>
      <c r="Y199" s="31" t="s">
        <v>307</v>
      </c>
      <c r="Z199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199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199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199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199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199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199" s="9">
        <f>SUM(ENOS_G3_DA_20_59_AÑOS[[#This Row],[D1]:[D6]])</f>
        <v>0</v>
      </c>
    </row>
    <row r="200" spans="1:32" ht="1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31" t="s">
        <v>308</v>
      </c>
      <c r="Q200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0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0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0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0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0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0" s="9">
        <f>SUM(ENOS_G3_DA_5_19_AÑOS[[#This Row],[D1]:[D6]])</f>
        <v>0</v>
      </c>
      <c r="X200" s="2"/>
      <c r="Y200" s="31" t="s">
        <v>308</v>
      </c>
      <c r="Z200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0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0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0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0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0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0" s="9">
        <f>SUM(ENOS_G3_DA_20_59_AÑOS[[#This Row],[D1]:[D6]])</f>
        <v>0</v>
      </c>
    </row>
    <row r="201" spans="1:32" ht="1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31" t="s">
        <v>245</v>
      </c>
      <c r="Q201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1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1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1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1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1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1" s="9">
        <f>SUM(ENOS_G3_DA_5_19_AÑOS[[#This Row],[D1]:[D6]])</f>
        <v>0</v>
      </c>
      <c r="X201" s="2"/>
      <c r="Y201" s="31" t="s">
        <v>245</v>
      </c>
      <c r="Z201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1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1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1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1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1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1" s="9">
        <f>SUM(ENOS_G3_DA_20_59_AÑOS[[#This Row],[D1]:[D6]])</f>
        <v>0</v>
      </c>
    </row>
    <row r="202" spans="1:3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31" t="s">
        <v>283</v>
      </c>
      <c r="Q202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2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2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2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2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2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2" s="9">
        <f>SUM(ENOS_G3_DA_5_19_AÑOS[[#This Row],[D1]:[D6]])</f>
        <v>0</v>
      </c>
      <c r="X202" s="2"/>
      <c r="Y202" s="31" t="s">
        <v>283</v>
      </c>
      <c r="Z202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2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2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2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2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2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2" s="9">
        <f>SUM(ENOS_G3_DA_20_59_AÑOS[[#This Row],[D1]:[D6]])</f>
        <v>0</v>
      </c>
    </row>
    <row r="203" spans="1:3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31" t="s">
        <v>309</v>
      </c>
      <c r="Q203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3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3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3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3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3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3" s="9">
        <f>SUM(ENOS_G3_DA_5_19_AÑOS[[#This Row],[D1]:[D6]])</f>
        <v>0</v>
      </c>
      <c r="X203" s="2"/>
      <c r="Y203" s="31" t="s">
        <v>309</v>
      </c>
      <c r="Z203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3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3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3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3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3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3" s="9">
        <f>SUM(ENOS_G3_DA_20_59_AÑOS[[#This Row],[D1]:[D6]])</f>
        <v>0</v>
      </c>
    </row>
    <row r="204" spans="1:3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31" t="s">
        <v>310</v>
      </c>
      <c r="Q204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4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4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4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4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4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4" s="9">
        <f>SUM(ENOS_G3_DA_5_19_AÑOS[[#This Row],[D1]:[D6]])</f>
        <v>0</v>
      </c>
      <c r="X204" s="2"/>
      <c r="Y204" s="31" t="s">
        <v>310</v>
      </c>
      <c r="Z204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4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4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4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4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4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4" s="9">
        <f>SUM(ENOS_G3_DA_20_59_AÑOS[[#This Row],[D1]:[D6]])</f>
        <v>0</v>
      </c>
    </row>
    <row r="205" spans="1:3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31" t="s">
        <v>311</v>
      </c>
      <c r="Q205" s="8">
        <f>IF($O$3="(Todas)",COUNTIFS(BASE[CODCIE10],ENOS_G3_DA_5_19_AÑOS[[#This Row],[CIE-10]],BASE[Edad],"&gt;=5",BASE[Edad],"&lt;=19"),COUNTIFS(BASE[Cod.Establecimiento],$O$3,BASE[CODCIE10],ENOS_G3_DA_5_19_AÑOS[[#This Row],[CIE-10]],BASE[Edad],"&gt;=5",BASE[Edad],"&lt;=19"))</f>
        <v>0</v>
      </c>
      <c r="R205" s="8">
        <f>IF($O$3="(Todas)",COUNTIFS(BASE[CODCIE102],ENOS_G3_DA_5_19_AÑOS[[#This Row],[CIE-10]],BASE[Edad],"&gt;=5",BASE[Edad],"&lt;=19"),COUNTIFS(BASE[Cod.Establecimiento],$O$3,BASE[CODCIE102],ENOS_G3_DA_5_19_AÑOS[[#This Row],[CIE-10]],BASE[Edad],"&gt;=5",BASE[Edad],"&lt;=19"))</f>
        <v>0</v>
      </c>
      <c r="S205" s="8">
        <f>IF($O$3="(Todas)",COUNTIFS(BASE[CODCIE104],ENOS_G3_DA_5_19_AÑOS[[#This Row],[CIE-10]],BASE[Edad],"&gt;=5",BASE[Edad],"&lt;=19"),COUNTIFS(BASE[Cod.Establecimiento],$O$3,BASE[CODCIE104],ENOS_G3_DA_5_19_AÑOS[[#This Row],[CIE-10]],BASE[Edad],"&gt;=5",BASE[Edad],"&lt;=19"))</f>
        <v>0</v>
      </c>
      <c r="T205" s="8">
        <f>IF($O$3="(Todas)",COUNTIFS(BASE[CODCIE106],ENOS_G3_DA_5_19_AÑOS[[#This Row],[CIE-10]],BASE[Edad],"&gt;=5",BASE[Edad],"&lt;=19"),COUNTIFS(BASE[Cod.Establecimiento],$O$3,BASE[CODCIE106],ENOS_G3_DA_5_19_AÑOS[[#This Row],[CIE-10]],BASE[Edad],"&gt;=5",BASE[Edad],"&lt;=19"))</f>
        <v>0</v>
      </c>
      <c r="U205" s="8">
        <f>IF($O$3="(Todas)",COUNTIFS(BASE[CODCIE108],ENOS_G3_DA_5_19_AÑOS[[#This Row],[CIE-10]],BASE[Edad],"&gt;=5",BASE[Edad],"&lt;=19"),COUNTIFS(BASE[Cod.Establecimiento],$O$3,BASE[CODCIE108],ENOS_G3_DA_5_19_AÑOS[[#This Row],[CIE-10]],BASE[Edad],"&gt;=5",BASE[Edad],"&lt;=19"))</f>
        <v>0</v>
      </c>
      <c r="V205" s="8">
        <f>IF($O$3="(Todas)",COUNTIFS(BASE[CODCIE1010],ENOS_G3_DA_5_19_AÑOS[[#This Row],[CIE-10]],BASE[Edad],"&gt;=5",BASE[Edad],"&lt;=19"),COUNTIFS(BASE[Cod.Establecimiento],$O$3,BASE[CODCIE1010],ENOS_G3_DA_5_19_AÑOS[[#This Row],[CIE-10]],BASE[Edad],"&gt;=5",BASE[Edad],"&lt;=19"))</f>
        <v>0</v>
      </c>
      <c r="W205" s="9">
        <f>SUM(ENOS_G3_DA_5_19_AÑOS[[#This Row],[D1]:[D6]])</f>
        <v>0</v>
      </c>
      <c r="X205" s="2"/>
      <c r="Y205" s="31" t="s">
        <v>311</v>
      </c>
      <c r="Z205" s="8">
        <f>IF($O$3="(Todas)",COUNTIFS(BASE[CODCIE10],ENOS_G3_DA_20_59_AÑOS[[#This Row],[CIE-10]],BASE[Edad],"&gt;=20",BASE[Edad],"&lt;=59"),COUNTIFS(BASE[Cod.Establecimiento],$O$3,BASE[CODCIE10],ENOS_G3_DA_20_59_AÑOS[[#This Row],[CIE-10]],BASE[Edad],"&gt;=20",BASE[Edad],"&lt;=59"))</f>
        <v>0</v>
      </c>
      <c r="AA205" s="8">
        <f>IF($O$3="(Todas)",COUNTIFS(BASE[CODCIE102],ENOS_G3_DA_20_59_AÑOS[[#This Row],[CIE-10]],BASE[Edad],"&gt;=20",BASE[Edad],"&lt;=59"),COUNTIFS(BASE[Cod.Establecimiento],$O$3,BASE[CODCIE102],ENOS_G3_DA_20_59_AÑOS[[#This Row],[CIE-10]],BASE[Edad],"&gt;=20",BASE[Edad],"&lt;=59"))</f>
        <v>0</v>
      </c>
      <c r="AB205" s="8">
        <f>IF($O$3="(Todas)",COUNTIFS(BASE[CODCIE104],ENOS_G3_DA_20_59_AÑOS[[#This Row],[CIE-10]],BASE[Edad],"&gt;=20",BASE[Edad],"&lt;=59"),COUNTIFS(BASE[Cod.Establecimiento],$O$3,BASE[CODCIE104],ENOS_G3_DA_20_59_AÑOS[[#This Row],[CIE-10]],BASE[Edad],"&gt;=20",BASE[Edad],"&lt;=59"))</f>
        <v>0</v>
      </c>
      <c r="AC205" s="8">
        <f>IF($O$3="(Todas)",COUNTIFS(BASE[CODCIE106],ENOS_G3_DA_20_59_AÑOS[[#This Row],[CIE-10]],BASE[Edad],"&gt;=20",BASE[Edad],"&lt;=59"),COUNTIFS(BASE[Cod.Establecimiento],$O$3,BASE[CODCIE106],ENOS_G3_DA_20_59_AÑOS[[#This Row],[CIE-10]],BASE[Edad],"&gt;=20",BASE[Edad],"&lt;=59"))</f>
        <v>0</v>
      </c>
      <c r="AD205" s="8">
        <f>IF($O$3="(Todas)",COUNTIFS(BASE[CODCIE108],ENOS_G3_DA_20_59_AÑOS[[#This Row],[CIE-10]],BASE[Edad],"&gt;=20",BASE[Edad],"&lt;=59"),COUNTIFS(BASE[Cod.Establecimiento],$O$3,BASE[CODCIE108],ENOS_G3_DA_20_59_AÑOS[[#This Row],[CIE-10]],BASE[Edad],"&gt;=20",BASE[Edad],"&lt;=59"))</f>
        <v>0</v>
      </c>
      <c r="AE205" s="8">
        <f>IF($O$3="(Todas)",COUNTIFS(BASE[CODCIE1010],ENOS_G3_DA_20_59_AÑOS[[#This Row],[CIE-10]],BASE[Edad],"&gt;=20",BASE[Edad],"&lt;=59"),COUNTIFS(BASE[Cod.Establecimiento],$O$3,BASE[CODCIE1010],ENOS_G3_DA_20_59_AÑOS[[#This Row],[CIE-10]],BASE[Edad],"&gt;=20",BASE[Edad],"&lt;=59"))</f>
        <v>0</v>
      </c>
      <c r="AF205" s="9">
        <f>SUM(ENOS_G3_DA_20_59_AÑOS[[#This Row],[D1]:[D6]])</f>
        <v>0</v>
      </c>
    </row>
    <row r="206" spans="1:3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8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87" t="s">
        <v>286</v>
      </c>
      <c r="Q207" s="88"/>
      <c r="R207" s="88"/>
      <c r="S207" s="88"/>
      <c r="T207" s="88"/>
      <c r="U207" s="88"/>
      <c r="V207" s="88"/>
      <c r="W207" s="88"/>
      <c r="X207" s="2"/>
      <c r="Y207" s="87" t="s">
        <v>287</v>
      </c>
      <c r="Z207" s="88"/>
      <c r="AA207" s="88"/>
      <c r="AB207" s="88"/>
      <c r="AC207" s="88"/>
      <c r="AD207" s="88"/>
      <c r="AE207" s="88"/>
      <c r="AF207" s="88"/>
    </row>
    <row r="208" spans="1:32" ht="15.75" customHeight="1" thickTop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 t="s">
        <v>77</v>
      </c>
      <c r="Q208" s="8" t="s">
        <v>78</v>
      </c>
      <c r="R208" s="8" t="s">
        <v>79</v>
      </c>
      <c r="S208" s="8" t="s">
        <v>80</v>
      </c>
      <c r="T208" s="8" t="s">
        <v>81</v>
      </c>
      <c r="U208" s="8" t="s">
        <v>82</v>
      </c>
      <c r="V208" s="8" t="s">
        <v>83</v>
      </c>
      <c r="W208" s="10" t="s">
        <v>84</v>
      </c>
      <c r="X208" s="2"/>
      <c r="Y208" s="2" t="s">
        <v>77</v>
      </c>
      <c r="Z208" s="8" t="s">
        <v>78</v>
      </c>
      <c r="AA208" s="8" t="s">
        <v>79</v>
      </c>
      <c r="AB208" s="8" t="s">
        <v>80</v>
      </c>
      <c r="AC208" s="8" t="s">
        <v>81</v>
      </c>
      <c r="AD208" s="8" t="s">
        <v>82</v>
      </c>
      <c r="AE208" s="8" t="s">
        <v>83</v>
      </c>
      <c r="AF208" s="10" t="s">
        <v>84</v>
      </c>
    </row>
    <row r="209" spans="1:3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31" t="s">
        <v>282</v>
      </c>
      <c r="Q209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09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09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09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09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09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09" s="9">
        <f>SUM(ENOS_G3_DA_60_MAS_AÑOS[[#This Row],[D1]:[D6]])</f>
        <v>0</v>
      </c>
      <c r="X209" s="2"/>
      <c r="Y209" s="31" t="s">
        <v>282</v>
      </c>
      <c r="Z209" s="8">
        <f>IF($O$3="(Todas)",COUNTIFS(BASE[CODCIE10],ENOS_G3_DA_SD_AÑOS[[#This Row],[CIE-10]],BASE[Edad],""),COUNTIFS(BASE[Cod.Establecimiento],$O$3,BASE[CODCIE10],ENOS_G3_DA_SD_AÑOS[[#This Row],[CIE-10]],BASE[Edad],""))</f>
        <v>0</v>
      </c>
      <c r="AA209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09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09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09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09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09" s="9">
        <f>SUM(ENOS_G3_DA_SD_AÑOS[[#This Row],[D1]:[D6]])</f>
        <v>0</v>
      </c>
    </row>
    <row r="210" spans="1:3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31" t="s">
        <v>307</v>
      </c>
      <c r="Q210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0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0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0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0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0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0" s="9">
        <f>SUM(ENOS_G3_DA_60_MAS_AÑOS[[#This Row],[D1]:[D6]])</f>
        <v>0</v>
      </c>
      <c r="X210" s="2"/>
      <c r="Y210" s="31" t="s">
        <v>307</v>
      </c>
      <c r="Z210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0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0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0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0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0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0" s="9">
        <f>SUM(ENOS_G3_DA_SD_AÑOS[[#This Row],[D1]:[D6]])</f>
        <v>0</v>
      </c>
    </row>
    <row r="211" spans="1:32" ht="1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31" t="s">
        <v>308</v>
      </c>
      <c r="Q211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1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1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1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1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1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1" s="9">
        <f>SUM(ENOS_G3_DA_60_MAS_AÑOS[[#This Row],[D1]:[D6]])</f>
        <v>0</v>
      </c>
      <c r="X211" s="2"/>
      <c r="Y211" s="31" t="s">
        <v>308</v>
      </c>
      <c r="Z211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1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1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1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1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1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1" s="9">
        <f>SUM(ENOS_G3_DA_SD_AÑOS[[#This Row],[D1]:[D6]])</f>
        <v>0</v>
      </c>
    </row>
    <row r="212" spans="1:3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31" t="s">
        <v>245</v>
      </c>
      <c r="Q212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2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2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2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2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2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2" s="9">
        <f>SUM(ENOS_G3_DA_60_MAS_AÑOS[[#This Row],[D1]:[D6]])</f>
        <v>0</v>
      </c>
      <c r="X212" s="2"/>
      <c r="Y212" s="31" t="s">
        <v>245</v>
      </c>
      <c r="Z212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2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2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2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2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2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2" s="9">
        <f>SUM(ENOS_G3_DA_SD_AÑOS[[#This Row],[D1]:[D6]])</f>
        <v>0</v>
      </c>
    </row>
    <row r="213" spans="1:32" ht="1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31" t="s">
        <v>283</v>
      </c>
      <c r="Q213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3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3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3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3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3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3" s="9">
        <f>SUM(ENOS_G3_DA_60_MAS_AÑOS[[#This Row],[D1]:[D6]])</f>
        <v>0</v>
      </c>
      <c r="X213" s="2"/>
      <c r="Y213" s="31" t="s">
        <v>283</v>
      </c>
      <c r="Z213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3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3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3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3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3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3" s="9">
        <f>SUM(ENOS_G3_DA_SD_AÑOS[[#This Row],[D1]:[D6]])</f>
        <v>0</v>
      </c>
    </row>
    <row r="214" spans="1:3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31" t="s">
        <v>309</v>
      </c>
      <c r="Q214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4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4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4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4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4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4" s="9">
        <f>SUM(ENOS_G3_DA_60_MAS_AÑOS[[#This Row],[D1]:[D6]])</f>
        <v>0</v>
      </c>
      <c r="X214" s="2"/>
      <c r="Y214" s="31" t="s">
        <v>309</v>
      </c>
      <c r="Z214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4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4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4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4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4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4" s="9">
        <f>SUM(ENOS_G3_DA_SD_AÑOS[[#This Row],[D1]:[D6]])</f>
        <v>0</v>
      </c>
    </row>
    <row r="215" spans="1:3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31" t="s">
        <v>310</v>
      </c>
      <c r="Q215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5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5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5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5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5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5" s="9">
        <f>SUM(ENOS_G3_DA_60_MAS_AÑOS[[#This Row],[D1]:[D6]])</f>
        <v>0</v>
      </c>
      <c r="X215" s="2"/>
      <c r="Y215" s="31" t="s">
        <v>310</v>
      </c>
      <c r="Z215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5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5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5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5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5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5" s="9">
        <f>SUM(ENOS_G3_DA_SD_AÑOS[[#This Row],[D1]:[D6]])</f>
        <v>0</v>
      </c>
    </row>
    <row r="216" spans="1:32">
      <c r="A216" s="2"/>
      <c r="B216" s="2"/>
      <c r="C216" s="2"/>
      <c r="D216" s="2"/>
      <c r="E216" s="2"/>
      <c r="F216" s="2"/>
      <c r="G216" s="2"/>
      <c r="H216" s="2"/>
      <c r="I216" s="2"/>
      <c r="J216" s="86"/>
      <c r="K216" s="92"/>
      <c r="L216" s="86"/>
      <c r="M216" s="92"/>
      <c r="N216" s="92"/>
      <c r="O216" s="2"/>
      <c r="P216" s="31" t="s">
        <v>311</v>
      </c>
      <c r="Q216" s="8">
        <f>IF($O$3="(Todas)",COUNTIFS(BASE[CODCIE10],ENOS_G3_DA_60_MAS_AÑOS[[#This Row],[CIE-10]],BASE[Edad],"&gt;=60"),COUNTIFS(BASE[Cod.Establecimiento],$O$3,BASE[CODCIE10],ENOS_G3_DA_60_MAS_AÑOS[[#This Row],[CIE-10]],BASE[Edad],"&gt;=60"))</f>
        <v>0</v>
      </c>
      <c r="R216" s="8">
        <f>IF($O$3="(Todas)",COUNTIFS(BASE[CODCIE102],ENOS_G3_DA_60_MAS_AÑOS[[#This Row],[CIE-10]],BASE[Edad],"&gt;=60"),COUNTIFS(BASE[Cod.Establecimiento],$O$3,BASE[CODCIE102],ENOS_G3_DA_60_MAS_AÑOS[[#This Row],[CIE-10]],BASE[Edad],"&gt;=60"))</f>
        <v>0</v>
      </c>
      <c r="S216" s="8">
        <f>IF($O$3="(Todas)",COUNTIFS(BASE[CODCIE104],ENOS_G3_DA_60_MAS_AÑOS[[#This Row],[CIE-10]],BASE[Edad],"&gt;=60"),COUNTIFS(BASE[Cod.Establecimiento],$O$3,BASE[CODCIE104],ENOS_G3_DA_60_MAS_AÑOS[[#This Row],[CIE-10]],BASE[Edad],"&gt;=60"))</f>
        <v>0</v>
      </c>
      <c r="T216" s="8">
        <f>IF($O$3="(Todas)",COUNTIFS(BASE[CODCIE106],ENOS_G3_DA_60_MAS_AÑOS[[#This Row],[CIE-10]],BASE[Edad],"&gt;=60"),COUNTIFS(BASE[Cod.Establecimiento],$O$3,BASE[CODCIE106],ENOS_G3_DA_60_MAS_AÑOS[[#This Row],[CIE-10]],BASE[Edad],"&gt;=60"))</f>
        <v>0</v>
      </c>
      <c r="U216" s="8">
        <f>IF($O$3="(Todas)",COUNTIFS(BASE[CODCIE108],ENOS_G3_DA_60_MAS_AÑOS[[#This Row],[CIE-10]],BASE[Edad],"&gt;=60"),COUNTIFS(BASE[Cod.Establecimiento],$O$3,BASE[CODCIE108],ENOS_G3_DA_60_MAS_AÑOS[[#This Row],[CIE-10]],BASE[Edad],"&gt;=60"))</f>
        <v>0</v>
      </c>
      <c r="V216" s="8">
        <f>IF($O$3="(Todas)",COUNTIFS(BASE[CODCIE1010],ENOS_G3_DA_60_MAS_AÑOS[[#This Row],[CIE-10]],BASE[Edad],"&gt;=60"),COUNTIFS(BASE[Cod.Establecimiento],$O$3,BASE[CODCIE1010],ENOS_G3_DA_60_MAS_AÑOS[[#This Row],[CIE-10]],BASE[Edad],"&gt;=60"))</f>
        <v>0</v>
      </c>
      <c r="W216" s="9">
        <f>SUM(ENOS_G3_DA_60_MAS_AÑOS[[#This Row],[D1]:[D6]])</f>
        <v>0</v>
      </c>
      <c r="X216" s="2"/>
      <c r="Y216" s="31" t="s">
        <v>311</v>
      </c>
      <c r="Z216" s="8">
        <f>IF($O$3="(Todas)",COUNTIFS(BASE[CODCIE10],ENOS_G3_DA_SD_AÑOS[[#This Row],[CIE-10]],BASE[Edad],""),COUNTIFS(BASE[Cod.Establecimiento],$O$3,BASE[CODCIE10],ENOS_G3_DA_SD_AÑOS[[#This Row],[CIE-10]],BASE[Edad],""))</f>
        <v>0</v>
      </c>
      <c r="AA216" s="8">
        <f>IF($O$3="(Todas)",COUNTIFS(BASE[CODCIE102],ENOS_G3_DA_SD_AÑOS[[#This Row],[CIE-10]],BASE[Edad],""),COUNTIFS(BASE[Cod.Establecimiento],$O$3,BASE[CODCIE102],ENOS_G3_DA_SD_AÑOS[[#This Row],[CIE-10]],BASE[Edad],""))</f>
        <v>0</v>
      </c>
      <c r="AB216" s="8">
        <f>IF($O$3="(Todas)",COUNTIFS(BASE[CODCIE104],ENOS_G3_DA_SD_AÑOS[[#This Row],[CIE-10]],BASE[Edad],""),COUNTIFS(BASE[Cod.Establecimiento],$O$3,BASE[CODCIE104],ENOS_G3_DA_SD_AÑOS[[#This Row],[CIE-10]],BASE[Edad],""))</f>
        <v>0</v>
      </c>
      <c r="AC216" s="8">
        <f>IF($O$3="(Todas)",COUNTIFS(BASE[CODCIE106],ENOS_G3_DA_SD_AÑOS[[#This Row],[CIE-10]],BASE[Edad],""),COUNTIFS(BASE[Cod.Establecimiento],$O$3,BASE[CODCIE106],ENOS_G3_DA_SD_AÑOS[[#This Row],[CIE-10]],BASE[Edad],""))</f>
        <v>0</v>
      </c>
      <c r="AD216" s="8">
        <f>IF($O$3="(Todas)",COUNTIFS(BASE[CODCIE108],ENOS_G3_DA_SD_AÑOS[[#This Row],[CIE-10]],BASE[Edad],""),COUNTIFS(BASE[Cod.Establecimiento],$O$3,BASE[CODCIE108],ENOS_G3_DA_SD_AÑOS[[#This Row],[CIE-10]],BASE[Edad],""))</f>
        <v>0</v>
      </c>
      <c r="AE216" s="8">
        <f>IF($O$3="(Todas)",COUNTIFS(BASE[CODCIE1010],ENOS_G3_DA_SD_AÑOS[[#This Row],[CIE-10]],BASE[Edad],""),COUNTIFS(BASE[Cod.Establecimiento],$O$3,BASE[CODCIE1010],ENOS_G3_DA_SD_AÑOS[[#This Row],[CIE-10]],BASE[Edad],""))</f>
        <v>0</v>
      </c>
      <c r="AF216" s="9">
        <f>SUM(ENOS_G3_DA_SD_AÑOS[[#This Row],[D1]:[D6]])</f>
        <v>0</v>
      </c>
    </row>
    <row r="217" spans="1:32">
      <c r="X217" s="2"/>
    </row>
    <row r="218" spans="1:32">
      <c r="X218" s="2"/>
    </row>
    <row r="219" spans="1:32">
      <c r="X219" s="2"/>
    </row>
    <row r="220" spans="1:32">
      <c r="X220" s="2"/>
    </row>
    <row r="221" spans="1:32">
      <c r="X221" s="2"/>
    </row>
    <row r="222" spans="1:32">
      <c r="X222" s="2"/>
    </row>
    <row r="223" spans="1:32">
      <c r="X223" s="2"/>
    </row>
    <row r="224" spans="1:32" ht="18" customHeight="1">
      <c r="X224" s="2"/>
    </row>
    <row r="225" spans="24:24" ht="15.75" customHeight="1">
      <c r="X225" s="2"/>
    </row>
    <row r="226" spans="24:24">
      <c r="X226" s="2"/>
    </row>
    <row r="227" spans="24:24">
      <c r="X227" s="2"/>
    </row>
    <row r="228" spans="24:24">
      <c r="X228" s="2"/>
    </row>
    <row r="229" spans="24:24">
      <c r="X229" s="2"/>
    </row>
    <row r="230" spans="24:24">
      <c r="X230" s="2"/>
    </row>
    <row r="231" spans="24:24">
      <c r="X231" s="2"/>
    </row>
    <row r="232" spans="24:24">
      <c r="X232" s="2"/>
    </row>
    <row r="233" spans="24:24">
      <c r="X233" s="2"/>
    </row>
    <row r="234" spans="24:24">
      <c r="X234" s="2"/>
    </row>
    <row r="235" spans="24:24" ht="18" customHeight="1">
      <c r="X235" s="2"/>
    </row>
    <row r="236" spans="24:24" ht="15.75" customHeight="1">
      <c r="X236" s="2"/>
    </row>
    <row r="237" spans="24:24">
      <c r="X237" s="2"/>
    </row>
    <row r="238" spans="24:24">
      <c r="X238" s="2"/>
    </row>
    <row r="239" spans="24:24">
      <c r="X239" s="2"/>
    </row>
    <row r="240" spans="24:24">
      <c r="X240" s="2"/>
    </row>
    <row r="241" spans="24:24">
      <c r="X241" s="2"/>
    </row>
    <row r="242" spans="24:24">
      <c r="X242" s="2"/>
    </row>
    <row r="243" spans="24:24">
      <c r="X243" s="2"/>
    </row>
    <row r="244" spans="24:24">
      <c r="X244" s="2"/>
    </row>
  </sheetData>
  <mergeCells count="120">
    <mergeCell ref="N4:O4"/>
    <mergeCell ref="B1:M1"/>
    <mergeCell ref="N2:O2"/>
    <mergeCell ref="Y179:AF179"/>
    <mergeCell ref="G14:G15"/>
    <mergeCell ref="P77:W77"/>
    <mergeCell ref="P157:W157"/>
    <mergeCell ref="B2:M2"/>
    <mergeCell ref="P137:W137"/>
    <mergeCell ref="J10:K10"/>
    <mergeCell ref="D21:D22"/>
    <mergeCell ref="P167:W167"/>
    <mergeCell ref="Y63:AF63"/>
    <mergeCell ref="Y95:AF95"/>
    <mergeCell ref="J9:K9"/>
    <mergeCell ref="L14:L15"/>
    <mergeCell ref="D28:F28"/>
    <mergeCell ref="Y157:AF157"/>
    <mergeCell ref="P83:W83"/>
    <mergeCell ref="H19:I22"/>
    <mergeCell ref="Y67:AF67"/>
    <mergeCell ref="D16:D17"/>
    <mergeCell ref="D30:F30"/>
    <mergeCell ref="P147:W147"/>
    <mergeCell ref="J14:K15"/>
    <mergeCell ref="Y147:AF147"/>
    <mergeCell ref="F11:F12"/>
    <mergeCell ref="Y207:AF207"/>
    <mergeCell ref="J167:K167"/>
    <mergeCell ref="Y43:AF43"/>
    <mergeCell ref="B27:C27"/>
    <mergeCell ref="B13:C22"/>
    <mergeCell ref="Y35:AF35"/>
    <mergeCell ref="Y125:AF125"/>
    <mergeCell ref="Y59:AF59"/>
    <mergeCell ref="M24:M25"/>
    <mergeCell ref="J33:L33"/>
    <mergeCell ref="B29:C29"/>
    <mergeCell ref="Y185:AF185"/>
    <mergeCell ref="Y196:AF196"/>
    <mergeCell ref="Y113:AF113"/>
    <mergeCell ref="P43:W43"/>
    <mergeCell ref="M16:M18"/>
    <mergeCell ref="P95:W95"/>
    <mergeCell ref="P185:W185"/>
    <mergeCell ref="P179:W179"/>
    <mergeCell ref="Y173:AF173"/>
    <mergeCell ref="M14:M15"/>
    <mergeCell ref="B28:C28"/>
    <mergeCell ref="Y101:AF101"/>
    <mergeCell ref="J19:K20"/>
    <mergeCell ref="E16:E17"/>
    <mergeCell ref="G16:G17"/>
    <mergeCell ref="D14:D15"/>
    <mergeCell ref="L11:L12"/>
    <mergeCell ref="F14:F15"/>
    <mergeCell ref="J16:K18"/>
    <mergeCell ref="B30:C30"/>
    <mergeCell ref="F18:F20"/>
    <mergeCell ref="P47:W47"/>
    <mergeCell ref="P89:W89"/>
    <mergeCell ref="P29:AF34"/>
    <mergeCell ref="P71:W71"/>
    <mergeCell ref="J11:K12"/>
    <mergeCell ref="G18:G20"/>
    <mergeCell ref="P51:W51"/>
    <mergeCell ref="E11:E12"/>
    <mergeCell ref="D29:F29"/>
    <mergeCell ref="P67:W67"/>
    <mergeCell ref="Y83:AF83"/>
    <mergeCell ref="E18:E20"/>
    <mergeCell ref="D26:F26"/>
    <mergeCell ref="B6:G6"/>
    <mergeCell ref="J7:K7"/>
    <mergeCell ref="H7:I18"/>
    <mergeCell ref="Y47:AF47"/>
    <mergeCell ref="G11:G12"/>
    <mergeCell ref="L167:N167"/>
    <mergeCell ref="P35:W35"/>
    <mergeCell ref="B23:M23"/>
    <mergeCell ref="Y89:AF89"/>
    <mergeCell ref="M11:M12"/>
    <mergeCell ref="B24:C25"/>
    <mergeCell ref="Y71:AF71"/>
    <mergeCell ref="D18:D20"/>
    <mergeCell ref="F21:F22"/>
    <mergeCell ref="P59:W59"/>
    <mergeCell ref="Y51:AF51"/>
    <mergeCell ref="P113:W113"/>
    <mergeCell ref="Y137:AF137"/>
    <mergeCell ref="P63:W63"/>
    <mergeCell ref="J13:K13"/>
    <mergeCell ref="Y39:AF39"/>
    <mergeCell ref="G24:L24"/>
    <mergeCell ref="P101:W101"/>
    <mergeCell ref="Y167:AF167"/>
    <mergeCell ref="J216:K216"/>
    <mergeCell ref="B7:C12"/>
    <mergeCell ref="B3:M3"/>
    <mergeCell ref="M19:M20"/>
    <mergeCell ref="L216:N216"/>
    <mergeCell ref="J8:K8"/>
    <mergeCell ref="H6:M6"/>
    <mergeCell ref="P196:W196"/>
    <mergeCell ref="L19:L20"/>
    <mergeCell ref="P207:W207"/>
    <mergeCell ref="B26:C26"/>
    <mergeCell ref="L16:L18"/>
    <mergeCell ref="P39:W39"/>
    <mergeCell ref="J21:K21"/>
    <mergeCell ref="P173:W173"/>
    <mergeCell ref="E21:E22"/>
    <mergeCell ref="D24:F25"/>
    <mergeCell ref="G21:G22"/>
    <mergeCell ref="P125:W125"/>
    <mergeCell ref="F16:F17"/>
    <mergeCell ref="E14:E15"/>
    <mergeCell ref="D11:D12"/>
    <mergeCell ref="J22:K22"/>
    <mergeCell ref="D27:F27"/>
  </mergeCells>
  <phoneticPr fontId="29" type="noConversion"/>
  <conditionalFormatting sqref="N4 F8:G22 M8:M22 G26:M30">
    <cfRule type="cellIs" dxfId="79" priority="3" operator="greaterThan">
      <formula>0</formula>
    </cfRule>
  </conditionalFormatting>
  <conditionalFormatting sqref="Q37:W37 Z37:AF37 Q41:W41 Z41:AF41 Q45:W45 Z45:AF45 Q49:W49 Z49:AF49 Z53:AF53 Q53:W57 Q61:W61 Z61:AF61 Q65:W65 Z65:AF65 Q69:W69 Z69:AF69 Q73:W73 Z73:AF75 Q79:W81 Q85:W87 Z85:AF87 Q91:W93 Z91:AF93 Q97:W99 Z97:AF99 Q103:W111 Z103:AF111 Q115:W123 Z115:AF123 Q127:W135 Z127:AF135 Q139:W145 Z139:AF145">
    <cfRule type="cellIs" dxfId="78" priority="2" operator="greaterThan">
      <formula>0</formula>
    </cfRule>
  </conditionalFormatting>
  <conditionalFormatting sqref="Q149:W155 Z149:AF155 Q159:W165 Z159:AF165 Q169:W171 Z169:AF171 Q175:W177 Z175:AF177 Q181:W183 Z181:AF183 Q187:W194 Z187:AF194 Q198:W205 Z198:AF205 Q209:W216 Z209:AF216">
    <cfRule type="cellIs" dxfId="77" priority="1" operator="greaterThan">
      <formula>0</formula>
    </cfRule>
  </conditionalFormatting>
  <pageMargins left="0.7" right="0.7" top="0.75" bottom="0.75" header="0.3" footer="0.3"/>
  <pageSetup orientation="portrait" r:id="rId2"/>
  <legacyDrawing r:id="rId3"/>
  <tableParts count="49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8AB9E-59BF-4969-A096-226F8D0DE39D}">
  <dimension ref="A1:AO72"/>
  <sheetViews>
    <sheetView showGridLines="0" zoomScale="85" zoomScaleNormal="70" workbookViewId="0">
      <selection activeCell="AJ3" sqref="AJ3:AK3"/>
    </sheetView>
  </sheetViews>
  <sheetFormatPr baseColWidth="10" defaultRowHeight="15"/>
  <cols>
    <col min="2" max="7" width="5.7109375" customWidth="1"/>
    <col min="8" max="8" width="5.7109375" style="2" customWidth="1"/>
    <col min="9" max="9" width="3.7109375" customWidth="1"/>
    <col min="11" max="16" width="5.7109375" customWidth="1"/>
    <col min="17" max="17" width="5.7109375" style="2" customWidth="1"/>
    <col min="18" max="18" width="3.7109375" customWidth="1"/>
    <col min="20" max="25" width="5.7109375" customWidth="1"/>
    <col min="26" max="26" width="5.7109375" style="2" customWidth="1"/>
    <col min="27" max="27" width="3.7109375" customWidth="1"/>
    <col min="29" max="34" width="5.7109375" customWidth="1"/>
    <col min="35" max="35" width="5.7109375" style="2" customWidth="1"/>
    <col min="36" max="36" width="20.140625" bestFit="1" customWidth="1"/>
    <col min="37" max="37" width="10.7109375" bestFit="1" customWidth="1"/>
    <col min="38" max="43" width="5.7109375" customWidth="1"/>
    <col min="44" max="44" width="3.7109375" customWidth="1"/>
    <col min="46" max="51" width="5.7109375" customWidth="1"/>
    <col min="54" max="59" width="5.7109375" customWidth="1"/>
  </cols>
  <sheetData>
    <row r="1" spans="1:41" s="2" customFormat="1" ht="32.25" customHeight="1">
      <c r="F1" s="154" t="s">
        <v>330</v>
      </c>
      <c r="G1" s="154"/>
      <c r="H1" s="154"/>
      <c r="I1" s="154"/>
      <c r="J1" s="154"/>
      <c r="K1" s="154"/>
      <c r="M1" s="68" t="s">
        <v>345</v>
      </c>
      <c r="AJ1" s="85" t="s">
        <v>70</v>
      </c>
      <c r="AK1" s="86"/>
    </row>
    <row r="2" spans="1:41" ht="18" customHeight="1" thickBot="1">
      <c r="A2" s="87" t="s">
        <v>313</v>
      </c>
      <c r="B2" s="88"/>
      <c r="C2" s="88"/>
      <c r="D2" s="88"/>
      <c r="E2" s="88"/>
      <c r="F2" s="88"/>
      <c r="G2" s="88"/>
      <c r="H2" s="88"/>
      <c r="J2" s="87" t="s">
        <v>314</v>
      </c>
      <c r="K2" s="87"/>
      <c r="L2" s="87"/>
      <c r="M2" s="87"/>
      <c r="N2" s="87"/>
      <c r="O2" s="87"/>
      <c r="P2" s="87"/>
      <c r="Q2" s="87"/>
      <c r="R2" s="2"/>
      <c r="S2" s="87" t="s">
        <v>331</v>
      </c>
      <c r="T2" s="87"/>
      <c r="U2" s="87"/>
      <c r="V2" s="87"/>
      <c r="W2" s="87"/>
      <c r="X2" s="87"/>
      <c r="Y2" s="87"/>
      <c r="Z2" s="87"/>
      <c r="AB2" s="87" t="s">
        <v>333</v>
      </c>
      <c r="AC2" s="88"/>
      <c r="AD2" s="88"/>
      <c r="AE2" s="88"/>
      <c r="AF2" s="88"/>
      <c r="AG2" s="88"/>
      <c r="AH2" s="88"/>
      <c r="AI2" s="88"/>
      <c r="AJ2" s="1" t="s">
        <v>7</v>
      </c>
      <c r="AK2" t="s">
        <v>76</v>
      </c>
    </row>
    <row r="3" spans="1:41" ht="15.75" customHeight="1" thickTop="1">
      <c r="A3" s="6" t="str">
        <f>CONCATENATE("TOTAL: ",SUM(B3:G3))</f>
        <v>TOTAL: 0</v>
      </c>
      <c r="B3" s="5">
        <f>SUM(EPV_PARALISIS_FLACIDA_AGUDA62[D1])</f>
        <v>0</v>
      </c>
      <c r="C3" s="5">
        <f>SUM(EPV_PARALISIS_FLACIDA_AGUDA62[D2])</f>
        <v>0</v>
      </c>
      <c r="D3" s="5">
        <f>SUM(EPV_PARALISIS_FLACIDA_AGUDA62[D3])</f>
        <v>0</v>
      </c>
      <c r="E3" s="5">
        <f>SUM(EPV_PARALISIS_FLACIDA_AGUDA62[D4])</f>
        <v>0</v>
      </c>
      <c r="F3" s="5">
        <f>SUM(EPV_PARALISIS_FLACIDA_AGUDA62[D5])</f>
        <v>0</v>
      </c>
      <c r="G3" s="5">
        <f>SUM(EPV_PARALISIS_FLACIDA_AGUDA62[D6])</f>
        <v>0</v>
      </c>
      <c r="H3" s="7"/>
      <c r="J3" s="6" t="str">
        <f>CONCATENATE("TOTAL: ",SUM(K3:P3))</f>
        <v>TOTAL: 0</v>
      </c>
      <c r="K3" s="5">
        <f>SUM(EPV_RUBEOLA63[D1])</f>
        <v>0</v>
      </c>
      <c r="L3" s="5">
        <f>SUM(EPV_RUBEOLA63[D2])</f>
        <v>0</v>
      </c>
      <c r="M3" s="5">
        <f>SUM(EPV_RUBEOLA63[D3])</f>
        <v>0</v>
      </c>
      <c r="N3" s="5">
        <f>SUM(EPV_RUBEOLA63[D4])</f>
        <v>0</v>
      </c>
      <c r="O3" s="5">
        <f>SUM(EPV_RUBEOLA63[D5])</f>
        <v>0</v>
      </c>
      <c r="P3" s="5">
        <f>SUM(EPV_RUBEOLA63[D6])</f>
        <v>0</v>
      </c>
      <c r="Q3" s="7"/>
      <c r="S3" s="6" t="str">
        <f>CONCATENATE("TOTAL: ",SUM(T3:Y3))</f>
        <v>TOTAL: 0</v>
      </c>
      <c r="T3" s="5">
        <f>SUM(EPV_SARAMPION64[D1])</f>
        <v>0</v>
      </c>
      <c r="U3" s="5">
        <f>SUM(EPV_SARAMPION64[D2])</f>
        <v>0</v>
      </c>
      <c r="V3" s="5">
        <f>SUM(EPV_SARAMPION64[D3])</f>
        <v>0</v>
      </c>
      <c r="W3" s="5">
        <f>SUM(EPV_SARAMPION64[D4])</f>
        <v>0</v>
      </c>
      <c r="X3" s="5">
        <f>SUM(EPV_SARAMPION64[D5])</f>
        <v>0</v>
      </c>
      <c r="Y3" s="5">
        <f>SUM(EPV_SARAMPION64[D6])</f>
        <v>0</v>
      </c>
      <c r="Z3" s="7"/>
      <c r="AB3" s="6" t="str">
        <f>CONCATENATE("TOTAL: ",SUM(AC3:AH3))</f>
        <v>TOTAL: 0</v>
      </c>
      <c r="AC3" s="5">
        <f>SUM(EPV_DIFTERIA65[D1])</f>
        <v>0</v>
      </c>
      <c r="AD3" s="5">
        <f>SUM(EPV_DIFTERIA65[D2])</f>
        <v>0</v>
      </c>
      <c r="AE3" s="5">
        <f>SUM(EPV_DIFTERIA65[D3])</f>
        <v>0</v>
      </c>
      <c r="AF3" s="5">
        <f>SUM(EPV_DIFTERIA65[D4])</f>
        <v>0</v>
      </c>
      <c r="AG3" s="5">
        <f>SUM(EPV_DIFTERIA65[D5])</f>
        <v>0</v>
      </c>
      <c r="AH3" s="5">
        <f>SUM(EPV_DIFTERIA65[D6])</f>
        <v>0</v>
      </c>
      <c r="AI3" s="7"/>
      <c r="AJ3" s="86"/>
      <c r="AK3" s="86"/>
    </row>
    <row r="4" spans="1:41">
      <c r="A4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10" t="s">
        <v>84</v>
      </c>
      <c r="J4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8" t="s">
        <v>84</v>
      </c>
      <c r="S4" t="s">
        <v>77</v>
      </c>
      <c r="T4" s="3" t="s">
        <v>78</v>
      </c>
      <c r="U4" s="3" t="s">
        <v>79</v>
      </c>
      <c r="V4" s="3" t="s">
        <v>80</v>
      </c>
      <c r="W4" s="3" t="s">
        <v>81</v>
      </c>
      <c r="X4" s="3" t="s">
        <v>82</v>
      </c>
      <c r="Y4" s="3" t="s">
        <v>83</v>
      </c>
      <c r="Z4" s="8" t="s">
        <v>84</v>
      </c>
      <c r="AB4" t="s">
        <v>77</v>
      </c>
      <c r="AC4" s="3" t="s">
        <v>78</v>
      </c>
      <c r="AD4" s="3" t="s">
        <v>79</v>
      </c>
      <c r="AE4" s="3" t="s">
        <v>80</v>
      </c>
      <c r="AF4" s="3" t="s">
        <v>81</v>
      </c>
      <c r="AG4" s="3" t="s">
        <v>82</v>
      </c>
      <c r="AH4" s="3" t="s">
        <v>83</v>
      </c>
      <c r="AI4" s="8" t="s">
        <v>84</v>
      </c>
    </row>
    <row r="5" spans="1:41">
      <c r="A5" s="4" t="s">
        <v>315</v>
      </c>
      <c r="B5" s="3">
        <f>IF($AK$2="(Todas)",COUNTIF(BASE[CODCIE10],EPV_PARALISIS_FLACIDA_AGUDA62[[#This Row],[CIE-10]]),COUNTIFS(BASE[Cod.Establecimiento],$AK$2,BASE[CODCIE10],EPV_PARALISIS_FLACIDA_AGUDA62[[#This Row],[CIE-10]]))</f>
        <v>0</v>
      </c>
      <c r="C5" s="3">
        <f>IF($AK$2="(Todas)",COUNTIF(BASE[CODCIE102],EPV_PARALISIS_FLACIDA_AGUDA62[[#This Row],[CIE-10]]),COUNTIFS(BASE[Cod.Establecimiento],$AK$2,BASE[CODCIE102],EPV_PARALISIS_FLACIDA_AGUDA62[[#This Row],[CIE-10]]))</f>
        <v>0</v>
      </c>
      <c r="D5" s="3">
        <f>IF($AK$2="(Todas)",COUNTIF(BASE[CODCIE104],EPV_PARALISIS_FLACIDA_AGUDA62[[#This Row],[CIE-10]]),COUNTIFS(BASE[Cod.Establecimiento],$AK$2,BASE[CODCIE104],EPV_PARALISIS_FLACIDA_AGUDA62[[#This Row],[CIE-10]]))</f>
        <v>0</v>
      </c>
      <c r="E5" s="3">
        <f>IF($AK$2="(Todas)",COUNTIF(BASE[CODCIE106],EPV_PARALISIS_FLACIDA_AGUDA62[[#This Row],[CIE-10]]),COUNTIFS(BASE[Cod.Establecimiento],$AK$2,BASE[CODCIE106],EPV_PARALISIS_FLACIDA_AGUDA62[[#This Row],[CIE-10]]))</f>
        <v>0</v>
      </c>
      <c r="F5" s="3">
        <f>IF($AK$2="(Todas)",COUNTIF(BASE[CODCIE108],EPV_PARALISIS_FLACIDA_AGUDA62[[#This Row],[CIE-10]]),COUNTIFS(BASE[Cod.Establecimiento],$AK$2,BASE[CODCIE108],EPV_PARALISIS_FLACIDA_AGUDA62[[#This Row],[CIE-10]]))</f>
        <v>0</v>
      </c>
      <c r="G5" s="3">
        <f>IF($AK$2="(Todas)",COUNTIF(BASE[CODCIE1010],EPV_PARALISIS_FLACIDA_AGUDA62[[#This Row],[CIE-10]]),COUNTIFS(BASE[Cod.Establecimiento],$AK$2,BASE[CODCIE1010],EPV_PARALISIS_FLACIDA_AGUDA62[[#This Row],[CIE-10]]))</f>
        <v>0</v>
      </c>
      <c r="H5" s="9">
        <f>SUM(EPV_PARALISIS_FLACIDA_AGUDA62[[#This Row],[D1]:[D6]])</f>
        <v>0</v>
      </c>
      <c r="J5" s="4" t="s">
        <v>245</v>
      </c>
      <c r="K5" s="3">
        <f>IF($AK$2="(Todas)",COUNTIF(BASE[CODCIE10],EPV_RUBEOLA63[[#This Row],[CIE-10]]),COUNTIFS(BASE[Cod.Establecimiento],$AK$2,BASE[CODCIE10],EPV_RUBEOLA63[[#This Row],[CIE-10]]))</f>
        <v>0</v>
      </c>
      <c r="L5" s="3">
        <f>IF($AK$2="(Todas)",COUNTIF(BASE[CODCIE102],EPV_RUBEOLA63[[#This Row],[CIE-10]]),COUNTIFS(BASE[Cod.Establecimiento],$AK$2,BASE[CODCIE102],EPV_RUBEOLA63[[#This Row],[CIE-10]]))</f>
        <v>0</v>
      </c>
      <c r="M5" s="3">
        <f>IF($AK$2="(Todas)",COUNTIF(BASE[CODCIE104],EPV_RUBEOLA63[[#This Row],[CIE-10]]),COUNTIFS(BASE[Cod.Establecimiento],$AK$2,BASE[CODCIE104],EPV_RUBEOLA63[[#This Row],[CIE-10]]))</f>
        <v>0</v>
      </c>
      <c r="N5" s="3">
        <f>IF($AK$2="(Todas)",COUNTIF(BASE[CODCIE106],EPV_RUBEOLA63[[#This Row],[CIE-10]]),COUNTIFS(BASE[Cod.Establecimiento],$AK$2,BASE[CODCIE106],EPV_RUBEOLA63[[#This Row],[CIE-10]]))</f>
        <v>0</v>
      </c>
      <c r="O5" s="3">
        <f>IF($AK$2="(Todas)",COUNTIF(BASE[CODCIE108],EPV_RUBEOLA63[[#This Row],[CIE-10]]),COUNTIFS(BASE[Cod.Establecimiento],$AK$2,BASE[CODCIE108],EPV_RUBEOLA63[[#This Row],[CIE-10]]))</f>
        <v>0</v>
      </c>
      <c r="P5" s="3">
        <f>IF($AK$2="(Todas)",COUNTIF(BASE[CODCIE1010],EPV_RUBEOLA63[[#This Row],[CIE-10]]),COUNTIFS(BASE[Cod.Establecimiento],$AK$2,BASE[CODCIE1010],EPV_RUBEOLA63[[#This Row],[CIE-10]]))</f>
        <v>0</v>
      </c>
      <c r="Q5" s="9">
        <f>SUM(EPV_RUBEOLA63[[#This Row],[D1]:[D6]])</f>
        <v>0</v>
      </c>
      <c r="S5" s="4" t="s">
        <v>332</v>
      </c>
      <c r="T5" s="3">
        <f>IF($AK$2="(Todas)",COUNTIF(BASE[CODCIE10],EPV_SARAMPION64[[#This Row],[CIE-10]]),COUNTIFS(BASE[Cod.Establecimiento],$AK$2,BASE[CODCIE10],EPV_SARAMPION64[[#This Row],[CIE-10]]))</f>
        <v>0</v>
      </c>
      <c r="U5" s="3">
        <f>IF($AK$2="(Todas)",COUNTIF(BASE[CODCIE102],EPV_SARAMPION64[[#This Row],[CIE-10]]),COUNTIFS(BASE[Cod.Establecimiento],$AK$2,BASE[CODCIE102],EPV_SARAMPION64[[#This Row],[CIE-10]]))</f>
        <v>0</v>
      </c>
      <c r="V5" s="3">
        <f>IF($AK$2="(Todas)",COUNTIF(BASE[CODCIE104],EPV_SARAMPION64[[#This Row],[CIE-10]]),COUNTIFS(BASE[Cod.Establecimiento],$AK$2,BASE[CODCIE104],EPV_SARAMPION64[[#This Row],[CIE-10]]))</f>
        <v>0</v>
      </c>
      <c r="W5" s="3">
        <f>IF($AK$2="(Todas)",COUNTIF(BASE[CODCIE106],EPV_SARAMPION64[[#This Row],[CIE-10]]),COUNTIFS(BASE[Cod.Establecimiento],$AK$2,BASE[CODCIE106],EPV_SARAMPION64[[#This Row],[CIE-10]]))</f>
        <v>0</v>
      </c>
      <c r="X5" s="3">
        <f>IF($AK$2="(Todas)",COUNTIF(BASE[CODCIE108],EPV_SARAMPION64[[#This Row],[CIE-10]]),COUNTIFS(BASE[Cod.Establecimiento],$AK$2,BASE[CODCIE108],EPV_SARAMPION64[[#This Row],[CIE-10]]))</f>
        <v>0</v>
      </c>
      <c r="Y5" s="3">
        <f>IF($AK$2="(Todas)",COUNTIF(BASE[CODCIE1010],EPV_SARAMPION64[[#This Row],[CIE-10]]),COUNTIFS(BASE[Cod.Establecimiento],$AK$2,BASE[CODCIE1010],EPV_SARAMPION64[[#This Row],[CIE-10]]))</f>
        <v>0</v>
      </c>
      <c r="Z5" s="9">
        <f>SUM(EPV_SARAMPION64[[#This Row],[D1]:[D6]])</f>
        <v>0</v>
      </c>
      <c r="AB5" s="4" t="s">
        <v>319</v>
      </c>
      <c r="AC5" s="3">
        <f>IF($AK$2="(Todas)",COUNTIF(BASE[CODCIE10],EPV_DIFTERIA65[[#This Row],[CIE-10]]),COUNTIFS(BASE[Cod.Establecimiento],$AK$2,BASE[CODCIE10],EPV_DIFTERIA65[[#This Row],[CIE-10]]))</f>
        <v>0</v>
      </c>
      <c r="AD5" s="3">
        <f>IF($AK$2="(Todas)",COUNTIF(BASE[CODCIE102],EPV_DIFTERIA65[[#This Row],[CIE-10]]),COUNTIFS(BASE[Cod.Establecimiento],$AK$2,BASE[CODCIE102],EPV_DIFTERIA65[[#This Row],[CIE-10]]))</f>
        <v>0</v>
      </c>
      <c r="AE5" s="3">
        <f>IF($AK$2="(Todas)",COUNTIF(BASE[CODCIE104],EPV_DIFTERIA65[[#This Row],[CIE-10]]),COUNTIFS(BASE[Cod.Establecimiento],$AK$2,BASE[CODCIE104],EPV_DIFTERIA65[[#This Row],[CIE-10]]))</f>
        <v>0</v>
      </c>
      <c r="AF5" s="3">
        <f>IF($AK$2="(Todas)",COUNTIF(BASE[CODCIE106],EPV_DIFTERIA65[[#This Row],[CIE-10]]),COUNTIFS(BASE[Cod.Establecimiento],$AK$2,BASE[CODCIE106],EPV_DIFTERIA65[[#This Row],[CIE-10]]))</f>
        <v>0</v>
      </c>
      <c r="AG5" s="3">
        <f>IF($AK$2="(Todas)",COUNTIF(BASE[CODCIE108],EPV_DIFTERIA65[[#This Row],[CIE-10]]),COUNTIFS(BASE[Cod.Establecimiento],$AK$2,BASE[CODCIE108],EPV_DIFTERIA65[[#This Row],[CIE-10]]))</f>
        <v>0</v>
      </c>
      <c r="AH5" s="3">
        <f>IF($AK$2="(Todas)",COUNTIF(BASE[CODCIE1010],EPV_DIFTERIA65[[#This Row],[CIE-10]]),COUNTIFS(BASE[Cod.Establecimiento],$AK$2,BASE[CODCIE1010],EPV_DIFTERIA65[[#This Row],[CIE-10]]))</f>
        <v>0</v>
      </c>
      <c r="AI5" s="9">
        <f>SUM(EPV_DIFTERIA65[[#This Row],[D1]:[D6]])</f>
        <v>0</v>
      </c>
      <c r="AJ5" s="151" t="s">
        <v>126</v>
      </c>
      <c r="AK5" s="151"/>
    </row>
    <row r="6" spans="1:41">
      <c r="A6" s="4" t="s">
        <v>316</v>
      </c>
      <c r="B6" s="3">
        <f>IF($AK$2="(Todas)",COUNTIF(BASE[CODCIE10],EPV_PARALISIS_FLACIDA_AGUDA62[[#This Row],[CIE-10]]),COUNTIFS(BASE[Cod.Establecimiento],$AK$2,BASE[CODCIE10],EPV_PARALISIS_FLACIDA_AGUDA62[[#This Row],[CIE-10]]))</f>
        <v>0</v>
      </c>
      <c r="C6" s="3">
        <f>IF($AK$2="(Todas)",COUNTIF(BASE[CODCIE102],EPV_PARALISIS_FLACIDA_AGUDA62[[#This Row],[CIE-10]]),COUNTIFS(BASE[Cod.Establecimiento],$AK$2,BASE[CODCIE102],EPV_PARALISIS_FLACIDA_AGUDA62[[#This Row],[CIE-10]]))</f>
        <v>0</v>
      </c>
      <c r="D6" s="3">
        <f>IF($AK$2="(Todas)",COUNTIF(BASE[CODCIE104],EPV_PARALISIS_FLACIDA_AGUDA62[[#This Row],[CIE-10]]),COUNTIFS(BASE[Cod.Establecimiento],$AK$2,BASE[CODCIE104],EPV_PARALISIS_FLACIDA_AGUDA62[[#This Row],[CIE-10]]))</f>
        <v>0</v>
      </c>
      <c r="E6" s="3">
        <f>IF($AK$2="(Todas)",COUNTIF(BASE[CODCIE106],EPV_PARALISIS_FLACIDA_AGUDA62[[#This Row],[CIE-10]]),COUNTIFS(BASE[Cod.Establecimiento],$AK$2,BASE[CODCIE106],EPV_PARALISIS_FLACIDA_AGUDA62[[#This Row],[CIE-10]]))</f>
        <v>0</v>
      </c>
      <c r="F6" s="3">
        <f>IF($AK$2="(Todas)",COUNTIF(BASE[CODCIE108],EPV_PARALISIS_FLACIDA_AGUDA62[[#This Row],[CIE-10]]),COUNTIFS(BASE[Cod.Establecimiento],$AK$2,BASE[CODCIE108],EPV_PARALISIS_FLACIDA_AGUDA62[[#This Row],[CIE-10]]))</f>
        <v>0</v>
      </c>
      <c r="G6" s="3">
        <f>IF($AK$2="(Todas)",COUNTIF(BASE[CODCIE1010],EPV_PARALISIS_FLACIDA_AGUDA62[[#This Row],[CIE-10]]),COUNTIFS(BASE[Cod.Establecimiento],$AK$2,BASE[CODCIE1010],EPV_PARALISIS_FLACIDA_AGUDA62[[#This Row],[CIE-10]]))</f>
        <v>0</v>
      </c>
      <c r="H6" s="9">
        <f>SUM(EPV_PARALISIS_FLACIDA_AGUDA62[[#This Row],[D1]:[D6]])</f>
        <v>0</v>
      </c>
      <c r="J6" s="4" t="s">
        <v>328</v>
      </c>
      <c r="K6" s="3">
        <f>IF($AK$2="(Todas)",COUNTIF(BASE[CODCIE10],EPV_RUBEOLA63[[#This Row],[CIE-10]]),COUNTIFS(BASE[Cod.Establecimiento],$AK$2,BASE[CODCIE10],EPV_RUBEOLA63[[#This Row],[CIE-10]]))</f>
        <v>0</v>
      </c>
      <c r="L6" s="3">
        <f>IF($AK$2="(Todas)",COUNTIF(BASE[CODCIE102],EPV_RUBEOLA63[[#This Row],[CIE-10]]),COUNTIFS(BASE[Cod.Establecimiento],$AK$2,BASE[CODCIE102],EPV_RUBEOLA63[[#This Row],[CIE-10]]))</f>
        <v>0</v>
      </c>
      <c r="M6" s="3">
        <f>IF($AK$2="(Todas)",COUNTIF(BASE[CODCIE104],EPV_RUBEOLA63[[#This Row],[CIE-10]]),COUNTIFS(BASE[Cod.Establecimiento],$AK$2,BASE[CODCIE104],EPV_RUBEOLA63[[#This Row],[CIE-10]]))</f>
        <v>0</v>
      </c>
      <c r="N6" s="3">
        <f>IF($AK$2="(Todas)",COUNTIF(BASE[CODCIE106],EPV_RUBEOLA63[[#This Row],[CIE-10]]),COUNTIFS(BASE[Cod.Establecimiento],$AK$2,BASE[CODCIE106],EPV_RUBEOLA63[[#This Row],[CIE-10]]))</f>
        <v>0</v>
      </c>
      <c r="O6" s="3">
        <f>IF($AK$2="(Todas)",COUNTIF(BASE[CODCIE108],EPV_RUBEOLA63[[#This Row],[CIE-10]]),COUNTIFS(BASE[Cod.Establecimiento],$AK$2,BASE[CODCIE108],EPV_RUBEOLA63[[#This Row],[CIE-10]]))</f>
        <v>0</v>
      </c>
      <c r="P6" s="3">
        <f>IF($AK$2="(Todas)",COUNTIF(BASE[CODCIE1010],EPV_RUBEOLA63[[#This Row],[CIE-10]]),COUNTIFS(BASE[Cod.Establecimiento],$AK$2,BASE[CODCIE1010],EPV_RUBEOLA63[[#This Row],[CIE-10]]))</f>
        <v>0</v>
      </c>
      <c r="Q6" s="9">
        <f>SUM(EPV_RUBEOLA63[[#This Row],[D1]:[D6]])</f>
        <v>0</v>
      </c>
      <c r="AJ6" s="151"/>
      <c r="AK6" s="151"/>
    </row>
    <row r="7" spans="1:41" ht="18" customHeight="1" thickBot="1">
      <c r="A7" s="4" t="s">
        <v>307</v>
      </c>
      <c r="B7" s="3">
        <f>IF($AK$2="(Todas)",COUNTIF(BASE[CODCIE10],EPV_PARALISIS_FLACIDA_AGUDA62[[#This Row],[CIE-10]]),COUNTIFS(BASE[Cod.Establecimiento],$AK$2,BASE[CODCIE10],EPV_PARALISIS_FLACIDA_AGUDA62[[#This Row],[CIE-10]]))</f>
        <v>0</v>
      </c>
      <c r="C7" s="3">
        <f>IF($AK$2="(Todas)",COUNTIF(BASE[CODCIE102],EPV_PARALISIS_FLACIDA_AGUDA62[[#This Row],[CIE-10]]),COUNTIFS(BASE[Cod.Establecimiento],$AK$2,BASE[CODCIE102],EPV_PARALISIS_FLACIDA_AGUDA62[[#This Row],[CIE-10]]))</f>
        <v>0</v>
      </c>
      <c r="D7" s="3">
        <f>IF($AK$2="(Todas)",COUNTIF(BASE[CODCIE104],EPV_PARALISIS_FLACIDA_AGUDA62[[#This Row],[CIE-10]]),COUNTIFS(BASE[Cod.Establecimiento],$AK$2,BASE[CODCIE104],EPV_PARALISIS_FLACIDA_AGUDA62[[#This Row],[CIE-10]]))</f>
        <v>0</v>
      </c>
      <c r="E7" s="3">
        <f>IF($AK$2="(Todas)",COUNTIF(BASE[CODCIE106],EPV_PARALISIS_FLACIDA_AGUDA62[[#This Row],[CIE-10]]),COUNTIFS(BASE[Cod.Establecimiento],$AK$2,BASE[CODCIE106],EPV_PARALISIS_FLACIDA_AGUDA62[[#This Row],[CIE-10]]))</f>
        <v>0</v>
      </c>
      <c r="F7" s="3">
        <f>IF($AK$2="(Todas)",COUNTIF(BASE[CODCIE108],EPV_PARALISIS_FLACIDA_AGUDA62[[#This Row],[CIE-10]]),COUNTIFS(BASE[Cod.Establecimiento],$AK$2,BASE[CODCIE108],EPV_PARALISIS_FLACIDA_AGUDA62[[#This Row],[CIE-10]]))</f>
        <v>0</v>
      </c>
      <c r="G7" s="3">
        <f>IF($AK$2="(Todas)",COUNTIF(BASE[CODCIE1010],EPV_PARALISIS_FLACIDA_AGUDA62[[#This Row],[CIE-10]]),COUNTIFS(BASE[Cod.Establecimiento],$AK$2,BASE[CODCIE1010],EPV_PARALISIS_FLACIDA_AGUDA62[[#This Row],[CIE-10]]))</f>
        <v>0</v>
      </c>
      <c r="H7" s="9">
        <f>SUM(EPV_PARALISIS_FLACIDA_AGUDA62[[#This Row],[D1]:[D6]])</f>
        <v>0</v>
      </c>
      <c r="J7" s="4" t="s">
        <v>329</v>
      </c>
      <c r="K7" s="3">
        <f>IF($AK$2="(Todas)",COUNTIF(BASE[CODCIE10],EPV_RUBEOLA63[[#This Row],[CIE-10]]),COUNTIFS(BASE[Cod.Establecimiento],$AK$2,BASE[CODCIE10],EPV_RUBEOLA63[[#This Row],[CIE-10]]))</f>
        <v>0</v>
      </c>
      <c r="L7" s="3">
        <f>IF($AK$2="(Todas)",COUNTIF(BASE[CODCIE102],EPV_RUBEOLA63[[#This Row],[CIE-10]]),COUNTIFS(BASE[Cod.Establecimiento],$AK$2,BASE[CODCIE102],EPV_RUBEOLA63[[#This Row],[CIE-10]]))</f>
        <v>0</v>
      </c>
      <c r="M7" s="3">
        <f>IF($AK$2="(Todas)",COUNTIF(BASE[CODCIE104],EPV_RUBEOLA63[[#This Row],[CIE-10]]),COUNTIFS(BASE[Cod.Establecimiento],$AK$2,BASE[CODCIE104],EPV_RUBEOLA63[[#This Row],[CIE-10]]))</f>
        <v>0</v>
      </c>
      <c r="N7" s="3">
        <f>IF($AK$2="(Todas)",COUNTIF(BASE[CODCIE106],EPV_RUBEOLA63[[#This Row],[CIE-10]]),COUNTIFS(BASE[Cod.Establecimiento],$AK$2,BASE[CODCIE106],EPV_RUBEOLA63[[#This Row],[CIE-10]]))</f>
        <v>0</v>
      </c>
      <c r="O7" s="3">
        <f>IF($AK$2="(Todas)",COUNTIF(BASE[CODCIE108],EPV_RUBEOLA63[[#This Row],[CIE-10]]),COUNTIFS(BASE[Cod.Establecimiento],$AK$2,BASE[CODCIE108],EPV_RUBEOLA63[[#This Row],[CIE-10]]))</f>
        <v>0</v>
      </c>
      <c r="P7" s="3">
        <f>IF($AK$2="(Todas)",COUNTIF(BASE[CODCIE1010],EPV_RUBEOLA63[[#This Row],[CIE-10]]),COUNTIFS(BASE[Cod.Establecimiento],$AK$2,BASE[CODCIE1010],EPV_RUBEOLA63[[#This Row],[CIE-10]]))</f>
        <v>0</v>
      </c>
      <c r="Q7" s="9">
        <f>SUM(EPV_RUBEOLA63[[#This Row],[D1]:[D6]])</f>
        <v>0</v>
      </c>
      <c r="S7" s="87" t="s">
        <v>334</v>
      </c>
      <c r="T7" s="87"/>
      <c r="U7" s="87"/>
      <c r="V7" s="87"/>
      <c r="W7" s="87"/>
      <c r="X7" s="87"/>
      <c r="Y7" s="87"/>
      <c r="Z7" s="87"/>
      <c r="AB7" s="87" t="s">
        <v>335</v>
      </c>
      <c r="AC7" s="87"/>
      <c r="AD7" s="87"/>
      <c r="AE7" s="87"/>
      <c r="AF7" s="87"/>
      <c r="AG7" s="87"/>
      <c r="AH7" s="87"/>
      <c r="AI7" s="87"/>
      <c r="AJ7" s="151"/>
      <c r="AK7" s="151"/>
      <c r="AL7" s="69"/>
      <c r="AM7" s="69"/>
      <c r="AN7" s="69"/>
      <c r="AO7" s="69"/>
    </row>
    <row r="8" spans="1:41" ht="15.75" customHeight="1" thickTop="1">
      <c r="A8" s="4" t="s">
        <v>308</v>
      </c>
      <c r="B8" s="3">
        <f>IF($AK$2="(Todas)",COUNTIF(BASE[CODCIE10],EPV_PARALISIS_FLACIDA_AGUDA62[[#This Row],[CIE-10]]),COUNTIFS(BASE[Cod.Establecimiento],$AK$2,BASE[CODCIE10],EPV_PARALISIS_FLACIDA_AGUDA62[[#This Row],[CIE-10]]))</f>
        <v>0</v>
      </c>
      <c r="C8" s="3">
        <f>IF($AK$2="(Todas)",COUNTIF(BASE[CODCIE102],EPV_PARALISIS_FLACIDA_AGUDA62[[#This Row],[CIE-10]]),COUNTIFS(BASE[Cod.Establecimiento],$AK$2,BASE[CODCIE102],EPV_PARALISIS_FLACIDA_AGUDA62[[#This Row],[CIE-10]]))</f>
        <v>0</v>
      </c>
      <c r="D8" s="3">
        <f>IF($AK$2="(Todas)",COUNTIF(BASE[CODCIE104],EPV_PARALISIS_FLACIDA_AGUDA62[[#This Row],[CIE-10]]),COUNTIFS(BASE[Cod.Establecimiento],$AK$2,BASE[CODCIE104],EPV_PARALISIS_FLACIDA_AGUDA62[[#This Row],[CIE-10]]))</f>
        <v>0</v>
      </c>
      <c r="E8" s="3">
        <f>IF($AK$2="(Todas)",COUNTIF(BASE[CODCIE106],EPV_PARALISIS_FLACIDA_AGUDA62[[#This Row],[CIE-10]]),COUNTIFS(BASE[Cod.Establecimiento],$AK$2,BASE[CODCIE106],EPV_PARALISIS_FLACIDA_AGUDA62[[#This Row],[CIE-10]]))</f>
        <v>0</v>
      </c>
      <c r="F8" s="3">
        <f>IF($AK$2="(Todas)",COUNTIF(BASE[CODCIE108],EPV_PARALISIS_FLACIDA_AGUDA62[[#This Row],[CIE-10]]),COUNTIFS(BASE[Cod.Establecimiento],$AK$2,BASE[CODCIE108],EPV_PARALISIS_FLACIDA_AGUDA62[[#This Row],[CIE-10]]))</f>
        <v>0</v>
      </c>
      <c r="G8" s="3">
        <f>IF($AK$2="(Todas)",COUNTIF(BASE[CODCIE1010],EPV_PARALISIS_FLACIDA_AGUDA62[[#This Row],[CIE-10]]),COUNTIFS(BASE[Cod.Establecimiento],$AK$2,BASE[CODCIE1010],EPV_PARALISIS_FLACIDA_AGUDA62[[#This Row],[CIE-10]]))</f>
        <v>0</v>
      </c>
      <c r="H8" s="9">
        <f>SUM(EPV_PARALISIS_FLACIDA_AGUDA62[[#This Row],[D1]:[D6]])</f>
        <v>0</v>
      </c>
      <c r="J8" s="4" t="s">
        <v>96</v>
      </c>
      <c r="K8" s="3">
        <f>IF($AK$2="(Todas)",COUNTIF(BASE[CODCIE10],EPV_RUBEOLA63[[#This Row],[CIE-10]]),COUNTIFS(BASE[Cod.Establecimiento],$AK$2,BASE[CODCIE10],EPV_RUBEOLA63[[#This Row],[CIE-10]]))</f>
        <v>0</v>
      </c>
      <c r="L8" s="3">
        <f>IF($AK$2="(Todas)",COUNTIF(BASE[CODCIE102],EPV_RUBEOLA63[[#This Row],[CIE-10]]),COUNTIFS(BASE[Cod.Establecimiento],$AK$2,BASE[CODCIE102],EPV_RUBEOLA63[[#This Row],[CIE-10]]))</f>
        <v>0</v>
      </c>
      <c r="M8" s="3">
        <f>IF($AK$2="(Todas)",COUNTIF(BASE[CODCIE104],EPV_RUBEOLA63[[#This Row],[CIE-10]]),COUNTIFS(BASE[Cod.Establecimiento],$AK$2,BASE[CODCIE104],EPV_RUBEOLA63[[#This Row],[CIE-10]]))</f>
        <v>0</v>
      </c>
      <c r="N8" s="3">
        <f>IF($AK$2="(Todas)",COUNTIF(BASE[CODCIE106],EPV_RUBEOLA63[[#This Row],[CIE-10]]),COUNTIFS(BASE[Cod.Establecimiento],$AK$2,BASE[CODCIE106],EPV_RUBEOLA63[[#This Row],[CIE-10]]))</f>
        <v>0</v>
      </c>
      <c r="O8" s="3">
        <f>IF($AK$2="(Todas)",COUNTIF(BASE[CODCIE108],EPV_RUBEOLA63[[#This Row],[CIE-10]]),COUNTIFS(BASE[Cod.Establecimiento],$AK$2,BASE[CODCIE108],EPV_RUBEOLA63[[#This Row],[CIE-10]]))</f>
        <v>0</v>
      </c>
      <c r="P8" s="3">
        <f>IF($AK$2="(Todas)",COUNTIF(BASE[CODCIE1010],EPV_RUBEOLA63[[#This Row],[CIE-10]]),COUNTIFS(BASE[Cod.Establecimiento],$AK$2,BASE[CODCIE1010],EPV_RUBEOLA63[[#This Row],[CIE-10]]))</f>
        <v>0</v>
      </c>
      <c r="Q8" s="9">
        <f>SUM(EPV_RUBEOLA63[[#This Row],[D1]:[D6]])</f>
        <v>0</v>
      </c>
      <c r="S8" s="6" t="str">
        <f>CONCATENATE("TOTAL: ",SUM(T8:Y8))</f>
        <v>TOTAL: 0</v>
      </c>
      <c r="T8" s="5">
        <f>SUM(EPV_SARAMPION6466[D1])</f>
        <v>0</v>
      </c>
      <c r="U8" s="5">
        <f>SUM(EPV_SARAMPION6466[D2])</f>
        <v>0</v>
      </c>
      <c r="V8" s="5">
        <f>SUM(EPV_SARAMPION6466[D3])</f>
        <v>0</v>
      </c>
      <c r="W8" s="5">
        <f>SUM(EPV_SARAMPION6466[D4])</f>
        <v>0</v>
      </c>
      <c r="X8" s="5">
        <f>SUM(EPV_SARAMPION6466[D5])</f>
        <v>0</v>
      </c>
      <c r="Y8" s="5">
        <f>SUM(EPV_SARAMPION6466[D6])</f>
        <v>0</v>
      </c>
      <c r="Z8" s="7"/>
      <c r="AB8" s="6" t="str">
        <f>CONCATENATE("TOTAL: ",SUM(AC8:AH8))</f>
        <v>TOTAL: 0</v>
      </c>
      <c r="AC8" s="5">
        <f>SUM(EPV_SARAMPION646667[D1])</f>
        <v>0</v>
      </c>
      <c r="AD8" s="5">
        <f>SUM(EPV_SARAMPION646667[D2])</f>
        <v>0</v>
      </c>
      <c r="AE8" s="5">
        <f>SUM(EPV_SARAMPION646667[D3])</f>
        <v>0</v>
      </c>
      <c r="AF8" s="5">
        <f>SUM(EPV_SARAMPION646667[D4])</f>
        <v>0</v>
      </c>
      <c r="AG8" s="5">
        <f>SUM(EPV_SARAMPION646667[D5])</f>
        <v>0</v>
      </c>
      <c r="AH8" s="5">
        <f>SUM(EPV_SARAMPION646667[D6])</f>
        <v>0</v>
      </c>
      <c r="AI8" s="7"/>
      <c r="AJ8" s="151"/>
      <c r="AK8" s="151"/>
      <c r="AL8" s="69"/>
      <c r="AM8" s="69"/>
      <c r="AN8" s="69"/>
      <c r="AO8" s="69"/>
    </row>
    <row r="9" spans="1:41" ht="15" customHeight="1">
      <c r="A9" s="4" t="s">
        <v>245</v>
      </c>
      <c r="B9" s="3">
        <f>IF($AK$2="(Todas)",COUNTIF(BASE[CODCIE10],EPV_PARALISIS_FLACIDA_AGUDA62[[#This Row],[CIE-10]]),COUNTIFS(BASE[Cod.Establecimiento],$AK$2,BASE[CODCIE10],EPV_PARALISIS_FLACIDA_AGUDA62[[#This Row],[CIE-10]]))</f>
        <v>0</v>
      </c>
      <c r="C9" s="3">
        <f>IF($AK$2="(Todas)",COUNTIF(BASE[CODCIE102],EPV_PARALISIS_FLACIDA_AGUDA62[[#This Row],[CIE-10]]),COUNTIFS(BASE[Cod.Establecimiento],$AK$2,BASE[CODCIE102],EPV_PARALISIS_FLACIDA_AGUDA62[[#This Row],[CIE-10]]))</f>
        <v>0</v>
      </c>
      <c r="D9" s="3">
        <f>IF($AK$2="(Todas)",COUNTIF(BASE[CODCIE104],EPV_PARALISIS_FLACIDA_AGUDA62[[#This Row],[CIE-10]]),COUNTIFS(BASE[Cod.Establecimiento],$AK$2,BASE[CODCIE104],EPV_PARALISIS_FLACIDA_AGUDA62[[#This Row],[CIE-10]]))</f>
        <v>0</v>
      </c>
      <c r="E9" s="3">
        <f>IF($AK$2="(Todas)",COUNTIF(BASE[CODCIE106],EPV_PARALISIS_FLACIDA_AGUDA62[[#This Row],[CIE-10]]),COUNTIFS(BASE[Cod.Establecimiento],$AK$2,BASE[CODCIE106],EPV_PARALISIS_FLACIDA_AGUDA62[[#This Row],[CIE-10]]))</f>
        <v>0</v>
      </c>
      <c r="F9" s="3">
        <f>IF($AK$2="(Todas)",COUNTIF(BASE[CODCIE108],EPV_PARALISIS_FLACIDA_AGUDA62[[#This Row],[CIE-10]]),COUNTIFS(BASE[Cod.Establecimiento],$AK$2,BASE[CODCIE108],EPV_PARALISIS_FLACIDA_AGUDA62[[#This Row],[CIE-10]]))</f>
        <v>0</v>
      </c>
      <c r="G9" s="3">
        <f>IF($AK$2="(Todas)",COUNTIF(BASE[CODCIE1010],EPV_PARALISIS_FLACIDA_AGUDA62[[#This Row],[CIE-10]]),COUNTIFS(BASE[Cod.Establecimiento],$AK$2,BASE[CODCIE1010],EPV_PARALISIS_FLACIDA_AGUDA62[[#This Row],[CIE-10]]))</f>
        <v>0</v>
      </c>
      <c r="H9" s="9">
        <f>SUM(EPV_PARALISIS_FLACIDA_AGUDA62[[#This Row],[D1]:[D6]])</f>
        <v>0</v>
      </c>
      <c r="S9" t="s">
        <v>77</v>
      </c>
      <c r="T9" s="3" t="s">
        <v>78</v>
      </c>
      <c r="U9" s="3" t="s">
        <v>79</v>
      </c>
      <c r="V9" s="3" t="s">
        <v>80</v>
      </c>
      <c r="W9" s="3" t="s">
        <v>81</v>
      </c>
      <c r="X9" s="3" t="s">
        <v>82</v>
      </c>
      <c r="Y9" s="3" t="s">
        <v>83</v>
      </c>
      <c r="Z9" s="8" t="s">
        <v>84</v>
      </c>
      <c r="AB9" t="s">
        <v>77</v>
      </c>
      <c r="AC9" s="3" t="s">
        <v>78</v>
      </c>
      <c r="AD9" s="3" t="s">
        <v>79</v>
      </c>
      <c r="AE9" s="3" t="s">
        <v>80</v>
      </c>
      <c r="AF9" s="3" t="s">
        <v>81</v>
      </c>
      <c r="AG9" s="3" t="s">
        <v>82</v>
      </c>
      <c r="AH9" s="3" t="s">
        <v>83</v>
      </c>
      <c r="AI9" s="8" t="s">
        <v>84</v>
      </c>
      <c r="AJ9" s="151"/>
      <c r="AK9" s="151"/>
      <c r="AL9" s="69"/>
      <c r="AM9" s="69"/>
      <c r="AN9" s="69"/>
      <c r="AO9" s="69"/>
    </row>
    <row r="10" spans="1:41" ht="15" customHeight="1">
      <c r="A10" s="4" t="s">
        <v>317</v>
      </c>
      <c r="B10" s="3">
        <f>IF($AK$2="(Todas)",COUNTIF(BASE[CODCIE10],EPV_PARALISIS_FLACIDA_AGUDA62[[#This Row],[CIE-10]]),COUNTIFS(BASE[Cod.Establecimiento],$AK$2,BASE[CODCIE10],EPV_PARALISIS_FLACIDA_AGUDA62[[#This Row],[CIE-10]]))</f>
        <v>0</v>
      </c>
      <c r="C10" s="3">
        <f>IF($AK$2="(Todas)",COUNTIF(BASE[CODCIE102],EPV_PARALISIS_FLACIDA_AGUDA62[[#This Row],[CIE-10]]),COUNTIFS(BASE[Cod.Establecimiento],$AK$2,BASE[CODCIE102],EPV_PARALISIS_FLACIDA_AGUDA62[[#This Row],[CIE-10]]))</f>
        <v>0</v>
      </c>
      <c r="D10" s="3">
        <f>IF($AK$2="(Todas)",COUNTIF(BASE[CODCIE104],EPV_PARALISIS_FLACIDA_AGUDA62[[#This Row],[CIE-10]]),COUNTIFS(BASE[Cod.Establecimiento],$AK$2,BASE[CODCIE104],EPV_PARALISIS_FLACIDA_AGUDA62[[#This Row],[CIE-10]]))</f>
        <v>0</v>
      </c>
      <c r="E10" s="3">
        <f>IF($AK$2="(Todas)",COUNTIF(BASE[CODCIE106],EPV_PARALISIS_FLACIDA_AGUDA62[[#This Row],[CIE-10]]),COUNTIFS(BASE[Cod.Establecimiento],$AK$2,BASE[CODCIE106],EPV_PARALISIS_FLACIDA_AGUDA62[[#This Row],[CIE-10]]))</f>
        <v>0</v>
      </c>
      <c r="F10" s="3">
        <f>IF($AK$2="(Todas)",COUNTIF(BASE[CODCIE108],EPV_PARALISIS_FLACIDA_AGUDA62[[#This Row],[CIE-10]]),COUNTIFS(BASE[Cod.Establecimiento],$AK$2,BASE[CODCIE108],EPV_PARALISIS_FLACIDA_AGUDA62[[#This Row],[CIE-10]]))</f>
        <v>0</v>
      </c>
      <c r="G10" s="3">
        <f>IF($AK$2="(Todas)",COUNTIF(BASE[CODCIE1010],EPV_PARALISIS_FLACIDA_AGUDA62[[#This Row],[CIE-10]]),COUNTIFS(BASE[Cod.Establecimiento],$AK$2,BASE[CODCIE1010],EPV_PARALISIS_FLACIDA_AGUDA62[[#This Row],[CIE-10]]))</f>
        <v>0</v>
      </c>
      <c r="H10" s="9">
        <f>SUM(EPV_PARALISIS_FLACIDA_AGUDA62[[#This Row],[D1]:[D6]])</f>
        <v>0</v>
      </c>
      <c r="J10" s="2"/>
      <c r="K10" s="2"/>
      <c r="L10" s="2"/>
      <c r="M10" s="2"/>
      <c r="N10" s="2"/>
      <c r="O10" s="2"/>
      <c r="P10" s="2"/>
      <c r="S10" s="4" t="s">
        <v>318</v>
      </c>
      <c r="T10" s="3">
        <f>IF($AK$2="(Todas)",COUNTIF(BASE[CODCIE10],EPV_SARAMPION6466[[#This Row],[CIE-10]]),COUNTIFS(BASE[Cod.Establecimiento],$AK$2,BASE[CODCIE10],EPV_SARAMPION6466[[#This Row],[CIE-10]]))</f>
        <v>0</v>
      </c>
      <c r="U10" s="3">
        <f>IF($AK$2="(Todas)",COUNTIF(BASE[CODCIE102],EPV_SARAMPION6466[[#This Row],[CIE-10]]),COUNTIFS(BASE[Cod.Establecimiento],$AK$2,BASE[CODCIE102],EPV_SARAMPION6466[[#This Row],[CIE-10]]))</f>
        <v>0</v>
      </c>
      <c r="V10" s="3">
        <f>IF($AK$2="(Todas)",COUNTIF(BASE[CODCIE104],EPV_SARAMPION6466[[#This Row],[CIE-10]]),COUNTIFS(BASE[Cod.Establecimiento],$AK$2,BASE[CODCIE104],EPV_SARAMPION6466[[#This Row],[CIE-10]]))</f>
        <v>0</v>
      </c>
      <c r="W10" s="3">
        <f>IF($AK$2="(Todas)",COUNTIF(BASE[CODCIE106],EPV_SARAMPION6466[[#This Row],[CIE-10]]),COUNTIFS(BASE[Cod.Establecimiento],$AK$2,BASE[CODCIE106],EPV_SARAMPION6466[[#This Row],[CIE-10]]))</f>
        <v>0</v>
      </c>
      <c r="X10" s="3">
        <f>IF($AK$2="(Todas)",COUNTIF(BASE[CODCIE108],EPV_SARAMPION6466[[#This Row],[CIE-10]]),COUNTIFS(BASE[Cod.Establecimiento],$AK$2,BASE[CODCIE108],EPV_SARAMPION6466[[#This Row],[CIE-10]]))</f>
        <v>0</v>
      </c>
      <c r="Y10" s="3">
        <f>IF($AK$2="(Todas)",COUNTIF(BASE[CODCIE1010],EPV_SARAMPION6466[[#This Row],[CIE-10]]),COUNTIFS(BASE[Cod.Establecimiento],$AK$2,BASE[CODCIE1010],EPV_SARAMPION6466[[#This Row],[CIE-10]]))</f>
        <v>0</v>
      </c>
      <c r="Z10" s="9">
        <f>SUM(EPV_SARAMPION6466[[#This Row],[D1]:[D6]])</f>
        <v>0</v>
      </c>
      <c r="AB10" s="4" t="s">
        <v>336</v>
      </c>
      <c r="AC10" s="3">
        <f>IF($AK$2="(Todas)",COUNTIF(BASE[CODCIE10],EPV_SARAMPION646667[[#This Row],[CIE-10]]),COUNTIFS(BASE[Cod.Establecimiento],$AK$2,BASE[CODCIE10],EPV_SARAMPION646667[[#This Row],[CIE-10]]))</f>
        <v>0</v>
      </c>
      <c r="AD10" s="3">
        <f>IF($AK$2="(Todas)",COUNTIF(BASE[CODCIE102],EPV_SARAMPION646667[[#This Row],[CIE-10]]),COUNTIFS(BASE[Cod.Establecimiento],$AK$2,BASE[CODCIE102],EPV_SARAMPION646667[[#This Row],[CIE-10]]))</f>
        <v>0</v>
      </c>
      <c r="AE10" s="3">
        <f>IF($AK$2="(Todas)",COUNTIF(BASE[CODCIE104],EPV_SARAMPION646667[[#This Row],[CIE-10]]),COUNTIFS(BASE[Cod.Establecimiento],$AK$2,BASE[CODCIE104],EPV_SARAMPION646667[[#This Row],[CIE-10]]))</f>
        <v>0</v>
      </c>
      <c r="AF10" s="3">
        <f>IF($AK$2="(Todas)",COUNTIF(BASE[CODCIE106],EPV_SARAMPION646667[[#This Row],[CIE-10]]),COUNTIFS(BASE[Cod.Establecimiento],$AK$2,BASE[CODCIE106],EPV_SARAMPION646667[[#This Row],[CIE-10]]))</f>
        <v>0</v>
      </c>
      <c r="AG10" s="3">
        <f>IF($AK$2="(Todas)",COUNTIF(BASE[CODCIE108],EPV_SARAMPION646667[[#This Row],[CIE-10]]),COUNTIFS(BASE[Cod.Establecimiento],$AK$2,BASE[CODCIE108],EPV_SARAMPION646667[[#This Row],[CIE-10]]))</f>
        <v>0</v>
      </c>
      <c r="AH10" s="3">
        <f>IF($AK$2="(Todas)",COUNTIF(BASE[CODCIE1010],EPV_SARAMPION646667[[#This Row],[CIE-10]]),COUNTIFS(BASE[Cod.Establecimiento],$AK$2,BASE[CODCIE1010],EPV_SARAMPION646667[[#This Row],[CIE-10]]))</f>
        <v>0</v>
      </c>
      <c r="AI10" s="9">
        <f>SUM(EPV_SARAMPION646667[[#This Row],[D1]:[D6]])</f>
        <v>0</v>
      </c>
      <c r="AJ10" s="151"/>
      <c r="AK10" s="151"/>
      <c r="AL10" s="69"/>
      <c r="AM10" s="69"/>
      <c r="AN10" s="69"/>
      <c r="AO10" s="69"/>
    </row>
    <row r="11" spans="1:41" ht="15" customHeight="1">
      <c r="A11" s="4" t="s">
        <v>309</v>
      </c>
      <c r="B11" s="3">
        <f>IF($AK$2="(Todas)",COUNTIF(BASE[CODCIE10],EPV_PARALISIS_FLACIDA_AGUDA62[[#This Row],[CIE-10]]),COUNTIFS(BASE[Cod.Establecimiento],$AK$2,BASE[CODCIE10],EPV_PARALISIS_FLACIDA_AGUDA62[[#This Row],[CIE-10]]))</f>
        <v>0</v>
      </c>
      <c r="C11" s="3">
        <f>IF($AK$2="(Todas)",COUNTIF(BASE[CODCIE102],EPV_PARALISIS_FLACIDA_AGUDA62[[#This Row],[CIE-10]]),COUNTIFS(BASE[Cod.Establecimiento],$AK$2,BASE[CODCIE102],EPV_PARALISIS_FLACIDA_AGUDA62[[#This Row],[CIE-10]]))</f>
        <v>0</v>
      </c>
      <c r="D11" s="3">
        <f>IF($AK$2="(Todas)",COUNTIF(BASE[CODCIE104],EPV_PARALISIS_FLACIDA_AGUDA62[[#This Row],[CIE-10]]),COUNTIFS(BASE[Cod.Establecimiento],$AK$2,BASE[CODCIE104],EPV_PARALISIS_FLACIDA_AGUDA62[[#This Row],[CIE-10]]))</f>
        <v>0</v>
      </c>
      <c r="E11" s="3">
        <f>IF($AK$2="(Todas)",COUNTIF(BASE[CODCIE106],EPV_PARALISIS_FLACIDA_AGUDA62[[#This Row],[CIE-10]]),COUNTIFS(BASE[Cod.Establecimiento],$AK$2,BASE[CODCIE106],EPV_PARALISIS_FLACIDA_AGUDA62[[#This Row],[CIE-10]]))</f>
        <v>0</v>
      </c>
      <c r="F11" s="3">
        <f>IF($AK$2="(Todas)",COUNTIF(BASE[CODCIE108],EPV_PARALISIS_FLACIDA_AGUDA62[[#This Row],[CIE-10]]),COUNTIFS(BASE[Cod.Establecimiento],$AK$2,BASE[CODCIE108],EPV_PARALISIS_FLACIDA_AGUDA62[[#This Row],[CIE-10]]))</f>
        <v>0</v>
      </c>
      <c r="G11" s="3">
        <f>IF($AK$2="(Todas)",COUNTIF(BASE[CODCIE1010],EPV_PARALISIS_FLACIDA_AGUDA62[[#This Row],[CIE-10]]),COUNTIFS(BASE[Cod.Establecimiento],$AK$2,BASE[CODCIE1010],EPV_PARALISIS_FLACIDA_AGUDA62[[#This Row],[CIE-10]]))</f>
        <v>0</v>
      </c>
      <c r="H11" s="9">
        <f>SUM(EPV_PARALISIS_FLACIDA_AGUDA62[[#This Row],[D1]:[D6]])</f>
        <v>0</v>
      </c>
      <c r="J11" s="2"/>
      <c r="K11" s="2"/>
      <c r="L11" s="2"/>
      <c r="M11" s="2"/>
      <c r="N11" s="2"/>
      <c r="O11" s="2"/>
      <c r="P11" s="2"/>
      <c r="S11" s="2"/>
      <c r="T11" s="2"/>
      <c r="U11" s="2"/>
      <c r="V11" s="2"/>
      <c r="W11" s="2"/>
      <c r="X11" s="2"/>
      <c r="Y11" s="2"/>
      <c r="AB11" s="2"/>
      <c r="AC11" s="2"/>
      <c r="AD11" s="2"/>
      <c r="AE11" s="2"/>
      <c r="AF11" s="2"/>
      <c r="AG11" s="2"/>
      <c r="AH11" s="2"/>
      <c r="AJ11" s="151"/>
      <c r="AK11" s="151"/>
      <c r="AL11" s="69"/>
      <c r="AM11" s="69"/>
      <c r="AN11" s="69"/>
      <c r="AO11" s="69"/>
    </row>
    <row r="12" spans="1:41" ht="18" customHeight="1" thickBot="1">
      <c r="A12" s="31" t="s">
        <v>310</v>
      </c>
      <c r="B12" s="3">
        <f>IF($AK$2="(Todas)",COUNTIF(BASE[CODCIE10],EPV_PARALISIS_FLACIDA_AGUDA62[[#This Row],[CIE-10]]),COUNTIFS(BASE[Cod.Establecimiento],$AK$2,BASE[CODCIE10],EPV_PARALISIS_FLACIDA_AGUDA62[[#This Row],[CIE-10]]))</f>
        <v>0</v>
      </c>
      <c r="C12" s="3">
        <f>IF($AK$2="(Todas)",COUNTIF(BASE[CODCIE102],EPV_PARALISIS_FLACIDA_AGUDA62[[#This Row],[CIE-10]]),COUNTIFS(BASE[Cod.Establecimiento],$AK$2,BASE[CODCIE102],EPV_PARALISIS_FLACIDA_AGUDA62[[#This Row],[CIE-10]]))</f>
        <v>0</v>
      </c>
      <c r="D12" s="3">
        <f>IF($AK$2="(Todas)",COUNTIF(BASE[CODCIE104],EPV_PARALISIS_FLACIDA_AGUDA62[[#This Row],[CIE-10]]),COUNTIFS(BASE[Cod.Establecimiento],$AK$2,BASE[CODCIE104],EPV_PARALISIS_FLACIDA_AGUDA62[[#This Row],[CIE-10]]))</f>
        <v>0</v>
      </c>
      <c r="E12" s="3">
        <f>IF($AK$2="(Todas)",COUNTIF(BASE[CODCIE106],EPV_PARALISIS_FLACIDA_AGUDA62[[#This Row],[CIE-10]]),COUNTIFS(BASE[Cod.Establecimiento],$AK$2,BASE[CODCIE106],EPV_PARALISIS_FLACIDA_AGUDA62[[#This Row],[CIE-10]]))</f>
        <v>0</v>
      </c>
      <c r="F12" s="3">
        <f>IF($AK$2="(Todas)",COUNTIF(BASE[CODCIE108],EPV_PARALISIS_FLACIDA_AGUDA62[[#This Row],[CIE-10]]),COUNTIFS(BASE[Cod.Establecimiento],$AK$2,BASE[CODCIE108],EPV_PARALISIS_FLACIDA_AGUDA62[[#This Row],[CIE-10]]))</f>
        <v>0</v>
      </c>
      <c r="G12" s="3">
        <f>IF($AK$2="(Todas)",COUNTIF(BASE[CODCIE1010],EPV_PARALISIS_FLACIDA_AGUDA62[[#This Row],[CIE-10]]),COUNTIFS(BASE[Cod.Establecimiento],$AK$2,BASE[CODCIE1010],EPV_PARALISIS_FLACIDA_AGUDA62[[#This Row],[CIE-10]]))</f>
        <v>0</v>
      </c>
      <c r="H12" s="66">
        <f>SUM(EPV_PARALISIS_FLACIDA_AGUDA62[[#This Row],[D1]:[D6]])</f>
        <v>0</v>
      </c>
      <c r="J12" s="87" t="s">
        <v>337</v>
      </c>
      <c r="K12" s="87"/>
      <c r="L12" s="87"/>
      <c r="M12" s="87"/>
      <c r="N12" s="87"/>
      <c r="O12" s="87"/>
      <c r="P12" s="87"/>
      <c r="Q12" s="87"/>
      <c r="S12" s="87" t="s">
        <v>339</v>
      </c>
      <c r="T12" s="87"/>
      <c r="U12" s="87"/>
      <c r="V12" s="87"/>
      <c r="W12" s="87"/>
      <c r="X12" s="87"/>
      <c r="Y12" s="87"/>
      <c r="Z12" s="87"/>
      <c r="AB12" s="87" t="s">
        <v>340</v>
      </c>
      <c r="AC12" s="87"/>
      <c r="AD12" s="87"/>
      <c r="AE12" s="87"/>
      <c r="AF12" s="87"/>
      <c r="AG12" s="87"/>
      <c r="AH12" s="87"/>
      <c r="AI12" s="87"/>
      <c r="AJ12" s="151"/>
      <c r="AK12" s="151"/>
      <c r="AL12" s="69"/>
      <c r="AM12" s="69"/>
      <c r="AN12" s="69"/>
      <c r="AO12" s="69"/>
    </row>
    <row r="13" spans="1:41" ht="15.75" customHeight="1" thickTop="1">
      <c r="A13" s="31" t="s">
        <v>311</v>
      </c>
      <c r="B13" s="3">
        <f>IF($AK$2="(Todas)",COUNTIF(BASE[CODCIE10],EPV_PARALISIS_FLACIDA_AGUDA62[[#This Row],[CIE-10]]),COUNTIFS(BASE[Cod.Establecimiento],$AK$2,BASE[CODCIE10],EPV_PARALISIS_FLACIDA_AGUDA62[[#This Row],[CIE-10]]))</f>
        <v>0</v>
      </c>
      <c r="C13" s="3">
        <f>IF($AK$2="(Todas)",COUNTIF(BASE[CODCIE102],EPV_PARALISIS_FLACIDA_AGUDA62[[#This Row],[CIE-10]]),COUNTIFS(BASE[Cod.Establecimiento],$AK$2,BASE[CODCIE102],EPV_PARALISIS_FLACIDA_AGUDA62[[#This Row],[CIE-10]]))</f>
        <v>0</v>
      </c>
      <c r="D13" s="3">
        <f>IF($AK$2="(Todas)",COUNTIF(BASE[CODCIE104],EPV_PARALISIS_FLACIDA_AGUDA62[[#This Row],[CIE-10]]),COUNTIFS(BASE[Cod.Establecimiento],$AK$2,BASE[CODCIE104],EPV_PARALISIS_FLACIDA_AGUDA62[[#This Row],[CIE-10]]))</f>
        <v>0</v>
      </c>
      <c r="E13" s="3">
        <f>IF($AK$2="(Todas)",COUNTIF(BASE[CODCIE106],EPV_PARALISIS_FLACIDA_AGUDA62[[#This Row],[CIE-10]]),COUNTIFS(BASE[Cod.Establecimiento],$AK$2,BASE[CODCIE106],EPV_PARALISIS_FLACIDA_AGUDA62[[#This Row],[CIE-10]]))</f>
        <v>0</v>
      </c>
      <c r="F13" s="3">
        <f>IF($AK$2="(Todas)",COUNTIF(BASE[CODCIE108],EPV_PARALISIS_FLACIDA_AGUDA62[[#This Row],[CIE-10]]),COUNTIFS(BASE[Cod.Establecimiento],$AK$2,BASE[CODCIE108],EPV_PARALISIS_FLACIDA_AGUDA62[[#This Row],[CIE-10]]))</f>
        <v>0</v>
      </c>
      <c r="G13" s="3">
        <f>IF($AK$2="(Todas)",COUNTIF(BASE[CODCIE1010],EPV_PARALISIS_FLACIDA_AGUDA62[[#This Row],[CIE-10]]),COUNTIFS(BASE[Cod.Establecimiento],$AK$2,BASE[CODCIE1010],EPV_PARALISIS_FLACIDA_AGUDA62[[#This Row],[CIE-10]]))</f>
        <v>0</v>
      </c>
      <c r="H13" s="66">
        <f>SUM(EPV_PARALISIS_FLACIDA_AGUDA62[[#This Row],[D1]:[D6]])</f>
        <v>0</v>
      </c>
      <c r="J13" s="6" t="str">
        <f>CONCATENATE("TOTAL: ",SUM(K13:P13))</f>
        <v>TOTAL: 0</v>
      </c>
      <c r="K13" s="5">
        <f>SUM(EPV_SARAMPION646669[D1])</f>
        <v>0</v>
      </c>
      <c r="L13" s="5">
        <f>SUM(EPV_SARAMPION646669[D2])</f>
        <v>0</v>
      </c>
      <c r="M13" s="5">
        <f>SUM(EPV_SARAMPION646669[D3])</f>
        <v>0</v>
      </c>
      <c r="N13" s="5">
        <f>SUM(EPV_SARAMPION646669[D4])</f>
        <v>0</v>
      </c>
      <c r="O13" s="5">
        <f>SUM(EPV_SARAMPION646669[D5])</f>
        <v>0</v>
      </c>
      <c r="P13" s="5">
        <f>SUM(EPV_SARAMPION646669[D6])</f>
        <v>0</v>
      </c>
      <c r="Q13" s="7"/>
      <c r="S13" s="6" t="str">
        <f>CONCATENATE("TOTAL: ",SUM(T13:Y13))</f>
        <v>TOTAL: 0</v>
      </c>
      <c r="T13" s="5">
        <f>SUM(EPV_SARAMPION646670[D1])</f>
        <v>0</v>
      </c>
      <c r="U13" s="5">
        <f>SUM(EPV_SARAMPION646670[D2])</f>
        <v>0</v>
      </c>
      <c r="V13" s="5">
        <f>SUM(EPV_SARAMPION646670[D3])</f>
        <v>0</v>
      </c>
      <c r="W13" s="5">
        <f>SUM(EPV_SARAMPION646670[D4])</f>
        <v>0</v>
      </c>
      <c r="X13" s="5">
        <f>SUM(EPV_SARAMPION646670[D5])</f>
        <v>0</v>
      </c>
      <c r="Y13" s="5">
        <f>SUM(EPV_SARAMPION646670[D6])</f>
        <v>0</v>
      </c>
      <c r="Z13" s="7"/>
      <c r="AB13" s="6" t="str">
        <f>CONCATENATE("TOTAL: ",SUM(AC13:AH13))</f>
        <v>TOTAL: 0</v>
      </c>
      <c r="AC13" s="5">
        <f>SUM(EPV_SARAMPION646671[D1])</f>
        <v>0</v>
      </c>
      <c r="AD13" s="5">
        <f>SUM(EPV_SARAMPION646671[D2])</f>
        <v>0</v>
      </c>
      <c r="AE13" s="5">
        <f>SUM(EPV_SARAMPION646671[D3])</f>
        <v>0</v>
      </c>
      <c r="AF13" s="5">
        <f>SUM(EPV_SARAMPION646671[D4])</f>
        <v>0</v>
      </c>
      <c r="AG13" s="5">
        <f>SUM(EPV_SARAMPION646671[D5])</f>
        <v>0</v>
      </c>
      <c r="AH13" s="5">
        <f>SUM(EPV_SARAMPION646671[D6])</f>
        <v>0</v>
      </c>
      <c r="AI13" s="7"/>
      <c r="AJ13" s="151"/>
      <c r="AK13" s="151"/>
      <c r="AL13" s="69"/>
      <c r="AM13" s="69"/>
      <c r="AN13" s="69"/>
      <c r="AO13" s="69"/>
    </row>
    <row r="14" spans="1:41" ht="15" customHeight="1">
      <c r="A14" s="31" t="s">
        <v>318</v>
      </c>
      <c r="B14" s="3">
        <f>IF($AK$2="(Todas)",COUNTIF(BASE[CODCIE10],EPV_PARALISIS_FLACIDA_AGUDA62[[#This Row],[CIE-10]]),COUNTIFS(BASE[Cod.Establecimiento],$AK$2,BASE[CODCIE10],EPV_PARALISIS_FLACIDA_AGUDA62[[#This Row],[CIE-10]]))</f>
        <v>0</v>
      </c>
      <c r="C14" s="3">
        <f>IF($AK$2="(Todas)",COUNTIF(BASE[CODCIE102],EPV_PARALISIS_FLACIDA_AGUDA62[[#This Row],[CIE-10]]),COUNTIFS(BASE[Cod.Establecimiento],$AK$2,BASE[CODCIE102],EPV_PARALISIS_FLACIDA_AGUDA62[[#This Row],[CIE-10]]))</f>
        <v>0</v>
      </c>
      <c r="D14" s="3">
        <f>IF($AK$2="(Todas)",COUNTIF(BASE[CODCIE104],EPV_PARALISIS_FLACIDA_AGUDA62[[#This Row],[CIE-10]]),COUNTIFS(BASE[Cod.Establecimiento],$AK$2,BASE[CODCIE104],EPV_PARALISIS_FLACIDA_AGUDA62[[#This Row],[CIE-10]]))</f>
        <v>0</v>
      </c>
      <c r="E14" s="3">
        <f>IF($AK$2="(Todas)",COUNTIF(BASE[CODCIE106],EPV_PARALISIS_FLACIDA_AGUDA62[[#This Row],[CIE-10]]),COUNTIFS(BASE[Cod.Establecimiento],$AK$2,BASE[CODCIE106],EPV_PARALISIS_FLACIDA_AGUDA62[[#This Row],[CIE-10]]))</f>
        <v>0</v>
      </c>
      <c r="F14" s="3">
        <f>IF($AK$2="(Todas)",COUNTIF(BASE[CODCIE108],EPV_PARALISIS_FLACIDA_AGUDA62[[#This Row],[CIE-10]]),COUNTIFS(BASE[Cod.Establecimiento],$AK$2,BASE[CODCIE108],EPV_PARALISIS_FLACIDA_AGUDA62[[#This Row],[CIE-10]]))</f>
        <v>0</v>
      </c>
      <c r="G14" s="3">
        <f>IF($AK$2="(Todas)",COUNTIF(BASE[CODCIE1010],EPV_PARALISIS_FLACIDA_AGUDA62[[#This Row],[CIE-10]]),COUNTIFS(BASE[Cod.Establecimiento],$AK$2,BASE[CODCIE1010],EPV_PARALISIS_FLACIDA_AGUDA62[[#This Row],[CIE-10]]))</f>
        <v>0</v>
      </c>
      <c r="H14" s="66">
        <f>SUM(EPV_PARALISIS_FLACIDA_AGUDA62[[#This Row],[D1]:[D6]])</f>
        <v>0</v>
      </c>
      <c r="J14" t="s">
        <v>77</v>
      </c>
      <c r="K14" s="3" t="s">
        <v>78</v>
      </c>
      <c r="L14" s="3" t="s">
        <v>79</v>
      </c>
      <c r="M14" s="3" t="s">
        <v>80</v>
      </c>
      <c r="N14" s="3" t="s">
        <v>81</v>
      </c>
      <c r="O14" s="3" t="s">
        <v>82</v>
      </c>
      <c r="P14" s="3" t="s">
        <v>83</v>
      </c>
      <c r="Q14" s="8" t="s">
        <v>84</v>
      </c>
      <c r="S14" t="s">
        <v>77</v>
      </c>
      <c r="T14" s="3" t="s">
        <v>78</v>
      </c>
      <c r="U14" s="3" t="s">
        <v>79</v>
      </c>
      <c r="V14" s="3" t="s">
        <v>80</v>
      </c>
      <c r="W14" s="3" t="s">
        <v>81</v>
      </c>
      <c r="X14" s="3" t="s">
        <v>82</v>
      </c>
      <c r="Y14" s="3" t="s">
        <v>83</v>
      </c>
      <c r="Z14" s="8" t="s">
        <v>84</v>
      </c>
      <c r="AB14" t="s">
        <v>77</v>
      </c>
      <c r="AC14" s="3" t="s">
        <v>78</v>
      </c>
      <c r="AD14" s="3" t="s">
        <v>79</v>
      </c>
      <c r="AE14" s="3" t="s">
        <v>80</v>
      </c>
      <c r="AF14" s="3" t="s">
        <v>81</v>
      </c>
      <c r="AG14" s="3" t="s">
        <v>82</v>
      </c>
      <c r="AH14" s="3" t="s">
        <v>83</v>
      </c>
      <c r="AI14" s="8" t="s">
        <v>84</v>
      </c>
      <c r="AJ14" s="151"/>
      <c r="AK14" s="151"/>
      <c r="AL14" s="69"/>
      <c r="AM14" s="69"/>
      <c r="AN14" s="69"/>
      <c r="AO14" s="69"/>
    </row>
    <row r="15" spans="1:41" ht="15" customHeight="1">
      <c r="A15" s="31" t="s">
        <v>319</v>
      </c>
      <c r="B15" s="3">
        <f>IF($AK$2="(Todas)",COUNTIF(BASE[CODCIE10],EPV_PARALISIS_FLACIDA_AGUDA62[[#This Row],[CIE-10]]),COUNTIFS(BASE[Cod.Establecimiento],$AK$2,BASE[CODCIE10],EPV_PARALISIS_FLACIDA_AGUDA62[[#This Row],[CIE-10]]))</f>
        <v>0</v>
      </c>
      <c r="C15" s="3">
        <f>IF($AK$2="(Todas)",COUNTIF(BASE[CODCIE102],EPV_PARALISIS_FLACIDA_AGUDA62[[#This Row],[CIE-10]]),COUNTIFS(BASE[Cod.Establecimiento],$AK$2,BASE[CODCIE102],EPV_PARALISIS_FLACIDA_AGUDA62[[#This Row],[CIE-10]]))</f>
        <v>0</v>
      </c>
      <c r="D15" s="3">
        <f>IF($AK$2="(Todas)",COUNTIF(BASE[CODCIE104],EPV_PARALISIS_FLACIDA_AGUDA62[[#This Row],[CIE-10]]),COUNTIFS(BASE[Cod.Establecimiento],$AK$2,BASE[CODCIE104],EPV_PARALISIS_FLACIDA_AGUDA62[[#This Row],[CIE-10]]))</f>
        <v>0</v>
      </c>
      <c r="E15" s="3">
        <f>IF($AK$2="(Todas)",COUNTIF(BASE[CODCIE106],EPV_PARALISIS_FLACIDA_AGUDA62[[#This Row],[CIE-10]]),COUNTIFS(BASE[Cod.Establecimiento],$AK$2,BASE[CODCIE106],EPV_PARALISIS_FLACIDA_AGUDA62[[#This Row],[CIE-10]]))</f>
        <v>0</v>
      </c>
      <c r="F15" s="3">
        <f>IF($AK$2="(Todas)",COUNTIF(BASE[CODCIE108],EPV_PARALISIS_FLACIDA_AGUDA62[[#This Row],[CIE-10]]),COUNTIFS(BASE[Cod.Establecimiento],$AK$2,BASE[CODCIE108],EPV_PARALISIS_FLACIDA_AGUDA62[[#This Row],[CIE-10]]))</f>
        <v>0</v>
      </c>
      <c r="G15" s="3">
        <f>IF($AK$2="(Todas)",COUNTIF(BASE[CODCIE1010],EPV_PARALISIS_FLACIDA_AGUDA62[[#This Row],[CIE-10]]),COUNTIFS(BASE[Cod.Establecimiento],$AK$2,BASE[CODCIE1010],EPV_PARALISIS_FLACIDA_AGUDA62[[#This Row],[CIE-10]]))</f>
        <v>0</v>
      </c>
      <c r="H15" s="66">
        <f>SUM(EPV_PARALISIS_FLACIDA_AGUDA62[[#This Row],[D1]:[D6]])</f>
        <v>0</v>
      </c>
      <c r="J15" s="4" t="s">
        <v>338</v>
      </c>
      <c r="K15" s="3">
        <f>IF($AK$2="(Todas)",COUNTIF(BASE[CODCIE10],EPV_SARAMPION646669[[#This Row],[CIE-10]]),COUNTIFS(BASE[Cod.Establecimiento],$AK$2,BASE[CODCIE10],EPV_SARAMPION646669[[#This Row],[CIE-10]]))</f>
        <v>0</v>
      </c>
      <c r="L15" s="3">
        <f>IF($AK$2="(Todas)",COUNTIF(BASE[CODCIE102],EPV_SARAMPION646669[[#This Row],[CIE-10]]),COUNTIFS(BASE[Cod.Establecimiento],$AK$2,BASE[CODCIE102],EPV_SARAMPION646669[[#This Row],[CIE-10]]))</f>
        <v>0</v>
      </c>
      <c r="M15" s="3">
        <f>IF($AK$2="(Todas)",COUNTIF(BASE[CODCIE104],EPV_SARAMPION646669[[#This Row],[CIE-10]]),COUNTIFS(BASE[Cod.Establecimiento],$AK$2,BASE[CODCIE104],EPV_SARAMPION646669[[#This Row],[CIE-10]]))</f>
        <v>0</v>
      </c>
      <c r="N15" s="3">
        <f>IF($AK$2="(Todas)",COUNTIF(BASE[CODCIE106],EPV_SARAMPION646669[[#This Row],[CIE-10]]),COUNTIFS(BASE[Cod.Establecimiento],$AK$2,BASE[CODCIE106],EPV_SARAMPION646669[[#This Row],[CIE-10]]))</f>
        <v>0</v>
      </c>
      <c r="O15" s="3">
        <f>IF($AK$2="(Todas)",COUNTIF(BASE[CODCIE108],EPV_SARAMPION646669[[#This Row],[CIE-10]]),COUNTIFS(BASE[Cod.Establecimiento],$AK$2,BASE[CODCIE108],EPV_SARAMPION646669[[#This Row],[CIE-10]]))</f>
        <v>0</v>
      </c>
      <c r="P15" s="3">
        <f>IF($AK$2="(Todas)",COUNTIF(BASE[CODCIE1010],EPV_SARAMPION646669[[#This Row],[CIE-10]]),COUNTIFS(BASE[Cod.Establecimiento],$AK$2,BASE[CODCIE1010],EPV_SARAMPION646669[[#This Row],[CIE-10]]))</f>
        <v>0</v>
      </c>
      <c r="Q15" s="9">
        <f>SUM(EPV_SARAMPION646669[[#This Row],[D1]:[D6]])</f>
        <v>0</v>
      </c>
      <c r="S15" s="4" t="s">
        <v>220</v>
      </c>
      <c r="T15" s="3">
        <f>IF($AK$2="(Todas)",COUNTIF(BASE[CODCIE10],EPV_SARAMPION646670[[#This Row],[CIE-10]]),COUNTIFS(BASE[Cod.Establecimiento],$AK$2,BASE[CODCIE10],EPV_SARAMPION646670[[#This Row],[CIE-10]]))</f>
        <v>0</v>
      </c>
      <c r="U15" s="3">
        <f>IF($AK$2="(Todas)",COUNTIF(BASE[CODCIE102],EPV_SARAMPION646670[[#This Row],[CIE-10]]),COUNTIFS(BASE[Cod.Establecimiento],$AK$2,BASE[CODCIE102],EPV_SARAMPION646670[[#This Row],[CIE-10]]))</f>
        <v>0</v>
      </c>
      <c r="V15" s="3">
        <f>IF($AK$2="(Todas)",COUNTIF(BASE[CODCIE104],EPV_SARAMPION646670[[#This Row],[CIE-10]]),COUNTIFS(BASE[Cod.Establecimiento],$AK$2,BASE[CODCIE104],EPV_SARAMPION646670[[#This Row],[CIE-10]]))</f>
        <v>0</v>
      </c>
      <c r="W15" s="3">
        <f>IF($AK$2="(Todas)",COUNTIF(BASE[CODCIE106],EPV_SARAMPION646670[[#This Row],[CIE-10]]),COUNTIFS(BASE[Cod.Establecimiento],$AK$2,BASE[CODCIE106],EPV_SARAMPION646670[[#This Row],[CIE-10]]))</f>
        <v>0</v>
      </c>
      <c r="X15" s="3">
        <f>IF($AK$2="(Todas)",COUNTIF(BASE[CODCIE108],EPV_SARAMPION646670[[#This Row],[CIE-10]]),COUNTIFS(BASE[Cod.Establecimiento],$AK$2,BASE[CODCIE108],EPV_SARAMPION646670[[#This Row],[CIE-10]]))</f>
        <v>0</v>
      </c>
      <c r="Y15" s="3">
        <f>IF($AK$2="(Todas)",COUNTIF(BASE[CODCIE1010],EPV_SARAMPION646670[[#This Row],[CIE-10]]),COUNTIFS(BASE[Cod.Establecimiento],$AK$2,BASE[CODCIE1010],EPV_SARAMPION646670[[#This Row],[CIE-10]]))</f>
        <v>0</v>
      </c>
      <c r="Z15" s="9">
        <f>SUM(EPV_SARAMPION646670[[#This Row],[D1]:[D6]])</f>
        <v>0</v>
      </c>
      <c r="AB15" s="4" t="s">
        <v>117</v>
      </c>
      <c r="AC15" s="3">
        <f>IF($AK$2="(Todas)",COUNTIF(BASE[CODCIE10],EPV_SARAMPION646671[[#This Row],[CIE-10]]),COUNTIFS(BASE[Cod.Establecimiento],$AK$2,BASE[CODCIE10],EPV_SARAMPION646671[[#This Row],[CIE-10]]))</f>
        <v>0</v>
      </c>
      <c r="AD15" s="3">
        <f>IF($AK$2="(Todas)",COUNTIF(BASE[CODCIE102],EPV_SARAMPION646671[[#This Row],[CIE-10]]),COUNTIFS(BASE[Cod.Establecimiento],$AK$2,BASE[CODCIE102],EPV_SARAMPION646671[[#This Row],[CIE-10]]))</f>
        <v>0</v>
      </c>
      <c r="AE15" s="3">
        <f>IF($AK$2="(Todas)",COUNTIF(BASE[CODCIE104],EPV_SARAMPION646671[[#This Row],[CIE-10]]),COUNTIFS(BASE[Cod.Establecimiento],$AK$2,BASE[CODCIE104],EPV_SARAMPION646671[[#This Row],[CIE-10]]))</f>
        <v>0</v>
      </c>
      <c r="AF15" s="3">
        <f>IF($AK$2="(Todas)",COUNTIF(BASE[CODCIE106],EPV_SARAMPION646671[[#This Row],[CIE-10]]),COUNTIFS(BASE[Cod.Establecimiento],$AK$2,BASE[CODCIE106],EPV_SARAMPION646671[[#This Row],[CIE-10]]))</f>
        <v>0</v>
      </c>
      <c r="AG15" s="3">
        <f>IF($AK$2="(Todas)",COUNTIF(BASE[CODCIE108],EPV_SARAMPION646671[[#This Row],[CIE-10]]),COUNTIFS(BASE[Cod.Establecimiento],$AK$2,BASE[CODCIE108],EPV_SARAMPION646671[[#This Row],[CIE-10]]))</f>
        <v>0</v>
      </c>
      <c r="AH15" s="3">
        <f>IF($AK$2="(Todas)",COUNTIF(BASE[CODCIE1010],EPV_SARAMPION646671[[#This Row],[CIE-10]]),COUNTIFS(BASE[Cod.Establecimiento],$AK$2,BASE[CODCIE1010],EPV_SARAMPION646671[[#This Row],[CIE-10]]))</f>
        <v>0</v>
      </c>
      <c r="AI15" s="9">
        <f>SUM(EPV_SARAMPION646671[[#This Row],[D1]:[D6]])</f>
        <v>0</v>
      </c>
      <c r="AJ15" s="151"/>
      <c r="AK15" s="151"/>
      <c r="AL15" s="69"/>
      <c r="AM15" s="69"/>
      <c r="AN15" s="69"/>
      <c r="AO15" s="69"/>
    </row>
    <row r="16" spans="1:41" ht="15" customHeight="1">
      <c r="A16" s="31" t="s">
        <v>320</v>
      </c>
      <c r="B16" s="3">
        <f>IF($AK$2="(Todas)",COUNTIF(BASE[CODCIE10],EPV_PARALISIS_FLACIDA_AGUDA62[[#This Row],[CIE-10]]),COUNTIFS(BASE[Cod.Establecimiento],$AK$2,BASE[CODCIE10],EPV_PARALISIS_FLACIDA_AGUDA62[[#This Row],[CIE-10]]))</f>
        <v>0</v>
      </c>
      <c r="C16" s="3">
        <f>IF($AK$2="(Todas)",COUNTIF(BASE[CODCIE102],EPV_PARALISIS_FLACIDA_AGUDA62[[#This Row],[CIE-10]]),COUNTIFS(BASE[Cod.Establecimiento],$AK$2,BASE[CODCIE102],EPV_PARALISIS_FLACIDA_AGUDA62[[#This Row],[CIE-10]]))</f>
        <v>0</v>
      </c>
      <c r="D16" s="3">
        <f>IF($AK$2="(Todas)",COUNTIF(BASE[CODCIE104],EPV_PARALISIS_FLACIDA_AGUDA62[[#This Row],[CIE-10]]),COUNTIFS(BASE[Cod.Establecimiento],$AK$2,BASE[CODCIE104],EPV_PARALISIS_FLACIDA_AGUDA62[[#This Row],[CIE-10]]))</f>
        <v>0</v>
      </c>
      <c r="E16" s="3">
        <f>IF($AK$2="(Todas)",COUNTIF(BASE[CODCIE106],EPV_PARALISIS_FLACIDA_AGUDA62[[#This Row],[CIE-10]]),COUNTIFS(BASE[Cod.Establecimiento],$AK$2,BASE[CODCIE106],EPV_PARALISIS_FLACIDA_AGUDA62[[#This Row],[CIE-10]]))</f>
        <v>0</v>
      </c>
      <c r="F16" s="3">
        <f>IF($AK$2="(Todas)",COUNTIF(BASE[CODCIE108],EPV_PARALISIS_FLACIDA_AGUDA62[[#This Row],[CIE-10]]),COUNTIFS(BASE[Cod.Establecimiento],$AK$2,BASE[CODCIE108],EPV_PARALISIS_FLACIDA_AGUDA62[[#This Row],[CIE-10]]))</f>
        <v>0</v>
      </c>
      <c r="G16" s="3">
        <f>IF($AK$2="(Todas)",COUNTIF(BASE[CODCIE1010],EPV_PARALISIS_FLACIDA_AGUDA62[[#This Row],[CIE-10]]),COUNTIFS(BASE[Cod.Establecimiento],$AK$2,BASE[CODCIE1010],EPV_PARALISIS_FLACIDA_AGUDA62[[#This Row],[CIE-10]]))</f>
        <v>0</v>
      </c>
      <c r="H16" s="66">
        <f>SUM(EPV_PARALISIS_FLACIDA_AGUDA62[[#This Row],[D1]:[D6]])</f>
        <v>0</v>
      </c>
      <c r="J16" s="2"/>
      <c r="K16" s="2"/>
      <c r="L16" s="2"/>
      <c r="M16" s="2"/>
      <c r="N16" s="2"/>
      <c r="O16" s="2"/>
      <c r="P16" s="2"/>
      <c r="AJ16" s="151"/>
      <c r="AK16" s="151"/>
      <c r="AL16" s="69"/>
      <c r="AM16" s="69"/>
      <c r="AN16" s="69"/>
      <c r="AO16" s="69"/>
    </row>
    <row r="17" spans="1:41" s="2" customFormat="1" ht="18" customHeight="1" thickBot="1">
      <c r="A17" s="31" t="s">
        <v>241</v>
      </c>
      <c r="B17" s="8">
        <f>IF($AK$2="(Todas)",COUNTIF(BASE[CODCIE10],EPV_PARALISIS_FLACIDA_AGUDA62[[#This Row],[CIE-10]]),COUNTIFS(BASE[Cod.Establecimiento],$AK$2,BASE[CODCIE10],EPV_PARALISIS_FLACIDA_AGUDA62[[#This Row],[CIE-10]]))</f>
        <v>0</v>
      </c>
      <c r="C17" s="8">
        <f>IF($AK$2="(Todas)",COUNTIF(BASE[CODCIE102],EPV_PARALISIS_FLACIDA_AGUDA62[[#This Row],[CIE-10]]),COUNTIFS(BASE[Cod.Establecimiento],$AK$2,BASE[CODCIE102],EPV_PARALISIS_FLACIDA_AGUDA62[[#This Row],[CIE-10]]))</f>
        <v>0</v>
      </c>
      <c r="D17" s="8">
        <f>IF($AK$2="(Todas)",COUNTIF(BASE[CODCIE104],EPV_PARALISIS_FLACIDA_AGUDA62[[#This Row],[CIE-10]]),COUNTIFS(BASE[Cod.Establecimiento],$AK$2,BASE[CODCIE104],EPV_PARALISIS_FLACIDA_AGUDA62[[#This Row],[CIE-10]]))</f>
        <v>0</v>
      </c>
      <c r="E17" s="8">
        <f>IF($AK$2="(Todas)",COUNTIF(BASE[CODCIE106],EPV_PARALISIS_FLACIDA_AGUDA62[[#This Row],[CIE-10]]),COUNTIFS(BASE[Cod.Establecimiento],$AK$2,BASE[CODCIE106],EPV_PARALISIS_FLACIDA_AGUDA62[[#This Row],[CIE-10]]))</f>
        <v>0</v>
      </c>
      <c r="F17" s="8">
        <f>IF($AK$2="(Todas)",COUNTIF(BASE[CODCIE108],EPV_PARALISIS_FLACIDA_AGUDA62[[#This Row],[CIE-10]]),COUNTIFS(BASE[Cod.Establecimiento],$AK$2,BASE[CODCIE108],EPV_PARALISIS_FLACIDA_AGUDA62[[#This Row],[CIE-10]]))</f>
        <v>0</v>
      </c>
      <c r="G17" s="8">
        <f>IF($AK$2="(Todas)",COUNTIF(BASE[CODCIE1010],EPV_PARALISIS_FLACIDA_AGUDA62[[#This Row],[CIE-10]]),COUNTIFS(BASE[Cod.Establecimiento],$AK$2,BASE[CODCIE1010],EPV_PARALISIS_FLACIDA_AGUDA62[[#This Row],[CIE-10]]))</f>
        <v>0</v>
      </c>
      <c r="H17" s="66">
        <f>SUM(EPV_PARALISIS_FLACIDA_AGUDA62[[#This Row],[D1]:[D6]])</f>
        <v>0</v>
      </c>
      <c r="J17" s="87" t="s">
        <v>341</v>
      </c>
      <c r="K17" s="87"/>
      <c r="L17" s="87"/>
      <c r="M17" s="87"/>
      <c r="N17" s="87"/>
      <c r="O17" s="87"/>
      <c r="P17" s="87"/>
      <c r="Q17" s="87"/>
      <c r="S17" s="87" t="s">
        <v>75</v>
      </c>
      <c r="T17" s="87"/>
      <c r="U17" s="87"/>
      <c r="V17" s="87"/>
      <c r="W17" s="87"/>
      <c r="X17" s="87"/>
      <c r="Y17" s="87"/>
      <c r="Z17" s="87"/>
      <c r="AB17" s="87" t="s">
        <v>347</v>
      </c>
      <c r="AC17" s="87"/>
      <c r="AD17" s="87"/>
      <c r="AE17" s="87"/>
      <c r="AF17" s="87"/>
      <c r="AG17" s="87"/>
      <c r="AH17" s="87"/>
      <c r="AI17" s="87"/>
      <c r="AJ17" s="151"/>
      <c r="AK17" s="151"/>
      <c r="AL17" s="69"/>
      <c r="AM17" s="69"/>
      <c r="AN17" s="69"/>
      <c r="AO17" s="69"/>
    </row>
    <row r="18" spans="1:41" s="2" customFormat="1" ht="15.75" customHeight="1" thickTop="1">
      <c r="A18" s="31" t="s">
        <v>321</v>
      </c>
      <c r="B18" s="8">
        <f>IF($AK$2="(Todas)",COUNTIF(BASE[CODCIE10],EPV_PARALISIS_FLACIDA_AGUDA62[[#This Row],[CIE-10]]),COUNTIFS(BASE[Cod.Establecimiento],$AK$2,BASE[CODCIE10],EPV_PARALISIS_FLACIDA_AGUDA62[[#This Row],[CIE-10]]))</f>
        <v>0</v>
      </c>
      <c r="C18" s="8">
        <f>IF($AK$2="(Todas)",COUNTIF(BASE[CODCIE102],EPV_PARALISIS_FLACIDA_AGUDA62[[#This Row],[CIE-10]]),COUNTIFS(BASE[Cod.Establecimiento],$AK$2,BASE[CODCIE102],EPV_PARALISIS_FLACIDA_AGUDA62[[#This Row],[CIE-10]]))</f>
        <v>0</v>
      </c>
      <c r="D18" s="8">
        <f>IF($AK$2="(Todas)",COUNTIF(BASE[CODCIE104],EPV_PARALISIS_FLACIDA_AGUDA62[[#This Row],[CIE-10]]),COUNTIFS(BASE[Cod.Establecimiento],$AK$2,BASE[CODCIE104],EPV_PARALISIS_FLACIDA_AGUDA62[[#This Row],[CIE-10]]))</f>
        <v>0</v>
      </c>
      <c r="E18" s="8">
        <f>IF($AK$2="(Todas)",COUNTIF(BASE[CODCIE106],EPV_PARALISIS_FLACIDA_AGUDA62[[#This Row],[CIE-10]]),COUNTIFS(BASE[Cod.Establecimiento],$AK$2,BASE[CODCIE106],EPV_PARALISIS_FLACIDA_AGUDA62[[#This Row],[CIE-10]]))</f>
        <v>0</v>
      </c>
      <c r="F18" s="8">
        <f>IF($AK$2="(Todas)",COUNTIF(BASE[CODCIE108],EPV_PARALISIS_FLACIDA_AGUDA62[[#This Row],[CIE-10]]),COUNTIFS(BASE[Cod.Establecimiento],$AK$2,BASE[CODCIE108],EPV_PARALISIS_FLACIDA_AGUDA62[[#This Row],[CIE-10]]))</f>
        <v>0</v>
      </c>
      <c r="G18" s="8">
        <f>IF($AK$2="(Todas)",COUNTIF(BASE[CODCIE1010],EPV_PARALISIS_FLACIDA_AGUDA62[[#This Row],[CIE-10]]),COUNTIFS(BASE[Cod.Establecimiento],$AK$2,BASE[CODCIE1010],EPV_PARALISIS_FLACIDA_AGUDA62[[#This Row],[CIE-10]]))</f>
        <v>0</v>
      </c>
      <c r="H18" s="66">
        <f>SUM(EPV_PARALISIS_FLACIDA_AGUDA62[[#This Row],[D1]:[D6]])</f>
        <v>0</v>
      </c>
      <c r="J18" s="6" t="str">
        <f>CONCATENATE("TOTAL: ",SUM(K18:P18))</f>
        <v>TOTAL: 0</v>
      </c>
      <c r="K18" s="5">
        <f>SUM(EPV_SARAMPION64666972[D1])</f>
        <v>0</v>
      </c>
      <c r="L18" s="5">
        <f>SUM(EPV_SARAMPION64666972[D2])</f>
        <v>0</v>
      </c>
      <c r="M18" s="5">
        <f>SUM(EPV_SARAMPION64666972[D3])</f>
        <v>0</v>
      </c>
      <c r="N18" s="5">
        <f>SUM(EPV_SARAMPION64666972[D4])</f>
        <v>0</v>
      </c>
      <c r="O18" s="5">
        <f>SUM(EPV_SARAMPION64666972[D5])</f>
        <v>0</v>
      </c>
      <c r="P18" s="5">
        <f>SUM(EPV_SARAMPION64666972[D6])</f>
        <v>0</v>
      </c>
      <c r="Q18" s="7"/>
      <c r="S18" s="6" t="str">
        <f>CONCATENATE("TOTAL: ",SUM(T18:Y18))</f>
        <v>TOTAL: 0</v>
      </c>
      <c r="T18" s="5">
        <f>SUM(EPV_SARAMPION6466697274[D1])</f>
        <v>0</v>
      </c>
      <c r="U18" s="5">
        <f>SUM(EPV_SARAMPION6466697274[D2])</f>
        <v>0</v>
      </c>
      <c r="V18" s="5">
        <f>SUM(EPV_SARAMPION6466697274[D3])</f>
        <v>0</v>
      </c>
      <c r="W18" s="5">
        <f>SUM(EPV_SARAMPION6466697274[D4])</f>
        <v>0</v>
      </c>
      <c r="X18" s="5">
        <f>SUM(EPV_SARAMPION6466697274[D5])</f>
        <v>0</v>
      </c>
      <c r="Y18" s="5">
        <f>SUM(EPV_SARAMPION6466697274[D6])</f>
        <v>0</v>
      </c>
      <c r="Z18" s="7"/>
      <c r="AB18" s="6" t="str">
        <f>CONCATENATE("TOTAL: ",SUM(AC18:AH18))</f>
        <v>TOTAL: 0</v>
      </c>
      <c r="AC18" s="5">
        <f>SUM(EPV_SARAMPION646669727475[D1])</f>
        <v>0</v>
      </c>
      <c r="AD18" s="5">
        <f>SUM(EPV_SARAMPION646669727475[D2])</f>
        <v>0</v>
      </c>
      <c r="AE18" s="5">
        <f>SUM(EPV_SARAMPION646669727475[D3])</f>
        <v>0</v>
      </c>
      <c r="AF18" s="5">
        <f>SUM(EPV_SARAMPION646669727475[D4])</f>
        <v>0</v>
      </c>
      <c r="AG18" s="5">
        <f>SUM(EPV_SARAMPION646669727475[D5])</f>
        <v>0</v>
      </c>
      <c r="AH18" s="5">
        <f>SUM(EPV_SARAMPION646669727475[D6])</f>
        <v>0</v>
      </c>
      <c r="AI18" s="7"/>
      <c r="AJ18" s="151"/>
      <c r="AK18" s="151"/>
      <c r="AL18" s="69"/>
      <c r="AM18" s="69"/>
      <c r="AN18" s="69"/>
      <c r="AO18" s="69"/>
    </row>
    <row r="19" spans="1:41" s="2" customFormat="1" ht="15" customHeight="1">
      <c r="A19" s="31" t="s">
        <v>322</v>
      </c>
      <c r="B19" s="8">
        <f>IF($AK$2="(Todas)",COUNTIF(BASE[CODCIE10],EPV_PARALISIS_FLACIDA_AGUDA62[[#This Row],[CIE-10]]),COUNTIFS(BASE[Cod.Establecimiento],$AK$2,BASE[CODCIE10],EPV_PARALISIS_FLACIDA_AGUDA62[[#This Row],[CIE-10]]))</f>
        <v>0</v>
      </c>
      <c r="C19" s="8">
        <f>IF($AK$2="(Todas)",COUNTIF(BASE[CODCIE102],EPV_PARALISIS_FLACIDA_AGUDA62[[#This Row],[CIE-10]]),COUNTIFS(BASE[Cod.Establecimiento],$AK$2,BASE[CODCIE102],EPV_PARALISIS_FLACIDA_AGUDA62[[#This Row],[CIE-10]]))</f>
        <v>0</v>
      </c>
      <c r="D19" s="8">
        <f>IF($AK$2="(Todas)",COUNTIF(BASE[CODCIE104],EPV_PARALISIS_FLACIDA_AGUDA62[[#This Row],[CIE-10]]),COUNTIFS(BASE[Cod.Establecimiento],$AK$2,BASE[CODCIE104],EPV_PARALISIS_FLACIDA_AGUDA62[[#This Row],[CIE-10]]))</f>
        <v>0</v>
      </c>
      <c r="E19" s="8">
        <f>IF($AK$2="(Todas)",COUNTIF(BASE[CODCIE106],EPV_PARALISIS_FLACIDA_AGUDA62[[#This Row],[CIE-10]]),COUNTIFS(BASE[Cod.Establecimiento],$AK$2,BASE[CODCIE106],EPV_PARALISIS_FLACIDA_AGUDA62[[#This Row],[CIE-10]]))</f>
        <v>0</v>
      </c>
      <c r="F19" s="8">
        <f>IF($AK$2="(Todas)",COUNTIF(BASE[CODCIE108],EPV_PARALISIS_FLACIDA_AGUDA62[[#This Row],[CIE-10]]),COUNTIFS(BASE[Cod.Establecimiento],$AK$2,BASE[CODCIE108],EPV_PARALISIS_FLACIDA_AGUDA62[[#This Row],[CIE-10]]))</f>
        <v>0</v>
      </c>
      <c r="G19" s="8">
        <f>IF($AK$2="(Todas)",COUNTIF(BASE[CODCIE1010],EPV_PARALISIS_FLACIDA_AGUDA62[[#This Row],[CIE-10]]),COUNTIFS(BASE[Cod.Establecimiento],$AK$2,BASE[CODCIE1010],EPV_PARALISIS_FLACIDA_AGUDA62[[#This Row],[CIE-10]]))</f>
        <v>0</v>
      </c>
      <c r="H19" s="66">
        <f>SUM(EPV_PARALISIS_FLACIDA_AGUDA62[[#This Row],[D1]:[D6]])</f>
        <v>0</v>
      </c>
      <c r="J19" t="s">
        <v>77</v>
      </c>
      <c r="K19" s="3" t="s">
        <v>78</v>
      </c>
      <c r="L19" s="3" t="s">
        <v>79</v>
      </c>
      <c r="M19" s="3" t="s">
        <v>80</v>
      </c>
      <c r="N19" s="3" t="s">
        <v>81</v>
      </c>
      <c r="O19" s="3" t="s">
        <v>82</v>
      </c>
      <c r="P19" s="3" t="s">
        <v>83</v>
      </c>
      <c r="Q19" s="8" t="s">
        <v>84</v>
      </c>
      <c r="S19" t="s">
        <v>77</v>
      </c>
      <c r="T19" s="3" t="s">
        <v>78</v>
      </c>
      <c r="U19" s="3" t="s">
        <v>79</v>
      </c>
      <c r="V19" s="3" t="s">
        <v>80</v>
      </c>
      <c r="W19" s="3" t="s">
        <v>81</v>
      </c>
      <c r="X19" s="3" t="s">
        <v>82</v>
      </c>
      <c r="Y19" s="3" t="s">
        <v>83</v>
      </c>
      <c r="Z19" s="8" t="s">
        <v>84</v>
      </c>
      <c r="AB19" t="s">
        <v>77</v>
      </c>
      <c r="AC19" s="3" t="s">
        <v>78</v>
      </c>
      <c r="AD19" s="3" t="s">
        <v>79</v>
      </c>
      <c r="AE19" s="3" t="s">
        <v>80</v>
      </c>
      <c r="AF19" s="3" t="s">
        <v>81</v>
      </c>
      <c r="AG19" s="3" t="s">
        <v>82</v>
      </c>
      <c r="AH19" s="3" t="s">
        <v>83</v>
      </c>
      <c r="AI19" s="8" t="s">
        <v>84</v>
      </c>
      <c r="AJ19" s="151"/>
      <c r="AK19" s="151"/>
      <c r="AL19" s="69"/>
      <c r="AM19" s="69"/>
      <c r="AN19" s="69"/>
      <c r="AO19" s="69"/>
    </row>
    <row r="20" spans="1:41" s="2" customFormat="1" ht="15" customHeight="1">
      <c r="A20" s="31" t="s">
        <v>323</v>
      </c>
      <c r="B20" s="8">
        <f>IF($AK$2="(Todas)",COUNTIF(BASE[CODCIE10],EPV_PARALISIS_FLACIDA_AGUDA62[[#This Row],[CIE-10]]),COUNTIFS(BASE[Cod.Establecimiento],$AK$2,BASE[CODCIE10],EPV_PARALISIS_FLACIDA_AGUDA62[[#This Row],[CIE-10]]))</f>
        <v>0</v>
      </c>
      <c r="C20" s="8">
        <f>IF($AK$2="(Todas)",COUNTIF(BASE[CODCIE102],EPV_PARALISIS_FLACIDA_AGUDA62[[#This Row],[CIE-10]]),COUNTIFS(BASE[Cod.Establecimiento],$AK$2,BASE[CODCIE102],EPV_PARALISIS_FLACIDA_AGUDA62[[#This Row],[CIE-10]]))</f>
        <v>0</v>
      </c>
      <c r="D20" s="8">
        <f>IF($AK$2="(Todas)",COUNTIF(BASE[CODCIE104],EPV_PARALISIS_FLACIDA_AGUDA62[[#This Row],[CIE-10]]),COUNTIFS(BASE[Cod.Establecimiento],$AK$2,BASE[CODCIE104],EPV_PARALISIS_FLACIDA_AGUDA62[[#This Row],[CIE-10]]))</f>
        <v>0</v>
      </c>
      <c r="E20" s="8">
        <f>IF($AK$2="(Todas)",COUNTIF(BASE[CODCIE106],EPV_PARALISIS_FLACIDA_AGUDA62[[#This Row],[CIE-10]]),COUNTIFS(BASE[Cod.Establecimiento],$AK$2,BASE[CODCIE106],EPV_PARALISIS_FLACIDA_AGUDA62[[#This Row],[CIE-10]]))</f>
        <v>0</v>
      </c>
      <c r="F20" s="8">
        <f>IF($AK$2="(Todas)",COUNTIF(BASE[CODCIE108],EPV_PARALISIS_FLACIDA_AGUDA62[[#This Row],[CIE-10]]),COUNTIFS(BASE[Cod.Establecimiento],$AK$2,BASE[CODCIE108],EPV_PARALISIS_FLACIDA_AGUDA62[[#This Row],[CIE-10]]))</f>
        <v>0</v>
      </c>
      <c r="G20" s="8">
        <f>IF($AK$2="(Todas)",COUNTIF(BASE[CODCIE1010],EPV_PARALISIS_FLACIDA_AGUDA62[[#This Row],[CIE-10]]),COUNTIFS(BASE[Cod.Establecimiento],$AK$2,BASE[CODCIE1010],EPV_PARALISIS_FLACIDA_AGUDA62[[#This Row],[CIE-10]]))</f>
        <v>0</v>
      </c>
      <c r="H20" s="66">
        <f>SUM(EPV_PARALISIS_FLACIDA_AGUDA62[[#This Row],[D1]:[D6]])</f>
        <v>0</v>
      </c>
      <c r="J20" s="4" t="s">
        <v>342</v>
      </c>
      <c r="K20" s="3">
        <f>IF($AK$2="(Todas)",COUNTIF(BASE[CODCIE10],EPV_SARAMPION64666972[[#This Row],[CIE-10]]),COUNTIFS(BASE[Cod.Establecimiento],$AK$2,BASE[CODCIE10],EPV_SARAMPION64666972[[#This Row],[CIE-10]]))</f>
        <v>0</v>
      </c>
      <c r="L20" s="3">
        <f>IF($AK$2="(Todas)",COUNTIF(BASE[CODCIE102],EPV_SARAMPION64666972[[#This Row],[CIE-10]]),COUNTIFS(BASE[Cod.Establecimiento],$AK$2,BASE[CODCIE102],EPV_SARAMPION64666972[[#This Row],[CIE-10]]))</f>
        <v>0</v>
      </c>
      <c r="M20" s="3">
        <f>IF($AK$2="(Todas)",COUNTIF(BASE[CODCIE104],EPV_SARAMPION64666972[[#This Row],[CIE-10]]),COUNTIFS(BASE[Cod.Establecimiento],$AK$2,BASE[CODCIE104],EPV_SARAMPION64666972[[#This Row],[CIE-10]]))</f>
        <v>0</v>
      </c>
      <c r="N20" s="3">
        <f>IF($AK$2="(Todas)",COUNTIF(BASE[CODCIE106],EPV_SARAMPION64666972[[#This Row],[CIE-10]]),COUNTIFS(BASE[Cod.Establecimiento],$AK$2,BASE[CODCIE106],EPV_SARAMPION64666972[[#This Row],[CIE-10]]))</f>
        <v>0</v>
      </c>
      <c r="O20" s="3">
        <f>IF($AK$2="(Todas)",COUNTIF(BASE[CODCIE108],EPV_SARAMPION64666972[[#This Row],[CIE-10]]),COUNTIFS(BASE[Cod.Establecimiento],$AK$2,BASE[CODCIE108],EPV_SARAMPION64666972[[#This Row],[CIE-10]]))</f>
        <v>0</v>
      </c>
      <c r="P20" s="3">
        <f>IF($AK$2="(Todas)",COUNTIF(BASE[CODCIE1010],EPV_SARAMPION64666972[[#This Row],[CIE-10]]),COUNTIFS(BASE[Cod.Establecimiento],$AK$2,BASE[CODCIE1010],EPV_SARAMPION64666972[[#This Row],[CIE-10]]))</f>
        <v>0</v>
      </c>
      <c r="Q20" s="9">
        <f>SUM(EPV_SARAMPION64666972[[#This Row],[D1]:[D6]])</f>
        <v>0</v>
      </c>
      <c r="S20" s="4" t="s">
        <v>346</v>
      </c>
      <c r="T20" s="3">
        <f>IF($AK$2="(Todas)",COUNTIF(BASE[CODCIE10],EPV_SARAMPION6466697274[[#This Row],[CIE-10]]),COUNTIFS(BASE[Cod.Establecimiento],$AK$2,BASE[CODCIE10],EPV_SARAMPION6466697274[[#This Row],[CIE-10]]))</f>
        <v>0</v>
      </c>
      <c r="U20" s="3">
        <f>IF($AK$2="(Todas)",COUNTIF(BASE[CODCIE102],EPV_SARAMPION6466697274[[#This Row],[CIE-10]]),COUNTIFS(BASE[Cod.Establecimiento],$AK$2,BASE[CODCIE102],EPV_SARAMPION6466697274[[#This Row],[CIE-10]]))</f>
        <v>0</v>
      </c>
      <c r="V20" s="3">
        <f>IF($AK$2="(Todas)",COUNTIF(BASE[CODCIE104],EPV_SARAMPION6466697274[[#This Row],[CIE-10]]),COUNTIFS(BASE[Cod.Establecimiento],$AK$2,BASE[CODCIE104],EPV_SARAMPION6466697274[[#This Row],[CIE-10]]))</f>
        <v>0</v>
      </c>
      <c r="W20" s="3">
        <f>IF($AK$2="(Todas)",COUNTIF(BASE[CODCIE106],EPV_SARAMPION6466697274[[#This Row],[CIE-10]]),COUNTIFS(BASE[Cod.Establecimiento],$AK$2,BASE[CODCIE106],EPV_SARAMPION6466697274[[#This Row],[CIE-10]]))</f>
        <v>0</v>
      </c>
      <c r="X20" s="3">
        <f>IF($AK$2="(Todas)",COUNTIF(BASE[CODCIE108],EPV_SARAMPION6466697274[[#This Row],[CIE-10]]),COUNTIFS(BASE[Cod.Establecimiento],$AK$2,BASE[CODCIE108],EPV_SARAMPION6466697274[[#This Row],[CIE-10]]))</f>
        <v>0</v>
      </c>
      <c r="Y20" s="3">
        <f>IF($AK$2="(Todas)",COUNTIF(BASE[CODCIE1010],EPV_SARAMPION6466697274[[#This Row],[CIE-10]]),COUNTIFS(BASE[Cod.Establecimiento],$AK$2,BASE[CODCIE1010],EPV_SARAMPION6466697274[[#This Row],[CIE-10]]))</f>
        <v>0</v>
      </c>
      <c r="Z20" s="9">
        <f>SUM(EPV_SARAMPION6466697274[[#This Row],[D1]:[D6]])</f>
        <v>0</v>
      </c>
      <c r="AB20" s="4" t="s">
        <v>348</v>
      </c>
      <c r="AC20" s="3">
        <f>IF($AK$2="(Todas)",COUNTIF(BASE[CODCIE10],EPV_SARAMPION646669727475[[#This Row],[CIE-10]]),COUNTIFS(BASE[Cod.Establecimiento],$AK$2,BASE[CODCIE10],EPV_SARAMPION646669727475[[#This Row],[CIE-10]]))</f>
        <v>0</v>
      </c>
      <c r="AD20" s="3">
        <f>IF($AK$2="(Todas)",COUNTIF(BASE[CODCIE102],EPV_SARAMPION646669727475[[#This Row],[CIE-10]]),COUNTIFS(BASE[Cod.Establecimiento],$AK$2,BASE[CODCIE102],EPV_SARAMPION646669727475[[#This Row],[CIE-10]]))</f>
        <v>0</v>
      </c>
      <c r="AE20" s="3">
        <f>IF($AK$2="(Todas)",COUNTIF(BASE[CODCIE104],EPV_SARAMPION646669727475[[#This Row],[CIE-10]]),COUNTIFS(BASE[Cod.Establecimiento],$AK$2,BASE[CODCIE104],EPV_SARAMPION646669727475[[#This Row],[CIE-10]]))</f>
        <v>0</v>
      </c>
      <c r="AF20" s="3">
        <f>IF($AK$2="(Todas)",COUNTIF(BASE[CODCIE106],EPV_SARAMPION646669727475[[#This Row],[CIE-10]]),COUNTIFS(BASE[Cod.Establecimiento],$AK$2,BASE[CODCIE106],EPV_SARAMPION646669727475[[#This Row],[CIE-10]]))</f>
        <v>0</v>
      </c>
      <c r="AG20" s="3">
        <f>IF($AK$2="(Todas)",COUNTIF(BASE[CODCIE108],EPV_SARAMPION646669727475[[#This Row],[CIE-10]]),COUNTIFS(BASE[Cod.Establecimiento],$AK$2,BASE[CODCIE108],EPV_SARAMPION646669727475[[#This Row],[CIE-10]]))</f>
        <v>0</v>
      </c>
      <c r="AH20" s="3">
        <f>IF($AK$2="(Todas)",COUNTIF(BASE[CODCIE1010],EPV_SARAMPION646669727475[[#This Row],[CIE-10]]),COUNTIFS(BASE[Cod.Establecimiento],$AK$2,BASE[CODCIE1010],EPV_SARAMPION646669727475[[#This Row],[CIE-10]]))</f>
        <v>0</v>
      </c>
      <c r="AI20" s="9">
        <f>SUM(EPV_SARAMPION646669727475[[#This Row],[D1]:[D6]])</f>
        <v>0</v>
      </c>
      <c r="AJ20" s="151"/>
      <c r="AK20" s="151"/>
      <c r="AL20" s="69"/>
      <c r="AM20" s="69"/>
      <c r="AN20" s="69"/>
      <c r="AO20" s="69"/>
    </row>
    <row r="21" spans="1:41" s="2" customFormat="1" ht="15" customHeight="1">
      <c r="A21" s="31" t="s">
        <v>324</v>
      </c>
      <c r="B21" s="8">
        <f>IF($AK$2="(Todas)",COUNTIF(BASE[CODCIE10],EPV_PARALISIS_FLACIDA_AGUDA62[[#This Row],[CIE-10]]),COUNTIFS(BASE[Cod.Establecimiento],$AK$2,BASE[CODCIE10],EPV_PARALISIS_FLACIDA_AGUDA62[[#This Row],[CIE-10]]))</f>
        <v>0</v>
      </c>
      <c r="C21" s="8">
        <f>IF($AK$2="(Todas)",COUNTIF(BASE[CODCIE102],EPV_PARALISIS_FLACIDA_AGUDA62[[#This Row],[CIE-10]]),COUNTIFS(BASE[Cod.Establecimiento],$AK$2,BASE[CODCIE102],EPV_PARALISIS_FLACIDA_AGUDA62[[#This Row],[CIE-10]]))</f>
        <v>0</v>
      </c>
      <c r="D21" s="8">
        <f>IF($AK$2="(Todas)",COUNTIF(BASE[CODCIE104],EPV_PARALISIS_FLACIDA_AGUDA62[[#This Row],[CIE-10]]),COUNTIFS(BASE[Cod.Establecimiento],$AK$2,BASE[CODCIE104],EPV_PARALISIS_FLACIDA_AGUDA62[[#This Row],[CIE-10]]))</f>
        <v>0</v>
      </c>
      <c r="E21" s="8">
        <f>IF($AK$2="(Todas)",COUNTIF(BASE[CODCIE106],EPV_PARALISIS_FLACIDA_AGUDA62[[#This Row],[CIE-10]]),COUNTIFS(BASE[Cod.Establecimiento],$AK$2,BASE[CODCIE106],EPV_PARALISIS_FLACIDA_AGUDA62[[#This Row],[CIE-10]]))</f>
        <v>0</v>
      </c>
      <c r="F21" s="8">
        <f>IF($AK$2="(Todas)",COUNTIF(BASE[CODCIE108],EPV_PARALISIS_FLACIDA_AGUDA62[[#This Row],[CIE-10]]),COUNTIFS(BASE[Cod.Establecimiento],$AK$2,BASE[CODCIE108],EPV_PARALISIS_FLACIDA_AGUDA62[[#This Row],[CIE-10]]))</f>
        <v>0</v>
      </c>
      <c r="G21" s="8">
        <f>IF($AK$2="(Todas)",COUNTIF(BASE[CODCIE1010],EPV_PARALISIS_FLACIDA_AGUDA62[[#This Row],[CIE-10]]),COUNTIFS(BASE[Cod.Establecimiento],$AK$2,BASE[CODCIE1010],EPV_PARALISIS_FLACIDA_AGUDA62[[#This Row],[CIE-10]]))</f>
        <v>0</v>
      </c>
      <c r="H21" s="66">
        <f>SUM(EPV_PARALISIS_FLACIDA_AGUDA62[[#This Row],[D1]:[D6]])</f>
        <v>0</v>
      </c>
      <c r="J21"/>
      <c r="K21"/>
      <c r="L21"/>
      <c r="M21"/>
      <c r="N21"/>
      <c r="O21"/>
      <c r="P21"/>
      <c r="AJ21" s="151"/>
      <c r="AK21" s="151"/>
      <c r="AL21" s="69"/>
      <c r="AM21" s="69"/>
      <c r="AN21" s="69"/>
      <c r="AO21" s="69"/>
    </row>
    <row r="22" spans="1:41" s="2" customFormat="1" ht="18" customHeight="1" thickBot="1">
      <c r="A22" s="31" t="s">
        <v>325</v>
      </c>
      <c r="B22" s="8">
        <f>IF($AK$2="(Todas)",COUNTIF(BASE[CODCIE10],EPV_PARALISIS_FLACIDA_AGUDA62[[#This Row],[CIE-10]]),COUNTIFS(BASE[Cod.Establecimiento],$AK$2,BASE[CODCIE10],EPV_PARALISIS_FLACIDA_AGUDA62[[#This Row],[CIE-10]]))</f>
        <v>0</v>
      </c>
      <c r="C22" s="8">
        <f>IF($AK$2="(Todas)",COUNTIF(BASE[CODCIE102],EPV_PARALISIS_FLACIDA_AGUDA62[[#This Row],[CIE-10]]),COUNTIFS(BASE[Cod.Establecimiento],$AK$2,BASE[CODCIE102],EPV_PARALISIS_FLACIDA_AGUDA62[[#This Row],[CIE-10]]))</f>
        <v>0</v>
      </c>
      <c r="D22" s="8">
        <f>IF($AK$2="(Todas)",COUNTIF(BASE[CODCIE104],EPV_PARALISIS_FLACIDA_AGUDA62[[#This Row],[CIE-10]]),COUNTIFS(BASE[Cod.Establecimiento],$AK$2,BASE[CODCIE104],EPV_PARALISIS_FLACIDA_AGUDA62[[#This Row],[CIE-10]]))</f>
        <v>0</v>
      </c>
      <c r="E22" s="8">
        <f>IF($AK$2="(Todas)",COUNTIF(BASE[CODCIE106],EPV_PARALISIS_FLACIDA_AGUDA62[[#This Row],[CIE-10]]),COUNTIFS(BASE[Cod.Establecimiento],$AK$2,BASE[CODCIE106],EPV_PARALISIS_FLACIDA_AGUDA62[[#This Row],[CIE-10]]))</f>
        <v>0</v>
      </c>
      <c r="F22" s="8">
        <f>IF($AK$2="(Todas)",COUNTIF(BASE[CODCIE108],EPV_PARALISIS_FLACIDA_AGUDA62[[#This Row],[CIE-10]]),COUNTIFS(BASE[Cod.Establecimiento],$AK$2,BASE[CODCIE108],EPV_PARALISIS_FLACIDA_AGUDA62[[#This Row],[CIE-10]]))</f>
        <v>0</v>
      </c>
      <c r="G22" s="8">
        <f>IF($AK$2="(Todas)",COUNTIF(BASE[CODCIE1010],EPV_PARALISIS_FLACIDA_AGUDA62[[#This Row],[CIE-10]]),COUNTIFS(BASE[Cod.Establecimiento],$AK$2,BASE[CODCIE1010],EPV_PARALISIS_FLACIDA_AGUDA62[[#This Row],[CIE-10]]))</f>
        <v>0</v>
      </c>
      <c r="H22" s="66">
        <f>SUM(EPV_PARALISIS_FLACIDA_AGUDA62[[#This Row],[D1]:[D6]])</f>
        <v>0</v>
      </c>
      <c r="J22" s="87" t="s">
        <v>344</v>
      </c>
      <c r="K22" s="87"/>
      <c r="L22" s="87"/>
      <c r="M22" s="87"/>
      <c r="N22" s="87"/>
      <c r="O22" s="87"/>
      <c r="P22" s="87"/>
      <c r="Q22" s="87"/>
      <c r="S22" s="87" t="s">
        <v>349</v>
      </c>
      <c r="T22" s="87"/>
      <c r="U22" s="87"/>
      <c r="V22" s="87"/>
      <c r="W22" s="87"/>
      <c r="X22" s="87"/>
      <c r="Y22" s="87"/>
      <c r="Z22" s="87"/>
      <c r="AB22" s="87" t="s">
        <v>353</v>
      </c>
      <c r="AC22" s="87"/>
      <c r="AD22" s="87"/>
      <c r="AE22" s="87"/>
      <c r="AF22" s="87"/>
      <c r="AG22" s="87"/>
      <c r="AH22" s="87"/>
      <c r="AI22" s="87"/>
      <c r="AJ22" s="151"/>
      <c r="AK22" s="151"/>
      <c r="AL22" s="69"/>
      <c r="AM22" s="69"/>
      <c r="AN22" s="69"/>
      <c r="AO22" s="69"/>
    </row>
    <row r="23" spans="1:41" s="2" customFormat="1" ht="15.75" customHeight="1" thickTop="1">
      <c r="A23" s="31" t="s">
        <v>326</v>
      </c>
      <c r="B23" s="8">
        <f>IF($AK$2="(Todas)",COUNTIF(BASE[CODCIE10],EPV_PARALISIS_FLACIDA_AGUDA62[[#This Row],[CIE-10]]),COUNTIFS(BASE[Cod.Establecimiento],$AK$2,BASE[CODCIE10],EPV_PARALISIS_FLACIDA_AGUDA62[[#This Row],[CIE-10]]))</f>
        <v>0</v>
      </c>
      <c r="C23" s="8">
        <f>IF($AK$2="(Todas)",COUNTIF(BASE[CODCIE102],EPV_PARALISIS_FLACIDA_AGUDA62[[#This Row],[CIE-10]]),COUNTIFS(BASE[Cod.Establecimiento],$AK$2,BASE[CODCIE102],EPV_PARALISIS_FLACIDA_AGUDA62[[#This Row],[CIE-10]]))</f>
        <v>0</v>
      </c>
      <c r="D23" s="8">
        <f>IF($AK$2="(Todas)",COUNTIF(BASE[CODCIE104],EPV_PARALISIS_FLACIDA_AGUDA62[[#This Row],[CIE-10]]),COUNTIFS(BASE[Cod.Establecimiento],$AK$2,BASE[CODCIE104],EPV_PARALISIS_FLACIDA_AGUDA62[[#This Row],[CIE-10]]))</f>
        <v>0</v>
      </c>
      <c r="E23" s="8">
        <f>IF($AK$2="(Todas)",COUNTIF(BASE[CODCIE106],EPV_PARALISIS_FLACIDA_AGUDA62[[#This Row],[CIE-10]]),COUNTIFS(BASE[Cod.Establecimiento],$AK$2,BASE[CODCIE106],EPV_PARALISIS_FLACIDA_AGUDA62[[#This Row],[CIE-10]]))</f>
        <v>0</v>
      </c>
      <c r="F23" s="8">
        <f>IF($AK$2="(Todas)",COUNTIF(BASE[CODCIE108],EPV_PARALISIS_FLACIDA_AGUDA62[[#This Row],[CIE-10]]),COUNTIFS(BASE[Cod.Establecimiento],$AK$2,BASE[CODCIE108],EPV_PARALISIS_FLACIDA_AGUDA62[[#This Row],[CIE-10]]))</f>
        <v>0</v>
      </c>
      <c r="G23" s="8">
        <f>IF($AK$2="(Todas)",COUNTIF(BASE[CODCIE1010],EPV_PARALISIS_FLACIDA_AGUDA62[[#This Row],[CIE-10]]),COUNTIFS(BASE[Cod.Establecimiento],$AK$2,BASE[CODCIE1010],EPV_PARALISIS_FLACIDA_AGUDA62[[#This Row],[CIE-10]]))</f>
        <v>0</v>
      </c>
      <c r="H23" s="66">
        <f>SUM(EPV_PARALISIS_FLACIDA_AGUDA62[[#This Row],[D1]:[D6]])</f>
        <v>0</v>
      </c>
      <c r="J23" s="6" t="str">
        <f>CONCATENATE("TOTAL: ",SUM(K23:P23))</f>
        <v>TOTAL: 0</v>
      </c>
      <c r="K23" s="5">
        <f>SUM(EPV_SARAMPION6466697273[D1])</f>
        <v>0</v>
      </c>
      <c r="L23" s="5">
        <f>SUM(EPV_SARAMPION6466697273[D2])</f>
        <v>0</v>
      </c>
      <c r="M23" s="5">
        <f>SUM(EPV_SARAMPION6466697273[D3])</f>
        <v>0</v>
      </c>
      <c r="N23" s="5">
        <f>SUM(EPV_SARAMPION6466697273[D4])</f>
        <v>0</v>
      </c>
      <c r="O23" s="5">
        <f>SUM(EPV_SARAMPION6466697273[D5])</f>
        <v>0</v>
      </c>
      <c r="P23" s="5">
        <f>SUM(EPV_SARAMPION6466697273[D6])</f>
        <v>0</v>
      </c>
      <c r="Q23" s="7"/>
      <c r="S23" s="6" t="str">
        <f>CONCATENATE("TOTAL: ",SUM(T23:Y23))</f>
        <v>TOTAL: 0</v>
      </c>
      <c r="T23" s="5">
        <f>SUM(EPV_SARAMPION646669727376[D1])</f>
        <v>0</v>
      </c>
      <c r="U23" s="5">
        <f>SUM(EPV_SARAMPION646669727376[D2])</f>
        <v>0</v>
      </c>
      <c r="V23" s="5">
        <f>SUM(EPV_SARAMPION646669727376[D3])</f>
        <v>0</v>
      </c>
      <c r="W23" s="5">
        <f>SUM(EPV_SARAMPION646669727376[D4])</f>
        <v>0</v>
      </c>
      <c r="X23" s="5">
        <f>SUM(EPV_SARAMPION646669727376[D5])</f>
        <v>0</v>
      </c>
      <c r="Y23" s="5">
        <f>SUM(EPV_SARAMPION646669727376[D6])</f>
        <v>0</v>
      </c>
      <c r="Z23" s="7"/>
      <c r="AB23" s="6" t="str">
        <f>CONCATENATE("TOTAL: ",SUM(AC23:AH23))</f>
        <v>TOTAL: 0</v>
      </c>
      <c r="AC23" s="5">
        <f>SUM(EPV_SARAMPION64666972737677[D1])</f>
        <v>0</v>
      </c>
      <c r="AD23" s="5">
        <f>SUM(EPV_SARAMPION64666972737677[D2])</f>
        <v>0</v>
      </c>
      <c r="AE23" s="5">
        <f>SUM(EPV_SARAMPION64666972737677[D3])</f>
        <v>0</v>
      </c>
      <c r="AF23" s="5">
        <f>SUM(EPV_SARAMPION64666972737677[D4])</f>
        <v>0</v>
      </c>
      <c r="AG23" s="5">
        <f>SUM(EPV_SARAMPION64666972737677[D5])</f>
        <v>0</v>
      </c>
      <c r="AH23" s="5">
        <f>SUM(EPV_SARAMPION64666972737677[D6])</f>
        <v>0</v>
      </c>
      <c r="AI23" s="7"/>
      <c r="AJ23" s="151"/>
      <c r="AK23" s="151"/>
      <c r="AL23" s="69"/>
      <c r="AM23" s="69"/>
      <c r="AN23" s="69"/>
      <c r="AO23" s="69"/>
    </row>
    <row r="24" spans="1:41" s="2" customFormat="1" ht="15" customHeight="1">
      <c r="A24" s="31" t="s">
        <v>327</v>
      </c>
      <c r="B24" s="8">
        <f>IF($AK$2="(Todas)",COUNTIF(BASE[CODCIE10],EPV_PARALISIS_FLACIDA_AGUDA62[[#This Row],[CIE-10]]),COUNTIFS(BASE[Cod.Establecimiento],$AK$2,BASE[CODCIE10],EPV_PARALISIS_FLACIDA_AGUDA62[[#This Row],[CIE-10]]))</f>
        <v>0</v>
      </c>
      <c r="C24" s="8">
        <f>IF($AK$2="(Todas)",COUNTIF(BASE[CODCIE102],EPV_PARALISIS_FLACIDA_AGUDA62[[#This Row],[CIE-10]]),COUNTIFS(BASE[Cod.Establecimiento],$AK$2,BASE[CODCIE102],EPV_PARALISIS_FLACIDA_AGUDA62[[#This Row],[CIE-10]]))</f>
        <v>0</v>
      </c>
      <c r="D24" s="8">
        <f>IF($AK$2="(Todas)",COUNTIF(BASE[CODCIE104],EPV_PARALISIS_FLACIDA_AGUDA62[[#This Row],[CIE-10]]),COUNTIFS(BASE[Cod.Establecimiento],$AK$2,BASE[CODCIE104],EPV_PARALISIS_FLACIDA_AGUDA62[[#This Row],[CIE-10]]))</f>
        <v>0</v>
      </c>
      <c r="E24" s="8">
        <f>IF($AK$2="(Todas)",COUNTIF(BASE[CODCIE106],EPV_PARALISIS_FLACIDA_AGUDA62[[#This Row],[CIE-10]]),COUNTIFS(BASE[Cod.Establecimiento],$AK$2,BASE[CODCIE106],EPV_PARALISIS_FLACIDA_AGUDA62[[#This Row],[CIE-10]]))</f>
        <v>0</v>
      </c>
      <c r="F24" s="8">
        <f>IF($AK$2="(Todas)",COUNTIF(BASE[CODCIE108],EPV_PARALISIS_FLACIDA_AGUDA62[[#This Row],[CIE-10]]),COUNTIFS(BASE[Cod.Establecimiento],$AK$2,BASE[CODCIE108],EPV_PARALISIS_FLACIDA_AGUDA62[[#This Row],[CIE-10]]))</f>
        <v>0</v>
      </c>
      <c r="G24" s="8">
        <f>IF($AK$2="(Todas)",COUNTIF(BASE[CODCIE1010],EPV_PARALISIS_FLACIDA_AGUDA62[[#This Row],[CIE-10]]),COUNTIFS(BASE[Cod.Establecimiento],$AK$2,BASE[CODCIE1010],EPV_PARALISIS_FLACIDA_AGUDA62[[#This Row],[CIE-10]]))</f>
        <v>0</v>
      </c>
      <c r="H24" s="66">
        <f>SUM(EPV_PARALISIS_FLACIDA_AGUDA62[[#This Row],[D1]:[D6]])</f>
        <v>0</v>
      </c>
      <c r="J24" t="s">
        <v>77</v>
      </c>
      <c r="K24" s="3" t="s">
        <v>78</v>
      </c>
      <c r="L24" s="3" t="s">
        <v>79</v>
      </c>
      <c r="M24" s="3" t="s">
        <v>80</v>
      </c>
      <c r="N24" s="3" t="s">
        <v>81</v>
      </c>
      <c r="O24" s="3" t="s">
        <v>82</v>
      </c>
      <c r="P24" s="3" t="s">
        <v>83</v>
      </c>
      <c r="Q24" s="8" t="s">
        <v>84</v>
      </c>
      <c r="S24" t="s">
        <v>77</v>
      </c>
      <c r="T24" s="3" t="s">
        <v>78</v>
      </c>
      <c r="U24" s="3" t="s">
        <v>79</v>
      </c>
      <c r="V24" s="3" t="s">
        <v>80</v>
      </c>
      <c r="W24" s="3" t="s">
        <v>81</v>
      </c>
      <c r="X24" s="3" t="s">
        <v>82</v>
      </c>
      <c r="Y24" s="3" t="s">
        <v>83</v>
      </c>
      <c r="Z24" s="8" t="s">
        <v>84</v>
      </c>
      <c r="AB24" t="s">
        <v>77</v>
      </c>
      <c r="AC24" s="3" t="s">
        <v>78</v>
      </c>
      <c r="AD24" s="3" t="s">
        <v>79</v>
      </c>
      <c r="AE24" s="3" t="s">
        <v>80</v>
      </c>
      <c r="AF24" s="3" t="s">
        <v>81</v>
      </c>
      <c r="AG24" s="3" t="s">
        <v>82</v>
      </c>
      <c r="AH24" s="3" t="s">
        <v>83</v>
      </c>
      <c r="AI24" s="8" t="s">
        <v>84</v>
      </c>
      <c r="AJ24" s="151"/>
      <c r="AK24" s="151"/>
      <c r="AL24" s="69"/>
      <c r="AM24" s="69"/>
      <c r="AN24" s="69"/>
      <c r="AO24" s="69"/>
    </row>
    <row r="25" spans="1:41" ht="15" customHeight="1">
      <c r="J25" s="4" t="s">
        <v>343</v>
      </c>
      <c r="K25" s="3">
        <f>IF($AK$2="(Todas)",COUNTIF(BASE[CODCIE10],EPV_SARAMPION6466697273[[#This Row],[CIE-10]]),COUNTIFS(BASE[Cod.Establecimiento],$AK$2,BASE[CODCIE10],EPV_SARAMPION6466697273[[#This Row],[CIE-10]]))</f>
        <v>0</v>
      </c>
      <c r="L25" s="3">
        <f>IF($AK$2="(Todas)",COUNTIF(BASE[CODCIE102],EPV_SARAMPION6466697273[[#This Row],[CIE-10]]),COUNTIFS(BASE[Cod.Establecimiento],$AK$2,BASE[CODCIE102],EPV_SARAMPION6466697273[[#This Row],[CIE-10]]))</f>
        <v>0</v>
      </c>
      <c r="M25" s="3">
        <f>IF($AK$2="(Todas)",COUNTIF(BASE[CODCIE104],EPV_SARAMPION6466697273[[#This Row],[CIE-10]]),COUNTIFS(BASE[Cod.Establecimiento],$AK$2,BASE[CODCIE104],EPV_SARAMPION6466697273[[#This Row],[CIE-10]]))</f>
        <v>0</v>
      </c>
      <c r="N25" s="3">
        <f>IF($AK$2="(Todas)",COUNTIF(BASE[CODCIE106],EPV_SARAMPION6466697273[[#This Row],[CIE-10]]),COUNTIFS(BASE[Cod.Establecimiento],$AK$2,BASE[CODCIE106],EPV_SARAMPION6466697273[[#This Row],[CIE-10]]))</f>
        <v>0</v>
      </c>
      <c r="O25" s="3">
        <f>IF($AK$2="(Todas)",COUNTIF(BASE[CODCIE108],EPV_SARAMPION6466697273[[#This Row],[CIE-10]]),COUNTIFS(BASE[Cod.Establecimiento],$AK$2,BASE[CODCIE108],EPV_SARAMPION6466697273[[#This Row],[CIE-10]]))</f>
        <v>0</v>
      </c>
      <c r="P25" s="3">
        <f>IF($AK$2="(Todas)",COUNTIF(BASE[CODCIE1010],EPV_SARAMPION6466697273[[#This Row],[CIE-10]]),COUNTIFS(BASE[Cod.Establecimiento],$AK$2,BASE[CODCIE1010],EPV_SARAMPION6466697273[[#This Row],[CIE-10]]))</f>
        <v>0</v>
      </c>
      <c r="Q25" s="9">
        <f>SUM(EPV_SARAMPION6466697273[[#This Row],[D1]:[D6]])</f>
        <v>0</v>
      </c>
      <c r="S25" s="4" t="s">
        <v>350</v>
      </c>
      <c r="T25" s="3">
        <f>IF($AK$2="(Todas)",COUNTIF(BASE[CODCIE10],EPV_SARAMPION646669727376[[#This Row],[CIE-10]]),COUNTIFS(BASE[Cod.Establecimiento],$AK$2,BASE[CODCIE10],EPV_SARAMPION646669727376[[#This Row],[CIE-10]]))</f>
        <v>0</v>
      </c>
      <c r="U25" s="3">
        <f>IF($AK$2="(Todas)",COUNTIF(BASE[CODCIE102],EPV_SARAMPION646669727376[[#This Row],[CIE-10]]),COUNTIFS(BASE[Cod.Establecimiento],$AK$2,BASE[CODCIE102],EPV_SARAMPION646669727376[[#This Row],[CIE-10]]))</f>
        <v>0</v>
      </c>
      <c r="V25" s="3">
        <f>IF($AK$2="(Todas)",COUNTIF(BASE[CODCIE104],EPV_SARAMPION646669727376[[#This Row],[CIE-10]]),COUNTIFS(BASE[Cod.Establecimiento],$AK$2,BASE[CODCIE104],EPV_SARAMPION646669727376[[#This Row],[CIE-10]]))</f>
        <v>0</v>
      </c>
      <c r="W25" s="3">
        <f>IF($AK$2="(Todas)",COUNTIF(BASE[CODCIE106],EPV_SARAMPION646669727376[[#This Row],[CIE-10]]),COUNTIFS(BASE[Cod.Establecimiento],$AK$2,BASE[CODCIE106],EPV_SARAMPION646669727376[[#This Row],[CIE-10]]))</f>
        <v>0</v>
      </c>
      <c r="X25" s="3">
        <f>IF($AK$2="(Todas)",COUNTIF(BASE[CODCIE108],EPV_SARAMPION646669727376[[#This Row],[CIE-10]]),COUNTIFS(BASE[Cod.Establecimiento],$AK$2,BASE[CODCIE108],EPV_SARAMPION646669727376[[#This Row],[CIE-10]]))</f>
        <v>0</v>
      </c>
      <c r="Y25" s="3">
        <f>IF($AK$2="(Todas)",COUNTIF(BASE[CODCIE1010],EPV_SARAMPION646669727376[[#This Row],[CIE-10]]),COUNTIFS(BASE[Cod.Establecimiento],$AK$2,BASE[CODCIE1010],EPV_SARAMPION646669727376[[#This Row],[CIE-10]]))</f>
        <v>0</v>
      </c>
      <c r="Z25" s="9">
        <f>SUM(EPV_SARAMPION646669727376[[#This Row],[D1]:[D6]])</f>
        <v>0</v>
      </c>
      <c r="AB25" s="4" t="s">
        <v>354</v>
      </c>
      <c r="AC25" s="3">
        <f>IF($AK$2="(Todas)",COUNTIF(BASE[CODCIE10],EPV_SARAMPION64666972737677[[#This Row],[CIE-10]]),COUNTIFS(BASE[Cod.Establecimiento],$AK$2,BASE[CODCIE10],EPV_SARAMPION64666972737677[[#This Row],[CIE-10]]))</f>
        <v>0</v>
      </c>
      <c r="AD25" s="3">
        <f>IF($AK$2="(Todas)",COUNTIF(BASE[CODCIE102],EPV_SARAMPION64666972737677[[#This Row],[CIE-10]]),COUNTIFS(BASE[Cod.Establecimiento],$AK$2,BASE[CODCIE102],EPV_SARAMPION64666972737677[[#This Row],[CIE-10]]))</f>
        <v>0</v>
      </c>
      <c r="AE25" s="3">
        <f>IF($AK$2="(Todas)",COUNTIF(BASE[CODCIE104],EPV_SARAMPION64666972737677[[#This Row],[CIE-10]]),COUNTIFS(BASE[Cod.Establecimiento],$AK$2,BASE[CODCIE104],EPV_SARAMPION64666972737677[[#This Row],[CIE-10]]))</f>
        <v>0</v>
      </c>
      <c r="AF25" s="3">
        <f>IF($AK$2="(Todas)",COUNTIF(BASE[CODCIE106],EPV_SARAMPION64666972737677[[#This Row],[CIE-10]]),COUNTIFS(BASE[Cod.Establecimiento],$AK$2,BASE[CODCIE106],EPV_SARAMPION64666972737677[[#This Row],[CIE-10]]))</f>
        <v>0</v>
      </c>
      <c r="AG25" s="3">
        <f>IF($AK$2="(Todas)",COUNTIF(BASE[CODCIE108],EPV_SARAMPION64666972737677[[#This Row],[CIE-10]]),COUNTIFS(BASE[Cod.Establecimiento],$AK$2,BASE[CODCIE108],EPV_SARAMPION64666972737677[[#This Row],[CIE-10]]))</f>
        <v>0</v>
      </c>
      <c r="AH25" s="3">
        <f>IF($AK$2="(Todas)",COUNTIF(BASE[CODCIE1010],EPV_SARAMPION64666972737677[[#This Row],[CIE-10]]),COUNTIFS(BASE[Cod.Establecimiento],$AK$2,BASE[CODCIE1010],EPV_SARAMPION64666972737677[[#This Row],[CIE-10]]))</f>
        <v>0</v>
      </c>
      <c r="AI25" s="9">
        <f>SUM(EPV_SARAMPION64666972737677[[#This Row],[D1]:[D6]])</f>
        <v>0</v>
      </c>
      <c r="AJ25" s="151"/>
      <c r="AK25" s="151"/>
      <c r="AL25" s="69"/>
      <c r="AM25" s="69"/>
      <c r="AN25" s="69"/>
      <c r="AO25" s="69"/>
    </row>
    <row r="26" spans="1:41" ht="15" customHeight="1">
      <c r="S26" s="31" t="s">
        <v>351</v>
      </c>
      <c r="T26" s="3">
        <f>IF($AK$2="(Todas)",COUNTIF(BASE[CODCIE10],EPV_SARAMPION646669727376[[#This Row],[CIE-10]]),COUNTIFS(BASE[Cod.Establecimiento],$AK$2,BASE[CODCIE10],EPV_SARAMPION646669727376[[#This Row],[CIE-10]]))</f>
        <v>0</v>
      </c>
      <c r="U26" s="3">
        <f>IF($AK$2="(Todas)",COUNTIF(BASE[CODCIE102],EPV_SARAMPION646669727376[[#This Row],[CIE-10]]),COUNTIFS(BASE[Cod.Establecimiento],$AK$2,BASE[CODCIE102],EPV_SARAMPION646669727376[[#This Row],[CIE-10]]))</f>
        <v>0</v>
      </c>
      <c r="V26" s="3">
        <f>IF($AK$2="(Todas)",COUNTIF(BASE[CODCIE104],EPV_SARAMPION646669727376[[#This Row],[CIE-10]]),COUNTIFS(BASE[Cod.Establecimiento],$AK$2,BASE[CODCIE104],EPV_SARAMPION646669727376[[#This Row],[CIE-10]]))</f>
        <v>0</v>
      </c>
      <c r="W26" s="3">
        <f>IF($AK$2="(Todas)",COUNTIF(BASE[CODCIE106],EPV_SARAMPION646669727376[[#This Row],[CIE-10]]),COUNTIFS(BASE[Cod.Establecimiento],$AK$2,BASE[CODCIE106],EPV_SARAMPION646669727376[[#This Row],[CIE-10]]))</f>
        <v>0</v>
      </c>
      <c r="X26" s="3">
        <f>IF($AK$2="(Todas)",COUNTIF(BASE[CODCIE108],EPV_SARAMPION646669727376[[#This Row],[CIE-10]]),COUNTIFS(BASE[Cod.Establecimiento],$AK$2,BASE[CODCIE108],EPV_SARAMPION646669727376[[#This Row],[CIE-10]]))</f>
        <v>0</v>
      </c>
      <c r="Y26" s="3">
        <f>IF($AK$2="(Todas)",COUNTIF(BASE[CODCIE1010],EPV_SARAMPION646669727376[[#This Row],[CIE-10]]),COUNTIFS(BASE[Cod.Establecimiento],$AK$2,BASE[CODCIE1010],EPV_SARAMPION646669727376[[#This Row],[CIE-10]]))</f>
        <v>0</v>
      </c>
      <c r="Z26" s="9">
        <f>SUM(EPV_SARAMPION646669727376[[#This Row],[D1]:[D6]])</f>
        <v>0</v>
      </c>
      <c r="AB26" s="31" t="s">
        <v>355</v>
      </c>
      <c r="AC26" s="3">
        <f>IF($AK$2="(Todas)",COUNTIF(BASE[CODCIE10],EPV_SARAMPION64666972737677[[#This Row],[CIE-10]]),COUNTIFS(BASE[Cod.Establecimiento],$AK$2,BASE[CODCIE10],EPV_SARAMPION64666972737677[[#This Row],[CIE-10]]))</f>
        <v>0</v>
      </c>
      <c r="AD26" s="3">
        <f>IF($AK$2="(Todas)",COUNTIF(BASE[CODCIE102],EPV_SARAMPION64666972737677[[#This Row],[CIE-10]]),COUNTIFS(BASE[Cod.Establecimiento],$AK$2,BASE[CODCIE102],EPV_SARAMPION64666972737677[[#This Row],[CIE-10]]))</f>
        <v>0</v>
      </c>
      <c r="AE26" s="3">
        <f>IF($AK$2="(Todas)",COUNTIF(BASE[CODCIE104],EPV_SARAMPION64666972737677[[#This Row],[CIE-10]]),COUNTIFS(BASE[Cod.Establecimiento],$AK$2,BASE[CODCIE104],EPV_SARAMPION64666972737677[[#This Row],[CIE-10]]))</f>
        <v>0</v>
      </c>
      <c r="AF26" s="3">
        <f>IF($AK$2="(Todas)",COUNTIF(BASE[CODCIE106],EPV_SARAMPION64666972737677[[#This Row],[CIE-10]]),COUNTIFS(BASE[Cod.Establecimiento],$AK$2,BASE[CODCIE106],EPV_SARAMPION64666972737677[[#This Row],[CIE-10]]))</f>
        <v>0</v>
      </c>
      <c r="AG26" s="3">
        <f>IF($AK$2="(Todas)",COUNTIF(BASE[CODCIE108],EPV_SARAMPION64666972737677[[#This Row],[CIE-10]]),COUNTIFS(BASE[Cod.Establecimiento],$AK$2,BASE[CODCIE108],EPV_SARAMPION64666972737677[[#This Row],[CIE-10]]))</f>
        <v>0</v>
      </c>
      <c r="AH26" s="3">
        <f>IF($AK$2="(Todas)",COUNTIF(BASE[CODCIE1010],EPV_SARAMPION64666972737677[[#This Row],[CIE-10]]),COUNTIFS(BASE[Cod.Establecimiento],$AK$2,BASE[CODCIE1010],EPV_SARAMPION64666972737677[[#This Row],[CIE-10]]))</f>
        <v>0</v>
      </c>
      <c r="AI26" s="9">
        <f>SUM(EPV_SARAMPION64666972737677[[#This Row],[D1]:[D6]])</f>
        <v>0</v>
      </c>
      <c r="AJ26" s="151"/>
      <c r="AK26" s="151"/>
      <c r="AL26" s="69"/>
      <c r="AM26" s="69"/>
      <c r="AN26" s="69"/>
      <c r="AO26" s="69"/>
    </row>
    <row r="27" spans="1:41" ht="15" customHeight="1" thickBot="1">
      <c r="A27" s="87" t="s">
        <v>361</v>
      </c>
      <c r="B27" s="87"/>
      <c r="C27" s="87"/>
      <c r="D27" s="87"/>
      <c r="E27" s="87"/>
      <c r="F27" s="87"/>
      <c r="G27" s="87"/>
      <c r="H27" s="87"/>
      <c r="J27" s="87" t="s">
        <v>360</v>
      </c>
      <c r="K27" s="87"/>
      <c r="L27" s="87"/>
      <c r="M27" s="87"/>
      <c r="N27" s="87"/>
      <c r="O27" s="87"/>
      <c r="P27" s="87"/>
      <c r="Q27" s="87"/>
      <c r="S27" s="31" t="s">
        <v>352</v>
      </c>
      <c r="T27" s="3">
        <f>IF($AK$2="(Todas)",COUNTIF(BASE[CODCIE10],EPV_SARAMPION646669727376[[#This Row],[CIE-10]]),COUNTIFS(BASE[Cod.Establecimiento],$AK$2,BASE[CODCIE10],EPV_SARAMPION646669727376[[#This Row],[CIE-10]]))</f>
        <v>0</v>
      </c>
      <c r="U27" s="3">
        <f>IF($AK$2="(Todas)",COUNTIF(BASE[CODCIE102],EPV_SARAMPION646669727376[[#This Row],[CIE-10]]),COUNTIFS(BASE[Cod.Establecimiento],$AK$2,BASE[CODCIE102],EPV_SARAMPION646669727376[[#This Row],[CIE-10]]))</f>
        <v>0</v>
      </c>
      <c r="V27" s="3">
        <f>IF($AK$2="(Todas)",COUNTIF(BASE[CODCIE104],EPV_SARAMPION646669727376[[#This Row],[CIE-10]]),COUNTIFS(BASE[Cod.Establecimiento],$AK$2,BASE[CODCIE104],EPV_SARAMPION646669727376[[#This Row],[CIE-10]]))</f>
        <v>0</v>
      </c>
      <c r="W27" s="3">
        <f>IF($AK$2="(Todas)",COUNTIF(BASE[CODCIE106],EPV_SARAMPION646669727376[[#This Row],[CIE-10]]),COUNTIFS(BASE[Cod.Establecimiento],$AK$2,BASE[CODCIE106],EPV_SARAMPION646669727376[[#This Row],[CIE-10]]))</f>
        <v>0</v>
      </c>
      <c r="X27" s="3">
        <f>IF($AK$2="(Todas)",COUNTIF(BASE[CODCIE108],EPV_SARAMPION646669727376[[#This Row],[CIE-10]]),COUNTIFS(BASE[Cod.Establecimiento],$AK$2,BASE[CODCIE108],EPV_SARAMPION646669727376[[#This Row],[CIE-10]]))</f>
        <v>0</v>
      </c>
      <c r="Y27" s="3">
        <f>IF($AK$2="(Todas)",COUNTIF(BASE[CODCIE1010],EPV_SARAMPION646669727376[[#This Row],[CIE-10]]),COUNTIFS(BASE[Cod.Establecimiento],$AK$2,BASE[CODCIE1010],EPV_SARAMPION646669727376[[#This Row],[CIE-10]]))</f>
        <v>0</v>
      </c>
      <c r="Z27" s="9">
        <f>SUM(EPV_SARAMPION646669727376[[#This Row],[D1]:[D6]])</f>
        <v>0</v>
      </c>
      <c r="AB27" s="31" t="s">
        <v>356</v>
      </c>
      <c r="AC27" s="3">
        <f>IF($AK$2="(Todas)",COUNTIF(BASE[CODCIE10],EPV_SARAMPION64666972737677[[#This Row],[CIE-10]]),COUNTIFS(BASE[Cod.Establecimiento],$AK$2,BASE[CODCIE10],EPV_SARAMPION64666972737677[[#This Row],[CIE-10]]))</f>
        <v>0</v>
      </c>
      <c r="AD27" s="3">
        <f>IF($AK$2="(Todas)",COUNTIF(BASE[CODCIE102],EPV_SARAMPION64666972737677[[#This Row],[CIE-10]]),COUNTIFS(BASE[Cod.Establecimiento],$AK$2,BASE[CODCIE102],EPV_SARAMPION64666972737677[[#This Row],[CIE-10]]))</f>
        <v>0</v>
      </c>
      <c r="AE27" s="3">
        <f>IF($AK$2="(Todas)",COUNTIF(BASE[CODCIE104],EPV_SARAMPION64666972737677[[#This Row],[CIE-10]]),COUNTIFS(BASE[Cod.Establecimiento],$AK$2,BASE[CODCIE104],EPV_SARAMPION64666972737677[[#This Row],[CIE-10]]))</f>
        <v>0</v>
      </c>
      <c r="AF27" s="3">
        <f>IF($AK$2="(Todas)",COUNTIF(BASE[CODCIE106],EPV_SARAMPION64666972737677[[#This Row],[CIE-10]]),COUNTIFS(BASE[Cod.Establecimiento],$AK$2,BASE[CODCIE106],EPV_SARAMPION64666972737677[[#This Row],[CIE-10]]))</f>
        <v>0</v>
      </c>
      <c r="AG27" s="3">
        <f>IF($AK$2="(Todas)",COUNTIF(BASE[CODCIE108],EPV_SARAMPION64666972737677[[#This Row],[CIE-10]]),COUNTIFS(BASE[Cod.Establecimiento],$AK$2,BASE[CODCIE108],EPV_SARAMPION64666972737677[[#This Row],[CIE-10]]))</f>
        <v>0</v>
      </c>
      <c r="AH27" s="3">
        <f>IF($AK$2="(Todas)",COUNTIF(BASE[CODCIE1010],EPV_SARAMPION64666972737677[[#This Row],[CIE-10]]),COUNTIFS(BASE[Cod.Establecimiento],$AK$2,BASE[CODCIE1010],EPV_SARAMPION64666972737677[[#This Row],[CIE-10]]))</f>
        <v>0</v>
      </c>
      <c r="AI27" s="9">
        <f>SUM(EPV_SARAMPION64666972737677[[#This Row],[D1]:[D6]])</f>
        <v>0</v>
      </c>
      <c r="AJ27" s="152" t="s">
        <v>763</v>
      </c>
      <c r="AK27" s="152"/>
      <c r="AL27" s="69"/>
      <c r="AM27" s="69"/>
      <c r="AN27" s="69"/>
      <c r="AO27" s="69"/>
    </row>
    <row r="28" spans="1:41" ht="15.75" customHeight="1" thickTop="1">
      <c r="A28" s="6" t="str">
        <f>CONCATENATE("TOTAL: ",SUM(B28:G28))</f>
        <v>TOTAL: 0</v>
      </c>
      <c r="B28" s="5">
        <f>SUM(EPV_SARAMPION64666972737880[D1])</f>
        <v>0</v>
      </c>
      <c r="C28" s="5">
        <f>SUM(EPV_SARAMPION64666972737880[D2])</f>
        <v>0</v>
      </c>
      <c r="D28" s="5">
        <f>SUM(EPV_SARAMPION64666972737880[D3])</f>
        <v>0</v>
      </c>
      <c r="E28" s="5">
        <f>SUM(EPV_SARAMPION64666972737880[D4])</f>
        <v>0</v>
      </c>
      <c r="F28" s="5">
        <f>SUM(EPV_SARAMPION64666972737880[D5])</f>
        <v>0</v>
      </c>
      <c r="G28" s="5">
        <f>SUM(EPV_SARAMPION64666972737880[D6])</f>
        <v>0</v>
      </c>
      <c r="H28" s="7"/>
      <c r="J28" s="6" t="str">
        <f>CONCATENATE("TOTAL: ",SUM(K28:P28))</f>
        <v>TOTAL: 0</v>
      </c>
      <c r="K28" s="5">
        <f>SUM(EPV_SARAMPION646669727378[D1])</f>
        <v>0</v>
      </c>
      <c r="L28" s="5">
        <f>SUM(EPV_SARAMPION646669727378[D2])</f>
        <v>0</v>
      </c>
      <c r="M28" s="5">
        <f>SUM(EPV_SARAMPION646669727378[D3])</f>
        <v>0</v>
      </c>
      <c r="N28" s="5">
        <f>SUM(EPV_SARAMPION646669727378[D4])</f>
        <v>0</v>
      </c>
      <c r="O28" s="5">
        <f>SUM(EPV_SARAMPION646669727378[D5])</f>
        <v>0</v>
      </c>
      <c r="P28" s="5">
        <f>SUM(EPV_SARAMPION646669727378[D6])</f>
        <v>0</v>
      </c>
      <c r="Q28" s="7"/>
      <c r="AB28" s="31" t="s">
        <v>357</v>
      </c>
      <c r="AC28" s="3">
        <f>IF($AK$2="(Todas)",COUNTIF(BASE[CODCIE10],EPV_SARAMPION64666972737677[[#This Row],[CIE-10]]),COUNTIFS(BASE[Cod.Establecimiento],$AK$2,BASE[CODCIE10],EPV_SARAMPION64666972737677[[#This Row],[CIE-10]]))</f>
        <v>0</v>
      </c>
      <c r="AD28" s="3">
        <f>IF($AK$2="(Todas)",COUNTIF(BASE[CODCIE102],EPV_SARAMPION64666972737677[[#This Row],[CIE-10]]),COUNTIFS(BASE[Cod.Establecimiento],$AK$2,BASE[CODCIE102],EPV_SARAMPION64666972737677[[#This Row],[CIE-10]]))</f>
        <v>0</v>
      </c>
      <c r="AE28" s="3">
        <f>IF($AK$2="(Todas)",COUNTIF(BASE[CODCIE104],EPV_SARAMPION64666972737677[[#This Row],[CIE-10]]),COUNTIFS(BASE[Cod.Establecimiento],$AK$2,BASE[CODCIE104],EPV_SARAMPION64666972737677[[#This Row],[CIE-10]]))</f>
        <v>0</v>
      </c>
      <c r="AF28" s="3">
        <f>IF($AK$2="(Todas)",COUNTIF(BASE[CODCIE106],EPV_SARAMPION64666972737677[[#This Row],[CIE-10]]),COUNTIFS(BASE[Cod.Establecimiento],$AK$2,BASE[CODCIE106],EPV_SARAMPION64666972737677[[#This Row],[CIE-10]]))</f>
        <v>0</v>
      </c>
      <c r="AG28" s="3">
        <f>IF($AK$2="(Todas)",COUNTIF(BASE[CODCIE108],EPV_SARAMPION64666972737677[[#This Row],[CIE-10]]),COUNTIFS(BASE[Cod.Establecimiento],$AK$2,BASE[CODCIE108],EPV_SARAMPION64666972737677[[#This Row],[CIE-10]]))</f>
        <v>0</v>
      </c>
      <c r="AH28" s="3">
        <f>IF($AK$2="(Todas)",COUNTIF(BASE[CODCIE1010],EPV_SARAMPION64666972737677[[#This Row],[CIE-10]]),COUNTIFS(BASE[Cod.Establecimiento],$AK$2,BASE[CODCIE1010],EPV_SARAMPION64666972737677[[#This Row],[CIE-10]]))</f>
        <v>0</v>
      </c>
      <c r="AI28" s="9">
        <f>SUM(EPV_SARAMPION64666972737677[[#This Row],[D1]:[D6]])</f>
        <v>0</v>
      </c>
      <c r="AJ28" s="152"/>
      <c r="AK28" s="152"/>
    </row>
    <row r="29" spans="1:41" ht="15" customHeight="1">
      <c r="A29" t="s">
        <v>77</v>
      </c>
      <c r="B29" s="3" t="s">
        <v>78</v>
      </c>
      <c r="C29" s="3" t="s">
        <v>79</v>
      </c>
      <c r="D29" s="3" t="s">
        <v>80</v>
      </c>
      <c r="E29" s="3" t="s">
        <v>81</v>
      </c>
      <c r="F29" s="3" t="s">
        <v>82</v>
      </c>
      <c r="G29" s="3" t="s">
        <v>83</v>
      </c>
      <c r="H29" s="8" t="s">
        <v>84</v>
      </c>
      <c r="J29" t="s">
        <v>77</v>
      </c>
      <c r="K29" s="3" t="s">
        <v>78</v>
      </c>
      <c r="L29" s="3" t="s">
        <v>79</v>
      </c>
      <c r="M29" s="3" t="s">
        <v>80</v>
      </c>
      <c r="N29" s="3" t="s">
        <v>81</v>
      </c>
      <c r="O29" s="3" t="s">
        <v>82</v>
      </c>
      <c r="P29" s="3" t="s">
        <v>83</v>
      </c>
      <c r="Q29" s="8" t="s">
        <v>84</v>
      </c>
      <c r="AB29" s="31" t="s">
        <v>358</v>
      </c>
      <c r="AC29" s="3">
        <f>IF($AK$2="(Todas)",COUNTIF(BASE[CODCIE10],EPV_SARAMPION64666972737677[[#This Row],[CIE-10]]),COUNTIFS(BASE[Cod.Establecimiento],$AK$2,BASE[CODCIE10],EPV_SARAMPION64666972737677[[#This Row],[CIE-10]]))</f>
        <v>0</v>
      </c>
      <c r="AD29" s="3">
        <f>IF($AK$2="(Todas)",COUNTIF(BASE[CODCIE102],EPV_SARAMPION64666972737677[[#This Row],[CIE-10]]),COUNTIFS(BASE[Cod.Establecimiento],$AK$2,BASE[CODCIE102],EPV_SARAMPION64666972737677[[#This Row],[CIE-10]]))</f>
        <v>0</v>
      </c>
      <c r="AE29" s="3">
        <f>IF($AK$2="(Todas)",COUNTIF(BASE[CODCIE104],EPV_SARAMPION64666972737677[[#This Row],[CIE-10]]),COUNTIFS(BASE[Cod.Establecimiento],$AK$2,BASE[CODCIE104],EPV_SARAMPION64666972737677[[#This Row],[CIE-10]]))</f>
        <v>0</v>
      </c>
      <c r="AF29" s="3">
        <f>IF($AK$2="(Todas)",COUNTIF(BASE[CODCIE106],EPV_SARAMPION64666972737677[[#This Row],[CIE-10]]),COUNTIFS(BASE[Cod.Establecimiento],$AK$2,BASE[CODCIE106],EPV_SARAMPION64666972737677[[#This Row],[CIE-10]]))</f>
        <v>0</v>
      </c>
      <c r="AG29" s="3">
        <f>IF($AK$2="(Todas)",COUNTIF(BASE[CODCIE108],EPV_SARAMPION64666972737677[[#This Row],[CIE-10]]),COUNTIFS(BASE[Cod.Establecimiento],$AK$2,BASE[CODCIE108],EPV_SARAMPION64666972737677[[#This Row],[CIE-10]]))</f>
        <v>0</v>
      </c>
      <c r="AH29" s="3">
        <f>IF($AK$2="(Todas)",COUNTIF(BASE[CODCIE1010],EPV_SARAMPION64666972737677[[#This Row],[CIE-10]]),COUNTIFS(BASE[Cod.Establecimiento],$AK$2,BASE[CODCIE1010],EPV_SARAMPION64666972737677[[#This Row],[CIE-10]]))</f>
        <v>0</v>
      </c>
      <c r="AI29" s="9">
        <f>SUM(EPV_SARAMPION64666972737677[[#This Row],[D1]:[D6]])</f>
        <v>0</v>
      </c>
      <c r="AJ29" s="152"/>
      <c r="AK29" s="152"/>
    </row>
    <row r="30" spans="1:41" ht="15" customHeight="1">
      <c r="A30" s="4" t="s">
        <v>241</v>
      </c>
      <c r="B30" s="3">
        <f>IF($AK$2="(Todas)",COUNTIF(BASE[CODCIE10],EPV_SARAMPION64666972737880[[#This Row],[CIE-10]]),COUNTIFS(BASE[Cod.Establecimiento],$AK$2,BASE[CODCIE10],EPV_SARAMPION64666972737880[[#This Row],[CIE-10]]))</f>
        <v>0</v>
      </c>
      <c r="C30" s="3">
        <f>IF($AK$2="(Todas)",COUNTIF(BASE[CODCIE102],EPV_SARAMPION64666972737880[[#This Row],[CIE-10]]),COUNTIFS(BASE[Cod.Establecimiento],$AK$2,BASE[CODCIE102],EPV_SARAMPION64666972737880[[#This Row],[CIE-10]]))</f>
        <v>0</v>
      </c>
      <c r="D30" s="3">
        <f>IF($AK$2="(Todas)",COUNTIF(BASE[CODCIE104],EPV_SARAMPION64666972737880[[#This Row],[CIE-10]]),COUNTIFS(BASE[Cod.Establecimiento],$AK$2,BASE[CODCIE104],EPV_SARAMPION64666972737880[[#This Row],[CIE-10]]))</f>
        <v>0</v>
      </c>
      <c r="E30" s="3">
        <f>IF($AK$2="(Todas)",COUNTIF(BASE[CODCIE106],EPV_SARAMPION64666972737880[[#This Row],[CIE-10]]),COUNTIFS(BASE[Cod.Establecimiento],$AK$2,BASE[CODCIE106],EPV_SARAMPION64666972737880[[#This Row],[CIE-10]]))</f>
        <v>0</v>
      </c>
      <c r="F30" s="3">
        <f>IF($AK$2="(Todas)",COUNTIF(BASE[CODCIE108],EPV_SARAMPION64666972737880[[#This Row],[CIE-10]]),COUNTIFS(BASE[Cod.Establecimiento],$AK$2,BASE[CODCIE108],EPV_SARAMPION64666972737880[[#This Row],[CIE-10]]))</f>
        <v>0</v>
      </c>
      <c r="G30" s="3">
        <f>IF($AK$2="(Todas)",COUNTIF(BASE[CODCIE1010],EPV_SARAMPION64666972737880[[#This Row],[CIE-10]]),COUNTIFS(BASE[Cod.Establecimiento],$AK$2,BASE[CODCIE1010],EPV_SARAMPION64666972737880[[#This Row],[CIE-10]]))</f>
        <v>0</v>
      </c>
      <c r="H30" s="9">
        <f>SUM(EPV_SARAMPION64666972737880[[#This Row],[D1]:[D6]])</f>
        <v>0</v>
      </c>
      <c r="J30" s="4" t="s">
        <v>359</v>
      </c>
      <c r="K30" s="3">
        <f>IF($AK$2="(Todas)",COUNTIF(BASE[CODCIE10],EPV_SARAMPION646669727378[[#This Row],[CIE-10]]),COUNTIFS(BASE[Cod.Establecimiento],$AK$2,BASE[CODCIE10],EPV_SARAMPION646669727378[[#This Row],[CIE-10]]))</f>
        <v>0</v>
      </c>
      <c r="L30" s="3">
        <f>IF($AK$2="(Todas)",COUNTIF(BASE[CODCIE102],EPV_SARAMPION646669727378[[#This Row],[CIE-10]]),COUNTIFS(BASE[Cod.Establecimiento],$AK$2,BASE[CODCIE102],EPV_SARAMPION646669727378[[#This Row],[CIE-10]]))</f>
        <v>0</v>
      </c>
      <c r="M30" s="3">
        <f>IF($AK$2="(Todas)",COUNTIF(BASE[CODCIE104],EPV_SARAMPION646669727378[[#This Row],[CIE-10]]),COUNTIFS(BASE[Cod.Establecimiento],$AK$2,BASE[CODCIE104],EPV_SARAMPION646669727378[[#This Row],[CIE-10]]))</f>
        <v>0</v>
      </c>
      <c r="N30" s="3">
        <f>IF($AK$2="(Todas)",COUNTIF(BASE[CODCIE106],EPV_SARAMPION646669727378[[#This Row],[CIE-10]]),COUNTIFS(BASE[Cod.Establecimiento],$AK$2,BASE[CODCIE106],EPV_SARAMPION646669727378[[#This Row],[CIE-10]]))</f>
        <v>0</v>
      </c>
      <c r="O30" s="3">
        <f>IF($AK$2="(Todas)",COUNTIF(BASE[CODCIE108],EPV_SARAMPION646669727378[[#This Row],[CIE-10]]),COUNTIFS(BASE[Cod.Establecimiento],$AK$2,BASE[CODCIE108],EPV_SARAMPION646669727378[[#This Row],[CIE-10]]))</f>
        <v>0</v>
      </c>
      <c r="P30" s="3">
        <f>IF($AK$2="(Todas)",COUNTIF(BASE[CODCIE1010],EPV_SARAMPION646669727378[[#This Row],[CIE-10]]),COUNTIFS(BASE[Cod.Establecimiento],$AK$2,BASE[CODCIE1010],EPV_SARAMPION646669727378[[#This Row],[CIE-10]]))</f>
        <v>0</v>
      </c>
      <c r="Q30" s="9">
        <f>SUM(EPV_SARAMPION646669727378[[#This Row],[D1]:[D6]])</f>
        <v>0</v>
      </c>
      <c r="AJ30" s="152"/>
      <c r="AK30" s="152"/>
    </row>
    <row r="31" spans="1:41" ht="18" customHeight="1" thickBot="1">
      <c r="S31" s="87" t="s">
        <v>367</v>
      </c>
      <c r="T31" s="87"/>
      <c r="U31" s="87"/>
      <c r="V31" s="87"/>
      <c r="W31" s="87"/>
      <c r="X31" s="87"/>
      <c r="Y31" s="87"/>
      <c r="Z31" s="87"/>
      <c r="AJ31" s="152"/>
      <c r="AK31" s="152"/>
    </row>
    <row r="32" spans="1:41" ht="18.75" customHeight="1" thickTop="1" thickBot="1">
      <c r="A32" s="87" t="s">
        <v>362</v>
      </c>
      <c r="B32" s="87"/>
      <c r="C32" s="87"/>
      <c r="D32" s="87"/>
      <c r="E32" s="87"/>
      <c r="F32" s="87"/>
      <c r="G32" s="87"/>
      <c r="H32" s="87"/>
      <c r="J32" s="87" t="s">
        <v>364</v>
      </c>
      <c r="K32" s="87"/>
      <c r="L32" s="87"/>
      <c r="M32" s="87"/>
      <c r="N32" s="87"/>
      <c r="O32" s="87"/>
      <c r="P32" s="87"/>
      <c r="Q32" s="87"/>
      <c r="S32" s="6" t="str">
        <f>CONCATENATE("TOTAL: ",SUM(T32:Y32))</f>
        <v>TOTAL: 0</v>
      </c>
      <c r="T32" s="5">
        <f>SUM(EPV_SARAMPION64666972737880818283[D1])</f>
        <v>0</v>
      </c>
      <c r="U32" s="5">
        <f>SUM(EPV_SARAMPION64666972737880818283[D2])</f>
        <v>0</v>
      </c>
      <c r="V32" s="5">
        <f>SUM(EPV_SARAMPION64666972737880818283[D3])</f>
        <v>0</v>
      </c>
      <c r="W32" s="5">
        <f>SUM(EPV_SARAMPION64666972737880818283[D4])</f>
        <v>0</v>
      </c>
      <c r="X32" s="5">
        <f>SUM(EPV_SARAMPION64666972737880818283[D5])</f>
        <v>0</v>
      </c>
      <c r="Y32" s="5">
        <f>SUM(EPV_SARAMPION64666972737880818283[D6])</f>
        <v>0</v>
      </c>
      <c r="Z32" s="7"/>
      <c r="AB32" s="87" t="s">
        <v>369</v>
      </c>
      <c r="AC32" s="87"/>
      <c r="AD32" s="87"/>
      <c r="AE32" s="87"/>
      <c r="AF32" s="87"/>
      <c r="AG32" s="87"/>
      <c r="AH32" s="87"/>
      <c r="AI32" s="87"/>
      <c r="AJ32" s="152"/>
      <c r="AK32" s="152"/>
    </row>
    <row r="33" spans="1:37" ht="15.75" customHeight="1" thickTop="1">
      <c r="A33" s="6" t="str">
        <f>CONCATENATE("TOTAL: ",SUM(B33:G33))</f>
        <v>TOTAL: 0</v>
      </c>
      <c r="B33" s="5">
        <f>SUM(EPV_SARAMPION6466697273788081[D1])</f>
        <v>0</v>
      </c>
      <c r="C33" s="5">
        <f>SUM(EPV_SARAMPION6466697273788081[D2])</f>
        <v>0</v>
      </c>
      <c r="D33" s="5">
        <f>SUM(EPV_SARAMPION6466697273788081[D3])</f>
        <v>0</v>
      </c>
      <c r="E33" s="5">
        <f>SUM(EPV_SARAMPION6466697273788081[D4])</f>
        <v>0</v>
      </c>
      <c r="F33" s="5">
        <f>SUM(EPV_SARAMPION6466697273788081[D5])</f>
        <v>0</v>
      </c>
      <c r="G33" s="5">
        <f>SUM(EPV_SARAMPION6466697273788081[D6])</f>
        <v>0</v>
      </c>
      <c r="H33" s="7"/>
      <c r="J33" s="6" t="str">
        <f>CONCATENATE("TOTAL: ",SUM(K33:P33))</f>
        <v>TOTAL: 0</v>
      </c>
      <c r="K33" s="5">
        <f>SUM(EPV_SARAMPION646669727378808182[D1])</f>
        <v>0</v>
      </c>
      <c r="L33" s="5">
        <f>SUM(EPV_SARAMPION646669727378808182[D2])</f>
        <v>0</v>
      </c>
      <c r="M33" s="5">
        <f>SUM(EPV_SARAMPION646669727378808182[D3])</f>
        <v>0</v>
      </c>
      <c r="N33" s="5">
        <f>SUM(EPV_SARAMPION646669727378808182[D4])</f>
        <v>0</v>
      </c>
      <c r="O33" s="5">
        <f>SUM(EPV_SARAMPION646669727378808182[D5])</f>
        <v>0</v>
      </c>
      <c r="P33" s="5">
        <f>SUM(EPV_SARAMPION646669727378808182[D6])</f>
        <v>0</v>
      </c>
      <c r="Q33" s="7"/>
      <c r="S33" t="s">
        <v>77</v>
      </c>
      <c r="T33" s="3" t="s">
        <v>78</v>
      </c>
      <c r="U33" s="3" t="s">
        <v>79</v>
      </c>
      <c r="V33" s="3" t="s">
        <v>80</v>
      </c>
      <c r="W33" s="3" t="s">
        <v>81</v>
      </c>
      <c r="X33" s="3" t="s">
        <v>82</v>
      </c>
      <c r="Y33" s="3" t="s">
        <v>83</v>
      </c>
      <c r="Z33" s="8" t="s">
        <v>84</v>
      </c>
      <c r="AB33" s="6" t="str">
        <f>CONCATENATE("TOTAL: ",SUM(AC33:AH33))</f>
        <v>TOTAL: 0</v>
      </c>
      <c r="AC33" s="5">
        <f>SUM(EPV_SARAMPION6466697273788081828384[D1])</f>
        <v>0</v>
      </c>
      <c r="AD33" s="5">
        <f>SUM(EPV_SARAMPION6466697273788081828384[D2])</f>
        <v>0</v>
      </c>
      <c r="AE33" s="5">
        <f>SUM(EPV_SARAMPION6466697273788081828384[D3])</f>
        <v>0</v>
      </c>
      <c r="AF33" s="5">
        <f>SUM(EPV_SARAMPION6466697273788081828384[D4])</f>
        <v>0</v>
      </c>
      <c r="AG33" s="5">
        <f>SUM(EPV_SARAMPION6466697273788081828384[D5])</f>
        <v>0</v>
      </c>
      <c r="AH33" s="5">
        <f>SUM(EPV_SARAMPION6466697273788081828384[D6])</f>
        <v>0</v>
      </c>
      <c r="AI33" s="7"/>
      <c r="AJ33" s="152"/>
      <c r="AK33" s="152"/>
    </row>
    <row r="34" spans="1:37" ht="15" customHeight="1">
      <c r="A34" t="s">
        <v>77</v>
      </c>
      <c r="B34" s="3" t="s">
        <v>78</v>
      </c>
      <c r="C34" s="3" t="s">
        <v>79</v>
      </c>
      <c r="D34" s="3" t="s">
        <v>80</v>
      </c>
      <c r="E34" s="3" t="s">
        <v>81</v>
      </c>
      <c r="F34" s="3" t="s">
        <v>82</v>
      </c>
      <c r="G34" s="3" t="s">
        <v>83</v>
      </c>
      <c r="H34" s="8" t="s">
        <v>84</v>
      </c>
      <c r="J34" t="s">
        <v>77</v>
      </c>
      <c r="K34" s="3" t="s">
        <v>78</v>
      </c>
      <c r="L34" s="3" t="s">
        <v>79</v>
      </c>
      <c r="M34" s="3" t="s">
        <v>80</v>
      </c>
      <c r="N34" s="3" t="s">
        <v>81</v>
      </c>
      <c r="O34" s="3" t="s">
        <v>82</v>
      </c>
      <c r="P34" s="3" t="s">
        <v>83</v>
      </c>
      <c r="Q34" s="8" t="s">
        <v>84</v>
      </c>
      <c r="S34" s="4" t="s">
        <v>366</v>
      </c>
      <c r="T34" s="3">
        <f>IF($AK$2="(Todas)",COUNTIF(BASE[CODCIE10],EPV_SARAMPION64666972737880818283[[#This Row],[CIE-10]]),COUNTIFS(BASE[Cod.Establecimiento],$AK$2,BASE[CODCIE10],EPV_SARAMPION64666972737880818283[[#This Row],[CIE-10]]))</f>
        <v>0</v>
      </c>
      <c r="U34" s="3">
        <f>IF($AK$2="(Todas)",COUNTIF(BASE[CODCIE102],EPV_SARAMPION64666972737880818283[[#This Row],[CIE-10]]),COUNTIFS(BASE[Cod.Establecimiento],$AK$2,BASE[CODCIE102],EPV_SARAMPION64666972737880818283[[#This Row],[CIE-10]]))</f>
        <v>0</v>
      </c>
      <c r="V34" s="3">
        <f>IF($AK$2="(Todas)",COUNTIF(BASE[CODCIE104],EPV_SARAMPION64666972737880818283[[#This Row],[CIE-10]]),COUNTIFS(BASE[Cod.Establecimiento],$AK$2,BASE[CODCIE104],EPV_SARAMPION64666972737880818283[[#This Row],[CIE-10]]))</f>
        <v>0</v>
      </c>
      <c r="W34" s="3">
        <f>IF($AK$2="(Todas)",COUNTIF(BASE[CODCIE106],EPV_SARAMPION64666972737880818283[[#This Row],[CIE-10]]),COUNTIFS(BASE[Cod.Establecimiento],$AK$2,BASE[CODCIE106],EPV_SARAMPION64666972737880818283[[#This Row],[CIE-10]]))</f>
        <v>0</v>
      </c>
      <c r="X34" s="3">
        <f>IF($AK$2="(Todas)",COUNTIF(BASE[CODCIE108],EPV_SARAMPION64666972737880818283[[#This Row],[CIE-10]]),COUNTIFS(BASE[Cod.Establecimiento],$AK$2,BASE[CODCIE108],EPV_SARAMPION64666972737880818283[[#This Row],[CIE-10]]))</f>
        <v>0</v>
      </c>
      <c r="Y34" s="3">
        <f>IF($AK$2="(Todas)",COUNTIF(BASE[CODCIE1010],EPV_SARAMPION64666972737880818283[[#This Row],[CIE-10]]),COUNTIFS(BASE[Cod.Establecimiento],$AK$2,BASE[CODCIE1010],EPV_SARAMPION64666972737880818283[[#This Row],[CIE-10]]))</f>
        <v>0</v>
      </c>
      <c r="Z34" s="9">
        <f>SUM(EPV_SARAMPION64666972737880818283[[#This Row],[D1]:[D6]])</f>
        <v>0</v>
      </c>
      <c r="AB34" t="s">
        <v>77</v>
      </c>
      <c r="AC34" s="3" t="s">
        <v>78</v>
      </c>
      <c r="AD34" s="3" t="s">
        <v>79</v>
      </c>
      <c r="AE34" s="3" t="s">
        <v>80</v>
      </c>
      <c r="AF34" s="3" t="s">
        <v>81</v>
      </c>
      <c r="AG34" s="3" t="s">
        <v>82</v>
      </c>
      <c r="AH34" s="3" t="s">
        <v>83</v>
      </c>
      <c r="AI34" s="8" t="s">
        <v>84</v>
      </c>
      <c r="AJ34" s="150" t="s">
        <v>599</v>
      </c>
      <c r="AK34" s="151"/>
    </row>
    <row r="35" spans="1:37" ht="15" customHeight="1">
      <c r="A35" s="4" t="s">
        <v>363</v>
      </c>
      <c r="B35" s="3">
        <f>IF($AK$2="(Todas)",COUNTIF(BASE[CODCIE10],EPV_SARAMPION6466697273788081[[#This Row],[CIE-10]]),COUNTIFS(BASE[Cod.Establecimiento],$AK$2,BASE[CODCIE10],EPV_SARAMPION6466697273788081[[#This Row],[CIE-10]]))</f>
        <v>0</v>
      </c>
      <c r="C35" s="3">
        <f>IF($AK$2="(Todas)",COUNTIF(BASE[CODCIE102],EPV_SARAMPION6466697273788081[[#This Row],[CIE-10]]),COUNTIFS(BASE[Cod.Establecimiento],$AK$2,BASE[CODCIE102],EPV_SARAMPION6466697273788081[[#This Row],[CIE-10]]))</f>
        <v>0</v>
      </c>
      <c r="D35" s="3">
        <f>IF($AK$2="(Todas)",COUNTIF(BASE[CODCIE104],EPV_SARAMPION6466697273788081[[#This Row],[CIE-10]]),COUNTIFS(BASE[Cod.Establecimiento],$AK$2,BASE[CODCIE104],EPV_SARAMPION6466697273788081[[#This Row],[CIE-10]]))</f>
        <v>0</v>
      </c>
      <c r="E35" s="3">
        <f>IF($AK$2="(Todas)",COUNTIF(BASE[CODCIE106],EPV_SARAMPION6466697273788081[[#This Row],[CIE-10]]),COUNTIFS(BASE[Cod.Establecimiento],$AK$2,BASE[CODCIE106],EPV_SARAMPION6466697273788081[[#This Row],[CIE-10]]))</f>
        <v>0</v>
      </c>
      <c r="F35" s="3">
        <f>IF($AK$2="(Todas)",COUNTIF(BASE[CODCIE108],EPV_SARAMPION6466697273788081[[#This Row],[CIE-10]]),COUNTIFS(BASE[Cod.Establecimiento],$AK$2,BASE[CODCIE108],EPV_SARAMPION6466697273788081[[#This Row],[CIE-10]]))</f>
        <v>0</v>
      </c>
      <c r="G35" s="3">
        <f>IF($AK$2="(Todas)",COUNTIF(BASE[CODCIE1010],EPV_SARAMPION6466697273788081[[#This Row],[CIE-10]]),COUNTIFS(BASE[Cod.Establecimiento],$AK$2,BASE[CODCIE1010],EPV_SARAMPION6466697273788081[[#This Row],[CIE-10]]))</f>
        <v>0</v>
      </c>
      <c r="H35" s="9">
        <f>SUM(EPV_SARAMPION6466697273788081[[#This Row],[D1]:[D6]])</f>
        <v>0</v>
      </c>
      <c r="J35" s="4" t="s">
        <v>365</v>
      </c>
      <c r="K35" s="3">
        <f>IF($AK$2="(Todas)",COUNTIF(BASE[CODCIE10],EPV_SARAMPION646669727378808182[[#This Row],[CIE-10]]),COUNTIFS(BASE[Cod.Establecimiento],$AK$2,BASE[CODCIE10],EPV_SARAMPION646669727378808182[[#This Row],[CIE-10]]))</f>
        <v>0</v>
      </c>
      <c r="L35" s="3">
        <f>IF($AK$2="(Todas)",COUNTIF(BASE[CODCIE102],EPV_SARAMPION646669727378808182[[#This Row],[CIE-10]]),COUNTIFS(BASE[Cod.Establecimiento],$AK$2,BASE[CODCIE102],EPV_SARAMPION646669727378808182[[#This Row],[CIE-10]]))</f>
        <v>0</v>
      </c>
      <c r="M35" s="3">
        <f>IF($AK$2="(Todas)",COUNTIF(BASE[CODCIE104],EPV_SARAMPION646669727378808182[[#This Row],[CIE-10]]),COUNTIFS(BASE[Cod.Establecimiento],$AK$2,BASE[CODCIE104],EPV_SARAMPION646669727378808182[[#This Row],[CIE-10]]))</f>
        <v>0</v>
      </c>
      <c r="N35" s="3">
        <f>IF($AK$2="(Todas)",COUNTIF(BASE[CODCIE106],EPV_SARAMPION646669727378808182[[#This Row],[CIE-10]]),COUNTIFS(BASE[Cod.Establecimiento],$AK$2,BASE[CODCIE106],EPV_SARAMPION646669727378808182[[#This Row],[CIE-10]]))</f>
        <v>0</v>
      </c>
      <c r="O35" s="3">
        <f>IF($AK$2="(Todas)",COUNTIF(BASE[CODCIE108],EPV_SARAMPION646669727378808182[[#This Row],[CIE-10]]),COUNTIFS(BASE[Cod.Establecimiento],$AK$2,BASE[CODCIE108],EPV_SARAMPION646669727378808182[[#This Row],[CIE-10]]))</f>
        <v>0</v>
      </c>
      <c r="P35" s="3">
        <f>IF($AK$2="(Todas)",COUNTIF(BASE[CODCIE1010],EPV_SARAMPION646669727378808182[[#This Row],[CIE-10]]),COUNTIFS(BASE[Cod.Establecimiento],$AK$2,BASE[CODCIE1010],EPV_SARAMPION646669727378808182[[#This Row],[CIE-10]]))</f>
        <v>0</v>
      </c>
      <c r="Q35" s="9">
        <f>SUM(EPV_SARAMPION646669727378808182[[#This Row],[D1]:[D6]])</f>
        <v>0</v>
      </c>
      <c r="S35" s="31" t="s">
        <v>368</v>
      </c>
      <c r="T35" s="3">
        <f>IF($AK$2="(Todas)",COUNTIF(BASE[CODCIE10],EPV_SARAMPION64666972737880818283[[#This Row],[CIE-10]]),COUNTIFS(BASE[Cod.Establecimiento],$AK$2,BASE[CODCIE10],EPV_SARAMPION64666972737880818283[[#This Row],[CIE-10]]))</f>
        <v>0</v>
      </c>
      <c r="U35" s="3">
        <f>IF($AK$2="(Todas)",COUNTIF(BASE[CODCIE102],EPV_SARAMPION64666972737880818283[[#This Row],[CIE-10]]),COUNTIFS(BASE[Cod.Establecimiento],$AK$2,BASE[CODCIE102],EPV_SARAMPION64666972737880818283[[#This Row],[CIE-10]]))</f>
        <v>0</v>
      </c>
      <c r="V35" s="3">
        <f>IF($AK$2="(Todas)",COUNTIF(BASE[CODCIE104],EPV_SARAMPION64666972737880818283[[#This Row],[CIE-10]]),COUNTIFS(BASE[Cod.Establecimiento],$AK$2,BASE[CODCIE104],EPV_SARAMPION64666972737880818283[[#This Row],[CIE-10]]))</f>
        <v>0</v>
      </c>
      <c r="W35" s="3">
        <f>IF($AK$2="(Todas)",COUNTIF(BASE[CODCIE106],EPV_SARAMPION64666972737880818283[[#This Row],[CIE-10]]),COUNTIFS(BASE[Cod.Establecimiento],$AK$2,BASE[CODCIE106],EPV_SARAMPION64666972737880818283[[#This Row],[CIE-10]]))</f>
        <v>0</v>
      </c>
      <c r="X35" s="3">
        <f>IF($AK$2="(Todas)",COUNTIF(BASE[CODCIE108],EPV_SARAMPION64666972737880818283[[#This Row],[CIE-10]]),COUNTIFS(BASE[Cod.Establecimiento],$AK$2,BASE[CODCIE108],EPV_SARAMPION64666972737880818283[[#This Row],[CIE-10]]))</f>
        <v>0</v>
      </c>
      <c r="Y35" s="3">
        <f>IF($AK$2="(Todas)",COUNTIF(BASE[CODCIE1010],EPV_SARAMPION64666972737880818283[[#This Row],[CIE-10]]),COUNTIFS(BASE[Cod.Establecimiento],$AK$2,BASE[CODCIE1010],EPV_SARAMPION64666972737880818283[[#This Row],[CIE-10]]))</f>
        <v>0</v>
      </c>
      <c r="Z35" s="9">
        <f>SUM(EPV_SARAMPION64666972737880818283[[#This Row],[D1]:[D6]])</f>
        <v>0</v>
      </c>
      <c r="AB35" s="4" t="s">
        <v>370</v>
      </c>
      <c r="AC35" s="3">
        <f>IF($AK$2="(Todas)",COUNTIF(BASE[CODCIE10],EPV_SARAMPION6466697273788081828384[[#This Row],[CIE-10]]),COUNTIFS(BASE[Cod.Establecimiento],$AK$2,BASE[CODCIE10],EPV_SARAMPION6466697273788081828384[[#This Row],[CIE-10]]))</f>
        <v>0</v>
      </c>
      <c r="AD35" s="3">
        <f>IF($AK$2="(Todas)",COUNTIF(BASE[CODCIE102],EPV_SARAMPION6466697273788081828384[[#This Row],[CIE-10]]),COUNTIFS(BASE[Cod.Establecimiento],$AK$2,BASE[CODCIE102],EPV_SARAMPION6466697273788081828384[[#This Row],[CIE-10]]))</f>
        <v>0</v>
      </c>
      <c r="AE35" s="3">
        <f>IF($AK$2="(Todas)",COUNTIF(BASE[CODCIE104],EPV_SARAMPION6466697273788081828384[[#This Row],[CIE-10]]),COUNTIFS(BASE[Cod.Establecimiento],$AK$2,BASE[CODCIE104],EPV_SARAMPION6466697273788081828384[[#This Row],[CIE-10]]))</f>
        <v>0</v>
      </c>
      <c r="AF35" s="3">
        <f>IF($AK$2="(Todas)",COUNTIF(BASE[CODCIE106],EPV_SARAMPION6466697273788081828384[[#This Row],[CIE-10]]),COUNTIFS(BASE[Cod.Establecimiento],$AK$2,BASE[CODCIE106],EPV_SARAMPION6466697273788081828384[[#This Row],[CIE-10]]))</f>
        <v>0</v>
      </c>
      <c r="AG35" s="3">
        <f>IF($AK$2="(Todas)",COUNTIF(BASE[CODCIE108],EPV_SARAMPION6466697273788081828384[[#This Row],[CIE-10]]),COUNTIFS(BASE[Cod.Establecimiento],$AK$2,BASE[CODCIE108],EPV_SARAMPION6466697273788081828384[[#This Row],[CIE-10]]))</f>
        <v>0</v>
      </c>
      <c r="AH35" s="3">
        <f>IF($AK$2="(Todas)",COUNTIF(BASE[CODCIE1010],EPV_SARAMPION6466697273788081828384[[#This Row],[CIE-10]]),COUNTIFS(BASE[Cod.Establecimiento],$AK$2,BASE[CODCIE1010],EPV_SARAMPION6466697273788081828384[[#This Row],[CIE-10]]))</f>
        <v>0</v>
      </c>
      <c r="AI35" s="9">
        <f>SUM(EPV_SARAMPION6466697273788081828384[[#This Row],[D1]:[D6]])</f>
        <v>0</v>
      </c>
      <c r="AJ35" s="151"/>
      <c r="AK35" s="151"/>
    </row>
    <row r="36" spans="1:37" ht="15" customHeight="1">
      <c r="AJ36" s="151"/>
      <c r="AK36" s="151"/>
    </row>
    <row r="37" spans="1:37" ht="18" customHeight="1" thickBot="1">
      <c r="A37" s="87" t="s">
        <v>371</v>
      </c>
      <c r="B37" s="87"/>
      <c r="C37" s="87"/>
      <c r="D37" s="87"/>
      <c r="E37" s="87"/>
      <c r="F37" s="87"/>
      <c r="G37" s="87"/>
      <c r="H37" s="87"/>
      <c r="J37" s="87" t="s">
        <v>373</v>
      </c>
      <c r="K37" s="87"/>
      <c r="L37" s="87"/>
      <c r="M37" s="87"/>
      <c r="N37" s="87"/>
      <c r="O37" s="87"/>
      <c r="P37" s="87"/>
      <c r="Q37" s="87"/>
      <c r="S37" s="153" t="s">
        <v>380</v>
      </c>
      <c r="T37" s="153"/>
      <c r="U37" s="153"/>
      <c r="V37" s="153"/>
      <c r="W37" s="153"/>
      <c r="X37" s="153"/>
      <c r="Y37" s="153"/>
      <c r="Z37" s="153"/>
      <c r="AB37" s="87" t="s">
        <v>377</v>
      </c>
      <c r="AC37" s="87"/>
      <c r="AD37" s="87"/>
      <c r="AE37" s="87"/>
      <c r="AF37" s="87"/>
      <c r="AG37" s="87"/>
      <c r="AH37" s="87"/>
      <c r="AI37" s="87"/>
    </row>
    <row r="38" spans="1:37" ht="15.75" customHeight="1" thickTop="1">
      <c r="A38" s="6" t="str">
        <f>CONCATENATE("TOTAL: ",SUM(B38:G38))</f>
        <v>TOTAL: 0</v>
      </c>
      <c r="B38" s="5">
        <f>SUM(EPV_SARAMPION646669727378808185[D1])</f>
        <v>0</v>
      </c>
      <c r="C38" s="5">
        <f>SUM(EPV_SARAMPION646669727378808185[D2])</f>
        <v>0</v>
      </c>
      <c r="D38" s="5">
        <f>SUM(EPV_SARAMPION646669727378808185[D3])</f>
        <v>0</v>
      </c>
      <c r="E38" s="5">
        <f>SUM(EPV_SARAMPION646669727378808185[D4])</f>
        <v>0</v>
      </c>
      <c r="F38" s="5">
        <f>SUM(EPV_SARAMPION646669727378808185[D5])</f>
        <v>0</v>
      </c>
      <c r="G38" s="5">
        <f>SUM(EPV_SARAMPION646669727378808185[D6])</f>
        <v>0</v>
      </c>
      <c r="H38" s="7"/>
      <c r="J38" s="6" t="str">
        <f>CONCATENATE("TOTAL: ",SUM(K38:P38))</f>
        <v>TOTAL: 0</v>
      </c>
      <c r="K38" s="5">
        <f>SUM(EPV_SARAMPION64666972737880818586[D1])</f>
        <v>0</v>
      </c>
      <c r="L38" s="5">
        <f>SUM(EPV_SARAMPION64666972737880818586[D2])</f>
        <v>0</v>
      </c>
      <c r="M38" s="5">
        <f>SUM(EPV_SARAMPION64666972737880818586[D3])</f>
        <v>0</v>
      </c>
      <c r="N38" s="5">
        <f>SUM(EPV_SARAMPION64666972737880818586[D4])</f>
        <v>0</v>
      </c>
      <c r="O38" s="5">
        <f>SUM(EPV_SARAMPION64666972737880818586[D5])</f>
        <v>0</v>
      </c>
      <c r="P38" s="5">
        <f>SUM(EPV_SARAMPION64666972737880818586[D6])</f>
        <v>0</v>
      </c>
      <c r="Q38" s="7"/>
      <c r="S38" s="6" t="str">
        <f>CONCATENATE("TOTAL: ",SUM(T38:Y38))</f>
        <v>TOTAL: 0</v>
      </c>
      <c r="T38" s="5">
        <f>SUM(EPV_SARAMPION6466697273788081858687[D1])</f>
        <v>0</v>
      </c>
      <c r="U38" s="5">
        <f>SUM(EPV_SARAMPION6466697273788081858687[D2])</f>
        <v>0</v>
      </c>
      <c r="V38" s="5">
        <f>SUM(EPV_SARAMPION6466697273788081858687[D3])</f>
        <v>0</v>
      </c>
      <c r="W38" s="5">
        <f>SUM(EPV_SARAMPION6466697273788081858687[D4])</f>
        <v>0</v>
      </c>
      <c r="X38" s="5">
        <f>SUM(EPV_SARAMPION6466697273788081858687[D5])</f>
        <v>0</v>
      </c>
      <c r="Y38" s="5">
        <f>SUM(EPV_SARAMPION6466697273788081858687[D6])</f>
        <v>0</v>
      </c>
      <c r="Z38" s="7"/>
      <c r="AB38" s="6" t="str">
        <f>CONCATENATE("TOTAL: ",SUM(AC38:AH38))</f>
        <v>TOTAL: 0</v>
      </c>
      <c r="AC38" s="5">
        <f>SUM(EPV_SARAMPION646669727378808185868788[D1])</f>
        <v>0</v>
      </c>
      <c r="AD38" s="5">
        <f>SUM(EPV_SARAMPION646669727378808185868788[D2])</f>
        <v>0</v>
      </c>
      <c r="AE38" s="5">
        <f>SUM(EPV_SARAMPION646669727378808185868788[D3])</f>
        <v>0</v>
      </c>
      <c r="AF38" s="5">
        <f>SUM(EPV_SARAMPION646669727378808185868788[D4])</f>
        <v>0</v>
      </c>
      <c r="AG38" s="5">
        <f>SUM(EPV_SARAMPION646669727378808185868788[D5])</f>
        <v>0</v>
      </c>
      <c r="AH38" s="5">
        <f>SUM(EPV_SARAMPION646669727378808185868788[D6])</f>
        <v>0</v>
      </c>
      <c r="AI38" s="7"/>
    </row>
    <row r="39" spans="1:37" ht="15" customHeight="1">
      <c r="A39" t="s">
        <v>77</v>
      </c>
      <c r="B39" s="3" t="s">
        <v>78</v>
      </c>
      <c r="C39" s="3" t="s">
        <v>79</v>
      </c>
      <c r="D39" s="3" t="s">
        <v>80</v>
      </c>
      <c r="E39" s="3" t="s">
        <v>81</v>
      </c>
      <c r="F39" s="3" t="s">
        <v>82</v>
      </c>
      <c r="G39" s="3" t="s">
        <v>83</v>
      </c>
      <c r="H39" s="8" t="s">
        <v>84</v>
      </c>
      <c r="J39" t="s">
        <v>77</v>
      </c>
      <c r="K39" s="3" t="s">
        <v>78</v>
      </c>
      <c r="L39" s="3" t="s">
        <v>79</v>
      </c>
      <c r="M39" s="3" t="s">
        <v>80</v>
      </c>
      <c r="N39" s="3" t="s">
        <v>81</v>
      </c>
      <c r="O39" s="3" t="s">
        <v>82</v>
      </c>
      <c r="P39" s="3" t="s">
        <v>83</v>
      </c>
      <c r="Q39" s="8" t="s">
        <v>84</v>
      </c>
      <c r="S39" t="s">
        <v>77</v>
      </c>
      <c r="T39" s="3" t="s">
        <v>78</v>
      </c>
      <c r="U39" s="3" t="s">
        <v>79</v>
      </c>
      <c r="V39" s="3" t="s">
        <v>80</v>
      </c>
      <c r="W39" s="3" t="s">
        <v>81</v>
      </c>
      <c r="X39" s="3" t="s">
        <v>82</v>
      </c>
      <c r="Y39" s="3" t="s">
        <v>83</v>
      </c>
      <c r="Z39" s="8" t="s">
        <v>84</v>
      </c>
      <c r="AB39" t="s">
        <v>77</v>
      </c>
      <c r="AC39" s="3" t="s">
        <v>78</v>
      </c>
      <c r="AD39" s="3" t="s">
        <v>79</v>
      </c>
      <c r="AE39" s="3" t="s">
        <v>80</v>
      </c>
      <c r="AF39" s="3" t="s">
        <v>81</v>
      </c>
      <c r="AG39" s="3" t="s">
        <v>82</v>
      </c>
      <c r="AH39" s="3" t="s">
        <v>83</v>
      </c>
      <c r="AI39" s="8" t="s">
        <v>84</v>
      </c>
    </row>
    <row r="40" spans="1:37" ht="19.5" customHeight="1">
      <c r="A40" s="4" t="s">
        <v>372</v>
      </c>
      <c r="B40" s="3">
        <f>IF($AK$2="(Todas)",COUNTIF(BASE[CODCIE10],EPV_SARAMPION646669727378808185[[#This Row],[CIE-10]]),COUNTIFS(BASE[Cod.Establecimiento],$AK$2,BASE[CODCIE10],EPV_SARAMPION646669727378808185[[#This Row],[CIE-10]]))</f>
        <v>0</v>
      </c>
      <c r="C40" s="3">
        <f>IF($AK$2="(Todas)",COUNTIF(BASE[CODCIE102],EPV_SARAMPION646669727378808185[[#This Row],[CIE-10]]),COUNTIFS(BASE[Cod.Establecimiento],$AK$2,BASE[CODCIE102],EPV_SARAMPION646669727378808185[[#This Row],[CIE-10]]))</f>
        <v>0</v>
      </c>
      <c r="D40" s="3">
        <f>IF($AK$2="(Todas)",COUNTIF(BASE[CODCIE104],EPV_SARAMPION646669727378808185[[#This Row],[CIE-10]]),COUNTIFS(BASE[Cod.Establecimiento],$AK$2,BASE[CODCIE104],EPV_SARAMPION646669727378808185[[#This Row],[CIE-10]]))</f>
        <v>0</v>
      </c>
      <c r="E40" s="3">
        <f>IF($AK$2="(Todas)",COUNTIF(BASE[CODCIE106],EPV_SARAMPION646669727378808185[[#This Row],[CIE-10]]),COUNTIFS(BASE[Cod.Establecimiento],$AK$2,BASE[CODCIE106],EPV_SARAMPION646669727378808185[[#This Row],[CIE-10]]))</f>
        <v>0</v>
      </c>
      <c r="F40" s="3">
        <f>IF($AK$2="(Todas)",COUNTIF(BASE[CODCIE108],EPV_SARAMPION646669727378808185[[#This Row],[CIE-10]]),COUNTIFS(BASE[Cod.Establecimiento],$AK$2,BASE[CODCIE108],EPV_SARAMPION646669727378808185[[#This Row],[CIE-10]]))</f>
        <v>0</v>
      </c>
      <c r="G40" s="3">
        <f>IF($AK$2="(Todas)",COUNTIF(BASE[CODCIE1010],EPV_SARAMPION646669727378808185[[#This Row],[CIE-10]]),COUNTIFS(BASE[Cod.Establecimiento],$AK$2,BASE[CODCIE1010],EPV_SARAMPION646669727378808185[[#This Row],[CIE-10]]))</f>
        <v>0</v>
      </c>
      <c r="H40" s="9">
        <f>SUM(EPV_SARAMPION646669727378808185[[#This Row],[D1]:[D6]])</f>
        <v>0</v>
      </c>
      <c r="J40" s="4" t="s">
        <v>374</v>
      </c>
      <c r="K40" s="3">
        <f>IF($AK$2="(Todas)",COUNTIF(BASE[CODCIE10],EPV_SARAMPION64666972737880818586[[#This Row],[CIE-10]]),COUNTIFS(BASE[Cod.Establecimiento],$AK$2,BASE[CODCIE10],EPV_SARAMPION64666972737880818586[[#This Row],[CIE-10]]))</f>
        <v>0</v>
      </c>
      <c r="L40" s="3">
        <f>IF($AK$2="(Todas)",COUNTIF(BASE[CODCIE102],EPV_SARAMPION64666972737880818586[[#This Row],[CIE-10]]),COUNTIFS(BASE[Cod.Establecimiento],$AK$2,BASE[CODCIE102],EPV_SARAMPION64666972737880818586[[#This Row],[CIE-10]]))</f>
        <v>0</v>
      </c>
      <c r="M40" s="3">
        <f>IF($AK$2="(Todas)",COUNTIF(BASE[CODCIE104],EPV_SARAMPION64666972737880818586[[#This Row],[CIE-10]]),COUNTIFS(BASE[Cod.Establecimiento],$AK$2,BASE[CODCIE104],EPV_SARAMPION64666972737880818586[[#This Row],[CIE-10]]))</f>
        <v>0</v>
      </c>
      <c r="N40" s="3">
        <f>IF($AK$2="(Todas)",COUNTIF(BASE[CODCIE106],EPV_SARAMPION64666972737880818586[[#This Row],[CIE-10]]),COUNTIFS(BASE[Cod.Establecimiento],$AK$2,BASE[CODCIE106],EPV_SARAMPION64666972737880818586[[#This Row],[CIE-10]]))</f>
        <v>0</v>
      </c>
      <c r="O40" s="3">
        <f>IF($AK$2="(Todas)",COUNTIF(BASE[CODCIE108],EPV_SARAMPION64666972737880818586[[#This Row],[CIE-10]]),COUNTIFS(BASE[Cod.Establecimiento],$AK$2,BASE[CODCIE108],EPV_SARAMPION64666972737880818586[[#This Row],[CIE-10]]))</f>
        <v>0</v>
      </c>
      <c r="P40" s="3">
        <f>IF($AK$2="(Todas)",COUNTIF(BASE[CODCIE1010],EPV_SARAMPION64666972737880818586[[#This Row],[CIE-10]]),COUNTIFS(BASE[Cod.Establecimiento],$AK$2,BASE[CODCIE1010],EPV_SARAMPION64666972737880818586[[#This Row],[CIE-10]]))</f>
        <v>0</v>
      </c>
      <c r="Q40" s="9">
        <f>SUM(EPV_SARAMPION64666972737880818586[[#This Row],[D1]:[D6]])</f>
        <v>0</v>
      </c>
      <c r="S40" s="4" t="s">
        <v>375</v>
      </c>
      <c r="T40" s="3">
        <f>IF($AK$2="(Todas)",COUNTIF(BASE[CODCIE10],EPV_SARAMPION6466697273788081858687[[#This Row],[CIE-10]]),COUNTIFS(BASE[Cod.Establecimiento],$AK$2,BASE[CODCIE10],EPV_SARAMPION6466697273788081858687[[#This Row],[CIE-10]]))</f>
        <v>0</v>
      </c>
      <c r="U40" s="3">
        <f>IF($AK$2="(Todas)",COUNTIF(BASE[CODCIE102],EPV_SARAMPION6466697273788081858687[[#This Row],[CIE-10]]),COUNTIFS(BASE[Cod.Establecimiento],$AK$2,BASE[CODCIE102],EPV_SARAMPION6466697273788081858687[[#This Row],[CIE-10]]))</f>
        <v>0</v>
      </c>
      <c r="V40" s="3">
        <f>IF($AK$2="(Todas)",COUNTIF(BASE[CODCIE104],EPV_SARAMPION6466697273788081858687[[#This Row],[CIE-10]]),COUNTIFS(BASE[Cod.Establecimiento],$AK$2,BASE[CODCIE104],EPV_SARAMPION6466697273788081858687[[#This Row],[CIE-10]]))</f>
        <v>0</v>
      </c>
      <c r="W40" s="3">
        <f>IF($AK$2="(Todas)",COUNTIF(BASE[CODCIE106],EPV_SARAMPION6466697273788081858687[[#This Row],[CIE-10]]),COUNTIFS(BASE[Cod.Establecimiento],$AK$2,BASE[CODCIE106],EPV_SARAMPION6466697273788081858687[[#This Row],[CIE-10]]))</f>
        <v>0</v>
      </c>
      <c r="X40" s="3">
        <f>IF($AK$2="(Todas)",COUNTIF(BASE[CODCIE108],EPV_SARAMPION6466697273788081858687[[#This Row],[CIE-10]]),COUNTIFS(BASE[Cod.Establecimiento],$AK$2,BASE[CODCIE108],EPV_SARAMPION6466697273788081858687[[#This Row],[CIE-10]]))</f>
        <v>0</v>
      </c>
      <c r="Y40" s="3">
        <f>IF($AK$2="(Todas)",COUNTIF(BASE[CODCIE1010],EPV_SARAMPION6466697273788081858687[[#This Row],[CIE-10]]),COUNTIFS(BASE[Cod.Establecimiento],$AK$2,BASE[CODCIE1010],EPV_SARAMPION6466697273788081858687[[#This Row],[CIE-10]]))</f>
        <v>0</v>
      </c>
      <c r="Z40" s="9">
        <f>SUM(EPV_SARAMPION6466697273788081858687[[#This Row],[D1]:[D6]])</f>
        <v>0</v>
      </c>
      <c r="AB40" s="4" t="s">
        <v>378</v>
      </c>
      <c r="AC40" s="3">
        <f>IF($AK$2="(Todas)",COUNTIF(BASE[CODCIE10],EPV_SARAMPION646669727378808185868788[[#This Row],[CIE-10]]),COUNTIFS(BASE[Cod.Establecimiento],$AK$2,BASE[CODCIE10],EPV_SARAMPION646669727378808185868788[[#This Row],[CIE-10]]))</f>
        <v>0</v>
      </c>
      <c r="AD40" s="3">
        <f>IF($AK$2="(Todas)",COUNTIF(BASE[CODCIE102],EPV_SARAMPION646669727378808185868788[[#This Row],[CIE-10]]),COUNTIFS(BASE[Cod.Establecimiento],$AK$2,BASE[CODCIE102],EPV_SARAMPION646669727378808185868788[[#This Row],[CIE-10]]))</f>
        <v>0</v>
      </c>
      <c r="AE40" s="3">
        <f>IF($AK$2="(Todas)",COUNTIF(BASE[CODCIE104],EPV_SARAMPION646669727378808185868788[[#This Row],[CIE-10]]),COUNTIFS(BASE[Cod.Establecimiento],$AK$2,BASE[CODCIE104],EPV_SARAMPION646669727378808185868788[[#This Row],[CIE-10]]))</f>
        <v>0</v>
      </c>
      <c r="AF40" s="3">
        <f>IF($AK$2="(Todas)",COUNTIF(BASE[CODCIE106],EPV_SARAMPION646669727378808185868788[[#This Row],[CIE-10]]),COUNTIFS(BASE[Cod.Establecimiento],$AK$2,BASE[CODCIE106],EPV_SARAMPION646669727378808185868788[[#This Row],[CIE-10]]))</f>
        <v>0</v>
      </c>
      <c r="AG40" s="3">
        <f>IF($AK$2="(Todas)",COUNTIF(BASE[CODCIE108],EPV_SARAMPION646669727378808185868788[[#This Row],[CIE-10]]),COUNTIFS(BASE[Cod.Establecimiento],$AK$2,BASE[CODCIE108],EPV_SARAMPION646669727378808185868788[[#This Row],[CIE-10]]))</f>
        <v>0</v>
      </c>
      <c r="AH40" s="3">
        <f>IF($AK$2="(Todas)",COUNTIF(BASE[CODCIE1010],EPV_SARAMPION646669727378808185868788[[#This Row],[CIE-10]]),COUNTIFS(BASE[Cod.Establecimiento],$AK$2,BASE[CODCIE1010],EPV_SARAMPION646669727378808185868788[[#This Row],[CIE-10]]))</f>
        <v>0</v>
      </c>
      <c r="AI40" s="9">
        <f>SUM(EPV_SARAMPION646669727378808185868788[[#This Row],[D1]:[D6]])</f>
        <v>0</v>
      </c>
    </row>
    <row r="41" spans="1:37" ht="19.5" customHeight="1">
      <c r="S41" s="4" t="s">
        <v>376</v>
      </c>
      <c r="T41" s="3">
        <f>IF($AK$2="(Todas)",COUNTIF(BASE[CODCIE10],EPV_SARAMPION6466697273788081858687[[#This Row],[CIE-10]]),COUNTIFS(BASE[Cod.Establecimiento],$AK$2,BASE[CODCIE10],EPV_SARAMPION6466697273788081858687[[#This Row],[CIE-10]]))</f>
        <v>0</v>
      </c>
      <c r="U41" s="3">
        <f>IF($AK$2="(Todas)",COUNTIF(BASE[CODCIE102],EPV_SARAMPION6466697273788081858687[[#This Row],[CIE-10]]),COUNTIFS(BASE[Cod.Establecimiento],$AK$2,BASE[CODCIE102],EPV_SARAMPION6466697273788081858687[[#This Row],[CIE-10]]))</f>
        <v>0</v>
      </c>
      <c r="V41" s="3">
        <f>IF($AK$2="(Todas)",COUNTIF(BASE[CODCIE104],EPV_SARAMPION6466697273788081858687[[#This Row],[CIE-10]]),COUNTIFS(BASE[Cod.Establecimiento],$AK$2,BASE[CODCIE104],EPV_SARAMPION6466697273788081858687[[#This Row],[CIE-10]]))</f>
        <v>0</v>
      </c>
      <c r="W41" s="3">
        <f>IF($AK$2="(Todas)",COUNTIF(BASE[CODCIE106],EPV_SARAMPION6466697273788081858687[[#This Row],[CIE-10]]),COUNTIFS(BASE[Cod.Establecimiento],$AK$2,BASE[CODCIE106],EPV_SARAMPION6466697273788081858687[[#This Row],[CIE-10]]))</f>
        <v>0</v>
      </c>
      <c r="X41" s="3">
        <f>IF($AK$2="(Todas)",COUNTIF(BASE[CODCIE108],EPV_SARAMPION6466697273788081858687[[#This Row],[CIE-10]]),COUNTIFS(BASE[Cod.Establecimiento],$AK$2,BASE[CODCIE108],EPV_SARAMPION6466697273788081858687[[#This Row],[CIE-10]]))</f>
        <v>0</v>
      </c>
      <c r="Y41" s="3">
        <f>IF($AK$2="(Todas)",COUNTIF(BASE[CODCIE1010],EPV_SARAMPION6466697273788081858687[[#This Row],[CIE-10]]),COUNTIFS(BASE[Cod.Establecimiento],$AK$2,BASE[CODCIE1010],EPV_SARAMPION6466697273788081858687[[#This Row],[CIE-10]]))</f>
        <v>0</v>
      </c>
      <c r="Z41" s="9">
        <f>SUM(EPV_SARAMPION6466697273788081858687[[#This Row],[D1]:[D6]])</f>
        <v>0</v>
      </c>
      <c r="AA41" s="67"/>
      <c r="AB41" s="4" t="s">
        <v>379</v>
      </c>
      <c r="AC41" s="3">
        <f>IF($AK$2="(Todas)",COUNTIF(BASE[CODCIE10],EPV_SARAMPION646669727378808185868788[[#This Row],[CIE-10]]),COUNTIFS(BASE[Cod.Establecimiento],$AK$2,BASE[CODCIE10],EPV_SARAMPION646669727378808185868788[[#This Row],[CIE-10]]))</f>
        <v>0</v>
      </c>
      <c r="AD41" s="3">
        <f>IF($AK$2="(Todas)",COUNTIF(BASE[CODCIE102],EPV_SARAMPION646669727378808185868788[[#This Row],[CIE-10]]),COUNTIFS(BASE[Cod.Establecimiento],$AK$2,BASE[CODCIE102],EPV_SARAMPION646669727378808185868788[[#This Row],[CIE-10]]))</f>
        <v>0</v>
      </c>
      <c r="AE41" s="3">
        <f>IF($AK$2="(Todas)",COUNTIF(BASE[CODCIE104],EPV_SARAMPION646669727378808185868788[[#This Row],[CIE-10]]),COUNTIFS(BASE[Cod.Establecimiento],$AK$2,BASE[CODCIE104],EPV_SARAMPION646669727378808185868788[[#This Row],[CIE-10]]))</f>
        <v>0</v>
      </c>
      <c r="AF41" s="3">
        <f>IF($AK$2="(Todas)",COUNTIF(BASE[CODCIE106],EPV_SARAMPION646669727378808185868788[[#This Row],[CIE-10]]),COUNTIFS(BASE[Cod.Establecimiento],$AK$2,BASE[CODCIE106],EPV_SARAMPION646669727378808185868788[[#This Row],[CIE-10]]))</f>
        <v>0</v>
      </c>
      <c r="AG41" s="3">
        <f>IF($AK$2="(Todas)",COUNTIF(BASE[CODCIE108],EPV_SARAMPION646669727378808185868788[[#This Row],[CIE-10]]),COUNTIFS(BASE[Cod.Establecimiento],$AK$2,BASE[CODCIE108],EPV_SARAMPION646669727378808185868788[[#This Row],[CIE-10]]))</f>
        <v>0</v>
      </c>
      <c r="AH41" s="3">
        <f>IF($AK$2="(Todas)",COUNTIF(BASE[CODCIE1010],EPV_SARAMPION646669727378808185868788[[#This Row],[CIE-10]]),COUNTIFS(BASE[Cod.Establecimiento],$AK$2,BASE[CODCIE1010],EPV_SARAMPION646669727378808185868788[[#This Row],[CIE-10]]))</f>
        <v>0</v>
      </c>
      <c r="AI41" s="9">
        <f>SUM(EPV_SARAMPION646669727378808185868788[[#This Row],[D1]:[D6]])</f>
        <v>0</v>
      </c>
    </row>
    <row r="42" spans="1:37" ht="15" customHeight="1"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</row>
    <row r="43" spans="1:37" ht="15" customHeight="1" thickBot="1">
      <c r="A43" s="87" t="s">
        <v>381</v>
      </c>
      <c r="B43" s="87"/>
      <c r="C43" s="87"/>
      <c r="D43" s="87"/>
      <c r="E43" s="87"/>
      <c r="F43" s="87"/>
      <c r="G43" s="87"/>
      <c r="H43" s="87"/>
      <c r="J43" s="87" t="s">
        <v>110</v>
      </c>
      <c r="K43" s="87"/>
      <c r="L43" s="87"/>
      <c r="M43" s="87"/>
      <c r="N43" s="87"/>
      <c r="O43" s="87"/>
      <c r="P43" s="87"/>
      <c r="Q43" s="87"/>
      <c r="S43" s="87" t="s">
        <v>382</v>
      </c>
      <c r="T43" s="87"/>
      <c r="U43" s="87"/>
      <c r="V43" s="87"/>
      <c r="W43" s="87"/>
      <c r="X43" s="87"/>
      <c r="Y43" s="87"/>
      <c r="Z43" s="87"/>
      <c r="AA43" s="67"/>
      <c r="AB43" s="87" t="s">
        <v>383</v>
      </c>
      <c r="AC43" s="87"/>
      <c r="AD43" s="87"/>
      <c r="AE43" s="87"/>
      <c r="AF43" s="87"/>
      <c r="AG43" s="87"/>
      <c r="AH43" s="87"/>
      <c r="AI43" s="87"/>
    </row>
    <row r="44" spans="1:37" ht="15" customHeight="1" thickTop="1">
      <c r="A44" s="6" t="str">
        <f>CONCATENATE("TOTAL: ",SUM(B44:G44))</f>
        <v>TOTAL: 0</v>
      </c>
      <c r="B44" s="5">
        <f>SUM(EPV_SARAMPION64666972737880818591[D1])</f>
        <v>0</v>
      </c>
      <c r="C44" s="5">
        <f>SUM(EPV_SARAMPION64666972737880818591[D2])</f>
        <v>0</v>
      </c>
      <c r="D44" s="5">
        <f>SUM(EPV_SARAMPION64666972737880818591[D3])</f>
        <v>0</v>
      </c>
      <c r="E44" s="5">
        <f>SUM(EPV_SARAMPION64666972737880818591[D4])</f>
        <v>0</v>
      </c>
      <c r="F44" s="5">
        <f>SUM(EPV_SARAMPION64666972737880818591[D5])</f>
        <v>0</v>
      </c>
      <c r="G44" s="5">
        <f>SUM(EPV_SARAMPION64666972737880818591[D6])</f>
        <v>0</v>
      </c>
      <c r="H44" s="7"/>
      <c r="J44" s="6" t="str">
        <f>CONCATENATE("TOTAL: ",SUM(K44:P44))</f>
        <v>TOTAL: 0</v>
      </c>
      <c r="K44" s="5">
        <f>SUM(EPV_SARAMPION64666972737880818592[D1])</f>
        <v>0</v>
      </c>
      <c r="L44" s="5">
        <f>SUM(EPV_SARAMPION64666972737880818592[D2])</f>
        <v>0</v>
      </c>
      <c r="M44" s="5">
        <f>SUM(EPV_SARAMPION64666972737880818592[D3])</f>
        <v>0</v>
      </c>
      <c r="N44" s="5">
        <f>SUM(EPV_SARAMPION64666972737880818592[D4])</f>
        <v>0</v>
      </c>
      <c r="O44" s="5">
        <f>SUM(EPV_SARAMPION64666972737880818592[D5])</f>
        <v>0</v>
      </c>
      <c r="P44" s="5">
        <f>SUM(EPV_SARAMPION64666972737880818592[D6])</f>
        <v>0</v>
      </c>
      <c r="Q44" s="7"/>
      <c r="S44" s="6" t="str">
        <f>CONCATENATE("TOTAL: ",SUM(T44:Y44))</f>
        <v>TOTAL: 0</v>
      </c>
      <c r="T44" s="5">
        <f>SUM(EPV_SARAMPION6466697273788081859294[D1])</f>
        <v>0</v>
      </c>
      <c r="U44" s="5">
        <f>SUM(EPV_SARAMPION6466697273788081859294[D2])</f>
        <v>0</v>
      </c>
      <c r="V44" s="5">
        <f>SUM(EPV_SARAMPION6466697273788081859294[D3])</f>
        <v>0</v>
      </c>
      <c r="W44" s="5">
        <f>SUM(EPV_SARAMPION6466697273788081859294[D4])</f>
        <v>0</v>
      </c>
      <c r="X44" s="5">
        <f>SUM(EPV_SARAMPION6466697273788081859294[D5])</f>
        <v>0</v>
      </c>
      <c r="Y44" s="5">
        <f>SUM(EPV_SARAMPION6466697273788081859294[D6])</f>
        <v>0</v>
      </c>
      <c r="Z44" s="7"/>
      <c r="AA44" s="67"/>
      <c r="AB44" s="6" t="str">
        <f>CONCATENATE("TOTAL: ",SUM(AC44:AH44))</f>
        <v>TOTAL: 0</v>
      </c>
      <c r="AC44" s="5">
        <f>SUM(EPV_SARAMPION646669727378808185929495[D1])</f>
        <v>0</v>
      </c>
      <c r="AD44" s="5">
        <f>SUM(EPV_SARAMPION646669727378808185929495[D2])</f>
        <v>0</v>
      </c>
      <c r="AE44" s="5">
        <f>SUM(EPV_SARAMPION646669727378808185929495[D3])</f>
        <v>0</v>
      </c>
      <c r="AF44" s="5">
        <f>SUM(EPV_SARAMPION646669727378808185929495[D4])</f>
        <v>0</v>
      </c>
      <c r="AG44" s="5">
        <f>SUM(EPV_SARAMPION646669727378808185929495[D5])</f>
        <v>0</v>
      </c>
      <c r="AH44" s="5">
        <f>SUM(EPV_SARAMPION646669727378808185929495[D6])</f>
        <v>0</v>
      </c>
      <c r="AI44" s="7"/>
    </row>
    <row r="45" spans="1:37" ht="15" customHeight="1">
      <c r="A45" t="s">
        <v>77</v>
      </c>
      <c r="B45" s="3" t="s">
        <v>78</v>
      </c>
      <c r="C45" s="3" t="s">
        <v>79</v>
      </c>
      <c r="D45" s="3" t="s">
        <v>80</v>
      </c>
      <c r="E45" s="3" t="s">
        <v>81</v>
      </c>
      <c r="F45" s="3" t="s">
        <v>82</v>
      </c>
      <c r="G45" s="3" t="s">
        <v>83</v>
      </c>
      <c r="H45" s="8" t="s">
        <v>84</v>
      </c>
      <c r="J45" t="s">
        <v>77</v>
      </c>
      <c r="K45" s="3" t="s">
        <v>78</v>
      </c>
      <c r="L45" s="3" t="s">
        <v>79</v>
      </c>
      <c r="M45" s="3" t="s">
        <v>80</v>
      </c>
      <c r="N45" s="3" t="s">
        <v>81</v>
      </c>
      <c r="O45" s="3" t="s">
        <v>82</v>
      </c>
      <c r="P45" s="3" t="s">
        <v>83</v>
      </c>
      <c r="Q45" s="8" t="s">
        <v>84</v>
      </c>
      <c r="S45" t="s">
        <v>77</v>
      </c>
      <c r="T45" s="3" t="s">
        <v>78</v>
      </c>
      <c r="U45" s="3" t="s">
        <v>79</v>
      </c>
      <c r="V45" s="3" t="s">
        <v>80</v>
      </c>
      <c r="W45" s="3" t="s">
        <v>81</v>
      </c>
      <c r="X45" s="3" t="s">
        <v>82</v>
      </c>
      <c r="Y45" s="3" t="s">
        <v>83</v>
      </c>
      <c r="Z45" s="8" t="s">
        <v>84</v>
      </c>
      <c r="AA45" s="67"/>
      <c r="AB45" t="s">
        <v>77</v>
      </c>
      <c r="AC45" s="3" t="s">
        <v>78</v>
      </c>
      <c r="AD45" s="3" t="s">
        <v>79</v>
      </c>
      <c r="AE45" s="3" t="s">
        <v>80</v>
      </c>
      <c r="AF45" s="3" t="s">
        <v>81</v>
      </c>
      <c r="AG45" s="3" t="s">
        <v>82</v>
      </c>
      <c r="AH45" s="3" t="s">
        <v>83</v>
      </c>
      <c r="AI45" s="8" t="s">
        <v>84</v>
      </c>
      <c r="AJ45" s="72"/>
      <c r="AK45" s="72"/>
    </row>
    <row r="46" spans="1:37" ht="15" customHeight="1">
      <c r="A46" s="4" t="s">
        <v>231</v>
      </c>
      <c r="B46" s="3">
        <f>IF($AK$2="(Todas)",COUNTIF(BASE[CODCIE10],EPV_SARAMPION64666972737880818591[[#This Row],[CIE-10]]),COUNTIFS(BASE[Cod.Establecimiento],$AK$2,BASE[CODCIE10],EPV_SARAMPION64666972737880818591[[#This Row],[CIE-10]]))</f>
        <v>0</v>
      </c>
      <c r="C46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6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6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6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6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6" s="9">
        <f>SUM(EPV_SARAMPION64666972737880818591[[#This Row],[D1]:[D6]])</f>
        <v>0</v>
      </c>
      <c r="J46" s="4" t="s">
        <v>114</v>
      </c>
      <c r="K46" s="3">
        <f>IF($AK$2="(Todas)",COUNTIF(BASE[CODCIE10],EPV_SARAMPION64666972737880818592[[#This Row],[CIE-10]]),COUNTIFS(BASE[Cod.Establecimiento],$AK$2,BASE[CODCIE10],EPV_SARAMPION64666972737880818592[[#This Row],[CIE-10]]))</f>
        <v>0</v>
      </c>
      <c r="L46" s="3">
        <f>IF($AK$2="(Todas)",COUNTIF(BASE[CODCIE102],EPV_SARAMPION64666972737880818592[[#This Row],[CIE-10]]),COUNTIFS(BASE[Cod.Establecimiento],$AK$2,BASE[CODCIE102],EPV_SARAMPION64666972737880818592[[#This Row],[CIE-10]]))</f>
        <v>0</v>
      </c>
      <c r="M46" s="3">
        <f>IF($AK$2="(Todas)",COUNTIF(BASE[CODCIE104],EPV_SARAMPION64666972737880818592[[#This Row],[CIE-10]]),COUNTIFS(BASE[Cod.Establecimiento],$AK$2,BASE[CODCIE104],EPV_SARAMPION64666972737880818592[[#This Row],[CIE-10]]))</f>
        <v>0</v>
      </c>
      <c r="N46" s="3">
        <f>IF($AK$2="(Todas)",COUNTIF(BASE[CODCIE106],EPV_SARAMPION64666972737880818592[[#This Row],[CIE-10]]),COUNTIFS(BASE[Cod.Establecimiento],$AK$2,BASE[CODCIE106],EPV_SARAMPION64666972737880818592[[#This Row],[CIE-10]]))</f>
        <v>0</v>
      </c>
      <c r="O46" s="3">
        <f>IF($AK$2="(Todas)",COUNTIF(BASE[CODCIE108],EPV_SARAMPION64666972737880818592[[#This Row],[CIE-10]]),COUNTIFS(BASE[Cod.Establecimiento],$AK$2,BASE[CODCIE108],EPV_SARAMPION64666972737880818592[[#This Row],[CIE-10]]))</f>
        <v>0</v>
      </c>
      <c r="P46" s="3">
        <f>IF($AK$2="(Todas)",COUNTIF(BASE[CODCIE1010],EPV_SARAMPION64666972737880818592[[#This Row],[CIE-10]]),COUNTIFS(BASE[Cod.Establecimiento],$AK$2,BASE[CODCIE1010],EPV_SARAMPION64666972737880818592[[#This Row],[CIE-10]]))</f>
        <v>0</v>
      </c>
      <c r="Q46" s="9">
        <f>SUM(EPV_SARAMPION64666972737880818592[[#This Row],[D1]:[D6]])</f>
        <v>0</v>
      </c>
      <c r="S46" s="4" t="s">
        <v>224</v>
      </c>
      <c r="T46" s="3">
        <f>IF($AK$2="(Todas)",COUNTIF(BASE[CODCIE10],EPV_SARAMPION6466697273788081859294[[#This Row],[CIE-10]]),COUNTIFS(BASE[Cod.Establecimiento],$AK$2,BASE[CODCIE10],EPV_SARAMPION6466697273788081859294[[#This Row],[CIE-10]]))</f>
        <v>0</v>
      </c>
      <c r="U46" s="3">
        <f>IF($AK$2="(Todas)",COUNTIF(BASE[CODCIE102],EPV_SARAMPION6466697273788081859294[[#This Row],[CIE-10]]),COUNTIFS(BASE[Cod.Establecimiento],$AK$2,BASE[CODCIE102],EPV_SARAMPION6466697273788081859294[[#This Row],[CIE-10]]))</f>
        <v>0</v>
      </c>
      <c r="V46" s="3">
        <f>IF($AK$2="(Todas)",COUNTIF(BASE[CODCIE104],EPV_SARAMPION6466697273788081859294[[#This Row],[CIE-10]]),COUNTIFS(BASE[Cod.Establecimiento],$AK$2,BASE[CODCIE104],EPV_SARAMPION6466697273788081859294[[#This Row],[CIE-10]]))</f>
        <v>0</v>
      </c>
      <c r="W46" s="3">
        <f>IF($AK$2="(Todas)",COUNTIF(BASE[CODCIE106],EPV_SARAMPION6466697273788081859294[[#This Row],[CIE-10]]),COUNTIFS(BASE[Cod.Establecimiento],$AK$2,BASE[CODCIE106],EPV_SARAMPION6466697273788081859294[[#This Row],[CIE-10]]))</f>
        <v>0</v>
      </c>
      <c r="X46" s="3">
        <f>IF($AK$2="(Todas)",COUNTIF(BASE[CODCIE108],EPV_SARAMPION6466697273788081859294[[#This Row],[CIE-10]]),COUNTIFS(BASE[Cod.Establecimiento],$AK$2,BASE[CODCIE108],EPV_SARAMPION6466697273788081859294[[#This Row],[CIE-10]]))</f>
        <v>0</v>
      </c>
      <c r="Y46" s="3">
        <f>IF($AK$2="(Todas)",COUNTIF(BASE[CODCIE1010],EPV_SARAMPION6466697273788081859294[[#This Row],[CIE-10]]),COUNTIFS(BASE[Cod.Establecimiento],$AK$2,BASE[CODCIE1010],EPV_SARAMPION6466697273788081859294[[#This Row],[CIE-10]]))</f>
        <v>0</v>
      </c>
      <c r="Z46" s="9">
        <f>SUM(EPV_SARAMPION6466697273788081859294[[#This Row],[D1]:[D6]])</f>
        <v>0</v>
      </c>
      <c r="AA46" s="67"/>
      <c r="AB46" s="4" t="s">
        <v>99</v>
      </c>
      <c r="AC46" s="3">
        <f>IF($AK$2="(Todas)",COUNTIF(BASE[CODCIE10],EPV_SARAMPION646669727378808185929495[[#This Row],[CIE-10]]),COUNTIFS(BASE[Cod.Establecimiento],$AK$2,BASE[CODCIE10],EPV_SARAMPION646669727378808185929495[[#This Row],[CIE-10]]))</f>
        <v>0</v>
      </c>
      <c r="AD46" s="3">
        <f>IF($AK$2="(Todas)",COUNTIF(BASE[CODCIE102],EPV_SARAMPION646669727378808185929495[[#This Row],[CIE-10]]),COUNTIFS(BASE[Cod.Establecimiento],$AK$2,BASE[CODCIE102],EPV_SARAMPION646669727378808185929495[[#This Row],[CIE-10]]))</f>
        <v>0</v>
      </c>
      <c r="AE46" s="3">
        <f>IF($AK$2="(Todas)",COUNTIF(BASE[CODCIE104],EPV_SARAMPION646669727378808185929495[[#This Row],[CIE-10]]),COUNTIFS(BASE[Cod.Establecimiento],$AK$2,BASE[CODCIE104],EPV_SARAMPION646669727378808185929495[[#This Row],[CIE-10]]))</f>
        <v>0</v>
      </c>
      <c r="AF46" s="3">
        <f>IF($AK$2="(Todas)",COUNTIF(BASE[CODCIE106],EPV_SARAMPION646669727378808185929495[[#This Row],[CIE-10]]),COUNTIFS(BASE[Cod.Establecimiento],$AK$2,BASE[CODCIE106],EPV_SARAMPION646669727378808185929495[[#This Row],[CIE-10]]))</f>
        <v>0</v>
      </c>
      <c r="AG46" s="3">
        <f>IF($AK$2="(Todas)",COUNTIF(BASE[CODCIE108],EPV_SARAMPION646669727378808185929495[[#This Row],[CIE-10]]),COUNTIFS(BASE[Cod.Establecimiento],$AK$2,BASE[CODCIE108],EPV_SARAMPION646669727378808185929495[[#This Row],[CIE-10]]))</f>
        <v>0</v>
      </c>
      <c r="AH46" s="3">
        <f>IF($AK$2="(Todas)",COUNTIF(BASE[CODCIE1010],EPV_SARAMPION646669727378808185929495[[#This Row],[CIE-10]]),COUNTIFS(BASE[Cod.Establecimiento],$AK$2,BASE[CODCIE1010],EPV_SARAMPION646669727378808185929495[[#This Row],[CIE-10]]))</f>
        <v>0</v>
      </c>
      <c r="AI46" s="9">
        <f>SUM(EPV_SARAMPION646669727378808185929495[[#This Row],[D1]:[D6]])</f>
        <v>0</v>
      </c>
      <c r="AJ46" s="72"/>
      <c r="AK46" s="72"/>
    </row>
    <row r="47" spans="1:37" ht="15" customHeight="1">
      <c r="A47" s="31" t="s">
        <v>233</v>
      </c>
      <c r="B47" s="3">
        <f>IF($AK$2="(Todas)",COUNTIF(BASE[CODCIE10],EPV_SARAMPION64666972737880818591[[#This Row],[CIE-10]]),COUNTIFS(BASE[Cod.Establecimiento],$AK$2,BASE[CODCIE10],EPV_SARAMPION64666972737880818591[[#This Row],[CIE-10]]))</f>
        <v>0</v>
      </c>
      <c r="C47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7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7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7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7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7" s="9">
        <f>SUM(EPV_SARAMPION64666972737880818591[[#This Row],[D1]:[D6]])</f>
        <v>0</v>
      </c>
    </row>
    <row r="48" spans="1:37" ht="15" customHeight="1" thickBot="1">
      <c r="A48" s="31" t="s">
        <v>234</v>
      </c>
      <c r="B48" s="3">
        <f>IF($AK$2="(Todas)",COUNTIF(BASE[CODCIE10],EPV_SARAMPION64666972737880818591[[#This Row],[CIE-10]]),COUNTIFS(BASE[Cod.Establecimiento],$AK$2,BASE[CODCIE10],EPV_SARAMPION64666972737880818591[[#This Row],[CIE-10]]))</f>
        <v>0</v>
      </c>
      <c r="C48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8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8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8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8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8" s="9">
        <f>SUM(EPV_SARAMPION64666972737880818591[[#This Row],[D1]:[D6]])</f>
        <v>0</v>
      </c>
      <c r="J48" s="87" t="s">
        <v>384</v>
      </c>
      <c r="K48" s="87"/>
      <c r="L48" s="87"/>
      <c r="M48" s="87"/>
      <c r="N48" s="87"/>
      <c r="O48" s="87"/>
      <c r="P48" s="87"/>
      <c r="Q48" s="87"/>
      <c r="S48" s="87" t="s">
        <v>386</v>
      </c>
      <c r="T48" s="87"/>
      <c r="U48" s="87"/>
      <c r="V48" s="87"/>
      <c r="W48" s="87"/>
      <c r="X48" s="87"/>
      <c r="Y48" s="87"/>
      <c r="Z48" s="87"/>
      <c r="AB48" s="87" t="s">
        <v>388</v>
      </c>
      <c r="AC48" s="87"/>
      <c r="AD48" s="87"/>
      <c r="AE48" s="87"/>
      <c r="AF48" s="87"/>
      <c r="AG48" s="87"/>
      <c r="AH48" s="87"/>
      <c r="AI48" s="87"/>
    </row>
    <row r="49" spans="1:35" ht="15" customHeight="1" thickTop="1">
      <c r="A49" s="31" t="s">
        <v>235</v>
      </c>
      <c r="B49" s="3">
        <f>IF($AK$2="(Todas)",COUNTIF(BASE[CODCIE10],EPV_SARAMPION64666972737880818591[[#This Row],[CIE-10]]),COUNTIFS(BASE[Cod.Establecimiento],$AK$2,BASE[CODCIE10],EPV_SARAMPION64666972737880818591[[#This Row],[CIE-10]]))</f>
        <v>0</v>
      </c>
      <c r="C49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49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49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49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49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49" s="9">
        <f>SUM(EPV_SARAMPION64666972737880818591[[#This Row],[D1]:[D6]])</f>
        <v>0</v>
      </c>
      <c r="J49" s="6" t="str">
        <f>CONCATENATE("TOTAL: ",SUM(K49:P49))</f>
        <v>TOTAL: 0</v>
      </c>
      <c r="K49" s="5">
        <f>SUM(EPV_SARAMPION6466697273788081859296[D1])</f>
        <v>0</v>
      </c>
      <c r="L49" s="5">
        <f>SUM(EPV_SARAMPION6466697273788081859296[D2])</f>
        <v>0</v>
      </c>
      <c r="M49" s="5">
        <f>SUM(EPV_SARAMPION6466697273788081859296[D3])</f>
        <v>0</v>
      </c>
      <c r="N49" s="5">
        <f>SUM(EPV_SARAMPION6466697273788081859296[D4])</f>
        <v>0</v>
      </c>
      <c r="O49" s="5">
        <f>SUM(EPV_SARAMPION6466697273788081859296[D5])</f>
        <v>0</v>
      </c>
      <c r="P49" s="5">
        <f>SUM(EPV_SARAMPION6466697273788081859296[D6])</f>
        <v>0</v>
      </c>
      <c r="Q49" s="7"/>
      <c r="S49" s="6" t="str">
        <f>CONCATENATE("TOTAL: ",SUM(T49:Y49))</f>
        <v>TOTAL: 0</v>
      </c>
      <c r="T49" s="5">
        <f>SUM(EPV_SARAMPION646669727378808185929697[D1])</f>
        <v>0</v>
      </c>
      <c r="U49" s="5">
        <f>SUM(EPV_SARAMPION646669727378808185929697[D2])</f>
        <v>0</v>
      </c>
      <c r="V49" s="5">
        <f>SUM(EPV_SARAMPION646669727378808185929697[D3])</f>
        <v>0</v>
      </c>
      <c r="W49" s="5">
        <f>SUM(EPV_SARAMPION646669727378808185929697[D4])</f>
        <v>0</v>
      </c>
      <c r="X49" s="5">
        <f>SUM(EPV_SARAMPION646669727378808185929697[D5])</f>
        <v>0</v>
      </c>
      <c r="Y49" s="5">
        <f>SUM(EPV_SARAMPION646669727378808185929697[D6])</f>
        <v>0</v>
      </c>
      <c r="Z49" s="7"/>
      <c r="AB49" s="6" t="str">
        <f>CONCATENATE("TOTAL: ",SUM(AC49:AH49))</f>
        <v>TOTAL: 0</v>
      </c>
      <c r="AC49" s="5">
        <f>SUM(EPV_SARAMPION64666972737880818592969798[D1])</f>
        <v>0</v>
      </c>
      <c r="AD49" s="5">
        <f>SUM(EPV_SARAMPION64666972737880818592969798[D2])</f>
        <v>0</v>
      </c>
      <c r="AE49" s="5">
        <f>SUM(EPV_SARAMPION64666972737880818592969798[D3])</f>
        <v>0</v>
      </c>
      <c r="AF49" s="5">
        <f>SUM(EPV_SARAMPION64666972737880818592969798[D4])</f>
        <v>0</v>
      </c>
      <c r="AG49" s="5">
        <f>SUM(EPV_SARAMPION64666972737880818592969798[D5])</f>
        <v>0</v>
      </c>
      <c r="AH49" s="5">
        <f>SUM(EPV_SARAMPION64666972737880818592969798[D6])</f>
        <v>0</v>
      </c>
      <c r="AI49" s="7"/>
    </row>
    <row r="50" spans="1:35" ht="15" customHeight="1">
      <c r="A50" s="31" t="s">
        <v>236</v>
      </c>
      <c r="B50" s="3">
        <f>IF($AK$2="(Todas)",COUNTIF(BASE[CODCIE10],EPV_SARAMPION64666972737880818591[[#This Row],[CIE-10]]),COUNTIFS(BASE[Cod.Establecimiento],$AK$2,BASE[CODCIE10],EPV_SARAMPION64666972737880818591[[#This Row],[CIE-10]]))</f>
        <v>0</v>
      </c>
      <c r="C50" s="3">
        <f>IF($AK$2="(Todas)",COUNTIF(BASE[CODCIE102],EPV_SARAMPION64666972737880818591[[#This Row],[CIE-10]]),COUNTIFS(BASE[Cod.Establecimiento],$AK$2,BASE[CODCIE102],EPV_SARAMPION64666972737880818591[[#This Row],[CIE-10]]))</f>
        <v>0</v>
      </c>
      <c r="D50" s="3">
        <f>IF($AK$2="(Todas)",COUNTIF(BASE[CODCIE104],EPV_SARAMPION64666972737880818591[[#This Row],[CIE-10]]),COUNTIFS(BASE[Cod.Establecimiento],$AK$2,BASE[CODCIE104],EPV_SARAMPION64666972737880818591[[#This Row],[CIE-10]]))</f>
        <v>0</v>
      </c>
      <c r="E50" s="3">
        <f>IF($AK$2="(Todas)",COUNTIF(BASE[CODCIE106],EPV_SARAMPION64666972737880818591[[#This Row],[CIE-10]]),COUNTIFS(BASE[Cod.Establecimiento],$AK$2,BASE[CODCIE106],EPV_SARAMPION64666972737880818591[[#This Row],[CIE-10]]))</f>
        <v>0</v>
      </c>
      <c r="F50" s="3">
        <f>IF($AK$2="(Todas)",COUNTIF(BASE[CODCIE108],EPV_SARAMPION64666972737880818591[[#This Row],[CIE-10]]),COUNTIFS(BASE[Cod.Establecimiento],$AK$2,BASE[CODCIE108],EPV_SARAMPION64666972737880818591[[#This Row],[CIE-10]]))</f>
        <v>0</v>
      </c>
      <c r="G50" s="3">
        <f>IF($AK$2="(Todas)",COUNTIF(BASE[CODCIE1010],EPV_SARAMPION64666972737880818591[[#This Row],[CIE-10]]),COUNTIFS(BASE[Cod.Establecimiento],$AK$2,BASE[CODCIE1010],EPV_SARAMPION64666972737880818591[[#This Row],[CIE-10]]))</f>
        <v>0</v>
      </c>
      <c r="H50" s="9">
        <f>SUM(EPV_SARAMPION64666972737880818591[[#This Row],[D1]:[D6]])</f>
        <v>0</v>
      </c>
      <c r="J50" t="s">
        <v>77</v>
      </c>
      <c r="K50" s="3" t="s">
        <v>78</v>
      </c>
      <c r="L50" s="3" t="s">
        <v>79</v>
      </c>
      <c r="M50" s="3" t="s">
        <v>80</v>
      </c>
      <c r="N50" s="3" t="s">
        <v>81</v>
      </c>
      <c r="O50" s="3" t="s">
        <v>82</v>
      </c>
      <c r="P50" s="3" t="s">
        <v>83</v>
      </c>
      <c r="Q50" s="8" t="s">
        <v>84</v>
      </c>
      <c r="S50" t="s">
        <v>77</v>
      </c>
      <c r="T50" s="3" t="s">
        <v>78</v>
      </c>
      <c r="U50" s="3" t="s">
        <v>79</v>
      </c>
      <c r="V50" s="3" t="s">
        <v>80</v>
      </c>
      <c r="W50" s="3" t="s">
        <v>81</v>
      </c>
      <c r="X50" s="3" t="s">
        <v>82</v>
      </c>
      <c r="Y50" s="3" t="s">
        <v>83</v>
      </c>
      <c r="Z50" s="8" t="s">
        <v>84</v>
      </c>
      <c r="AB50" t="s">
        <v>77</v>
      </c>
      <c r="AC50" s="3" t="s">
        <v>78</v>
      </c>
      <c r="AD50" s="3" t="s">
        <v>79</v>
      </c>
      <c r="AE50" s="3" t="s">
        <v>80</v>
      </c>
      <c r="AF50" s="3" t="s">
        <v>81</v>
      </c>
      <c r="AG50" s="3" t="s">
        <v>82</v>
      </c>
      <c r="AH50" s="3" t="s">
        <v>83</v>
      </c>
      <c r="AI50" s="8" t="s">
        <v>84</v>
      </c>
    </row>
    <row r="51" spans="1:35" ht="15" customHeight="1">
      <c r="J51" s="4" t="s">
        <v>385</v>
      </c>
      <c r="K51" s="3">
        <f>IF($AK$2="(Todas)",COUNTIF(BASE[CODCIE10],EPV_SARAMPION6466697273788081859296[[#This Row],[CIE-10]]),COUNTIFS(BASE[Cod.Establecimiento],$AK$2,BASE[CODCIE10],EPV_SARAMPION6466697273788081859296[[#This Row],[CIE-10]]))</f>
        <v>0</v>
      </c>
      <c r="L51" s="3">
        <f>IF($AK$2="(Todas)",COUNTIF(BASE[CODCIE102],EPV_SARAMPION6466697273788081859296[[#This Row],[CIE-10]]),COUNTIFS(BASE[Cod.Establecimiento],$AK$2,BASE[CODCIE102],EPV_SARAMPION6466697273788081859296[[#This Row],[CIE-10]]))</f>
        <v>0</v>
      </c>
      <c r="M51" s="3">
        <f>IF($AK$2="(Todas)",COUNTIF(BASE[CODCIE104],EPV_SARAMPION6466697273788081859296[[#This Row],[CIE-10]]),COUNTIFS(BASE[Cod.Establecimiento],$AK$2,BASE[CODCIE104],EPV_SARAMPION6466697273788081859296[[#This Row],[CIE-10]]))</f>
        <v>0</v>
      </c>
      <c r="N51" s="3">
        <f>IF($AK$2="(Todas)",COUNTIF(BASE[CODCIE106],EPV_SARAMPION6466697273788081859296[[#This Row],[CIE-10]]),COUNTIFS(BASE[Cod.Establecimiento],$AK$2,BASE[CODCIE106],EPV_SARAMPION6466697273788081859296[[#This Row],[CIE-10]]))</f>
        <v>0</v>
      </c>
      <c r="O51" s="3">
        <f>IF($AK$2="(Todas)",COUNTIF(BASE[CODCIE108],EPV_SARAMPION6466697273788081859296[[#This Row],[CIE-10]]),COUNTIFS(BASE[Cod.Establecimiento],$AK$2,BASE[CODCIE108],EPV_SARAMPION6466697273788081859296[[#This Row],[CIE-10]]))</f>
        <v>0</v>
      </c>
      <c r="P51" s="3">
        <f>IF($AK$2="(Todas)",COUNTIF(BASE[CODCIE1010],EPV_SARAMPION6466697273788081859296[[#This Row],[CIE-10]]),COUNTIFS(BASE[Cod.Establecimiento],$AK$2,BASE[CODCIE1010],EPV_SARAMPION6466697273788081859296[[#This Row],[CIE-10]]))</f>
        <v>0</v>
      </c>
      <c r="Q51" s="9">
        <f>SUM(EPV_SARAMPION6466697273788081859296[[#This Row],[D1]:[D6]])</f>
        <v>0</v>
      </c>
      <c r="S51" s="4" t="s">
        <v>387</v>
      </c>
      <c r="T51" s="3">
        <f>IF($AK$2="(Todas)",COUNTIF(BASE[CODCIE10],EPV_SARAMPION646669727378808185929697[[#This Row],[CIE-10]]),COUNTIFS(BASE[Cod.Establecimiento],$AK$2,BASE[CODCIE10],EPV_SARAMPION646669727378808185929697[[#This Row],[CIE-10]]))</f>
        <v>0</v>
      </c>
      <c r="U51" s="3">
        <f>IF($AK$2="(Todas)",COUNTIF(BASE[CODCIE102],EPV_SARAMPION646669727378808185929697[[#This Row],[CIE-10]]),COUNTIFS(BASE[Cod.Establecimiento],$AK$2,BASE[CODCIE102],EPV_SARAMPION646669727378808185929697[[#This Row],[CIE-10]]))</f>
        <v>0</v>
      </c>
      <c r="V51" s="3">
        <f>IF($AK$2="(Todas)",COUNTIF(BASE[CODCIE104],EPV_SARAMPION646669727378808185929697[[#This Row],[CIE-10]]),COUNTIFS(BASE[Cod.Establecimiento],$AK$2,BASE[CODCIE104],EPV_SARAMPION646669727378808185929697[[#This Row],[CIE-10]]))</f>
        <v>0</v>
      </c>
      <c r="W51" s="3">
        <f>IF($AK$2="(Todas)",COUNTIF(BASE[CODCIE106],EPV_SARAMPION646669727378808185929697[[#This Row],[CIE-10]]),COUNTIFS(BASE[Cod.Establecimiento],$AK$2,BASE[CODCIE106],EPV_SARAMPION646669727378808185929697[[#This Row],[CIE-10]]))</f>
        <v>0</v>
      </c>
      <c r="X51" s="3">
        <f>IF($AK$2="(Todas)",COUNTIF(BASE[CODCIE108],EPV_SARAMPION646669727378808185929697[[#This Row],[CIE-10]]),COUNTIFS(BASE[Cod.Establecimiento],$AK$2,BASE[CODCIE108],EPV_SARAMPION646669727378808185929697[[#This Row],[CIE-10]]))</f>
        <v>0</v>
      </c>
      <c r="Y51" s="3">
        <f>IF($AK$2="(Todas)",COUNTIF(BASE[CODCIE1010],EPV_SARAMPION646669727378808185929697[[#This Row],[CIE-10]]),COUNTIFS(BASE[Cod.Establecimiento],$AK$2,BASE[CODCIE1010],EPV_SARAMPION646669727378808185929697[[#This Row],[CIE-10]]))</f>
        <v>0</v>
      </c>
      <c r="Z51" s="9">
        <f>SUM(EPV_SARAMPION646669727378808185929697[[#This Row],[D1]:[D6]])</f>
        <v>0</v>
      </c>
      <c r="AB51" s="4" t="s">
        <v>389</v>
      </c>
      <c r="AC51" s="3">
        <f>IF($AK$2="(Todas)",COUNTIF(BASE[CODCIE10],EPV_SARAMPION64666972737880818592969798[[#This Row],[CIE-10]]),COUNTIFS(BASE[Cod.Establecimiento],$AK$2,BASE[CODCIE10],EPV_SARAMPION64666972737880818592969798[[#This Row],[CIE-10]]))</f>
        <v>0</v>
      </c>
      <c r="AD51" s="3">
        <f>IF($AK$2="(Todas)",COUNTIF(BASE[CODCIE102],EPV_SARAMPION64666972737880818592969798[[#This Row],[CIE-10]]),COUNTIFS(BASE[Cod.Establecimiento],$AK$2,BASE[CODCIE102],EPV_SARAMPION64666972737880818592969798[[#This Row],[CIE-10]]))</f>
        <v>0</v>
      </c>
      <c r="AE51" s="3">
        <f>IF($AK$2="(Todas)",COUNTIF(BASE[CODCIE104],EPV_SARAMPION64666972737880818592969798[[#This Row],[CIE-10]]),COUNTIFS(BASE[Cod.Establecimiento],$AK$2,BASE[CODCIE104],EPV_SARAMPION64666972737880818592969798[[#This Row],[CIE-10]]))</f>
        <v>0</v>
      </c>
      <c r="AF51" s="3">
        <f>IF($AK$2="(Todas)",COUNTIF(BASE[CODCIE106],EPV_SARAMPION64666972737880818592969798[[#This Row],[CIE-10]]),COUNTIFS(BASE[Cod.Establecimiento],$AK$2,BASE[CODCIE106],EPV_SARAMPION64666972737880818592969798[[#This Row],[CIE-10]]))</f>
        <v>0</v>
      </c>
      <c r="AG51" s="3">
        <f>IF($AK$2="(Todas)",COUNTIF(BASE[CODCIE108],EPV_SARAMPION64666972737880818592969798[[#This Row],[CIE-10]]),COUNTIFS(BASE[Cod.Establecimiento],$AK$2,BASE[CODCIE108],EPV_SARAMPION64666972737880818592969798[[#This Row],[CIE-10]]))</f>
        <v>0</v>
      </c>
      <c r="AH51" s="3">
        <f>IF($AK$2="(Todas)",COUNTIF(BASE[CODCIE1010],EPV_SARAMPION64666972737880818592969798[[#This Row],[CIE-10]]),COUNTIFS(BASE[Cod.Establecimiento],$AK$2,BASE[CODCIE1010],EPV_SARAMPION64666972737880818592969798[[#This Row],[CIE-10]]))</f>
        <v>0</v>
      </c>
      <c r="AI51" s="9">
        <f>SUM(EPV_SARAMPION64666972737880818592969798[[#This Row],[D1]:[D6]])</f>
        <v>0</v>
      </c>
    </row>
    <row r="52" spans="1:35" ht="15" customHeight="1"/>
    <row r="53" spans="1:35" ht="15" customHeight="1" thickBot="1">
      <c r="A53" s="87" t="s">
        <v>72</v>
      </c>
      <c r="B53" s="87"/>
      <c r="C53" s="87"/>
      <c r="D53" s="87"/>
      <c r="E53" s="87"/>
      <c r="F53" s="87"/>
      <c r="G53" s="87"/>
      <c r="H53" s="87"/>
      <c r="J53" s="87" t="s">
        <v>390</v>
      </c>
      <c r="K53" s="87"/>
      <c r="L53" s="87"/>
      <c r="M53" s="87"/>
      <c r="N53" s="87"/>
      <c r="O53" s="87"/>
      <c r="P53" s="87"/>
      <c r="Q53" s="87"/>
      <c r="S53" s="87" t="s">
        <v>74</v>
      </c>
      <c r="T53" s="87"/>
      <c r="U53" s="87"/>
      <c r="V53" s="87"/>
      <c r="W53" s="87"/>
      <c r="X53" s="87"/>
      <c r="Y53" s="87"/>
      <c r="Z53" s="87"/>
      <c r="AB53" s="87" t="s">
        <v>395</v>
      </c>
      <c r="AC53" s="87"/>
      <c r="AD53" s="87"/>
      <c r="AE53" s="87"/>
      <c r="AF53" s="87"/>
      <c r="AG53" s="87"/>
      <c r="AH53" s="87"/>
      <c r="AI53" s="87"/>
    </row>
    <row r="54" spans="1:35" ht="15" customHeight="1" thickTop="1">
      <c r="A54" s="6" t="str">
        <f>CONCATENATE("TOTAL: ",SUM(B54:G54))</f>
        <v>TOTAL: 0</v>
      </c>
      <c r="B54" s="5">
        <f>SUM(EPV_SARAMPION64666972737880818592969798100[D1])</f>
        <v>0</v>
      </c>
      <c r="C54" s="5">
        <f>SUM(EPV_SARAMPION64666972737880818592969798100[D2])</f>
        <v>0</v>
      </c>
      <c r="D54" s="5">
        <f>SUM(EPV_SARAMPION64666972737880818592969798100[D3])</f>
        <v>0</v>
      </c>
      <c r="E54" s="5">
        <f>SUM(EPV_SARAMPION64666972737880818592969798100[D4])</f>
        <v>0</v>
      </c>
      <c r="F54" s="5">
        <f>SUM(EPV_SARAMPION64666972737880818592969798100[D5])</f>
        <v>0</v>
      </c>
      <c r="G54" s="5">
        <f>SUM(EPV_SARAMPION64666972737880818592969798100[D6])</f>
        <v>0</v>
      </c>
      <c r="H54" s="7"/>
      <c r="J54" s="6" t="str">
        <f>CONCATENATE("TOTAL: ",SUM(K54:P54))</f>
        <v>TOTAL: 0</v>
      </c>
      <c r="K54" s="5">
        <f>SUM(EPV_SARAMPION6466697273788081859296979810068[D1])</f>
        <v>0</v>
      </c>
      <c r="L54" s="5">
        <f>SUM(EPV_SARAMPION6466697273788081859296979810068[D2])</f>
        <v>0</v>
      </c>
      <c r="M54" s="5">
        <f>SUM(EPV_SARAMPION6466697273788081859296979810068[D3])</f>
        <v>0</v>
      </c>
      <c r="N54" s="5">
        <f>SUM(EPV_SARAMPION6466697273788081859296979810068[D4])</f>
        <v>0</v>
      </c>
      <c r="O54" s="5">
        <f>SUM(EPV_SARAMPION6466697273788081859296979810068[D5])</f>
        <v>0</v>
      </c>
      <c r="P54" s="5">
        <f>SUM(EPV_SARAMPION6466697273788081859296979810068[D6])</f>
        <v>0</v>
      </c>
      <c r="Q54" s="7"/>
      <c r="S54" s="6" t="str">
        <f>CONCATENATE("TOTAL: ",SUM(T54:Y54))</f>
        <v>TOTAL: 0</v>
      </c>
      <c r="T54" s="5">
        <f>SUM(EPV_SARAMPION646669727378808185929697981006879[D1])</f>
        <v>0</v>
      </c>
      <c r="U54" s="5">
        <f>SUM(EPV_SARAMPION646669727378808185929697981006879[D2])</f>
        <v>0</v>
      </c>
      <c r="V54" s="5">
        <f>SUM(EPV_SARAMPION646669727378808185929697981006879[D3])</f>
        <v>0</v>
      </c>
      <c r="W54" s="5">
        <f>SUM(EPV_SARAMPION646669727378808185929697981006879[D4])</f>
        <v>0</v>
      </c>
      <c r="X54" s="5">
        <f>SUM(EPV_SARAMPION646669727378808185929697981006879[D5])</f>
        <v>0</v>
      </c>
      <c r="Y54" s="5">
        <f>SUM(EPV_SARAMPION646669727378808185929697981006879[D6])</f>
        <v>0</v>
      </c>
      <c r="Z54" s="7"/>
      <c r="AB54" s="6" t="str">
        <f>CONCATENATE("TOTAL: ",SUM(AC54:AH54))</f>
        <v>TOTAL: 0</v>
      </c>
      <c r="AC54" s="5">
        <f>SUM(EPV_SARAMPION64666972737880818592969798100687993[D1])</f>
        <v>0</v>
      </c>
      <c r="AD54" s="5">
        <f>SUM(EPV_SARAMPION64666972737880818592969798100687993[D2])</f>
        <v>0</v>
      </c>
      <c r="AE54" s="5">
        <f>SUM(EPV_SARAMPION64666972737880818592969798100687993[D3])</f>
        <v>0</v>
      </c>
      <c r="AF54" s="5">
        <f>SUM(EPV_SARAMPION64666972737880818592969798100687993[D4])</f>
        <v>0</v>
      </c>
      <c r="AG54" s="5">
        <f>SUM(EPV_SARAMPION64666972737880818592969798100687993[D5])</f>
        <v>0</v>
      </c>
      <c r="AH54" s="5">
        <f>SUM(EPV_SARAMPION64666972737880818592969798100687993[D6])</f>
        <v>0</v>
      </c>
      <c r="AI54" s="7"/>
    </row>
    <row r="55" spans="1:35" ht="15" customHeight="1">
      <c r="A55" t="s">
        <v>77</v>
      </c>
      <c r="B55" s="3" t="s">
        <v>78</v>
      </c>
      <c r="C55" s="3" t="s">
        <v>79</v>
      </c>
      <c r="D55" s="3" t="s">
        <v>80</v>
      </c>
      <c r="E55" s="3" t="s">
        <v>81</v>
      </c>
      <c r="F55" s="3" t="s">
        <v>82</v>
      </c>
      <c r="G55" s="3" t="s">
        <v>83</v>
      </c>
      <c r="H55" s="8" t="s">
        <v>84</v>
      </c>
      <c r="J55" t="s">
        <v>77</v>
      </c>
      <c r="K55" s="3" t="s">
        <v>78</v>
      </c>
      <c r="L55" s="3" t="s">
        <v>79</v>
      </c>
      <c r="M55" s="3" t="s">
        <v>80</v>
      </c>
      <c r="N55" s="3" t="s">
        <v>81</v>
      </c>
      <c r="O55" s="3" t="s">
        <v>82</v>
      </c>
      <c r="P55" s="3" t="s">
        <v>83</v>
      </c>
      <c r="Q55" s="8" t="s">
        <v>84</v>
      </c>
      <c r="S55" t="s">
        <v>77</v>
      </c>
      <c r="T55" s="3" t="s">
        <v>78</v>
      </c>
      <c r="U55" s="3" t="s">
        <v>79</v>
      </c>
      <c r="V55" s="3" t="s">
        <v>80</v>
      </c>
      <c r="W55" s="3" t="s">
        <v>81</v>
      </c>
      <c r="X55" s="3" t="s">
        <v>82</v>
      </c>
      <c r="Y55" s="3" t="s">
        <v>83</v>
      </c>
      <c r="Z55" s="8" t="s">
        <v>84</v>
      </c>
      <c r="AB55" t="s">
        <v>77</v>
      </c>
      <c r="AC55" s="3" t="s">
        <v>78</v>
      </c>
      <c r="AD55" s="3" t="s">
        <v>79</v>
      </c>
      <c r="AE55" s="3" t="s">
        <v>80</v>
      </c>
      <c r="AF55" s="3" t="s">
        <v>81</v>
      </c>
      <c r="AG55" s="3" t="s">
        <v>82</v>
      </c>
      <c r="AH55" s="3" t="s">
        <v>83</v>
      </c>
      <c r="AI55" s="8" t="s">
        <v>84</v>
      </c>
    </row>
    <row r="56" spans="1:35" ht="15" customHeight="1">
      <c r="A56" s="4" t="s">
        <v>104</v>
      </c>
      <c r="B56" s="3">
        <f>IF($AK$2="(Todas)",COUNTIF(BASE[CODCIE10],EPV_SARAMPION64666972737880818592969798100[[#This Row],[CIE-10]]),COUNTIFS(BASE[Cod.Establecimiento],$AK$2,BASE[CODCIE10],EPV_SARAMPION64666972737880818592969798100[[#This Row],[CIE-10]]))</f>
        <v>0</v>
      </c>
      <c r="C56" s="3">
        <f>IF($AK$2="(Todas)",COUNTIF(BASE[CODCIE102],EPV_SARAMPION64666972737880818592969798100[[#This Row],[CIE-10]]),COUNTIFS(BASE[Cod.Establecimiento],$AK$2,BASE[CODCIE102],EPV_SARAMPION64666972737880818592969798100[[#This Row],[CIE-10]]))</f>
        <v>0</v>
      </c>
      <c r="D56" s="3">
        <f>IF($AK$2="(Todas)",COUNTIF(BASE[CODCIE104],EPV_SARAMPION64666972737880818592969798100[[#This Row],[CIE-10]]),COUNTIFS(BASE[Cod.Establecimiento],$AK$2,BASE[CODCIE104],EPV_SARAMPION64666972737880818592969798100[[#This Row],[CIE-10]]))</f>
        <v>0</v>
      </c>
      <c r="E56" s="3">
        <f>IF($AK$2="(Todas)",COUNTIF(BASE[CODCIE106],EPV_SARAMPION64666972737880818592969798100[[#This Row],[CIE-10]]),COUNTIFS(BASE[Cod.Establecimiento],$AK$2,BASE[CODCIE106],EPV_SARAMPION64666972737880818592969798100[[#This Row],[CIE-10]]))</f>
        <v>0</v>
      </c>
      <c r="F56" s="3">
        <f>IF($AK$2="(Todas)",COUNTIF(BASE[CODCIE108],EPV_SARAMPION64666972737880818592969798100[[#This Row],[CIE-10]]),COUNTIFS(BASE[Cod.Establecimiento],$AK$2,BASE[CODCIE108],EPV_SARAMPION64666972737880818592969798100[[#This Row],[CIE-10]]))</f>
        <v>0</v>
      </c>
      <c r="G56" s="3">
        <f>IF($AK$2="(Todas)",COUNTIF(BASE[CODCIE1010],EPV_SARAMPION64666972737880818592969798100[[#This Row],[CIE-10]]),COUNTIFS(BASE[Cod.Establecimiento],$AK$2,BASE[CODCIE1010],EPV_SARAMPION64666972737880818592969798100[[#This Row],[CIE-10]]))</f>
        <v>0</v>
      </c>
      <c r="H56" s="9">
        <f>SUM(EPV_SARAMPION64666972737880818592969798100[[#This Row],[D1]:[D6]])</f>
        <v>0</v>
      </c>
      <c r="J56" s="4" t="s">
        <v>108</v>
      </c>
      <c r="K56" s="3">
        <f>IF($AK$2="(Todas)",COUNTIF(BASE[CODCIE10],EPV_SARAMPION6466697273788081859296979810068[[#This Row],[CIE-10]]),COUNTIFS(BASE[Cod.Establecimiento],$AK$2,BASE[CODCIE10],EPV_SARAMPION6466697273788081859296979810068[[#This Row],[CIE-10]]))</f>
        <v>0</v>
      </c>
      <c r="L56" s="3">
        <f>IF($AK$2="(Todas)",COUNTIF(BASE[CODCIE102],EPV_SARAMPION6466697273788081859296979810068[[#This Row],[CIE-10]]),COUNTIFS(BASE[Cod.Establecimiento],$AK$2,BASE[CODCIE102],EPV_SARAMPION6466697273788081859296979810068[[#This Row],[CIE-10]]))</f>
        <v>0</v>
      </c>
      <c r="M56" s="3">
        <f>IF($AK$2="(Todas)",COUNTIF(BASE[CODCIE104],EPV_SARAMPION6466697273788081859296979810068[[#This Row],[CIE-10]]),COUNTIFS(BASE[Cod.Establecimiento],$AK$2,BASE[CODCIE104],EPV_SARAMPION6466697273788081859296979810068[[#This Row],[CIE-10]]))</f>
        <v>0</v>
      </c>
      <c r="N56" s="3">
        <f>IF($AK$2="(Todas)",COUNTIF(BASE[CODCIE106],EPV_SARAMPION6466697273788081859296979810068[[#This Row],[CIE-10]]),COUNTIFS(BASE[Cod.Establecimiento],$AK$2,BASE[CODCIE106],EPV_SARAMPION6466697273788081859296979810068[[#This Row],[CIE-10]]))</f>
        <v>0</v>
      </c>
      <c r="O56" s="3">
        <f>IF($AK$2="(Todas)",COUNTIF(BASE[CODCIE108],EPV_SARAMPION6466697273788081859296979810068[[#This Row],[CIE-10]]),COUNTIFS(BASE[Cod.Establecimiento],$AK$2,BASE[CODCIE108],EPV_SARAMPION6466697273788081859296979810068[[#This Row],[CIE-10]]))</f>
        <v>0</v>
      </c>
      <c r="P56" s="3">
        <f>IF($AK$2="(Todas)",COUNTIF(BASE[CODCIE1010],EPV_SARAMPION6466697273788081859296979810068[[#This Row],[CIE-10]]),COUNTIFS(BASE[Cod.Establecimiento],$AK$2,BASE[CODCIE1010],EPV_SARAMPION6466697273788081859296979810068[[#This Row],[CIE-10]]))</f>
        <v>0</v>
      </c>
      <c r="Q56" s="9">
        <f>SUM(EPV_SARAMPION6466697273788081859296979810068[[#This Row],[D1]:[D6]])</f>
        <v>0</v>
      </c>
      <c r="S56" s="4" t="s">
        <v>105</v>
      </c>
      <c r="T56" s="3">
        <f>IF($AK$2="(Todas)",COUNTIF(BASE[CODCIE10],EPV_SARAMPION646669727378808185929697981006879[[#This Row],[CIE-10]]),COUNTIFS(BASE[Cod.Establecimiento],$AK$2,BASE[CODCIE10],EPV_SARAMPION646669727378808185929697981006879[[#This Row],[CIE-10]]))</f>
        <v>0</v>
      </c>
      <c r="U56" s="3">
        <f>IF($AK$2="(Todas)",COUNTIF(BASE[CODCIE102],EPV_SARAMPION646669727378808185929697981006879[[#This Row],[CIE-10]]),COUNTIFS(BASE[Cod.Establecimiento],$AK$2,BASE[CODCIE102],EPV_SARAMPION646669727378808185929697981006879[[#This Row],[CIE-10]]))</f>
        <v>0</v>
      </c>
      <c r="V56" s="3">
        <f>IF($AK$2="(Todas)",COUNTIF(BASE[CODCIE104],EPV_SARAMPION646669727378808185929697981006879[[#This Row],[CIE-10]]),COUNTIFS(BASE[Cod.Establecimiento],$AK$2,BASE[CODCIE104],EPV_SARAMPION646669727378808185929697981006879[[#This Row],[CIE-10]]))</f>
        <v>0</v>
      </c>
      <c r="W56" s="3">
        <f>IF($AK$2="(Todas)",COUNTIF(BASE[CODCIE106],EPV_SARAMPION646669727378808185929697981006879[[#This Row],[CIE-10]]),COUNTIFS(BASE[Cod.Establecimiento],$AK$2,BASE[CODCIE106],EPV_SARAMPION646669727378808185929697981006879[[#This Row],[CIE-10]]))</f>
        <v>0</v>
      </c>
      <c r="X56" s="3">
        <f>IF($AK$2="(Todas)",COUNTIF(BASE[CODCIE108],EPV_SARAMPION646669727378808185929697981006879[[#This Row],[CIE-10]]),COUNTIFS(BASE[Cod.Establecimiento],$AK$2,BASE[CODCIE108],EPV_SARAMPION646669727378808185929697981006879[[#This Row],[CIE-10]]))</f>
        <v>0</v>
      </c>
      <c r="Y56" s="3">
        <f>IF($AK$2="(Todas)",COUNTIF(BASE[CODCIE1010],EPV_SARAMPION646669727378808185929697981006879[[#This Row],[CIE-10]]),COUNTIFS(BASE[Cod.Establecimiento],$AK$2,BASE[CODCIE1010],EPV_SARAMPION646669727378808185929697981006879[[#This Row],[CIE-10]]))</f>
        <v>0</v>
      </c>
      <c r="Z56" s="9">
        <f>SUM(EPV_SARAMPION646669727378808185929697981006879[[#This Row],[D1]:[D6]])</f>
        <v>0</v>
      </c>
      <c r="AB56" s="4" t="s">
        <v>396</v>
      </c>
      <c r="AC56" s="3">
        <f>IF($AK$2="(Todas)",COUNTIF(BASE[CODCIE10],EPV_SARAMPION64666972737880818592969798100687993[[#This Row],[CIE-10]]),COUNTIFS(BASE[Cod.Establecimiento],$AK$2,BASE[CODCIE10],EPV_SARAMPION64666972737880818592969798100687993[[#This Row],[CIE-10]]))</f>
        <v>0</v>
      </c>
      <c r="AD56" s="3">
        <f>IF($AK$2="(Todas)",COUNTIF(BASE[CODCIE102],EPV_SARAMPION64666972737880818592969798100687993[[#This Row],[CIE-10]]),COUNTIFS(BASE[Cod.Establecimiento],$AK$2,BASE[CODCIE102],EPV_SARAMPION64666972737880818592969798100687993[[#This Row],[CIE-10]]))</f>
        <v>0</v>
      </c>
      <c r="AE56" s="3">
        <f>IF($AK$2="(Todas)",COUNTIF(BASE[CODCIE104],EPV_SARAMPION64666972737880818592969798100687993[[#This Row],[CIE-10]]),COUNTIFS(BASE[Cod.Establecimiento],$AK$2,BASE[CODCIE104],EPV_SARAMPION64666972737880818592969798100687993[[#This Row],[CIE-10]]))</f>
        <v>0</v>
      </c>
      <c r="AF56" s="3">
        <f>IF($AK$2="(Todas)",COUNTIF(BASE[CODCIE106],EPV_SARAMPION64666972737880818592969798100687993[[#This Row],[CIE-10]]),COUNTIFS(BASE[Cod.Establecimiento],$AK$2,BASE[CODCIE106],EPV_SARAMPION64666972737880818592969798100687993[[#This Row],[CIE-10]]))</f>
        <v>0</v>
      </c>
      <c r="AG56" s="3">
        <f>IF($AK$2="(Todas)",COUNTIF(BASE[CODCIE108],EPV_SARAMPION64666972737880818592969798100687993[[#This Row],[CIE-10]]),COUNTIFS(BASE[Cod.Establecimiento],$AK$2,BASE[CODCIE108],EPV_SARAMPION64666972737880818592969798100687993[[#This Row],[CIE-10]]))</f>
        <v>0</v>
      </c>
      <c r="AH56" s="3">
        <f>IF($AK$2="(Todas)",COUNTIF(BASE[CODCIE1010],EPV_SARAMPION64666972737880818592969798100687993[[#This Row],[CIE-10]]),COUNTIFS(BASE[Cod.Establecimiento],$AK$2,BASE[CODCIE1010],EPV_SARAMPION64666972737880818592969798100687993[[#This Row],[CIE-10]]))</f>
        <v>0</v>
      </c>
      <c r="AI56" s="9">
        <f>SUM(EPV_SARAMPION64666972737880818592969798100687993[[#This Row],[D1]:[D6]])</f>
        <v>0</v>
      </c>
    </row>
    <row r="57" spans="1:35" ht="15" customHeight="1"/>
    <row r="58" spans="1:35" ht="15" customHeight="1" thickBot="1">
      <c r="A58" s="87" t="s">
        <v>391</v>
      </c>
      <c r="B58" s="87"/>
      <c r="C58" s="87"/>
      <c r="D58" s="87"/>
      <c r="E58" s="87"/>
      <c r="F58" s="87"/>
      <c r="G58" s="87"/>
      <c r="H58" s="87"/>
      <c r="J58" s="87" t="s">
        <v>392</v>
      </c>
      <c r="K58" s="87"/>
      <c r="L58" s="87"/>
      <c r="M58" s="87"/>
      <c r="N58" s="87"/>
      <c r="O58" s="87"/>
      <c r="P58" s="87"/>
      <c r="Q58" s="87"/>
      <c r="S58" s="87" t="s">
        <v>112</v>
      </c>
      <c r="T58" s="87"/>
      <c r="U58" s="87"/>
      <c r="V58" s="87"/>
      <c r="W58" s="87"/>
      <c r="X58" s="87"/>
      <c r="Y58" s="87"/>
      <c r="Z58" s="87"/>
      <c r="AB58" s="87" t="s">
        <v>397</v>
      </c>
      <c r="AC58" s="87"/>
      <c r="AD58" s="87"/>
      <c r="AE58" s="87"/>
      <c r="AF58" s="87"/>
      <c r="AG58" s="87"/>
      <c r="AH58" s="87"/>
      <c r="AI58" s="87"/>
    </row>
    <row r="59" spans="1:35" ht="15" customHeight="1" thickTop="1">
      <c r="A59" s="6" t="str">
        <f>CONCATENATE("TOTAL: ",SUM(B59:G59))</f>
        <v>TOTAL: 0</v>
      </c>
      <c r="B59" s="5">
        <f>SUM(EPV_SARAMPION64666972737880818592969798100687989[D1])</f>
        <v>0</v>
      </c>
      <c r="C59" s="5">
        <f>SUM(EPV_SARAMPION64666972737880818592969798100687989[D2])</f>
        <v>0</v>
      </c>
      <c r="D59" s="5">
        <f>SUM(EPV_SARAMPION64666972737880818592969798100687989[D3])</f>
        <v>0</v>
      </c>
      <c r="E59" s="5">
        <f>SUM(EPV_SARAMPION64666972737880818592969798100687989[D4])</f>
        <v>0</v>
      </c>
      <c r="F59" s="5">
        <f>SUM(EPV_SARAMPION64666972737880818592969798100687989[D5])</f>
        <v>0</v>
      </c>
      <c r="G59" s="5">
        <f>SUM(EPV_SARAMPION64666972737880818592969798100687989[D6])</f>
        <v>0</v>
      </c>
      <c r="H59" s="7"/>
      <c r="J59" s="6" t="str">
        <f>CONCATENATE("TOTAL: ",SUM(K59:P59))</f>
        <v>TOTAL: 0</v>
      </c>
      <c r="K59" s="5">
        <f>SUM(EPV_SARAMPION646669727378808185929697981006890[D1])</f>
        <v>0</v>
      </c>
      <c r="L59" s="5">
        <f>SUM(EPV_SARAMPION646669727378808185929697981006890[D2])</f>
        <v>0</v>
      </c>
      <c r="M59" s="5">
        <f>SUM(EPV_SARAMPION646669727378808185929697981006890[D3])</f>
        <v>0</v>
      </c>
      <c r="N59" s="5">
        <f>SUM(EPV_SARAMPION646669727378808185929697981006890[D4])</f>
        <v>0</v>
      </c>
      <c r="O59" s="5">
        <f>SUM(EPV_SARAMPION646669727378808185929697981006890[D5])</f>
        <v>0</v>
      </c>
      <c r="P59" s="5">
        <f>SUM(EPV_SARAMPION646669727378808185929697981006890[D6])</f>
        <v>0</v>
      </c>
      <c r="Q59" s="7"/>
      <c r="S59" s="6" t="str">
        <f>CONCATENATE("TOTAL: ",SUM(T59:Y59))</f>
        <v>TOTAL: 0</v>
      </c>
      <c r="T59" s="5">
        <f>SUM(EPV_SARAMPION6466697273788081859296979810068799399[D1])</f>
        <v>0</v>
      </c>
      <c r="U59" s="5">
        <f>SUM(EPV_SARAMPION6466697273788081859296979810068799399[D2])</f>
        <v>0</v>
      </c>
      <c r="V59" s="5">
        <f>SUM(EPV_SARAMPION6466697273788081859296979810068799399[D3])</f>
        <v>0</v>
      </c>
      <c r="W59" s="5">
        <f>SUM(EPV_SARAMPION6466697273788081859296979810068799399[D4])</f>
        <v>0</v>
      </c>
      <c r="X59" s="5">
        <f>SUM(EPV_SARAMPION6466697273788081859296979810068799399[D5])</f>
        <v>0</v>
      </c>
      <c r="Y59" s="5">
        <f>SUM(EPV_SARAMPION6466697273788081859296979810068799399[D6])</f>
        <v>0</v>
      </c>
      <c r="Z59" s="7"/>
      <c r="AB59" s="6" t="str">
        <f>CONCATENATE("TOTAL: ",SUM(AC59:AH59))</f>
        <v>TOTAL: 0</v>
      </c>
      <c r="AC59" s="5">
        <f>SUM(EPV_SARAMPION6466697273788081859296979810068799399101[D1])</f>
        <v>0</v>
      </c>
      <c r="AD59" s="5">
        <f>SUM(EPV_SARAMPION6466697273788081859296979810068799399101[D2])</f>
        <v>0</v>
      </c>
      <c r="AE59" s="5">
        <f>SUM(EPV_SARAMPION6466697273788081859296979810068799399101[D3])</f>
        <v>0</v>
      </c>
      <c r="AF59" s="5">
        <f>SUM(EPV_SARAMPION6466697273788081859296979810068799399101[D4])</f>
        <v>0</v>
      </c>
      <c r="AG59" s="5">
        <f>SUM(EPV_SARAMPION6466697273788081859296979810068799399101[D5])</f>
        <v>0</v>
      </c>
      <c r="AH59" s="5">
        <f>SUM(EPV_SARAMPION6466697273788081859296979810068799399101[D6])</f>
        <v>0</v>
      </c>
      <c r="AI59" s="7"/>
    </row>
    <row r="60" spans="1:35" ht="15" customHeight="1">
      <c r="A60" t="s">
        <v>77</v>
      </c>
      <c r="B60" s="3" t="s">
        <v>78</v>
      </c>
      <c r="C60" s="3" t="s">
        <v>79</v>
      </c>
      <c r="D60" s="3" t="s">
        <v>80</v>
      </c>
      <c r="E60" s="3" t="s">
        <v>81</v>
      </c>
      <c r="F60" s="3" t="s">
        <v>82</v>
      </c>
      <c r="G60" s="3" t="s">
        <v>83</v>
      </c>
      <c r="H60" s="8" t="s">
        <v>84</v>
      </c>
      <c r="J60" t="s">
        <v>77</v>
      </c>
      <c r="K60" s="3" t="s">
        <v>78</v>
      </c>
      <c r="L60" s="3" t="s">
        <v>79</v>
      </c>
      <c r="M60" s="3" t="s">
        <v>80</v>
      </c>
      <c r="N60" s="3" t="s">
        <v>81</v>
      </c>
      <c r="O60" s="3" t="s">
        <v>82</v>
      </c>
      <c r="P60" s="3" t="s">
        <v>83</v>
      </c>
      <c r="Q60" s="8" t="s">
        <v>84</v>
      </c>
      <c r="S60" t="s">
        <v>77</v>
      </c>
      <c r="T60" s="3" t="s">
        <v>78</v>
      </c>
      <c r="U60" s="3" t="s">
        <v>79</v>
      </c>
      <c r="V60" s="3" t="s">
        <v>80</v>
      </c>
      <c r="W60" s="3" t="s">
        <v>81</v>
      </c>
      <c r="X60" s="3" t="s">
        <v>82</v>
      </c>
      <c r="Y60" s="3" t="s">
        <v>83</v>
      </c>
      <c r="Z60" s="8" t="s">
        <v>84</v>
      </c>
      <c r="AB60" t="s">
        <v>77</v>
      </c>
      <c r="AC60" s="3" t="s">
        <v>78</v>
      </c>
      <c r="AD60" s="3" t="s">
        <v>79</v>
      </c>
      <c r="AE60" s="3" t="s">
        <v>80</v>
      </c>
      <c r="AF60" s="3" t="s">
        <v>81</v>
      </c>
      <c r="AG60" s="3" t="s">
        <v>82</v>
      </c>
      <c r="AH60" s="3" t="s">
        <v>83</v>
      </c>
      <c r="AI60" s="8" t="s">
        <v>84</v>
      </c>
    </row>
    <row r="61" spans="1:35" ht="15" customHeight="1">
      <c r="A61" s="4" t="s">
        <v>246</v>
      </c>
      <c r="B61" s="3">
        <f>IF($AK$2="(Todas)",COUNTIF(BASE[CODCIE10],EPV_SARAMPION64666972737880818592969798100687989[[#This Row],[CIE-10]]),COUNTIFS(BASE[Cod.Establecimiento],$AK$2,BASE[CODCIE10],EPV_SARAMPION64666972737880818592969798100687989[[#This Row],[CIE-10]]))</f>
        <v>0</v>
      </c>
      <c r="C61" s="3">
        <f>IF($AK$2="(Todas)",COUNTIF(BASE[CODCIE102],EPV_SARAMPION64666972737880818592969798100687989[[#This Row],[CIE-10]]),COUNTIFS(BASE[Cod.Establecimiento],$AK$2,BASE[CODCIE102],EPV_SARAMPION64666972737880818592969798100687989[[#This Row],[CIE-10]]))</f>
        <v>0</v>
      </c>
      <c r="D61" s="3">
        <f>IF($AK$2="(Todas)",COUNTIF(BASE[CODCIE104],EPV_SARAMPION64666972737880818592969798100687989[[#This Row],[CIE-10]]),COUNTIFS(BASE[Cod.Establecimiento],$AK$2,BASE[CODCIE104],EPV_SARAMPION64666972737880818592969798100687989[[#This Row],[CIE-10]]))</f>
        <v>0</v>
      </c>
      <c r="E61" s="3">
        <f>IF($AK$2="(Todas)",COUNTIF(BASE[CODCIE106],EPV_SARAMPION64666972737880818592969798100687989[[#This Row],[CIE-10]]),COUNTIFS(BASE[Cod.Establecimiento],$AK$2,BASE[CODCIE106],EPV_SARAMPION64666972737880818592969798100687989[[#This Row],[CIE-10]]))</f>
        <v>0</v>
      </c>
      <c r="F61" s="3">
        <f>IF($AK$2="(Todas)",COUNTIF(BASE[CODCIE108],EPV_SARAMPION64666972737880818592969798100687989[[#This Row],[CIE-10]]),COUNTIFS(BASE[Cod.Establecimiento],$AK$2,BASE[CODCIE108],EPV_SARAMPION64666972737880818592969798100687989[[#This Row],[CIE-10]]))</f>
        <v>0</v>
      </c>
      <c r="G61" s="3">
        <f>IF($AK$2="(Todas)",COUNTIF(BASE[CODCIE1010],EPV_SARAMPION64666972737880818592969798100687989[[#This Row],[CIE-10]]),COUNTIFS(BASE[Cod.Establecimiento],$AK$2,BASE[CODCIE1010],EPV_SARAMPION64666972737880818592969798100687989[[#This Row],[CIE-10]]))</f>
        <v>0</v>
      </c>
      <c r="H61" s="9">
        <f>SUM(EPV_SARAMPION64666972737880818592969798100687989[[#This Row],[D1]:[D6]])</f>
        <v>0</v>
      </c>
      <c r="J61" s="4" t="s">
        <v>394</v>
      </c>
      <c r="K61" s="3">
        <f>IF($AK$2="(Todas)",COUNTIF(BASE[CODCIE10],EPV_SARAMPION646669727378808185929697981006890[[#This Row],[CIE-10]]),COUNTIFS(BASE[Cod.Establecimiento],$AK$2,BASE[CODCIE10],EPV_SARAMPION646669727378808185929697981006890[[#This Row],[CIE-10]]))</f>
        <v>0</v>
      </c>
      <c r="L61" s="3">
        <f>IF($AK$2="(Todas)",COUNTIF(BASE[CODCIE102],EPV_SARAMPION646669727378808185929697981006890[[#This Row],[CIE-10]]),COUNTIFS(BASE[Cod.Establecimiento],$AK$2,BASE[CODCIE102],EPV_SARAMPION646669727378808185929697981006890[[#This Row],[CIE-10]]))</f>
        <v>0</v>
      </c>
      <c r="M61" s="3">
        <f>IF($AK$2="(Todas)",COUNTIF(BASE[CODCIE104],EPV_SARAMPION646669727378808185929697981006890[[#This Row],[CIE-10]]),COUNTIFS(BASE[Cod.Establecimiento],$AK$2,BASE[CODCIE104],EPV_SARAMPION646669727378808185929697981006890[[#This Row],[CIE-10]]))</f>
        <v>0</v>
      </c>
      <c r="N61" s="3">
        <f>IF($AK$2="(Todas)",COUNTIF(BASE[CODCIE106],EPV_SARAMPION646669727378808185929697981006890[[#This Row],[CIE-10]]),COUNTIFS(BASE[Cod.Establecimiento],$AK$2,BASE[CODCIE106],EPV_SARAMPION646669727378808185929697981006890[[#This Row],[CIE-10]]))</f>
        <v>0</v>
      </c>
      <c r="O61" s="3">
        <f>IF($AK$2="(Todas)",COUNTIF(BASE[CODCIE108],EPV_SARAMPION646669727378808185929697981006890[[#This Row],[CIE-10]]),COUNTIFS(BASE[Cod.Establecimiento],$AK$2,BASE[CODCIE108],EPV_SARAMPION646669727378808185929697981006890[[#This Row],[CIE-10]]))</f>
        <v>0</v>
      </c>
      <c r="P61" s="3">
        <f>IF($AK$2="(Todas)",COUNTIF(BASE[CODCIE1010],EPV_SARAMPION646669727378808185929697981006890[[#This Row],[CIE-10]]),COUNTIFS(BASE[Cod.Establecimiento],$AK$2,BASE[CODCIE1010],EPV_SARAMPION646669727378808185929697981006890[[#This Row],[CIE-10]]))</f>
        <v>0</v>
      </c>
      <c r="Q61" s="9">
        <f>SUM(EPV_SARAMPION646669727378808185929697981006890[[#This Row],[D1]:[D6]])</f>
        <v>0</v>
      </c>
      <c r="S61" s="4" t="s">
        <v>116</v>
      </c>
      <c r="T61" s="3">
        <f>IF($AK$2="(Todas)",COUNTIF(BASE[CODCIE10],EPV_SARAMPION6466697273788081859296979810068799399[[#This Row],[CIE-10]]),COUNTIFS(BASE[Cod.Establecimiento],$AK$2,BASE[CODCIE10],EPV_SARAMPION6466697273788081859296979810068799399[[#This Row],[CIE-10]]))</f>
        <v>0</v>
      </c>
      <c r="U61" s="3">
        <f>IF($AK$2="(Todas)",COUNTIF(BASE[CODCIE102],EPV_SARAMPION6466697273788081859296979810068799399[[#This Row],[CIE-10]]),COUNTIFS(BASE[Cod.Establecimiento],$AK$2,BASE[CODCIE102],EPV_SARAMPION6466697273788081859296979810068799399[[#This Row],[CIE-10]]))</f>
        <v>0</v>
      </c>
      <c r="V61" s="3">
        <f>IF($AK$2="(Todas)",COUNTIF(BASE[CODCIE104],EPV_SARAMPION6466697273788081859296979810068799399[[#This Row],[CIE-10]]),COUNTIFS(BASE[Cod.Establecimiento],$AK$2,BASE[CODCIE104],EPV_SARAMPION6466697273788081859296979810068799399[[#This Row],[CIE-10]]))</f>
        <v>0</v>
      </c>
      <c r="W61" s="3">
        <f>IF($AK$2="(Todas)",COUNTIF(BASE[CODCIE106],EPV_SARAMPION6466697273788081859296979810068799399[[#This Row],[CIE-10]]),COUNTIFS(BASE[Cod.Establecimiento],$AK$2,BASE[CODCIE106],EPV_SARAMPION6466697273788081859296979810068799399[[#This Row],[CIE-10]]))</f>
        <v>0</v>
      </c>
      <c r="X61" s="3">
        <f>IF($AK$2="(Todas)",COUNTIF(BASE[CODCIE108],EPV_SARAMPION6466697273788081859296979810068799399[[#This Row],[CIE-10]]),COUNTIFS(BASE[Cod.Establecimiento],$AK$2,BASE[CODCIE108],EPV_SARAMPION6466697273788081859296979810068799399[[#This Row],[CIE-10]]))</f>
        <v>0</v>
      </c>
      <c r="Y61" s="3">
        <f>IF($AK$2="(Todas)",COUNTIF(BASE[CODCIE1010],EPV_SARAMPION6466697273788081859296979810068799399[[#This Row],[CIE-10]]),COUNTIFS(BASE[Cod.Establecimiento],$AK$2,BASE[CODCIE1010],EPV_SARAMPION6466697273788081859296979810068799399[[#This Row],[CIE-10]]))</f>
        <v>0</v>
      </c>
      <c r="Z61" s="9">
        <f>SUM(EPV_SARAMPION6466697273788081859296979810068799399[[#This Row],[D1]:[D6]])</f>
        <v>0</v>
      </c>
      <c r="AB61" s="4" t="s">
        <v>399</v>
      </c>
      <c r="AC61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1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1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1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1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1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1" s="9">
        <f>SUM(EPV_SARAMPION6466697273788081859296979810068799399101[[#This Row],[D1]:[D6]])</f>
        <v>0</v>
      </c>
    </row>
    <row r="62" spans="1:35" ht="15" customHeight="1">
      <c r="A62" s="31" t="s">
        <v>249</v>
      </c>
      <c r="B62" s="3">
        <f>IF($AK$2="(Todas)",COUNTIF(BASE[CODCIE10],EPV_SARAMPION64666972737880818592969798100687989[[#This Row],[CIE-10]]),COUNTIFS(BASE[Cod.Establecimiento],$AK$2,BASE[CODCIE10],EPV_SARAMPION64666972737880818592969798100687989[[#This Row],[CIE-10]]))</f>
        <v>0</v>
      </c>
      <c r="C62" s="3">
        <f>IF($AK$2="(Todas)",COUNTIF(BASE[CODCIE102],EPV_SARAMPION64666972737880818592969798100687989[[#This Row],[CIE-10]]),COUNTIFS(BASE[Cod.Establecimiento],$AK$2,BASE[CODCIE102],EPV_SARAMPION64666972737880818592969798100687989[[#This Row],[CIE-10]]))</f>
        <v>0</v>
      </c>
      <c r="D62" s="3">
        <f>IF($AK$2="(Todas)",COUNTIF(BASE[CODCIE104],EPV_SARAMPION64666972737880818592969798100687989[[#This Row],[CIE-10]]),COUNTIFS(BASE[Cod.Establecimiento],$AK$2,BASE[CODCIE104],EPV_SARAMPION64666972737880818592969798100687989[[#This Row],[CIE-10]]))</f>
        <v>0</v>
      </c>
      <c r="E62" s="3">
        <f>IF($AK$2="(Todas)",COUNTIF(BASE[CODCIE106],EPV_SARAMPION64666972737880818592969798100687989[[#This Row],[CIE-10]]),COUNTIFS(BASE[Cod.Establecimiento],$AK$2,BASE[CODCIE106],EPV_SARAMPION64666972737880818592969798100687989[[#This Row],[CIE-10]]))</f>
        <v>0</v>
      </c>
      <c r="F62" s="3">
        <f>IF($AK$2="(Todas)",COUNTIF(BASE[CODCIE108],EPV_SARAMPION64666972737880818592969798100687989[[#This Row],[CIE-10]]),COUNTIFS(BASE[Cod.Establecimiento],$AK$2,BASE[CODCIE108],EPV_SARAMPION64666972737880818592969798100687989[[#This Row],[CIE-10]]))</f>
        <v>0</v>
      </c>
      <c r="G62" s="3">
        <f>IF($AK$2="(Todas)",COUNTIF(BASE[CODCIE1010],EPV_SARAMPION64666972737880818592969798100687989[[#This Row],[CIE-10]]),COUNTIFS(BASE[Cod.Establecimiento],$AK$2,BASE[CODCIE1010],EPV_SARAMPION64666972737880818592969798100687989[[#This Row],[CIE-10]]))</f>
        <v>0</v>
      </c>
      <c r="H62" s="9">
        <f>SUM(EPV_SARAMPION64666972737880818592969798100687989[[#This Row],[D1]:[D6]])</f>
        <v>0</v>
      </c>
      <c r="J62" s="31" t="s">
        <v>393</v>
      </c>
      <c r="K62" s="3">
        <f>IF($AK$2="(Todas)",COUNTIF(BASE[CODCIE10],EPV_SARAMPION646669727378808185929697981006890[[#This Row],[CIE-10]]),COUNTIFS(BASE[Cod.Establecimiento],$AK$2,BASE[CODCIE10],EPV_SARAMPION646669727378808185929697981006890[[#This Row],[CIE-10]]))</f>
        <v>0</v>
      </c>
      <c r="L62" s="3">
        <f>IF($AK$2="(Todas)",COUNTIF(BASE[CODCIE102],EPV_SARAMPION646669727378808185929697981006890[[#This Row],[CIE-10]]),COUNTIFS(BASE[Cod.Establecimiento],$AK$2,BASE[CODCIE102],EPV_SARAMPION646669727378808185929697981006890[[#This Row],[CIE-10]]))</f>
        <v>0</v>
      </c>
      <c r="M62" s="3">
        <f>IF($AK$2="(Todas)",COUNTIF(BASE[CODCIE104],EPV_SARAMPION646669727378808185929697981006890[[#This Row],[CIE-10]]),COUNTIFS(BASE[Cod.Establecimiento],$AK$2,BASE[CODCIE104],EPV_SARAMPION646669727378808185929697981006890[[#This Row],[CIE-10]]))</f>
        <v>0</v>
      </c>
      <c r="N62" s="3">
        <f>IF($AK$2="(Todas)",COUNTIF(BASE[CODCIE106],EPV_SARAMPION646669727378808185929697981006890[[#This Row],[CIE-10]]),COUNTIFS(BASE[Cod.Establecimiento],$AK$2,BASE[CODCIE106],EPV_SARAMPION646669727378808185929697981006890[[#This Row],[CIE-10]]))</f>
        <v>0</v>
      </c>
      <c r="O62" s="3">
        <f>IF($AK$2="(Todas)",COUNTIF(BASE[CODCIE108],EPV_SARAMPION646669727378808185929697981006890[[#This Row],[CIE-10]]),COUNTIFS(BASE[Cod.Establecimiento],$AK$2,BASE[CODCIE108],EPV_SARAMPION646669727378808185929697981006890[[#This Row],[CIE-10]]))</f>
        <v>0</v>
      </c>
      <c r="P62" s="3">
        <f>IF($AK$2="(Todas)",COUNTIF(BASE[CODCIE1010],EPV_SARAMPION646669727378808185929697981006890[[#This Row],[CIE-10]]),COUNTIFS(BASE[Cod.Establecimiento],$AK$2,BASE[CODCIE1010],EPV_SARAMPION646669727378808185929697981006890[[#This Row],[CIE-10]]))</f>
        <v>0</v>
      </c>
      <c r="Q62" s="9">
        <f>SUM(EPV_SARAMPION646669727378808185929697981006890[[#This Row],[D1]:[D6]])</f>
        <v>0</v>
      </c>
      <c r="AB62" s="31" t="s">
        <v>400</v>
      </c>
      <c r="AC62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2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2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2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2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2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2" s="9">
        <f>SUM(EPV_SARAMPION6466697273788081859296979810068799399101[[#This Row],[D1]:[D6]])</f>
        <v>0</v>
      </c>
    </row>
    <row r="63" spans="1:35" ht="15" customHeight="1">
      <c r="A63" s="31" t="s">
        <v>250</v>
      </c>
      <c r="B63" s="3">
        <f>IF($AK$2="(Todas)",COUNTIF(BASE[CODCIE10],EPV_SARAMPION64666972737880818592969798100687989[[#This Row],[CIE-10]]),COUNTIFS(BASE[Cod.Establecimiento],$AK$2,BASE[CODCIE10],EPV_SARAMPION64666972737880818592969798100687989[[#This Row],[CIE-10]]))</f>
        <v>0</v>
      </c>
      <c r="C63" s="3">
        <f>IF($AK$2="(Todas)",COUNTIF(BASE[CODCIE102],EPV_SARAMPION64666972737880818592969798100687989[[#This Row],[CIE-10]]),COUNTIFS(BASE[Cod.Establecimiento],$AK$2,BASE[CODCIE102],EPV_SARAMPION64666972737880818592969798100687989[[#This Row],[CIE-10]]))</f>
        <v>0</v>
      </c>
      <c r="D63" s="3">
        <f>IF($AK$2="(Todas)",COUNTIF(BASE[CODCIE104],EPV_SARAMPION64666972737880818592969798100687989[[#This Row],[CIE-10]]),COUNTIFS(BASE[Cod.Establecimiento],$AK$2,BASE[CODCIE104],EPV_SARAMPION64666972737880818592969798100687989[[#This Row],[CIE-10]]))</f>
        <v>0</v>
      </c>
      <c r="E63" s="3">
        <f>IF($AK$2="(Todas)",COUNTIF(BASE[CODCIE106],EPV_SARAMPION64666972737880818592969798100687989[[#This Row],[CIE-10]]),COUNTIFS(BASE[Cod.Establecimiento],$AK$2,BASE[CODCIE106],EPV_SARAMPION64666972737880818592969798100687989[[#This Row],[CIE-10]]))</f>
        <v>0</v>
      </c>
      <c r="F63" s="3">
        <f>IF($AK$2="(Todas)",COUNTIF(BASE[CODCIE108],EPV_SARAMPION64666972737880818592969798100687989[[#This Row],[CIE-10]]),COUNTIFS(BASE[Cod.Establecimiento],$AK$2,BASE[CODCIE108],EPV_SARAMPION64666972737880818592969798100687989[[#This Row],[CIE-10]]))</f>
        <v>0</v>
      </c>
      <c r="G63" s="3">
        <f>IF($AK$2="(Todas)",COUNTIF(BASE[CODCIE1010],EPV_SARAMPION64666972737880818592969798100687989[[#This Row],[CIE-10]]),COUNTIFS(BASE[Cod.Establecimiento],$AK$2,BASE[CODCIE1010],EPV_SARAMPION64666972737880818592969798100687989[[#This Row],[CIE-10]]))</f>
        <v>0</v>
      </c>
      <c r="H63" s="9">
        <f>SUM(EPV_SARAMPION64666972737880818592969798100687989[[#This Row],[D1]:[D6]])</f>
        <v>0</v>
      </c>
      <c r="J63" s="31" t="s">
        <v>398</v>
      </c>
      <c r="K63" s="3">
        <f>IF($AK$2="(Todas)",COUNTIF(BASE[CODCIE10],EPV_SARAMPION646669727378808185929697981006890[[#This Row],[CIE-10]]),COUNTIFS(BASE[Cod.Establecimiento],$AK$2,BASE[CODCIE10],EPV_SARAMPION646669727378808185929697981006890[[#This Row],[CIE-10]]))</f>
        <v>0</v>
      </c>
      <c r="L63" s="3">
        <f>IF($AK$2="(Todas)",COUNTIF(BASE[CODCIE102],EPV_SARAMPION646669727378808185929697981006890[[#This Row],[CIE-10]]),COUNTIFS(BASE[Cod.Establecimiento],$AK$2,BASE[CODCIE102],EPV_SARAMPION646669727378808185929697981006890[[#This Row],[CIE-10]]))</f>
        <v>0</v>
      </c>
      <c r="M63" s="3">
        <f>IF($AK$2="(Todas)",COUNTIF(BASE[CODCIE104],EPV_SARAMPION646669727378808185929697981006890[[#This Row],[CIE-10]]),COUNTIFS(BASE[Cod.Establecimiento],$AK$2,BASE[CODCIE104],EPV_SARAMPION646669727378808185929697981006890[[#This Row],[CIE-10]]))</f>
        <v>0</v>
      </c>
      <c r="N63" s="3">
        <f>IF($AK$2="(Todas)",COUNTIF(BASE[CODCIE106],EPV_SARAMPION646669727378808185929697981006890[[#This Row],[CIE-10]]),COUNTIFS(BASE[Cod.Establecimiento],$AK$2,BASE[CODCIE106],EPV_SARAMPION646669727378808185929697981006890[[#This Row],[CIE-10]]))</f>
        <v>0</v>
      </c>
      <c r="O63" s="3">
        <f>IF($AK$2="(Todas)",COUNTIF(BASE[CODCIE108],EPV_SARAMPION646669727378808185929697981006890[[#This Row],[CIE-10]]),COUNTIFS(BASE[Cod.Establecimiento],$AK$2,BASE[CODCIE108],EPV_SARAMPION646669727378808185929697981006890[[#This Row],[CIE-10]]))</f>
        <v>0</v>
      </c>
      <c r="P63" s="3">
        <f>IF($AK$2="(Todas)",COUNTIF(BASE[CODCIE1010],EPV_SARAMPION646669727378808185929697981006890[[#This Row],[CIE-10]]),COUNTIFS(BASE[Cod.Establecimiento],$AK$2,BASE[CODCIE1010],EPV_SARAMPION646669727378808185929697981006890[[#This Row],[CIE-10]]))</f>
        <v>0</v>
      </c>
      <c r="Q63" s="9">
        <f>SUM(EPV_SARAMPION646669727378808185929697981006890[[#This Row],[D1]:[D6]])</f>
        <v>0</v>
      </c>
      <c r="AB63" s="31" t="s">
        <v>401</v>
      </c>
      <c r="AC63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3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3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3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3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3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3" s="9">
        <f>SUM(EPV_SARAMPION6466697273788081859296979810068799399101[[#This Row],[D1]:[D6]])</f>
        <v>0</v>
      </c>
    </row>
    <row r="64" spans="1:35" ht="15" customHeight="1">
      <c r="AB64" s="31" t="s">
        <v>402</v>
      </c>
      <c r="AC64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4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4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4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4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4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4" s="9">
        <f>SUM(EPV_SARAMPION6466697273788081859296979810068799399101[[#This Row],[D1]:[D6]])</f>
        <v>0</v>
      </c>
    </row>
    <row r="65" spans="1:35" ht="18" thickBot="1">
      <c r="A65" s="87" t="s">
        <v>128</v>
      </c>
      <c r="B65" s="87"/>
      <c r="C65" s="87"/>
      <c r="D65" s="87"/>
      <c r="E65" s="87"/>
      <c r="F65" s="87"/>
      <c r="G65" s="87"/>
      <c r="H65" s="87"/>
      <c r="J65" s="87" t="s">
        <v>404</v>
      </c>
      <c r="K65" s="87"/>
      <c r="L65" s="87"/>
      <c r="M65" s="87"/>
      <c r="N65" s="87"/>
      <c r="O65" s="87"/>
      <c r="P65" s="87"/>
      <c r="Q65" s="87"/>
      <c r="AB65" s="31" t="s">
        <v>403</v>
      </c>
      <c r="AC65" s="3">
        <f>IF($AK$2="(Todas)",COUNTIF(BASE[CODCIE10],EPV_SARAMPION6466697273788081859296979810068799399101[[#This Row],[CIE-10]]),COUNTIFS(BASE[Cod.Establecimiento],$AK$2,BASE[CODCIE10],EPV_SARAMPION6466697273788081859296979810068799399101[[#This Row],[CIE-10]]))</f>
        <v>0</v>
      </c>
      <c r="AD65" s="3">
        <f>IF($AK$2="(Todas)",COUNTIF(BASE[CODCIE102],EPV_SARAMPION6466697273788081859296979810068799399101[[#This Row],[CIE-10]]),COUNTIFS(BASE[Cod.Establecimiento],$AK$2,BASE[CODCIE102],EPV_SARAMPION6466697273788081859296979810068799399101[[#This Row],[CIE-10]]))</f>
        <v>0</v>
      </c>
      <c r="AE65" s="3">
        <f>IF($AK$2="(Todas)",COUNTIF(BASE[CODCIE104],EPV_SARAMPION6466697273788081859296979810068799399101[[#This Row],[CIE-10]]),COUNTIFS(BASE[Cod.Establecimiento],$AK$2,BASE[CODCIE104],EPV_SARAMPION6466697273788081859296979810068799399101[[#This Row],[CIE-10]]))</f>
        <v>0</v>
      </c>
      <c r="AF65" s="3">
        <f>IF($AK$2="(Todas)",COUNTIF(BASE[CODCIE106],EPV_SARAMPION6466697273788081859296979810068799399101[[#This Row],[CIE-10]]),COUNTIFS(BASE[Cod.Establecimiento],$AK$2,BASE[CODCIE106],EPV_SARAMPION6466697273788081859296979810068799399101[[#This Row],[CIE-10]]))</f>
        <v>0</v>
      </c>
      <c r="AG65" s="3">
        <f>IF($AK$2="(Todas)",COUNTIF(BASE[CODCIE108],EPV_SARAMPION6466697273788081859296979810068799399101[[#This Row],[CIE-10]]),COUNTIFS(BASE[Cod.Establecimiento],$AK$2,BASE[CODCIE108],EPV_SARAMPION6466697273788081859296979810068799399101[[#This Row],[CIE-10]]))</f>
        <v>0</v>
      </c>
      <c r="AH65" s="3">
        <f>IF($AK$2="(Todas)",COUNTIF(BASE[CODCIE1010],EPV_SARAMPION6466697273788081859296979810068799399101[[#This Row],[CIE-10]]),COUNTIFS(BASE[Cod.Establecimiento],$AK$2,BASE[CODCIE1010],EPV_SARAMPION6466697273788081859296979810068799399101[[#This Row],[CIE-10]]))</f>
        <v>0</v>
      </c>
      <c r="AI65" s="9">
        <f>SUM(EPV_SARAMPION6466697273788081859296979810068799399101[[#This Row],[D1]:[D6]])</f>
        <v>0</v>
      </c>
    </row>
    <row r="66" spans="1:35" ht="15.75" thickTop="1">
      <c r="A66" s="6" t="str">
        <f>CONCATENATE("TOTAL: ",SUM(B66:G66))</f>
        <v>TOTAL: 0</v>
      </c>
      <c r="B66" s="5">
        <f>SUM(EPV_SARAMPION6466697273788081859296979810068799399102[D1])</f>
        <v>0</v>
      </c>
      <c r="C66" s="5">
        <f>SUM(EPV_SARAMPION6466697273788081859296979810068799399102[D2])</f>
        <v>0</v>
      </c>
      <c r="D66" s="5">
        <f>SUM(EPV_SARAMPION6466697273788081859296979810068799399102[D3])</f>
        <v>0</v>
      </c>
      <c r="E66" s="5">
        <f>SUM(EPV_SARAMPION6466697273788081859296979810068799399102[D4])</f>
        <v>0</v>
      </c>
      <c r="F66" s="5">
        <f>SUM(EPV_SARAMPION6466697273788081859296979810068799399102[D5])</f>
        <v>0</v>
      </c>
      <c r="G66" s="5">
        <f>SUM(EPV_SARAMPION6466697273788081859296979810068799399102[D6])</f>
        <v>0</v>
      </c>
      <c r="H66" s="7"/>
      <c r="J66" s="6" t="str">
        <f>CONCATENATE("TOTAL: ",SUM(K66:P66))</f>
        <v>TOTAL: 0</v>
      </c>
      <c r="K66" s="5">
        <f>SUM(EPV_SARAMPION6466697273788081859296979810068799399101104[D1])</f>
        <v>0</v>
      </c>
      <c r="L66" s="5">
        <f>SUM(EPV_SARAMPION6466697273788081859296979810068799399101104[D2])</f>
        <v>0</v>
      </c>
      <c r="M66" s="5">
        <f>SUM(EPV_SARAMPION6466697273788081859296979810068799399101104[D3])</f>
        <v>0</v>
      </c>
      <c r="N66" s="5">
        <f>SUM(EPV_SARAMPION6466697273788081859296979810068799399101104[D4])</f>
        <v>0</v>
      </c>
      <c r="O66" s="5">
        <f>SUM(EPV_SARAMPION6466697273788081859296979810068799399101104[D5])</f>
        <v>0</v>
      </c>
      <c r="P66" s="5">
        <f>SUM(EPV_SARAMPION6466697273788081859296979810068799399101104[D6])</f>
        <v>0</v>
      </c>
      <c r="Q66" s="7"/>
    </row>
    <row r="67" spans="1:35">
      <c r="A67" t="s">
        <v>77</v>
      </c>
      <c r="B67" s="3" t="s">
        <v>78</v>
      </c>
      <c r="C67" s="3" t="s">
        <v>79</v>
      </c>
      <c r="D67" s="3" t="s">
        <v>80</v>
      </c>
      <c r="E67" s="3" t="s">
        <v>81</v>
      </c>
      <c r="F67" s="3" t="s">
        <v>82</v>
      </c>
      <c r="G67" s="3" t="s">
        <v>83</v>
      </c>
      <c r="H67" s="8" t="s">
        <v>84</v>
      </c>
      <c r="J67" t="s">
        <v>77</v>
      </c>
      <c r="K67" s="3" t="s">
        <v>78</v>
      </c>
      <c r="L67" s="3" t="s">
        <v>79</v>
      </c>
      <c r="M67" s="3" t="s">
        <v>80</v>
      </c>
      <c r="N67" s="3" t="s">
        <v>81</v>
      </c>
      <c r="O67" s="3" t="s">
        <v>82</v>
      </c>
      <c r="P67" s="3" t="s">
        <v>83</v>
      </c>
      <c r="Q67" s="8" t="s">
        <v>84</v>
      </c>
    </row>
    <row r="68" spans="1:35">
      <c r="A68" s="4" t="s">
        <v>131</v>
      </c>
      <c r="B68" s="3">
        <f>IF($AK$2="(Todas)",COUNTIF(BASE[CODCIE10],EPV_SARAMPION6466697273788081859296979810068799399102[[#This Row],[CIE-10]]),COUNTIFS(BASE[Cod.Establecimiento],$AK$2,BASE[CODCIE10],EPV_SARAMPION6466697273788081859296979810068799399102[[#This Row],[CIE-10]]))</f>
        <v>0</v>
      </c>
      <c r="C68" s="3">
        <f>IF($AK$2="(Todas)",COUNTIF(BASE[CODCIE102],EPV_SARAMPION6466697273788081859296979810068799399102[[#This Row],[CIE-10]]),COUNTIFS(BASE[Cod.Establecimiento],$AK$2,BASE[CODCIE102],EPV_SARAMPION6466697273788081859296979810068799399102[[#This Row],[CIE-10]]))</f>
        <v>0</v>
      </c>
      <c r="D68" s="3">
        <f>IF($AK$2="(Todas)",COUNTIF(BASE[CODCIE104],EPV_SARAMPION6466697273788081859296979810068799399102[[#This Row],[CIE-10]]),COUNTIFS(BASE[Cod.Establecimiento],$AK$2,BASE[CODCIE104],EPV_SARAMPION6466697273788081859296979810068799399102[[#This Row],[CIE-10]]))</f>
        <v>0</v>
      </c>
      <c r="E68" s="3">
        <f>IF($AK$2="(Todas)",COUNTIF(BASE[CODCIE106],EPV_SARAMPION6466697273788081859296979810068799399102[[#This Row],[CIE-10]]),COUNTIFS(BASE[Cod.Establecimiento],$AK$2,BASE[CODCIE106],EPV_SARAMPION6466697273788081859296979810068799399102[[#This Row],[CIE-10]]))</f>
        <v>0</v>
      </c>
      <c r="F68" s="3">
        <f>IF($AK$2="(Todas)",COUNTIF(BASE[CODCIE108],EPV_SARAMPION6466697273788081859296979810068799399102[[#This Row],[CIE-10]]),COUNTIFS(BASE[Cod.Establecimiento],$AK$2,BASE[CODCIE108],EPV_SARAMPION6466697273788081859296979810068799399102[[#This Row],[CIE-10]]))</f>
        <v>0</v>
      </c>
      <c r="G68" s="3">
        <f>IF($AK$2="(Todas)",COUNTIF(BASE[CODCIE1010],EPV_SARAMPION6466697273788081859296979810068799399102[[#This Row],[CIE-10]]),COUNTIFS(BASE[Cod.Establecimiento],$AK$2,BASE[CODCIE1010],EPV_SARAMPION6466697273788081859296979810068799399102[[#This Row],[CIE-10]]))</f>
        <v>0</v>
      </c>
      <c r="H68" s="9">
        <f>SUM(EPV_SARAMPION6466697273788081859296979810068799399102[[#This Row],[D1]:[D6]])</f>
        <v>0</v>
      </c>
      <c r="J68" s="4" t="s">
        <v>405</v>
      </c>
      <c r="K68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68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68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68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68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68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68" s="9">
        <f>SUM(EPV_SARAMPION6466697273788081859296979810068799399101104[[#This Row],[D1]:[D6]])</f>
        <v>0</v>
      </c>
    </row>
    <row r="69" spans="1:35">
      <c r="J69" s="31" t="s">
        <v>406</v>
      </c>
      <c r="K69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69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69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69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69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69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69" s="9">
        <f>SUM(EPV_SARAMPION6466697273788081859296979810068799399101104[[#This Row],[D1]:[D6]])</f>
        <v>0</v>
      </c>
    </row>
    <row r="70" spans="1:35">
      <c r="J70" s="31" t="s">
        <v>407</v>
      </c>
      <c r="K70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70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70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70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70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70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70" s="9">
        <f>SUM(EPV_SARAMPION6466697273788081859296979810068799399101104[[#This Row],[D1]:[D6]])</f>
        <v>0</v>
      </c>
    </row>
    <row r="71" spans="1:35">
      <c r="J71" s="31" t="s">
        <v>408</v>
      </c>
      <c r="K71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71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71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71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71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71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71" s="9">
        <f>SUM(EPV_SARAMPION6466697273788081859296979810068799399101104[[#This Row],[D1]:[D6]])</f>
        <v>0</v>
      </c>
    </row>
    <row r="72" spans="1:35">
      <c r="J72" s="31" t="s">
        <v>409</v>
      </c>
      <c r="K72" s="3">
        <f>IF($AK$2="(Todas)",COUNTIF(BASE[CODCIE10],EPV_SARAMPION6466697273788081859296979810068799399101104[[#This Row],[CIE-10]]),COUNTIFS(BASE[Cod.Establecimiento],$AK$2,BASE[CODCIE10],EPV_SARAMPION6466697273788081859296979810068799399101104[[#This Row],[CIE-10]]))</f>
        <v>0</v>
      </c>
      <c r="L72" s="3">
        <f>IF($AK$2="(Todas)",COUNTIF(BASE[CODCIE102],EPV_SARAMPION6466697273788081859296979810068799399101104[[#This Row],[CIE-10]]),COUNTIFS(BASE[Cod.Establecimiento],$AK$2,BASE[CODCIE102],EPV_SARAMPION6466697273788081859296979810068799399101104[[#This Row],[CIE-10]]))</f>
        <v>0</v>
      </c>
      <c r="M72" s="3">
        <f>IF($AK$2="(Todas)",COUNTIF(BASE[CODCIE104],EPV_SARAMPION6466697273788081859296979810068799399101104[[#This Row],[CIE-10]]),COUNTIFS(BASE[Cod.Establecimiento],$AK$2,BASE[CODCIE104],EPV_SARAMPION6466697273788081859296979810068799399101104[[#This Row],[CIE-10]]))</f>
        <v>0</v>
      </c>
      <c r="N72" s="3">
        <f>IF($AK$2="(Todas)",COUNTIF(BASE[CODCIE106],EPV_SARAMPION6466697273788081859296979810068799399101104[[#This Row],[CIE-10]]),COUNTIFS(BASE[Cod.Establecimiento],$AK$2,BASE[CODCIE106],EPV_SARAMPION6466697273788081859296979810068799399101104[[#This Row],[CIE-10]]))</f>
        <v>0</v>
      </c>
      <c r="O72" s="3">
        <f>IF($AK$2="(Todas)",COUNTIF(BASE[CODCIE108],EPV_SARAMPION6466697273788081859296979810068799399101104[[#This Row],[CIE-10]]),COUNTIFS(BASE[Cod.Establecimiento],$AK$2,BASE[CODCIE108],EPV_SARAMPION6466697273788081859296979810068799399101104[[#This Row],[CIE-10]]))</f>
        <v>0</v>
      </c>
      <c r="P72" s="3">
        <f>IF($AK$2="(Todas)",COUNTIF(BASE[CODCIE1010],EPV_SARAMPION6466697273788081859296979810068799399101104[[#This Row],[CIE-10]]),COUNTIFS(BASE[Cod.Establecimiento],$AK$2,BASE[CODCIE1010],EPV_SARAMPION6466697273788081859296979810068799399101104[[#This Row],[CIE-10]]))</f>
        <v>0</v>
      </c>
      <c r="Q72" s="9">
        <f>SUM(EPV_SARAMPION6466697273788081859296979810068799399101104[[#This Row],[D1]:[D6]])</f>
        <v>0</v>
      </c>
    </row>
  </sheetData>
  <mergeCells count="48">
    <mergeCell ref="J17:Q17"/>
    <mergeCell ref="AJ1:AK1"/>
    <mergeCell ref="A2:H2"/>
    <mergeCell ref="AB2:AI2"/>
    <mergeCell ref="J2:Q2"/>
    <mergeCell ref="S2:Z2"/>
    <mergeCell ref="F1:K1"/>
    <mergeCell ref="S17:Z17"/>
    <mergeCell ref="AB17:AI17"/>
    <mergeCell ref="S7:Z7"/>
    <mergeCell ref="AB7:AI7"/>
    <mergeCell ref="J12:Q12"/>
    <mergeCell ref="S12:Z12"/>
    <mergeCell ref="AB12:AI12"/>
    <mergeCell ref="AJ3:AK3"/>
    <mergeCell ref="A37:H37"/>
    <mergeCell ref="J27:Q27"/>
    <mergeCell ref="A27:H27"/>
    <mergeCell ref="A32:H32"/>
    <mergeCell ref="J32:Q32"/>
    <mergeCell ref="J37:Q37"/>
    <mergeCell ref="AB37:AI37"/>
    <mergeCell ref="S31:Z31"/>
    <mergeCell ref="AB32:AI32"/>
    <mergeCell ref="J22:Q22"/>
    <mergeCell ref="S22:Z22"/>
    <mergeCell ref="AB22:AI22"/>
    <mergeCell ref="J48:Q48"/>
    <mergeCell ref="S43:Z43"/>
    <mergeCell ref="J53:Q53"/>
    <mergeCell ref="S53:Z53"/>
    <mergeCell ref="S37:Z37"/>
    <mergeCell ref="AJ34:AK36"/>
    <mergeCell ref="AJ5:AK26"/>
    <mergeCell ref="AJ27:AK33"/>
    <mergeCell ref="A65:H65"/>
    <mergeCell ref="J65:Q65"/>
    <mergeCell ref="A58:H58"/>
    <mergeCell ref="J58:Q58"/>
    <mergeCell ref="AB53:AI53"/>
    <mergeCell ref="S58:Z58"/>
    <mergeCell ref="AB58:AI58"/>
    <mergeCell ref="AB43:AI43"/>
    <mergeCell ref="S48:Z48"/>
    <mergeCell ref="AB48:AI48"/>
    <mergeCell ref="A53:H53"/>
    <mergeCell ref="A43:H43"/>
    <mergeCell ref="J43:Q43"/>
  </mergeCells>
  <phoneticPr fontId="29" type="noConversion"/>
  <conditionalFormatting sqref="K5:Q8">
    <cfRule type="cellIs" dxfId="76" priority="12" operator="greaterThan">
      <formula>0</formula>
    </cfRule>
  </conditionalFormatting>
  <conditionalFormatting sqref="K56:Q56 T56:Z56 AC56:AI56 T61:Z61 B61:H63 K61:Q63 AC61:AI65 B68:H68 K68:Q72">
    <cfRule type="cellIs" dxfId="75" priority="1" operator="greaterThan">
      <formula>0</formula>
    </cfRule>
  </conditionalFormatting>
  <conditionalFormatting sqref="T5:Z5 AC5:AI5 T10:Z10 AC10:AI10 K15:Q15 T15:Z15 AC15:AI15 K20:Q20 T20:Z20 AC20:AI20 K25:Q25 T25:Z27 AC25:AI29 B30:H30 K30:Q30 T34:Z35 B35:H35 K35:Q35 AC35:AI35 B40:H40 K40:Q40 T40:Z41 AC40:AI41 K46:Q46 T46:Z46 AC46:AI46 B46:H50 K51:Q51 T51:Z51 AC51:AI51 B56:H56">
    <cfRule type="cellIs" dxfId="74" priority="11" operator="greaterThan">
      <formula>0</formula>
    </cfRule>
  </conditionalFormatting>
  <conditionalFormatting sqref="AJ3 B5:H24">
    <cfRule type="cellIs" dxfId="73" priority="13" operator="greaterThan">
      <formula>0</formula>
    </cfRule>
  </conditionalFormatting>
  <hyperlinks>
    <hyperlink ref="AJ34" r:id="rId2" xr:uid="{D56AA423-9D86-44A4-82C8-467C4BE38C96}"/>
  </hyperlinks>
  <pageMargins left="0.7" right="0.7" top="0.75" bottom="0.75" header="0.3" footer="0.3"/>
  <pageSetup orientation="portrait" r:id="rId3"/>
  <legacyDrawing r:id="rId4"/>
  <tableParts count="4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4F5D-0A1D-4EA1-9988-FCA20D7941E8}">
  <dimension ref="A1:EG117"/>
  <sheetViews>
    <sheetView showGridLines="0" zoomScale="85" zoomScaleNormal="85" workbookViewId="0">
      <selection activeCell="A3" sqref="A3:B3"/>
    </sheetView>
  </sheetViews>
  <sheetFormatPr baseColWidth="10" defaultRowHeight="15"/>
  <cols>
    <col min="1" max="1" width="20.140625" bestFit="1" customWidth="1"/>
    <col min="2" max="2" width="10.7109375" bestFit="1" customWidth="1"/>
    <col min="3" max="3" width="1.7109375" customWidth="1"/>
    <col min="5" max="11" width="5.7109375" customWidth="1"/>
    <col min="12" max="12" width="1.7109375" customWidth="1"/>
    <col min="14" max="20" width="5.7109375" customWidth="1"/>
    <col min="21" max="21" width="1.7109375" customWidth="1"/>
    <col min="23" max="29" width="5.7109375" customWidth="1"/>
    <col min="30" max="30" width="1.7109375" customWidth="1"/>
    <col min="32" max="38" width="5.7109375" customWidth="1"/>
    <col min="39" max="39" width="1.7109375" customWidth="1"/>
    <col min="41" max="47" width="5.7109375" customWidth="1"/>
    <col min="48" max="48" width="1.7109375" customWidth="1"/>
    <col min="50" max="56" width="5.7109375" customWidth="1"/>
    <col min="57" max="57" width="1.7109375" customWidth="1"/>
    <col min="59" max="65" width="5.7109375" customWidth="1"/>
    <col min="66" max="66" width="1.7109375" customWidth="1"/>
    <col min="68" max="74" width="5.7109375" customWidth="1"/>
    <col min="75" max="75" width="1.7109375" customWidth="1"/>
    <col min="77" max="83" width="5.7109375" customWidth="1"/>
    <col min="84" max="84" width="1.7109375" customWidth="1"/>
    <col min="86" max="92" width="5.7109375" customWidth="1"/>
    <col min="93" max="93" width="1.7109375" customWidth="1"/>
    <col min="95" max="101" width="5.7109375" customWidth="1"/>
    <col min="102" max="102" width="1.7109375" customWidth="1"/>
    <col min="104" max="110" width="5.7109375" customWidth="1"/>
    <col min="111" max="111" width="1.7109375" customWidth="1"/>
    <col min="113" max="119" width="5.7109375" customWidth="1"/>
    <col min="120" max="120" width="1.7109375" customWidth="1"/>
    <col min="122" max="128" width="5.7109375" customWidth="1"/>
    <col min="129" max="129" width="1.7109375" customWidth="1"/>
    <col min="131" max="137" width="5.7109375" customWidth="1"/>
  </cols>
  <sheetData>
    <row r="1" spans="1:137" ht="20.25" thickBot="1">
      <c r="A1" s="85" t="s">
        <v>70</v>
      </c>
      <c r="B1" s="86"/>
      <c r="D1" s="161" t="s">
        <v>410</v>
      </c>
      <c r="E1" s="161"/>
      <c r="F1" s="161"/>
      <c r="G1" s="161"/>
      <c r="H1" s="161"/>
      <c r="I1" s="161"/>
      <c r="J1" s="161"/>
      <c r="K1" s="161"/>
      <c r="M1" s="161" t="s">
        <v>451</v>
      </c>
      <c r="N1" s="161"/>
      <c r="O1" s="161"/>
      <c r="P1" s="161"/>
      <c r="Q1" s="161"/>
      <c r="R1" s="161"/>
      <c r="S1" s="161"/>
      <c r="T1" s="161"/>
      <c r="V1" s="161" t="s">
        <v>453</v>
      </c>
      <c r="W1" s="161"/>
      <c r="X1" s="161"/>
      <c r="Y1" s="161"/>
      <c r="Z1" s="161"/>
      <c r="AA1" s="161"/>
      <c r="AB1" s="161"/>
      <c r="AC1" s="161"/>
      <c r="AE1" s="161" t="s">
        <v>456</v>
      </c>
      <c r="AF1" s="161"/>
      <c r="AG1" s="161"/>
      <c r="AH1" s="161"/>
      <c r="AI1" s="161"/>
      <c r="AJ1" s="161"/>
      <c r="AK1" s="161"/>
      <c r="AL1" s="161"/>
      <c r="AN1" s="161" t="s">
        <v>460</v>
      </c>
      <c r="AO1" s="161"/>
      <c r="AP1" s="161"/>
      <c r="AQ1" s="161"/>
      <c r="AR1" s="161"/>
      <c r="AS1" s="161"/>
      <c r="AT1" s="161"/>
      <c r="AU1" s="161"/>
      <c r="AW1" s="161" t="s">
        <v>463</v>
      </c>
      <c r="AX1" s="161"/>
      <c r="AY1" s="161"/>
      <c r="AZ1" s="161"/>
      <c r="BA1" s="161"/>
      <c r="BB1" s="161"/>
      <c r="BC1" s="161"/>
      <c r="BD1" s="161"/>
      <c r="BF1" s="161" t="s">
        <v>469</v>
      </c>
      <c r="BG1" s="161"/>
      <c r="BH1" s="161"/>
      <c r="BI1" s="161"/>
      <c r="BJ1" s="161"/>
      <c r="BK1" s="161"/>
      <c r="BL1" s="161"/>
      <c r="BM1" s="161"/>
      <c r="BO1" s="161" t="s">
        <v>473</v>
      </c>
      <c r="BP1" s="161"/>
      <c r="BQ1" s="161"/>
      <c r="BR1" s="161"/>
      <c r="BS1" s="161"/>
      <c r="BT1" s="161"/>
      <c r="BU1" s="161"/>
      <c r="BV1" s="161"/>
      <c r="BX1" s="161" t="s">
        <v>477</v>
      </c>
      <c r="BY1" s="161"/>
      <c r="BZ1" s="161"/>
      <c r="CA1" s="161"/>
      <c r="CB1" s="161"/>
      <c r="CC1" s="161"/>
      <c r="CD1" s="161"/>
      <c r="CE1" s="161"/>
      <c r="CG1" s="161" t="s">
        <v>481</v>
      </c>
      <c r="CH1" s="161"/>
      <c r="CI1" s="161"/>
      <c r="CJ1" s="161"/>
      <c r="CK1" s="161"/>
      <c r="CL1" s="161"/>
      <c r="CM1" s="161"/>
      <c r="CN1" s="161"/>
      <c r="CP1" s="161" t="s">
        <v>484</v>
      </c>
      <c r="CQ1" s="161"/>
      <c r="CR1" s="161"/>
      <c r="CS1" s="161"/>
      <c r="CT1" s="161"/>
      <c r="CU1" s="161"/>
      <c r="CV1" s="161"/>
      <c r="CW1" s="161"/>
      <c r="CY1" s="161" t="s">
        <v>488</v>
      </c>
      <c r="CZ1" s="161"/>
      <c r="DA1" s="161"/>
      <c r="DB1" s="161"/>
      <c r="DC1" s="161"/>
      <c r="DD1" s="161"/>
      <c r="DE1" s="161"/>
      <c r="DF1" s="161"/>
      <c r="DH1" s="161" t="s">
        <v>490</v>
      </c>
      <c r="DI1" s="161"/>
      <c r="DJ1" s="161"/>
      <c r="DK1" s="161"/>
      <c r="DL1" s="161"/>
      <c r="DM1" s="161"/>
      <c r="DN1" s="161"/>
      <c r="DO1" s="161"/>
      <c r="DQ1" s="161" t="s">
        <v>493</v>
      </c>
      <c r="DR1" s="161"/>
      <c r="DS1" s="161"/>
      <c r="DT1" s="161"/>
      <c r="DU1" s="161"/>
      <c r="DV1" s="161"/>
      <c r="DW1" s="161"/>
      <c r="DX1" s="161"/>
      <c r="DZ1" s="161" t="s">
        <v>496</v>
      </c>
      <c r="EA1" s="161"/>
      <c r="EB1" s="161"/>
      <c r="EC1" s="161"/>
      <c r="ED1" s="161"/>
      <c r="EE1" s="161"/>
      <c r="EF1" s="161"/>
      <c r="EG1" s="161"/>
    </row>
    <row r="2" spans="1:137" ht="15.75" thickTop="1">
      <c r="A2" s="1" t="s">
        <v>7</v>
      </c>
      <c r="B2" t="s">
        <v>76</v>
      </c>
      <c r="D2" s="160" t="s">
        <v>411</v>
      </c>
      <c r="E2" s="160"/>
      <c r="F2" s="160"/>
      <c r="G2" s="160"/>
      <c r="H2" s="160"/>
      <c r="I2" s="160"/>
      <c r="J2" s="160"/>
      <c r="K2" s="160"/>
      <c r="M2" s="160" t="s">
        <v>452</v>
      </c>
      <c r="N2" s="160"/>
      <c r="O2" s="160"/>
      <c r="P2" s="160"/>
      <c r="Q2" s="160"/>
      <c r="R2" s="160"/>
      <c r="S2" s="160"/>
      <c r="T2" s="160"/>
      <c r="V2" s="160" t="s">
        <v>454</v>
      </c>
      <c r="W2" s="160"/>
      <c r="X2" s="160"/>
      <c r="Y2" s="160"/>
      <c r="Z2" s="160"/>
      <c r="AA2" s="160"/>
      <c r="AB2" s="160"/>
      <c r="AC2" s="160"/>
      <c r="AE2" s="160" t="s">
        <v>457</v>
      </c>
      <c r="AF2" s="160"/>
      <c r="AG2" s="160"/>
      <c r="AH2" s="160"/>
      <c r="AI2" s="160"/>
      <c r="AJ2" s="160"/>
      <c r="AK2" s="160"/>
      <c r="AL2" s="160"/>
      <c r="AN2" s="160" t="s">
        <v>461</v>
      </c>
      <c r="AO2" s="160"/>
      <c r="AP2" s="160"/>
      <c r="AQ2" s="160"/>
      <c r="AR2" s="160"/>
      <c r="AS2" s="160"/>
      <c r="AT2" s="160"/>
      <c r="AU2" s="160"/>
      <c r="AW2" s="160" t="s">
        <v>464</v>
      </c>
      <c r="AX2" s="160"/>
      <c r="AY2" s="160"/>
      <c r="AZ2" s="160"/>
      <c r="BA2" s="160"/>
      <c r="BB2" s="160"/>
      <c r="BC2" s="160"/>
      <c r="BD2" s="160"/>
      <c r="BF2" s="160" t="s">
        <v>470</v>
      </c>
      <c r="BG2" s="160"/>
      <c r="BH2" s="160"/>
      <c r="BI2" s="160"/>
      <c r="BJ2" s="160"/>
      <c r="BK2" s="160"/>
      <c r="BL2" s="160"/>
      <c r="BM2" s="160"/>
      <c r="BO2" s="160" t="s">
        <v>474</v>
      </c>
      <c r="BP2" s="160"/>
      <c r="BQ2" s="160"/>
      <c r="BR2" s="160"/>
      <c r="BS2" s="160"/>
      <c r="BT2" s="160"/>
      <c r="BU2" s="160"/>
      <c r="BV2" s="160"/>
      <c r="BX2" s="163" t="s">
        <v>478</v>
      </c>
      <c r="BY2" s="164"/>
      <c r="BZ2" s="164"/>
      <c r="CA2" s="164"/>
      <c r="CB2" s="164"/>
      <c r="CC2" s="164"/>
      <c r="CD2" s="164"/>
      <c r="CE2" s="165"/>
      <c r="CG2" s="163" t="s">
        <v>482</v>
      </c>
      <c r="CH2" s="164"/>
      <c r="CI2" s="164"/>
      <c r="CJ2" s="164"/>
      <c r="CK2" s="164"/>
      <c r="CL2" s="164"/>
      <c r="CM2" s="164"/>
      <c r="CN2" s="165"/>
      <c r="CP2" s="163" t="s">
        <v>485</v>
      </c>
      <c r="CQ2" s="164"/>
      <c r="CR2" s="164"/>
      <c r="CS2" s="164"/>
      <c r="CT2" s="164"/>
      <c r="CU2" s="164"/>
      <c r="CV2" s="164"/>
      <c r="CW2" s="165"/>
      <c r="CY2" s="163" t="s">
        <v>489</v>
      </c>
      <c r="CZ2" s="164"/>
      <c r="DA2" s="164"/>
      <c r="DB2" s="164"/>
      <c r="DC2" s="164"/>
      <c r="DD2" s="164"/>
      <c r="DE2" s="164"/>
      <c r="DF2" s="165"/>
      <c r="DH2" s="163" t="s">
        <v>491</v>
      </c>
      <c r="DI2" s="164"/>
      <c r="DJ2" s="164"/>
      <c r="DK2" s="164"/>
      <c r="DL2" s="164"/>
      <c r="DM2" s="164"/>
      <c r="DN2" s="164"/>
      <c r="DO2" s="165"/>
      <c r="DQ2" s="163" t="s">
        <v>494</v>
      </c>
      <c r="DR2" s="164"/>
      <c r="DS2" s="164"/>
      <c r="DT2" s="164"/>
      <c r="DU2" s="164"/>
      <c r="DV2" s="164"/>
      <c r="DW2" s="164"/>
      <c r="DX2" s="165"/>
      <c r="DZ2" s="163" t="s">
        <v>497</v>
      </c>
      <c r="EA2" s="164"/>
      <c r="EB2" s="164"/>
      <c r="EC2" s="164"/>
      <c r="ED2" s="164"/>
      <c r="EE2" s="164"/>
      <c r="EF2" s="164"/>
      <c r="EG2" s="165"/>
    </row>
    <row r="3" spans="1:137">
      <c r="A3" s="86"/>
      <c r="B3" s="86"/>
      <c r="D3" s="159" t="s">
        <v>412</v>
      </c>
      <c r="E3" s="159"/>
      <c r="F3" s="159"/>
      <c r="G3" s="159"/>
      <c r="H3" s="159"/>
      <c r="I3" s="159"/>
      <c r="J3" s="159"/>
      <c r="K3" s="159"/>
      <c r="M3" s="159" t="s">
        <v>447</v>
      </c>
      <c r="N3" s="159"/>
      <c r="O3" s="159"/>
      <c r="P3" s="159"/>
      <c r="Q3" s="159"/>
      <c r="R3" s="159"/>
      <c r="S3" s="159"/>
      <c r="T3" s="159"/>
      <c r="V3" s="159" t="s">
        <v>455</v>
      </c>
      <c r="W3" s="159"/>
      <c r="X3" s="159"/>
      <c r="Y3" s="159"/>
      <c r="Z3" s="159"/>
      <c r="AA3" s="159"/>
      <c r="AB3" s="159"/>
      <c r="AC3" s="159"/>
      <c r="AE3" s="159" t="s">
        <v>458</v>
      </c>
      <c r="AF3" s="159"/>
      <c r="AG3" s="159"/>
      <c r="AH3" s="159"/>
      <c r="AI3" s="159"/>
      <c r="AJ3" s="159"/>
      <c r="AK3" s="159"/>
      <c r="AL3" s="159"/>
      <c r="AN3" s="159" t="s">
        <v>462</v>
      </c>
      <c r="AO3" s="159"/>
      <c r="AP3" s="159"/>
      <c r="AQ3" s="159"/>
      <c r="AR3" s="159"/>
      <c r="AS3" s="159"/>
      <c r="AT3" s="159"/>
      <c r="AU3" s="159"/>
      <c r="AW3" s="159" t="s">
        <v>465</v>
      </c>
      <c r="AX3" s="159"/>
      <c r="AY3" s="159"/>
      <c r="AZ3" s="159"/>
      <c r="BA3" s="159"/>
      <c r="BB3" s="159"/>
      <c r="BC3" s="159"/>
      <c r="BD3" s="159"/>
      <c r="BF3" s="159" t="s">
        <v>471</v>
      </c>
      <c r="BG3" s="159"/>
      <c r="BH3" s="159"/>
      <c r="BI3" s="159"/>
      <c r="BJ3" s="159"/>
      <c r="BK3" s="159"/>
      <c r="BL3" s="159"/>
      <c r="BM3" s="159"/>
      <c r="BO3" s="159" t="s">
        <v>475</v>
      </c>
      <c r="BP3" s="159"/>
      <c r="BQ3" s="159"/>
      <c r="BR3" s="159"/>
      <c r="BS3" s="159"/>
      <c r="BT3" s="159"/>
      <c r="BU3" s="159"/>
      <c r="BV3" s="159"/>
      <c r="BX3" s="155" t="s">
        <v>479</v>
      </c>
      <c r="BY3" s="156"/>
      <c r="BZ3" s="156"/>
      <c r="CA3" s="156"/>
      <c r="CB3" s="156"/>
      <c r="CC3" s="156"/>
      <c r="CD3" s="156"/>
      <c r="CE3" s="157"/>
      <c r="CG3" s="155" t="s">
        <v>483</v>
      </c>
      <c r="CH3" s="156"/>
      <c r="CI3" s="156"/>
      <c r="CJ3" s="156"/>
      <c r="CK3" s="156"/>
      <c r="CL3" s="156"/>
      <c r="CM3" s="156"/>
      <c r="CN3" s="157"/>
      <c r="CP3" s="155" t="s">
        <v>486</v>
      </c>
      <c r="CQ3" s="156"/>
      <c r="CR3" s="156"/>
      <c r="CS3" s="156"/>
      <c r="CT3" s="156"/>
      <c r="CU3" s="156"/>
      <c r="CV3" s="156"/>
      <c r="CW3" s="157"/>
      <c r="CY3" s="155" t="s">
        <v>489</v>
      </c>
      <c r="CZ3" s="156"/>
      <c r="DA3" s="156"/>
      <c r="DB3" s="156"/>
      <c r="DC3" s="156"/>
      <c r="DD3" s="156"/>
      <c r="DE3" s="156"/>
      <c r="DF3" s="157"/>
      <c r="DH3" s="155" t="s">
        <v>492</v>
      </c>
      <c r="DI3" s="156"/>
      <c r="DJ3" s="156"/>
      <c r="DK3" s="156"/>
      <c r="DL3" s="156"/>
      <c r="DM3" s="156"/>
      <c r="DN3" s="156"/>
      <c r="DO3" s="157"/>
      <c r="DQ3" s="155" t="s">
        <v>495</v>
      </c>
      <c r="DR3" s="156"/>
      <c r="DS3" s="156"/>
      <c r="DT3" s="156"/>
      <c r="DU3" s="156"/>
      <c r="DV3" s="156"/>
      <c r="DW3" s="156"/>
      <c r="DX3" s="157"/>
      <c r="DZ3" s="155" t="s">
        <v>129</v>
      </c>
      <c r="EA3" s="156"/>
      <c r="EB3" s="156"/>
      <c r="EC3" s="156"/>
      <c r="ED3" s="156"/>
      <c r="EE3" s="156"/>
      <c r="EF3" s="156"/>
      <c r="EG3" s="157"/>
    </row>
    <row r="4" spans="1:137">
      <c r="D4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  <c r="J4" s="3" t="s">
        <v>83</v>
      </c>
      <c r="K4" s="8" t="s">
        <v>84</v>
      </c>
      <c r="M4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 t="s">
        <v>83</v>
      </c>
      <c r="T4" s="8" t="s">
        <v>84</v>
      </c>
      <c r="V4" t="s">
        <v>77</v>
      </c>
      <c r="W4" s="3" t="s">
        <v>78</v>
      </c>
      <c r="X4" s="3" t="s">
        <v>79</v>
      </c>
      <c r="Y4" s="3" t="s">
        <v>80</v>
      </c>
      <c r="Z4" s="3" t="s">
        <v>81</v>
      </c>
      <c r="AA4" s="3" t="s">
        <v>82</v>
      </c>
      <c r="AB4" s="3" t="s">
        <v>83</v>
      </c>
      <c r="AC4" s="8" t="s">
        <v>84</v>
      </c>
      <c r="AE4" t="s">
        <v>77</v>
      </c>
      <c r="AF4" s="3" t="s">
        <v>78</v>
      </c>
      <c r="AG4" s="3" t="s">
        <v>79</v>
      </c>
      <c r="AH4" s="3" t="s">
        <v>80</v>
      </c>
      <c r="AI4" s="3" t="s">
        <v>81</v>
      </c>
      <c r="AJ4" s="3" t="s">
        <v>82</v>
      </c>
      <c r="AK4" s="3" t="s">
        <v>83</v>
      </c>
      <c r="AL4" s="8" t="s">
        <v>84</v>
      </c>
      <c r="AN4" t="s">
        <v>77</v>
      </c>
      <c r="AO4" s="3" t="s">
        <v>78</v>
      </c>
      <c r="AP4" s="3" t="s">
        <v>79</v>
      </c>
      <c r="AQ4" s="3" t="s">
        <v>80</v>
      </c>
      <c r="AR4" s="3" t="s">
        <v>81</v>
      </c>
      <c r="AS4" s="3" t="s">
        <v>82</v>
      </c>
      <c r="AT4" s="3" t="s">
        <v>83</v>
      </c>
      <c r="AU4" s="8" t="s">
        <v>84</v>
      </c>
      <c r="AW4" t="s">
        <v>77</v>
      </c>
      <c r="AX4" s="3" t="s">
        <v>78</v>
      </c>
      <c r="AY4" s="3" t="s">
        <v>79</v>
      </c>
      <c r="AZ4" s="3" t="s">
        <v>80</v>
      </c>
      <c r="BA4" s="3" t="s">
        <v>81</v>
      </c>
      <c r="BB4" s="3" t="s">
        <v>82</v>
      </c>
      <c r="BC4" s="3" t="s">
        <v>83</v>
      </c>
      <c r="BD4" s="8" t="s">
        <v>84</v>
      </c>
      <c r="BF4" t="s">
        <v>77</v>
      </c>
      <c r="BG4" s="3" t="s">
        <v>78</v>
      </c>
      <c r="BH4" s="3" t="s">
        <v>79</v>
      </c>
      <c r="BI4" s="3" t="s">
        <v>80</v>
      </c>
      <c r="BJ4" s="3" t="s">
        <v>81</v>
      </c>
      <c r="BK4" s="3" t="s">
        <v>82</v>
      </c>
      <c r="BL4" s="3" t="s">
        <v>83</v>
      </c>
      <c r="BM4" s="8" t="s">
        <v>84</v>
      </c>
      <c r="BO4" t="s">
        <v>77</v>
      </c>
      <c r="BP4" s="3" t="s">
        <v>78</v>
      </c>
      <c r="BQ4" s="3" t="s">
        <v>79</v>
      </c>
      <c r="BR4" s="3" t="s">
        <v>80</v>
      </c>
      <c r="BS4" s="3" t="s">
        <v>81</v>
      </c>
      <c r="BT4" s="3" t="s">
        <v>82</v>
      </c>
      <c r="BU4" s="3" t="s">
        <v>83</v>
      </c>
      <c r="BV4" s="8" t="s">
        <v>84</v>
      </c>
      <c r="BX4" t="s">
        <v>77</v>
      </c>
      <c r="BY4" s="3" t="s">
        <v>78</v>
      </c>
      <c r="BZ4" s="3" t="s">
        <v>79</v>
      </c>
      <c r="CA4" s="3" t="s">
        <v>80</v>
      </c>
      <c r="CB4" s="3" t="s">
        <v>81</v>
      </c>
      <c r="CC4" s="3" t="s">
        <v>82</v>
      </c>
      <c r="CD4" s="3" t="s">
        <v>83</v>
      </c>
      <c r="CE4" s="8" t="s">
        <v>84</v>
      </c>
      <c r="CG4" t="s">
        <v>77</v>
      </c>
      <c r="CH4" s="3" t="s">
        <v>78</v>
      </c>
      <c r="CI4" s="3" t="s">
        <v>79</v>
      </c>
      <c r="CJ4" s="3" t="s">
        <v>80</v>
      </c>
      <c r="CK4" s="3" t="s">
        <v>81</v>
      </c>
      <c r="CL4" s="3" t="s">
        <v>82</v>
      </c>
      <c r="CM4" s="3" t="s">
        <v>83</v>
      </c>
      <c r="CN4" s="8" t="s">
        <v>84</v>
      </c>
      <c r="CP4" t="s">
        <v>77</v>
      </c>
      <c r="CQ4" s="3" t="s">
        <v>78</v>
      </c>
      <c r="CR4" s="3" t="s">
        <v>79</v>
      </c>
      <c r="CS4" s="3" t="s">
        <v>80</v>
      </c>
      <c r="CT4" s="3" t="s">
        <v>81</v>
      </c>
      <c r="CU4" s="3" t="s">
        <v>82</v>
      </c>
      <c r="CV4" s="3" t="s">
        <v>83</v>
      </c>
      <c r="CW4" s="8" t="s">
        <v>84</v>
      </c>
      <c r="CY4" t="s">
        <v>77</v>
      </c>
      <c r="CZ4" s="3" t="s">
        <v>78</v>
      </c>
      <c r="DA4" s="3" t="s">
        <v>79</v>
      </c>
      <c r="DB4" s="3" t="s">
        <v>80</v>
      </c>
      <c r="DC4" s="3" t="s">
        <v>81</v>
      </c>
      <c r="DD4" s="3" t="s">
        <v>82</v>
      </c>
      <c r="DE4" s="3" t="s">
        <v>83</v>
      </c>
      <c r="DF4" s="8" t="s">
        <v>84</v>
      </c>
      <c r="DH4" t="s">
        <v>77</v>
      </c>
      <c r="DI4" s="3" t="s">
        <v>78</v>
      </c>
      <c r="DJ4" s="3" t="s">
        <v>79</v>
      </c>
      <c r="DK4" s="3" t="s">
        <v>80</v>
      </c>
      <c r="DL4" s="3" t="s">
        <v>81</v>
      </c>
      <c r="DM4" s="3" t="s">
        <v>82</v>
      </c>
      <c r="DN4" s="3" t="s">
        <v>83</v>
      </c>
      <c r="DO4" s="8" t="s">
        <v>84</v>
      </c>
      <c r="DQ4" t="s">
        <v>77</v>
      </c>
      <c r="DR4" s="3" t="s">
        <v>78</v>
      </c>
      <c r="DS4" s="3" t="s">
        <v>79</v>
      </c>
      <c r="DT4" s="3" t="s">
        <v>80</v>
      </c>
      <c r="DU4" s="3" t="s">
        <v>81</v>
      </c>
      <c r="DV4" s="3" t="s">
        <v>82</v>
      </c>
      <c r="DW4" s="3" t="s">
        <v>83</v>
      </c>
      <c r="DX4" s="8" t="s">
        <v>84</v>
      </c>
      <c r="DZ4" t="s">
        <v>77</v>
      </c>
      <c r="EA4" s="3" t="s">
        <v>78</v>
      </c>
      <c r="EB4" s="3" t="s">
        <v>79</v>
      </c>
      <c r="EC4" s="3" t="s">
        <v>80</v>
      </c>
      <c r="ED4" s="3" t="s">
        <v>81</v>
      </c>
      <c r="EE4" s="3" t="s">
        <v>82</v>
      </c>
      <c r="EF4" s="3" t="s">
        <v>83</v>
      </c>
      <c r="EG4" s="8" t="s">
        <v>84</v>
      </c>
    </row>
    <row r="5" spans="1:137">
      <c r="A5" s="151" t="s">
        <v>126</v>
      </c>
      <c r="B5" s="151"/>
      <c r="D5" s="4" t="s">
        <v>255</v>
      </c>
      <c r="E5" s="3">
        <f>IF($B$2="(Todas)",COUNTIF(BASE[CODCIE10],GUIA_NACIONAL_2022_1[[#This Row],[CIE-10]]),COUNTIFS(BASE[Cod.Establecimiento],$B$2,BASE[CODCIE10],GUIA_NACIONAL_2022_1[[#This Row],[CIE-10]]))</f>
        <v>0</v>
      </c>
      <c r="F5" s="3">
        <f>IF($B$2="(Todas)",COUNTIF(BASE[CODCIE102],GUIA_NACIONAL_2022_1[[#This Row],[CIE-10]]),COUNTIFS(BASE[Cod.Establecimiento],$B$2,BASE[CODCIE102],GUIA_NACIONAL_2022_1[[#This Row],[CIE-10]]))</f>
        <v>0</v>
      </c>
      <c r="G5" s="3">
        <f>IF($B$2="(Todas)",COUNTIF(BASE[CODCIE104],GUIA_NACIONAL_2022_1[[#This Row],[CIE-10]]),COUNTIFS(BASE[Cod.Establecimiento],$B$2,BASE[CODCIE104],GUIA_NACIONAL_2022_1[[#This Row],[CIE-10]]))</f>
        <v>0</v>
      </c>
      <c r="H5" s="3">
        <f>IF($B$2="(Todas)",COUNTIF(BASE[CODCIE106],GUIA_NACIONAL_2022_1[[#This Row],[CIE-10]]),COUNTIFS(BASE[Cod.Establecimiento],$B$2,BASE[CODCIE106],GUIA_NACIONAL_2022_1[[#This Row],[CIE-10]]))</f>
        <v>0</v>
      </c>
      <c r="I5" s="3">
        <f>IF($B$2="(Todas)",COUNTIF(BASE[CODCIE108],GUIA_NACIONAL_2022_1[[#This Row],[CIE-10]]),COUNTIFS(BASE[Cod.Establecimiento],$B$2,BASE[CODCIE108],GUIA_NACIONAL_2022_1[[#This Row],[CIE-10]]))</f>
        <v>0</v>
      </c>
      <c r="J5" s="3">
        <f>IF($B$2="(Todas)",COUNTIF(BASE[CODCIE1010],GUIA_NACIONAL_2022_1[[#This Row],[CIE-10]]),COUNTIFS(BASE[Cod.Establecimiento],$B$2,BASE[CODCIE1010],GUIA_NACIONAL_2022_1[[#This Row],[CIE-10]]))</f>
        <v>0</v>
      </c>
      <c r="K5" s="9">
        <f>SUM(GUIA_NACIONAL_2022_1[[#This Row],[D1]:[D6]])</f>
        <v>0</v>
      </c>
      <c r="M5" s="4" t="s">
        <v>448</v>
      </c>
      <c r="N5" s="3">
        <f>IF($B$2="(Todas)",COUNTIF(BASE[CODCIE10],GUIA_NACIONAL_2022_1106[[#This Row],[CIE-10]]),COUNTIFS(BASE[Cod.Establecimiento],$B$2,BASE[CODCIE10],GUIA_NACIONAL_2022_1106[[#This Row],[CIE-10]]))</f>
        <v>0</v>
      </c>
      <c r="O5" s="3">
        <f>IF($B$2="(Todas)",COUNTIF(BASE[CODCIE102],GUIA_NACIONAL_2022_1106[[#This Row],[CIE-10]]),COUNTIFS(BASE[Cod.Establecimiento],$B$2,BASE[CODCIE102],GUIA_NACIONAL_2022_1106[[#This Row],[CIE-10]]))</f>
        <v>0</v>
      </c>
      <c r="P5" s="3">
        <f>IF($B$2="(Todas)",COUNTIF(BASE[CODCIE104],GUIA_NACIONAL_2022_1106[[#This Row],[CIE-10]]),COUNTIFS(BASE[Cod.Establecimiento],$B$2,BASE[CODCIE104],GUIA_NACIONAL_2022_1106[[#This Row],[CIE-10]]))</f>
        <v>0</v>
      </c>
      <c r="Q5" s="3">
        <f>IF($B$2="(Todas)",COUNTIF(BASE[CODCIE106],GUIA_NACIONAL_2022_1106[[#This Row],[CIE-10]]),COUNTIFS(BASE[Cod.Establecimiento],$B$2,BASE[CODCIE106],GUIA_NACIONAL_2022_1106[[#This Row],[CIE-10]]))</f>
        <v>0</v>
      </c>
      <c r="R5" s="3">
        <f>IF($B$2="(Todas)",COUNTIF(BASE[CODCIE108],GUIA_NACIONAL_2022_1106[[#This Row],[CIE-10]]),COUNTIFS(BASE[Cod.Establecimiento],$B$2,BASE[CODCIE108],GUIA_NACIONAL_2022_1106[[#This Row],[CIE-10]]))</f>
        <v>0</v>
      </c>
      <c r="S5" s="3">
        <f>IF($B$2="(Todas)",COUNTIF(BASE[CODCIE1010],GUIA_NACIONAL_2022_1106[[#This Row],[CIE-10]]),COUNTIFS(BASE[Cod.Establecimiento],$B$2,BASE[CODCIE1010],GUIA_NACIONAL_2022_1106[[#This Row],[CIE-10]]))</f>
        <v>0</v>
      </c>
      <c r="T5" s="9">
        <f>SUM(GUIA_NACIONAL_2022_1106[[#This Row],[D1]:[D6]])</f>
        <v>0</v>
      </c>
      <c r="V5" s="4" t="s">
        <v>113</v>
      </c>
      <c r="W5" s="3">
        <f>IF($B$2="(Todas)",COUNTIF(BASE[CODCIE10],GUIA_NACIONAL_2022_1106128[[#This Row],[CIE-10]]),COUNTIFS(BASE[Cod.Establecimiento],$B$2,BASE[CODCIE10],GUIA_NACIONAL_2022_1106128[[#This Row],[CIE-10]]))</f>
        <v>0</v>
      </c>
      <c r="X5" s="3">
        <f>IF($B$2="(Todas)",COUNTIF(BASE[CODCIE102],GUIA_NACIONAL_2022_1106128[[#This Row],[CIE-10]]),COUNTIFS(BASE[Cod.Establecimiento],$B$2,BASE[CODCIE102],GUIA_NACIONAL_2022_1106128[[#This Row],[CIE-10]]))</f>
        <v>0</v>
      </c>
      <c r="Y5" s="3">
        <f>IF($B$2="(Todas)",COUNTIF(BASE[CODCIE104],GUIA_NACIONAL_2022_1106128[[#This Row],[CIE-10]]),COUNTIFS(BASE[Cod.Establecimiento],$B$2,BASE[CODCIE104],GUIA_NACIONAL_2022_1106128[[#This Row],[CIE-10]]))</f>
        <v>0</v>
      </c>
      <c r="Z5" s="3">
        <f>IF($B$2="(Todas)",COUNTIF(BASE[CODCIE106],GUIA_NACIONAL_2022_1106128[[#This Row],[CIE-10]]),COUNTIFS(BASE[Cod.Establecimiento],$B$2,BASE[CODCIE106],GUIA_NACIONAL_2022_1106128[[#This Row],[CIE-10]]))</f>
        <v>0</v>
      </c>
      <c r="AA5" s="3">
        <f>IF($B$2="(Todas)",COUNTIF(BASE[CODCIE108],GUIA_NACIONAL_2022_1106128[[#This Row],[CIE-10]]),COUNTIFS(BASE[Cod.Establecimiento],$B$2,BASE[CODCIE108],GUIA_NACIONAL_2022_1106128[[#This Row],[CIE-10]]))</f>
        <v>0</v>
      </c>
      <c r="AB5" s="3">
        <f>IF($B$2="(Todas)",COUNTIF(BASE[CODCIE1010],GUIA_NACIONAL_2022_1106128[[#This Row],[CIE-10]]),COUNTIFS(BASE[Cod.Establecimiento],$B$2,BASE[CODCIE1010],GUIA_NACIONAL_2022_1106128[[#This Row],[CIE-10]]))</f>
        <v>0</v>
      </c>
      <c r="AC5" s="9">
        <f>SUM(GUIA_NACIONAL_2022_1106128[[#This Row],[D1]:[D6]])</f>
        <v>0</v>
      </c>
      <c r="AE5" s="4" t="s">
        <v>459</v>
      </c>
      <c r="AF5" s="3">
        <f>IF($B$2="(Todas)",COUNTIF(BASE[CODCIE10],GUIA_NACIONAL_2022_1106128105[[#This Row],[CIE-10]]),COUNTIFS(BASE[Cod.Establecimiento],$B$2,BASE[CODCIE10],GUIA_NACIONAL_2022_1106128105[[#This Row],[CIE-10]]))</f>
        <v>0</v>
      </c>
      <c r="AG5" s="3">
        <f>IF($B$2="(Todas)",COUNTIF(BASE[CODCIE102],GUIA_NACIONAL_2022_1106128105[[#This Row],[CIE-10]]),COUNTIFS(BASE[Cod.Establecimiento],$B$2,BASE[CODCIE102],GUIA_NACIONAL_2022_1106128105[[#This Row],[CIE-10]]))</f>
        <v>0</v>
      </c>
      <c r="AH5" s="3">
        <f>IF($B$2="(Todas)",COUNTIF(BASE[CODCIE104],GUIA_NACIONAL_2022_1106128105[[#This Row],[CIE-10]]),COUNTIFS(BASE[Cod.Establecimiento],$B$2,BASE[CODCIE104],GUIA_NACIONAL_2022_1106128105[[#This Row],[CIE-10]]))</f>
        <v>0</v>
      </c>
      <c r="AI5" s="3">
        <f>IF($B$2="(Todas)",COUNTIF(BASE[CODCIE106],GUIA_NACIONAL_2022_1106128105[[#This Row],[CIE-10]]),COUNTIFS(BASE[Cod.Establecimiento],$B$2,BASE[CODCIE106],GUIA_NACIONAL_2022_1106128105[[#This Row],[CIE-10]]))</f>
        <v>0</v>
      </c>
      <c r="AJ5" s="3">
        <f>IF($B$2="(Todas)",COUNTIF(BASE[CODCIE108],GUIA_NACIONAL_2022_1106128105[[#This Row],[CIE-10]]),COUNTIFS(BASE[Cod.Establecimiento],$B$2,BASE[CODCIE108],GUIA_NACIONAL_2022_1106128105[[#This Row],[CIE-10]]))</f>
        <v>0</v>
      </c>
      <c r="AK5" s="3">
        <f>IF($B$2="(Todas)",COUNTIF(BASE[CODCIE1010],GUIA_NACIONAL_2022_1106128105[[#This Row],[CIE-10]]),COUNTIFS(BASE[Cod.Establecimiento],$B$2,BASE[CODCIE1010],GUIA_NACIONAL_2022_1106128105[[#This Row],[CIE-10]]))</f>
        <v>0</v>
      </c>
      <c r="AL5" s="9">
        <f>SUM(GUIA_NACIONAL_2022_1106128105[[#This Row],[D1]:[D6]])</f>
        <v>0</v>
      </c>
      <c r="AN5" s="4" t="s">
        <v>319</v>
      </c>
      <c r="AO5" s="3">
        <f>IF($B$2="(Todas)",COUNTIF(BASE[CODCIE10],GUIA_NACIONAL_2022_1106128105107[[#This Row],[CIE-10]]),COUNTIFS(BASE[Cod.Establecimiento],$B$2,BASE[CODCIE10],GUIA_NACIONAL_2022_1106128105107[[#This Row],[CIE-10]]))</f>
        <v>0</v>
      </c>
      <c r="AP5" s="3">
        <f>IF($B$2="(Todas)",COUNTIF(BASE[CODCIE102],GUIA_NACIONAL_2022_1106128105107[[#This Row],[CIE-10]]),COUNTIFS(BASE[Cod.Establecimiento],$B$2,BASE[CODCIE102],GUIA_NACIONAL_2022_1106128105107[[#This Row],[CIE-10]]))</f>
        <v>0</v>
      </c>
      <c r="AQ5" s="3">
        <f>IF($B$2="(Todas)",COUNTIF(BASE[CODCIE104],GUIA_NACIONAL_2022_1106128105107[[#This Row],[CIE-10]]),COUNTIFS(BASE[Cod.Establecimiento],$B$2,BASE[CODCIE104],GUIA_NACIONAL_2022_1106128105107[[#This Row],[CIE-10]]))</f>
        <v>0</v>
      </c>
      <c r="AR5" s="3">
        <f>IF($B$2="(Todas)",COUNTIF(BASE[CODCIE106],GUIA_NACIONAL_2022_1106128105107[[#This Row],[CIE-10]]),COUNTIFS(BASE[Cod.Establecimiento],$B$2,BASE[CODCIE106],GUIA_NACIONAL_2022_1106128105107[[#This Row],[CIE-10]]))</f>
        <v>0</v>
      </c>
      <c r="AS5" s="3">
        <f>IF($B$2="(Todas)",COUNTIF(BASE[CODCIE108],GUIA_NACIONAL_2022_1106128105107[[#This Row],[CIE-10]]),COUNTIFS(BASE[Cod.Establecimiento],$B$2,BASE[CODCIE108],GUIA_NACIONAL_2022_1106128105107[[#This Row],[CIE-10]]))</f>
        <v>0</v>
      </c>
      <c r="AT5" s="3">
        <f>IF($B$2="(Todas)",COUNTIF(BASE[CODCIE1010],GUIA_NACIONAL_2022_1106128105107[[#This Row],[CIE-10]]),COUNTIFS(BASE[Cod.Establecimiento],$B$2,BASE[CODCIE1010],GUIA_NACIONAL_2022_1106128105107[[#This Row],[CIE-10]]))</f>
        <v>0</v>
      </c>
      <c r="AU5" s="9">
        <f>SUM(GUIA_NACIONAL_2022_1106128105107[[#This Row],[D1]:[D6]])</f>
        <v>0</v>
      </c>
      <c r="AW5" s="4" t="s">
        <v>466</v>
      </c>
      <c r="AX5" s="3">
        <f>IF($B$2="(Todas)",COUNTIF(BASE[CODCIE10],GUIA_NACIONAL_2022_1106128105107110[[#This Row],[CIE-10]]),COUNTIFS(BASE[Cod.Establecimiento],$B$2,BASE[CODCIE10],GUIA_NACIONAL_2022_1106128105107110[[#This Row],[CIE-10]]))</f>
        <v>0</v>
      </c>
      <c r="AY5" s="3">
        <f>IF($B$2="(Todas)",COUNTIF(BASE[CODCIE102],GUIA_NACIONAL_2022_1106128105107110[[#This Row],[CIE-10]]),COUNTIFS(BASE[Cod.Establecimiento],$B$2,BASE[CODCIE102],GUIA_NACIONAL_2022_1106128105107110[[#This Row],[CIE-10]]))</f>
        <v>0</v>
      </c>
      <c r="AZ5" s="3">
        <f>IF($B$2="(Todas)",COUNTIF(BASE[CODCIE104],GUIA_NACIONAL_2022_1106128105107110[[#This Row],[CIE-10]]),COUNTIFS(BASE[Cod.Establecimiento],$B$2,BASE[CODCIE104],GUIA_NACIONAL_2022_1106128105107110[[#This Row],[CIE-10]]))</f>
        <v>0</v>
      </c>
      <c r="BA5" s="3">
        <f>IF($B$2="(Todas)",COUNTIF(BASE[CODCIE106],GUIA_NACIONAL_2022_1106128105107110[[#This Row],[CIE-10]]),COUNTIFS(BASE[Cod.Establecimiento],$B$2,BASE[CODCIE106],GUIA_NACIONAL_2022_1106128105107110[[#This Row],[CIE-10]]))</f>
        <v>0</v>
      </c>
      <c r="BB5" s="3">
        <f>IF($B$2="(Todas)",COUNTIF(BASE[CODCIE108],GUIA_NACIONAL_2022_1106128105107110[[#This Row],[CIE-10]]),COUNTIFS(BASE[Cod.Establecimiento],$B$2,BASE[CODCIE108],GUIA_NACIONAL_2022_1106128105107110[[#This Row],[CIE-10]]))</f>
        <v>0</v>
      </c>
      <c r="BC5" s="3">
        <f>IF($B$2="(Todas)",COUNTIF(BASE[CODCIE1010],GUIA_NACIONAL_2022_1106128105107110[[#This Row],[CIE-10]]),COUNTIFS(BASE[Cod.Establecimiento],$B$2,BASE[CODCIE1010],GUIA_NACIONAL_2022_1106128105107110[[#This Row],[CIE-10]]))</f>
        <v>0</v>
      </c>
      <c r="BD5" s="9">
        <f>SUM(GUIA_NACIONAL_2022_1106128105107110[[#This Row],[D1]:[D6]])</f>
        <v>0</v>
      </c>
      <c r="BF5" s="4" t="s">
        <v>472</v>
      </c>
      <c r="BG5" s="3">
        <f>IF($B$2="(Todas)",COUNTIF(BASE[CODCIE10],GUIA_NACIONAL_2022_1106128105107111[[#This Row],[CIE-10]]),COUNTIFS(BASE[Cod.Establecimiento],$B$2,BASE[CODCIE10],GUIA_NACIONAL_2022_1106128105107111[[#This Row],[CIE-10]]))</f>
        <v>0</v>
      </c>
      <c r="BH5" s="3">
        <f>IF($B$2="(Todas)",COUNTIF(BASE[CODCIE102],GUIA_NACIONAL_2022_1106128105107111[[#This Row],[CIE-10]]),COUNTIFS(BASE[Cod.Establecimiento],$B$2,BASE[CODCIE102],GUIA_NACIONAL_2022_1106128105107111[[#This Row],[CIE-10]]))</f>
        <v>0</v>
      </c>
      <c r="BI5" s="3">
        <f>IF($B$2="(Todas)",COUNTIF(BASE[CODCIE104],GUIA_NACIONAL_2022_1106128105107111[[#This Row],[CIE-10]]),COUNTIFS(BASE[Cod.Establecimiento],$B$2,BASE[CODCIE104],GUIA_NACIONAL_2022_1106128105107111[[#This Row],[CIE-10]]))</f>
        <v>0</v>
      </c>
      <c r="BJ5" s="3">
        <f>IF($B$2="(Todas)",COUNTIF(BASE[CODCIE106],GUIA_NACIONAL_2022_1106128105107111[[#This Row],[CIE-10]]),COUNTIFS(BASE[Cod.Establecimiento],$B$2,BASE[CODCIE106],GUIA_NACIONAL_2022_1106128105107111[[#This Row],[CIE-10]]))</f>
        <v>0</v>
      </c>
      <c r="BK5" s="3">
        <f>IF($B$2="(Todas)",COUNTIF(BASE[CODCIE108],GUIA_NACIONAL_2022_1106128105107111[[#This Row],[CIE-10]]),COUNTIFS(BASE[Cod.Establecimiento],$B$2,BASE[CODCIE108],GUIA_NACIONAL_2022_1106128105107111[[#This Row],[CIE-10]]))</f>
        <v>0</v>
      </c>
      <c r="BL5" s="3">
        <f>IF($B$2="(Todas)",COUNTIF(BASE[CODCIE1010],GUIA_NACIONAL_2022_1106128105107111[[#This Row],[CIE-10]]),COUNTIFS(BASE[Cod.Establecimiento],$B$2,BASE[CODCIE1010],GUIA_NACIONAL_2022_1106128105107111[[#This Row],[CIE-10]]))</f>
        <v>0</v>
      </c>
      <c r="BM5" s="9">
        <f>SUM(GUIA_NACIONAL_2022_1106128105107111[[#This Row],[D1]:[D6]])</f>
        <v>0</v>
      </c>
      <c r="BO5" s="4" t="s">
        <v>476</v>
      </c>
      <c r="BP5" s="3">
        <f>IF($B$2="(Todas)",COUNTIF(BASE[CODCIE10],GUIA_NACIONAL_2022_1106128105107111115[[#This Row],[CIE-10]]),COUNTIFS(BASE[Cod.Establecimiento],$B$2,BASE[CODCIE10],GUIA_NACIONAL_2022_1106128105107111115[[#This Row],[CIE-10]]))</f>
        <v>0</v>
      </c>
      <c r="BQ5" s="3">
        <f>IF($B$2="(Todas)",COUNTIF(BASE[CODCIE102],GUIA_NACIONAL_2022_1106128105107111115[[#This Row],[CIE-10]]),COUNTIFS(BASE[Cod.Establecimiento],$B$2,BASE[CODCIE102],GUIA_NACIONAL_2022_1106128105107111115[[#This Row],[CIE-10]]))</f>
        <v>0</v>
      </c>
      <c r="BR5" s="3">
        <f>IF($B$2="(Todas)",COUNTIF(BASE[CODCIE104],GUIA_NACIONAL_2022_1106128105107111115[[#This Row],[CIE-10]]),COUNTIFS(BASE[Cod.Establecimiento],$B$2,BASE[CODCIE104],GUIA_NACIONAL_2022_1106128105107111115[[#This Row],[CIE-10]]))</f>
        <v>0</v>
      </c>
      <c r="BS5" s="3">
        <f>IF($B$2="(Todas)",COUNTIF(BASE[CODCIE106],GUIA_NACIONAL_2022_1106128105107111115[[#This Row],[CIE-10]]),COUNTIFS(BASE[Cod.Establecimiento],$B$2,BASE[CODCIE106],GUIA_NACIONAL_2022_1106128105107111115[[#This Row],[CIE-10]]))</f>
        <v>0</v>
      </c>
      <c r="BT5" s="3">
        <f>IF($B$2="(Todas)",COUNTIF(BASE[CODCIE108],GUIA_NACIONAL_2022_1106128105107111115[[#This Row],[CIE-10]]),COUNTIFS(BASE[Cod.Establecimiento],$B$2,BASE[CODCIE108],GUIA_NACIONAL_2022_1106128105107111115[[#This Row],[CIE-10]]))</f>
        <v>0</v>
      </c>
      <c r="BU5" s="3">
        <f>IF($B$2="(Todas)",COUNTIF(BASE[CODCIE1010],GUIA_NACIONAL_2022_1106128105107111115[[#This Row],[CIE-10]]),COUNTIFS(BASE[Cod.Establecimiento],$B$2,BASE[CODCIE1010],GUIA_NACIONAL_2022_1106128105107111115[[#This Row],[CIE-10]]))</f>
        <v>0</v>
      </c>
      <c r="BV5" s="9">
        <f>SUM(GUIA_NACIONAL_2022_1106128105107111115[[#This Row],[D1]:[D6]])</f>
        <v>0</v>
      </c>
      <c r="BX5" s="4" t="s">
        <v>480</v>
      </c>
      <c r="BY5" s="3">
        <f>IF($B$2="(Todas)",COUNTIF(BASE[CODCIE10],GUIA_NACIONAL_2022_1106128105107111115129[[#This Row],[CIE-10]]),COUNTIFS(BASE[Cod.Establecimiento],$B$2,BASE[CODCIE10],GUIA_NACIONAL_2022_1106128105107111115129[[#This Row],[CIE-10]]))</f>
        <v>0</v>
      </c>
      <c r="BZ5" s="3">
        <f>IF($B$2="(Todas)",COUNTIF(BASE[CODCIE102],GUIA_NACIONAL_2022_1106128105107111115129[[#This Row],[CIE-10]]),COUNTIFS(BASE[Cod.Establecimiento],$B$2,BASE[CODCIE102],GUIA_NACIONAL_2022_1106128105107111115129[[#This Row],[CIE-10]]))</f>
        <v>0</v>
      </c>
      <c r="CA5" s="3">
        <f>IF($B$2="(Todas)",COUNTIF(BASE[CODCIE104],GUIA_NACIONAL_2022_1106128105107111115129[[#This Row],[CIE-10]]),COUNTIFS(BASE[Cod.Establecimiento],$B$2,BASE[CODCIE104],GUIA_NACIONAL_2022_1106128105107111115129[[#This Row],[CIE-10]]))</f>
        <v>0</v>
      </c>
      <c r="CB5" s="3">
        <f>IF($B$2="(Todas)",COUNTIF(BASE[CODCIE106],GUIA_NACIONAL_2022_1106128105107111115129[[#This Row],[CIE-10]]),COUNTIFS(BASE[Cod.Establecimiento],$B$2,BASE[CODCIE106],GUIA_NACIONAL_2022_1106128105107111115129[[#This Row],[CIE-10]]))</f>
        <v>0</v>
      </c>
      <c r="CC5" s="3">
        <f>IF($B$2="(Todas)",COUNTIF(BASE[CODCIE108],GUIA_NACIONAL_2022_1106128105107111115129[[#This Row],[CIE-10]]),COUNTIFS(BASE[Cod.Establecimiento],$B$2,BASE[CODCIE108],GUIA_NACIONAL_2022_1106128105107111115129[[#This Row],[CIE-10]]))</f>
        <v>0</v>
      </c>
      <c r="CD5" s="3">
        <f>IF($B$2="(Todas)",COUNTIF(BASE[CODCIE1010],GUIA_NACIONAL_2022_1106128105107111115129[[#This Row],[CIE-10]]),COUNTIFS(BASE[Cod.Establecimiento],$B$2,BASE[CODCIE1010],GUIA_NACIONAL_2022_1106128105107111115129[[#This Row],[CIE-10]]))</f>
        <v>0</v>
      </c>
      <c r="CE5" s="9">
        <f>SUM(GUIA_NACIONAL_2022_1106128105107111115129[[#This Row],[D1]:[D6]])</f>
        <v>0</v>
      </c>
      <c r="CG5" s="4" t="s">
        <v>699</v>
      </c>
      <c r="CH5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5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5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5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5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5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5" s="9">
        <f>SUM(GUIA_NACIONAL_2022_1106128105107111115129130[[#This Row],[D1]:[D6]])</f>
        <v>0</v>
      </c>
      <c r="CP5" s="4" t="s">
        <v>487</v>
      </c>
      <c r="CQ5" s="3">
        <f>IF($B$2="(Todas)",COUNTIF(BASE[CODCIE10],GUIA_NACIONAL_2022_1106128105107111115129130131[[#This Row],[CIE-10]]),COUNTIFS(BASE[Cod.Establecimiento],$B$2,BASE[CODCIE10],GUIA_NACIONAL_2022_1106128105107111115129130131[[#This Row],[CIE-10]]))</f>
        <v>0</v>
      </c>
      <c r="CR5" s="3">
        <f>IF($B$2="(Todas)",COUNTIF(BASE[CODCIE102],GUIA_NACIONAL_2022_1106128105107111115129130131[[#This Row],[CIE-10]]),COUNTIFS(BASE[Cod.Establecimiento],$B$2,BASE[CODCIE102],GUIA_NACIONAL_2022_1106128105107111115129130131[[#This Row],[CIE-10]]))</f>
        <v>0</v>
      </c>
      <c r="CS5" s="3">
        <f>IF($B$2="(Todas)",COUNTIF(BASE[CODCIE104],GUIA_NACIONAL_2022_1106128105107111115129130131[[#This Row],[CIE-10]]),COUNTIFS(BASE[Cod.Establecimiento],$B$2,BASE[CODCIE104],GUIA_NACIONAL_2022_1106128105107111115129130131[[#This Row],[CIE-10]]))</f>
        <v>0</v>
      </c>
      <c r="CT5" s="3">
        <f>IF($B$2="(Todas)",COUNTIF(BASE[CODCIE106],GUIA_NACIONAL_2022_1106128105107111115129130131[[#This Row],[CIE-10]]),COUNTIFS(BASE[Cod.Establecimiento],$B$2,BASE[CODCIE106],GUIA_NACIONAL_2022_1106128105107111115129130131[[#This Row],[CIE-10]]))</f>
        <v>0</v>
      </c>
      <c r="CU5" s="3">
        <f>IF($B$2="(Todas)",COUNTIF(BASE[CODCIE108],GUIA_NACIONAL_2022_1106128105107111115129130131[[#This Row],[CIE-10]]),COUNTIFS(BASE[Cod.Establecimiento],$B$2,BASE[CODCIE108],GUIA_NACIONAL_2022_1106128105107111115129130131[[#This Row],[CIE-10]]))</f>
        <v>0</v>
      </c>
      <c r="CV5" s="3">
        <f>IF($B$2="(Todas)",COUNTIF(BASE[CODCIE1010],GUIA_NACIONAL_2022_1106128105107111115129130131[[#This Row],[CIE-10]]),COUNTIFS(BASE[Cod.Establecimiento],$B$2,BASE[CODCIE1010],GUIA_NACIONAL_2022_1106128105107111115129130131[[#This Row],[CIE-10]]))</f>
        <v>0</v>
      </c>
      <c r="CW5" s="9">
        <f>SUM(GUIA_NACIONAL_2022_1106128105107111115129130131[[#This Row],[D1]:[D6]])</f>
        <v>0</v>
      </c>
      <c r="CY5" s="4"/>
      <c r="CZ5" s="3">
        <f>IF($B$2="(Todas)",COUNTIF(BASE[CODCIE10],GUIA_NACIONAL_2022_1106128105107111115129130131132[[#This Row],[CIE-10]]),COUNTIFS(BASE[Cod.Establecimiento],$B$2,BASE[CODCIE10],GUIA_NACIONAL_2022_1106128105107111115129130131132[[#This Row],[CIE-10]]))</f>
        <v>0</v>
      </c>
      <c r="DA5" s="3">
        <f>IF($B$2="(Todas)",COUNTIF(BASE[CODCIE102],GUIA_NACIONAL_2022_1106128105107111115129130131132[[#This Row],[CIE-10]]),COUNTIFS(BASE[Cod.Establecimiento],$B$2,BASE[CODCIE102],GUIA_NACIONAL_2022_1106128105107111115129130131132[[#This Row],[CIE-10]]))</f>
        <v>0</v>
      </c>
      <c r="DB5" s="3">
        <f>IF($B$2="(Todas)",COUNTIF(BASE[CODCIE104],GUIA_NACIONAL_2022_1106128105107111115129130131132[[#This Row],[CIE-10]]),COUNTIFS(BASE[Cod.Establecimiento],$B$2,BASE[CODCIE104],GUIA_NACIONAL_2022_1106128105107111115129130131132[[#This Row],[CIE-10]]))</f>
        <v>0</v>
      </c>
      <c r="DC5" s="3">
        <f>IF($B$2="(Todas)",COUNTIF(BASE[CODCIE106],GUIA_NACIONAL_2022_1106128105107111115129130131132[[#This Row],[CIE-10]]),COUNTIFS(BASE[Cod.Establecimiento],$B$2,BASE[CODCIE106],GUIA_NACIONAL_2022_1106128105107111115129130131132[[#This Row],[CIE-10]]))</f>
        <v>0</v>
      </c>
      <c r="DD5" s="3">
        <f>IF($B$2="(Todas)",COUNTIF(BASE[CODCIE108],GUIA_NACIONAL_2022_1106128105107111115129130131132[[#This Row],[CIE-10]]),COUNTIFS(BASE[Cod.Establecimiento],$B$2,BASE[CODCIE108],GUIA_NACIONAL_2022_1106128105107111115129130131132[[#This Row],[CIE-10]]))</f>
        <v>0</v>
      </c>
      <c r="DE5" s="3">
        <f>IF($B$2="(Todas)",COUNTIF(BASE[CODCIE1010],GUIA_NACIONAL_2022_1106128105107111115129130131132[[#This Row],[CIE-10]]),COUNTIFS(BASE[Cod.Establecimiento],$B$2,BASE[CODCIE1010],GUIA_NACIONAL_2022_1106128105107111115129130131132[[#This Row],[CIE-10]]))</f>
        <v>0</v>
      </c>
      <c r="DF5" s="9">
        <f>SUM(GUIA_NACIONAL_2022_1106128105107111115129130131132[[#This Row],[D1]:[D6]])</f>
        <v>0</v>
      </c>
      <c r="DH5" s="4" t="s">
        <v>348</v>
      </c>
      <c r="DI5" s="3">
        <f>IF($B$2="(Todas)",COUNTIF(BASE[CODCIE10],GUIA_NACIONAL_2022_1106128105107111115129130131132133[[#This Row],[CIE-10]]),COUNTIFS(BASE[Cod.Establecimiento],$B$2,BASE[CODCIE10],GUIA_NACIONAL_2022_1106128105107111115129130131132133[[#This Row],[CIE-10]]))</f>
        <v>0</v>
      </c>
      <c r="DJ5" s="3">
        <f>IF($B$2="(Todas)",COUNTIF(BASE[CODCIE102],GUIA_NACIONAL_2022_1106128105107111115129130131132133[[#This Row],[CIE-10]]),COUNTIFS(BASE[Cod.Establecimiento],$B$2,BASE[CODCIE102],GUIA_NACIONAL_2022_1106128105107111115129130131132133[[#This Row],[CIE-10]]))</f>
        <v>0</v>
      </c>
      <c r="DK5" s="3">
        <f>IF($B$2="(Todas)",COUNTIF(BASE[CODCIE104],GUIA_NACIONAL_2022_1106128105107111115129130131132133[[#This Row],[CIE-10]]),COUNTIFS(BASE[Cod.Establecimiento],$B$2,BASE[CODCIE104],GUIA_NACIONAL_2022_1106128105107111115129130131132133[[#This Row],[CIE-10]]))</f>
        <v>0</v>
      </c>
      <c r="DL5" s="3">
        <f>IF($B$2="(Todas)",COUNTIF(BASE[CODCIE106],GUIA_NACIONAL_2022_1106128105107111115129130131132133[[#This Row],[CIE-10]]),COUNTIFS(BASE[Cod.Establecimiento],$B$2,BASE[CODCIE106],GUIA_NACIONAL_2022_1106128105107111115129130131132133[[#This Row],[CIE-10]]))</f>
        <v>0</v>
      </c>
      <c r="DM5" s="3">
        <f>IF($B$2="(Todas)",COUNTIF(BASE[CODCIE108],GUIA_NACIONAL_2022_1106128105107111115129130131132133[[#This Row],[CIE-10]]),COUNTIFS(BASE[Cod.Establecimiento],$B$2,BASE[CODCIE108],GUIA_NACIONAL_2022_1106128105107111115129130131132133[[#This Row],[CIE-10]]))</f>
        <v>0</v>
      </c>
      <c r="DN5" s="3">
        <f>IF($B$2="(Todas)",COUNTIF(BASE[CODCIE1010],GUIA_NACIONAL_2022_1106128105107111115129130131132133[[#This Row],[CIE-10]]),COUNTIFS(BASE[Cod.Establecimiento],$B$2,BASE[CODCIE1010],GUIA_NACIONAL_2022_1106128105107111115129130131132133[[#This Row],[CIE-10]]))</f>
        <v>0</v>
      </c>
      <c r="DO5" s="9">
        <f>SUM(GUIA_NACIONAL_2022_1106128105107111115129130131132133[[#This Row],[D1]:[D6]])</f>
        <v>0</v>
      </c>
      <c r="DQ5" s="4"/>
      <c r="DR5" s="3">
        <f>IF($B$2="(Todas)",COUNTIF(BASE[CODCIE10],GUIA_NACIONAL_2022_1106128105107111115129130131132133134[[#This Row],[CIE-10]]),COUNTIFS(BASE[Cod.Establecimiento],$B$2,BASE[CODCIE10],GUIA_NACIONAL_2022_1106128105107111115129130131132133134[[#This Row],[CIE-10]]))</f>
        <v>0</v>
      </c>
      <c r="DS5" s="3">
        <f>IF($B$2="(Todas)",COUNTIF(BASE[CODCIE102],GUIA_NACIONAL_2022_1106128105107111115129130131132133134[[#This Row],[CIE-10]]),COUNTIFS(BASE[Cod.Establecimiento],$B$2,BASE[CODCIE102],GUIA_NACIONAL_2022_1106128105107111115129130131132133134[[#This Row],[CIE-10]]))</f>
        <v>0</v>
      </c>
      <c r="DT5" s="3">
        <f>IF($B$2="(Todas)",COUNTIF(BASE[CODCIE104],GUIA_NACIONAL_2022_1106128105107111115129130131132133134[[#This Row],[CIE-10]]),COUNTIFS(BASE[Cod.Establecimiento],$B$2,BASE[CODCIE104],GUIA_NACIONAL_2022_1106128105107111115129130131132133134[[#This Row],[CIE-10]]))</f>
        <v>0</v>
      </c>
      <c r="DU5" s="3">
        <f>IF($B$2="(Todas)",COUNTIF(BASE[CODCIE106],GUIA_NACIONAL_2022_1106128105107111115129130131132133134[[#This Row],[CIE-10]]),COUNTIFS(BASE[Cod.Establecimiento],$B$2,BASE[CODCIE106],GUIA_NACIONAL_2022_1106128105107111115129130131132133134[[#This Row],[CIE-10]]))</f>
        <v>0</v>
      </c>
      <c r="DV5" s="3">
        <f>IF($B$2="(Todas)",COUNTIF(BASE[CODCIE108],GUIA_NACIONAL_2022_1106128105107111115129130131132133134[[#This Row],[CIE-10]]),COUNTIFS(BASE[Cod.Establecimiento],$B$2,BASE[CODCIE108],GUIA_NACIONAL_2022_1106128105107111115129130131132133134[[#This Row],[CIE-10]]))</f>
        <v>0</v>
      </c>
      <c r="DW5" s="3">
        <f>IF($B$2="(Todas)",COUNTIF(BASE[CODCIE1010],GUIA_NACIONAL_2022_1106128105107111115129130131132133134[[#This Row],[CIE-10]]),COUNTIFS(BASE[Cod.Establecimiento],$B$2,BASE[CODCIE1010],GUIA_NACIONAL_2022_1106128105107111115129130131132133134[[#This Row],[CIE-10]]))</f>
        <v>0</v>
      </c>
      <c r="DX5" s="9">
        <f>SUM(GUIA_NACIONAL_2022_1106128105107111115129130131132133134[[#This Row],[D1]:[D6]])</f>
        <v>0</v>
      </c>
      <c r="DZ5" s="4"/>
      <c r="EA5" s="3">
        <f>IF($B$2="(Todas)",COUNTIF(BASE[CODCIE10],GUIA_NACIONAL_2022_1106128105107111115129130131132133134135[[#This Row],[CIE-10]]),COUNTIFS(BASE[Cod.Establecimiento],$B$2,BASE[CODCIE10],GUIA_NACIONAL_2022_1106128105107111115129130131132133134135[[#This Row],[CIE-10]]))</f>
        <v>0</v>
      </c>
      <c r="EB5" s="3">
        <f>IF($B$2="(Todas)",COUNTIF(BASE[CODCIE102],GUIA_NACIONAL_2022_1106128105107111115129130131132133134135[[#This Row],[CIE-10]]),COUNTIFS(BASE[Cod.Establecimiento],$B$2,BASE[CODCIE102],GUIA_NACIONAL_2022_1106128105107111115129130131132133134135[[#This Row],[CIE-10]]))</f>
        <v>0</v>
      </c>
      <c r="EC5" s="3">
        <f>IF($B$2="(Todas)",COUNTIF(BASE[CODCIE104],GUIA_NACIONAL_2022_1106128105107111115129130131132133134135[[#This Row],[CIE-10]]),COUNTIFS(BASE[Cod.Establecimiento],$B$2,BASE[CODCIE104],GUIA_NACIONAL_2022_1106128105107111115129130131132133134135[[#This Row],[CIE-10]]))</f>
        <v>0</v>
      </c>
      <c r="ED5" s="3">
        <f>IF($B$2="(Todas)",COUNTIF(BASE[CODCIE106],GUIA_NACIONAL_2022_1106128105107111115129130131132133134135[[#This Row],[CIE-10]]),COUNTIFS(BASE[Cod.Establecimiento],$B$2,BASE[CODCIE106],GUIA_NACIONAL_2022_1106128105107111115129130131132133134135[[#This Row],[CIE-10]]))</f>
        <v>0</v>
      </c>
      <c r="EE5" s="3">
        <f>IF($B$2="(Todas)",COUNTIF(BASE[CODCIE108],GUIA_NACIONAL_2022_1106128105107111115129130131132133134135[[#This Row],[CIE-10]]),COUNTIFS(BASE[Cod.Establecimiento],$B$2,BASE[CODCIE108],GUIA_NACIONAL_2022_1106128105107111115129130131132133134135[[#This Row],[CIE-10]]))</f>
        <v>0</v>
      </c>
      <c r="EF5" s="3">
        <f>IF($B$2="(Todas)",COUNTIF(BASE[CODCIE1010],GUIA_NACIONAL_2022_1106128105107111115129130131132133134135[[#This Row],[CIE-10]]),COUNTIFS(BASE[Cod.Establecimiento],$B$2,BASE[CODCIE1010],GUIA_NACIONAL_2022_1106128105107111115129130131132133134135[[#This Row],[CIE-10]]))</f>
        <v>0</v>
      </c>
      <c r="EG5" s="9">
        <f>SUM(GUIA_NACIONAL_2022_1106128105107111115129130131132133134135[[#This Row],[D1]:[D6]])</f>
        <v>0</v>
      </c>
    </row>
    <row r="6" spans="1:137">
      <c r="A6" s="151"/>
      <c r="B6" s="151"/>
      <c r="D6" s="31" t="s">
        <v>413</v>
      </c>
      <c r="E6" s="3">
        <f>IF($B$2="(Todas)",COUNTIF(BASE[CODCIE10],GUIA_NACIONAL_2022_1[[#This Row],[CIE-10]]),COUNTIFS(BASE[Cod.Establecimiento],$B$2,BASE[CODCIE10],GUIA_NACIONAL_2022_1[[#This Row],[CIE-10]]))</f>
        <v>0</v>
      </c>
      <c r="F6" s="3">
        <f>IF($B$2="(Todas)",COUNTIF(BASE[CODCIE102],GUIA_NACIONAL_2022_1[[#This Row],[CIE-10]]),COUNTIFS(BASE[Cod.Establecimiento],$B$2,BASE[CODCIE102],GUIA_NACIONAL_2022_1[[#This Row],[CIE-10]]))</f>
        <v>0</v>
      </c>
      <c r="G6" s="3">
        <f>IF($B$2="(Todas)",COUNTIF(BASE[CODCIE104],GUIA_NACIONAL_2022_1[[#This Row],[CIE-10]]),COUNTIFS(BASE[Cod.Establecimiento],$B$2,BASE[CODCIE104],GUIA_NACIONAL_2022_1[[#This Row],[CIE-10]]))</f>
        <v>0</v>
      </c>
      <c r="H6" s="3">
        <f>IF($B$2="(Todas)",COUNTIF(BASE[CODCIE106],GUIA_NACIONAL_2022_1[[#This Row],[CIE-10]]),COUNTIFS(BASE[Cod.Establecimiento],$B$2,BASE[CODCIE106],GUIA_NACIONAL_2022_1[[#This Row],[CIE-10]]))</f>
        <v>0</v>
      </c>
      <c r="I6" s="3">
        <f>IF($B$2="(Todas)",COUNTIF(BASE[CODCIE108],GUIA_NACIONAL_2022_1[[#This Row],[CIE-10]]),COUNTIFS(BASE[Cod.Establecimiento],$B$2,BASE[CODCIE108],GUIA_NACIONAL_2022_1[[#This Row],[CIE-10]]))</f>
        <v>0</v>
      </c>
      <c r="J6" s="3">
        <f>IF($B$2="(Todas)",COUNTIF(BASE[CODCIE1010],GUIA_NACIONAL_2022_1[[#This Row],[CIE-10]]),COUNTIFS(BASE[Cod.Establecimiento],$B$2,BASE[CODCIE1010],GUIA_NACIONAL_2022_1[[#This Row],[CIE-10]]))</f>
        <v>0</v>
      </c>
      <c r="K6" s="9">
        <f>SUM(GUIA_NACIONAL_2022_1[[#This Row],[D1]:[D6]])</f>
        <v>0</v>
      </c>
      <c r="M6" s="31" t="s">
        <v>378</v>
      </c>
      <c r="N6" s="3">
        <f>IF($B$2="(Todas)",COUNTIF(BASE[CODCIE10],GUIA_NACIONAL_2022_1106[[#This Row],[CIE-10]]),COUNTIFS(BASE[Cod.Establecimiento],$B$2,BASE[CODCIE10],GUIA_NACIONAL_2022_1106[[#This Row],[CIE-10]]))</f>
        <v>0</v>
      </c>
      <c r="O6" s="3">
        <f>IF($B$2="(Todas)",COUNTIF(BASE[CODCIE102],GUIA_NACIONAL_2022_1106[[#This Row],[CIE-10]]),COUNTIFS(BASE[Cod.Establecimiento],$B$2,BASE[CODCIE102],GUIA_NACIONAL_2022_1106[[#This Row],[CIE-10]]))</f>
        <v>0</v>
      </c>
      <c r="P6" s="3">
        <f>IF($B$2="(Todas)",COUNTIF(BASE[CODCIE104],GUIA_NACIONAL_2022_1106[[#This Row],[CIE-10]]),COUNTIFS(BASE[Cod.Establecimiento],$B$2,BASE[CODCIE104],GUIA_NACIONAL_2022_1106[[#This Row],[CIE-10]]))</f>
        <v>0</v>
      </c>
      <c r="Q6" s="3">
        <f>IF($B$2="(Todas)",COUNTIF(BASE[CODCIE106],GUIA_NACIONAL_2022_1106[[#This Row],[CIE-10]]),COUNTIFS(BASE[Cod.Establecimiento],$B$2,BASE[CODCIE106],GUIA_NACIONAL_2022_1106[[#This Row],[CIE-10]]))</f>
        <v>0</v>
      </c>
      <c r="R6" s="3">
        <f>IF($B$2="(Todas)",COUNTIF(BASE[CODCIE108],GUIA_NACIONAL_2022_1106[[#This Row],[CIE-10]]),COUNTIFS(BASE[Cod.Establecimiento],$B$2,BASE[CODCIE108],GUIA_NACIONAL_2022_1106[[#This Row],[CIE-10]]))</f>
        <v>0</v>
      </c>
      <c r="S6" s="3">
        <f>IF($B$2="(Todas)",COUNTIF(BASE[CODCIE1010],GUIA_NACIONAL_2022_1106[[#This Row],[CIE-10]]),COUNTIFS(BASE[Cod.Establecimiento],$B$2,BASE[CODCIE1010],GUIA_NACIONAL_2022_1106[[#This Row],[CIE-10]]))</f>
        <v>0</v>
      </c>
      <c r="T6" s="9">
        <f>SUM(GUIA_NACIONAL_2022_1106[[#This Row],[D1]:[D6]])</f>
        <v>0</v>
      </c>
      <c r="V6" s="159" t="s">
        <v>514</v>
      </c>
      <c r="W6" s="159"/>
      <c r="X6" s="159"/>
      <c r="Y6" s="159"/>
      <c r="Z6" s="159"/>
      <c r="AA6" s="159"/>
      <c r="AB6" s="159"/>
      <c r="AC6" s="159"/>
      <c r="AE6" s="159" t="s">
        <v>540</v>
      </c>
      <c r="AF6" s="159"/>
      <c r="AG6" s="159"/>
      <c r="AH6" s="159"/>
      <c r="AI6" s="159"/>
      <c r="AJ6" s="159"/>
      <c r="AK6" s="159"/>
      <c r="AL6" s="159"/>
      <c r="AN6" s="160" t="s">
        <v>600</v>
      </c>
      <c r="AO6" s="160"/>
      <c r="AP6" s="160"/>
      <c r="AQ6" s="160"/>
      <c r="AR6" s="160"/>
      <c r="AS6" s="160"/>
      <c r="AT6" s="160"/>
      <c r="AU6" s="160"/>
      <c r="AW6" s="31" t="s">
        <v>467</v>
      </c>
      <c r="AX6" s="3">
        <f>IF($B$2="(Todas)",COUNTIF(BASE[CODCIE10],GUIA_NACIONAL_2022_1106128105107110[[#This Row],[CIE-10]]),COUNTIFS(BASE[Cod.Establecimiento],$B$2,BASE[CODCIE10],GUIA_NACIONAL_2022_1106128105107110[[#This Row],[CIE-10]]))</f>
        <v>0</v>
      </c>
      <c r="AY6" s="3">
        <f>IF($B$2="(Todas)",COUNTIF(BASE[CODCIE102],GUIA_NACIONAL_2022_1106128105107110[[#This Row],[CIE-10]]),COUNTIFS(BASE[Cod.Establecimiento],$B$2,BASE[CODCIE102],GUIA_NACIONAL_2022_1106128105107110[[#This Row],[CIE-10]]))</f>
        <v>0</v>
      </c>
      <c r="AZ6" s="3">
        <f>IF($B$2="(Todas)",COUNTIF(BASE[CODCIE104],GUIA_NACIONAL_2022_1106128105107110[[#This Row],[CIE-10]]),COUNTIFS(BASE[Cod.Establecimiento],$B$2,BASE[CODCIE104],GUIA_NACIONAL_2022_1106128105107110[[#This Row],[CIE-10]]))</f>
        <v>0</v>
      </c>
      <c r="BA6" s="3">
        <f>IF($B$2="(Todas)",COUNTIF(BASE[CODCIE106],GUIA_NACIONAL_2022_1106128105107110[[#This Row],[CIE-10]]),COUNTIFS(BASE[Cod.Establecimiento],$B$2,BASE[CODCIE106],GUIA_NACIONAL_2022_1106128105107110[[#This Row],[CIE-10]]))</f>
        <v>0</v>
      </c>
      <c r="BB6" s="3">
        <f>IF($B$2="(Todas)",COUNTIF(BASE[CODCIE108],GUIA_NACIONAL_2022_1106128105107110[[#This Row],[CIE-10]]),COUNTIFS(BASE[Cod.Establecimiento],$B$2,BASE[CODCIE108],GUIA_NACIONAL_2022_1106128105107110[[#This Row],[CIE-10]]))</f>
        <v>0</v>
      </c>
      <c r="BC6" s="3">
        <f>IF($B$2="(Todas)",COUNTIF(BASE[CODCIE1010],GUIA_NACIONAL_2022_1106128105107110[[#This Row],[CIE-10]]),COUNTIFS(BASE[Cod.Establecimiento],$B$2,BASE[CODCIE1010],GUIA_NACIONAL_2022_1106128105107110[[#This Row],[CIE-10]]))</f>
        <v>0</v>
      </c>
      <c r="BD6" s="9">
        <f>SUM(GUIA_NACIONAL_2022_1106128105107110[[#This Row],[D1]:[D6]])</f>
        <v>0</v>
      </c>
      <c r="BF6" s="158" t="s">
        <v>632</v>
      </c>
      <c r="BG6" s="159"/>
      <c r="BH6" s="159"/>
      <c r="BI6" s="159"/>
      <c r="BJ6" s="159"/>
      <c r="BK6" s="159"/>
      <c r="BL6" s="159"/>
      <c r="BM6" s="159"/>
      <c r="BO6" s="158" t="s">
        <v>673</v>
      </c>
      <c r="BP6" s="159"/>
      <c r="BQ6" s="159"/>
      <c r="BR6" s="159"/>
      <c r="BS6" s="159"/>
      <c r="BT6" s="159"/>
      <c r="BU6" s="159"/>
      <c r="BV6" s="159"/>
      <c r="BX6" s="155" t="s">
        <v>695</v>
      </c>
      <c r="BY6" s="156"/>
      <c r="BZ6" s="156"/>
      <c r="CA6" s="156"/>
      <c r="CB6" s="156"/>
      <c r="CC6" s="156"/>
      <c r="CD6" s="156"/>
      <c r="CE6" s="157"/>
      <c r="CG6" s="4" t="s">
        <v>700</v>
      </c>
      <c r="CH6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6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6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6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6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6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6" s="9">
        <f>SUM(GUIA_NACIONAL_2022_1106128105107111115129130[[#This Row],[D1]:[D6]])</f>
        <v>0</v>
      </c>
      <c r="CP6" s="155" t="s">
        <v>743</v>
      </c>
      <c r="CQ6" s="156"/>
      <c r="CR6" s="156"/>
      <c r="CS6" s="156"/>
      <c r="CT6" s="156"/>
      <c r="CU6" s="156"/>
      <c r="CV6" s="156"/>
      <c r="CW6" s="157"/>
      <c r="DH6" s="155" t="s">
        <v>747</v>
      </c>
      <c r="DI6" s="156"/>
      <c r="DJ6" s="156"/>
      <c r="DK6" s="156"/>
      <c r="DL6" s="156"/>
      <c r="DM6" s="156"/>
      <c r="DN6" s="156"/>
      <c r="DO6" s="157"/>
    </row>
    <row r="7" spans="1:137" ht="15" customHeight="1">
      <c r="A7" s="151"/>
      <c r="B7" s="151"/>
      <c r="D7" s="31" t="s">
        <v>291</v>
      </c>
      <c r="E7" s="3">
        <f>IF($B$2="(Todas)",COUNTIF(BASE[CODCIE10],GUIA_NACIONAL_2022_1[[#This Row],[CIE-10]]),COUNTIFS(BASE[Cod.Establecimiento],$B$2,BASE[CODCIE10],GUIA_NACIONAL_2022_1[[#This Row],[CIE-10]]))</f>
        <v>0</v>
      </c>
      <c r="F7" s="3">
        <f>IF($B$2="(Todas)",COUNTIF(BASE[CODCIE102],GUIA_NACIONAL_2022_1[[#This Row],[CIE-10]]),COUNTIFS(BASE[Cod.Establecimiento],$B$2,BASE[CODCIE102],GUIA_NACIONAL_2022_1[[#This Row],[CIE-10]]))</f>
        <v>0</v>
      </c>
      <c r="G7" s="3">
        <f>IF($B$2="(Todas)",COUNTIF(BASE[CODCIE104],GUIA_NACIONAL_2022_1[[#This Row],[CIE-10]]),COUNTIFS(BASE[Cod.Establecimiento],$B$2,BASE[CODCIE104],GUIA_NACIONAL_2022_1[[#This Row],[CIE-10]]))</f>
        <v>0</v>
      </c>
      <c r="H7" s="3">
        <f>IF($B$2="(Todas)",COUNTIF(BASE[CODCIE106],GUIA_NACIONAL_2022_1[[#This Row],[CIE-10]]),COUNTIFS(BASE[Cod.Establecimiento],$B$2,BASE[CODCIE106],GUIA_NACIONAL_2022_1[[#This Row],[CIE-10]]))</f>
        <v>0</v>
      </c>
      <c r="I7" s="3">
        <f>IF($B$2="(Todas)",COUNTIF(BASE[CODCIE108],GUIA_NACIONAL_2022_1[[#This Row],[CIE-10]]),COUNTIFS(BASE[Cod.Establecimiento],$B$2,BASE[CODCIE108],GUIA_NACIONAL_2022_1[[#This Row],[CIE-10]]))</f>
        <v>0</v>
      </c>
      <c r="J7" s="3">
        <f>IF($B$2="(Todas)",COUNTIF(BASE[CODCIE1010],GUIA_NACIONAL_2022_1[[#This Row],[CIE-10]]),COUNTIFS(BASE[Cod.Establecimiento],$B$2,BASE[CODCIE1010],GUIA_NACIONAL_2022_1[[#This Row],[CIE-10]]))</f>
        <v>0</v>
      </c>
      <c r="K7" s="9">
        <f>SUM(GUIA_NACIONAL_2022_1[[#This Row],[D1]:[D6]])</f>
        <v>0</v>
      </c>
      <c r="M7" s="159" t="s">
        <v>450</v>
      </c>
      <c r="N7" s="159"/>
      <c r="O7" s="159"/>
      <c r="P7" s="159"/>
      <c r="Q7" s="159"/>
      <c r="R7" s="159"/>
      <c r="S7" s="159"/>
      <c r="T7" s="159"/>
      <c r="V7" t="s">
        <v>77</v>
      </c>
      <c r="W7" s="3" t="s">
        <v>78</v>
      </c>
      <c r="X7" s="3" t="s">
        <v>79</v>
      </c>
      <c r="Y7" s="3" t="s">
        <v>80</v>
      </c>
      <c r="Z7" s="3" t="s">
        <v>81</v>
      </c>
      <c r="AA7" s="3" t="s">
        <v>82</v>
      </c>
      <c r="AB7" s="3" t="s">
        <v>83</v>
      </c>
      <c r="AC7" s="8" t="s">
        <v>84</v>
      </c>
      <c r="AE7" t="s">
        <v>77</v>
      </c>
      <c r="AF7" s="3" t="s">
        <v>78</v>
      </c>
      <c r="AG7" s="3" t="s">
        <v>79</v>
      </c>
      <c r="AH7" s="3" t="s">
        <v>80</v>
      </c>
      <c r="AI7" s="3" t="s">
        <v>81</v>
      </c>
      <c r="AJ7" s="3" t="s">
        <v>82</v>
      </c>
      <c r="AK7" s="3" t="s">
        <v>83</v>
      </c>
      <c r="AL7" s="8" t="s">
        <v>84</v>
      </c>
      <c r="AN7" s="159" t="s">
        <v>601</v>
      </c>
      <c r="AO7" s="159"/>
      <c r="AP7" s="159"/>
      <c r="AQ7" s="159"/>
      <c r="AR7" s="159"/>
      <c r="AS7" s="159"/>
      <c r="AT7" s="159"/>
      <c r="AU7" s="159"/>
      <c r="AW7" s="31" t="s">
        <v>468</v>
      </c>
      <c r="AX7" s="3">
        <f>IF($B$2="(Todas)",COUNTIF(BASE[CODCIE10],GUIA_NACIONAL_2022_1106128105107110[[#This Row],[CIE-10]]),COUNTIFS(BASE[Cod.Establecimiento],$B$2,BASE[CODCIE10],GUIA_NACIONAL_2022_1106128105107110[[#This Row],[CIE-10]]))</f>
        <v>0</v>
      </c>
      <c r="AY7" s="3">
        <f>IF($B$2="(Todas)",COUNTIF(BASE[CODCIE102],GUIA_NACIONAL_2022_1106128105107110[[#This Row],[CIE-10]]),COUNTIFS(BASE[Cod.Establecimiento],$B$2,BASE[CODCIE102],GUIA_NACIONAL_2022_1106128105107110[[#This Row],[CIE-10]]))</f>
        <v>0</v>
      </c>
      <c r="AZ7" s="3">
        <f>IF($B$2="(Todas)",COUNTIF(BASE[CODCIE104],GUIA_NACIONAL_2022_1106128105107110[[#This Row],[CIE-10]]),COUNTIFS(BASE[Cod.Establecimiento],$B$2,BASE[CODCIE104],GUIA_NACIONAL_2022_1106128105107110[[#This Row],[CIE-10]]))</f>
        <v>0</v>
      </c>
      <c r="BA7" s="3">
        <f>IF($B$2="(Todas)",COUNTIF(BASE[CODCIE106],GUIA_NACIONAL_2022_1106128105107110[[#This Row],[CIE-10]]),COUNTIFS(BASE[Cod.Establecimiento],$B$2,BASE[CODCIE106],GUIA_NACIONAL_2022_1106128105107110[[#This Row],[CIE-10]]))</f>
        <v>0</v>
      </c>
      <c r="BB7" s="3">
        <f>IF($B$2="(Todas)",COUNTIF(BASE[CODCIE108],GUIA_NACIONAL_2022_1106128105107110[[#This Row],[CIE-10]]),COUNTIFS(BASE[Cod.Establecimiento],$B$2,BASE[CODCIE108],GUIA_NACIONAL_2022_1106128105107110[[#This Row],[CIE-10]]))</f>
        <v>0</v>
      </c>
      <c r="BC7" s="3">
        <f>IF($B$2="(Todas)",COUNTIF(BASE[CODCIE1010],GUIA_NACIONAL_2022_1106128105107110[[#This Row],[CIE-10]]),COUNTIFS(BASE[Cod.Establecimiento],$B$2,BASE[CODCIE1010],GUIA_NACIONAL_2022_1106128105107110[[#This Row],[CIE-10]]))</f>
        <v>0</v>
      </c>
      <c r="BD7" s="9">
        <f>SUM(GUIA_NACIONAL_2022_1106128105107110[[#This Row],[D1]:[D6]])</f>
        <v>0</v>
      </c>
      <c r="BF7" t="s">
        <v>77</v>
      </c>
      <c r="BG7" s="3" t="s">
        <v>78</v>
      </c>
      <c r="BH7" s="3" t="s">
        <v>79</v>
      </c>
      <c r="BI7" s="3" t="s">
        <v>80</v>
      </c>
      <c r="BJ7" s="3" t="s">
        <v>81</v>
      </c>
      <c r="BK7" s="3" t="s">
        <v>82</v>
      </c>
      <c r="BL7" s="3" t="s">
        <v>83</v>
      </c>
      <c r="BM7" s="8" t="s">
        <v>84</v>
      </c>
      <c r="BO7" t="s">
        <v>77</v>
      </c>
      <c r="BP7" s="3" t="s">
        <v>78</v>
      </c>
      <c r="BQ7" s="3" t="s">
        <v>79</v>
      </c>
      <c r="BR7" s="3" t="s">
        <v>80</v>
      </c>
      <c r="BS7" s="3" t="s">
        <v>81</v>
      </c>
      <c r="BT7" s="3" t="s">
        <v>82</v>
      </c>
      <c r="BU7" s="3" t="s">
        <v>83</v>
      </c>
      <c r="BV7" s="8" t="s">
        <v>84</v>
      </c>
      <c r="BX7" t="s">
        <v>77</v>
      </c>
      <c r="BY7" s="3" t="s">
        <v>78</v>
      </c>
      <c r="BZ7" s="3" t="s">
        <v>79</v>
      </c>
      <c r="CA7" s="3" t="s">
        <v>80</v>
      </c>
      <c r="CB7" s="3" t="s">
        <v>81</v>
      </c>
      <c r="CC7" s="3" t="s">
        <v>82</v>
      </c>
      <c r="CD7" s="3" t="s">
        <v>83</v>
      </c>
      <c r="CE7" s="8" t="s">
        <v>84</v>
      </c>
      <c r="CG7" s="4" t="s">
        <v>701</v>
      </c>
      <c r="CH7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7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7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7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7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7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7" s="9">
        <f>SUM(GUIA_NACIONAL_2022_1106128105107111115129130[[#This Row],[D1]:[D6]])</f>
        <v>0</v>
      </c>
      <c r="CP7" t="s">
        <v>77</v>
      </c>
      <c r="CQ7" s="3" t="s">
        <v>78</v>
      </c>
      <c r="CR7" s="3" t="s">
        <v>79</v>
      </c>
      <c r="CS7" s="3" t="s">
        <v>80</v>
      </c>
      <c r="CT7" s="3" t="s">
        <v>81</v>
      </c>
      <c r="CU7" s="3" t="s">
        <v>82</v>
      </c>
      <c r="CV7" s="3" t="s">
        <v>83</v>
      </c>
      <c r="CW7" s="8" t="s">
        <v>84</v>
      </c>
      <c r="DH7" t="s">
        <v>77</v>
      </c>
      <c r="DI7" s="3" t="s">
        <v>78</v>
      </c>
      <c r="DJ7" s="3" t="s">
        <v>79</v>
      </c>
      <c r="DK7" s="3" t="s">
        <v>80</v>
      </c>
      <c r="DL7" s="3" t="s">
        <v>81</v>
      </c>
      <c r="DM7" s="3" t="s">
        <v>82</v>
      </c>
      <c r="DN7" s="3" t="s">
        <v>83</v>
      </c>
      <c r="DO7" s="8" t="s">
        <v>84</v>
      </c>
    </row>
    <row r="8" spans="1:137" ht="15" customHeight="1">
      <c r="A8" s="151"/>
      <c r="B8" s="151"/>
      <c r="D8" s="31" t="s">
        <v>293</v>
      </c>
      <c r="E8" s="3">
        <f>IF($B$2="(Todas)",COUNTIF(BASE[CODCIE10],GUIA_NACIONAL_2022_1[[#This Row],[CIE-10]]),COUNTIFS(BASE[Cod.Establecimiento],$B$2,BASE[CODCIE10],GUIA_NACIONAL_2022_1[[#This Row],[CIE-10]]))</f>
        <v>0</v>
      </c>
      <c r="F8" s="3">
        <f>IF($B$2="(Todas)",COUNTIF(BASE[CODCIE102],GUIA_NACIONAL_2022_1[[#This Row],[CIE-10]]),COUNTIFS(BASE[Cod.Establecimiento],$B$2,BASE[CODCIE102],GUIA_NACIONAL_2022_1[[#This Row],[CIE-10]]))</f>
        <v>0</v>
      </c>
      <c r="G8" s="3">
        <f>IF($B$2="(Todas)",COUNTIF(BASE[CODCIE104],GUIA_NACIONAL_2022_1[[#This Row],[CIE-10]]),COUNTIFS(BASE[Cod.Establecimiento],$B$2,BASE[CODCIE104],GUIA_NACIONAL_2022_1[[#This Row],[CIE-10]]))</f>
        <v>0</v>
      </c>
      <c r="H8" s="3">
        <f>IF($B$2="(Todas)",COUNTIF(BASE[CODCIE106],GUIA_NACIONAL_2022_1[[#This Row],[CIE-10]]),COUNTIFS(BASE[Cod.Establecimiento],$B$2,BASE[CODCIE106],GUIA_NACIONAL_2022_1[[#This Row],[CIE-10]]))</f>
        <v>0</v>
      </c>
      <c r="I8" s="3">
        <f>IF($B$2="(Todas)",COUNTIF(BASE[CODCIE108],GUIA_NACIONAL_2022_1[[#This Row],[CIE-10]]),COUNTIFS(BASE[Cod.Establecimiento],$B$2,BASE[CODCIE108],GUIA_NACIONAL_2022_1[[#This Row],[CIE-10]]))</f>
        <v>0</v>
      </c>
      <c r="J8" s="3">
        <f>IF($B$2="(Todas)",COUNTIF(BASE[CODCIE1010],GUIA_NACIONAL_2022_1[[#This Row],[CIE-10]]),COUNTIFS(BASE[Cod.Establecimiento],$B$2,BASE[CODCIE1010],GUIA_NACIONAL_2022_1[[#This Row],[CIE-10]]))</f>
        <v>0</v>
      </c>
      <c r="K8" s="9">
        <f>SUM(GUIA_NACIONAL_2022_1[[#This Row],[D1]:[D6]])</f>
        <v>0</v>
      </c>
      <c r="M8" t="s">
        <v>77</v>
      </c>
      <c r="N8" s="3" t="s">
        <v>78</v>
      </c>
      <c r="O8" s="3" t="s">
        <v>79</v>
      </c>
      <c r="P8" s="3" t="s">
        <v>80</v>
      </c>
      <c r="Q8" s="3" t="s">
        <v>81</v>
      </c>
      <c r="R8" s="3" t="s">
        <v>82</v>
      </c>
      <c r="S8" s="3" t="s">
        <v>83</v>
      </c>
      <c r="T8" s="8" t="s">
        <v>84</v>
      </c>
      <c r="V8" s="4" t="s">
        <v>113</v>
      </c>
      <c r="W8" s="3">
        <f>IF($B$2="(Todas)",COUNTIF(BASE[CODCIE10],GUIA_NACIONAL_2022_1106128143[[#This Row],[CIE-10]]),COUNTIFS(BASE[Cod.Establecimiento],$B$2,BASE[CODCIE10],GUIA_NACIONAL_2022_1106128143[[#This Row],[CIE-10]]))</f>
        <v>0</v>
      </c>
      <c r="X8" s="3">
        <f>IF($B$2="(Todas)",COUNTIF(BASE[CODCIE102],GUIA_NACIONAL_2022_1106128143[[#This Row],[CIE-10]]),COUNTIFS(BASE[Cod.Establecimiento],$B$2,BASE[CODCIE102],GUIA_NACIONAL_2022_1106128143[[#This Row],[CIE-10]]))</f>
        <v>0</v>
      </c>
      <c r="Y8" s="3">
        <f>IF($B$2="(Todas)",COUNTIF(BASE[CODCIE104],GUIA_NACIONAL_2022_1106128143[[#This Row],[CIE-10]]),COUNTIFS(BASE[Cod.Establecimiento],$B$2,BASE[CODCIE104],GUIA_NACIONAL_2022_1106128143[[#This Row],[CIE-10]]))</f>
        <v>0</v>
      </c>
      <c r="Z8" s="3">
        <f>IF($B$2="(Todas)",COUNTIF(BASE[CODCIE106],GUIA_NACIONAL_2022_1106128143[[#This Row],[CIE-10]]),COUNTIFS(BASE[Cod.Establecimiento],$B$2,BASE[CODCIE106],GUIA_NACIONAL_2022_1106128143[[#This Row],[CIE-10]]))</f>
        <v>0</v>
      </c>
      <c r="AA8" s="3">
        <f>IF($B$2="(Todas)",COUNTIF(BASE[CODCIE108],GUIA_NACIONAL_2022_1106128143[[#This Row],[CIE-10]]),COUNTIFS(BASE[Cod.Establecimiento],$B$2,BASE[CODCIE108],GUIA_NACIONAL_2022_1106128143[[#This Row],[CIE-10]]))</f>
        <v>0</v>
      </c>
      <c r="AB8" s="3">
        <f>IF($B$2="(Todas)",COUNTIF(BASE[CODCIE1010],GUIA_NACIONAL_2022_1106128143[[#This Row],[CIE-10]]),COUNTIFS(BASE[Cod.Establecimiento],$B$2,BASE[CODCIE1010],GUIA_NACIONAL_2022_1106128143[[#This Row],[CIE-10]]))</f>
        <v>0</v>
      </c>
      <c r="AC8" s="9">
        <f>SUM(GUIA_NACIONAL_2022_1106128143[[#This Row],[D1]:[D6]])</f>
        <v>0</v>
      </c>
      <c r="AE8" s="4" t="s">
        <v>541</v>
      </c>
      <c r="AF8" s="3">
        <f>IF($B$2="(Todas)",COUNTIF(BASE[CODCIE10],GUIA_NACIONAL_2022_1106128105167[[#This Row],[CIE-10]]),COUNTIFS(BASE[Cod.Establecimiento],$B$2,BASE[CODCIE10],GUIA_NACIONAL_2022_1106128105167[[#This Row],[CIE-10]]))</f>
        <v>0</v>
      </c>
      <c r="AG8" s="3">
        <f>IF($B$2="(Todas)",COUNTIF(BASE[CODCIE102],GUIA_NACIONAL_2022_1106128105167[[#This Row],[CIE-10]]),COUNTIFS(BASE[Cod.Establecimiento],$B$2,BASE[CODCIE102],GUIA_NACIONAL_2022_1106128105167[[#This Row],[CIE-10]]))</f>
        <v>0</v>
      </c>
      <c r="AH8" s="3">
        <f>IF($B$2="(Todas)",COUNTIF(BASE[CODCIE104],GUIA_NACIONAL_2022_1106128105167[[#This Row],[CIE-10]]),COUNTIFS(BASE[Cod.Establecimiento],$B$2,BASE[CODCIE104],GUIA_NACIONAL_2022_1106128105167[[#This Row],[CIE-10]]))</f>
        <v>0</v>
      </c>
      <c r="AI8" s="3">
        <f>IF($B$2="(Todas)",COUNTIF(BASE[CODCIE106],GUIA_NACIONAL_2022_1106128105167[[#This Row],[CIE-10]]),COUNTIFS(BASE[Cod.Establecimiento],$B$2,BASE[CODCIE106],GUIA_NACIONAL_2022_1106128105167[[#This Row],[CIE-10]]))</f>
        <v>0</v>
      </c>
      <c r="AJ8" s="3">
        <f>IF($B$2="(Todas)",COUNTIF(BASE[CODCIE108],GUIA_NACIONAL_2022_1106128105167[[#This Row],[CIE-10]]),COUNTIFS(BASE[Cod.Establecimiento],$B$2,BASE[CODCIE108],GUIA_NACIONAL_2022_1106128105167[[#This Row],[CIE-10]]))</f>
        <v>0</v>
      </c>
      <c r="AK8" s="3">
        <f>IF($B$2="(Todas)",COUNTIF(BASE[CODCIE1010],GUIA_NACIONAL_2022_1106128105167[[#This Row],[CIE-10]]),COUNTIFS(BASE[Cod.Establecimiento],$B$2,BASE[CODCIE1010],GUIA_NACIONAL_2022_1106128105167[[#This Row],[CIE-10]]))</f>
        <v>0</v>
      </c>
      <c r="AL8" s="9">
        <f>SUM(GUIA_NACIONAL_2022_1106128105167[[#This Row],[D1]:[D6]])</f>
        <v>0</v>
      </c>
      <c r="AN8" t="s">
        <v>77</v>
      </c>
      <c r="AO8" s="3" t="s">
        <v>78</v>
      </c>
      <c r="AP8" s="3" t="s">
        <v>79</v>
      </c>
      <c r="AQ8" s="3" t="s">
        <v>80</v>
      </c>
      <c r="AR8" s="3" t="s">
        <v>81</v>
      </c>
      <c r="AS8" s="3" t="s">
        <v>82</v>
      </c>
      <c r="AT8" s="3" t="s">
        <v>83</v>
      </c>
      <c r="AU8" s="8" t="s">
        <v>84</v>
      </c>
      <c r="AW8" s="159" t="s">
        <v>621</v>
      </c>
      <c r="AX8" s="159"/>
      <c r="AY8" s="159"/>
      <c r="AZ8" s="159"/>
      <c r="BA8" s="159"/>
      <c r="BB8" s="159"/>
      <c r="BC8" s="159"/>
      <c r="BD8" s="159"/>
      <c r="BF8" s="4" t="s">
        <v>363</v>
      </c>
      <c r="BG8" s="3">
        <f>IF($B$2="(Todas)",COUNTIF(BASE[CODCIE10],GUIA_NACIONAL_2022_1106128105107110207210[[#This Row],[CIE-10]]),COUNTIFS(BASE[Cod.Establecimiento],$B$2,BASE[CODCIE10],GUIA_NACIONAL_2022_1106128105107110207210[[#This Row],[CIE-10]]))</f>
        <v>0</v>
      </c>
      <c r="BH8" s="3">
        <f>IF($B$2="(Todas)",COUNTIF(BASE[CODCIE102],GUIA_NACIONAL_2022_1106128105107110207210[[#This Row],[CIE-10]]),COUNTIFS(BASE[Cod.Establecimiento],$B$2,BASE[CODCIE102],GUIA_NACIONAL_2022_1106128105107110207210[[#This Row],[CIE-10]]))</f>
        <v>0</v>
      </c>
      <c r="BI8" s="3">
        <f>IF($B$2="(Todas)",COUNTIF(BASE[CODCIE104],GUIA_NACIONAL_2022_1106128105107110207210[[#This Row],[CIE-10]]),COUNTIFS(BASE[Cod.Establecimiento],$B$2,BASE[CODCIE104],GUIA_NACIONAL_2022_1106128105107110207210[[#This Row],[CIE-10]]))</f>
        <v>0</v>
      </c>
      <c r="BJ8" s="3">
        <f>IF($B$2="(Todas)",COUNTIF(BASE[CODCIE106],GUIA_NACIONAL_2022_1106128105107110207210[[#This Row],[CIE-10]]),COUNTIFS(BASE[Cod.Establecimiento],$B$2,BASE[CODCIE106],GUIA_NACIONAL_2022_1106128105107110207210[[#This Row],[CIE-10]]))</f>
        <v>0</v>
      </c>
      <c r="BK8" s="3">
        <f>IF($B$2="(Todas)",COUNTIF(BASE[CODCIE108],GUIA_NACIONAL_2022_1106128105107110207210[[#This Row],[CIE-10]]),COUNTIFS(BASE[Cod.Establecimiento],$B$2,BASE[CODCIE108],GUIA_NACIONAL_2022_1106128105107110207210[[#This Row],[CIE-10]]))</f>
        <v>0</v>
      </c>
      <c r="BL8" s="3">
        <f>IF($B$2="(Todas)",COUNTIF(BASE[CODCIE1010],GUIA_NACIONAL_2022_1106128105107110207210[[#This Row],[CIE-10]]),COUNTIFS(BASE[Cod.Establecimiento],$B$2,BASE[CODCIE1010],GUIA_NACIONAL_2022_1106128105107110207210[[#This Row],[CIE-10]]))</f>
        <v>0</v>
      </c>
      <c r="BM8" s="9">
        <f>SUM(GUIA_NACIONAL_2022_1106128105107110207210[[#This Row],[D1]:[D6]])</f>
        <v>0</v>
      </c>
      <c r="BO8" s="4" t="s">
        <v>674</v>
      </c>
      <c r="BP8" s="3">
        <f>IF($B$2="(Todas)",COUNTIF(BASE[CODCIE10],GUIA_NACIONAL_2022_1106128105107110207210231[[#This Row],[CIE-10]]),COUNTIFS(BASE[Cod.Establecimiento],$B$2,BASE[CODCIE10],GUIA_NACIONAL_2022_1106128105107110207210231[[#This Row],[CIE-10]]))</f>
        <v>0</v>
      </c>
      <c r="BQ8" s="3">
        <f>IF($B$2="(Todas)",COUNTIF(BASE[CODCIE102],GUIA_NACIONAL_2022_1106128105107110207210231[[#This Row],[CIE-10]]),COUNTIFS(BASE[Cod.Establecimiento],$B$2,BASE[CODCIE102],GUIA_NACIONAL_2022_1106128105107110207210231[[#This Row],[CIE-10]]))</f>
        <v>0</v>
      </c>
      <c r="BR8" s="3">
        <f>IF($B$2="(Todas)",COUNTIF(BASE[CODCIE104],GUIA_NACIONAL_2022_1106128105107110207210231[[#This Row],[CIE-10]]),COUNTIFS(BASE[Cod.Establecimiento],$B$2,BASE[CODCIE104],GUIA_NACIONAL_2022_1106128105107110207210231[[#This Row],[CIE-10]]))</f>
        <v>0</v>
      </c>
      <c r="BS8" s="3">
        <f>IF($B$2="(Todas)",COUNTIF(BASE[CODCIE106],GUIA_NACIONAL_2022_1106128105107110207210231[[#This Row],[CIE-10]]),COUNTIFS(BASE[Cod.Establecimiento],$B$2,BASE[CODCIE106],GUIA_NACIONAL_2022_1106128105107110207210231[[#This Row],[CIE-10]]))</f>
        <v>0</v>
      </c>
      <c r="BT8" s="3">
        <f>IF($B$2="(Todas)",COUNTIF(BASE[CODCIE108],GUIA_NACIONAL_2022_1106128105107110207210231[[#This Row],[CIE-10]]),COUNTIFS(BASE[Cod.Establecimiento],$B$2,BASE[CODCIE108],GUIA_NACIONAL_2022_1106128105107110207210231[[#This Row],[CIE-10]]))</f>
        <v>0</v>
      </c>
      <c r="BU8" s="3">
        <f>IF($B$2="(Todas)",COUNTIF(BASE[CODCIE1010],GUIA_NACIONAL_2022_1106128105107110207210231[[#This Row],[CIE-10]]),COUNTIFS(BASE[Cod.Establecimiento],$B$2,BASE[CODCIE1010],GUIA_NACIONAL_2022_1106128105107110207210231[[#This Row],[CIE-10]]))</f>
        <v>0</v>
      </c>
      <c r="BV8" s="9">
        <f>SUM(GUIA_NACIONAL_2022_1106128105107110207210231[[#This Row],[D1]:[D6]])</f>
        <v>0</v>
      </c>
      <c r="BX8" s="4" t="s">
        <v>696</v>
      </c>
      <c r="BY8" s="3">
        <f>IF($B$2="(Todas)",COUNTIF(BASE[CODCIE10],GUIA_NACIONAL_2022_1106128105107111115129248[[#This Row],[CIE-10]]),COUNTIFS(BASE[Cod.Establecimiento],$B$2,BASE[CODCIE10],GUIA_NACIONAL_2022_1106128105107111115129248[[#This Row],[CIE-10]]))</f>
        <v>0</v>
      </c>
      <c r="BZ8" s="3">
        <f>IF($B$2="(Todas)",COUNTIF(BASE[CODCIE102],GUIA_NACIONAL_2022_1106128105107111115129248[[#This Row],[CIE-10]]),COUNTIFS(BASE[Cod.Establecimiento],$B$2,BASE[CODCIE102],GUIA_NACIONAL_2022_1106128105107111115129248[[#This Row],[CIE-10]]))</f>
        <v>0</v>
      </c>
      <c r="CA8" s="3">
        <f>IF($B$2="(Todas)",COUNTIF(BASE[CODCIE104],GUIA_NACIONAL_2022_1106128105107111115129248[[#This Row],[CIE-10]]),COUNTIFS(BASE[Cod.Establecimiento],$B$2,BASE[CODCIE104],GUIA_NACIONAL_2022_1106128105107111115129248[[#This Row],[CIE-10]]))</f>
        <v>0</v>
      </c>
      <c r="CB8" s="3">
        <f>IF($B$2="(Todas)",COUNTIF(BASE[CODCIE106],GUIA_NACIONAL_2022_1106128105107111115129248[[#This Row],[CIE-10]]),COUNTIFS(BASE[Cod.Establecimiento],$B$2,BASE[CODCIE106],GUIA_NACIONAL_2022_1106128105107111115129248[[#This Row],[CIE-10]]))</f>
        <v>0</v>
      </c>
      <c r="CC8" s="3">
        <f>IF($B$2="(Todas)",COUNTIF(BASE[CODCIE108],GUIA_NACIONAL_2022_1106128105107111115129248[[#This Row],[CIE-10]]),COUNTIFS(BASE[Cod.Establecimiento],$B$2,BASE[CODCIE108],GUIA_NACIONAL_2022_1106128105107111115129248[[#This Row],[CIE-10]]))</f>
        <v>0</v>
      </c>
      <c r="CD8" s="3">
        <f>IF($B$2="(Todas)",COUNTIF(BASE[CODCIE1010],GUIA_NACIONAL_2022_1106128105107111115129248[[#This Row],[CIE-10]]),COUNTIFS(BASE[Cod.Establecimiento],$B$2,BASE[CODCIE1010],GUIA_NACIONAL_2022_1106128105107111115129248[[#This Row],[CIE-10]]))</f>
        <v>0</v>
      </c>
      <c r="CE8" s="9">
        <f>SUM(GUIA_NACIONAL_2022_1106128105107111115129248[[#This Row],[D1]:[D6]])</f>
        <v>0</v>
      </c>
      <c r="CG8" s="4" t="s">
        <v>702</v>
      </c>
      <c r="CH8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8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8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8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8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8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8" s="9">
        <f>SUM(GUIA_NACIONAL_2022_1106128105107111115129130[[#This Row],[D1]:[D6]])</f>
        <v>0</v>
      </c>
      <c r="CP8" s="4" t="s">
        <v>744</v>
      </c>
      <c r="CQ8" s="3">
        <f>IF($B$2="(Todas)",COUNTIF(BASE[CODCIE10],GUIA_NACIONAL_2022_1106128105107111115129130131254[[#This Row],[CIE-10]]),COUNTIFS(BASE[Cod.Establecimiento],$B$2,BASE[CODCIE10],GUIA_NACIONAL_2022_1106128105107111115129130131254[[#This Row],[CIE-10]]))</f>
        <v>0</v>
      </c>
      <c r="CR8" s="3">
        <f>IF($B$2="(Todas)",COUNTIF(BASE[CODCIE102],GUIA_NACIONAL_2022_1106128105107111115129130131254[[#This Row],[CIE-10]]),COUNTIFS(BASE[Cod.Establecimiento],$B$2,BASE[CODCIE102],GUIA_NACIONAL_2022_1106128105107111115129130131254[[#This Row],[CIE-10]]))</f>
        <v>0</v>
      </c>
      <c r="CS8" s="3">
        <f>IF($B$2="(Todas)",COUNTIF(BASE[CODCIE104],GUIA_NACIONAL_2022_1106128105107111115129130131254[[#This Row],[CIE-10]]),COUNTIFS(BASE[Cod.Establecimiento],$B$2,BASE[CODCIE104],GUIA_NACIONAL_2022_1106128105107111115129130131254[[#This Row],[CIE-10]]))</f>
        <v>0</v>
      </c>
      <c r="CT8" s="3">
        <f>IF($B$2="(Todas)",COUNTIF(BASE[CODCIE106],GUIA_NACIONAL_2022_1106128105107111115129130131254[[#This Row],[CIE-10]]),COUNTIFS(BASE[Cod.Establecimiento],$B$2,BASE[CODCIE106],GUIA_NACIONAL_2022_1106128105107111115129130131254[[#This Row],[CIE-10]]))</f>
        <v>0</v>
      </c>
      <c r="CU8" s="3">
        <f>IF($B$2="(Todas)",COUNTIF(BASE[CODCIE108],GUIA_NACIONAL_2022_1106128105107111115129130131254[[#This Row],[CIE-10]]),COUNTIFS(BASE[Cod.Establecimiento],$B$2,BASE[CODCIE108],GUIA_NACIONAL_2022_1106128105107111115129130131254[[#This Row],[CIE-10]]))</f>
        <v>0</v>
      </c>
      <c r="CV8" s="3">
        <f>IF($B$2="(Todas)",COUNTIF(BASE[CODCIE1010],GUIA_NACIONAL_2022_1106128105107111115129130131254[[#This Row],[CIE-10]]),COUNTIFS(BASE[Cod.Establecimiento],$B$2,BASE[CODCIE1010],GUIA_NACIONAL_2022_1106128105107111115129130131254[[#This Row],[CIE-10]]))</f>
        <v>0</v>
      </c>
      <c r="CW8" s="9">
        <f>SUM(GUIA_NACIONAL_2022_1106128105107111115129130131254[[#This Row],[D1]:[D6]])</f>
        <v>0</v>
      </c>
      <c r="DH8" s="4" t="s">
        <v>224</v>
      </c>
      <c r="DI8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8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8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8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8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8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8" s="9">
        <f>SUM(GUIA_NACIONAL_2022_1106128105107111115129130131132133256[[#This Row],[D1]:[D6]])</f>
        <v>0</v>
      </c>
    </row>
    <row r="9" spans="1:137" ht="15" customHeight="1">
      <c r="A9" s="151"/>
      <c r="B9" s="151"/>
      <c r="D9" s="31" t="s">
        <v>414</v>
      </c>
      <c r="E9" s="3">
        <f>IF($B$2="(Todas)",COUNTIF(BASE[CODCIE10],GUIA_NACIONAL_2022_1[[#This Row],[CIE-10]]),COUNTIFS(BASE[Cod.Establecimiento],$B$2,BASE[CODCIE10],GUIA_NACIONAL_2022_1[[#This Row],[CIE-10]]))</f>
        <v>0</v>
      </c>
      <c r="F9" s="3">
        <f>IF($B$2="(Todas)",COUNTIF(BASE[CODCIE102],GUIA_NACIONAL_2022_1[[#This Row],[CIE-10]]),COUNTIFS(BASE[Cod.Establecimiento],$B$2,BASE[CODCIE102],GUIA_NACIONAL_2022_1[[#This Row],[CIE-10]]))</f>
        <v>0</v>
      </c>
      <c r="G9" s="3">
        <f>IF($B$2="(Todas)",COUNTIF(BASE[CODCIE104],GUIA_NACIONAL_2022_1[[#This Row],[CIE-10]]),COUNTIFS(BASE[Cod.Establecimiento],$B$2,BASE[CODCIE104],GUIA_NACIONAL_2022_1[[#This Row],[CIE-10]]))</f>
        <v>0</v>
      </c>
      <c r="H9" s="3">
        <f>IF($B$2="(Todas)",COUNTIF(BASE[CODCIE106],GUIA_NACIONAL_2022_1[[#This Row],[CIE-10]]),COUNTIFS(BASE[Cod.Establecimiento],$B$2,BASE[CODCIE106],GUIA_NACIONAL_2022_1[[#This Row],[CIE-10]]))</f>
        <v>0</v>
      </c>
      <c r="I9" s="3">
        <f>IF($B$2="(Todas)",COUNTIF(BASE[CODCIE108],GUIA_NACIONAL_2022_1[[#This Row],[CIE-10]]),COUNTIFS(BASE[Cod.Establecimiento],$B$2,BASE[CODCIE108],GUIA_NACIONAL_2022_1[[#This Row],[CIE-10]]))</f>
        <v>0</v>
      </c>
      <c r="J9" s="3">
        <f>IF($B$2="(Todas)",COUNTIF(BASE[CODCIE1010],GUIA_NACIONAL_2022_1[[#This Row],[CIE-10]]),COUNTIFS(BASE[Cod.Establecimiento],$B$2,BASE[CODCIE1010],GUIA_NACIONAL_2022_1[[#This Row],[CIE-10]]))</f>
        <v>0</v>
      </c>
      <c r="K9" s="9">
        <f>SUM(GUIA_NACIONAL_2022_1[[#This Row],[D1]:[D6]])</f>
        <v>0</v>
      </c>
      <c r="M9" s="4" t="s">
        <v>448</v>
      </c>
      <c r="N9" s="3">
        <f>IF($B$2="(Todas)",COUNTIF(BASE[CODCIE10],GUIA_NACIONAL_2022_1106127[[#This Row],[CIE-10]]),COUNTIFS(BASE[Cod.Establecimiento],$B$2,BASE[CODCIE10],GUIA_NACIONAL_2022_1106127[[#This Row],[CIE-10]]))</f>
        <v>0</v>
      </c>
      <c r="O9" s="3">
        <f>IF($B$2="(Todas)",COUNTIF(BASE[CODCIE102],GUIA_NACIONAL_2022_1106127[[#This Row],[CIE-10]]),COUNTIFS(BASE[Cod.Establecimiento],$B$2,BASE[CODCIE102],GUIA_NACIONAL_2022_1106127[[#This Row],[CIE-10]]))</f>
        <v>0</v>
      </c>
      <c r="P9" s="3">
        <f>IF($B$2="(Todas)",COUNTIF(BASE[CODCIE104],GUIA_NACIONAL_2022_1106127[[#This Row],[CIE-10]]),COUNTIFS(BASE[Cod.Establecimiento],$B$2,BASE[CODCIE104],GUIA_NACIONAL_2022_1106127[[#This Row],[CIE-10]]))</f>
        <v>0</v>
      </c>
      <c r="Q9" s="3">
        <f>IF($B$2="(Todas)",COUNTIF(BASE[CODCIE106],GUIA_NACIONAL_2022_1106127[[#This Row],[CIE-10]]),COUNTIFS(BASE[Cod.Establecimiento],$B$2,BASE[CODCIE106],GUIA_NACIONAL_2022_1106127[[#This Row],[CIE-10]]))</f>
        <v>0</v>
      </c>
      <c r="R9" s="3">
        <f>IF($B$2="(Todas)",COUNTIF(BASE[CODCIE108],GUIA_NACIONAL_2022_1106127[[#This Row],[CIE-10]]),COUNTIFS(BASE[Cod.Establecimiento],$B$2,BASE[CODCIE108],GUIA_NACIONAL_2022_1106127[[#This Row],[CIE-10]]))</f>
        <v>0</v>
      </c>
      <c r="S9" s="3">
        <f>IF($B$2="(Todas)",COUNTIF(BASE[CODCIE1010],GUIA_NACIONAL_2022_1106127[[#This Row],[CIE-10]]),COUNTIFS(BASE[Cod.Establecimiento],$B$2,BASE[CODCIE1010],GUIA_NACIONAL_2022_1106127[[#This Row],[CIE-10]]))</f>
        <v>0</v>
      </c>
      <c r="T9" s="9">
        <f>SUM(GUIA_NACIONAL_2022_1106127[[#This Row],[D1]:[D6]])</f>
        <v>0</v>
      </c>
      <c r="V9" s="159" t="s">
        <v>515</v>
      </c>
      <c r="W9" s="159"/>
      <c r="X9" s="159"/>
      <c r="Y9" s="159"/>
      <c r="Z9" s="159"/>
      <c r="AA9" s="159"/>
      <c r="AB9" s="159"/>
      <c r="AC9" s="159"/>
      <c r="AE9" s="31" t="s">
        <v>542</v>
      </c>
      <c r="AF9" s="3">
        <f>IF($B$2="(Todas)",COUNTIF(BASE[CODCIE10],GUIA_NACIONAL_2022_1106128105167[[#This Row],[CIE-10]]),COUNTIFS(BASE[Cod.Establecimiento],$B$2,BASE[CODCIE10],GUIA_NACIONAL_2022_1106128105167[[#This Row],[CIE-10]]))</f>
        <v>0</v>
      </c>
      <c r="AG9" s="3">
        <f>IF($B$2="(Todas)",COUNTIF(BASE[CODCIE102],GUIA_NACIONAL_2022_1106128105167[[#This Row],[CIE-10]]),COUNTIFS(BASE[Cod.Establecimiento],$B$2,BASE[CODCIE102],GUIA_NACIONAL_2022_1106128105167[[#This Row],[CIE-10]]))</f>
        <v>0</v>
      </c>
      <c r="AH9" s="3">
        <f>IF($B$2="(Todas)",COUNTIF(BASE[CODCIE104],GUIA_NACIONAL_2022_1106128105167[[#This Row],[CIE-10]]),COUNTIFS(BASE[Cod.Establecimiento],$B$2,BASE[CODCIE104],GUIA_NACIONAL_2022_1106128105167[[#This Row],[CIE-10]]))</f>
        <v>0</v>
      </c>
      <c r="AI9" s="3">
        <f>IF($B$2="(Todas)",COUNTIF(BASE[CODCIE106],GUIA_NACIONAL_2022_1106128105167[[#This Row],[CIE-10]]),COUNTIFS(BASE[Cod.Establecimiento],$B$2,BASE[CODCIE106],GUIA_NACIONAL_2022_1106128105167[[#This Row],[CIE-10]]))</f>
        <v>0</v>
      </c>
      <c r="AJ9" s="3">
        <f>IF($B$2="(Todas)",COUNTIF(BASE[CODCIE108],GUIA_NACIONAL_2022_1106128105167[[#This Row],[CIE-10]]),COUNTIFS(BASE[Cod.Establecimiento],$B$2,BASE[CODCIE108],GUIA_NACIONAL_2022_1106128105167[[#This Row],[CIE-10]]))</f>
        <v>0</v>
      </c>
      <c r="AK9" s="3">
        <f>IF($B$2="(Todas)",COUNTIF(BASE[CODCIE1010],GUIA_NACIONAL_2022_1106128105167[[#This Row],[CIE-10]]),COUNTIFS(BASE[Cod.Establecimiento],$B$2,BASE[CODCIE1010],GUIA_NACIONAL_2022_1106128105167[[#This Row],[CIE-10]]))</f>
        <v>0</v>
      </c>
      <c r="AL9" s="9">
        <f>SUM(GUIA_NACIONAL_2022_1106128105167[[#This Row],[D1]:[D6]])</f>
        <v>0</v>
      </c>
      <c r="AN9" s="4" t="s">
        <v>602</v>
      </c>
      <c r="AO9" s="3">
        <f>IF($B$2="(Todas)",COUNTIF(BASE[CODCIE10],GUIA_NACIONAL_2022_1106128105168162[[#This Row],[CIE-10]]),COUNTIFS(BASE[Cod.Establecimiento],$B$2,BASE[CODCIE10],GUIA_NACIONAL_2022_1106128105168162[[#This Row],[CIE-10]]))</f>
        <v>0</v>
      </c>
      <c r="AP9" s="3">
        <f>IF($B$2="(Todas)",COUNTIF(BASE[CODCIE102],GUIA_NACIONAL_2022_1106128105168162[[#This Row],[CIE-10]]),COUNTIFS(BASE[Cod.Establecimiento],$B$2,BASE[CODCIE102],GUIA_NACIONAL_2022_1106128105168162[[#This Row],[CIE-10]]))</f>
        <v>0</v>
      </c>
      <c r="AQ9" s="3">
        <f>IF($B$2="(Todas)",COUNTIF(BASE[CODCIE104],GUIA_NACIONAL_2022_1106128105168162[[#This Row],[CIE-10]]),COUNTIFS(BASE[Cod.Establecimiento],$B$2,BASE[CODCIE104],GUIA_NACIONAL_2022_1106128105168162[[#This Row],[CIE-10]]))</f>
        <v>0</v>
      </c>
      <c r="AR9" s="3">
        <f>IF($B$2="(Todas)",COUNTIF(BASE[CODCIE106],GUIA_NACIONAL_2022_1106128105168162[[#This Row],[CIE-10]]),COUNTIFS(BASE[Cod.Establecimiento],$B$2,BASE[CODCIE106],GUIA_NACIONAL_2022_1106128105168162[[#This Row],[CIE-10]]))</f>
        <v>0</v>
      </c>
      <c r="AS9" s="3">
        <f>IF($B$2="(Todas)",COUNTIF(BASE[CODCIE108],GUIA_NACIONAL_2022_1106128105168162[[#This Row],[CIE-10]]),COUNTIFS(BASE[Cod.Establecimiento],$B$2,BASE[CODCIE108],GUIA_NACIONAL_2022_1106128105168162[[#This Row],[CIE-10]]))</f>
        <v>0</v>
      </c>
      <c r="AT9" s="3">
        <f>IF($B$2="(Todas)",COUNTIF(BASE[CODCIE1010],GUIA_NACIONAL_2022_1106128105168162[[#This Row],[CIE-10]]),COUNTIFS(BASE[Cod.Establecimiento],$B$2,BASE[CODCIE1010],GUIA_NACIONAL_2022_1106128105168162[[#This Row],[CIE-10]]))</f>
        <v>0</v>
      </c>
      <c r="AU9" s="9">
        <f>SUM(GUIA_NACIONAL_2022_1106128105168162[[#This Row],[D1]:[D6]])</f>
        <v>0</v>
      </c>
      <c r="AW9" t="s">
        <v>77</v>
      </c>
      <c r="AX9" s="3" t="s">
        <v>78</v>
      </c>
      <c r="AY9" s="3" t="s">
        <v>79</v>
      </c>
      <c r="AZ9" s="3" t="s">
        <v>80</v>
      </c>
      <c r="BA9" s="3" t="s">
        <v>81</v>
      </c>
      <c r="BB9" s="3" t="s">
        <v>82</v>
      </c>
      <c r="BC9" s="3" t="s">
        <v>83</v>
      </c>
      <c r="BD9" s="8" t="s">
        <v>84</v>
      </c>
      <c r="BF9" s="158" t="s">
        <v>633</v>
      </c>
      <c r="BG9" s="159"/>
      <c r="BH9" s="159"/>
      <c r="BI9" s="159"/>
      <c r="BJ9" s="159"/>
      <c r="BK9" s="159"/>
      <c r="BL9" s="159"/>
      <c r="BM9" s="159"/>
      <c r="BO9" s="158" t="s">
        <v>675</v>
      </c>
      <c r="BP9" s="159"/>
      <c r="BQ9" s="159"/>
      <c r="BR9" s="159"/>
      <c r="BS9" s="159"/>
      <c r="BT9" s="159"/>
      <c r="BU9" s="159"/>
      <c r="BV9" s="159"/>
      <c r="BX9" s="155" t="s">
        <v>697</v>
      </c>
      <c r="BY9" s="156"/>
      <c r="BZ9" s="156"/>
      <c r="CA9" s="156"/>
      <c r="CB9" s="156"/>
      <c r="CC9" s="156"/>
      <c r="CD9" s="156"/>
      <c r="CE9" s="157"/>
      <c r="CG9" s="4" t="s">
        <v>703</v>
      </c>
      <c r="CH9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9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9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9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9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9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9" s="9">
        <f>SUM(GUIA_NACIONAL_2022_1106128105107111115129130[[#This Row],[D1]:[D6]])</f>
        <v>0</v>
      </c>
      <c r="CP9" s="155" t="s">
        <v>745</v>
      </c>
      <c r="CQ9" s="156"/>
      <c r="CR9" s="156"/>
      <c r="CS9" s="156"/>
      <c r="CT9" s="156"/>
      <c r="CU9" s="156"/>
      <c r="CV9" s="156"/>
      <c r="CW9" s="157"/>
      <c r="DH9" s="31" t="s">
        <v>748</v>
      </c>
      <c r="DI9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9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9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9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9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9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9" s="9">
        <f>SUM(GUIA_NACIONAL_2022_1106128105107111115129130131132133256[[#This Row],[D1]:[D6]])</f>
        <v>0</v>
      </c>
    </row>
    <row r="10" spans="1:137" ht="15" customHeight="1">
      <c r="A10" s="151"/>
      <c r="B10" s="151"/>
      <c r="D10" s="31" t="s">
        <v>415</v>
      </c>
      <c r="E10" s="3">
        <f>IF($B$2="(Todas)",COUNTIF(BASE[CODCIE10],GUIA_NACIONAL_2022_1[[#This Row],[CIE-10]]),COUNTIFS(BASE[Cod.Establecimiento],$B$2,BASE[CODCIE10],GUIA_NACIONAL_2022_1[[#This Row],[CIE-10]]))</f>
        <v>0</v>
      </c>
      <c r="F10" s="3">
        <f>IF($B$2="(Todas)",COUNTIF(BASE[CODCIE102],GUIA_NACIONAL_2022_1[[#This Row],[CIE-10]]),COUNTIFS(BASE[Cod.Establecimiento],$B$2,BASE[CODCIE102],GUIA_NACIONAL_2022_1[[#This Row],[CIE-10]]))</f>
        <v>0</v>
      </c>
      <c r="G10" s="3">
        <f>IF($B$2="(Todas)",COUNTIF(BASE[CODCIE104],GUIA_NACIONAL_2022_1[[#This Row],[CIE-10]]),COUNTIFS(BASE[Cod.Establecimiento],$B$2,BASE[CODCIE104],GUIA_NACIONAL_2022_1[[#This Row],[CIE-10]]))</f>
        <v>0</v>
      </c>
      <c r="H10" s="3">
        <f>IF($B$2="(Todas)",COUNTIF(BASE[CODCIE106],GUIA_NACIONAL_2022_1[[#This Row],[CIE-10]]),COUNTIFS(BASE[Cod.Establecimiento],$B$2,BASE[CODCIE106],GUIA_NACIONAL_2022_1[[#This Row],[CIE-10]]))</f>
        <v>0</v>
      </c>
      <c r="I10" s="3">
        <f>IF($B$2="(Todas)",COUNTIF(BASE[CODCIE108],GUIA_NACIONAL_2022_1[[#This Row],[CIE-10]]),COUNTIFS(BASE[Cod.Establecimiento],$B$2,BASE[CODCIE108],GUIA_NACIONAL_2022_1[[#This Row],[CIE-10]]))</f>
        <v>0</v>
      </c>
      <c r="J10" s="3">
        <f>IF($B$2="(Todas)",COUNTIF(BASE[CODCIE1010],GUIA_NACIONAL_2022_1[[#This Row],[CIE-10]]),COUNTIFS(BASE[Cod.Establecimiento],$B$2,BASE[CODCIE1010],GUIA_NACIONAL_2022_1[[#This Row],[CIE-10]]))</f>
        <v>0</v>
      </c>
      <c r="K10" s="9">
        <f>SUM(GUIA_NACIONAL_2022_1[[#This Row],[D1]:[D6]])</f>
        <v>0</v>
      </c>
      <c r="M10" s="31" t="s">
        <v>449</v>
      </c>
      <c r="N10" s="3">
        <f>IF($B$2="(Todas)",COUNTIF(BASE[CODCIE10],GUIA_NACIONAL_2022_1106127[[#This Row],[CIE-10]]),COUNTIFS(BASE[Cod.Establecimiento],$B$2,BASE[CODCIE10],GUIA_NACIONAL_2022_1106127[[#This Row],[CIE-10]]))</f>
        <v>0</v>
      </c>
      <c r="O10" s="3">
        <f>IF($B$2="(Todas)",COUNTIF(BASE[CODCIE102],GUIA_NACIONAL_2022_1106127[[#This Row],[CIE-10]]),COUNTIFS(BASE[Cod.Establecimiento],$B$2,BASE[CODCIE102],GUIA_NACIONAL_2022_1106127[[#This Row],[CIE-10]]))</f>
        <v>0</v>
      </c>
      <c r="P10" s="3">
        <f>IF($B$2="(Todas)",COUNTIF(BASE[CODCIE104],GUIA_NACIONAL_2022_1106127[[#This Row],[CIE-10]]),COUNTIFS(BASE[Cod.Establecimiento],$B$2,BASE[CODCIE104],GUIA_NACIONAL_2022_1106127[[#This Row],[CIE-10]]))</f>
        <v>0</v>
      </c>
      <c r="Q10" s="3">
        <f>IF($B$2="(Todas)",COUNTIF(BASE[CODCIE106],GUIA_NACIONAL_2022_1106127[[#This Row],[CIE-10]]),COUNTIFS(BASE[Cod.Establecimiento],$B$2,BASE[CODCIE106],GUIA_NACIONAL_2022_1106127[[#This Row],[CIE-10]]))</f>
        <v>0</v>
      </c>
      <c r="R10" s="3">
        <f>IF($B$2="(Todas)",COUNTIF(BASE[CODCIE108],GUIA_NACIONAL_2022_1106127[[#This Row],[CIE-10]]),COUNTIFS(BASE[Cod.Establecimiento],$B$2,BASE[CODCIE108],GUIA_NACIONAL_2022_1106127[[#This Row],[CIE-10]]))</f>
        <v>0</v>
      </c>
      <c r="S10" s="3">
        <f>IF($B$2="(Todas)",COUNTIF(BASE[CODCIE1010],GUIA_NACIONAL_2022_1106127[[#This Row],[CIE-10]]),COUNTIFS(BASE[Cod.Establecimiento],$B$2,BASE[CODCIE1010],GUIA_NACIONAL_2022_1106127[[#This Row],[CIE-10]]))</f>
        <v>0</v>
      </c>
      <c r="T10" s="9">
        <f>SUM(GUIA_NACIONAL_2022_1106127[[#This Row],[D1]:[D6]])</f>
        <v>0</v>
      </c>
      <c r="V10" t="s">
        <v>77</v>
      </c>
      <c r="W10" s="3" t="s">
        <v>78</v>
      </c>
      <c r="X10" s="3" t="s">
        <v>79</v>
      </c>
      <c r="Y10" s="3" t="s">
        <v>80</v>
      </c>
      <c r="Z10" s="3" t="s">
        <v>81</v>
      </c>
      <c r="AA10" s="3" t="s">
        <v>82</v>
      </c>
      <c r="AB10" s="3" t="s">
        <v>83</v>
      </c>
      <c r="AC10" s="8" t="s">
        <v>84</v>
      </c>
      <c r="AE10" s="160" t="s">
        <v>543</v>
      </c>
      <c r="AF10" s="160"/>
      <c r="AG10" s="160"/>
      <c r="AH10" s="160"/>
      <c r="AI10" s="160"/>
      <c r="AJ10" s="160"/>
      <c r="AK10" s="160"/>
      <c r="AL10" s="160"/>
      <c r="AN10" s="159" t="s">
        <v>603</v>
      </c>
      <c r="AO10" s="159"/>
      <c r="AP10" s="159"/>
      <c r="AQ10" s="159"/>
      <c r="AR10" s="159"/>
      <c r="AS10" s="159"/>
      <c r="AT10" s="159"/>
      <c r="AU10" s="159"/>
      <c r="AW10" s="4" t="s">
        <v>622</v>
      </c>
      <c r="AX10" s="3">
        <f>IF($B$2="(Todas)",COUNTIF(BASE[CODCIE10],GUIA_NACIONAL_2022_1106128105107110207[[#This Row],[CIE-10]]),COUNTIFS(BASE[Cod.Establecimiento],$B$2,BASE[CODCIE10],GUIA_NACIONAL_2022_1106128105107110207[[#This Row],[CIE-10]]))</f>
        <v>0</v>
      </c>
      <c r="AY10" s="3">
        <f>IF($B$2="(Todas)",COUNTIF(BASE[CODCIE102],GUIA_NACIONAL_2022_1106128105107110207[[#This Row],[CIE-10]]),COUNTIFS(BASE[Cod.Establecimiento],$B$2,BASE[CODCIE102],GUIA_NACIONAL_2022_1106128105107110207[[#This Row],[CIE-10]]))</f>
        <v>0</v>
      </c>
      <c r="AZ10" s="3">
        <f>IF($B$2="(Todas)",COUNTIF(BASE[CODCIE104],GUIA_NACIONAL_2022_1106128105107110207[[#This Row],[CIE-10]]),COUNTIFS(BASE[Cod.Establecimiento],$B$2,BASE[CODCIE104],GUIA_NACIONAL_2022_1106128105107110207[[#This Row],[CIE-10]]))</f>
        <v>0</v>
      </c>
      <c r="BA10" s="3">
        <f>IF($B$2="(Todas)",COUNTIF(BASE[CODCIE106],GUIA_NACIONAL_2022_1106128105107110207[[#This Row],[CIE-10]]),COUNTIFS(BASE[Cod.Establecimiento],$B$2,BASE[CODCIE106],GUIA_NACIONAL_2022_1106128105107110207[[#This Row],[CIE-10]]))</f>
        <v>0</v>
      </c>
      <c r="BB10" s="3">
        <f>IF($B$2="(Todas)",COUNTIF(BASE[CODCIE108],GUIA_NACIONAL_2022_1106128105107110207[[#This Row],[CIE-10]]),COUNTIFS(BASE[Cod.Establecimiento],$B$2,BASE[CODCIE108],GUIA_NACIONAL_2022_1106128105107110207[[#This Row],[CIE-10]]))</f>
        <v>0</v>
      </c>
      <c r="BC10" s="3">
        <f>IF($B$2="(Todas)",COUNTIF(BASE[CODCIE1010],GUIA_NACIONAL_2022_1106128105107110207[[#This Row],[CIE-10]]),COUNTIFS(BASE[Cod.Establecimiento],$B$2,BASE[CODCIE1010],GUIA_NACIONAL_2022_1106128105107110207[[#This Row],[CIE-10]]))</f>
        <v>0</v>
      </c>
      <c r="BD10" s="9">
        <f>SUM(GUIA_NACIONAL_2022_1106128105107110207[[#This Row],[D1]:[D6]])</f>
        <v>0</v>
      </c>
      <c r="BF10" t="s">
        <v>77</v>
      </c>
      <c r="BG10" s="3" t="s">
        <v>78</v>
      </c>
      <c r="BH10" s="3" t="s">
        <v>79</v>
      </c>
      <c r="BI10" s="3" t="s">
        <v>80</v>
      </c>
      <c r="BJ10" s="3" t="s">
        <v>81</v>
      </c>
      <c r="BK10" s="3" t="s">
        <v>82</v>
      </c>
      <c r="BL10" s="3" t="s">
        <v>83</v>
      </c>
      <c r="BM10" s="8" t="s">
        <v>84</v>
      </c>
      <c r="BO10" t="s">
        <v>77</v>
      </c>
      <c r="BP10" s="3" t="s">
        <v>78</v>
      </c>
      <c r="BQ10" s="3" t="s">
        <v>79</v>
      </c>
      <c r="BR10" s="3" t="s">
        <v>80</v>
      </c>
      <c r="BS10" s="3" t="s">
        <v>81</v>
      </c>
      <c r="BT10" s="3" t="s">
        <v>82</v>
      </c>
      <c r="BU10" s="3" t="s">
        <v>83</v>
      </c>
      <c r="BV10" s="8" t="s">
        <v>84</v>
      </c>
      <c r="BX10" t="s">
        <v>77</v>
      </c>
      <c r="BY10" s="3" t="s">
        <v>78</v>
      </c>
      <c r="BZ10" s="3" t="s">
        <v>79</v>
      </c>
      <c r="CA10" s="3" t="s">
        <v>80</v>
      </c>
      <c r="CB10" s="3" t="s">
        <v>81</v>
      </c>
      <c r="CC10" s="3" t="s">
        <v>82</v>
      </c>
      <c r="CD10" s="3" t="s">
        <v>83</v>
      </c>
      <c r="CE10" s="8" t="s">
        <v>84</v>
      </c>
      <c r="CG10" s="4" t="s">
        <v>704</v>
      </c>
      <c r="CH10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0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0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0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0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0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0" s="9">
        <f>SUM(GUIA_NACIONAL_2022_1106128105107111115129130[[#This Row],[D1]:[D6]])</f>
        <v>0</v>
      </c>
      <c r="CP10" t="s">
        <v>77</v>
      </c>
      <c r="CQ10" s="3" t="s">
        <v>78</v>
      </c>
      <c r="CR10" s="3" t="s">
        <v>79</v>
      </c>
      <c r="CS10" s="3" t="s">
        <v>80</v>
      </c>
      <c r="CT10" s="3" t="s">
        <v>81</v>
      </c>
      <c r="CU10" s="3" t="s">
        <v>82</v>
      </c>
      <c r="CV10" s="3" t="s">
        <v>83</v>
      </c>
      <c r="CW10" s="8" t="s">
        <v>84</v>
      </c>
      <c r="DH10" s="31" t="s">
        <v>749</v>
      </c>
      <c r="DI10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0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0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0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0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0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0" s="9">
        <f>SUM(GUIA_NACIONAL_2022_1106128105107111115129130131132133256[[#This Row],[D1]:[D6]])</f>
        <v>0</v>
      </c>
    </row>
    <row r="11" spans="1:137" ht="15" customHeight="1">
      <c r="A11" s="151"/>
      <c r="B11" s="151"/>
      <c r="D11" s="159" t="s">
        <v>422</v>
      </c>
      <c r="E11" s="159"/>
      <c r="F11" s="159"/>
      <c r="G11" s="159"/>
      <c r="H11" s="159"/>
      <c r="I11" s="159"/>
      <c r="J11" s="159"/>
      <c r="K11" s="159"/>
      <c r="M11" s="158" t="s">
        <v>499</v>
      </c>
      <c r="N11" s="159"/>
      <c r="O11" s="159"/>
      <c r="P11" s="159"/>
      <c r="Q11" s="159"/>
      <c r="R11" s="159"/>
      <c r="S11" s="159"/>
      <c r="T11" s="159"/>
      <c r="V11" s="4" t="s">
        <v>117</v>
      </c>
      <c r="W11" s="3">
        <f>IF($B$2="(Todas)",COUNTIF(BASE[CODCIE10],GUIA_NACIONAL_2022_1106128143144[[#This Row],[CIE-10]]),COUNTIFS(BASE[Cod.Establecimiento],$B$2,BASE[CODCIE10],GUIA_NACIONAL_2022_1106128143144[[#This Row],[CIE-10]]))</f>
        <v>0</v>
      </c>
      <c r="X11" s="3">
        <f>IF($B$2="(Todas)",COUNTIF(BASE[CODCIE102],GUIA_NACIONAL_2022_1106128143144[[#This Row],[CIE-10]]),COUNTIFS(BASE[Cod.Establecimiento],$B$2,BASE[CODCIE102],GUIA_NACIONAL_2022_1106128143144[[#This Row],[CIE-10]]))</f>
        <v>0</v>
      </c>
      <c r="Y11" s="3">
        <f>IF($B$2="(Todas)",COUNTIF(BASE[CODCIE104],GUIA_NACIONAL_2022_1106128143144[[#This Row],[CIE-10]]),COUNTIFS(BASE[Cod.Establecimiento],$B$2,BASE[CODCIE104],GUIA_NACIONAL_2022_1106128143144[[#This Row],[CIE-10]]))</f>
        <v>0</v>
      </c>
      <c r="Z11" s="3">
        <f>IF($B$2="(Todas)",COUNTIF(BASE[CODCIE106],GUIA_NACIONAL_2022_1106128143144[[#This Row],[CIE-10]]),COUNTIFS(BASE[Cod.Establecimiento],$B$2,BASE[CODCIE106],GUIA_NACIONAL_2022_1106128143144[[#This Row],[CIE-10]]))</f>
        <v>0</v>
      </c>
      <c r="AA11" s="3">
        <f>IF($B$2="(Todas)",COUNTIF(BASE[CODCIE108],GUIA_NACIONAL_2022_1106128143144[[#This Row],[CIE-10]]),COUNTIFS(BASE[Cod.Establecimiento],$B$2,BASE[CODCIE108],GUIA_NACIONAL_2022_1106128143144[[#This Row],[CIE-10]]))</f>
        <v>0</v>
      </c>
      <c r="AB11" s="3">
        <f>IF($B$2="(Todas)",COUNTIF(BASE[CODCIE1010],GUIA_NACIONAL_2022_1106128143144[[#This Row],[CIE-10]]),COUNTIFS(BASE[Cod.Establecimiento],$B$2,BASE[CODCIE1010],GUIA_NACIONAL_2022_1106128143144[[#This Row],[CIE-10]]))</f>
        <v>0</v>
      </c>
      <c r="AC11" s="9">
        <f>SUM(GUIA_NACIONAL_2022_1106128143144[[#This Row],[D1]:[D6]])</f>
        <v>0</v>
      </c>
      <c r="AE11" s="159" t="s">
        <v>544</v>
      </c>
      <c r="AF11" s="159"/>
      <c r="AG11" s="159"/>
      <c r="AH11" s="159"/>
      <c r="AI11" s="159"/>
      <c r="AJ11" s="159"/>
      <c r="AK11" s="159"/>
      <c r="AL11" s="159"/>
      <c r="AN11" t="s">
        <v>77</v>
      </c>
      <c r="AO11" s="3" t="s">
        <v>78</v>
      </c>
      <c r="AP11" s="3" t="s">
        <v>79</v>
      </c>
      <c r="AQ11" s="3" t="s">
        <v>80</v>
      </c>
      <c r="AR11" s="3" t="s">
        <v>81</v>
      </c>
      <c r="AS11" s="3" t="s">
        <v>82</v>
      </c>
      <c r="AT11" s="3" t="s">
        <v>83</v>
      </c>
      <c r="AU11" s="8" t="s">
        <v>84</v>
      </c>
      <c r="AW11" s="159" t="s">
        <v>623</v>
      </c>
      <c r="AX11" s="159"/>
      <c r="AY11" s="159"/>
      <c r="AZ11" s="159"/>
      <c r="BA11" s="159"/>
      <c r="BB11" s="159"/>
      <c r="BC11" s="159"/>
      <c r="BD11" s="159"/>
      <c r="BF11" s="4" t="s">
        <v>634</v>
      </c>
      <c r="BG11" s="3">
        <f>IF($B$2="(Todas)",COUNTIF(BASE[CODCIE10],GUIA_NACIONAL_2022_1106128105107110207210211[[#This Row],[CIE-10]]),COUNTIFS(BASE[Cod.Establecimiento],$B$2,BASE[CODCIE10],GUIA_NACIONAL_2022_1106128105107110207210211[[#This Row],[CIE-10]]))</f>
        <v>0</v>
      </c>
      <c r="BH11" s="3">
        <f>IF($B$2="(Todas)",COUNTIF(BASE[CODCIE102],GUIA_NACIONAL_2022_1106128105107110207210211[[#This Row],[CIE-10]]),COUNTIFS(BASE[Cod.Establecimiento],$B$2,BASE[CODCIE102],GUIA_NACIONAL_2022_1106128105107110207210211[[#This Row],[CIE-10]]))</f>
        <v>0</v>
      </c>
      <c r="BI11" s="3">
        <f>IF($B$2="(Todas)",COUNTIF(BASE[CODCIE104],GUIA_NACIONAL_2022_1106128105107110207210211[[#This Row],[CIE-10]]),COUNTIFS(BASE[Cod.Establecimiento],$B$2,BASE[CODCIE104],GUIA_NACIONAL_2022_1106128105107110207210211[[#This Row],[CIE-10]]))</f>
        <v>0</v>
      </c>
      <c r="BJ11" s="3">
        <f>IF($B$2="(Todas)",COUNTIF(BASE[CODCIE106],GUIA_NACIONAL_2022_1106128105107110207210211[[#This Row],[CIE-10]]),COUNTIFS(BASE[Cod.Establecimiento],$B$2,BASE[CODCIE106],GUIA_NACIONAL_2022_1106128105107110207210211[[#This Row],[CIE-10]]))</f>
        <v>0</v>
      </c>
      <c r="BK11" s="3">
        <f>IF($B$2="(Todas)",COUNTIF(BASE[CODCIE108],GUIA_NACIONAL_2022_1106128105107110207210211[[#This Row],[CIE-10]]),COUNTIFS(BASE[Cod.Establecimiento],$B$2,BASE[CODCIE108],GUIA_NACIONAL_2022_1106128105107110207210211[[#This Row],[CIE-10]]))</f>
        <v>0</v>
      </c>
      <c r="BL11" s="3">
        <f>IF($B$2="(Todas)",COUNTIF(BASE[CODCIE1010],GUIA_NACIONAL_2022_1106128105107110207210211[[#This Row],[CIE-10]]),COUNTIFS(BASE[Cod.Establecimiento],$B$2,BASE[CODCIE1010],GUIA_NACIONAL_2022_1106128105107110207210211[[#This Row],[CIE-10]]))</f>
        <v>0</v>
      </c>
      <c r="BM11" s="9">
        <f>SUM(GUIA_NACIONAL_2022_1106128105107110207210211[[#This Row],[D1]:[D6]])</f>
        <v>0</v>
      </c>
      <c r="BO11" s="4" t="s">
        <v>676</v>
      </c>
      <c r="BP11" s="3">
        <f>IF($B$2="(Todas)",COUNTIF(BASE[CODCIE10],GUIA_NACIONAL_2022_1106128105107110207210231232[[#This Row],[CIE-10]]),COUNTIFS(BASE[Cod.Establecimiento],$B$2,BASE[CODCIE10],GUIA_NACIONAL_2022_1106128105107110207210231232[[#This Row],[CIE-10]]))</f>
        <v>0</v>
      </c>
      <c r="BQ11" s="3">
        <f>IF($B$2="(Todas)",COUNTIF(BASE[CODCIE102],GUIA_NACIONAL_2022_1106128105107110207210231232[[#This Row],[CIE-10]]),COUNTIFS(BASE[Cod.Establecimiento],$B$2,BASE[CODCIE102],GUIA_NACIONAL_2022_1106128105107110207210231232[[#This Row],[CIE-10]]))</f>
        <v>0</v>
      </c>
      <c r="BR11" s="3">
        <f>IF($B$2="(Todas)",COUNTIF(BASE[CODCIE104],GUIA_NACIONAL_2022_1106128105107110207210231232[[#This Row],[CIE-10]]),COUNTIFS(BASE[Cod.Establecimiento],$B$2,BASE[CODCIE104],GUIA_NACIONAL_2022_1106128105107110207210231232[[#This Row],[CIE-10]]))</f>
        <v>0</v>
      </c>
      <c r="BS11" s="3">
        <f>IF($B$2="(Todas)",COUNTIF(BASE[CODCIE106],GUIA_NACIONAL_2022_1106128105107110207210231232[[#This Row],[CIE-10]]),COUNTIFS(BASE[Cod.Establecimiento],$B$2,BASE[CODCIE106],GUIA_NACIONAL_2022_1106128105107110207210231232[[#This Row],[CIE-10]]))</f>
        <v>0</v>
      </c>
      <c r="BT11" s="3">
        <f>IF($B$2="(Todas)",COUNTIF(BASE[CODCIE108],GUIA_NACIONAL_2022_1106128105107110207210231232[[#This Row],[CIE-10]]),COUNTIFS(BASE[Cod.Establecimiento],$B$2,BASE[CODCIE108],GUIA_NACIONAL_2022_1106128105107110207210231232[[#This Row],[CIE-10]]))</f>
        <v>0</v>
      </c>
      <c r="BU11" s="3">
        <f>IF($B$2="(Todas)",COUNTIF(BASE[CODCIE1010],GUIA_NACIONAL_2022_1106128105107110207210231232[[#This Row],[CIE-10]]),COUNTIFS(BASE[Cod.Establecimiento],$B$2,BASE[CODCIE1010],GUIA_NACIONAL_2022_1106128105107110207210231232[[#This Row],[CIE-10]]))</f>
        <v>0</v>
      </c>
      <c r="BV11" s="9">
        <f>SUM(GUIA_NACIONAL_2022_1106128105107110207210231232[[#This Row],[D1]:[D6]])</f>
        <v>0</v>
      </c>
      <c r="BX11" s="4" t="s">
        <v>698</v>
      </c>
      <c r="BY11" s="3">
        <f>IF($B$2="(Todas)",COUNTIF(BASE[CODCIE10],GUIA_NACIONAL_2022_1106128105107111115129249[[#This Row],[CIE-10]]),COUNTIFS(BASE[Cod.Establecimiento],$B$2,BASE[CODCIE10],GUIA_NACIONAL_2022_1106128105107111115129249[[#This Row],[CIE-10]]))</f>
        <v>0</v>
      </c>
      <c r="BZ11" s="3">
        <f>IF($B$2="(Todas)",COUNTIF(BASE[CODCIE102],GUIA_NACIONAL_2022_1106128105107111115129249[[#This Row],[CIE-10]]),COUNTIFS(BASE[Cod.Establecimiento],$B$2,BASE[CODCIE102],GUIA_NACIONAL_2022_1106128105107111115129249[[#This Row],[CIE-10]]))</f>
        <v>0</v>
      </c>
      <c r="CA11" s="3">
        <f>IF($B$2="(Todas)",COUNTIF(BASE[CODCIE104],GUIA_NACIONAL_2022_1106128105107111115129249[[#This Row],[CIE-10]]),COUNTIFS(BASE[Cod.Establecimiento],$B$2,BASE[CODCIE104],GUIA_NACIONAL_2022_1106128105107111115129249[[#This Row],[CIE-10]]))</f>
        <v>0</v>
      </c>
      <c r="CB11" s="3">
        <f>IF($B$2="(Todas)",COUNTIF(BASE[CODCIE106],GUIA_NACIONAL_2022_1106128105107111115129249[[#This Row],[CIE-10]]),COUNTIFS(BASE[Cod.Establecimiento],$B$2,BASE[CODCIE106],GUIA_NACIONAL_2022_1106128105107111115129249[[#This Row],[CIE-10]]))</f>
        <v>0</v>
      </c>
      <c r="CC11" s="3">
        <f>IF($B$2="(Todas)",COUNTIF(BASE[CODCIE108],GUIA_NACIONAL_2022_1106128105107111115129249[[#This Row],[CIE-10]]),COUNTIFS(BASE[Cod.Establecimiento],$B$2,BASE[CODCIE108],GUIA_NACIONAL_2022_1106128105107111115129249[[#This Row],[CIE-10]]))</f>
        <v>0</v>
      </c>
      <c r="CD11" s="3">
        <f>IF($B$2="(Todas)",COUNTIF(BASE[CODCIE1010],GUIA_NACIONAL_2022_1106128105107111115129249[[#This Row],[CIE-10]]),COUNTIFS(BASE[Cod.Establecimiento],$B$2,BASE[CODCIE1010],GUIA_NACIONAL_2022_1106128105107111115129249[[#This Row],[CIE-10]]))</f>
        <v>0</v>
      </c>
      <c r="CE11" s="9">
        <f>SUM(GUIA_NACIONAL_2022_1106128105107111115129249[[#This Row],[D1]:[D6]])</f>
        <v>0</v>
      </c>
      <c r="CG11" s="4" t="s">
        <v>705</v>
      </c>
      <c r="CH11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1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1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1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1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1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1" s="9">
        <f>SUM(GUIA_NACIONAL_2022_1106128105107111115129130[[#This Row],[D1]:[D6]])</f>
        <v>0</v>
      </c>
      <c r="CP11" s="4" t="s">
        <v>746</v>
      </c>
      <c r="CQ11" s="3">
        <f>IF($B$2="(Todas)",COUNTIF(BASE[CODCIE10],GUIA_NACIONAL_2022_1106128105107111115129130131255[[#This Row],[CIE-10]]),COUNTIFS(BASE[Cod.Establecimiento],$B$2,BASE[CODCIE10],GUIA_NACIONAL_2022_1106128105107111115129130131255[[#This Row],[CIE-10]]))</f>
        <v>0</v>
      </c>
      <c r="CR11" s="3">
        <f>IF($B$2="(Todas)",COUNTIF(BASE[CODCIE102],GUIA_NACIONAL_2022_1106128105107111115129130131255[[#This Row],[CIE-10]]),COUNTIFS(BASE[Cod.Establecimiento],$B$2,BASE[CODCIE102],GUIA_NACIONAL_2022_1106128105107111115129130131255[[#This Row],[CIE-10]]))</f>
        <v>0</v>
      </c>
      <c r="CS11" s="3">
        <f>IF($B$2="(Todas)",COUNTIF(BASE[CODCIE104],GUIA_NACIONAL_2022_1106128105107111115129130131255[[#This Row],[CIE-10]]),COUNTIFS(BASE[Cod.Establecimiento],$B$2,BASE[CODCIE104],GUIA_NACIONAL_2022_1106128105107111115129130131255[[#This Row],[CIE-10]]))</f>
        <v>0</v>
      </c>
      <c r="CT11" s="3">
        <f>IF($B$2="(Todas)",COUNTIF(BASE[CODCIE106],GUIA_NACIONAL_2022_1106128105107111115129130131255[[#This Row],[CIE-10]]),COUNTIFS(BASE[Cod.Establecimiento],$B$2,BASE[CODCIE106],GUIA_NACIONAL_2022_1106128105107111115129130131255[[#This Row],[CIE-10]]))</f>
        <v>0</v>
      </c>
      <c r="CU11" s="3">
        <f>IF($B$2="(Todas)",COUNTIF(BASE[CODCIE108],GUIA_NACIONAL_2022_1106128105107111115129130131255[[#This Row],[CIE-10]]),COUNTIFS(BASE[Cod.Establecimiento],$B$2,BASE[CODCIE108],GUIA_NACIONAL_2022_1106128105107111115129130131255[[#This Row],[CIE-10]]))</f>
        <v>0</v>
      </c>
      <c r="CV11" s="3">
        <f>IF($B$2="(Todas)",COUNTIF(BASE[CODCIE1010],GUIA_NACIONAL_2022_1106128105107111115129130131255[[#This Row],[CIE-10]]),COUNTIFS(BASE[Cod.Establecimiento],$B$2,BASE[CODCIE1010],GUIA_NACIONAL_2022_1106128105107111115129130131255[[#This Row],[CIE-10]]))</f>
        <v>0</v>
      </c>
      <c r="CW11" s="9">
        <f>SUM(GUIA_NACIONAL_2022_1106128105107111115129130131255[[#This Row],[D1]:[D6]])</f>
        <v>0</v>
      </c>
      <c r="DH11" s="31" t="s">
        <v>750</v>
      </c>
      <c r="DI11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1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1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1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1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1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1" s="9">
        <f>SUM(GUIA_NACIONAL_2022_1106128105107111115129130131132133256[[#This Row],[D1]:[D6]])</f>
        <v>0</v>
      </c>
    </row>
    <row r="12" spans="1:137" ht="15" customHeight="1">
      <c r="A12" s="151"/>
      <c r="B12" s="151"/>
      <c r="D12" t="s">
        <v>77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82</v>
      </c>
      <c r="J12" s="3" t="s">
        <v>83</v>
      </c>
      <c r="K12" s="8" t="s">
        <v>84</v>
      </c>
      <c r="M12" t="s">
        <v>77</v>
      </c>
      <c r="N12" s="3" t="s">
        <v>78</v>
      </c>
      <c r="O12" s="3" t="s">
        <v>79</v>
      </c>
      <c r="P12" s="3" t="s">
        <v>80</v>
      </c>
      <c r="Q12" s="3" t="s">
        <v>81</v>
      </c>
      <c r="R12" s="3" t="s">
        <v>82</v>
      </c>
      <c r="S12" s="3" t="s">
        <v>83</v>
      </c>
      <c r="T12" s="8" t="s">
        <v>84</v>
      </c>
      <c r="V12" s="31" t="s">
        <v>120</v>
      </c>
      <c r="W12" s="3">
        <f>IF($B$2="(Todas)",COUNTIF(BASE[CODCIE10],GUIA_NACIONAL_2022_1106128143144[[#This Row],[CIE-10]]),COUNTIFS(BASE[Cod.Establecimiento],$B$2,BASE[CODCIE10],GUIA_NACIONAL_2022_1106128143144[[#This Row],[CIE-10]]))</f>
        <v>0</v>
      </c>
      <c r="X12" s="3">
        <f>IF($B$2="(Todas)",COUNTIF(BASE[CODCIE102],GUIA_NACIONAL_2022_1106128143144[[#This Row],[CIE-10]]),COUNTIFS(BASE[Cod.Establecimiento],$B$2,BASE[CODCIE102],GUIA_NACIONAL_2022_1106128143144[[#This Row],[CIE-10]]))</f>
        <v>0</v>
      </c>
      <c r="Y12" s="3">
        <f>IF($B$2="(Todas)",COUNTIF(BASE[CODCIE104],GUIA_NACIONAL_2022_1106128143144[[#This Row],[CIE-10]]),COUNTIFS(BASE[Cod.Establecimiento],$B$2,BASE[CODCIE104],GUIA_NACIONAL_2022_1106128143144[[#This Row],[CIE-10]]))</f>
        <v>0</v>
      </c>
      <c r="Z12" s="3">
        <f>IF($B$2="(Todas)",COUNTIF(BASE[CODCIE106],GUIA_NACIONAL_2022_1106128143144[[#This Row],[CIE-10]]),COUNTIFS(BASE[Cod.Establecimiento],$B$2,BASE[CODCIE106],GUIA_NACIONAL_2022_1106128143144[[#This Row],[CIE-10]]))</f>
        <v>0</v>
      </c>
      <c r="AA12" s="3">
        <f>IF($B$2="(Todas)",COUNTIF(BASE[CODCIE108],GUIA_NACIONAL_2022_1106128143144[[#This Row],[CIE-10]]),COUNTIFS(BASE[Cod.Establecimiento],$B$2,BASE[CODCIE108],GUIA_NACIONAL_2022_1106128143144[[#This Row],[CIE-10]]))</f>
        <v>0</v>
      </c>
      <c r="AB12" s="3">
        <f>IF($B$2="(Todas)",COUNTIF(BASE[CODCIE1010],GUIA_NACIONAL_2022_1106128143144[[#This Row],[CIE-10]]),COUNTIFS(BASE[Cod.Establecimiento],$B$2,BASE[CODCIE1010],GUIA_NACIONAL_2022_1106128143144[[#This Row],[CIE-10]]))</f>
        <v>0</v>
      </c>
      <c r="AC12" s="9">
        <f>SUM(GUIA_NACIONAL_2022_1106128143144[[#This Row],[D1]:[D6]])</f>
        <v>0</v>
      </c>
      <c r="AE12" t="s">
        <v>77</v>
      </c>
      <c r="AF12" s="3" t="s">
        <v>78</v>
      </c>
      <c r="AG12" s="3" t="s">
        <v>79</v>
      </c>
      <c r="AH12" s="3" t="s">
        <v>80</v>
      </c>
      <c r="AI12" s="3" t="s">
        <v>81</v>
      </c>
      <c r="AJ12" s="3" t="s">
        <v>82</v>
      </c>
      <c r="AK12" s="3" t="s">
        <v>83</v>
      </c>
      <c r="AL12" s="8" t="s">
        <v>84</v>
      </c>
      <c r="AN12" s="4" t="s">
        <v>604</v>
      </c>
      <c r="AO12" s="3">
        <f>IF($B$2="(Todas)",COUNTIF(BASE[CODCIE10],GUIA_NACIONAL_2022_1106128105168162195[[#This Row],[CIE-10]]),COUNTIFS(BASE[Cod.Establecimiento],$B$2,BASE[CODCIE10],GUIA_NACIONAL_2022_1106128105168162195[[#This Row],[CIE-10]]))</f>
        <v>0</v>
      </c>
      <c r="AP12" s="3">
        <f>IF($B$2="(Todas)",COUNTIF(BASE[CODCIE102],GUIA_NACIONAL_2022_1106128105168162195[[#This Row],[CIE-10]]),COUNTIFS(BASE[Cod.Establecimiento],$B$2,BASE[CODCIE102],GUIA_NACIONAL_2022_1106128105168162195[[#This Row],[CIE-10]]))</f>
        <v>0</v>
      </c>
      <c r="AQ12" s="3">
        <f>IF($B$2="(Todas)",COUNTIF(BASE[CODCIE104],GUIA_NACIONAL_2022_1106128105168162195[[#This Row],[CIE-10]]),COUNTIFS(BASE[Cod.Establecimiento],$B$2,BASE[CODCIE104],GUIA_NACIONAL_2022_1106128105168162195[[#This Row],[CIE-10]]))</f>
        <v>0</v>
      </c>
      <c r="AR12" s="3">
        <f>IF($B$2="(Todas)",COUNTIF(BASE[CODCIE106],GUIA_NACIONAL_2022_1106128105168162195[[#This Row],[CIE-10]]),COUNTIFS(BASE[Cod.Establecimiento],$B$2,BASE[CODCIE106],GUIA_NACIONAL_2022_1106128105168162195[[#This Row],[CIE-10]]))</f>
        <v>0</v>
      </c>
      <c r="AS12" s="3">
        <f>IF($B$2="(Todas)",COUNTIF(BASE[CODCIE108],GUIA_NACIONAL_2022_1106128105168162195[[#This Row],[CIE-10]]),COUNTIFS(BASE[Cod.Establecimiento],$B$2,BASE[CODCIE108],GUIA_NACIONAL_2022_1106128105168162195[[#This Row],[CIE-10]]))</f>
        <v>0</v>
      </c>
      <c r="AT12" s="3">
        <f>IF($B$2="(Todas)",COUNTIF(BASE[CODCIE1010],GUIA_NACIONAL_2022_1106128105168162195[[#This Row],[CIE-10]]),COUNTIFS(BASE[Cod.Establecimiento],$B$2,BASE[CODCIE1010],GUIA_NACIONAL_2022_1106128105168162195[[#This Row],[CIE-10]]))</f>
        <v>0</v>
      </c>
      <c r="AU12" s="9">
        <f>SUM(GUIA_NACIONAL_2022_1106128105168162195[[#This Row],[D1]:[D6]])</f>
        <v>0</v>
      </c>
      <c r="AW12" t="s">
        <v>77</v>
      </c>
      <c r="AX12" s="3" t="s">
        <v>78</v>
      </c>
      <c r="AY12" s="3" t="s">
        <v>79</v>
      </c>
      <c r="AZ12" s="3" t="s">
        <v>80</v>
      </c>
      <c r="BA12" s="3" t="s">
        <v>81</v>
      </c>
      <c r="BB12" s="3" t="s">
        <v>82</v>
      </c>
      <c r="BC12" s="3" t="s">
        <v>83</v>
      </c>
      <c r="BD12" s="8" t="s">
        <v>84</v>
      </c>
      <c r="BF12" s="158" t="s">
        <v>635</v>
      </c>
      <c r="BG12" s="159"/>
      <c r="BH12" s="159"/>
      <c r="BI12" s="159"/>
      <c r="BJ12" s="159"/>
      <c r="BK12" s="159"/>
      <c r="BL12" s="159"/>
      <c r="BM12" s="159"/>
      <c r="BO12" s="160" t="s">
        <v>677</v>
      </c>
      <c r="BP12" s="160"/>
      <c r="BQ12" s="160"/>
      <c r="BR12" s="160"/>
      <c r="BS12" s="160"/>
      <c r="BT12" s="160"/>
      <c r="BU12" s="160"/>
      <c r="BV12" s="160"/>
      <c r="CG12" s="4" t="s">
        <v>706</v>
      </c>
      <c r="CH12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2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2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2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2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2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2" s="9">
        <f>SUM(GUIA_NACIONAL_2022_1106128105107111115129130[[#This Row],[D1]:[D6]])</f>
        <v>0</v>
      </c>
      <c r="DH12" s="31" t="s">
        <v>751</v>
      </c>
      <c r="DI12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2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2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2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2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2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2" s="9">
        <f>SUM(GUIA_NACIONAL_2022_1106128105107111115129130131132133256[[#This Row],[D1]:[D6]])</f>
        <v>0</v>
      </c>
    </row>
    <row r="13" spans="1:137" ht="15" customHeight="1">
      <c r="A13" s="151"/>
      <c r="B13" s="151"/>
      <c r="D13" s="4" t="s">
        <v>416</v>
      </c>
      <c r="E13" s="3">
        <f>IF($B$2="(Todas)",COUNTIF(BASE[CODCIE10],GUIA_NACIONAL_2022_1106108[[#This Row],[CIE-10]]),COUNTIFS(BASE[Cod.Establecimiento],$B$2,BASE[CODCIE10],GUIA_NACIONAL_2022_1106108[[#This Row],[CIE-10]]))</f>
        <v>0</v>
      </c>
      <c r="F13" s="3">
        <f>IF($B$2="(Todas)",COUNTIF(BASE[CODCIE102],GUIA_NACIONAL_2022_1106108[[#This Row],[CIE-10]]),COUNTIFS(BASE[Cod.Establecimiento],$B$2,BASE[CODCIE102],GUIA_NACIONAL_2022_1106108[[#This Row],[CIE-10]]))</f>
        <v>0</v>
      </c>
      <c r="G13" s="3">
        <f>IF($B$2="(Todas)",COUNTIF(BASE[CODCIE104],GUIA_NACIONAL_2022_1106108[[#This Row],[CIE-10]]),COUNTIFS(BASE[Cod.Establecimiento],$B$2,BASE[CODCIE104],GUIA_NACIONAL_2022_1106108[[#This Row],[CIE-10]]))</f>
        <v>0</v>
      </c>
      <c r="H13" s="3">
        <f>IF($B$2="(Todas)",COUNTIF(BASE[CODCIE106],GUIA_NACIONAL_2022_1106108[[#This Row],[CIE-10]]),COUNTIFS(BASE[Cod.Establecimiento],$B$2,BASE[CODCIE106],GUIA_NACIONAL_2022_1106108[[#This Row],[CIE-10]]))</f>
        <v>0</v>
      </c>
      <c r="I13" s="3">
        <f>IF($B$2="(Todas)",COUNTIF(BASE[CODCIE108],GUIA_NACIONAL_2022_1106108[[#This Row],[CIE-10]]),COUNTIFS(BASE[Cod.Establecimiento],$B$2,BASE[CODCIE108],GUIA_NACIONAL_2022_1106108[[#This Row],[CIE-10]]))</f>
        <v>0</v>
      </c>
      <c r="J13" s="3">
        <f>IF($B$2="(Todas)",COUNTIF(BASE[CODCIE1010],GUIA_NACIONAL_2022_1106108[[#This Row],[CIE-10]]),COUNTIFS(BASE[Cod.Establecimiento],$B$2,BASE[CODCIE1010],GUIA_NACIONAL_2022_1106108[[#This Row],[CIE-10]]))</f>
        <v>0</v>
      </c>
      <c r="K13" s="9">
        <f>SUM(GUIA_NACIONAL_2022_1106108[[#This Row],[D1]:[D6]])</f>
        <v>0</v>
      </c>
      <c r="M13" s="4" t="s">
        <v>498</v>
      </c>
      <c r="N13" s="3">
        <f>IF($B$2="(Todas)",COUNTIF(BASE[CODCIE10],GUIA_NACIONAL_2022_1106127136[[#This Row],[CIE-10]]),COUNTIFS(BASE[Cod.Establecimiento],$B$2,BASE[CODCIE10],GUIA_NACIONAL_2022_1106127136[[#This Row],[CIE-10]]))</f>
        <v>0</v>
      </c>
      <c r="O13" s="3">
        <f>IF($B$2="(Todas)",COUNTIF(BASE[CODCIE102],GUIA_NACIONAL_2022_1106127136[[#This Row],[CIE-10]]),COUNTIFS(BASE[Cod.Establecimiento],$B$2,BASE[CODCIE102],GUIA_NACIONAL_2022_1106127136[[#This Row],[CIE-10]]))</f>
        <v>0</v>
      </c>
      <c r="P13" s="3">
        <f>IF($B$2="(Todas)",COUNTIF(BASE[CODCIE104],GUIA_NACIONAL_2022_1106127136[[#This Row],[CIE-10]]),COUNTIFS(BASE[Cod.Establecimiento],$B$2,BASE[CODCIE104],GUIA_NACIONAL_2022_1106127136[[#This Row],[CIE-10]]))</f>
        <v>0</v>
      </c>
      <c r="Q13" s="3">
        <f>IF($B$2="(Todas)",COUNTIF(BASE[CODCIE106],GUIA_NACIONAL_2022_1106127136[[#This Row],[CIE-10]]),COUNTIFS(BASE[Cod.Establecimiento],$B$2,BASE[CODCIE106],GUIA_NACIONAL_2022_1106127136[[#This Row],[CIE-10]]))</f>
        <v>0</v>
      </c>
      <c r="R13" s="3">
        <f>IF($B$2="(Todas)",COUNTIF(BASE[CODCIE108],GUIA_NACIONAL_2022_1106127136[[#This Row],[CIE-10]]),COUNTIFS(BASE[Cod.Establecimiento],$B$2,BASE[CODCIE108],GUIA_NACIONAL_2022_1106127136[[#This Row],[CIE-10]]))</f>
        <v>0</v>
      </c>
      <c r="S13" s="3">
        <f>IF($B$2="(Todas)",COUNTIF(BASE[CODCIE1010],GUIA_NACIONAL_2022_1106127136[[#This Row],[CIE-10]]),COUNTIFS(BASE[Cod.Establecimiento],$B$2,BASE[CODCIE1010],GUIA_NACIONAL_2022_1106127136[[#This Row],[CIE-10]]))</f>
        <v>0</v>
      </c>
      <c r="T13" s="9">
        <f>SUM(GUIA_NACIONAL_2022_1106127136[[#This Row],[D1]:[D6]])</f>
        <v>0</v>
      </c>
      <c r="V13" s="31" t="s">
        <v>122</v>
      </c>
      <c r="W13" s="3">
        <f>IF($B$2="(Todas)",COUNTIF(BASE[CODCIE10],GUIA_NACIONAL_2022_1106128143144[[#This Row],[CIE-10]]),COUNTIFS(BASE[Cod.Establecimiento],$B$2,BASE[CODCIE10],GUIA_NACIONAL_2022_1106128143144[[#This Row],[CIE-10]]))</f>
        <v>0</v>
      </c>
      <c r="X13" s="3">
        <f>IF($B$2="(Todas)",COUNTIF(BASE[CODCIE102],GUIA_NACIONAL_2022_1106128143144[[#This Row],[CIE-10]]),COUNTIFS(BASE[Cod.Establecimiento],$B$2,BASE[CODCIE102],GUIA_NACIONAL_2022_1106128143144[[#This Row],[CIE-10]]))</f>
        <v>0</v>
      </c>
      <c r="Y13" s="3">
        <f>IF($B$2="(Todas)",COUNTIF(BASE[CODCIE104],GUIA_NACIONAL_2022_1106128143144[[#This Row],[CIE-10]]),COUNTIFS(BASE[Cod.Establecimiento],$B$2,BASE[CODCIE104],GUIA_NACIONAL_2022_1106128143144[[#This Row],[CIE-10]]))</f>
        <v>0</v>
      </c>
      <c r="Z13" s="3">
        <f>IF($B$2="(Todas)",COUNTIF(BASE[CODCIE106],GUIA_NACIONAL_2022_1106128143144[[#This Row],[CIE-10]]),COUNTIFS(BASE[Cod.Establecimiento],$B$2,BASE[CODCIE106],GUIA_NACIONAL_2022_1106128143144[[#This Row],[CIE-10]]))</f>
        <v>0</v>
      </c>
      <c r="AA13" s="3">
        <f>IF($B$2="(Todas)",COUNTIF(BASE[CODCIE108],GUIA_NACIONAL_2022_1106128143144[[#This Row],[CIE-10]]),COUNTIFS(BASE[Cod.Establecimiento],$B$2,BASE[CODCIE108],GUIA_NACIONAL_2022_1106128143144[[#This Row],[CIE-10]]))</f>
        <v>0</v>
      </c>
      <c r="AB13" s="3">
        <f>IF($B$2="(Todas)",COUNTIF(BASE[CODCIE1010],GUIA_NACIONAL_2022_1106128143144[[#This Row],[CIE-10]]),COUNTIFS(BASE[Cod.Establecimiento],$B$2,BASE[CODCIE1010],GUIA_NACIONAL_2022_1106128143144[[#This Row],[CIE-10]]))</f>
        <v>0</v>
      </c>
      <c r="AC13" s="9">
        <f>SUM(GUIA_NACIONAL_2022_1106128143144[[#This Row],[D1]:[D6]])</f>
        <v>0</v>
      </c>
      <c r="AE13" s="4" t="s">
        <v>338</v>
      </c>
      <c r="AF13" s="3">
        <f>IF($B$2="(Todas)",COUNTIF(BASE[CODCIE10],GUIA_NACIONAL_2022_1106128105168[[#This Row],[CIE-10]]),COUNTIFS(BASE[Cod.Establecimiento],$B$2,BASE[CODCIE10],GUIA_NACIONAL_2022_1106128105168[[#This Row],[CIE-10]]))</f>
        <v>0</v>
      </c>
      <c r="AG13" s="3">
        <f>IF($B$2="(Todas)",COUNTIF(BASE[CODCIE102],GUIA_NACIONAL_2022_1106128105168[[#This Row],[CIE-10]]),COUNTIFS(BASE[Cod.Establecimiento],$B$2,BASE[CODCIE102],GUIA_NACIONAL_2022_1106128105168[[#This Row],[CIE-10]]))</f>
        <v>0</v>
      </c>
      <c r="AH13" s="3">
        <f>IF($B$2="(Todas)",COUNTIF(BASE[CODCIE104],GUIA_NACIONAL_2022_1106128105168[[#This Row],[CIE-10]]),COUNTIFS(BASE[Cod.Establecimiento],$B$2,BASE[CODCIE104],GUIA_NACIONAL_2022_1106128105168[[#This Row],[CIE-10]]))</f>
        <v>0</v>
      </c>
      <c r="AI13" s="3">
        <f>IF($B$2="(Todas)",COUNTIF(BASE[CODCIE106],GUIA_NACIONAL_2022_1106128105168[[#This Row],[CIE-10]]),COUNTIFS(BASE[Cod.Establecimiento],$B$2,BASE[CODCIE106],GUIA_NACIONAL_2022_1106128105168[[#This Row],[CIE-10]]))</f>
        <v>0</v>
      </c>
      <c r="AJ13" s="3">
        <f>IF($B$2="(Todas)",COUNTIF(BASE[CODCIE108],GUIA_NACIONAL_2022_1106128105168[[#This Row],[CIE-10]]),COUNTIFS(BASE[Cod.Establecimiento],$B$2,BASE[CODCIE108],GUIA_NACIONAL_2022_1106128105168[[#This Row],[CIE-10]]))</f>
        <v>0</v>
      </c>
      <c r="AK13" s="3">
        <f>IF($B$2="(Todas)",COUNTIF(BASE[CODCIE1010],GUIA_NACIONAL_2022_1106128105168[[#This Row],[CIE-10]]),COUNTIFS(BASE[Cod.Establecimiento],$B$2,BASE[CODCIE1010],GUIA_NACIONAL_2022_1106128105168[[#This Row],[CIE-10]]))</f>
        <v>0</v>
      </c>
      <c r="AL13" s="9">
        <f>SUM(GUIA_NACIONAL_2022_1106128105168[[#This Row],[D1]:[D6]])</f>
        <v>0</v>
      </c>
      <c r="AN13" s="159" t="s">
        <v>607</v>
      </c>
      <c r="AO13" s="159"/>
      <c r="AP13" s="159"/>
      <c r="AQ13" s="159"/>
      <c r="AR13" s="159"/>
      <c r="AS13" s="159"/>
      <c r="AT13" s="159"/>
      <c r="AU13" s="159"/>
      <c r="AW13" s="4" t="s">
        <v>624</v>
      </c>
      <c r="AX13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3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3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3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3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3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3" s="9">
        <f>SUM(GUIA_NACIONAL_2022_1106128105107110207208[[#This Row],[D1]:[D6]])</f>
        <v>0</v>
      </c>
      <c r="BF13" t="s">
        <v>77</v>
      </c>
      <c r="BG13" s="3" t="s">
        <v>78</v>
      </c>
      <c r="BH13" s="3" t="s">
        <v>79</v>
      </c>
      <c r="BI13" s="3" t="s">
        <v>80</v>
      </c>
      <c r="BJ13" s="3" t="s">
        <v>81</v>
      </c>
      <c r="BK13" s="3" t="s">
        <v>82</v>
      </c>
      <c r="BL13" s="3" t="s">
        <v>83</v>
      </c>
      <c r="BM13" s="8" t="s">
        <v>84</v>
      </c>
      <c r="BO13" s="158" t="s">
        <v>678</v>
      </c>
      <c r="BP13" s="159"/>
      <c r="BQ13" s="159"/>
      <c r="BR13" s="159"/>
      <c r="BS13" s="159"/>
      <c r="BT13" s="159"/>
      <c r="BU13" s="159"/>
      <c r="BV13" s="159"/>
      <c r="CG13" s="4" t="s">
        <v>707</v>
      </c>
      <c r="CH13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3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3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3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3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3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3" s="9">
        <f>SUM(GUIA_NACIONAL_2022_1106128105107111115129130[[#This Row],[D1]:[D6]])</f>
        <v>0</v>
      </c>
      <c r="DH13" s="31" t="s">
        <v>752</v>
      </c>
      <c r="DI13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3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3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3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3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3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3" s="9">
        <f>SUM(GUIA_NACIONAL_2022_1106128105107111115129130131132133256[[#This Row],[D1]:[D6]])</f>
        <v>0</v>
      </c>
    </row>
    <row r="14" spans="1:137" ht="15" customHeight="1">
      <c r="A14" s="151"/>
      <c r="B14" s="151"/>
      <c r="D14" s="31" t="s">
        <v>417</v>
      </c>
      <c r="E14" s="3">
        <f>IF($B$2="(Todas)",COUNTIF(BASE[CODCIE10],GUIA_NACIONAL_2022_1106108[[#This Row],[CIE-10]]),COUNTIFS(BASE[Cod.Establecimiento],$B$2,BASE[CODCIE10],GUIA_NACIONAL_2022_1106108[[#This Row],[CIE-10]]))</f>
        <v>0</v>
      </c>
      <c r="F14" s="3">
        <f>IF($B$2="(Todas)",COUNTIF(BASE[CODCIE102],GUIA_NACIONAL_2022_1106108[[#This Row],[CIE-10]]),COUNTIFS(BASE[Cod.Establecimiento],$B$2,BASE[CODCIE102],GUIA_NACIONAL_2022_1106108[[#This Row],[CIE-10]]))</f>
        <v>0</v>
      </c>
      <c r="G14" s="3">
        <f>IF($B$2="(Todas)",COUNTIF(BASE[CODCIE104],GUIA_NACIONAL_2022_1106108[[#This Row],[CIE-10]]),COUNTIFS(BASE[Cod.Establecimiento],$B$2,BASE[CODCIE104],GUIA_NACIONAL_2022_1106108[[#This Row],[CIE-10]]))</f>
        <v>0</v>
      </c>
      <c r="H14" s="3">
        <f>IF($B$2="(Todas)",COUNTIF(BASE[CODCIE106],GUIA_NACIONAL_2022_1106108[[#This Row],[CIE-10]]),COUNTIFS(BASE[Cod.Establecimiento],$B$2,BASE[CODCIE106],GUIA_NACIONAL_2022_1106108[[#This Row],[CIE-10]]))</f>
        <v>0</v>
      </c>
      <c r="I14" s="3">
        <f>IF($B$2="(Todas)",COUNTIF(BASE[CODCIE108],GUIA_NACIONAL_2022_1106108[[#This Row],[CIE-10]]),COUNTIFS(BASE[Cod.Establecimiento],$B$2,BASE[CODCIE108],GUIA_NACIONAL_2022_1106108[[#This Row],[CIE-10]]))</f>
        <v>0</v>
      </c>
      <c r="J14" s="3">
        <f>IF($B$2="(Todas)",COUNTIF(BASE[CODCIE1010],GUIA_NACIONAL_2022_1106108[[#This Row],[CIE-10]]),COUNTIFS(BASE[Cod.Establecimiento],$B$2,BASE[CODCIE1010],GUIA_NACIONAL_2022_1106108[[#This Row],[CIE-10]]))</f>
        <v>0</v>
      </c>
      <c r="K14" s="9">
        <f>SUM(GUIA_NACIONAL_2022_1106108[[#This Row],[D1]:[D6]])</f>
        <v>0</v>
      </c>
      <c r="M14" s="158" t="s">
        <v>500</v>
      </c>
      <c r="N14" s="159"/>
      <c r="O14" s="159"/>
      <c r="P14" s="159"/>
      <c r="Q14" s="159"/>
      <c r="R14" s="159"/>
      <c r="S14" s="159"/>
      <c r="T14" s="159"/>
      <c r="V14" s="160" t="s">
        <v>517</v>
      </c>
      <c r="W14" s="160"/>
      <c r="X14" s="160"/>
      <c r="Y14" s="160"/>
      <c r="Z14" s="160"/>
      <c r="AA14" s="160"/>
      <c r="AB14" s="160"/>
      <c r="AC14" s="160"/>
      <c r="AE14" s="160" t="s">
        <v>545</v>
      </c>
      <c r="AF14" s="160"/>
      <c r="AG14" s="160"/>
      <c r="AH14" s="160"/>
      <c r="AI14" s="160"/>
      <c r="AJ14" s="160"/>
      <c r="AK14" s="160"/>
      <c r="AL14" s="160"/>
      <c r="AN14" t="s">
        <v>77</v>
      </c>
      <c r="AO14" s="3" t="s">
        <v>78</v>
      </c>
      <c r="AP14" s="3" t="s">
        <v>79</v>
      </c>
      <c r="AQ14" s="3" t="s">
        <v>80</v>
      </c>
      <c r="AR14" s="3" t="s">
        <v>81</v>
      </c>
      <c r="AS14" s="3" t="s">
        <v>82</v>
      </c>
      <c r="AT14" s="3" t="s">
        <v>83</v>
      </c>
      <c r="AU14" s="8" t="s">
        <v>84</v>
      </c>
      <c r="AW14" s="4" t="s">
        <v>625</v>
      </c>
      <c r="AX14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4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4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4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4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4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4" s="9">
        <f>SUM(GUIA_NACIONAL_2022_1106128105107110207208[[#This Row],[D1]:[D6]])</f>
        <v>0</v>
      </c>
      <c r="BF14" s="4" t="s">
        <v>636</v>
      </c>
      <c r="BG14" s="3">
        <f>IF($B$2="(Todas)",COUNTIF(BASE[CODCIE10],GUIA_NACIONAL_2022_1106128105107110207210211212[[#This Row],[CIE-10]]),COUNTIFS(BASE[Cod.Establecimiento],$B$2,BASE[CODCIE10],GUIA_NACIONAL_2022_1106128105107110207210211212[[#This Row],[CIE-10]]))</f>
        <v>0</v>
      </c>
      <c r="BH14" s="3">
        <f>IF($B$2="(Todas)",COUNTIF(BASE[CODCIE102],GUIA_NACIONAL_2022_1106128105107110207210211212[[#This Row],[CIE-10]]),COUNTIFS(BASE[Cod.Establecimiento],$B$2,BASE[CODCIE102],GUIA_NACIONAL_2022_1106128105107110207210211212[[#This Row],[CIE-10]]))</f>
        <v>0</v>
      </c>
      <c r="BI14" s="3">
        <f>IF($B$2="(Todas)",COUNTIF(BASE[CODCIE104],GUIA_NACIONAL_2022_1106128105107110207210211212[[#This Row],[CIE-10]]),COUNTIFS(BASE[Cod.Establecimiento],$B$2,BASE[CODCIE104],GUIA_NACIONAL_2022_1106128105107110207210211212[[#This Row],[CIE-10]]))</f>
        <v>0</v>
      </c>
      <c r="BJ14" s="3">
        <f>IF($B$2="(Todas)",COUNTIF(BASE[CODCIE106],GUIA_NACIONAL_2022_1106128105107110207210211212[[#This Row],[CIE-10]]),COUNTIFS(BASE[Cod.Establecimiento],$B$2,BASE[CODCIE106],GUIA_NACIONAL_2022_1106128105107110207210211212[[#This Row],[CIE-10]]))</f>
        <v>0</v>
      </c>
      <c r="BK14" s="3">
        <f>IF($B$2="(Todas)",COUNTIF(BASE[CODCIE108],GUIA_NACIONAL_2022_1106128105107110207210211212[[#This Row],[CIE-10]]),COUNTIFS(BASE[Cod.Establecimiento],$B$2,BASE[CODCIE108],GUIA_NACIONAL_2022_1106128105107110207210211212[[#This Row],[CIE-10]]))</f>
        <v>0</v>
      </c>
      <c r="BL14" s="3">
        <f>IF($B$2="(Todas)",COUNTIF(BASE[CODCIE1010],GUIA_NACIONAL_2022_1106128105107110207210211212[[#This Row],[CIE-10]]),COUNTIFS(BASE[Cod.Establecimiento],$B$2,BASE[CODCIE1010],GUIA_NACIONAL_2022_1106128105107110207210211212[[#This Row],[CIE-10]]))</f>
        <v>0</v>
      </c>
      <c r="BM14" s="9">
        <f>SUM(GUIA_NACIONAL_2022_1106128105107110207210211212[[#This Row],[D1]:[D6]])</f>
        <v>0</v>
      </c>
      <c r="BO14" t="s">
        <v>77</v>
      </c>
      <c r="BP14" s="3" t="s">
        <v>78</v>
      </c>
      <c r="BQ14" s="3" t="s">
        <v>79</v>
      </c>
      <c r="BR14" s="3" t="s">
        <v>80</v>
      </c>
      <c r="BS14" s="3" t="s">
        <v>81</v>
      </c>
      <c r="BT14" s="3" t="s">
        <v>82</v>
      </c>
      <c r="BU14" s="3" t="s">
        <v>83</v>
      </c>
      <c r="BV14" s="8" t="s">
        <v>84</v>
      </c>
      <c r="CG14" s="4" t="s">
        <v>708</v>
      </c>
      <c r="CH14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4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4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4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4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4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4" s="9">
        <f>SUM(GUIA_NACIONAL_2022_1106128105107111115129130[[#This Row],[D1]:[D6]])</f>
        <v>0</v>
      </c>
      <c r="DH14" s="31" t="s">
        <v>753</v>
      </c>
      <c r="DI14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4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4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4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4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4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4" s="9">
        <f>SUM(GUIA_NACIONAL_2022_1106128105107111115129130131132133256[[#This Row],[D1]:[D6]])</f>
        <v>0</v>
      </c>
    </row>
    <row r="15" spans="1:137" ht="15" customHeight="1">
      <c r="A15" s="151"/>
      <c r="B15" s="151"/>
      <c r="D15" s="31" t="s">
        <v>418</v>
      </c>
      <c r="E15" s="3">
        <f>IF($B$2="(Todas)",COUNTIF(BASE[CODCIE10],GUIA_NACIONAL_2022_1106108[[#This Row],[CIE-10]]),COUNTIFS(BASE[Cod.Establecimiento],$B$2,BASE[CODCIE10],GUIA_NACIONAL_2022_1106108[[#This Row],[CIE-10]]))</f>
        <v>0</v>
      </c>
      <c r="F15" s="3">
        <f>IF($B$2="(Todas)",COUNTIF(BASE[CODCIE102],GUIA_NACIONAL_2022_1106108[[#This Row],[CIE-10]]),COUNTIFS(BASE[Cod.Establecimiento],$B$2,BASE[CODCIE102],GUIA_NACIONAL_2022_1106108[[#This Row],[CIE-10]]))</f>
        <v>0</v>
      </c>
      <c r="G15" s="3">
        <f>IF($B$2="(Todas)",COUNTIF(BASE[CODCIE104],GUIA_NACIONAL_2022_1106108[[#This Row],[CIE-10]]),COUNTIFS(BASE[Cod.Establecimiento],$B$2,BASE[CODCIE104],GUIA_NACIONAL_2022_1106108[[#This Row],[CIE-10]]))</f>
        <v>0</v>
      </c>
      <c r="H15" s="3">
        <f>IF($B$2="(Todas)",COUNTIF(BASE[CODCIE106],GUIA_NACIONAL_2022_1106108[[#This Row],[CIE-10]]),COUNTIFS(BASE[Cod.Establecimiento],$B$2,BASE[CODCIE106],GUIA_NACIONAL_2022_1106108[[#This Row],[CIE-10]]))</f>
        <v>0</v>
      </c>
      <c r="I15" s="3">
        <f>IF($B$2="(Todas)",COUNTIF(BASE[CODCIE108],GUIA_NACIONAL_2022_1106108[[#This Row],[CIE-10]]),COUNTIFS(BASE[Cod.Establecimiento],$B$2,BASE[CODCIE108],GUIA_NACIONAL_2022_1106108[[#This Row],[CIE-10]]))</f>
        <v>0</v>
      </c>
      <c r="J15" s="3">
        <f>IF($B$2="(Todas)",COUNTIF(BASE[CODCIE1010],GUIA_NACIONAL_2022_1106108[[#This Row],[CIE-10]]),COUNTIFS(BASE[Cod.Establecimiento],$B$2,BASE[CODCIE1010],GUIA_NACIONAL_2022_1106108[[#This Row],[CIE-10]]))</f>
        <v>0</v>
      </c>
      <c r="K15" s="9">
        <f>SUM(GUIA_NACIONAL_2022_1106108[[#This Row],[D1]:[D6]])</f>
        <v>0</v>
      </c>
      <c r="M15" t="s">
        <v>77</v>
      </c>
      <c r="N15" s="3" t="s">
        <v>78</v>
      </c>
      <c r="O15" s="3" t="s">
        <v>79</v>
      </c>
      <c r="P15" s="3" t="s">
        <v>80</v>
      </c>
      <c r="Q15" s="3" t="s">
        <v>81</v>
      </c>
      <c r="R15" s="3" t="s">
        <v>82</v>
      </c>
      <c r="S15" s="3" t="s">
        <v>83</v>
      </c>
      <c r="T15" s="8" t="s">
        <v>84</v>
      </c>
      <c r="V15" s="158" t="s">
        <v>516</v>
      </c>
      <c r="W15" s="159"/>
      <c r="X15" s="159"/>
      <c r="Y15" s="159"/>
      <c r="Z15" s="159"/>
      <c r="AA15" s="159"/>
      <c r="AB15" s="159"/>
      <c r="AC15" s="159"/>
      <c r="AE15" s="159" t="s">
        <v>546</v>
      </c>
      <c r="AF15" s="159"/>
      <c r="AG15" s="159"/>
      <c r="AH15" s="159"/>
      <c r="AI15" s="159"/>
      <c r="AJ15" s="159"/>
      <c r="AK15" s="159"/>
      <c r="AL15" s="159"/>
      <c r="AN15" s="4" t="s">
        <v>605</v>
      </c>
      <c r="AO15" s="3">
        <f>IF($B$2="(Todas)",COUNTIF(BASE[CODCIE10],GUIA_NACIONAL_2022_1106128105168162195196[[#This Row],[CIE-10]]),COUNTIFS(BASE[Cod.Establecimiento],$B$2,BASE[CODCIE10],GUIA_NACIONAL_2022_1106128105168162195196[[#This Row],[CIE-10]]))</f>
        <v>0</v>
      </c>
      <c r="AP15" s="3">
        <f>IF($B$2="(Todas)",COUNTIF(BASE[CODCIE102],GUIA_NACIONAL_2022_1106128105168162195196[[#This Row],[CIE-10]]),COUNTIFS(BASE[Cod.Establecimiento],$B$2,BASE[CODCIE102],GUIA_NACIONAL_2022_1106128105168162195196[[#This Row],[CIE-10]]))</f>
        <v>0</v>
      </c>
      <c r="AQ15" s="3">
        <f>IF($B$2="(Todas)",COUNTIF(BASE[CODCIE104],GUIA_NACIONAL_2022_1106128105168162195196[[#This Row],[CIE-10]]),COUNTIFS(BASE[Cod.Establecimiento],$B$2,BASE[CODCIE104],GUIA_NACIONAL_2022_1106128105168162195196[[#This Row],[CIE-10]]))</f>
        <v>0</v>
      </c>
      <c r="AR15" s="3">
        <f>IF($B$2="(Todas)",COUNTIF(BASE[CODCIE106],GUIA_NACIONAL_2022_1106128105168162195196[[#This Row],[CIE-10]]),COUNTIFS(BASE[Cod.Establecimiento],$B$2,BASE[CODCIE106],GUIA_NACIONAL_2022_1106128105168162195196[[#This Row],[CIE-10]]))</f>
        <v>0</v>
      </c>
      <c r="AS15" s="3">
        <f>IF($B$2="(Todas)",COUNTIF(BASE[CODCIE108],GUIA_NACIONAL_2022_1106128105168162195196[[#This Row],[CIE-10]]),COUNTIFS(BASE[Cod.Establecimiento],$B$2,BASE[CODCIE108],GUIA_NACIONAL_2022_1106128105168162195196[[#This Row],[CIE-10]]))</f>
        <v>0</v>
      </c>
      <c r="AT15" s="3">
        <f>IF($B$2="(Todas)",COUNTIF(BASE[CODCIE1010],GUIA_NACIONAL_2022_1106128105168162195196[[#This Row],[CIE-10]]),COUNTIFS(BASE[Cod.Establecimiento],$B$2,BASE[CODCIE1010],GUIA_NACIONAL_2022_1106128105168162195196[[#This Row],[CIE-10]]))</f>
        <v>0</v>
      </c>
      <c r="AU15" s="9">
        <f>SUM(GUIA_NACIONAL_2022_1106128105168162195196[[#This Row],[D1]:[D6]])</f>
        <v>0</v>
      </c>
      <c r="AW15" s="4" t="s">
        <v>626</v>
      </c>
      <c r="AX15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5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5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5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5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5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5" s="9">
        <f>SUM(GUIA_NACIONAL_2022_1106128105107110207208[[#This Row],[D1]:[D6]])</f>
        <v>0</v>
      </c>
      <c r="BF15" s="160" t="s">
        <v>637</v>
      </c>
      <c r="BG15" s="160"/>
      <c r="BH15" s="160"/>
      <c r="BI15" s="160"/>
      <c r="BJ15" s="160"/>
      <c r="BK15" s="160"/>
      <c r="BL15" s="160"/>
      <c r="BM15" s="160"/>
      <c r="BO15" s="4" t="s">
        <v>220</v>
      </c>
      <c r="BP15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5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5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5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5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5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5" s="9">
        <f>SUM(GUIA_NACIONAL_2022_1106128105107110207210231232234[[#This Row],[D1]:[D6]])</f>
        <v>0</v>
      </c>
      <c r="CG15" s="4" t="s">
        <v>709</v>
      </c>
      <c r="CH15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5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5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5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5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5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5" s="9">
        <f>SUM(GUIA_NACIONAL_2022_1106128105107111115129130[[#This Row],[D1]:[D6]])</f>
        <v>0</v>
      </c>
      <c r="DH15" s="31" t="s">
        <v>754</v>
      </c>
      <c r="DI15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5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5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5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5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5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5" s="9">
        <f>SUM(GUIA_NACIONAL_2022_1106128105107111115129130131132133256[[#This Row],[D1]:[D6]])</f>
        <v>0</v>
      </c>
    </row>
    <row r="16" spans="1:137" ht="15" customHeight="1">
      <c r="A16" s="151"/>
      <c r="B16" s="151"/>
      <c r="D16" s="31" t="s">
        <v>297</v>
      </c>
      <c r="E16" s="3">
        <f>IF($B$2="(Todas)",COUNTIF(BASE[CODCIE10],GUIA_NACIONAL_2022_1106108[[#This Row],[CIE-10]]),COUNTIFS(BASE[Cod.Establecimiento],$B$2,BASE[CODCIE10],GUIA_NACIONAL_2022_1106108[[#This Row],[CIE-10]]))</f>
        <v>0</v>
      </c>
      <c r="F16" s="3">
        <f>IF($B$2="(Todas)",COUNTIF(BASE[CODCIE102],GUIA_NACIONAL_2022_1106108[[#This Row],[CIE-10]]),COUNTIFS(BASE[Cod.Establecimiento],$B$2,BASE[CODCIE102],GUIA_NACIONAL_2022_1106108[[#This Row],[CIE-10]]))</f>
        <v>0</v>
      </c>
      <c r="G16" s="3">
        <f>IF($B$2="(Todas)",COUNTIF(BASE[CODCIE104],GUIA_NACIONAL_2022_1106108[[#This Row],[CIE-10]]),COUNTIFS(BASE[Cod.Establecimiento],$B$2,BASE[CODCIE104],GUIA_NACIONAL_2022_1106108[[#This Row],[CIE-10]]))</f>
        <v>0</v>
      </c>
      <c r="H16" s="3">
        <f>IF($B$2="(Todas)",COUNTIF(BASE[CODCIE106],GUIA_NACIONAL_2022_1106108[[#This Row],[CIE-10]]),COUNTIFS(BASE[Cod.Establecimiento],$B$2,BASE[CODCIE106],GUIA_NACIONAL_2022_1106108[[#This Row],[CIE-10]]))</f>
        <v>0</v>
      </c>
      <c r="I16" s="3">
        <f>IF($B$2="(Todas)",COUNTIF(BASE[CODCIE108],GUIA_NACIONAL_2022_1106108[[#This Row],[CIE-10]]),COUNTIFS(BASE[Cod.Establecimiento],$B$2,BASE[CODCIE108],GUIA_NACIONAL_2022_1106108[[#This Row],[CIE-10]]))</f>
        <v>0</v>
      </c>
      <c r="J16" s="3">
        <f>IF($B$2="(Todas)",COUNTIF(BASE[CODCIE1010],GUIA_NACIONAL_2022_1106108[[#This Row],[CIE-10]]),COUNTIFS(BASE[Cod.Establecimiento],$B$2,BASE[CODCIE1010],GUIA_NACIONAL_2022_1106108[[#This Row],[CIE-10]]))</f>
        <v>0</v>
      </c>
      <c r="K16" s="9">
        <f>SUM(GUIA_NACIONAL_2022_1106108[[#This Row],[D1]:[D6]])</f>
        <v>0</v>
      </c>
      <c r="M16" s="4" t="s">
        <v>501</v>
      </c>
      <c r="N16" s="3">
        <f>IF($B$2="(Todas)",COUNTIF(BASE[CODCIE10],GUIA_NACIONAL_2022_1106127136137[[#This Row],[CIE-10]]),COUNTIFS(BASE[Cod.Establecimiento],$B$2,BASE[CODCIE10],GUIA_NACIONAL_2022_1106127136137[[#This Row],[CIE-10]]))</f>
        <v>0</v>
      </c>
      <c r="O16" s="3">
        <f>IF($B$2="(Todas)",COUNTIF(BASE[CODCIE102],GUIA_NACIONAL_2022_1106127136137[[#This Row],[CIE-10]]),COUNTIFS(BASE[Cod.Establecimiento],$B$2,BASE[CODCIE102],GUIA_NACIONAL_2022_1106127136137[[#This Row],[CIE-10]]))</f>
        <v>0</v>
      </c>
      <c r="P16" s="3">
        <f>IF($B$2="(Todas)",COUNTIF(BASE[CODCIE104],GUIA_NACIONAL_2022_1106127136137[[#This Row],[CIE-10]]),COUNTIFS(BASE[Cod.Establecimiento],$B$2,BASE[CODCIE104],GUIA_NACIONAL_2022_1106127136137[[#This Row],[CIE-10]]))</f>
        <v>0</v>
      </c>
      <c r="Q16" s="3">
        <f>IF($B$2="(Todas)",COUNTIF(BASE[CODCIE106],GUIA_NACIONAL_2022_1106127136137[[#This Row],[CIE-10]]),COUNTIFS(BASE[Cod.Establecimiento],$B$2,BASE[CODCIE106],GUIA_NACIONAL_2022_1106127136137[[#This Row],[CIE-10]]))</f>
        <v>0</v>
      </c>
      <c r="R16" s="3">
        <f>IF($B$2="(Todas)",COUNTIF(BASE[CODCIE108],GUIA_NACIONAL_2022_1106127136137[[#This Row],[CIE-10]]),COUNTIFS(BASE[Cod.Establecimiento],$B$2,BASE[CODCIE108],GUIA_NACIONAL_2022_1106127136137[[#This Row],[CIE-10]]))</f>
        <v>0</v>
      </c>
      <c r="S16" s="3">
        <f>IF($B$2="(Todas)",COUNTIF(BASE[CODCIE1010],GUIA_NACIONAL_2022_1106127136137[[#This Row],[CIE-10]]),COUNTIFS(BASE[Cod.Establecimiento],$B$2,BASE[CODCIE1010],GUIA_NACIONAL_2022_1106127136137[[#This Row],[CIE-10]]))</f>
        <v>0</v>
      </c>
      <c r="T16" s="9">
        <f>SUM(GUIA_NACIONAL_2022_1106127136137[[#This Row],[D1]:[D6]])</f>
        <v>0</v>
      </c>
      <c r="V16" t="s">
        <v>77</v>
      </c>
      <c r="W16" s="3" t="s">
        <v>78</v>
      </c>
      <c r="X16" s="3" t="s">
        <v>79</v>
      </c>
      <c r="Y16" s="3" t="s">
        <v>80</v>
      </c>
      <c r="Z16" s="3" t="s">
        <v>81</v>
      </c>
      <c r="AA16" s="3" t="s">
        <v>82</v>
      </c>
      <c r="AB16" s="3" t="s">
        <v>83</v>
      </c>
      <c r="AC16" s="8" t="s">
        <v>84</v>
      </c>
      <c r="AE16" t="s">
        <v>77</v>
      </c>
      <c r="AF16" s="3" t="s">
        <v>78</v>
      </c>
      <c r="AG16" s="3" t="s">
        <v>79</v>
      </c>
      <c r="AH16" s="3" t="s">
        <v>80</v>
      </c>
      <c r="AI16" s="3" t="s">
        <v>81</v>
      </c>
      <c r="AJ16" s="3" t="s">
        <v>82</v>
      </c>
      <c r="AK16" s="3" t="s">
        <v>83</v>
      </c>
      <c r="AL16" s="8" t="s">
        <v>84</v>
      </c>
      <c r="AN16" s="31" t="s">
        <v>606</v>
      </c>
      <c r="AO16" s="3">
        <f>IF($B$2="(Todas)",COUNTIF(BASE[CODCIE10],GUIA_NACIONAL_2022_1106128105168162195196[[#This Row],[CIE-10]]),COUNTIFS(BASE[Cod.Establecimiento],$B$2,BASE[CODCIE10],GUIA_NACIONAL_2022_1106128105168162195196[[#This Row],[CIE-10]]))</f>
        <v>0</v>
      </c>
      <c r="AP16" s="3">
        <f>IF($B$2="(Todas)",COUNTIF(BASE[CODCIE102],GUIA_NACIONAL_2022_1106128105168162195196[[#This Row],[CIE-10]]),COUNTIFS(BASE[Cod.Establecimiento],$B$2,BASE[CODCIE102],GUIA_NACIONAL_2022_1106128105168162195196[[#This Row],[CIE-10]]))</f>
        <v>0</v>
      </c>
      <c r="AQ16" s="3">
        <f>IF($B$2="(Todas)",COUNTIF(BASE[CODCIE104],GUIA_NACIONAL_2022_1106128105168162195196[[#This Row],[CIE-10]]),COUNTIFS(BASE[Cod.Establecimiento],$B$2,BASE[CODCIE104],GUIA_NACIONAL_2022_1106128105168162195196[[#This Row],[CIE-10]]))</f>
        <v>0</v>
      </c>
      <c r="AR16" s="3">
        <f>IF($B$2="(Todas)",COUNTIF(BASE[CODCIE106],GUIA_NACIONAL_2022_1106128105168162195196[[#This Row],[CIE-10]]),COUNTIFS(BASE[Cod.Establecimiento],$B$2,BASE[CODCIE106],GUIA_NACIONAL_2022_1106128105168162195196[[#This Row],[CIE-10]]))</f>
        <v>0</v>
      </c>
      <c r="AS16" s="3">
        <f>IF($B$2="(Todas)",COUNTIF(BASE[CODCIE108],GUIA_NACIONAL_2022_1106128105168162195196[[#This Row],[CIE-10]]),COUNTIFS(BASE[Cod.Establecimiento],$B$2,BASE[CODCIE108],GUIA_NACIONAL_2022_1106128105168162195196[[#This Row],[CIE-10]]))</f>
        <v>0</v>
      </c>
      <c r="AT16" s="3">
        <f>IF($B$2="(Todas)",COUNTIF(BASE[CODCIE1010],GUIA_NACIONAL_2022_1106128105168162195196[[#This Row],[CIE-10]]),COUNTIFS(BASE[Cod.Establecimiento],$B$2,BASE[CODCIE1010],GUIA_NACIONAL_2022_1106128105168162195196[[#This Row],[CIE-10]]))</f>
        <v>0</v>
      </c>
      <c r="AU16" s="9">
        <f>SUM(GUIA_NACIONAL_2022_1106128105168162195196[[#This Row],[D1]:[D6]])</f>
        <v>0</v>
      </c>
      <c r="AW16" s="4" t="s">
        <v>627</v>
      </c>
      <c r="AX16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6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6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6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6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6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6" s="9">
        <f>SUM(GUIA_NACIONAL_2022_1106128105107110207208[[#This Row],[D1]:[D6]])</f>
        <v>0</v>
      </c>
      <c r="BF16" s="159" t="s">
        <v>638</v>
      </c>
      <c r="BG16" s="159"/>
      <c r="BH16" s="159"/>
      <c r="BI16" s="159"/>
      <c r="BJ16" s="159"/>
      <c r="BK16" s="159"/>
      <c r="BL16" s="159"/>
      <c r="BM16" s="159"/>
      <c r="BO16" s="4" t="s">
        <v>315</v>
      </c>
      <c r="BP16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6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6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6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6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6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6" s="9">
        <f>SUM(GUIA_NACIONAL_2022_1106128105107110207210231232234[[#This Row],[D1]:[D6]])</f>
        <v>0</v>
      </c>
      <c r="CG16" s="4" t="s">
        <v>710</v>
      </c>
      <c r="CH16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6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6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6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6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6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6" s="9">
        <f>SUM(GUIA_NACIONAL_2022_1106128105107111115129130[[#This Row],[D1]:[D6]])</f>
        <v>0</v>
      </c>
      <c r="DH16" s="31" t="s">
        <v>755</v>
      </c>
      <c r="DI16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6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6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6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6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6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6" s="9">
        <f>SUM(GUIA_NACIONAL_2022_1106128105107111115129130131132133256[[#This Row],[D1]:[D6]])</f>
        <v>0</v>
      </c>
    </row>
    <row r="17" spans="1:119" ht="15" customHeight="1">
      <c r="A17" s="151"/>
      <c r="B17" s="151"/>
      <c r="D17" s="31" t="s">
        <v>298</v>
      </c>
      <c r="E17" s="3">
        <f>IF($B$2="(Todas)",COUNTIF(BASE[CODCIE10],GUIA_NACIONAL_2022_1106108[[#This Row],[CIE-10]]),COUNTIFS(BASE[Cod.Establecimiento],$B$2,BASE[CODCIE10],GUIA_NACIONAL_2022_1106108[[#This Row],[CIE-10]]))</f>
        <v>0</v>
      </c>
      <c r="F17" s="3">
        <f>IF($B$2="(Todas)",COUNTIF(BASE[CODCIE102],GUIA_NACIONAL_2022_1106108[[#This Row],[CIE-10]]),COUNTIFS(BASE[Cod.Establecimiento],$B$2,BASE[CODCIE102],GUIA_NACIONAL_2022_1106108[[#This Row],[CIE-10]]))</f>
        <v>0</v>
      </c>
      <c r="G17" s="3">
        <f>IF($B$2="(Todas)",COUNTIF(BASE[CODCIE104],GUIA_NACIONAL_2022_1106108[[#This Row],[CIE-10]]),COUNTIFS(BASE[Cod.Establecimiento],$B$2,BASE[CODCIE104],GUIA_NACIONAL_2022_1106108[[#This Row],[CIE-10]]))</f>
        <v>0</v>
      </c>
      <c r="H17" s="3">
        <f>IF($B$2="(Todas)",COUNTIF(BASE[CODCIE106],GUIA_NACIONAL_2022_1106108[[#This Row],[CIE-10]]),COUNTIFS(BASE[Cod.Establecimiento],$B$2,BASE[CODCIE106],GUIA_NACIONAL_2022_1106108[[#This Row],[CIE-10]]))</f>
        <v>0</v>
      </c>
      <c r="I17" s="3">
        <f>IF($B$2="(Todas)",COUNTIF(BASE[CODCIE108],GUIA_NACIONAL_2022_1106108[[#This Row],[CIE-10]]),COUNTIFS(BASE[Cod.Establecimiento],$B$2,BASE[CODCIE108],GUIA_NACIONAL_2022_1106108[[#This Row],[CIE-10]]))</f>
        <v>0</v>
      </c>
      <c r="J17" s="3">
        <f>IF($B$2="(Todas)",COUNTIF(BASE[CODCIE1010],GUIA_NACIONAL_2022_1106108[[#This Row],[CIE-10]]),COUNTIFS(BASE[Cod.Establecimiento],$B$2,BASE[CODCIE1010],GUIA_NACIONAL_2022_1106108[[#This Row],[CIE-10]]))</f>
        <v>0</v>
      </c>
      <c r="K17" s="9">
        <f>SUM(GUIA_NACIONAL_2022_1106108[[#This Row],[D1]:[D6]])</f>
        <v>0</v>
      </c>
      <c r="M17" s="158" t="s">
        <v>502</v>
      </c>
      <c r="N17" s="159"/>
      <c r="O17" s="159"/>
      <c r="P17" s="159"/>
      <c r="Q17" s="159"/>
      <c r="R17" s="159"/>
      <c r="S17" s="159"/>
      <c r="T17" s="159"/>
      <c r="V17" s="4"/>
      <c r="W17" s="3">
        <f>IF($B$2="(Todas)",COUNTIF(BASE[CODCIE10],GUIA_NACIONAL_2022_1106128143146[[#This Row],[CIE-10]]),COUNTIFS(BASE[Cod.Establecimiento],$B$2,BASE[CODCIE10],GUIA_NACIONAL_2022_1106128143146[[#This Row],[CIE-10]]))</f>
        <v>0</v>
      </c>
      <c r="X17" s="3">
        <f>IF($B$2="(Todas)",COUNTIF(BASE[CODCIE102],GUIA_NACIONAL_2022_1106128143146[[#This Row],[CIE-10]]),COUNTIFS(BASE[Cod.Establecimiento],$B$2,BASE[CODCIE102],GUIA_NACIONAL_2022_1106128143146[[#This Row],[CIE-10]]))</f>
        <v>0</v>
      </c>
      <c r="Y17" s="3">
        <f>IF($B$2="(Todas)",COUNTIF(BASE[CODCIE104],GUIA_NACIONAL_2022_1106128143146[[#This Row],[CIE-10]]),COUNTIFS(BASE[Cod.Establecimiento],$B$2,BASE[CODCIE104],GUIA_NACIONAL_2022_1106128143146[[#This Row],[CIE-10]]))</f>
        <v>0</v>
      </c>
      <c r="Z17" s="3">
        <f>IF($B$2="(Todas)",COUNTIF(BASE[CODCIE106],GUIA_NACIONAL_2022_1106128143146[[#This Row],[CIE-10]]),COUNTIFS(BASE[Cod.Establecimiento],$B$2,BASE[CODCIE106],GUIA_NACIONAL_2022_1106128143146[[#This Row],[CIE-10]]))</f>
        <v>0</v>
      </c>
      <c r="AA17" s="3">
        <f>IF($B$2="(Todas)",COUNTIF(BASE[CODCIE108],GUIA_NACIONAL_2022_1106128143146[[#This Row],[CIE-10]]),COUNTIFS(BASE[Cod.Establecimiento],$B$2,BASE[CODCIE108],GUIA_NACIONAL_2022_1106128143146[[#This Row],[CIE-10]]))</f>
        <v>0</v>
      </c>
      <c r="AB17" s="3">
        <f>IF($B$2="(Todas)",COUNTIF(BASE[CODCIE1010],GUIA_NACIONAL_2022_1106128143146[[#This Row],[CIE-10]]),COUNTIFS(BASE[Cod.Establecimiento],$B$2,BASE[CODCIE1010],GUIA_NACIONAL_2022_1106128143146[[#This Row],[CIE-10]]))</f>
        <v>0</v>
      </c>
      <c r="AC17" s="9">
        <f>SUM(GUIA_NACIONAL_2022_1106128143146[[#This Row],[D1]:[D6]])</f>
        <v>0</v>
      </c>
      <c r="AE17" s="4" t="s">
        <v>547</v>
      </c>
      <c r="AF17" s="3">
        <f>IF($B$2="(Todas)",COUNTIF(BASE[CODCIE10],GUIA_NACIONAL_2022_1106128105168169[[#This Row],[CIE-10]]),COUNTIFS(BASE[Cod.Establecimiento],$B$2,BASE[CODCIE10],GUIA_NACIONAL_2022_1106128105168169[[#This Row],[CIE-10]]))</f>
        <v>0</v>
      </c>
      <c r="AG17" s="3">
        <f>IF($B$2="(Todas)",COUNTIF(BASE[CODCIE102],GUIA_NACIONAL_2022_1106128105168169[[#This Row],[CIE-10]]),COUNTIFS(BASE[Cod.Establecimiento],$B$2,BASE[CODCIE102],GUIA_NACIONAL_2022_1106128105168169[[#This Row],[CIE-10]]))</f>
        <v>0</v>
      </c>
      <c r="AH17" s="3">
        <f>IF($B$2="(Todas)",COUNTIF(BASE[CODCIE104],GUIA_NACIONAL_2022_1106128105168169[[#This Row],[CIE-10]]),COUNTIFS(BASE[Cod.Establecimiento],$B$2,BASE[CODCIE104],GUIA_NACIONAL_2022_1106128105168169[[#This Row],[CIE-10]]))</f>
        <v>0</v>
      </c>
      <c r="AI17" s="3">
        <f>IF($B$2="(Todas)",COUNTIF(BASE[CODCIE106],GUIA_NACIONAL_2022_1106128105168169[[#This Row],[CIE-10]]),COUNTIFS(BASE[Cod.Establecimiento],$B$2,BASE[CODCIE106],GUIA_NACIONAL_2022_1106128105168169[[#This Row],[CIE-10]]))</f>
        <v>0</v>
      </c>
      <c r="AJ17" s="3">
        <f>IF($B$2="(Todas)",COUNTIF(BASE[CODCIE108],GUIA_NACIONAL_2022_1106128105168169[[#This Row],[CIE-10]]),COUNTIFS(BASE[Cod.Establecimiento],$B$2,BASE[CODCIE108],GUIA_NACIONAL_2022_1106128105168169[[#This Row],[CIE-10]]))</f>
        <v>0</v>
      </c>
      <c r="AK17" s="3">
        <f>IF($B$2="(Todas)",COUNTIF(BASE[CODCIE1010],GUIA_NACIONAL_2022_1106128105168169[[#This Row],[CIE-10]]),COUNTIFS(BASE[Cod.Establecimiento],$B$2,BASE[CODCIE1010],GUIA_NACIONAL_2022_1106128105168169[[#This Row],[CIE-10]]))</f>
        <v>0</v>
      </c>
      <c r="AL17" s="9">
        <f>SUM(GUIA_NACIONAL_2022_1106128105168169[[#This Row],[D1]:[D6]])</f>
        <v>0</v>
      </c>
      <c r="AN17" s="31" t="s">
        <v>602</v>
      </c>
      <c r="AO17" s="3">
        <f>IF($B$2="(Todas)",COUNTIF(BASE[CODCIE10],GUIA_NACIONAL_2022_1106128105168162195196[[#This Row],[CIE-10]]),COUNTIFS(BASE[Cod.Establecimiento],$B$2,BASE[CODCIE10],GUIA_NACIONAL_2022_1106128105168162195196[[#This Row],[CIE-10]]))</f>
        <v>0</v>
      </c>
      <c r="AP17" s="3">
        <f>IF($B$2="(Todas)",COUNTIF(BASE[CODCIE102],GUIA_NACIONAL_2022_1106128105168162195196[[#This Row],[CIE-10]]),COUNTIFS(BASE[Cod.Establecimiento],$B$2,BASE[CODCIE102],GUIA_NACIONAL_2022_1106128105168162195196[[#This Row],[CIE-10]]))</f>
        <v>0</v>
      </c>
      <c r="AQ17" s="3">
        <f>IF($B$2="(Todas)",COUNTIF(BASE[CODCIE104],GUIA_NACIONAL_2022_1106128105168162195196[[#This Row],[CIE-10]]),COUNTIFS(BASE[Cod.Establecimiento],$B$2,BASE[CODCIE104],GUIA_NACIONAL_2022_1106128105168162195196[[#This Row],[CIE-10]]))</f>
        <v>0</v>
      </c>
      <c r="AR17" s="3">
        <f>IF($B$2="(Todas)",COUNTIF(BASE[CODCIE106],GUIA_NACIONAL_2022_1106128105168162195196[[#This Row],[CIE-10]]),COUNTIFS(BASE[Cod.Establecimiento],$B$2,BASE[CODCIE106],GUIA_NACIONAL_2022_1106128105168162195196[[#This Row],[CIE-10]]))</f>
        <v>0</v>
      </c>
      <c r="AS17" s="3">
        <f>IF($B$2="(Todas)",COUNTIF(BASE[CODCIE108],GUIA_NACIONAL_2022_1106128105168162195196[[#This Row],[CIE-10]]),COUNTIFS(BASE[Cod.Establecimiento],$B$2,BASE[CODCIE108],GUIA_NACIONAL_2022_1106128105168162195196[[#This Row],[CIE-10]]))</f>
        <v>0</v>
      </c>
      <c r="AT17" s="3">
        <f>IF($B$2="(Todas)",COUNTIF(BASE[CODCIE1010],GUIA_NACIONAL_2022_1106128105168162195196[[#This Row],[CIE-10]]),COUNTIFS(BASE[Cod.Establecimiento],$B$2,BASE[CODCIE1010],GUIA_NACIONAL_2022_1106128105168162195196[[#This Row],[CIE-10]]))</f>
        <v>0</v>
      </c>
      <c r="AU17" s="9">
        <f>SUM(GUIA_NACIONAL_2022_1106128105168162195196[[#This Row],[D1]:[D6]])</f>
        <v>0</v>
      </c>
      <c r="AW17" s="4" t="s">
        <v>628</v>
      </c>
      <c r="AX17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7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7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7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7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7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7" s="9">
        <f>SUM(GUIA_NACIONAL_2022_1106128105107110207208[[#This Row],[D1]:[D6]])</f>
        <v>0</v>
      </c>
      <c r="BF17" t="s">
        <v>77</v>
      </c>
      <c r="BG17" s="3" t="s">
        <v>78</v>
      </c>
      <c r="BH17" s="3" t="s">
        <v>79</v>
      </c>
      <c r="BI17" s="3" t="s">
        <v>80</v>
      </c>
      <c r="BJ17" s="3" t="s">
        <v>81</v>
      </c>
      <c r="BK17" s="3" t="s">
        <v>82</v>
      </c>
      <c r="BL17" s="3" t="s">
        <v>83</v>
      </c>
      <c r="BM17" s="8" t="s">
        <v>84</v>
      </c>
      <c r="BO17" s="4" t="s">
        <v>316</v>
      </c>
      <c r="BP17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7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7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7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7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7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7" s="9">
        <f>SUM(GUIA_NACIONAL_2022_1106128105107110207210231232234[[#This Row],[D1]:[D6]])</f>
        <v>0</v>
      </c>
      <c r="CG17" s="4" t="s">
        <v>711</v>
      </c>
      <c r="CH17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7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7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7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7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7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7" s="9">
        <f>SUM(GUIA_NACIONAL_2022_1106128105107111115129130[[#This Row],[D1]:[D6]])</f>
        <v>0</v>
      </c>
      <c r="DH17" s="31" t="s">
        <v>756</v>
      </c>
      <c r="DI17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7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7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7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7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7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7" s="9">
        <f>SUM(GUIA_NACIONAL_2022_1106128105107111115129130131132133256[[#This Row],[D1]:[D6]])</f>
        <v>0</v>
      </c>
    </row>
    <row r="18" spans="1:119" ht="15" customHeight="1">
      <c r="A18" s="151"/>
      <c r="B18" s="151"/>
      <c r="D18" s="31" t="s">
        <v>299</v>
      </c>
      <c r="E18" s="3">
        <f>IF($B$2="(Todas)",COUNTIF(BASE[CODCIE10],GUIA_NACIONAL_2022_1106108[[#This Row],[CIE-10]]),COUNTIFS(BASE[Cod.Establecimiento],$B$2,BASE[CODCIE10],GUIA_NACIONAL_2022_1106108[[#This Row],[CIE-10]]))</f>
        <v>0</v>
      </c>
      <c r="F18" s="3">
        <f>IF($B$2="(Todas)",COUNTIF(BASE[CODCIE102],GUIA_NACIONAL_2022_1106108[[#This Row],[CIE-10]]),COUNTIFS(BASE[Cod.Establecimiento],$B$2,BASE[CODCIE102],GUIA_NACIONAL_2022_1106108[[#This Row],[CIE-10]]))</f>
        <v>0</v>
      </c>
      <c r="G18" s="3">
        <f>IF($B$2="(Todas)",COUNTIF(BASE[CODCIE104],GUIA_NACIONAL_2022_1106108[[#This Row],[CIE-10]]),COUNTIFS(BASE[Cod.Establecimiento],$B$2,BASE[CODCIE104],GUIA_NACIONAL_2022_1106108[[#This Row],[CIE-10]]))</f>
        <v>0</v>
      </c>
      <c r="H18" s="3">
        <f>IF($B$2="(Todas)",COUNTIF(BASE[CODCIE106],GUIA_NACIONAL_2022_1106108[[#This Row],[CIE-10]]),COUNTIFS(BASE[Cod.Establecimiento],$B$2,BASE[CODCIE106],GUIA_NACIONAL_2022_1106108[[#This Row],[CIE-10]]))</f>
        <v>0</v>
      </c>
      <c r="I18" s="3">
        <f>IF($B$2="(Todas)",COUNTIF(BASE[CODCIE108],GUIA_NACIONAL_2022_1106108[[#This Row],[CIE-10]]),COUNTIFS(BASE[Cod.Establecimiento],$B$2,BASE[CODCIE108],GUIA_NACIONAL_2022_1106108[[#This Row],[CIE-10]]))</f>
        <v>0</v>
      </c>
      <c r="J18" s="3">
        <f>IF($B$2="(Todas)",COUNTIF(BASE[CODCIE1010],GUIA_NACIONAL_2022_1106108[[#This Row],[CIE-10]]),COUNTIFS(BASE[Cod.Establecimiento],$B$2,BASE[CODCIE1010],GUIA_NACIONAL_2022_1106108[[#This Row],[CIE-10]]))</f>
        <v>0</v>
      </c>
      <c r="K18" s="9">
        <f>SUM(GUIA_NACIONAL_2022_1106108[[#This Row],[D1]:[D6]])</f>
        <v>0</v>
      </c>
      <c r="M18" t="s">
        <v>77</v>
      </c>
      <c r="N18" s="3" t="s">
        <v>78</v>
      </c>
      <c r="O18" s="3" t="s">
        <v>79</v>
      </c>
      <c r="P18" s="3" t="s">
        <v>80</v>
      </c>
      <c r="Q18" s="3" t="s">
        <v>81</v>
      </c>
      <c r="R18" s="3" t="s">
        <v>82</v>
      </c>
      <c r="S18" s="3" t="s">
        <v>83</v>
      </c>
      <c r="T18" s="8" t="s">
        <v>84</v>
      </c>
      <c r="V18" s="158" t="s">
        <v>518</v>
      </c>
      <c r="W18" s="159"/>
      <c r="X18" s="159"/>
      <c r="Y18" s="159"/>
      <c r="Z18" s="159"/>
      <c r="AA18" s="159"/>
      <c r="AB18" s="159"/>
      <c r="AC18" s="159"/>
      <c r="AE18" s="159" t="s">
        <v>548</v>
      </c>
      <c r="AF18" s="159"/>
      <c r="AG18" s="159"/>
      <c r="AH18" s="159"/>
      <c r="AI18" s="159"/>
      <c r="AJ18" s="159"/>
      <c r="AK18" s="159"/>
      <c r="AL18" s="159"/>
      <c r="AN18" s="160" t="s">
        <v>608</v>
      </c>
      <c r="AO18" s="160"/>
      <c r="AP18" s="160"/>
      <c r="AQ18" s="160"/>
      <c r="AR18" s="160"/>
      <c r="AS18" s="160"/>
      <c r="AT18" s="160"/>
      <c r="AU18" s="160"/>
      <c r="AW18" s="4" t="s">
        <v>629</v>
      </c>
      <c r="AX18" s="3">
        <f>IF($B$2="(Todas)",COUNTIF(BASE[CODCIE10],GUIA_NACIONAL_2022_1106128105107110207208[[#This Row],[CIE-10]]),COUNTIFS(BASE[Cod.Establecimiento],$B$2,BASE[CODCIE10],GUIA_NACIONAL_2022_1106128105107110207208[[#This Row],[CIE-10]]))</f>
        <v>0</v>
      </c>
      <c r="AY18" s="3">
        <f>IF($B$2="(Todas)",COUNTIF(BASE[CODCIE102],GUIA_NACIONAL_2022_1106128105107110207208[[#This Row],[CIE-10]]),COUNTIFS(BASE[Cod.Establecimiento],$B$2,BASE[CODCIE102],GUIA_NACIONAL_2022_1106128105107110207208[[#This Row],[CIE-10]]))</f>
        <v>0</v>
      </c>
      <c r="AZ18" s="3">
        <f>IF($B$2="(Todas)",COUNTIF(BASE[CODCIE104],GUIA_NACIONAL_2022_1106128105107110207208[[#This Row],[CIE-10]]),COUNTIFS(BASE[Cod.Establecimiento],$B$2,BASE[CODCIE104],GUIA_NACIONAL_2022_1106128105107110207208[[#This Row],[CIE-10]]))</f>
        <v>0</v>
      </c>
      <c r="BA18" s="3">
        <f>IF($B$2="(Todas)",COUNTIF(BASE[CODCIE106],GUIA_NACIONAL_2022_1106128105107110207208[[#This Row],[CIE-10]]),COUNTIFS(BASE[Cod.Establecimiento],$B$2,BASE[CODCIE106],GUIA_NACIONAL_2022_1106128105107110207208[[#This Row],[CIE-10]]))</f>
        <v>0</v>
      </c>
      <c r="BB18" s="3">
        <f>IF($B$2="(Todas)",COUNTIF(BASE[CODCIE108],GUIA_NACIONAL_2022_1106128105107110207208[[#This Row],[CIE-10]]),COUNTIFS(BASE[Cod.Establecimiento],$B$2,BASE[CODCIE108],GUIA_NACIONAL_2022_1106128105107110207208[[#This Row],[CIE-10]]))</f>
        <v>0</v>
      </c>
      <c r="BC18" s="3">
        <f>IF($B$2="(Todas)",COUNTIF(BASE[CODCIE1010],GUIA_NACIONAL_2022_1106128105107110207208[[#This Row],[CIE-10]]),COUNTIFS(BASE[Cod.Establecimiento],$B$2,BASE[CODCIE1010],GUIA_NACIONAL_2022_1106128105107110207208[[#This Row],[CIE-10]]))</f>
        <v>0</v>
      </c>
      <c r="BD18" s="9">
        <f>SUM(GUIA_NACIONAL_2022_1106128105107110207208[[#This Row],[D1]:[D6]])</f>
        <v>0</v>
      </c>
      <c r="BF18" s="4" t="s">
        <v>365</v>
      </c>
      <c r="BG18" s="3">
        <f>IF($B$2="(Todas)",COUNTIF(BASE[CODCIE10],GUIA_NACIONAL_2022_1106128105107110207214[[#This Row],[CIE-10]]),COUNTIFS(BASE[Cod.Establecimiento],$B$2,BASE[CODCIE10],GUIA_NACIONAL_2022_1106128105107110207214[[#This Row],[CIE-10]]))</f>
        <v>0</v>
      </c>
      <c r="BH18" s="3">
        <f>IF($B$2="(Todas)",COUNTIF(BASE[CODCIE102],GUIA_NACIONAL_2022_1106128105107110207214[[#This Row],[CIE-10]]),COUNTIFS(BASE[Cod.Establecimiento],$B$2,BASE[CODCIE102],GUIA_NACIONAL_2022_1106128105107110207214[[#This Row],[CIE-10]]))</f>
        <v>0</v>
      </c>
      <c r="BI18" s="3">
        <f>IF($B$2="(Todas)",COUNTIF(BASE[CODCIE104],GUIA_NACIONAL_2022_1106128105107110207214[[#This Row],[CIE-10]]),COUNTIFS(BASE[Cod.Establecimiento],$B$2,BASE[CODCIE104],GUIA_NACIONAL_2022_1106128105107110207214[[#This Row],[CIE-10]]))</f>
        <v>0</v>
      </c>
      <c r="BJ18" s="3">
        <f>IF($B$2="(Todas)",COUNTIF(BASE[CODCIE106],GUIA_NACIONAL_2022_1106128105107110207214[[#This Row],[CIE-10]]),COUNTIFS(BASE[Cod.Establecimiento],$B$2,BASE[CODCIE106],GUIA_NACIONAL_2022_1106128105107110207214[[#This Row],[CIE-10]]))</f>
        <v>0</v>
      </c>
      <c r="BK18" s="3">
        <f>IF($B$2="(Todas)",COUNTIF(BASE[CODCIE108],GUIA_NACIONAL_2022_1106128105107110207214[[#This Row],[CIE-10]]),COUNTIFS(BASE[Cod.Establecimiento],$B$2,BASE[CODCIE108],GUIA_NACIONAL_2022_1106128105107110207214[[#This Row],[CIE-10]]))</f>
        <v>0</v>
      </c>
      <c r="BL18" s="3">
        <f>IF($B$2="(Todas)",COUNTIF(BASE[CODCIE1010],GUIA_NACIONAL_2022_1106128105107110207214[[#This Row],[CIE-10]]),COUNTIFS(BASE[Cod.Establecimiento],$B$2,BASE[CODCIE1010],GUIA_NACIONAL_2022_1106128105107110207214[[#This Row],[CIE-10]]))</f>
        <v>0</v>
      </c>
      <c r="BM18" s="9">
        <f>SUM(GUIA_NACIONAL_2022_1106128105107110207214[[#This Row],[D1]:[D6]])</f>
        <v>0</v>
      </c>
      <c r="BO18" s="4" t="s">
        <v>307</v>
      </c>
      <c r="BP18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8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8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8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8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8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8" s="9">
        <f>SUM(GUIA_NACIONAL_2022_1106128105107110207210231232234[[#This Row],[D1]:[D6]])</f>
        <v>0</v>
      </c>
      <c r="CG18" s="4" t="s">
        <v>713</v>
      </c>
      <c r="CH18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8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8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8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8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8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8" s="9">
        <f>SUM(GUIA_NACIONAL_2022_1106128105107111115129130[[#This Row],[D1]:[D6]])</f>
        <v>0</v>
      </c>
      <c r="DH18" s="31" t="s">
        <v>757</v>
      </c>
      <c r="DI18" s="3">
        <f>IF($B$2="(Todas)",COUNTIF(BASE[CODCIE10],GUIA_NACIONAL_2022_1106128105107111115129130131132133256[[#This Row],[CIE-10]]),COUNTIFS(BASE[Cod.Establecimiento],$B$2,BASE[CODCIE10],GUIA_NACIONAL_2022_1106128105107111115129130131132133256[[#This Row],[CIE-10]]))</f>
        <v>0</v>
      </c>
      <c r="DJ18" s="3">
        <f>IF($B$2="(Todas)",COUNTIF(BASE[CODCIE102],GUIA_NACIONAL_2022_1106128105107111115129130131132133256[[#This Row],[CIE-10]]),COUNTIFS(BASE[Cod.Establecimiento],$B$2,BASE[CODCIE102],GUIA_NACIONAL_2022_1106128105107111115129130131132133256[[#This Row],[CIE-10]]))</f>
        <v>0</v>
      </c>
      <c r="DK18" s="3">
        <f>IF($B$2="(Todas)",COUNTIF(BASE[CODCIE104],GUIA_NACIONAL_2022_1106128105107111115129130131132133256[[#This Row],[CIE-10]]),COUNTIFS(BASE[Cod.Establecimiento],$B$2,BASE[CODCIE104],GUIA_NACIONAL_2022_1106128105107111115129130131132133256[[#This Row],[CIE-10]]))</f>
        <v>0</v>
      </c>
      <c r="DL18" s="3">
        <f>IF($B$2="(Todas)",COUNTIF(BASE[CODCIE106],GUIA_NACIONAL_2022_1106128105107111115129130131132133256[[#This Row],[CIE-10]]),COUNTIFS(BASE[Cod.Establecimiento],$B$2,BASE[CODCIE106],GUIA_NACIONAL_2022_1106128105107111115129130131132133256[[#This Row],[CIE-10]]))</f>
        <v>0</v>
      </c>
      <c r="DM18" s="3">
        <f>IF($B$2="(Todas)",COUNTIF(BASE[CODCIE108],GUIA_NACIONAL_2022_1106128105107111115129130131132133256[[#This Row],[CIE-10]]),COUNTIFS(BASE[Cod.Establecimiento],$B$2,BASE[CODCIE108],GUIA_NACIONAL_2022_1106128105107111115129130131132133256[[#This Row],[CIE-10]]))</f>
        <v>0</v>
      </c>
      <c r="DN18" s="3">
        <f>IF($B$2="(Todas)",COUNTIF(BASE[CODCIE1010],GUIA_NACIONAL_2022_1106128105107111115129130131132133256[[#This Row],[CIE-10]]),COUNTIFS(BASE[Cod.Establecimiento],$B$2,BASE[CODCIE1010],GUIA_NACIONAL_2022_1106128105107111115129130131132133256[[#This Row],[CIE-10]]))</f>
        <v>0</v>
      </c>
      <c r="DO18" s="9">
        <f>SUM(GUIA_NACIONAL_2022_1106128105107111115129130131132133256[[#This Row],[D1]:[D6]])</f>
        <v>0</v>
      </c>
    </row>
    <row r="19" spans="1:119" ht="15" customHeight="1">
      <c r="A19" s="151"/>
      <c r="B19" s="151"/>
      <c r="D19" s="31" t="s">
        <v>300</v>
      </c>
      <c r="E19" s="3">
        <f>IF($B$2="(Todas)",COUNTIF(BASE[CODCIE10],GUIA_NACIONAL_2022_1106108[[#This Row],[CIE-10]]),COUNTIFS(BASE[Cod.Establecimiento],$B$2,BASE[CODCIE10],GUIA_NACIONAL_2022_1106108[[#This Row],[CIE-10]]))</f>
        <v>0</v>
      </c>
      <c r="F19" s="3">
        <f>IF($B$2="(Todas)",COUNTIF(BASE[CODCIE102],GUIA_NACIONAL_2022_1106108[[#This Row],[CIE-10]]),COUNTIFS(BASE[Cod.Establecimiento],$B$2,BASE[CODCIE102],GUIA_NACIONAL_2022_1106108[[#This Row],[CIE-10]]))</f>
        <v>0</v>
      </c>
      <c r="G19" s="3">
        <f>IF($B$2="(Todas)",COUNTIF(BASE[CODCIE104],GUIA_NACIONAL_2022_1106108[[#This Row],[CIE-10]]),COUNTIFS(BASE[Cod.Establecimiento],$B$2,BASE[CODCIE104],GUIA_NACIONAL_2022_1106108[[#This Row],[CIE-10]]))</f>
        <v>0</v>
      </c>
      <c r="H19" s="3">
        <f>IF($B$2="(Todas)",COUNTIF(BASE[CODCIE106],GUIA_NACIONAL_2022_1106108[[#This Row],[CIE-10]]),COUNTIFS(BASE[Cod.Establecimiento],$B$2,BASE[CODCIE106],GUIA_NACIONAL_2022_1106108[[#This Row],[CIE-10]]))</f>
        <v>0</v>
      </c>
      <c r="I19" s="3">
        <f>IF($B$2="(Todas)",COUNTIF(BASE[CODCIE108],GUIA_NACIONAL_2022_1106108[[#This Row],[CIE-10]]),COUNTIFS(BASE[Cod.Establecimiento],$B$2,BASE[CODCIE108],GUIA_NACIONAL_2022_1106108[[#This Row],[CIE-10]]))</f>
        <v>0</v>
      </c>
      <c r="J19" s="3">
        <f>IF($B$2="(Todas)",COUNTIF(BASE[CODCIE1010],GUIA_NACIONAL_2022_1106108[[#This Row],[CIE-10]]),COUNTIFS(BASE[Cod.Establecimiento],$B$2,BASE[CODCIE1010],GUIA_NACIONAL_2022_1106108[[#This Row],[CIE-10]]))</f>
        <v>0</v>
      </c>
      <c r="K19" s="9">
        <f>SUM(GUIA_NACIONAL_2022_1106108[[#This Row],[D1]:[D6]])</f>
        <v>0</v>
      </c>
      <c r="M19" s="4" t="s">
        <v>375</v>
      </c>
      <c r="N19" s="3">
        <f>IF($B$2="(Todas)",COUNTIF(BASE[CODCIE10],GUIA_NACIONAL_2022_1106127136137138[[#This Row],[CIE-10]]),COUNTIFS(BASE[Cod.Establecimiento],$B$2,BASE[CODCIE10],GUIA_NACIONAL_2022_1106127136137138[[#This Row],[CIE-10]]))</f>
        <v>0</v>
      </c>
      <c r="O19" s="3">
        <f>IF($B$2="(Todas)",COUNTIF(BASE[CODCIE102],GUIA_NACIONAL_2022_1106127136137138[[#This Row],[CIE-10]]),COUNTIFS(BASE[Cod.Establecimiento],$B$2,BASE[CODCIE102],GUIA_NACIONAL_2022_1106127136137138[[#This Row],[CIE-10]]))</f>
        <v>0</v>
      </c>
      <c r="P19" s="3">
        <f>IF($B$2="(Todas)",COUNTIF(BASE[CODCIE104],GUIA_NACIONAL_2022_1106127136137138[[#This Row],[CIE-10]]),COUNTIFS(BASE[Cod.Establecimiento],$B$2,BASE[CODCIE104],GUIA_NACIONAL_2022_1106127136137138[[#This Row],[CIE-10]]))</f>
        <v>0</v>
      </c>
      <c r="Q19" s="3">
        <f>IF($B$2="(Todas)",COUNTIF(BASE[CODCIE106],GUIA_NACIONAL_2022_1106127136137138[[#This Row],[CIE-10]]),COUNTIFS(BASE[Cod.Establecimiento],$B$2,BASE[CODCIE106],GUIA_NACIONAL_2022_1106127136137138[[#This Row],[CIE-10]]))</f>
        <v>0</v>
      </c>
      <c r="R19" s="3">
        <f>IF($B$2="(Todas)",COUNTIF(BASE[CODCIE108],GUIA_NACIONAL_2022_1106127136137138[[#This Row],[CIE-10]]),COUNTIFS(BASE[Cod.Establecimiento],$B$2,BASE[CODCIE108],GUIA_NACIONAL_2022_1106127136137138[[#This Row],[CIE-10]]))</f>
        <v>0</v>
      </c>
      <c r="S19" s="3">
        <f>IF($B$2="(Todas)",COUNTIF(BASE[CODCIE1010],GUIA_NACIONAL_2022_1106127136137138[[#This Row],[CIE-10]]),COUNTIFS(BASE[Cod.Establecimiento],$B$2,BASE[CODCIE1010],GUIA_NACIONAL_2022_1106127136137138[[#This Row],[CIE-10]]))</f>
        <v>0</v>
      </c>
      <c r="T19" s="9">
        <f>SUM(GUIA_NACIONAL_2022_1106127136137138[[#This Row],[D1]:[D6]])</f>
        <v>0</v>
      </c>
      <c r="V19" t="s">
        <v>77</v>
      </c>
      <c r="W19" s="3" t="s">
        <v>78</v>
      </c>
      <c r="X19" s="3" t="s">
        <v>79</v>
      </c>
      <c r="Y19" s="3" t="s">
        <v>80</v>
      </c>
      <c r="Z19" s="3" t="s">
        <v>81</v>
      </c>
      <c r="AA19" s="3" t="s">
        <v>82</v>
      </c>
      <c r="AB19" s="3" t="s">
        <v>83</v>
      </c>
      <c r="AC19" s="8" t="s">
        <v>84</v>
      </c>
      <c r="AE19" t="s">
        <v>77</v>
      </c>
      <c r="AF19" s="3" t="s">
        <v>78</v>
      </c>
      <c r="AG19" s="3" t="s">
        <v>79</v>
      </c>
      <c r="AH19" s="3" t="s">
        <v>80</v>
      </c>
      <c r="AI19" s="3" t="s">
        <v>81</v>
      </c>
      <c r="AJ19" s="3" t="s">
        <v>82</v>
      </c>
      <c r="AK19" s="3" t="s">
        <v>83</v>
      </c>
      <c r="AL19" s="8" t="s">
        <v>84</v>
      </c>
      <c r="AN19" s="159" t="s">
        <v>540</v>
      </c>
      <c r="AO19" s="159"/>
      <c r="AP19" s="159"/>
      <c r="AQ19" s="159"/>
      <c r="AR19" s="159"/>
      <c r="AS19" s="159"/>
      <c r="AT19" s="159"/>
      <c r="AU19" s="159"/>
      <c r="AW19" s="159" t="s">
        <v>630</v>
      </c>
      <c r="AX19" s="159"/>
      <c r="AY19" s="159"/>
      <c r="AZ19" s="159"/>
      <c r="BA19" s="159"/>
      <c r="BB19" s="159"/>
      <c r="BC19" s="159"/>
      <c r="BD19" s="159"/>
      <c r="BF19" s="159" t="s">
        <v>639</v>
      </c>
      <c r="BG19" s="159"/>
      <c r="BH19" s="159"/>
      <c r="BI19" s="159"/>
      <c r="BJ19" s="159"/>
      <c r="BK19" s="159"/>
      <c r="BL19" s="159"/>
      <c r="BM19" s="159"/>
      <c r="BO19" s="4" t="s">
        <v>308</v>
      </c>
      <c r="BP19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19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19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19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19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19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19" s="9">
        <f>SUM(GUIA_NACIONAL_2022_1106128105107110207210231232234[[#This Row],[D1]:[D6]])</f>
        <v>0</v>
      </c>
      <c r="CG19" s="4" t="s">
        <v>712</v>
      </c>
      <c r="CH19" s="3">
        <f>IF($B$2="(Todas)",COUNTIF(BASE[CODCIE10],GUIA_NACIONAL_2022_1106128105107111115129130[[#This Row],[CIE-10]]),COUNTIFS(BASE[Cod.Establecimiento],$B$2,BASE[CODCIE10],GUIA_NACIONAL_2022_1106128105107111115129130[[#This Row],[CIE-10]]))</f>
        <v>0</v>
      </c>
      <c r="CI19" s="3">
        <f>IF($B$2="(Todas)",COUNTIF(BASE[CODCIE102],GUIA_NACIONAL_2022_1106128105107111115129130[[#This Row],[CIE-10]]),COUNTIFS(BASE[Cod.Establecimiento],$B$2,BASE[CODCIE102],GUIA_NACIONAL_2022_1106128105107111115129130[[#This Row],[CIE-10]]))</f>
        <v>0</v>
      </c>
      <c r="CJ19" s="3">
        <f>IF($B$2="(Todas)",COUNTIF(BASE[CODCIE104],GUIA_NACIONAL_2022_1106128105107111115129130[[#This Row],[CIE-10]]),COUNTIFS(BASE[Cod.Establecimiento],$B$2,BASE[CODCIE104],GUIA_NACIONAL_2022_1106128105107111115129130[[#This Row],[CIE-10]]))</f>
        <v>0</v>
      </c>
      <c r="CK19" s="3">
        <f>IF($B$2="(Todas)",COUNTIF(BASE[CODCIE106],GUIA_NACIONAL_2022_1106128105107111115129130[[#This Row],[CIE-10]]),COUNTIFS(BASE[Cod.Establecimiento],$B$2,BASE[CODCIE106],GUIA_NACIONAL_2022_1106128105107111115129130[[#This Row],[CIE-10]]))</f>
        <v>0</v>
      </c>
      <c r="CL19" s="3">
        <f>IF($B$2="(Todas)",COUNTIF(BASE[CODCIE108],GUIA_NACIONAL_2022_1106128105107111115129130[[#This Row],[CIE-10]]),COUNTIFS(BASE[Cod.Establecimiento],$B$2,BASE[CODCIE108],GUIA_NACIONAL_2022_1106128105107111115129130[[#This Row],[CIE-10]]))</f>
        <v>0</v>
      </c>
      <c r="CM19" s="3">
        <f>IF($B$2="(Todas)",COUNTIF(BASE[CODCIE1010],GUIA_NACIONAL_2022_1106128105107111115129130[[#This Row],[CIE-10]]),COUNTIFS(BASE[Cod.Establecimiento],$B$2,BASE[CODCIE1010],GUIA_NACIONAL_2022_1106128105107111115129130[[#This Row],[CIE-10]]))</f>
        <v>0</v>
      </c>
      <c r="CN19" s="9">
        <f>SUM(GUIA_NACIONAL_2022_1106128105107111115129130[[#This Row],[D1]:[D6]])</f>
        <v>0</v>
      </c>
      <c r="DH19" s="158" t="s">
        <v>758</v>
      </c>
      <c r="DI19" s="159"/>
      <c r="DJ19" s="159"/>
      <c r="DK19" s="159"/>
      <c r="DL19" s="159"/>
      <c r="DM19" s="159"/>
      <c r="DN19" s="159"/>
      <c r="DO19" s="159"/>
    </row>
    <row r="20" spans="1:119" ht="15" customHeight="1">
      <c r="A20" s="151"/>
      <c r="B20" s="151"/>
      <c r="D20" s="31" t="s">
        <v>301</v>
      </c>
      <c r="E20" s="3">
        <f>IF($B$2="(Todas)",COUNTIF(BASE[CODCIE10],GUIA_NACIONAL_2022_1106108[[#This Row],[CIE-10]]),COUNTIFS(BASE[Cod.Establecimiento],$B$2,BASE[CODCIE10],GUIA_NACIONAL_2022_1106108[[#This Row],[CIE-10]]))</f>
        <v>0</v>
      </c>
      <c r="F20" s="3">
        <f>IF($B$2="(Todas)",COUNTIF(BASE[CODCIE102],GUIA_NACIONAL_2022_1106108[[#This Row],[CIE-10]]),COUNTIFS(BASE[Cod.Establecimiento],$B$2,BASE[CODCIE102],GUIA_NACIONAL_2022_1106108[[#This Row],[CIE-10]]))</f>
        <v>0</v>
      </c>
      <c r="G20" s="3">
        <f>IF($B$2="(Todas)",COUNTIF(BASE[CODCIE104],GUIA_NACIONAL_2022_1106108[[#This Row],[CIE-10]]),COUNTIFS(BASE[Cod.Establecimiento],$B$2,BASE[CODCIE104],GUIA_NACIONAL_2022_1106108[[#This Row],[CIE-10]]))</f>
        <v>0</v>
      </c>
      <c r="H20" s="3">
        <f>IF($B$2="(Todas)",COUNTIF(BASE[CODCIE106],GUIA_NACIONAL_2022_1106108[[#This Row],[CIE-10]]),COUNTIFS(BASE[Cod.Establecimiento],$B$2,BASE[CODCIE106],GUIA_NACIONAL_2022_1106108[[#This Row],[CIE-10]]))</f>
        <v>0</v>
      </c>
      <c r="I20" s="3">
        <f>IF($B$2="(Todas)",COUNTIF(BASE[CODCIE108],GUIA_NACIONAL_2022_1106108[[#This Row],[CIE-10]]),COUNTIFS(BASE[Cod.Establecimiento],$B$2,BASE[CODCIE108],GUIA_NACIONAL_2022_1106108[[#This Row],[CIE-10]]))</f>
        <v>0</v>
      </c>
      <c r="J20" s="3">
        <f>IF($B$2="(Todas)",COUNTIF(BASE[CODCIE1010],GUIA_NACIONAL_2022_1106108[[#This Row],[CIE-10]]),COUNTIFS(BASE[Cod.Establecimiento],$B$2,BASE[CODCIE1010],GUIA_NACIONAL_2022_1106108[[#This Row],[CIE-10]]))</f>
        <v>0</v>
      </c>
      <c r="K20" s="9">
        <f>SUM(GUIA_NACIONAL_2022_1106108[[#This Row],[D1]:[D6]])</f>
        <v>0</v>
      </c>
      <c r="M20" s="158" t="s">
        <v>503</v>
      </c>
      <c r="N20" s="159"/>
      <c r="O20" s="159"/>
      <c r="P20" s="159"/>
      <c r="Q20" s="159"/>
      <c r="R20" s="159"/>
      <c r="S20" s="159"/>
      <c r="T20" s="159"/>
      <c r="V20" s="4" t="s">
        <v>289</v>
      </c>
      <c r="W20" s="3">
        <f>IF($B$2="(Todas)",COUNTIF(BASE[CODCIE10],GUIA_NACIONAL_2022_1106128143146147[[#This Row],[CIE-10]]),COUNTIFS(BASE[Cod.Establecimiento],$B$2,BASE[CODCIE10],GUIA_NACIONAL_2022_1106128143146147[[#This Row],[CIE-10]]))</f>
        <v>0</v>
      </c>
      <c r="X20" s="3">
        <f>IF($B$2="(Todas)",COUNTIF(BASE[CODCIE102],GUIA_NACIONAL_2022_1106128143146147[[#This Row],[CIE-10]]),COUNTIFS(BASE[Cod.Establecimiento],$B$2,BASE[CODCIE102],GUIA_NACIONAL_2022_1106128143146147[[#This Row],[CIE-10]]))</f>
        <v>0</v>
      </c>
      <c r="Y20" s="3">
        <f>IF($B$2="(Todas)",COUNTIF(BASE[CODCIE104],GUIA_NACIONAL_2022_1106128143146147[[#This Row],[CIE-10]]),COUNTIFS(BASE[Cod.Establecimiento],$B$2,BASE[CODCIE104],GUIA_NACIONAL_2022_1106128143146147[[#This Row],[CIE-10]]))</f>
        <v>0</v>
      </c>
      <c r="Z20" s="3">
        <f>IF($B$2="(Todas)",COUNTIF(BASE[CODCIE106],GUIA_NACIONAL_2022_1106128143146147[[#This Row],[CIE-10]]),COUNTIFS(BASE[Cod.Establecimiento],$B$2,BASE[CODCIE106],GUIA_NACIONAL_2022_1106128143146147[[#This Row],[CIE-10]]))</f>
        <v>0</v>
      </c>
      <c r="AA20" s="3">
        <f>IF($B$2="(Todas)",COUNTIF(BASE[CODCIE108],GUIA_NACIONAL_2022_1106128143146147[[#This Row],[CIE-10]]),COUNTIFS(BASE[Cod.Establecimiento],$B$2,BASE[CODCIE108],GUIA_NACIONAL_2022_1106128143146147[[#This Row],[CIE-10]]))</f>
        <v>0</v>
      </c>
      <c r="AB20" s="3">
        <f>IF($B$2="(Todas)",COUNTIF(BASE[CODCIE1010],GUIA_NACIONAL_2022_1106128143146147[[#This Row],[CIE-10]]),COUNTIFS(BASE[Cod.Establecimiento],$B$2,BASE[CODCIE1010],GUIA_NACIONAL_2022_1106128143146147[[#This Row],[CIE-10]]))</f>
        <v>0</v>
      </c>
      <c r="AC20" s="9">
        <f>SUM(GUIA_NACIONAL_2022_1106128143146147[[#This Row],[D1]:[D6]])</f>
        <v>0</v>
      </c>
      <c r="AE20" s="4" t="s">
        <v>549</v>
      </c>
      <c r="AF20" s="3">
        <f>IF($B$2="(Todas)",COUNTIF(BASE[CODCIE10],GUIA_NACIONAL_2022_1106128105168169170[[#This Row],[CIE-10]]),COUNTIFS(BASE[Cod.Establecimiento],$B$2,BASE[CODCIE10],GUIA_NACIONAL_2022_1106128105168169170[[#This Row],[CIE-10]]))</f>
        <v>0</v>
      </c>
      <c r="AG20" s="3">
        <f>IF($B$2="(Todas)",COUNTIF(BASE[CODCIE102],GUIA_NACIONAL_2022_1106128105168169170[[#This Row],[CIE-10]]),COUNTIFS(BASE[Cod.Establecimiento],$B$2,BASE[CODCIE102],GUIA_NACIONAL_2022_1106128105168169170[[#This Row],[CIE-10]]))</f>
        <v>0</v>
      </c>
      <c r="AH20" s="3">
        <f>IF($B$2="(Todas)",COUNTIF(BASE[CODCIE104],GUIA_NACIONAL_2022_1106128105168169170[[#This Row],[CIE-10]]),COUNTIFS(BASE[Cod.Establecimiento],$B$2,BASE[CODCIE104],GUIA_NACIONAL_2022_1106128105168169170[[#This Row],[CIE-10]]))</f>
        <v>0</v>
      </c>
      <c r="AI20" s="3">
        <f>IF($B$2="(Todas)",COUNTIF(BASE[CODCIE106],GUIA_NACIONAL_2022_1106128105168169170[[#This Row],[CIE-10]]),COUNTIFS(BASE[Cod.Establecimiento],$B$2,BASE[CODCIE106],GUIA_NACIONAL_2022_1106128105168169170[[#This Row],[CIE-10]]))</f>
        <v>0</v>
      </c>
      <c r="AJ20" s="3">
        <f>IF($B$2="(Todas)",COUNTIF(BASE[CODCIE108],GUIA_NACIONAL_2022_1106128105168169170[[#This Row],[CIE-10]]),COUNTIFS(BASE[Cod.Establecimiento],$B$2,BASE[CODCIE108],GUIA_NACIONAL_2022_1106128105168169170[[#This Row],[CIE-10]]))</f>
        <v>0</v>
      </c>
      <c r="AK20" s="3">
        <f>IF($B$2="(Todas)",COUNTIF(BASE[CODCIE1010],GUIA_NACIONAL_2022_1106128105168169170[[#This Row],[CIE-10]]),COUNTIFS(BASE[Cod.Establecimiento],$B$2,BASE[CODCIE1010],GUIA_NACIONAL_2022_1106128105168169170[[#This Row],[CIE-10]]))</f>
        <v>0</v>
      </c>
      <c r="AL20" s="9">
        <f>SUM(GUIA_NACIONAL_2022_1106128105168169170[[#This Row],[D1]:[D6]])</f>
        <v>0</v>
      </c>
      <c r="AN20" t="s">
        <v>77</v>
      </c>
      <c r="AO20" s="3" t="s">
        <v>78</v>
      </c>
      <c r="AP20" s="3" t="s">
        <v>79</v>
      </c>
      <c r="AQ20" s="3" t="s">
        <v>80</v>
      </c>
      <c r="AR20" s="3" t="s">
        <v>81</v>
      </c>
      <c r="AS20" s="3" t="s">
        <v>82</v>
      </c>
      <c r="AT20" s="3" t="s">
        <v>83</v>
      </c>
      <c r="AU20" s="8" t="s">
        <v>84</v>
      </c>
      <c r="AW20" t="s">
        <v>77</v>
      </c>
      <c r="AX20" s="3" t="s">
        <v>78</v>
      </c>
      <c r="AY20" s="3" t="s">
        <v>79</v>
      </c>
      <c r="AZ20" s="3" t="s">
        <v>80</v>
      </c>
      <c r="BA20" s="3" t="s">
        <v>81</v>
      </c>
      <c r="BB20" s="3" t="s">
        <v>82</v>
      </c>
      <c r="BC20" s="3" t="s">
        <v>83</v>
      </c>
      <c r="BD20" s="8" t="s">
        <v>84</v>
      </c>
      <c r="BF20" t="s">
        <v>77</v>
      </c>
      <c r="BG20" s="3" t="s">
        <v>78</v>
      </c>
      <c r="BH20" s="3" t="s">
        <v>79</v>
      </c>
      <c r="BI20" s="3" t="s">
        <v>80</v>
      </c>
      <c r="BJ20" s="3" t="s">
        <v>81</v>
      </c>
      <c r="BK20" s="3" t="s">
        <v>82</v>
      </c>
      <c r="BL20" s="3" t="s">
        <v>83</v>
      </c>
      <c r="BM20" s="8" t="s">
        <v>84</v>
      </c>
      <c r="BO20" s="4" t="s">
        <v>245</v>
      </c>
      <c r="BP20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0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0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0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0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0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0" s="9">
        <f>SUM(GUIA_NACIONAL_2022_1106128105107110207210231232234[[#This Row],[D1]:[D6]])</f>
        <v>0</v>
      </c>
      <c r="CG20" s="155" t="s">
        <v>714</v>
      </c>
      <c r="CH20" s="156"/>
      <c r="CI20" s="156"/>
      <c r="CJ20" s="156"/>
      <c r="CK20" s="156"/>
      <c r="CL20" s="156"/>
      <c r="CM20" s="156"/>
      <c r="CN20" s="157"/>
      <c r="DH20" t="s">
        <v>77</v>
      </c>
      <c r="DI20" s="3" t="s">
        <v>78</v>
      </c>
      <c r="DJ20" s="3" t="s">
        <v>79</v>
      </c>
      <c r="DK20" s="3" t="s">
        <v>80</v>
      </c>
      <c r="DL20" s="3" t="s">
        <v>81</v>
      </c>
      <c r="DM20" s="3" t="s">
        <v>82</v>
      </c>
      <c r="DN20" s="3" t="s">
        <v>83</v>
      </c>
      <c r="DO20" s="8" t="s">
        <v>84</v>
      </c>
    </row>
    <row r="21" spans="1:119" ht="15" customHeight="1">
      <c r="A21" s="151"/>
      <c r="B21" s="151"/>
      <c r="D21" s="31" t="s">
        <v>302</v>
      </c>
      <c r="E21" s="3">
        <f>IF($B$2="(Todas)",COUNTIF(BASE[CODCIE10],GUIA_NACIONAL_2022_1106108[[#This Row],[CIE-10]]),COUNTIFS(BASE[Cod.Establecimiento],$B$2,BASE[CODCIE10],GUIA_NACIONAL_2022_1106108[[#This Row],[CIE-10]]))</f>
        <v>0</v>
      </c>
      <c r="F21" s="3">
        <f>IF($B$2="(Todas)",COUNTIF(BASE[CODCIE102],GUIA_NACIONAL_2022_1106108[[#This Row],[CIE-10]]),COUNTIFS(BASE[Cod.Establecimiento],$B$2,BASE[CODCIE102],GUIA_NACIONAL_2022_1106108[[#This Row],[CIE-10]]))</f>
        <v>0</v>
      </c>
      <c r="G21" s="3">
        <f>IF($B$2="(Todas)",COUNTIF(BASE[CODCIE104],GUIA_NACIONAL_2022_1106108[[#This Row],[CIE-10]]),COUNTIFS(BASE[Cod.Establecimiento],$B$2,BASE[CODCIE104],GUIA_NACIONAL_2022_1106108[[#This Row],[CIE-10]]))</f>
        <v>0</v>
      </c>
      <c r="H21" s="3">
        <f>IF($B$2="(Todas)",COUNTIF(BASE[CODCIE106],GUIA_NACIONAL_2022_1106108[[#This Row],[CIE-10]]),COUNTIFS(BASE[Cod.Establecimiento],$B$2,BASE[CODCIE106],GUIA_NACIONAL_2022_1106108[[#This Row],[CIE-10]]))</f>
        <v>0</v>
      </c>
      <c r="I21" s="3">
        <f>IF($B$2="(Todas)",COUNTIF(BASE[CODCIE108],GUIA_NACIONAL_2022_1106108[[#This Row],[CIE-10]]),COUNTIFS(BASE[Cod.Establecimiento],$B$2,BASE[CODCIE108],GUIA_NACIONAL_2022_1106108[[#This Row],[CIE-10]]))</f>
        <v>0</v>
      </c>
      <c r="J21" s="3">
        <f>IF($B$2="(Todas)",COUNTIF(BASE[CODCIE1010],GUIA_NACIONAL_2022_1106108[[#This Row],[CIE-10]]),COUNTIFS(BASE[Cod.Establecimiento],$B$2,BASE[CODCIE1010],GUIA_NACIONAL_2022_1106108[[#This Row],[CIE-10]]))</f>
        <v>0</v>
      </c>
      <c r="K21" s="9">
        <f>SUM(GUIA_NACIONAL_2022_1106108[[#This Row],[D1]:[D6]])</f>
        <v>0</v>
      </c>
      <c r="M21" t="s">
        <v>77</v>
      </c>
      <c r="N21" s="3" t="s">
        <v>78</v>
      </c>
      <c r="O21" s="3" t="s">
        <v>79</v>
      </c>
      <c r="P21" s="3" t="s">
        <v>80</v>
      </c>
      <c r="Q21" s="3" t="s">
        <v>81</v>
      </c>
      <c r="R21" s="3" t="s">
        <v>82</v>
      </c>
      <c r="S21" s="3" t="s">
        <v>83</v>
      </c>
      <c r="T21" s="8" t="s">
        <v>84</v>
      </c>
      <c r="V21" s="31" t="s">
        <v>290</v>
      </c>
      <c r="W21" s="3">
        <f>IF($B$2="(Todas)",COUNTIF(BASE[CODCIE10],GUIA_NACIONAL_2022_1106128143146147[[#This Row],[CIE-10]]),COUNTIFS(BASE[Cod.Establecimiento],$B$2,BASE[CODCIE10],GUIA_NACIONAL_2022_1106128143146147[[#This Row],[CIE-10]]))</f>
        <v>0</v>
      </c>
      <c r="X21" s="3">
        <f>IF($B$2="(Todas)",COUNTIF(BASE[CODCIE102],GUIA_NACIONAL_2022_1106128143146147[[#This Row],[CIE-10]]),COUNTIFS(BASE[Cod.Establecimiento],$B$2,BASE[CODCIE102],GUIA_NACIONAL_2022_1106128143146147[[#This Row],[CIE-10]]))</f>
        <v>0</v>
      </c>
      <c r="Y21" s="3">
        <f>IF($B$2="(Todas)",COUNTIF(BASE[CODCIE104],GUIA_NACIONAL_2022_1106128143146147[[#This Row],[CIE-10]]),COUNTIFS(BASE[Cod.Establecimiento],$B$2,BASE[CODCIE104],GUIA_NACIONAL_2022_1106128143146147[[#This Row],[CIE-10]]))</f>
        <v>0</v>
      </c>
      <c r="Z21" s="3">
        <f>IF($B$2="(Todas)",COUNTIF(BASE[CODCIE106],GUIA_NACIONAL_2022_1106128143146147[[#This Row],[CIE-10]]),COUNTIFS(BASE[Cod.Establecimiento],$B$2,BASE[CODCIE106],GUIA_NACIONAL_2022_1106128143146147[[#This Row],[CIE-10]]))</f>
        <v>0</v>
      </c>
      <c r="AA21" s="3">
        <f>IF($B$2="(Todas)",COUNTIF(BASE[CODCIE108],GUIA_NACIONAL_2022_1106128143146147[[#This Row],[CIE-10]]),COUNTIFS(BASE[Cod.Establecimiento],$B$2,BASE[CODCIE108],GUIA_NACIONAL_2022_1106128143146147[[#This Row],[CIE-10]]))</f>
        <v>0</v>
      </c>
      <c r="AB21" s="3">
        <f>IF($B$2="(Todas)",COUNTIF(BASE[CODCIE1010],GUIA_NACIONAL_2022_1106128143146147[[#This Row],[CIE-10]]),COUNTIFS(BASE[Cod.Establecimiento],$B$2,BASE[CODCIE1010],GUIA_NACIONAL_2022_1106128143146147[[#This Row],[CIE-10]]))</f>
        <v>0</v>
      </c>
      <c r="AC21" s="9">
        <f>SUM(GUIA_NACIONAL_2022_1106128143146147[[#This Row],[D1]:[D6]])</f>
        <v>0</v>
      </c>
      <c r="AE21" s="159" t="s">
        <v>550</v>
      </c>
      <c r="AF21" s="159"/>
      <c r="AG21" s="159"/>
      <c r="AH21" s="159"/>
      <c r="AI21" s="159"/>
      <c r="AJ21" s="159"/>
      <c r="AK21" s="159"/>
      <c r="AL21" s="159"/>
      <c r="AN21" s="4" t="s">
        <v>541</v>
      </c>
      <c r="AO21" s="3">
        <f>IF($B$2="(Todas)",COUNTIF(BASE[CODCIE10],GUIA_NACIONAL_2022_1106128105168162197[[#This Row],[CIE-10]]),COUNTIFS(BASE[Cod.Establecimiento],$B$2,BASE[CODCIE10],GUIA_NACIONAL_2022_1106128105168162197[[#This Row],[CIE-10]]))</f>
        <v>0</v>
      </c>
      <c r="AP21" s="3">
        <f>IF($B$2="(Todas)",COUNTIF(BASE[CODCIE102],GUIA_NACIONAL_2022_1106128105168162197[[#This Row],[CIE-10]]),COUNTIFS(BASE[Cod.Establecimiento],$B$2,BASE[CODCIE102],GUIA_NACIONAL_2022_1106128105168162197[[#This Row],[CIE-10]]))</f>
        <v>0</v>
      </c>
      <c r="AQ21" s="3">
        <f>IF($B$2="(Todas)",COUNTIF(BASE[CODCIE104],GUIA_NACIONAL_2022_1106128105168162197[[#This Row],[CIE-10]]),COUNTIFS(BASE[Cod.Establecimiento],$B$2,BASE[CODCIE104],GUIA_NACIONAL_2022_1106128105168162197[[#This Row],[CIE-10]]))</f>
        <v>0</v>
      </c>
      <c r="AR21" s="3">
        <f>IF($B$2="(Todas)",COUNTIF(BASE[CODCIE106],GUIA_NACIONAL_2022_1106128105168162197[[#This Row],[CIE-10]]),COUNTIFS(BASE[Cod.Establecimiento],$B$2,BASE[CODCIE106],GUIA_NACIONAL_2022_1106128105168162197[[#This Row],[CIE-10]]))</f>
        <v>0</v>
      </c>
      <c r="AS21" s="3">
        <f>IF($B$2="(Todas)",COUNTIF(BASE[CODCIE108],GUIA_NACIONAL_2022_1106128105168162197[[#This Row],[CIE-10]]),COUNTIFS(BASE[Cod.Establecimiento],$B$2,BASE[CODCIE108],GUIA_NACIONAL_2022_1106128105168162197[[#This Row],[CIE-10]]))</f>
        <v>0</v>
      </c>
      <c r="AT21" s="3">
        <f>IF($B$2="(Todas)",COUNTIF(BASE[CODCIE1010],GUIA_NACIONAL_2022_1106128105168162197[[#This Row],[CIE-10]]),COUNTIFS(BASE[Cod.Establecimiento],$B$2,BASE[CODCIE1010],GUIA_NACIONAL_2022_1106128105168162197[[#This Row],[CIE-10]]))</f>
        <v>0</v>
      </c>
      <c r="AU21" s="9">
        <f>SUM(GUIA_NACIONAL_2022_1106128105168162197[[#This Row],[D1]:[D6]])</f>
        <v>0</v>
      </c>
      <c r="AW21" s="4" t="s">
        <v>631</v>
      </c>
      <c r="AX21" s="3">
        <f>IF($B$2="(Todas)",COUNTIF(BASE[CODCIE10],GUIA_NACIONAL_2022_1106128105107110207209[[#This Row],[CIE-10]]),COUNTIFS(BASE[Cod.Establecimiento],$B$2,BASE[CODCIE10],GUIA_NACIONAL_2022_1106128105107110207209[[#This Row],[CIE-10]]))</f>
        <v>0</v>
      </c>
      <c r="AY21" s="3">
        <f>IF($B$2="(Todas)",COUNTIF(BASE[CODCIE102],GUIA_NACIONAL_2022_1106128105107110207209[[#This Row],[CIE-10]]),COUNTIFS(BASE[Cod.Establecimiento],$B$2,BASE[CODCIE102],GUIA_NACIONAL_2022_1106128105107110207209[[#This Row],[CIE-10]]))</f>
        <v>0</v>
      </c>
      <c r="AZ21" s="3">
        <f>IF($B$2="(Todas)",COUNTIF(BASE[CODCIE104],GUIA_NACIONAL_2022_1106128105107110207209[[#This Row],[CIE-10]]),COUNTIFS(BASE[Cod.Establecimiento],$B$2,BASE[CODCIE104],GUIA_NACIONAL_2022_1106128105107110207209[[#This Row],[CIE-10]]))</f>
        <v>0</v>
      </c>
      <c r="BA21" s="3">
        <f>IF($B$2="(Todas)",COUNTIF(BASE[CODCIE106],GUIA_NACIONAL_2022_1106128105107110207209[[#This Row],[CIE-10]]),COUNTIFS(BASE[Cod.Establecimiento],$B$2,BASE[CODCIE106],GUIA_NACIONAL_2022_1106128105107110207209[[#This Row],[CIE-10]]))</f>
        <v>0</v>
      </c>
      <c r="BB21" s="3">
        <f>IF($B$2="(Todas)",COUNTIF(BASE[CODCIE108],GUIA_NACIONAL_2022_1106128105107110207209[[#This Row],[CIE-10]]),COUNTIFS(BASE[Cod.Establecimiento],$B$2,BASE[CODCIE108],GUIA_NACIONAL_2022_1106128105107110207209[[#This Row],[CIE-10]]))</f>
        <v>0</v>
      </c>
      <c r="BC21" s="3">
        <f>IF($B$2="(Todas)",COUNTIF(BASE[CODCIE1010],GUIA_NACIONAL_2022_1106128105107110207209[[#This Row],[CIE-10]]),COUNTIFS(BASE[Cod.Establecimiento],$B$2,BASE[CODCIE1010],GUIA_NACIONAL_2022_1106128105107110207209[[#This Row],[CIE-10]]))</f>
        <v>0</v>
      </c>
      <c r="BD21" s="9">
        <f>SUM(GUIA_NACIONAL_2022_1106128105107110207209[[#This Row],[D1]:[D6]])</f>
        <v>0</v>
      </c>
      <c r="BF21" s="4" t="s">
        <v>640</v>
      </c>
      <c r="BG21" s="3">
        <f>IF($B$2="(Todas)",COUNTIF(BASE[CODCIE10],GUIA_NACIONAL_2022_1106128105107110207214215[[#This Row],[CIE-10]]),COUNTIFS(BASE[Cod.Establecimiento],$B$2,BASE[CODCIE10],GUIA_NACIONAL_2022_1106128105107110207214215[[#This Row],[CIE-10]]))</f>
        <v>0</v>
      </c>
      <c r="BH21" s="3">
        <f>IF($B$2="(Todas)",COUNTIF(BASE[CODCIE102],GUIA_NACIONAL_2022_1106128105107110207214215[[#This Row],[CIE-10]]),COUNTIFS(BASE[Cod.Establecimiento],$B$2,BASE[CODCIE102],GUIA_NACIONAL_2022_1106128105107110207214215[[#This Row],[CIE-10]]))</f>
        <v>0</v>
      </c>
      <c r="BI21" s="3">
        <f>IF($B$2="(Todas)",COUNTIF(BASE[CODCIE104],GUIA_NACIONAL_2022_1106128105107110207214215[[#This Row],[CIE-10]]),COUNTIFS(BASE[Cod.Establecimiento],$B$2,BASE[CODCIE104],GUIA_NACIONAL_2022_1106128105107110207214215[[#This Row],[CIE-10]]))</f>
        <v>0</v>
      </c>
      <c r="BJ21" s="3">
        <f>IF($B$2="(Todas)",COUNTIF(BASE[CODCIE106],GUIA_NACIONAL_2022_1106128105107110207214215[[#This Row],[CIE-10]]),COUNTIFS(BASE[Cod.Establecimiento],$B$2,BASE[CODCIE106],GUIA_NACIONAL_2022_1106128105107110207214215[[#This Row],[CIE-10]]))</f>
        <v>0</v>
      </c>
      <c r="BK21" s="3">
        <f>IF($B$2="(Todas)",COUNTIF(BASE[CODCIE108],GUIA_NACIONAL_2022_1106128105107110207214215[[#This Row],[CIE-10]]),COUNTIFS(BASE[Cod.Establecimiento],$B$2,BASE[CODCIE108],GUIA_NACIONAL_2022_1106128105107110207214215[[#This Row],[CIE-10]]))</f>
        <v>0</v>
      </c>
      <c r="BL21" s="3">
        <f>IF($B$2="(Todas)",COUNTIF(BASE[CODCIE1010],GUIA_NACIONAL_2022_1106128105107110207214215[[#This Row],[CIE-10]]),COUNTIFS(BASE[Cod.Establecimiento],$B$2,BASE[CODCIE1010],GUIA_NACIONAL_2022_1106128105107110207214215[[#This Row],[CIE-10]]))</f>
        <v>0</v>
      </c>
      <c r="BM21" s="9">
        <f>SUM(GUIA_NACIONAL_2022_1106128105107110207214215[[#This Row],[D1]:[D6]])</f>
        <v>0</v>
      </c>
      <c r="BO21" s="4" t="s">
        <v>317</v>
      </c>
      <c r="BP21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1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1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1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1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1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1" s="9">
        <f>SUM(GUIA_NACIONAL_2022_1106128105107110207210231232234[[#This Row],[D1]:[D6]])</f>
        <v>0</v>
      </c>
      <c r="CG21" t="s">
        <v>77</v>
      </c>
      <c r="CH21" s="3" t="s">
        <v>78</v>
      </c>
      <c r="CI21" s="3" t="s">
        <v>79</v>
      </c>
      <c r="CJ21" s="3" t="s">
        <v>80</v>
      </c>
      <c r="CK21" s="3" t="s">
        <v>81</v>
      </c>
      <c r="CL21" s="3" t="s">
        <v>82</v>
      </c>
      <c r="CM21" s="3" t="s">
        <v>83</v>
      </c>
      <c r="CN21" s="8" t="s">
        <v>84</v>
      </c>
      <c r="DH21" s="4" t="s">
        <v>759</v>
      </c>
      <c r="DI21" s="3">
        <f>IF($B$2="(Todas)",COUNTIF(BASE[CODCIE10],GUIA_NACIONAL_2022_1106128105107110207210231257[[#This Row],[CIE-10]]),COUNTIFS(BASE[Cod.Establecimiento],$B$2,BASE[CODCIE10],GUIA_NACIONAL_2022_1106128105107110207210231257[[#This Row],[CIE-10]]))</f>
        <v>0</v>
      </c>
      <c r="DJ21" s="3">
        <f>IF($B$2="(Todas)",COUNTIF(BASE[CODCIE102],GUIA_NACIONAL_2022_1106128105107110207210231257[[#This Row],[CIE-10]]),COUNTIFS(BASE[Cod.Establecimiento],$B$2,BASE[CODCIE102],GUIA_NACIONAL_2022_1106128105107110207210231257[[#This Row],[CIE-10]]))</f>
        <v>0</v>
      </c>
      <c r="DK21" s="3">
        <f>IF($B$2="(Todas)",COUNTIF(BASE[CODCIE104],GUIA_NACIONAL_2022_1106128105107110207210231257[[#This Row],[CIE-10]]),COUNTIFS(BASE[Cod.Establecimiento],$B$2,BASE[CODCIE104],GUIA_NACIONAL_2022_1106128105107110207210231257[[#This Row],[CIE-10]]))</f>
        <v>0</v>
      </c>
      <c r="DL21" s="3">
        <f>IF($B$2="(Todas)",COUNTIF(BASE[CODCIE106],GUIA_NACIONAL_2022_1106128105107110207210231257[[#This Row],[CIE-10]]),COUNTIFS(BASE[Cod.Establecimiento],$B$2,BASE[CODCIE106],GUIA_NACIONAL_2022_1106128105107110207210231257[[#This Row],[CIE-10]]))</f>
        <v>0</v>
      </c>
      <c r="DM21" s="3">
        <f>IF($B$2="(Todas)",COUNTIF(BASE[CODCIE108],GUIA_NACIONAL_2022_1106128105107110207210231257[[#This Row],[CIE-10]]),COUNTIFS(BASE[Cod.Establecimiento],$B$2,BASE[CODCIE108],GUIA_NACIONAL_2022_1106128105107110207210231257[[#This Row],[CIE-10]]))</f>
        <v>0</v>
      </c>
      <c r="DN21" s="3">
        <f>IF($B$2="(Todas)",COUNTIF(BASE[CODCIE1010],GUIA_NACIONAL_2022_1106128105107110207210231257[[#This Row],[CIE-10]]),COUNTIFS(BASE[Cod.Establecimiento],$B$2,BASE[CODCIE1010],GUIA_NACIONAL_2022_1106128105107110207210231257[[#This Row],[CIE-10]]))</f>
        <v>0</v>
      </c>
      <c r="DO21" s="9">
        <f>SUM(GUIA_NACIONAL_2022_1106128105107110207210231257[[#This Row],[D1]:[D6]])</f>
        <v>0</v>
      </c>
    </row>
    <row r="22" spans="1:119" ht="15" customHeight="1">
      <c r="A22" s="151"/>
      <c r="B22" s="151"/>
      <c r="D22" s="31" t="s">
        <v>303</v>
      </c>
      <c r="E22" s="3">
        <f>IF($B$2="(Todas)",COUNTIF(BASE[CODCIE10],GUIA_NACIONAL_2022_1106108[[#This Row],[CIE-10]]),COUNTIFS(BASE[Cod.Establecimiento],$B$2,BASE[CODCIE10],GUIA_NACIONAL_2022_1106108[[#This Row],[CIE-10]]))</f>
        <v>0</v>
      </c>
      <c r="F22" s="3">
        <f>IF($B$2="(Todas)",COUNTIF(BASE[CODCIE102],GUIA_NACIONAL_2022_1106108[[#This Row],[CIE-10]]),COUNTIFS(BASE[Cod.Establecimiento],$B$2,BASE[CODCIE102],GUIA_NACIONAL_2022_1106108[[#This Row],[CIE-10]]))</f>
        <v>0</v>
      </c>
      <c r="G22" s="3">
        <f>IF($B$2="(Todas)",COUNTIF(BASE[CODCIE104],GUIA_NACIONAL_2022_1106108[[#This Row],[CIE-10]]),COUNTIFS(BASE[Cod.Establecimiento],$B$2,BASE[CODCIE104],GUIA_NACIONAL_2022_1106108[[#This Row],[CIE-10]]))</f>
        <v>0</v>
      </c>
      <c r="H22" s="3">
        <f>IF($B$2="(Todas)",COUNTIF(BASE[CODCIE106],GUIA_NACIONAL_2022_1106108[[#This Row],[CIE-10]]),COUNTIFS(BASE[Cod.Establecimiento],$B$2,BASE[CODCIE106],GUIA_NACIONAL_2022_1106108[[#This Row],[CIE-10]]))</f>
        <v>0</v>
      </c>
      <c r="I22" s="3">
        <f>IF($B$2="(Todas)",COUNTIF(BASE[CODCIE108],GUIA_NACIONAL_2022_1106108[[#This Row],[CIE-10]]),COUNTIFS(BASE[Cod.Establecimiento],$B$2,BASE[CODCIE108],GUIA_NACIONAL_2022_1106108[[#This Row],[CIE-10]]))</f>
        <v>0</v>
      </c>
      <c r="J22" s="3">
        <f>IF($B$2="(Todas)",COUNTIF(BASE[CODCIE1010],GUIA_NACIONAL_2022_1106108[[#This Row],[CIE-10]]),COUNTIFS(BASE[Cod.Establecimiento],$B$2,BASE[CODCIE1010],GUIA_NACIONAL_2022_1106108[[#This Row],[CIE-10]]))</f>
        <v>0</v>
      </c>
      <c r="K22" s="9">
        <f>SUM(GUIA_NACIONAL_2022_1106108[[#This Row],[D1]:[D6]])</f>
        <v>0</v>
      </c>
      <c r="M22" s="4" t="s">
        <v>504</v>
      </c>
      <c r="N22" s="3">
        <f>IF($B$2="(Todas)",COUNTIF(BASE[CODCIE10],GUIA_NACIONAL_2022_1106127136137138139[[#This Row],[CIE-10]]),COUNTIFS(BASE[Cod.Establecimiento],$B$2,BASE[CODCIE10],GUIA_NACIONAL_2022_1106127136137138139[[#This Row],[CIE-10]]))</f>
        <v>0</v>
      </c>
      <c r="O22" s="3">
        <f>IF($B$2="(Todas)",COUNTIF(BASE[CODCIE102],GUIA_NACIONAL_2022_1106127136137138139[[#This Row],[CIE-10]]),COUNTIFS(BASE[Cod.Establecimiento],$B$2,BASE[CODCIE102],GUIA_NACIONAL_2022_1106127136137138139[[#This Row],[CIE-10]]))</f>
        <v>0</v>
      </c>
      <c r="P22" s="3">
        <f>IF($B$2="(Todas)",COUNTIF(BASE[CODCIE104],GUIA_NACIONAL_2022_1106127136137138139[[#This Row],[CIE-10]]),COUNTIFS(BASE[Cod.Establecimiento],$B$2,BASE[CODCIE104],GUIA_NACIONAL_2022_1106127136137138139[[#This Row],[CIE-10]]))</f>
        <v>0</v>
      </c>
      <c r="Q22" s="3">
        <f>IF($B$2="(Todas)",COUNTIF(BASE[CODCIE106],GUIA_NACIONAL_2022_1106127136137138139[[#This Row],[CIE-10]]),COUNTIFS(BASE[Cod.Establecimiento],$B$2,BASE[CODCIE106],GUIA_NACIONAL_2022_1106127136137138139[[#This Row],[CIE-10]]))</f>
        <v>0</v>
      </c>
      <c r="R22" s="3">
        <f>IF($B$2="(Todas)",COUNTIF(BASE[CODCIE108],GUIA_NACIONAL_2022_1106127136137138139[[#This Row],[CIE-10]]),COUNTIFS(BASE[Cod.Establecimiento],$B$2,BASE[CODCIE108],GUIA_NACIONAL_2022_1106127136137138139[[#This Row],[CIE-10]]))</f>
        <v>0</v>
      </c>
      <c r="S22" s="3">
        <f>IF($B$2="(Todas)",COUNTIF(BASE[CODCIE1010],GUIA_NACIONAL_2022_1106127136137138139[[#This Row],[CIE-10]]),COUNTIFS(BASE[Cod.Establecimiento],$B$2,BASE[CODCIE1010],GUIA_NACIONAL_2022_1106127136137138139[[#This Row],[CIE-10]]))</f>
        <v>0</v>
      </c>
      <c r="T22" s="9">
        <f>SUM(GUIA_NACIONAL_2022_1106127136137138139[[#This Row],[D1]:[D6]])</f>
        <v>0</v>
      </c>
      <c r="V22" s="31" t="s">
        <v>291</v>
      </c>
      <c r="W22" s="3">
        <f>IF($B$2="(Todas)",COUNTIF(BASE[CODCIE10],GUIA_NACIONAL_2022_1106128143146147[[#This Row],[CIE-10]]),COUNTIFS(BASE[Cod.Establecimiento],$B$2,BASE[CODCIE10],GUIA_NACIONAL_2022_1106128143146147[[#This Row],[CIE-10]]))</f>
        <v>0</v>
      </c>
      <c r="X22" s="3">
        <f>IF($B$2="(Todas)",COUNTIF(BASE[CODCIE102],GUIA_NACIONAL_2022_1106128143146147[[#This Row],[CIE-10]]),COUNTIFS(BASE[Cod.Establecimiento],$B$2,BASE[CODCIE102],GUIA_NACIONAL_2022_1106128143146147[[#This Row],[CIE-10]]))</f>
        <v>0</v>
      </c>
      <c r="Y22" s="3">
        <f>IF($B$2="(Todas)",COUNTIF(BASE[CODCIE104],GUIA_NACIONAL_2022_1106128143146147[[#This Row],[CIE-10]]),COUNTIFS(BASE[Cod.Establecimiento],$B$2,BASE[CODCIE104],GUIA_NACIONAL_2022_1106128143146147[[#This Row],[CIE-10]]))</f>
        <v>0</v>
      </c>
      <c r="Z22" s="3">
        <f>IF($B$2="(Todas)",COUNTIF(BASE[CODCIE106],GUIA_NACIONAL_2022_1106128143146147[[#This Row],[CIE-10]]),COUNTIFS(BASE[Cod.Establecimiento],$B$2,BASE[CODCIE106],GUIA_NACIONAL_2022_1106128143146147[[#This Row],[CIE-10]]))</f>
        <v>0</v>
      </c>
      <c r="AA22" s="3">
        <f>IF($B$2="(Todas)",COUNTIF(BASE[CODCIE108],GUIA_NACIONAL_2022_1106128143146147[[#This Row],[CIE-10]]),COUNTIFS(BASE[Cod.Establecimiento],$B$2,BASE[CODCIE108],GUIA_NACIONAL_2022_1106128143146147[[#This Row],[CIE-10]]))</f>
        <v>0</v>
      </c>
      <c r="AB22" s="3">
        <f>IF($B$2="(Todas)",COUNTIF(BASE[CODCIE1010],GUIA_NACIONAL_2022_1106128143146147[[#This Row],[CIE-10]]),COUNTIFS(BASE[Cod.Establecimiento],$B$2,BASE[CODCIE1010],GUIA_NACIONAL_2022_1106128143146147[[#This Row],[CIE-10]]))</f>
        <v>0</v>
      </c>
      <c r="AC22" s="9">
        <f>SUM(GUIA_NACIONAL_2022_1106128143146147[[#This Row],[D1]:[D6]])</f>
        <v>0</v>
      </c>
      <c r="AE22" t="s">
        <v>77</v>
      </c>
      <c r="AF22" s="3" t="s">
        <v>78</v>
      </c>
      <c r="AG22" s="3" t="s">
        <v>79</v>
      </c>
      <c r="AH22" s="3" t="s">
        <v>80</v>
      </c>
      <c r="AI22" s="3" t="s">
        <v>81</v>
      </c>
      <c r="AJ22" s="3" t="s">
        <v>82</v>
      </c>
      <c r="AK22" s="3" t="s">
        <v>83</v>
      </c>
      <c r="AL22" s="8" t="s">
        <v>84</v>
      </c>
      <c r="AN22" s="31" t="s">
        <v>542</v>
      </c>
      <c r="AO22" s="3">
        <f>IF($B$2="(Todas)",COUNTIF(BASE[CODCIE10],GUIA_NACIONAL_2022_1106128105168162197[[#This Row],[CIE-10]]),COUNTIFS(BASE[Cod.Establecimiento],$B$2,BASE[CODCIE10],GUIA_NACIONAL_2022_1106128105168162197[[#This Row],[CIE-10]]))</f>
        <v>0</v>
      </c>
      <c r="AP22" s="3">
        <f>IF($B$2="(Todas)",COUNTIF(BASE[CODCIE102],GUIA_NACIONAL_2022_1106128105168162197[[#This Row],[CIE-10]]),COUNTIFS(BASE[Cod.Establecimiento],$B$2,BASE[CODCIE102],GUIA_NACIONAL_2022_1106128105168162197[[#This Row],[CIE-10]]))</f>
        <v>0</v>
      </c>
      <c r="AQ22" s="3">
        <f>IF($B$2="(Todas)",COUNTIF(BASE[CODCIE104],GUIA_NACIONAL_2022_1106128105168162197[[#This Row],[CIE-10]]),COUNTIFS(BASE[Cod.Establecimiento],$B$2,BASE[CODCIE104],GUIA_NACIONAL_2022_1106128105168162197[[#This Row],[CIE-10]]))</f>
        <v>0</v>
      </c>
      <c r="AR22" s="3">
        <f>IF($B$2="(Todas)",COUNTIF(BASE[CODCIE106],GUIA_NACIONAL_2022_1106128105168162197[[#This Row],[CIE-10]]),COUNTIFS(BASE[Cod.Establecimiento],$B$2,BASE[CODCIE106],GUIA_NACIONAL_2022_1106128105168162197[[#This Row],[CIE-10]]))</f>
        <v>0</v>
      </c>
      <c r="AS22" s="3">
        <f>IF($B$2="(Todas)",COUNTIF(BASE[CODCIE108],GUIA_NACIONAL_2022_1106128105168162197[[#This Row],[CIE-10]]),COUNTIFS(BASE[Cod.Establecimiento],$B$2,BASE[CODCIE108],GUIA_NACIONAL_2022_1106128105168162197[[#This Row],[CIE-10]]))</f>
        <v>0</v>
      </c>
      <c r="AT22" s="3">
        <f>IF($B$2="(Todas)",COUNTIF(BASE[CODCIE1010],GUIA_NACIONAL_2022_1106128105168162197[[#This Row],[CIE-10]]),COUNTIFS(BASE[Cod.Establecimiento],$B$2,BASE[CODCIE1010],GUIA_NACIONAL_2022_1106128105168162197[[#This Row],[CIE-10]]))</f>
        <v>0</v>
      </c>
      <c r="AU22" s="9">
        <f>SUM(GUIA_NACIONAL_2022_1106128105168162197[[#This Row],[D1]:[D6]])</f>
        <v>0</v>
      </c>
      <c r="BF22" s="160" t="s">
        <v>641</v>
      </c>
      <c r="BG22" s="160"/>
      <c r="BH22" s="160"/>
      <c r="BI22" s="160"/>
      <c r="BJ22" s="160"/>
      <c r="BK22" s="160"/>
      <c r="BL22" s="160"/>
      <c r="BM22" s="160"/>
      <c r="BO22" s="4" t="s">
        <v>309</v>
      </c>
      <c r="BP22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2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2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2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2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2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2" s="9">
        <f>SUM(GUIA_NACIONAL_2022_1106128105107110207210231232234[[#This Row],[D1]:[D6]])</f>
        <v>0</v>
      </c>
      <c r="CG22" s="4" t="s">
        <v>328</v>
      </c>
      <c r="CH22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2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2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2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2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2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2" s="9">
        <f>SUM(GUIA_NACIONAL_2022_1106128105107111115129130250[[#This Row],[D1]:[D6]])</f>
        <v>0</v>
      </c>
      <c r="DH22" s="155" t="s">
        <v>760</v>
      </c>
      <c r="DI22" s="156"/>
      <c r="DJ22" s="156"/>
      <c r="DK22" s="156"/>
      <c r="DL22" s="156"/>
      <c r="DM22" s="156"/>
      <c r="DN22" s="156"/>
      <c r="DO22" s="157"/>
    </row>
    <row r="23" spans="1:119" ht="15" customHeight="1">
      <c r="A23" s="151"/>
      <c r="B23" s="151"/>
      <c r="D23" s="31" t="s">
        <v>419</v>
      </c>
      <c r="E23" s="3">
        <f>IF($B$2="(Todas)",COUNTIF(BASE[CODCIE10],GUIA_NACIONAL_2022_1106108[[#This Row],[CIE-10]]),COUNTIFS(BASE[Cod.Establecimiento],$B$2,BASE[CODCIE10],GUIA_NACIONAL_2022_1106108[[#This Row],[CIE-10]]))</f>
        <v>0</v>
      </c>
      <c r="F23" s="3">
        <f>IF($B$2="(Todas)",COUNTIF(BASE[CODCIE102],GUIA_NACIONAL_2022_1106108[[#This Row],[CIE-10]]),COUNTIFS(BASE[Cod.Establecimiento],$B$2,BASE[CODCIE102],GUIA_NACIONAL_2022_1106108[[#This Row],[CIE-10]]))</f>
        <v>0</v>
      </c>
      <c r="G23" s="3">
        <f>IF($B$2="(Todas)",COUNTIF(BASE[CODCIE104],GUIA_NACIONAL_2022_1106108[[#This Row],[CIE-10]]),COUNTIFS(BASE[Cod.Establecimiento],$B$2,BASE[CODCIE104],GUIA_NACIONAL_2022_1106108[[#This Row],[CIE-10]]))</f>
        <v>0</v>
      </c>
      <c r="H23" s="3">
        <f>IF($B$2="(Todas)",COUNTIF(BASE[CODCIE106],GUIA_NACIONAL_2022_1106108[[#This Row],[CIE-10]]),COUNTIFS(BASE[Cod.Establecimiento],$B$2,BASE[CODCIE106],GUIA_NACIONAL_2022_1106108[[#This Row],[CIE-10]]))</f>
        <v>0</v>
      </c>
      <c r="I23" s="3">
        <f>IF($B$2="(Todas)",COUNTIF(BASE[CODCIE108],GUIA_NACIONAL_2022_1106108[[#This Row],[CIE-10]]),COUNTIFS(BASE[Cod.Establecimiento],$B$2,BASE[CODCIE108],GUIA_NACIONAL_2022_1106108[[#This Row],[CIE-10]]))</f>
        <v>0</v>
      </c>
      <c r="J23" s="3">
        <f>IF($B$2="(Todas)",COUNTIF(BASE[CODCIE1010],GUIA_NACIONAL_2022_1106108[[#This Row],[CIE-10]]),COUNTIFS(BASE[Cod.Establecimiento],$B$2,BASE[CODCIE1010],GUIA_NACIONAL_2022_1106108[[#This Row],[CIE-10]]))</f>
        <v>0</v>
      </c>
      <c r="K23" s="9">
        <f>SUM(GUIA_NACIONAL_2022_1106108[[#This Row],[D1]:[D6]])</f>
        <v>0</v>
      </c>
      <c r="M23" s="158" t="s">
        <v>507</v>
      </c>
      <c r="N23" s="159"/>
      <c r="O23" s="159"/>
      <c r="P23" s="159"/>
      <c r="Q23" s="159"/>
      <c r="R23" s="159"/>
      <c r="S23" s="159"/>
      <c r="T23" s="159"/>
      <c r="V23" s="158" t="s">
        <v>519</v>
      </c>
      <c r="W23" s="159"/>
      <c r="X23" s="159"/>
      <c r="Y23" s="159"/>
      <c r="Z23" s="159"/>
      <c r="AA23" s="159"/>
      <c r="AB23" s="159"/>
      <c r="AC23" s="159"/>
      <c r="AE23" s="4" t="s">
        <v>551</v>
      </c>
      <c r="AF23" s="3">
        <f>IF($B$2="(Todas)",COUNTIF(BASE[CODCIE10],GUIA_NACIONAL_2022_1106128105168169170171[[#This Row],[CIE-10]]),COUNTIFS(BASE[Cod.Establecimiento],$B$2,BASE[CODCIE10],GUIA_NACIONAL_2022_1106128105168169170171[[#This Row],[CIE-10]]))</f>
        <v>0</v>
      </c>
      <c r="AG23" s="3">
        <f>IF($B$2="(Todas)",COUNTIF(BASE[CODCIE102],GUIA_NACIONAL_2022_1106128105168169170171[[#This Row],[CIE-10]]),COUNTIFS(BASE[Cod.Establecimiento],$B$2,BASE[CODCIE102],GUIA_NACIONAL_2022_1106128105168169170171[[#This Row],[CIE-10]]))</f>
        <v>0</v>
      </c>
      <c r="AH23" s="3">
        <f>IF($B$2="(Todas)",COUNTIF(BASE[CODCIE104],GUIA_NACIONAL_2022_1106128105168169170171[[#This Row],[CIE-10]]),COUNTIFS(BASE[Cod.Establecimiento],$B$2,BASE[CODCIE104],GUIA_NACIONAL_2022_1106128105168169170171[[#This Row],[CIE-10]]))</f>
        <v>0</v>
      </c>
      <c r="AI23" s="3">
        <f>IF($B$2="(Todas)",COUNTIF(BASE[CODCIE106],GUIA_NACIONAL_2022_1106128105168169170171[[#This Row],[CIE-10]]),COUNTIFS(BASE[Cod.Establecimiento],$B$2,BASE[CODCIE106],GUIA_NACIONAL_2022_1106128105168169170171[[#This Row],[CIE-10]]))</f>
        <v>0</v>
      </c>
      <c r="AJ23" s="3">
        <f>IF($B$2="(Todas)",COUNTIF(BASE[CODCIE108],GUIA_NACIONAL_2022_1106128105168169170171[[#This Row],[CIE-10]]),COUNTIFS(BASE[Cod.Establecimiento],$B$2,BASE[CODCIE108],GUIA_NACIONAL_2022_1106128105168169170171[[#This Row],[CIE-10]]))</f>
        <v>0</v>
      </c>
      <c r="AK23" s="3">
        <f>IF($B$2="(Todas)",COUNTIF(BASE[CODCIE1010],GUIA_NACIONAL_2022_1106128105168169170171[[#This Row],[CIE-10]]),COUNTIFS(BASE[Cod.Establecimiento],$B$2,BASE[CODCIE1010],GUIA_NACIONAL_2022_1106128105168169170171[[#This Row],[CIE-10]]))</f>
        <v>0</v>
      </c>
      <c r="AL23" s="9">
        <f>SUM(GUIA_NACIONAL_2022_1106128105168169170171[[#This Row],[D1]:[D6]])</f>
        <v>0</v>
      </c>
      <c r="AN23" s="159" t="s">
        <v>609</v>
      </c>
      <c r="AO23" s="159"/>
      <c r="AP23" s="159"/>
      <c r="AQ23" s="159"/>
      <c r="AR23" s="159"/>
      <c r="AS23" s="159"/>
      <c r="AT23" s="159"/>
      <c r="AU23" s="159"/>
      <c r="BF23" s="159" t="s">
        <v>644</v>
      </c>
      <c r="BG23" s="159"/>
      <c r="BH23" s="159"/>
      <c r="BI23" s="159"/>
      <c r="BJ23" s="159"/>
      <c r="BK23" s="159"/>
      <c r="BL23" s="159"/>
      <c r="BM23" s="159"/>
      <c r="BO23" s="4" t="s">
        <v>310</v>
      </c>
      <c r="BP23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3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3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3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3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3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3" s="9">
        <f>SUM(GUIA_NACIONAL_2022_1106128105107110207210231232234[[#This Row],[D1]:[D6]])</f>
        <v>0</v>
      </c>
      <c r="CG23" s="4" t="s">
        <v>717</v>
      </c>
      <c r="CH23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3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3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3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3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3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3" s="9">
        <f>SUM(GUIA_NACIONAL_2022_1106128105107111115129130250[[#This Row],[D1]:[D6]])</f>
        <v>0</v>
      </c>
      <c r="DH23" t="s">
        <v>77</v>
      </c>
      <c r="DI23" s="3" t="s">
        <v>78</v>
      </c>
      <c r="DJ23" s="3" t="s">
        <v>79</v>
      </c>
      <c r="DK23" s="3" t="s">
        <v>80</v>
      </c>
      <c r="DL23" s="3" t="s">
        <v>81</v>
      </c>
      <c r="DM23" s="3" t="s">
        <v>82</v>
      </c>
      <c r="DN23" s="3" t="s">
        <v>83</v>
      </c>
      <c r="DO23" s="8" t="s">
        <v>84</v>
      </c>
    </row>
    <row r="24" spans="1:119" ht="15" customHeight="1">
      <c r="A24" s="151"/>
      <c r="B24" s="151"/>
      <c r="D24" s="31" t="s">
        <v>294</v>
      </c>
      <c r="E24" s="3">
        <f>IF($B$2="(Todas)",COUNTIF(BASE[CODCIE10],GUIA_NACIONAL_2022_1106108[[#This Row],[CIE-10]]),COUNTIFS(BASE[Cod.Establecimiento],$B$2,BASE[CODCIE10],GUIA_NACIONAL_2022_1106108[[#This Row],[CIE-10]]))</f>
        <v>0</v>
      </c>
      <c r="F24" s="3">
        <f>IF($B$2="(Todas)",COUNTIF(BASE[CODCIE102],GUIA_NACIONAL_2022_1106108[[#This Row],[CIE-10]]),COUNTIFS(BASE[Cod.Establecimiento],$B$2,BASE[CODCIE102],GUIA_NACIONAL_2022_1106108[[#This Row],[CIE-10]]))</f>
        <v>0</v>
      </c>
      <c r="G24" s="3">
        <f>IF($B$2="(Todas)",COUNTIF(BASE[CODCIE104],GUIA_NACIONAL_2022_1106108[[#This Row],[CIE-10]]),COUNTIFS(BASE[Cod.Establecimiento],$B$2,BASE[CODCIE104],GUIA_NACIONAL_2022_1106108[[#This Row],[CIE-10]]))</f>
        <v>0</v>
      </c>
      <c r="H24" s="3">
        <f>IF($B$2="(Todas)",COUNTIF(BASE[CODCIE106],GUIA_NACIONAL_2022_1106108[[#This Row],[CIE-10]]),COUNTIFS(BASE[Cod.Establecimiento],$B$2,BASE[CODCIE106],GUIA_NACIONAL_2022_1106108[[#This Row],[CIE-10]]))</f>
        <v>0</v>
      </c>
      <c r="I24" s="3">
        <f>IF($B$2="(Todas)",COUNTIF(BASE[CODCIE108],GUIA_NACIONAL_2022_1106108[[#This Row],[CIE-10]]),COUNTIFS(BASE[Cod.Establecimiento],$B$2,BASE[CODCIE108],GUIA_NACIONAL_2022_1106108[[#This Row],[CIE-10]]))</f>
        <v>0</v>
      </c>
      <c r="J24" s="3">
        <f>IF($B$2="(Todas)",COUNTIF(BASE[CODCIE1010],GUIA_NACIONAL_2022_1106108[[#This Row],[CIE-10]]),COUNTIFS(BASE[Cod.Establecimiento],$B$2,BASE[CODCIE1010],GUIA_NACIONAL_2022_1106108[[#This Row],[CIE-10]]))</f>
        <v>0</v>
      </c>
      <c r="K24" s="9">
        <f>SUM(GUIA_NACIONAL_2022_1106108[[#This Row],[D1]:[D6]])</f>
        <v>0</v>
      </c>
      <c r="M24" t="s">
        <v>77</v>
      </c>
      <c r="N24" s="3" t="s">
        <v>78</v>
      </c>
      <c r="O24" s="3" t="s">
        <v>79</v>
      </c>
      <c r="P24" s="3" t="s">
        <v>80</v>
      </c>
      <c r="Q24" s="3" t="s">
        <v>81</v>
      </c>
      <c r="R24" s="3" t="s">
        <v>82</v>
      </c>
      <c r="S24" s="3" t="s">
        <v>83</v>
      </c>
      <c r="T24" s="8" t="s">
        <v>84</v>
      </c>
      <c r="V24" t="s">
        <v>77</v>
      </c>
      <c r="W24" s="3" t="s">
        <v>78</v>
      </c>
      <c r="X24" s="3" t="s">
        <v>79</v>
      </c>
      <c r="Y24" s="3" t="s">
        <v>80</v>
      </c>
      <c r="Z24" s="3" t="s">
        <v>81</v>
      </c>
      <c r="AA24" s="3" t="s">
        <v>82</v>
      </c>
      <c r="AB24" s="3" t="s">
        <v>83</v>
      </c>
      <c r="AC24" s="8" t="s">
        <v>84</v>
      </c>
      <c r="AE24" s="159" t="s">
        <v>553</v>
      </c>
      <c r="AF24" s="159"/>
      <c r="AG24" s="159"/>
      <c r="AH24" s="159"/>
      <c r="AI24" s="159"/>
      <c r="AJ24" s="159"/>
      <c r="AK24" s="159"/>
      <c r="AL24" s="159"/>
      <c r="AN24" t="s">
        <v>77</v>
      </c>
      <c r="AO24" s="3" t="s">
        <v>78</v>
      </c>
      <c r="AP24" s="3" t="s">
        <v>79</v>
      </c>
      <c r="AQ24" s="3" t="s">
        <v>80</v>
      </c>
      <c r="AR24" s="3" t="s">
        <v>81</v>
      </c>
      <c r="AS24" s="3" t="s">
        <v>82</v>
      </c>
      <c r="AT24" s="3" t="s">
        <v>83</v>
      </c>
      <c r="AU24" s="8" t="s">
        <v>84</v>
      </c>
      <c r="BF24" t="s">
        <v>77</v>
      </c>
      <c r="BG24" s="3" t="s">
        <v>78</v>
      </c>
      <c r="BH24" s="3" t="s">
        <v>79</v>
      </c>
      <c r="BI24" s="3" t="s">
        <v>80</v>
      </c>
      <c r="BJ24" s="3" t="s">
        <v>81</v>
      </c>
      <c r="BK24" s="3" t="s">
        <v>82</v>
      </c>
      <c r="BL24" s="3" t="s">
        <v>83</v>
      </c>
      <c r="BM24" s="8" t="s">
        <v>84</v>
      </c>
      <c r="BO24" s="4" t="s">
        <v>311</v>
      </c>
      <c r="BP24" s="3">
        <f>IF($B$2="(Todas)",COUNTIF(BASE[CODCIE10],GUIA_NACIONAL_2022_1106128105107110207210231232234[[#This Row],[CIE-10]]),COUNTIFS(BASE[Cod.Establecimiento],$B$2,BASE[CODCIE10],GUIA_NACIONAL_2022_1106128105107110207210231232234[[#This Row],[CIE-10]]))</f>
        <v>0</v>
      </c>
      <c r="BQ24" s="3">
        <f>IF($B$2="(Todas)",COUNTIF(BASE[CODCIE102],GUIA_NACIONAL_2022_1106128105107110207210231232234[[#This Row],[CIE-10]]),COUNTIFS(BASE[Cod.Establecimiento],$B$2,BASE[CODCIE102],GUIA_NACIONAL_2022_1106128105107110207210231232234[[#This Row],[CIE-10]]))</f>
        <v>0</v>
      </c>
      <c r="BR24" s="3">
        <f>IF($B$2="(Todas)",COUNTIF(BASE[CODCIE104],GUIA_NACIONAL_2022_1106128105107110207210231232234[[#This Row],[CIE-10]]),COUNTIFS(BASE[Cod.Establecimiento],$B$2,BASE[CODCIE104],GUIA_NACIONAL_2022_1106128105107110207210231232234[[#This Row],[CIE-10]]))</f>
        <v>0</v>
      </c>
      <c r="BS24" s="3">
        <f>IF($B$2="(Todas)",COUNTIF(BASE[CODCIE106],GUIA_NACIONAL_2022_1106128105107110207210231232234[[#This Row],[CIE-10]]),COUNTIFS(BASE[Cod.Establecimiento],$B$2,BASE[CODCIE106],GUIA_NACIONAL_2022_1106128105107110207210231232234[[#This Row],[CIE-10]]))</f>
        <v>0</v>
      </c>
      <c r="BT24" s="3">
        <f>IF($B$2="(Todas)",COUNTIF(BASE[CODCIE108],GUIA_NACIONAL_2022_1106128105107110207210231232234[[#This Row],[CIE-10]]),COUNTIFS(BASE[Cod.Establecimiento],$B$2,BASE[CODCIE108],GUIA_NACIONAL_2022_1106128105107110207210231232234[[#This Row],[CIE-10]]))</f>
        <v>0</v>
      </c>
      <c r="BU24" s="3">
        <f>IF($B$2="(Todas)",COUNTIF(BASE[CODCIE1010],GUIA_NACIONAL_2022_1106128105107110207210231232234[[#This Row],[CIE-10]]),COUNTIFS(BASE[Cod.Establecimiento],$B$2,BASE[CODCIE1010],GUIA_NACIONAL_2022_1106128105107110207210231232234[[#This Row],[CIE-10]]))</f>
        <v>0</v>
      </c>
      <c r="BV24" s="9">
        <f>SUM(GUIA_NACIONAL_2022_1106128105107110207210231232234[[#This Row],[D1]:[D6]])</f>
        <v>0</v>
      </c>
      <c r="CG24" s="4" t="s">
        <v>718</v>
      </c>
      <c r="CH24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4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4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4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4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4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4" s="9">
        <f>SUM(GUIA_NACIONAL_2022_1106128105107111115129130250[[#This Row],[D1]:[D6]])</f>
        <v>0</v>
      </c>
      <c r="DH24" s="4" t="s">
        <v>761</v>
      </c>
      <c r="DI24" s="3">
        <f>IF($B$2="(Todas)",COUNTIF(BASE[CODCIE10],GUIA_NACIONAL_2022_1106128105107111115129130131132133256258[[#This Row],[CIE-10]]),COUNTIFS(BASE[Cod.Establecimiento],$B$2,BASE[CODCIE10],GUIA_NACIONAL_2022_1106128105107111115129130131132133256258[[#This Row],[CIE-10]]))</f>
        <v>0</v>
      </c>
      <c r="DJ24" s="3">
        <f>IF($B$2="(Todas)",COUNTIF(BASE[CODCIE102],GUIA_NACIONAL_2022_1106128105107111115129130131132133256258[[#This Row],[CIE-10]]),COUNTIFS(BASE[Cod.Establecimiento],$B$2,BASE[CODCIE102],GUIA_NACIONAL_2022_1106128105107111115129130131132133256258[[#This Row],[CIE-10]]))</f>
        <v>0</v>
      </c>
      <c r="DK24" s="3">
        <f>IF($B$2="(Todas)",COUNTIF(BASE[CODCIE104],GUIA_NACIONAL_2022_1106128105107111115129130131132133256258[[#This Row],[CIE-10]]),COUNTIFS(BASE[Cod.Establecimiento],$B$2,BASE[CODCIE104],GUIA_NACIONAL_2022_1106128105107111115129130131132133256258[[#This Row],[CIE-10]]))</f>
        <v>0</v>
      </c>
      <c r="DL24" s="3">
        <f>IF($B$2="(Todas)",COUNTIF(BASE[CODCIE106],GUIA_NACIONAL_2022_1106128105107111115129130131132133256258[[#This Row],[CIE-10]]),COUNTIFS(BASE[Cod.Establecimiento],$B$2,BASE[CODCIE106],GUIA_NACIONAL_2022_1106128105107111115129130131132133256258[[#This Row],[CIE-10]]))</f>
        <v>0</v>
      </c>
      <c r="DM24" s="3">
        <f>IF($B$2="(Todas)",COUNTIF(BASE[CODCIE108],GUIA_NACIONAL_2022_1106128105107111115129130131132133256258[[#This Row],[CIE-10]]),COUNTIFS(BASE[Cod.Establecimiento],$B$2,BASE[CODCIE108],GUIA_NACIONAL_2022_1106128105107111115129130131132133256258[[#This Row],[CIE-10]]))</f>
        <v>0</v>
      </c>
      <c r="DN24" s="3">
        <f>IF($B$2="(Todas)",COUNTIF(BASE[CODCIE1010],GUIA_NACIONAL_2022_1106128105107111115129130131132133256258[[#This Row],[CIE-10]]),COUNTIFS(BASE[Cod.Establecimiento],$B$2,BASE[CODCIE1010],GUIA_NACIONAL_2022_1106128105107111115129130131132133256258[[#This Row],[CIE-10]]))</f>
        <v>0</v>
      </c>
      <c r="DO24" s="9">
        <f>SUM(GUIA_NACIONAL_2022_1106128105107111115129130131132133256258[[#This Row],[D1]:[D6]])</f>
        <v>0</v>
      </c>
    </row>
    <row r="25" spans="1:119" ht="15" customHeight="1">
      <c r="A25" s="151"/>
      <c r="B25" s="151"/>
      <c r="D25" s="31" t="s">
        <v>295</v>
      </c>
      <c r="E25" s="3">
        <f>IF($B$2="(Todas)",COUNTIF(BASE[CODCIE10],GUIA_NACIONAL_2022_1106108[[#This Row],[CIE-10]]),COUNTIFS(BASE[Cod.Establecimiento],$B$2,BASE[CODCIE10],GUIA_NACIONAL_2022_1106108[[#This Row],[CIE-10]]))</f>
        <v>0</v>
      </c>
      <c r="F25" s="3">
        <f>IF($B$2="(Todas)",COUNTIF(BASE[CODCIE102],GUIA_NACIONAL_2022_1106108[[#This Row],[CIE-10]]),COUNTIFS(BASE[Cod.Establecimiento],$B$2,BASE[CODCIE102],GUIA_NACIONAL_2022_1106108[[#This Row],[CIE-10]]))</f>
        <v>0</v>
      </c>
      <c r="G25" s="3">
        <f>IF($B$2="(Todas)",COUNTIF(BASE[CODCIE104],GUIA_NACIONAL_2022_1106108[[#This Row],[CIE-10]]),COUNTIFS(BASE[Cod.Establecimiento],$B$2,BASE[CODCIE104],GUIA_NACIONAL_2022_1106108[[#This Row],[CIE-10]]))</f>
        <v>0</v>
      </c>
      <c r="H25" s="3">
        <f>IF($B$2="(Todas)",COUNTIF(BASE[CODCIE106],GUIA_NACIONAL_2022_1106108[[#This Row],[CIE-10]]),COUNTIFS(BASE[Cod.Establecimiento],$B$2,BASE[CODCIE106],GUIA_NACIONAL_2022_1106108[[#This Row],[CIE-10]]))</f>
        <v>0</v>
      </c>
      <c r="I25" s="3">
        <f>IF($B$2="(Todas)",COUNTIF(BASE[CODCIE108],GUIA_NACIONAL_2022_1106108[[#This Row],[CIE-10]]),COUNTIFS(BASE[Cod.Establecimiento],$B$2,BASE[CODCIE108],GUIA_NACIONAL_2022_1106108[[#This Row],[CIE-10]]))</f>
        <v>0</v>
      </c>
      <c r="J25" s="3">
        <f>IF($B$2="(Todas)",COUNTIF(BASE[CODCIE1010],GUIA_NACIONAL_2022_1106108[[#This Row],[CIE-10]]),COUNTIFS(BASE[Cod.Establecimiento],$B$2,BASE[CODCIE1010],GUIA_NACIONAL_2022_1106108[[#This Row],[CIE-10]]))</f>
        <v>0</v>
      </c>
      <c r="K25" s="9">
        <f>SUM(GUIA_NACIONAL_2022_1106108[[#This Row],[D1]:[D6]])</f>
        <v>0</v>
      </c>
      <c r="M25" s="4" t="s">
        <v>505</v>
      </c>
      <c r="N25" s="3">
        <f>IF($B$2="(Todas)",COUNTIF(BASE[CODCIE10],GUIA_NACIONAL_2022_1106127136137138139140[[#This Row],[CIE-10]]),COUNTIFS(BASE[Cod.Establecimiento],$B$2,BASE[CODCIE10],GUIA_NACIONAL_2022_1106127136137138139140[[#This Row],[CIE-10]]))</f>
        <v>0</v>
      </c>
      <c r="O25" s="3">
        <f>IF($B$2="(Todas)",COUNTIF(BASE[CODCIE102],GUIA_NACIONAL_2022_1106127136137138139140[[#This Row],[CIE-10]]),COUNTIFS(BASE[Cod.Establecimiento],$B$2,BASE[CODCIE102],GUIA_NACIONAL_2022_1106127136137138139140[[#This Row],[CIE-10]]))</f>
        <v>0</v>
      </c>
      <c r="P25" s="3">
        <f>IF($B$2="(Todas)",COUNTIF(BASE[CODCIE104],GUIA_NACIONAL_2022_1106127136137138139140[[#This Row],[CIE-10]]),COUNTIFS(BASE[Cod.Establecimiento],$B$2,BASE[CODCIE104],GUIA_NACIONAL_2022_1106127136137138139140[[#This Row],[CIE-10]]))</f>
        <v>0</v>
      </c>
      <c r="Q25" s="3">
        <f>IF($B$2="(Todas)",COUNTIF(BASE[CODCIE106],GUIA_NACIONAL_2022_1106127136137138139140[[#This Row],[CIE-10]]),COUNTIFS(BASE[Cod.Establecimiento],$B$2,BASE[CODCIE106],GUIA_NACIONAL_2022_1106127136137138139140[[#This Row],[CIE-10]]))</f>
        <v>0</v>
      </c>
      <c r="R25" s="3">
        <f>IF($B$2="(Todas)",COUNTIF(BASE[CODCIE108],GUIA_NACIONAL_2022_1106127136137138139140[[#This Row],[CIE-10]]),COUNTIFS(BASE[Cod.Establecimiento],$B$2,BASE[CODCIE108],GUIA_NACIONAL_2022_1106127136137138139140[[#This Row],[CIE-10]]))</f>
        <v>0</v>
      </c>
      <c r="S25" s="3">
        <f>IF($B$2="(Todas)",COUNTIF(BASE[CODCIE1010],GUIA_NACIONAL_2022_1106127136137138139140[[#This Row],[CIE-10]]),COUNTIFS(BASE[Cod.Establecimiento],$B$2,BASE[CODCIE1010],GUIA_NACIONAL_2022_1106127136137138139140[[#This Row],[CIE-10]]))</f>
        <v>0</v>
      </c>
      <c r="T25" s="9">
        <f>SUM(GUIA_NACIONAL_2022_1106127136137138139140[[#This Row],[D1]:[D6]])</f>
        <v>0</v>
      </c>
      <c r="V25" s="4" t="s">
        <v>92</v>
      </c>
      <c r="W25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5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5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5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5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5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5" s="9">
        <f>SUM(GUIA_NACIONAL_2022_1106128143146147148[[#This Row],[D1]:[D6]])</f>
        <v>0</v>
      </c>
      <c r="AE25" t="s">
        <v>77</v>
      </c>
      <c r="AF25" s="3" t="s">
        <v>78</v>
      </c>
      <c r="AG25" s="3" t="s">
        <v>79</v>
      </c>
      <c r="AH25" s="3" t="s">
        <v>80</v>
      </c>
      <c r="AI25" s="3" t="s">
        <v>81</v>
      </c>
      <c r="AJ25" s="3" t="s">
        <v>82</v>
      </c>
      <c r="AK25" s="3" t="s">
        <v>83</v>
      </c>
      <c r="AL25" s="8" t="s">
        <v>84</v>
      </c>
      <c r="AN25" s="4" t="s">
        <v>359</v>
      </c>
      <c r="AO25" s="3">
        <f>IF($B$2="(Todas)",COUNTIF(BASE[CODCIE10],GUIA_NACIONAL_2022_1106128105168162195198[[#This Row],[CIE-10]]),COUNTIFS(BASE[Cod.Establecimiento],$B$2,BASE[CODCIE10],GUIA_NACIONAL_2022_1106128105168162195198[[#This Row],[CIE-10]]))</f>
        <v>0</v>
      </c>
      <c r="AP25" s="3">
        <f>IF($B$2="(Todas)",COUNTIF(BASE[CODCIE102],GUIA_NACIONAL_2022_1106128105168162195198[[#This Row],[CIE-10]]),COUNTIFS(BASE[Cod.Establecimiento],$B$2,BASE[CODCIE102],GUIA_NACIONAL_2022_1106128105168162195198[[#This Row],[CIE-10]]))</f>
        <v>0</v>
      </c>
      <c r="AQ25" s="3">
        <f>IF($B$2="(Todas)",COUNTIF(BASE[CODCIE104],GUIA_NACIONAL_2022_1106128105168162195198[[#This Row],[CIE-10]]),COUNTIFS(BASE[Cod.Establecimiento],$B$2,BASE[CODCIE104],GUIA_NACIONAL_2022_1106128105168162195198[[#This Row],[CIE-10]]))</f>
        <v>0</v>
      </c>
      <c r="AR25" s="3">
        <f>IF($B$2="(Todas)",COUNTIF(BASE[CODCIE106],GUIA_NACIONAL_2022_1106128105168162195198[[#This Row],[CIE-10]]),COUNTIFS(BASE[Cod.Establecimiento],$B$2,BASE[CODCIE106],GUIA_NACIONAL_2022_1106128105168162195198[[#This Row],[CIE-10]]))</f>
        <v>0</v>
      </c>
      <c r="AS25" s="3">
        <f>IF($B$2="(Todas)",COUNTIF(BASE[CODCIE108],GUIA_NACIONAL_2022_1106128105168162195198[[#This Row],[CIE-10]]),COUNTIFS(BASE[Cod.Establecimiento],$B$2,BASE[CODCIE108],GUIA_NACIONAL_2022_1106128105168162195198[[#This Row],[CIE-10]]))</f>
        <v>0</v>
      </c>
      <c r="AT25" s="3">
        <f>IF($B$2="(Todas)",COUNTIF(BASE[CODCIE1010],GUIA_NACIONAL_2022_1106128105168162195198[[#This Row],[CIE-10]]),COUNTIFS(BASE[Cod.Establecimiento],$B$2,BASE[CODCIE1010],GUIA_NACIONAL_2022_1106128105168162195198[[#This Row],[CIE-10]]))</f>
        <v>0</v>
      </c>
      <c r="AU25" s="9">
        <f>SUM(GUIA_NACIONAL_2022_1106128105168162195198[[#This Row],[D1]:[D6]])</f>
        <v>0</v>
      </c>
      <c r="BF25" s="4" t="s">
        <v>642</v>
      </c>
      <c r="BG25" s="3">
        <f>IF($B$2="(Todas)",COUNTIF(BASE[CODCIE10],GUIA_NACIONAL_2022_1106128105107110207214216[[#This Row],[CIE-10]]),COUNTIFS(BASE[Cod.Establecimiento],$B$2,BASE[CODCIE10],GUIA_NACIONAL_2022_1106128105107110207214216[[#This Row],[CIE-10]]))</f>
        <v>0</v>
      </c>
      <c r="BH25" s="3">
        <f>IF($B$2="(Todas)",COUNTIF(BASE[CODCIE102],GUIA_NACIONAL_2022_1106128105107110207214216[[#This Row],[CIE-10]]),COUNTIFS(BASE[Cod.Establecimiento],$B$2,BASE[CODCIE102],GUIA_NACIONAL_2022_1106128105107110207214216[[#This Row],[CIE-10]]))</f>
        <v>0</v>
      </c>
      <c r="BI25" s="3">
        <f>IF($B$2="(Todas)",COUNTIF(BASE[CODCIE104],GUIA_NACIONAL_2022_1106128105107110207214216[[#This Row],[CIE-10]]),COUNTIFS(BASE[Cod.Establecimiento],$B$2,BASE[CODCIE104],GUIA_NACIONAL_2022_1106128105107110207214216[[#This Row],[CIE-10]]))</f>
        <v>0</v>
      </c>
      <c r="BJ25" s="3">
        <f>IF($B$2="(Todas)",COUNTIF(BASE[CODCIE106],GUIA_NACIONAL_2022_1106128105107110207214216[[#This Row],[CIE-10]]),COUNTIFS(BASE[Cod.Establecimiento],$B$2,BASE[CODCIE106],GUIA_NACIONAL_2022_1106128105107110207214216[[#This Row],[CIE-10]]))</f>
        <v>0</v>
      </c>
      <c r="BK25" s="3">
        <f>IF($B$2="(Todas)",COUNTIF(BASE[CODCIE108],GUIA_NACIONAL_2022_1106128105107110207214216[[#This Row],[CIE-10]]),COUNTIFS(BASE[Cod.Establecimiento],$B$2,BASE[CODCIE108],GUIA_NACIONAL_2022_1106128105107110207214216[[#This Row],[CIE-10]]))</f>
        <v>0</v>
      </c>
      <c r="BL25" s="3">
        <f>IF($B$2="(Todas)",COUNTIF(BASE[CODCIE1010],GUIA_NACIONAL_2022_1106128105107110207214216[[#This Row],[CIE-10]]),COUNTIFS(BASE[Cod.Establecimiento],$B$2,BASE[CODCIE1010],GUIA_NACIONAL_2022_1106128105107110207214216[[#This Row],[CIE-10]]))</f>
        <v>0</v>
      </c>
      <c r="BM25" s="9">
        <f>SUM(GUIA_NACIONAL_2022_1106128105107110207214216[[#This Row],[D1]:[D6]])</f>
        <v>0</v>
      </c>
      <c r="BO25" s="158" t="s">
        <v>679</v>
      </c>
      <c r="BP25" s="159"/>
      <c r="BQ25" s="159"/>
      <c r="BR25" s="159"/>
      <c r="BS25" s="159"/>
      <c r="BT25" s="159"/>
      <c r="BU25" s="159"/>
      <c r="BV25" s="159"/>
      <c r="CG25" s="4" t="s">
        <v>719</v>
      </c>
      <c r="CH25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5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5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5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5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5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5" s="9">
        <f>SUM(GUIA_NACIONAL_2022_1106128105107111115129130250[[#This Row],[D1]:[D6]])</f>
        <v>0</v>
      </c>
    </row>
    <row r="26" spans="1:119" ht="15" customHeight="1">
      <c r="A26" s="151"/>
      <c r="B26" s="151"/>
      <c r="D26" s="31" t="s">
        <v>296</v>
      </c>
      <c r="E26" s="3">
        <f>IF($B$2="(Todas)",COUNTIF(BASE[CODCIE10],GUIA_NACIONAL_2022_1106108[[#This Row],[CIE-10]]),COUNTIFS(BASE[Cod.Establecimiento],$B$2,BASE[CODCIE10],GUIA_NACIONAL_2022_1106108[[#This Row],[CIE-10]]))</f>
        <v>0</v>
      </c>
      <c r="F26" s="3">
        <f>IF($B$2="(Todas)",COUNTIF(BASE[CODCIE102],GUIA_NACIONAL_2022_1106108[[#This Row],[CIE-10]]),COUNTIFS(BASE[Cod.Establecimiento],$B$2,BASE[CODCIE102],GUIA_NACIONAL_2022_1106108[[#This Row],[CIE-10]]))</f>
        <v>0</v>
      </c>
      <c r="G26" s="3">
        <f>IF($B$2="(Todas)",COUNTIF(BASE[CODCIE104],GUIA_NACIONAL_2022_1106108[[#This Row],[CIE-10]]),COUNTIFS(BASE[Cod.Establecimiento],$B$2,BASE[CODCIE104],GUIA_NACIONAL_2022_1106108[[#This Row],[CIE-10]]))</f>
        <v>0</v>
      </c>
      <c r="H26" s="3">
        <f>IF($B$2="(Todas)",COUNTIF(BASE[CODCIE106],GUIA_NACIONAL_2022_1106108[[#This Row],[CIE-10]]),COUNTIFS(BASE[Cod.Establecimiento],$B$2,BASE[CODCIE106],GUIA_NACIONAL_2022_1106108[[#This Row],[CIE-10]]))</f>
        <v>0</v>
      </c>
      <c r="I26" s="3">
        <f>IF($B$2="(Todas)",COUNTIF(BASE[CODCIE108],GUIA_NACIONAL_2022_1106108[[#This Row],[CIE-10]]),COUNTIFS(BASE[Cod.Establecimiento],$B$2,BASE[CODCIE108],GUIA_NACIONAL_2022_1106108[[#This Row],[CIE-10]]))</f>
        <v>0</v>
      </c>
      <c r="J26" s="3">
        <f>IF($B$2="(Todas)",COUNTIF(BASE[CODCIE1010],GUIA_NACIONAL_2022_1106108[[#This Row],[CIE-10]]),COUNTIFS(BASE[Cod.Establecimiento],$B$2,BASE[CODCIE1010],GUIA_NACIONAL_2022_1106108[[#This Row],[CIE-10]]))</f>
        <v>0</v>
      </c>
      <c r="K26" s="9">
        <f>SUM(GUIA_NACIONAL_2022_1106108[[#This Row],[D1]:[D6]])</f>
        <v>0</v>
      </c>
      <c r="M26" s="31" t="s">
        <v>506</v>
      </c>
      <c r="N26" s="3">
        <f>IF($B$2="(Todas)",COUNTIF(BASE[CODCIE10],GUIA_NACIONAL_2022_1106127136137138139140[[#This Row],[CIE-10]]),COUNTIFS(BASE[Cod.Establecimiento],$B$2,BASE[CODCIE10],GUIA_NACIONAL_2022_1106127136137138139140[[#This Row],[CIE-10]]))</f>
        <v>0</v>
      </c>
      <c r="O26" s="3">
        <f>IF($B$2="(Todas)",COUNTIF(BASE[CODCIE102],GUIA_NACIONAL_2022_1106127136137138139140[[#This Row],[CIE-10]]),COUNTIFS(BASE[Cod.Establecimiento],$B$2,BASE[CODCIE102],GUIA_NACIONAL_2022_1106127136137138139140[[#This Row],[CIE-10]]))</f>
        <v>0</v>
      </c>
      <c r="P26" s="3">
        <f>IF($B$2="(Todas)",COUNTIF(BASE[CODCIE104],GUIA_NACIONAL_2022_1106127136137138139140[[#This Row],[CIE-10]]),COUNTIFS(BASE[Cod.Establecimiento],$B$2,BASE[CODCIE104],GUIA_NACIONAL_2022_1106127136137138139140[[#This Row],[CIE-10]]))</f>
        <v>0</v>
      </c>
      <c r="Q26" s="3">
        <f>IF($B$2="(Todas)",COUNTIF(BASE[CODCIE106],GUIA_NACIONAL_2022_1106127136137138139140[[#This Row],[CIE-10]]),COUNTIFS(BASE[Cod.Establecimiento],$B$2,BASE[CODCIE106],GUIA_NACIONAL_2022_1106127136137138139140[[#This Row],[CIE-10]]))</f>
        <v>0</v>
      </c>
      <c r="R26" s="3">
        <f>IF($B$2="(Todas)",COUNTIF(BASE[CODCIE108],GUIA_NACIONAL_2022_1106127136137138139140[[#This Row],[CIE-10]]),COUNTIFS(BASE[Cod.Establecimiento],$B$2,BASE[CODCIE108],GUIA_NACIONAL_2022_1106127136137138139140[[#This Row],[CIE-10]]))</f>
        <v>0</v>
      </c>
      <c r="S26" s="3">
        <f>IF($B$2="(Todas)",COUNTIF(BASE[CODCIE1010],GUIA_NACIONAL_2022_1106127136137138139140[[#This Row],[CIE-10]]),COUNTIFS(BASE[Cod.Establecimiento],$B$2,BASE[CODCIE1010],GUIA_NACIONAL_2022_1106127136137138139140[[#This Row],[CIE-10]]))</f>
        <v>0</v>
      </c>
      <c r="T26" s="9">
        <f>SUM(GUIA_NACIONAL_2022_1106127136137138139140[[#This Row],[D1]:[D6]])</f>
        <v>0</v>
      </c>
      <c r="V26" s="31" t="s">
        <v>95</v>
      </c>
      <c r="W26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6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6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6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6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6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6" s="9">
        <f>SUM(GUIA_NACIONAL_2022_1106128143146147148[[#This Row],[D1]:[D6]])</f>
        <v>0</v>
      </c>
      <c r="AE26" s="4" t="s">
        <v>552</v>
      </c>
      <c r="AF26" s="3">
        <f>IF($B$2="(Todas)",COUNTIF(BASE[CODCIE10],GUIA_NACIONAL_2022_1106128105168169170171172[[#This Row],[CIE-10]]),COUNTIFS(BASE[Cod.Establecimiento],$B$2,BASE[CODCIE10],GUIA_NACIONAL_2022_1106128105168169170171172[[#This Row],[CIE-10]]))</f>
        <v>0</v>
      </c>
      <c r="AG26" s="3">
        <f>IF($B$2="(Todas)",COUNTIF(BASE[CODCIE102],GUIA_NACIONAL_2022_1106128105168169170171172[[#This Row],[CIE-10]]),COUNTIFS(BASE[Cod.Establecimiento],$B$2,BASE[CODCIE102],GUIA_NACIONAL_2022_1106128105168169170171172[[#This Row],[CIE-10]]))</f>
        <v>0</v>
      </c>
      <c r="AH26" s="3">
        <f>IF($B$2="(Todas)",COUNTIF(BASE[CODCIE104],GUIA_NACIONAL_2022_1106128105168169170171172[[#This Row],[CIE-10]]),COUNTIFS(BASE[Cod.Establecimiento],$B$2,BASE[CODCIE104],GUIA_NACIONAL_2022_1106128105168169170171172[[#This Row],[CIE-10]]))</f>
        <v>0</v>
      </c>
      <c r="AI26" s="3">
        <f>IF($B$2="(Todas)",COUNTIF(BASE[CODCIE106],GUIA_NACIONAL_2022_1106128105168169170171172[[#This Row],[CIE-10]]),COUNTIFS(BASE[Cod.Establecimiento],$B$2,BASE[CODCIE106],GUIA_NACIONAL_2022_1106128105168169170171172[[#This Row],[CIE-10]]))</f>
        <v>0</v>
      </c>
      <c r="AJ26" s="3">
        <f>IF($B$2="(Todas)",COUNTIF(BASE[CODCIE108],GUIA_NACIONAL_2022_1106128105168169170171172[[#This Row],[CIE-10]]),COUNTIFS(BASE[Cod.Establecimiento],$B$2,BASE[CODCIE108],GUIA_NACIONAL_2022_1106128105168169170171172[[#This Row],[CIE-10]]))</f>
        <v>0</v>
      </c>
      <c r="AK26" s="3">
        <f>IF($B$2="(Todas)",COUNTIF(BASE[CODCIE1010],GUIA_NACIONAL_2022_1106128105168169170171172[[#This Row],[CIE-10]]),COUNTIFS(BASE[Cod.Establecimiento],$B$2,BASE[CODCIE1010],GUIA_NACIONAL_2022_1106128105168169170171172[[#This Row],[CIE-10]]))</f>
        <v>0</v>
      </c>
      <c r="AL26" s="9">
        <f>SUM(GUIA_NACIONAL_2022_1106128105168169170171172[[#This Row],[D1]:[D6]])</f>
        <v>0</v>
      </c>
      <c r="AN26" s="160" t="s">
        <v>610</v>
      </c>
      <c r="AO26" s="160"/>
      <c r="AP26" s="160"/>
      <c r="AQ26" s="160"/>
      <c r="AR26" s="160"/>
      <c r="AS26" s="160"/>
      <c r="AT26" s="160"/>
      <c r="AU26" s="160"/>
      <c r="BF26" s="159" t="s">
        <v>643</v>
      </c>
      <c r="BG26" s="159"/>
      <c r="BH26" s="159"/>
      <c r="BI26" s="159"/>
      <c r="BJ26" s="159"/>
      <c r="BK26" s="159"/>
      <c r="BL26" s="159"/>
      <c r="BM26" s="159"/>
      <c r="BO26" t="s">
        <v>77</v>
      </c>
      <c r="BP26" s="3" t="s">
        <v>78</v>
      </c>
      <c r="BQ26" s="3" t="s">
        <v>79</v>
      </c>
      <c r="BR26" s="3" t="s">
        <v>80</v>
      </c>
      <c r="BS26" s="3" t="s">
        <v>81</v>
      </c>
      <c r="BT26" s="3" t="s">
        <v>82</v>
      </c>
      <c r="BU26" s="3" t="s">
        <v>83</v>
      </c>
      <c r="BV26" s="8" t="s">
        <v>84</v>
      </c>
      <c r="CG26" s="4" t="s">
        <v>720</v>
      </c>
      <c r="CH26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6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6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6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6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6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6" s="9">
        <f>SUM(GUIA_NACIONAL_2022_1106128105107111115129130250[[#This Row],[D1]:[D6]])</f>
        <v>0</v>
      </c>
    </row>
    <row r="27" spans="1:119" ht="15" customHeight="1">
      <c r="A27" s="69"/>
      <c r="B27" s="69"/>
      <c r="D27" s="31" t="s">
        <v>420</v>
      </c>
      <c r="E27" s="3">
        <f>IF($B$2="(Todas)",COUNTIF(BASE[CODCIE10],GUIA_NACIONAL_2022_1106108[[#This Row],[CIE-10]]),COUNTIFS(BASE[Cod.Establecimiento],$B$2,BASE[CODCIE10],GUIA_NACIONAL_2022_1106108[[#This Row],[CIE-10]]))</f>
        <v>0</v>
      </c>
      <c r="F27" s="3">
        <f>IF($B$2="(Todas)",COUNTIF(BASE[CODCIE102],GUIA_NACIONAL_2022_1106108[[#This Row],[CIE-10]]),COUNTIFS(BASE[Cod.Establecimiento],$B$2,BASE[CODCIE102],GUIA_NACIONAL_2022_1106108[[#This Row],[CIE-10]]))</f>
        <v>0</v>
      </c>
      <c r="G27" s="3">
        <f>IF($B$2="(Todas)",COUNTIF(BASE[CODCIE104],GUIA_NACIONAL_2022_1106108[[#This Row],[CIE-10]]),COUNTIFS(BASE[Cod.Establecimiento],$B$2,BASE[CODCIE104],GUIA_NACIONAL_2022_1106108[[#This Row],[CIE-10]]))</f>
        <v>0</v>
      </c>
      <c r="H27" s="3">
        <f>IF($B$2="(Todas)",COUNTIF(BASE[CODCIE106],GUIA_NACIONAL_2022_1106108[[#This Row],[CIE-10]]),COUNTIFS(BASE[Cod.Establecimiento],$B$2,BASE[CODCIE106],GUIA_NACIONAL_2022_1106108[[#This Row],[CIE-10]]))</f>
        <v>0</v>
      </c>
      <c r="I27" s="3">
        <f>IF($B$2="(Todas)",COUNTIF(BASE[CODCIE108],GUIA_NACIONAL_2022_1106108[[#This Row],[CIE-10]]),COUNTIFS(BASE[Cod.Establecimiento],$B$2,BASE[CODCIE108],GUIA_NACIONAL_2022_1106108[[#This Row],[CIE-10]]))</f>
        <v>0</v>
      </c>
      <c r="J27" s="3">
        <f>IF($B$2="(Todas)",COUNTIF(BASE[CODCIE1010],GUIA_NACIONAL_2022_1106108[[#This Row],[CIE-10]]),COUNTIFS(BASE[Cod.Establecimiento],$B$2,BASE[CODCIE1010],GUIA_NACIONAL_2022_1106108[[#This Row],[CIE-10]]))</f>
        <v>0</v>
      </c>
      <c r="K27" s="9">
        <f>SUM(GUIA_NACIONAL_2022_1106108[[#This Row],[D1]:[D6]])</f>
        <v>0</v>
      </c>
      <c r="M27" s="31" t="s">
        <v>378</v>
      </c>
      <c r="N27" s="3">
        <f>IF($B$2="(Todas)",COUNTIF(BASE[CODCIE10],GUIA_NACIONAL_2022_1106127136137138139140[[#This Row],[CIE-10]]),COUNTIFS(BASE[Cod.Establecimiento],$B$2,BASE[CODCIE10],GUIA_NACIONAL_2022_1106127136137138139140[[#This Row],[CIE-10]]))</f>
        <v>0</v>
      </c>
      <c r="O27" s="3">
        <f>IF($B$2="(Todas)",COUNTIF(BASE[CODCIE102],GUIA_NACIONAL_2022_1106127136137138139140[[#This Row],[CIE-10]]),COUNTIFS(BASE[Cod.Establecimiento],$B$2,BASE[CODCIE102],GUIA_NACIONAL_2022_1106127136137138139140[[#This Row],[CIE-10]]))</f>
        <v>0</v>
      </c>
      <c r="P27" s="3">
        <f>IF($B$2="(Todas)",COUNTIF(BASE[CODCIE104],GUIA_NACIONAL_2022_1106127136137138139140[[#This Row],[CIE-10]]),COUNTIFS(BASE[Cod.Establecimiento],$B$2,BASE[CODCIE104],GUIA_NACIONAL_2022_1106127136137138139140[[#This Row],[CIE-10]]))</f>
        <v>0</v>
      </c>
      <c r="Q27" s="3">
        <f>IF($B$2="(Todas)",COUNTIF(BASE[CODCIE106],GUIA_NACIONAL_2022_1106127136137138139140[[#This Row],[CIE-10]]),COUNTIFS(BASE[Cod.Establecimiento],$B$2,BASE[CODCIE106],GUIA_NACIONAL_2022_1106127136137138139140[[#This Row],[CIE-10]]))</f>
        <v>0</v>
      </c>
      <c r="R27" s="3">
        <f>IF($B$2="(Todas)",COUNTIF(BASE[CODCIE108],GUIA_NACIONAL_2022_1106127136137138139140[[#This Row],[CIE-10]]),COUNTIFS(BASE[Cod.Establecimiento],$B$2,BASE[CODCIE108],GUIA_NACIONAL_2022_1106127136137138139140[[#This Row],[CIE-10]]))</f>
        <v>0</v>
      </c>
      <c r="S27" s="3">
        <f>IF($B$2="(Todas)",COUNTIF(BASE[CODCIE1010],GUIA_NACIONAL_2022_1106127136137138139140[[#This Row],[CIE-10]]),COUNTIFS(BASE[Cod.Establecimiento],$B$2,BASE[CODCIE1010],GUIA_NACIONAL_2022_1106127136137138139140[[#This Row],[CIE-10]]))</f>
        <v>0</v>
      </c>
      <c r="T27" s="9">
        <f>SUM(GUIA_NACIONAL_2022_1106127136137138139140[[#This Row],[D1]:[D6]])</f>
        <v>0</v>
      </c>
      <c r="V27" s="31" t="s">
        <v>98</v>
      </c>
      <c r="W27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7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7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7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7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7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7" s="9">
        <f>SUM(GUIA_NACIONAL_2022_1106128143146147148[[#This Row],[D1]:[D6]])</f>
        <v>0</v>
      </c>
      <c r="AE27" s="160" t="s">
        <v>156</v>
      </c>
      <c r="AF27" s="160"/>
      <c r="AG27" s="160"/>
      <c r="AH27" s="160"/>
      <c r="AI27" s="160"/>
      <c r="AJ27" s="160"/>
      <c r="AK27" s="160"/>
      <c r="AL27" s="160"/>
      <c r="AN27" s="159" t="s">
        <v>540</v>
      </c>
      <c r="AO27" s="159"/>
      <c r="AP27" s="159"/>
      <c r="AQ27" s="159"/>
      <c r="AR27" s="159"/>
      <c r="AS27" s="159"/>
      <c r="AT27" s="159"/>
      <c r="AU27" s="159"/>
      <c r="BF27" t="s">
        <v>77</v>
      </c>
      <c r="BG27" s="3" t="s">
        <v>78</v>
      </c>
      <c r="BH27" s="3" t="s">
        <v>79</v>
      </c>
      <c r="BI27" s="3" t="s">
        <v>80</v>
      </c>
      <c r="BJ27" s="3" t="s">
        <v>81</v>
      </c>
      <c r="BK27" s="3" t="s">
        <v>82</v>
      </c>
      <c r="BL27" s="3" t="s">
        <v>83</v>
      </c>
      <c r="BM27" s="8" t="s">
        <v>84</v>
      </c>
      <c r="BO27" s="4" t="s">
        <v>389</v>
      </c>
      <c r="BP27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27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27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27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27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27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27" s="9">
        <f>SUM(GUIA_NACIONAL_2022_1106128105107110207210231232234235[[#This Row],[D1]:[D6]])</f>
        <v>0</v>
      </c>
      <c r="CG27" s="4" t="s">
        <v>329</v>
      </c>
      <c r="CH27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7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7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7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7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7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7" s="9">
        <f>SUM(GUIA_NACIONAL_2022_1106128105107111115129130250[[#This Row],[D1]:[D6]])</f>
        <v>0</v>
      </c>
    </row>
    <row r="28" spans="1:119" ht="15" customHeight="1">
      <c r="A28" s="151" t="s">
        <v>762</v>
      </c>
      <c r="B28" s="151"/>
      <c r="D28" s="159" t="s">
        <v>421</v>
      </c>
      <c r="E28" s="159"/>
      <c r="F28" s="159"/>
      <c r="G28" s="159"/>
      <c r="H28" s="159"/>
      <c r="I28" s="159"/>
      <c r="J28" s="159"/>
      <c r="K28" s="159"/>
      <c r="M28" s="158" t="s">
        <v>508</v>
      </c>
      <c r="N28" s="159"/>
      <c r="O28" s="159"/>
      <c r="P28" s="159"/>
      <c r="Q28" s="159"/>
      <c r="R28" s="159"/>
      <c r="S28" s="159"/>
      <c r="T28" s="159"/>
      <c r="V28" s="31" t="s">
        <v>101</v>
      </c>
      <c r="W28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8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8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8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8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8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8" s="9">
        <f>SUM(GUIA_NACIONAL_2022_1106128143146147148[[#This Row],[D1]:[D6]])</f>
        <v>0</v>
      </c>
      <c r="AE28" s="158" t="s">
        <v>555</v>
      </c>
      <c r="AF28" s="159"/>
      <c r="AG28" s="159"/>
      <c r="AH28" s="159"/>
      <c r="AI28" s="159"/>
      <c r="AJ28" s="159"/>
      <c r="AK28" s="159"/>
      <c r="AL28" s="159"/>
      <c r="AN28" t="s">
        <v>77</v>
      </c>
      <c r="AO28" s="3" t="s">
        <v>78</v>
      </c>
      <c r="AP28" s="3" t="s">
        <v>79</v>
      </c>
      <c r="AQ28" s="3" t="s">
        <v>80</v>
      </c>
      <c r="AR28" s="3" t="s">
        <v>81</v>
      </c>
      <c r="AS28" s="3" t="s">
        <v>82</v>
      </c>
      <c r="AT28" s="3" t="s">
        <v>83</v>
      </c>
      <c r="AU28" s="8" t="s">
        <v>84</v>
      </c>
      <c r="BF28" s="4" t="s">
        <v>645</v>
      </c>
      <c r="BG28" s="3">
        <f>IF($B$2="(Todas)",COUNTIF(BASE[CODCIE10],GUIA_NACIONAL_2022_1106128105107110207214216217[[#This Row],[CIE-10]]),COUNTIFS(BASE[Cod.Establecimiento],$B$2,BASE[CODCIE10],GUIA_NACIONAL_2022_1106128105107110207214216217[[#This Row],[CIE-10]]))</f>
        <v>0</v>
      </c>
      <c r="BH28" s="3">
        <f>IF($B$2="(Todas)",COUNTIF(BASE[CODCIE102],GUIA_NACIONAL_2022_1106128105107110207214216217[[#This Row],[CIE-10]]),COUNTIFS(BASE[Cod.Establecimiento],$B$2,BASE[CODCIE102],GUIA_NACIONAL_2022_1106128105107110207214216217[[#This Row],[CIE-10]]))</f>
        <v>0</v>
      </c>
      <c r="BI28" s="3">
        <f>IF($B$2="(Todas)",COUNTIF(BASE[CODCIE104],GUIA_NACIONAL_2022_1106128105107110207214216217[[#This Row],[CIE-10]]),COUNTIFS(BASE[Cod.Establecimiento],$B$2,BASE[CODCIE104],GUIA_NACIONAL_2022_1106128105107110207214216217[[#This Row],[CIE-10]]))</f>
        <v>0</v>
      </c>
      <c r="BJ28" s="3">
        <f>IF($B$2="(Todas)",COUNTIF(BASE[CODCIE106],GUIA_NACIONAL_2022_1106128105107110207214216217[[#This Row],[CIE-10]]),COUNTIFS(BASE[Cod.Establecimiento],$B$2,BASE[CODCIE106],GUIA_NACIONAL_2022_1106128105107110207214216217[[#This Row],[CIE-10]]))</f>
        <v>0</v>
      </c>
      <c r="BK28" s="3">
        <f>IF($B$2="(Todas)",COUNTIF(BASE[CODCIE108],GUIA_NACIONAL_2022_1106128105107110207214216217[[#This Row],[CIE-10]]),COUNTIFS(BASE[Cod.Establecimiento],$B$2,BASE[CODCIE108],GUIA_NACIONAL_2022_1106128105107110207214216217[[#This Row],[CIE-10]]))</f>
        <v>0</v>
      </c>
      <c r="BL28" s="3">
        <f>IF($B$2="(Todas)",COUNTIF(BASE[CODCIE1010],GUIA_NACIONAL_2022_1106128105107110207214216217[[#This Row],[CIE-10]]),COUNTIFS(BASE[Cod.Establecimiento],$B$2,BASE[CODCIE1010],GUIA_NACIONAL_2022_1106128105107110207214216217[[#This Row],[CIE-10]]))</f>
        <v>0</v>
      </c>
      <c r="BM28" s="9">
        <f>SUM(GUIA_NACIONAL_2022_1106128105107110207214216217[[#This Row],[D1]:[D6]])</f>
        <v>0</v>
      </c>
      <c r="BO28" s="4" t="s">
        <v>220</v>
      </c>
      <c r="BP28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28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28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28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28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28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28" s="9">
        <f>SUM(GUIA_NACIONAL_2022_1106128105107110207210231232234235[[#This Row],[D1]:[D6]])</f>
        <v>0</v>
      </c>
      <c r="CG28" s="4" t="s">
        <v>721</v>
      </c>
      <c r="CH28" s="3">
        <f>IF($B$2="(Todas)",COUNTIF(BASE[CODCIE10],GUIA_NACIONAL_2022_1106128105107111115129130250[[#This Row],[CIE-10]]),COUNTIFS(BASE[Cod.Establecimiento],$B$2,BASE[CODCIE10],GUIA_NACIONAL_2022_1106128105107111115129130250[[#This Row],[CIE-10]]))</f>
        <v>0</v>
      </c>
      <c r="CI28" s="3">
        <f>IF($B$2="(Todas)",COUNTIF(BASE[CODCIE102],GUIA_NACIONAL_2022_1106128105107111115129130250[[#This Row],[CIE-10]]),COUNTIFS(BASE[Cod.Establecimiento],$B$2,BASE[CODCIE102],GUIA_NACIONAL_2022_1106128105107111115129130250[[#This Row],[CIE-10]]))</f>
        <v>0</v>
      </c>
      <c r="CJ28" s="3">
        <f>IF($B$2="(Todas)",COUNTIF(BASE[CODCIE104],GUIA_NACIONAL_2022_1106128105107111115129130250[[#This Row],[CIE-10]]),COUNTIFS(BASE[Cod.Establecimiento],$B$2,BASE[CODCIE104],GUIA_NACIONAL_2022_1106128105107111115129130250[[#This Row],[CIE-10]]))</f>
        <v>0</v>
      </c>
      <c r="CK28" s="3">
        <f>IF($B$2="(Todas)",COUNTIF(BASE[CODCIE106],GUIA_NACIONAL_2022_1106128105107111115129130250[[#This Row],[CIE-10]]),COUNTIFS(BASE[Cod.Establecimiento],$B$2,BASE[CODCIE106],GUIA_NACIONAL_2022_1106128105107111115129130250[[#This Row],[CIE-10]]))</f>
        <v>0</v>
      </c>
      <c r="CL28" s="3">
        <f>IF($B$2="(Todas)",COUNTIF(BASE[CODCIE108],GUIA_NACIONAL_2022_1106128105107111115129130250[[#This Row],[CIE-10]]),COUNTIFS(BASE[Cod.Establecimiento],$B$2,BASE[CODCIE108],GUIA_NACIONAL_2022_1106128105107111115129130250[[#This Row],[CIE-10]]))</f>
        <v>0</v>
      </c>
      <c r="CM28" s="3">
        <f>IF($B$2="(Todas)",COUNTIF(BASE[CODCIE1010],GUIA_NACIONAL_2022_1106128105107111115129130250[[#This Row],[CIE-10]]),COUNTIFS(BASE[Cod.Establecimiento],$B$2,BASE[CODCIE1010],GUIA_NACIONAL_2022_1106128105107111115129130250[[#This Row],[CIE-10]]))</f>
        <v>0</v>
      </c>
      <c r="CN28" s="9">
        <f>SUM(GUIA_NACIONAL_2022_1106128105107111115129130250[[#This Row],[D1]:[D6]])</f>
        <v>0</v>
      </c>
    </row>
    <row r="29" spans="1:119" ht="15" customHeight="1">
      <c r="A29" s="151"/>
      <c r="B29" s="151"/>
      <c r="D29" t="s">
        <v>77</v>
      </c>
      <c r="E29" s="3" t="s">
        <v>78</v>
      </c>
      <c r="F29" s="3" t="s">
        <v>79</v>
      </c>
      <c r="G29" s="3" t="s">
        <v>80</v>
      </c>
      <c r="H29" s="3" t="s">
        <v>81</v>
      </c>
      <c r="I29" s="3" t="s">
        <v>82</v>
      </c>
      <c r="J29" s="3" t="s">
        <v>83</v>
      </c>
      <c r="K29" s="8" t="s">
        <v>84</v>
      </c>
      <c r="M29" t="s">
        <v>77</v>
      </c>
      <c r="N29" s="3" t="s">
        <v>78</v>
      </c>
      <c r="O29" s="3" t="s">
        <v>79</v>
      </c>
      <c r="P29" s="3" t="s">
        <v>80</v>
      </c>
      <c r="Q29" s="3" t="s">
        <v>81</v>
      </c>
      <c r="R29" s="3" t="s">
        <v>82</v>
      </c>
      <c r="S29" s="3" t="s">
        <v>83</v>
      </c>
      <c r="T29" s="8" t="s">
        <v>84</v>
      </c>
      <c r="V29" s="31" t="s">
        <v>103</v>
      </c>
      <c r="W29" s="3">
        <f>IF($B$2="(Todas)",COUNTIF(BASE[CODCIE10],GUIA_NACIONAL_2022_1106128143146147148[[#This Row],[CIE-10]]),COUNTIFS(BASE[Cod.Establecimiento],$B$2,BASE[CODCIE10],GUIA_NACIONAL_2022_1106128143146147148[[#This Row],[CIE-10]]))</f>
        <v>0</v>
      </c>
      <c r="X29" s="3">
        <f>IF($B$2="(Todas)",COUNTIF(BASE[CODCIE102],GUIA_NACIONAL_2022_1106128143146147148[[#This Row],[CIE-10]]),COUNTIFS(BASE[Cod.Establecimiento],$B$2,BASE[CODCIE102],GUIA_NACIONAL_2022_1106128143146147148[[#This Row],[CIE-10]]))</f>
        <v>0</v>
      </c>
      <c r="Y29" s="3">
        <f>IF($B$2="(Todas)",COUNTIF(BASE[CODCIE104],GUIA_NACIONAL_2022_1106128143146147148[[#This Row],[CIE-10]]),COUNTIFS(BASE[Cod.Establecimiento],$B$2,BASE[CODCIE104],GUIA_NACIONAL_2022_1106128143146147148[[#This Row],[CIE-10]]))</f>
        <v>0</v>
      </c>
      <c r="Z29" s="3">
        <f>IF($B$2="(Todas)",COUNTIF(BASE[CODCIE106],GUIA_NACIONAL_2022_1106128143146147148[[#This Row],[CIE-10]]),COUNTIFS(BASE[Cod.Establecimiento],$B$2,BASE[CODCIE106],GUIA_NACIONAL_2022_1106128143146147148[[#This Row],[CIE-10]]))</f>
        <v>0</v>
      </c>
      <c r="AA29" s="3">
        <f>IF($B$2="(Todas)",COUNTIF(BASE[CODCIE108],GUIA_NACIONAL_2022_1106128143146147148[[#This Row],[CIE-10]]),COUNTIFS(BASE[Cod.Establecimiento],$B$2,BASE[CODCIE108],GUIA_NACIONAL_2022_1106128143146147148[[#This Row],[CIE-10]]))</f>
        <v>0</v>
      </c>
      <c r="AB29" s="3">
        <f>IF($B$2="(Todas)",COUNTIF(BASE[CODCIE1010],GUIA_NACIONAL_2022_1106128143146147148[[#This Row],[CIE-10]]),COUNTIFS(BASE[Cod.Establecimiento],$B$2,BASE[CODCIE1010],GUIA_NACIONAL_2022_1106128143146147148[[#This Row],[CIE-10]]))</f>
        <v>0</v>
      </c>
      <c r="AC29" s="9">
        <f>SUM(GUIA_NACIONAL_2022_1106128143146147148[[#This Row],[D1]:[D6]])</f>
        <v>0</v>
      </c>
      <c r="AE29" t="s">
        <v>77</v>
      </c>
      <c r="AF29" s="3" t="s">
        <v>78</v>
      </c>
      <c r="AG29" s="3" t="s">
        <v>79</v>
      </c>
      <c r="AH29" s="3" t="s">
        <v>80</v>
      </c>
      <c r="AI29" s="3" t="s">
        <v>81</v>
      </c>
      <c r="AJ29" s="3" t="s">
        <v>82</v>
      </c>
      <c r="AK29" s="3" t="s">
        <v>83</v>
      </c>
      <c r="AL29" s="8" t="s">
        <v>84</v>
      </c>
      <c r="AN29" s="4" t="s">
        <v>541</v>
      </c>
      <c r="AO29" s="3">
        <f>IF($B$2="(Todas)",COUNTIF(BASE[CODCIE10],GUIA_NACIONAL_2022_1106128105168162197200[[#This Row],[CIE-10]]),COUNTIFS(BASE[Cod.Establecimiento],$B$2,BASE[CODCIE10],GUIA_NACIONAL_2022_1106128105168162197200[[#This Row],[CIE-10]]))</f>
        <v>0</v>
      </c>
      <c r="AP29" s="3">
        <f>IF($B$2="(Todas)",COUNTIF(BASE[CODCIE102],GUIA_NACIONAL_2022_1106128105168162197200[[#This Row],[CIE-10]]),COUNTIFS(BASE[Cod.Establecimiento],$B$2,BASE[CODCIE102],GUIA_NACIONAL_2022_1106128105168162197200[[#This Row],[CIE-10]]))</f>
        <v>0</v>
      </c>
      <c r="AQ29" s="3">
        <f>IF($B$2="(Todas)",COUNTIF(BASE[CODCIE104],GUIA_NACIONAL_2022_1106128105168162197200[[#This Row],[CIE-10]]),COUNTIFS(BASE[Cod.Establecimiento],$B$2,BASE[CODCIE104],GUIA_NACIONAL_2022_1106128105168162197200[[#This Row],[CIE-10]]))</f>
        <v>0</v>
      </c>
      <c r="AR29" s="3">
        <f>IF($B$2="(Todas)",COUNTIF(BASE[CODCIE106],GUIA_NACIONAL_2022_1106128105168162197200[[#This Row],[CIE-10]]),COUNTIFS(BASE[Cod.Establecimiento],$B$2,BASE[CODCIE106],GUIA_NACIONAL_2022_1106128105168162197200[[#This Row],[CIE-10]]))</f>
        <v>0</v>
      </c>
      <c r="AS29" s="3">
        <f>IF($B$2="(Todas)",COUNTIF(BASE[CODCIE108],GUIA_NACIONAL_2022_1106128105168162197200[[#This Row],[CIE-10]]),COUNTIFS(BASE[Cod.Establecimiento],$B$2,BASE[CODCIE108],GUIA_NACIONAL_2022_1106128105168162197200[[#This Row],[CIE-10]]))</f>
        <v>0</v>
      </c>
      <c r="AT29" s="3">
        <f>IF($B$2="(Todas)",COUNTIF(BASE[CODCIE1010],GUIA_NACIONAL_2022_1106128105168162197200[[#This Row],[CIE-10]]),COUNTIFS(BASE[Cod.Establecimiento],$B$2,BASE[CODCIE1010],GUIA_NACIONAL_2022_1106128105168162197200[[#This Row],[CIE-10]]))</f>
        <v>0</v>
      </c>
      <c r="AU29" s="9">
        <f>SUM(GUIA_NACIONAL_2022_1106128105168162197200[[#This Row],[D1]:[D6]])</f>
        <v>0</v>
      </c>
      <c r="BF29" s="159" t="s">
        <v>649</v>
      </c>
      <c r="BG29" s="159"/>
      <c r="BH29" s="159"/>
      <c r="BI29" s="159"/>
      <c r="BJ29" s="159"/>
      <c r="BK29" s="159"/>
      <c r="BL29" s="159"/>
      <c r="BM29" s="159"/>
      <c r="BO29" s="4" t="s">
        <v>315</v>
      </c>
      <c r="BP29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29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29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29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29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29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29" s="9">
        <f>SUM(GUIA_NACIONAL_2022_1106128105107110207210231232234235[[#This Row],[D1]:[D6]])</f>
        <v>0</v>
      </c>
      <c r="CG29" s="155" t="s">
        <v>715</v>
      </c>
      <c r="CH29" s="156"/>
      <c r="CI29" s="156"/>
      <c r="CJ29" s="156"/>
      <c r="CK29" s="156"/>
      <c r="CL29" s="156"/>
      <c r="CM29" s="156"/>
      <c r="CN29" s="157"/>
    </row>
    <row r="30" spans="1:119" ht="15" customHeight="1">
      <c r="A30" s="151"/>
      <c r="B30" s="151"/>
      <c r="D30" s="4" t="s">
        <v>255</v>
      </c>
      <c r="E30" s="3">
        <f>IF($B$2="(Todas)",COUNTIF(BASE[CODCIE10],GUIA_NACIONAL_2022_1106109[[#This Row],[CIE-10]]),COUNTIFS(BASE[Cod.Establecimiento],$B$2,BASE[CODCIE10],GUIA_NACIONAL_2022_1106109[[#This Row],[CIE-10]]))</f>
        <v>0</v>
      </c>
      <c r="F30" s="3">
        <f>IF($B$2="(Todas)",COUNTIF(BASE[CODCIE102],GUIA_NACIONAL_2022_1106109[[#This Row],[CIE-10]]),COUNTIFS(BASE[Cod.Establecimiento],$B$2,BASE[CODCIE102],GUIA_NACIONAL_2022_1106109[[#This Row],[CIE-10]]))</f>
        <v>0</v>
      </c>
      <c r="G30" s="3">
        <f>IF($B$2="(Todas)",COUNTIF(BASE[CODCIE104],GUIA_NACIONAL_2022_1106109[[#This Row],[CIE-10]]),COUNTIFS(BASE[Cod.Establecimiento],$B$2,BASE[CODCIE104],GUIA_NACIONAL_2022_1106109[[#This Row],[CIE-10]]))</f>
        <v>0</v>
      </c>
      <c r="H30" s="3">
        <f>IF($B$2="(Todas)",COUNTIF(BASE[CODCIE106],GUIA_NACIONAL_2022_1106109[[#This Row],[CIE-10]]),COUNTIFS(BASE[Cod.Establecimiento],$B$2,BASE[CODCIE106],GUIA_NACIONAL_2022_1106109[[#This Row],[CIE-10]]))</f>
        <v>0</v>
      </c>
      <c r="I30" s="3">
        <f>IF($B$2="(Todas)",COUNTIF(BASE[CODCIE108],GUIA_NACIONAL_2022_1106109[[#This Row],[CIE-10]]),COUNTIFS(BASE[Cod.Establecimiento],$B$2,BASE[CODCIE108],GUIA_NACIONAL_2022_1106109[[#This Row],[CIE-10]]))</f>
        <v>0</v>
      </c>
      <c r="J30" s="3">
        <f>IF($B$2="(Todas)",COUNTIF(BASE[CODCIE1010],GUIA_NACIONAL_2022_1106109[[#This Row],[CIE-10]]),COUNTIFS(BASE[Cod.Establecimiento],$B$2,BASE[CODCIE1010],GUIA_NACIONAL_2022_1106109[[#This Row],[CIE-10]]))</f>
        <v>0</v>
      </c>
      <c r="K30" s="9">
        <f>SUM(GUIA_NACIONAL_2022_1106109[[#This Row],[D1]:[D6]])</f>
        <v>0</v>
      </c>
      <c r="M30" s="4" t="s">
        <v>509</v>
      </c>
      <c r="N30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0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0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0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0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0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0" s="9">
        <f>SUM(GUIA_NACIONAL_2022_1106127136137138139140141[[#This Row],[D1]:[D6]])</f>
        <v>0</v>
      </c>
      <c r="V30" s="158" t="s">
        <v>520</v>
      </c>
      <c r="W30" s="159"/>
      <c r="X30" s="159"/>
      <c r="Y30" s="159"/>
      <c r="Z30" s="159"/>
      <c r="AA30" s="159"/>
      <c r="AB30" s="159"/>
      <c r="AC30" s="159"/>
      <c r="AE30" s="4" t="s">
        <v>554</v>
      </c>
      <c r="AF30" s="3">
        <f>IF($B$2="(Todas)",COUNTIF(BASE[CODCIE10],GUIA_NACIONAL_2022_1106128105168173[[#This Row],[CIE-10]]),COUNTIFS(BASE[Cod.Establecimiento],$B$2,BASE[CODCIE10],GUIA_NACIONAL_2022_1106128105168173[[#This Row],[CIE-10]]))</f>
        <v>0</v>
      </c>
      <c r="AG30" s="3">
        <f>IF($B$2="(Todas)",COUNTIF(BASE[CODCIE102],GUIA_NACIONAL_2022_1106128105168173[[#This Row],[CIE-10]]),COUNTIFS(BASE[Cod.Establecimiento],$B$2,BASE[CODCIE102],GUIA_NACIONAL_2022_1106128105168173[[#This Row],[CIE-10]]))</f>
        <v>0</v>
      </c>
      <c r="AH30" s="3">
        <f>IF($B$2="(Todas)",COUNTIF(BASE[CODCIE104],GUIA_NACIONAL_2022_1106128105168173[[#This Row],[CIE-10]]),COUNTIFS(BASE[Cod.Establecimiento],$B$2,BASE[CODCIE104],GUIA_NACIONAL_2022_1106128105168173[[#This Row],[CIE-10]]))</f>
        <v>0</v>
      </c>
      <c r="AI30" s="3">
        <f>IF($B$2="(Todas)",COUNTIF(BASE[CODCIE106],GUIA_NACIONAL_2022_1106128105168173[[#This Row],[CIE-10]]),COUNTIFS(BASE[Cod.Establecimiento],$B$2,BASE[CODCIE106],GUIA_NACIONAL_2022_1106128105168173[[#This Row],[CIE-10]]))</f>
        <v>0</v>
      </c>
      <c r="AJ30" s="3">
        <f>IF($B$2="(Todas)",COUNTIF(BASE[CODCIE108],GUIA_NACIONAL_2022_1106128105168173[[#This Row],[CIE-10]]),COUNTIFS(BASE[Cod.Establecimiento],$B$2,BASE[CODCIE108],GUIA_NACIONAL_2022_1106128105168173[[#This Row],[CIE-10]]))</f>
        <v>0</v>
      </c>
      <c r="AK30" s="3">
        <f>IF($B$2="(Todas)",COUNTIF(BASE[CODCIE1010],GUIA_NACIONAL_2022_1106128105168173[[#This Row],[CIE-10]]),COUNTIFS(BASE[Cod.Establecimiento],$B$2,BASE[CODCIE1010],GUIA_NACIONAL_2022_1106128105168173[[#This Row],[CIE-10]]))</f>
        <v>0</v>
      </c>
      <c r="AL30" s="9">
        <f>SUM(GUIA_NACIONAL_2022_1106128105168173[[#This Row],[D1]:[D6]])</f>
        <v>0</v>
      </c>
      <c r="AN30" s="31" t="s">
        <v>542</v>
      </c>
      <c r="AO30" s="3">
        <f>IF($B$2="(Todas)",COUNTIF(BASE[CODCIE10],GUIA_NACIONAL_2022_1106128105168162197200[[#This Row],[CIE-10]]),COUNTIFS(BASE[Cod.Establecimiento],$B$2,BASE[CODCIE10],GUIA_NACIONAL_2022_1106128105168162197200[[#This Row],[CIE-10]]))</f>
        <v>0</v>
      </c>
      <c r="AP30" s="3">
        <f>IF($B$2="(Todas)",COUNTIF(BASE[CODCIE102],GUIA_NACIONAL_2022_1106128105168162197200[[#This Row],[CIE-10]]),COUNTIFS(BASE[Cod.Establecimiento],$B$2,BASE[CODCIE102],GUIA_NACIONAL_2022_1106128105168162197200[[#This Row],[CIE-10]]))</f>
        <v>0</v>
      </c>
      <c r="AQ30" s="3">
        <f>IF($B$2="(Todas)",COUNTIF(BASE[CODCIE104],GUIA_NACIONAL_2022_1106128105168162197200[[#This Row],[CIE-10]]),COUNTIFS(BASE[Cod.Establecimiento],$B$2,BASE[CODCIE104],GUIA_NACIONAL_2022_1106128105168162197200[[#This Row],[CIE-10]]))</f>
        <v>0</v>
      </c>
      <c r="AR30" s="3">
        <f>IF($B$2="(Todas)",COUNTIF(BASE[CODCIE106],GUIA_NACIONAL_2022_1106128105168162197200[[#This Row],[CIE-10]]),COUNTIFS(BASE[Cod.Establecimiento],$B$2,BASE[CODCIE106],GUIA_NACIONAL_2022_1106128105168162197200[[#This Row],[CIE-10]]))</f>
        <v>0</v>
      </c>
      <c r="AS30" s="3">
        <f>IF($B$2="(Todas)",COUNTIF(BASE[CODCIE108],GUIA_NACIONAL_2022_1106128105168162197200[[#This Row],[CIE-10]]),COUNTIFS(BASE[Cod.Establecimiento],$B$2,BASE[CODCIE108],GUIA_NACIONAL_2022_1106128105168162197200[[#This Row],[CIE-10]]))</f>
        <v>0</v>
      </c>
      <c r="AT30" s="3">
        <f>IF($B$2="(Todas)",COUNTIF(BASE[CODCIE1010],GUIA_NACIONAL_2022_1106128105168162197200[[#This Row],[CIE-10]]),COUNTIFS(BASE[Cod.Establecimiento],$B$2,BASE[CODCIE1010],GUIA_NACIONAL_2022_1106128105168162197200[[#This Row],[CIE-10]]))</f>
        <v>0</v>
      </c>
      <c r="AU30" s="9">
        <f>SUM(GUIA_NACIONAL_2022_1106128105168162197200[[#This Row],[D1]:[D6]])</f>
        <v>0</v>
      </c>
      <c r="BF30" t="s">
        <v>77</v>
      </c>
      <c r="BG30" s="3" t="s">
        <v>78</v>
      </c>
      <c r="BH30" s="3" t="s">
        <v>79</v>
      </c>
      <c r="BI30" s="3" t="s">
        <v>80</v>
      </c>
      <c r="BJ30" s="3" t="s">
        <v>81</v>
      </c>
      <c r="BK30" s="3" t="s">
        <v>82</v>
      </c>
      <c r="BL30" s="3" t="s">
        <v>83</v>
      </c>
      <c r="BM30" s="8" t="s">
        <v>84</v>
      </c>
      <c r="BO30" s="4" t="s">
        <v>316</v>
      </c>
      <c r="BP30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0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0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0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0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0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0" s="9">
        <f>SUM(GUIA_NACIONAL_2022_1106128105107110207210231232234235[[#This Row],[D1]:[D6]])</f>
        <v>0</v>
      </c>
      <c r="CG30" t="s">
        <v>77</v>
      </c>
      <c r="CH30" s="3" t="s">
        <v>78</v>
      </c>
      <c r="CI30" s="3" t="s">
        <v>79</v>
      </c>
      <c r="CJ30" s="3" t="s">
        <v>80</v>
      </c>
      <c r="CK30" s="3" t="s">
        <v>81</v>
      </c>
      <c r="CL30" s="3" t="s">
        <v>82</v>
      </c>
      <c r="CM30" s="3" t="s">
        <v>83</v>
      </c>
      <c r="CN30" s="8" t="s">
        <v>84</v>
      </c>
    </row>
    <row r="31" spans="1:119" ht="15" customHeight="1">
      <c r="A31" s="151"/>
      <c r="B31" s="151"/>
      <c r="D31" s="31" t="s">
        <v>413</v>
      </c>
      <c r="E31" s="3">
        <f>IF($B$2="(Todas)",COUNTIF(BASE[CODCIE10],GUIA_NACIONAL_2022_1106109[[#This Row],[CIE-10]]),COUNTIFS(BASE[Cod.Establecimiento],$B$2,BASE[CODCIE10],GUIA_NACIONAL_2022_1106109[[#This Row],[CIE-10]]))</f>
        <v>0</v>
      </c>
      <c r="F31" s="3">
        <f>IF($B$2="(Todas)",COUNTIF(BASE[CODCIE102],GUIA_NACIONAL_2022_1106109[[#This Row],[CIE-10]]),COUNTIFS(BASE[Cod.Establecimiento],$B$2,BASE[CODCIE102],GUIA_NACIONAL_2022_1106109[[#This Row],[CIE-10]]))</f>
        <v>0</v>
      </c>
      <c r="G31" s="3">
        <f>IF($B$2="(Todas)",COUNTIF(BASE[CODCIE104],GUIA_NACIONAL_2022_1106109[[#This Row],[CIE-10]]),COUNTIFS(BASE[Cod.Establecimiento],$B$2,BASE[CODCIE104],GUIA_NACIONAL_2022_1106109[[#This Row],[CIE-10]]))</f>
        <v>0</v>
      </c>
      <c r="H31" s="3">
        <f>IF($B$2="(Todas)",COUNTIF(BASE[CODCIE106],GUIA_NACIONAL_2022_1106109[[#This Row],[CIE-10]]),COUNTIFS(BASE[Cod.Establecimiento],$B$2,BASE[CODCIE106],GUIA_NACIONAL_2022_1106109[[#This Row],[CIE-10]]))</f>
        <v>0</v>
      </c>
      <c r="I31" s="3">
        <f>IF($B$2="(Todas)",COUNTIF(BASE[CODCIE108],GUIA_NACIONAL_2022_1106109[[#This Row],[CIE-10]]),COUNTIFS(BASE[Cod.Establecimiento],$B$2,BASE[CODCIE108],GUIA_NACIONAL_2022_1106109[[#This Row],[CIE-10]]))</f>
        <v>0</v>
      </c>
      <c r="J31" s="3">
        <f>IF($B$2="(Todas)",COUNTIF(BASE[CODCIE1010],GUIA_NACIONAL_2022_1106109[[#This Row],[CIE-10]]),COUNTIFS(BASE[Cod.Establecimiento],$B$2,BASE[CODCIE1010],GUIA_NACIONAL_2022_1106109[[#This Row],[CIE-10]]))</f>
        <v>0</v>
      </c>
      <c r="K31" s="9">
        <f>SUM(GUIA_NACIONAL_2022_1106109[[#This Row],[D1]:[D6]])</f>
        <v>0</v>
      </c>
      <c r="M31" s="31" t="s">
        <v>510</v>
      </c>
      <c r="N31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1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1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1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1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1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1" s="9">
        <f>SUM(GUIA_NACIONAL_2022_1106127136137138139140141[[#This Row],[D1]:[D6]])</f>
        <v>0</v>
      </c>
      <c r="V31" t="s">
        <v>77</v>
      </c>
      <c r="W31" s="3" t="s">
        <v>78</v>
      </c>
      <c r="X31" s="3" t="s">
        <v>79</v>
      </c>
      <c r="Y31" s="3" t="s">
        <v>80</v>
      </c>
      <c r="Z31" s="3" t="s">
        <v>81</v>
      </c>
      <c r="AA31" s="3" t="s">
        <v>82</v>
      </c>
      <c r="AB31" s="3" t="s">
        <v>83</v>
      </c>
      <c r="AC31" s="8" t="s">
        <v>84</v>
      </c>
      <c r="AE31" s="159" t="s">
        <v>556</v>
      </c>
      <c r="AF31" s="159"/>
      <c r="AG31" s="159"/>
      <c r="AH31" s="159"/>
      <c r="AI31" s="159"/>
      <c r="AJ31" s="159"/>
      <c r="AK31" s="159"/>
      <c r="AL31" s="159"/>
      <c r="AN31" s="159" t="s">
        <v>611</v>
      </c>
      <c r="AO31" s="159"/>
      <c r="AP31" s="159"/>
      <c r="AQ31" s="159"/>
      <c r="AR31" s="159"/>
      <c r="AS31" s="159"/>
      <c r="AT31" s="159"/>
      <c r="AU31" s="159"/>
      <c r="BF31" s="4" t="s">
        <v>646</v>
      </c>
      <c r="BG31" s="3">
        <f>IF($B$2="(Todas)",COUNTIF(BASE[CODCIE10],GUIA_NACIONAL_2022_1106128105107110207214216217218[[#This Row],[CIE-10]]),COUNTIFS(BASE[Cod.Establecimiento],$B$2,BASE[CODCIE10],GUIA_NACIONAL_2022_1106128105107110207214216217218[[#This Row],[CIE-10]]))</f>
        <v>0</v>
      </c>
      <c r="BH31" s="3">
        <f>IF($B$2="(Todas)",COUNTIF(BASE[CODCIE102],GUIA_NACIONAL_2022_1106128105107110207214216217218[[#This Row],[CIE-10]]),COUNTIFS(BASE[Cod.Establecimiento],$B$2,BASE[CODCIE102],GUIA_NACIONAL_2022_1106128105107110207214216217218[[#This Row],[CIE-10]]))</f>
        <v>0</v>
      </c>
      <c r="BI31" s="3">
        <f>IF($B$2="(Todas)",COUNTIF(BASE[CODCIE104],GUIA_NACIONAL_2022_1106128105107110207214216217218[[#This Row],[CIE-10]]),COUNTIFS(BASE[Cod.Establecimiento],$B$2,BASE[CODCIE104],GUIA_NACIONAL_2022_1106128105107110207214216217218[[#This Row],[CIE-10]]))</f>
        <v>0</v>
      </c>
      <c r="BJ31" s="3">
        <f>IF($B$2="(Todas)",COUNTIF(BASE[CODCIE106],GUIA_NACIONAL_2022_1106128105107110207214216217218[[#This Row],[CIE-10]]),COUNTIFS(BASE[Cod.Establecimiento],$B$2,BASE[CODCIE106],GUIA_NACIONAL_2022_1106128105107110207214216217218[[#This Row],[CIE-10]]))</f>
        <v>0</v>
      </c>
      <c r="BK31" s="3">
        <f>IF($B$2="(Todas)",COUNTIF(BASE[CODCIE108],GUIA_NACIONAL_2022_1106128105107110207214216217218[[#This Row],[CIE-10]]),COUNTIFS(BASE[Cod.Establecimiento],$B$2,BASE[CODCIE108],GUIA_NACIONAL_2022_1106128105107110207214216217218[[#This Row],[CIE-10]]))</f>
        <v>0</v>
      </c>
      <c r="BL31" s="3">
        <f>IF($B$2="(Todas)",COUNTIF(BASE[CODCIE1010],GUIA_NACIONAL_2022_1106128105107110207214216217218[[#This Row],[CIE-10]]),COUNTIFS(BASE[Cod.Establecimiento],$B$2,BASE[CODCIE1010],GUIA_NACIONAL_2022_1106128105107110207214216217218[[#This Row],[CIE-10]]))</f>
        <v>0</v>
      </c>
      <c r="BM31" s="9">
        <f>SUM(GUIA_NACIONAL_2022_1106128105107110207214216217218[[#This Row],[D1]:[D6]])</f>
        <v>0</v>
      </c>
      <c r="BO31" s="4" t="s">
        <v>307</v>
      </c>
      <c r="BP31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1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1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1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1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1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1" s="9">
        <f>SUM(GUIA_NACIONAL_2022_1106128105107110207210231232234235[[#This Row],[D1]:[D6]])</f>
        <v>0</v>
      </c>
      <c r="CG31" s="4" t="s">
        <v>716</v>
      </c>
      <c r="CH31" s="3">
        <f>IF($B$2="(Todas)",COUNTIF(BASE[CODCIE10],GUIA_NACIONAL_2022_1106128105107111115129130250251[[#This Row],[CIE-10]]),COUNTIFS(BASE[Cod.Establecimiento],$B$2,BASE[CODCIE10],GUIA_NACIONAL_2022_1106128105107111115129130250251[[#This Row],[CIE-10]]))</f>
        <v>0</v>
      </c>
      <c r="CI31" s="3">
        <f>IF($B$2="(Todas)",COUNTIF(BASE[CODCIE102],GUIA_NACIONAL_2022_1106128105107111115129130250251[[#This Row],[CIE-10]]),COUNTIFS(BASE[Cod.Establecimiento],$B$2,BASE[CODCIE102],GUIA_NACIONAL_2022_1106128105107111115129130250251[[#This Row],[CIE-10]]))</f>
        <v>0</v>
      </c>
      <c r="CJ31" s="3">
        <f>IF($B$2="(Todas)",COUNTIF(BASE[CODCIE104],GUIA_NACIONAL_2022_1106128105107111115129130250251[[#This Row],[CIE-10]]),COUNTIFS(BASE[Cod.Establecimiento],$B$2,BASE[CODCIE104],GUIA_NACIONAL_2022_1106128105107111115129130250251[[#This Row],[CIE-10]]))</f>
        <v>0</v>
      </c>
      <c r="CK31" s="3">
        <f>IF($B$2="(Todas)",COUNTIF(BASE[CODCIE106],GUIA_NACIONAL_2022_1106128105107111115129130250251[[#This Row],[CIE-10]]),COUNTIFS(BASE[Cod.Establecimiento],$B$2,BASE[CODCIE106],GUIA_NACIONAL_2022_1106128105107111115129130250251[[#This Row],[CIE-10]]))</f>
        <v>0</v>
      </c>
      <c r="CL31" s="3">
        <f>IF($B$2="(Todas)",COUNTIF(BASE[CODCIE108],GUIA_NACIONAL_2022_1106128105107111115129130250251[[#This Row],[CIE-10]]),COUNTIFS(BASE[Cod.Establecimiento],$B$2,BASE[CODCIE108],GUIA_NACIONAL_2022_1106128105107111115129130250251[[#This Row],[CIE-10]]))</f>
        <v>0</v>
      </c>
      <c r="CM31" s="3">
        <f>IF($B$2="(Todas)",COUNTIF(BASE[CODCIE1010],GUIA_NACIONAL_2022_1106128105107111115129130250251[[#This Row],[CIE-10]]),COUNTIFS(BASE[Cod.Establecimiento],$B$2,BASE[CODCIE1010],GUIA_NACIONAL_2022_1106128105107111115129130250251[[#This Row],[CIE-10]]))</f>
        <v>0</v>
      </c>
      <c r="CN31" s="9">
        <f>SUM(GUIA_NACIONAL_2022_1106128105107111115129130250251[[#This Row],[D1]:[D6]])</f>
        <v>0</v>
      </c>
    </row>
    <row r="32" spans="1:119" ht="15" customHeight="1">
      <c r="A32" s="151"/>
      <c r="B32" s="151"/>
      <c r="D32" s="31" t="s">
        <v>291</v>
      </c>
      <c r="E32" s="3">
        <f>IF($B$2="(Todas)",COUNTIF(BASE[CODCIE10],GUIA_NACIONAL_2022_1106109[[#This Row],[CIE-10]]),COUNTIFS(BASE[Cod.Establecimiento],$B$2,BASE[CODCIE10],GUIA_NACIONAL_2022_1106109[[#This Row],[CIE-10]]))</f>
        <v>0</v>
      </c>
      <c r="F32" s="3">
        <f>IF($B$2="(Todas)",COUNTIF(BASE[CODCIE102],GUIA_NACIONAL_2022_1106109[[#This Row],[CIE-10]]),COUNTIFS(BASE[Cod.Establecimiento],$B$2,BASE[CODCIE102],GUIA_NACIONAL_2022_1106109[[#This Row],[CIE-10]]))</f>
        <v>0</v>
      </c>
      <c r="G32" s="3">
        <f>IF($B$2="(Todas)",COUNTIF(BASE[CODCIE104],GUIA_NACIONAL_2022_1106109[[#This Row],[CIE-10]]),COUNTIFS(BASE[Cod.Establecimiento],$B$2,BASE[CODCIE104],GUIA_NACIONAL_2022_1106109[[#This Row],[CIE-10]]))</f>
        <v>0</v>
      </c>
      <c r="H32" s="3">
        <f>IF($B$2="(Todas)",COUNTIF(BASE[CODCIE106],GUIA_NACIONAL_2022_1106109[[#This Row],[CIE-10]]),COUNTIFS(BASE[Cod.Establecimiento],$B$2,BASE[CODCIE106],GUIA_NACIONAL_2022_1106109[[#This Row],[CIE-10]]))</f>
        <v>0</v>
      </c>
      <c r="I32" s="3">
        <f>IF($B$2="(Todas)",COUNTIF(BASE[CODCIE108],GUIA_NACIONAL_2022_1106109[[#This Row],[CIE-10]]),COUNTIFS(BASE[Cod.Establecimiento],$B$2,BASE[CODCIE108],GUIA_NACIONAL_2022_1106109[[#This Row],[CIE-10]]))</f>
        <v>0</v>
      </c>
      <c r="J32" s="3">
        <f>IF($B$2="(Todas)",COUNTIF(BASE[CODCIE1010],GUIA_NACIONAL_2022_1106109[[#This Row],[CIE-10]]),COUNTIFS(BASE[Cod.Establecimiento],$B$2,BASE[CODCIE1010],GUIA_NACIONAL_2022_1106109[[#This Row],[CIE-10]]))</f>
        <v>0</v>
      </c>
      <c r="K32" s="9">
        <f>SUM(GUIA_NACIONAL_2022_1106109[[#This Row],[D1]:[D6]])</f>
        <v>0</v>
      </c>
      <c r="M32" s="31" t="s">
        <v>511</v>
      </c>
      <c r="N32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2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2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2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2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2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2" s="9">
        <f>SUM(GUIA_NACIONAL_2022_1106127136137138139140141[[#This Row],[D1]:[D6]])</f>
        <v>0</v>
      </c>
      <c r="V32" s="4" t="s">
        <v>106</v>
      </c>
      <c r="W32" s="3">
        <f>IF($B$2="(Todas)",COUNTIF(BASE[CODCIE10],GUIA_NACIONAL_2022_1106128143146149[[#This Row],[CIE-10]]),COUNTIFS(BASE[Cod.Establecimiento],$B$2,BASE[CODCIE10],GUIA_NACIONAL_2022_1106128143146149[[#This Row],[CIE-10]]))</f>
        <v>0</v>
      </c>
      <c r="X32" s="3">
        <f>IF($B$2="(Todas)",COUNTIF(BASE[CODCIE102],GUIA_NACIONAL_2022_1106128143146149[[#This Row],[CIE-10]]),COUNTIFS(BASE[Cod.Establecimiento],$B$2,BASE[CODCIE102],GUIA_NACIONAL_2022_1106128143146149[[#This Row],[CIE-10]]))</f>
        <v>0</v>
      </c>
      <c r="Y32" s="3">
        <f>IF($B$2="(Todas)",COUNTIF(BASE[CODCIE104],GUIA_NACIONAL_2022_1106128143146149[[#This Row],[CIE-10]]),COUNTIFS(BASE[Cod.Establecimiento],$B$2,BASE[CODCIE104],GUIA_NACIONAL_2022_1106128143146149[[#This Row],[CIE-10]]))</f>
        <v>0</v>
      </c>
      <c r="Z32" s="3">
        <f>IF($B$2="(Todas)",COUNTIF(BASE[CODCIE106],GUIA_NACIONAL_2022_1106128143146149[[#This Row],[CIE-10]]),COUNTIFS(BASE[Cod.Establecimiento],$B$2,BASE[CODCIE106],GUIA_NACIONAL_2022_1106128143146149[[#This Row],[CIE-10]]))</f>
        <v>0</v>
      </c>
      <c r="AA32" s="3">
        <f>IF($B$2="(Todas)",COUNTIF(BASE[CODCIE108],GUIA_NACIONAL_2022_1106128143146149[[#This Row],[CIE-10]]),COUNTIFS(BASE[Cod.Establecimiento],$B$2,BASE[CODCIE108],GUIA_NACIONAL_2022_1106128143146149[[#This Row],[CIE-10]]))</f>
        <v>0</v>
      </c>
      <c r="AB32" s="3">
        <f>IF($B$2="(Todas)",COUNTIF(BASE[CODCIE1010],GUIA_NACIONAL_2022_1106128143146149[[#This Row],[CIE-10]]),COUNTIFS(BASE[Cod.Establecimiento],$B$2,BASE[CODCIE1010],GUIA_NACIONAL_2022_1106128143146149[[#This Row],[CIE-10]]))</f>
        <v>0</v>
      </c>
      <c r="AC32" s="9">
        <f>SUM(GUIA_NACIONAL_2022_1106128143146149[[#This Row],[D1]:[D6]])</f>
        <v>0</v>
      </c>
      <c r="AE32" t="s">
        <v>77</v>
      </c>
      <c r="AF32" s="3" t="s">
        <v>78</v>
      </c>
      <c r="AG32" s="3" t="s">
        <v>79</v>
      </c>
      <c r="AH32" s="3" t="s">
        <v>80</v>
      </c>
      <c r="AI32" s="3" t="s">
        <v>81</v>
      </c>
      <c r="AJ32" s="3" t="s">
        <v>82</v>
      </c>
      <c r="AK32" s="3" t="s">
        <v>83</v>
      </c>
      <c r="AL32" s="8" t="s">
        <v>84</v>
      </c>
      <c r="AN32" t="s">
        <v>77</v>
      </c>
      <c r="AO32" s="3" t="s">
        <v>78</v>
      </c>
      <c r="AP32" s="3" t="s">
        <v>79</v>
      </c>
      <c r="AQ32" s="3" t="s">
        <v>80</v>
      </c>
      <c r="AR32" s="3" t="s">
        <v>81</v>
      </c>
      <c r="AS32" s="3" t="s">
        <v>82</v>
      </c>
      <c r="AT32" s="3" t="s">
        <v>83</v>
      </c>
      <c r="AU32" s="8" t="s">
        <v>84</v>
      </c>
      <c r="BF32" s="4" t="s">
        <v>647</v>
      </c>
      <c r="BG32" s="3">
        <f>IF($B$2="(Todas)",COUNTIF(BASE[CODCIE10],GUIA_NACIONAL_2022_1106128105107110207214216217218[[#This Row],[CIE-10]]),COUNTIFS(BASE[Cod.Establecimiento],$B$2,BASE[CODCIE10],GUIA_NACIONAL_2022_1106128105107110207214216217218[[#This Row],[CIE-10]]))</f>
        <v>0</v>
      </c>
      <c r="BH32" s="3">
        <f>IF($B$2="(Todas)",COUNTIF(BASE[CODCIE102],GUIA_NACIONAL_2022_1106128105107110207214216217218[[#This Row],[CIE-10]]),COUNTIFS(BASE[Cod.Establecimiento],$B$2,BASE[CODCIE102],GUIA_NACIONAL_2022_1106128105107110207214216217218[[#This Row],[CIE-10]]))</f>
        <v>0</v>
      </c>
      <c r="BI32" s="3">
        <f>IF($B$2="(Todas)",COUNTIF(BASE[CODCIE104],GUIA_NACIONAL_2022_1106128105107110207214216217218[[#This Row],[CIE-10]]),COUNTIFS(BASE[Cod.Establecimiento],$B$2,BASE[CODCIE104],GUIA_NACIONAL_2022_1106128105107110207214216217218[[#This Row],[CIE-10]]))</f>
        <v>0</v>
      </c>
      <c r="BJ32" s="3">
        <f>IF($B$2="(Todas)",COUNTIF(BASE[CODCIE106],GUIA_NACIONAL_2022_1106128105107110207214216217218[[#This Row],[CIE-10]]),COUNTIFS(BASE[Cod.Establecimiento],$B$2,BASE[CODCIE106],GUIA_NACIONAL_2022_1106128105107110207214216217218[[#This Row],[CIE-10]]))</f>
        <v>0</v>
      </c>
      <c r="BK32" s="3">
        <f>IF($B$2="(Todas)",COUNTIF(BASE[CODCIE108],GUIA_NACIONAL_2022_1106128105107110207214216217218[[#This Row],[CIE-10]]),COUNTIFS(BASE[Cod.Establecimiento],$B$2,BASE[CODCIE108],GUIA_NACIONAL_2022_1106128105107110207214216217218[[#This Row],[CIE-10]]))</f>
        <v>0</v>
      </c>
      <c r="BL32" s="3">
        <f>IF($B$2="(Todas)",COUNTIF(BASE[CODCIE1010],GUIA_NACIONAL_2022_1106128105107110207214216217218[[#This Row],[CIE-10]]),COUNTIFS(BASE[Cod.Establecimiento],$B$2,BASE[CODCIE1010],GUIA_NACIONAL_2022_1106128105107110207214216217218[[#This Row],[CIE-10]]))</f>
        <v>0</v>
      </c>
      <c r="BM32" s="9">
        <f>SUM(GUIA_NACIONAL_2022_1106128105107110207214216217218[[#This Row],[D1]:[D6]])</f>
        <v>0</v>
      </c>
      <c r="BO32" s="4" t="s">
        <v>308</v>
      </c>
      <c r="BP32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2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2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2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2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2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2" s="9">
        <f>SUM(GUIA_NACIONAL_2022_1106128105107110207210231232234235[[#This Row],[D1]:[D6]])</f>
        <v>0</v>
      </c>
      <c r="CG32" s="155" t="s">
        <v>722</v>
      </c>
      <c r="CH32" s="156"/>
      <c r="CI32" s="156"/>
      <c r="CJ32" s="156"/>
      <c r="CK32" s="156"/>
      <c r="CL32" s="156"/>
      <c r="CM32" s="156"/>
      <c r="CN32" s="157"/>
    </row>
    <row r="33" spans="1:92" ht="15" customHeight="1">
      <c r="A33" s="151"/>
      <c r="B33" s="151"/>
      <c r="D33" s="31" t="s">
        <v>293</v>
      </c>
      <c r="E33" s="3">
        <f>IF($B$2="(Todas)",COUNTIF(BASE[CODCIE10],GUIA_NACIONAL_2022_1106109[[#This Row],[CIE-10]]),COUNTIFS(BASE[Cod.Establecimiento],$B$2,BASE[CODCIE10],GUIA_NACIONAL_2022_1106109[[#This Row],[CIE-10]]))</f>
        <v>0</v>
      </c>
      <c r="F33" s="3">
        <f>IF($B$2="(Todas)",COUNTIF(BASE[CODCIE102],GUIA_NACIONAL_2022_1106109[[#This Row],[CIE-10]]),COUNTIFS(BASE[Cod.Establecimiento],$B$2,BASE[CODCIE102],GUIA_NACIONAL_2022_1106109[[#This Row],[CIE-10]]))</f>
        <v>0</v>
      </c>
      <c r="G33" s="3">
        <f>IF($B$2="(Todas)",COUNTIF(BASE[CODCIE104],GUIA_NACIONAL_2022_1106109[[#This Row],[CIE-10]]),COUNTIFS(BASE[Cod.Establecimiento],$B$2,BASE[CODCIE104],GUIA_NACIONAL_2022_1106109[[#This Row],[CIE-10]]))</f>
        <v>0</v>
      </c>
      <c r="H33" s="3">
        <f>IF($B$2="(Todas)",COUNTIF(BASE[CODCIE106],GUIA_NACIONAL_2022_1106109[[#This Row],[CIE-10]]),COUNTIFS(BASE[Cod.Establecimiento],$B$2,BASE[CODCIE106],GUIA_NACIONAL_2022_1106109[[#This Row],[CIE-10]]))</f>
        <v>0</v>
      </c>
      <c r="I33" s="3">
        <f>IF($B$2="(Todas)",COUNTIF(BASE[CODCIE108],GUIA_NACIONAL_2022_1106109[[#This Row],[CIE-10]]),COUNTIFS(BASE[Cod.Establecimiento],$B$2,BASE[CODCIE108],GUIA_NACIONAL_2022_1106109[[#This Row],[CIE-10]]))</f>
        <v>0</v>
      </c>
      <c r="J33" s="3">
        <f>IF($B$2="(Todas)",COUNTIF(BASE[CODCIE1010],GUIA_NACIONAL_2022_1106109[[#This Row],[CIE-10]]),COUNTIFS(BASE[Cod.Establecimiento],$B$2,BASE[CODCIE1010],GUIA_NACIONAL_2022_1106109[[#This Row],[CIE-10]]))</f>
        <v>0</v>
      </c>
      <c r="K33" s="9">
        <f>SUM(GUIA_NACIONAL_2022_1106109[[#This Row],[D1]:[D6]])</f>
        <v>0</v>
      </c>
      <c r="M33" s="31" t="s">
        <v>379</v>
      </c>
      <c r="N33" s="3">
        <f>IF($B$2="(Todas)",COUNTIF(BASE[CODCIE10],GUIA_NACIONAL_2022_1106127136137138139140141[[#This Row],[CIE-10]]),COUNTIFS(BASE[Cod.Establecimiento],$B$2,BASE[CODCIE10],GUIA_NACIONAL_2022_1106127136137138139140141[[#This Row],[CIE-10]]))</f>
        <v>0</v>
      </c>
      <c r="O33" s="3">
        <f>IF($B$2="(Todas)",COUNTIF(BASE[CODCIE102],GUIA_NACIONAL_2022_1106127136137138139140141[[#This Row],[CIE-10]]),COUNTIFS(BASE[Cod.Establecimiento],$B$2,BASE[CODCIE102],GUIA_NACIONAL_2022_1106127136137138139140141[[#This Row],[CIE-10]]))</f>
        <v>0</v>
      </c>
      <c r="P33" s="3">
        <f>IF($B$2="(Todas)",COUNTIF(BASE[CODCIE104],GUIA_NACIONAL_2022_1106127136137138139140141[[#This Row],[CIE-10]]),COUNTIFS(BASE[Cod.Establecimiento],$B$2,BASE[CODCIE104],GUIA_NACIONAL_2022_1106127136137138139140141[[#This Row],[CIE-10]]))</f>
        <v>0</v>
      </c>
      <c r="Q33" s="3">
        <f>IF($B$2="(Todas)",COUNTIF(BASE[CODCIE106],GUIA_NACIONAL_2022_1106127136137138139140141[[#This Row],[CIE-10]]),COUNTIFS(BASE[Cod.Establecimiento],$B$2,BASE[CODCIE106],GUIA_NACIONAL_2022_1106127136137138139140141[[#This Row],[CIE-10]]))</f>
        <v>0</v>
      </c>
      <c r="R33" s="3">
        <f>IF($B$2="(Todas)",COUNTIF(BASE[CODCIE108],GUIA_NACIONAL_2022_1106127136137138139140141[[#This Row],[CIE-10]]),COUNTIFS(BASE[Cod.Establecimiento],$B$2,BASE[CODCIE108],GUIA_NACIONAL_2022_1106127136137138139140141[[#This Row],[CIE-10]]))</f>
        <v>0</v>
      </c>
      <c r="S33" s="3">
        <f>IF($B$2="(Todas)",COUNTIF(BASE[CODCIE1010],GUIA_NACIONAL_2022_1106127136137138139140141[[#This Row],[CIE-10]]),COUNTIFS(BASE[Cod.Establecimiento],$B$2,BASE[CODCIE1010],GUIA_NACIONAL_2022_1106127136137138139140141[[#This Row],[CIE-10]]))</f>
        <v>0</v>
      </c>
      <c r="T33" s="9">
        <f>SUM(GUIA_NACIONAL_2022_1106127136137138139140141[[#This Row],[D1]:[D6]])</f>
        <v>0</v>
      </c>
      <c r="V33" s="160" t="s">
        <v>521</v>
      </c>
      <c r="W33" s="160"/>
      <c r="X33" s="160"/>
      <c r="Y33" s="160"/>
      <c r="Z33" s="160"/>
      <c r="AA33" s="160"/>
      <c r="AB33" s="160"/>
      <c r="AC33" s="160"/>
      <c r="AE33" s="4" t="s">
        <v>350</v>
      </c>
      <c r="AF33" s="3">
        <f>IF($B$2="(Todas)",COUNTIF(BASE[CODCIE10],GUIA_NACIONAL_2022_1106128105168169170174[[#This Row],[CIE-10]]),COUNTIFS(BASE[Cod.Establecimiento],$B$2,BASE[CODCIE10],GUIA_NACIONAL_2022_1106128105168169170174[[#This Row],[CIE-10]]))</f>
        <v>0</v>
      </c>
      <c r="AG33" s="3">
        <f>IF($B$2="(Todas)",COUNTIF(BASE[CODCIE102],GUIA_NACIONAL_2022_1106128105168169170174[[#This Row],[CIE-10]]),COUNTIFS(BASE[Cod.Establecimiento],$B$2,BASE[CODCIE102],GUIA_NACIONAL_2022_1106128105168169170174[[#This Row],[CIE-10]]))</f>
        <v>0</v>
      </c>
      <c r="AH33" s="3">
        <f>IF($B$2="(Todas)",COUNTIF(BASE[CODCIE104],GUIA_NACIONAL_2022_1106128105168169170174[[#This Row],[CIE-10]]),COUNTIFS(BASE[Cod.Establecimiento],$B$2,BASE[CODCIE104],GUIA_NACIONAL_2022_1106128105168169170174[[#This Row],[CIE-10]]))</f>
        <v>0</v>
      </c>
      <c r="AI33" s="3">
        <f>IF($B$2="(Todas)",COUNTIF(BASE[CODCIE106],GUIA_NACIONAL_2022_1106128105168169170174[[#This Row],[CIE-10]]),COUNTIFS(BASE[Cod.Establecimiento],$B$2,BASE[CODCIE106],GUIA_NACIONAL_2022_1106128105168169170174[[#This Row],[CIE-10]]))</f>
        <v>0</v>
      </c>
      <c r="AJ33" s="3">
        <f>IF($B$2="(Todas)",COUNTIF(BASE[CODCIE108],GUIA_NACIONAL_2022_1106128105168169170174[[#This Row],[CIE-10]]),COUNTIFS(BASE[Cod.Establecimiento],$B$2,BASE[CODCIE108],GUIA_NACIONAL_2022_1106128105168169170174[[#This Row],[CIE-10]]))</f>
        <v>0</v>
      </c>
      <c r="AK33" s="3">
        <f>IF($B$2="(Todas)",COUNTIF(BASE[CODCIE1010],GUIA_NACIONAL_2022_1106128105168169170174[[#This Row],[CIE-10]]),COUNTIFS(BASE[Cod.Establecimiento],$B$2,BASE[CODCIE1010],GUIA_NACIONAL_2022_1106128105168169170174[[#This Row],[CIE-10]]))</f>
        <v>0</v>
      </c>
      <c r="AL33" s="9">
        <f>SUM(GUIA_NACIONAL_2022_1106128105168169170174[[#This Row],[D1]:[D6]])</f>
        <v>0</v>
      </c>
      <c r="AN33" s="4" t="s">
        <v>554</v>
      </c>
      <c r="AO33" s="3">
        <f>IF($B$2="(Todas)",COUNTIF(BASE[CODCIE10],GUIA_NACIONAL_2022_1106128105168162197200201[[#This Row],[CIE-10]]),COUNTIFS(BASE[Cod.Establecimiento],$B$2,BASE[CODCIE10],GUIA_NACIONAL_2022_1106128105168162197200201[[#This Row],[CIE-10]]))</f>
        <v>0</v>
      </c>
      <c r="AP33" s="3">
        <f>IF($B$2="(Todas)",COUNTIF(BASE[CODCIE102],GUIA_NACIONAL_2022_1106128105168162197200201[[#This Row],[CIE-10]]),COUNTIFS(BASE[Cod.Establecimiento],$B$2,BASE[CODCIE102],GUIA_NACIONAL_2022_1106128105168162197200201[[#This Row],[CIE-10]]))</f>
        <v>0</v>
      </c>
      <c r="AQ33" s="3">
        <f>IF($B$2="(Todas)",COUNTIF(BASE[CODCIE104],GUIA_NACIONAL_2022_1106128105168162197200201[[#This Row],[CIE-10]]),COUNTIFS(BASE[Cod.Establecimiento],$B$2,BASE[CODCIE104],GUIA_NACIONAL_2022_1106128105168162197200201[[#This Row],[CIE-10]]))</f>
        <v>0</v>
      </c>
      <c r="AR33" s="3">
        <f>IF($B$2="(Todas)",COUNTIF(BASE[CODCIE106],GUIA_NACIONAL_2022_1106128105168162197200201[[#This Row],[CIE-10]]),COUNTIFS(BASE[Cod.Establecimiento],$B$2,BASE[CODCIE106],GUIA_NACIONAL_2022_1106128105168162197200201[[#This Row],[CIE-10]]))</f>
        <v>0</v>
      </c>
      <c r="AS33" s="3">
        <f>IF($B$2="(Todas)",COUNTIF(BASE[CODCIE108],GUIA_NACIONAL_2022_1106128105168162197200201[[#This Row],[CIE-10]]),COUNTIFS(BASE[Cod.Establecimiento],$B$2,BASE[CODCIE108],GUIA_NACIONAL_2022_1106128105168162197200201[[#This Row],[CIE-10]]))</f>
        <v>0</v>
      </c>
      <c r="AT33" s="3">
        <f>IF($B$2="(Todas)",COUNTIF(BASE[CODCIE1010],GUIA_NACIONAL_2022_1106128105168162197200201[[#This Row],[CIE-10]]),COUNTIFS(BASE[Cod.Establecimiento],$B$2,BASE[CODCIE1010],GUIA_NACIONAL_2022_1106128105168162197200201[[#This Row],[CIE-10]]))</f>
        <v>0</v>
      </c>
      <c r="AU33" s="9">
        <f>SUM(GUIA_NACIONAL_2022_1106128105168162197200201[[#This Row],[D1]:[D6]])</f>
        <v>0</v>
      </c>
      <c r="BF33" s="4" t="s">
        <v>648</v>
      </c>
      <c r="BG33" s="3">
        <f>IF($B$2="(Todas)",COUNTIF(BASE[CODCIE10],GUIA_NACIONAL_2022_1106128105107110207214216217218[[#This Row],[CIE-10]]),COUNTIFS(BASE[Cod.Establecimiento],$B$2,BASE[CODCIE10],GUIA_NACIONAL_2022_1106128105107110207214216217218[[#This Row],[CIE-10]]))</f>
        <v>0</v>
      </c>
      <c r="BH33" s="3">
        <f>IF($B$2="(Todas)",COUNTIF(BASE[CODCIE102],GUIA_NACIONAL_2022_1106128105107110207214216217218[[#This Row],[CIE-10]]),COUNTIFS(BASE[Cod.Establecimiento],$B$2,BASE[CODCIE102],GUIA_NACIONAL_2022_1106128105107110207214216217218[[#This Row],[CIE-10]]))</f>
        <v>0</v>
      </c>
      <c r="BI33" s="3">
        <f>IF($B$2="(Todas)",COUNTIF(BASE[CODCIE104],GUIA_NACIONAL_2022_1106128105107110207214216217218[[#This Row],[CIE-10]]),COUNTIFS(BASE[Cod.Establecimiento],$B$2,BASE[CODCIE104],GUIA_NACIONAL_2022_1106128105107110207214216217218[[#This Row],[CIE-10]]))</f>
        <v>0</v>
      </c>
      <c r="BJ33" s="3">
        <f>IF($B$2="(Todas)",COUNTIF(BASE[CODCIE106],GUIA_NACIONAL_2022_1106128105107110207214216217218[[#This Row],[CIE-10]]),COUNTIFS(BASE[Cod.Establecimiento],$B$2,BASE[CODCIE106],GUIA_NACIONAL_2022_1106128105107110207214216217218[[#This Row],[CIE-10]]))</f>
        <v>0</v>
      </c>
      <c r="BK33" s="3">
        <f>IF($B$2="(Todas)",COUNTIF(BASE[CODCIE108],GUIA_NACIONAL_2022_1106128105107110207214216217218[[#This Row],[CIE-10]]),COUNTIFS(BASE[Cod.Establecimiento],$B$2,BASE[CODCIE108],GUIA_NACIONAL_2022_1106128105107110207214216217218[[#This Row],[CIE-10]]))</f>
        <v>0</v>
      </c>
      <c r="BL33" s="3">
        <f>IF($B$2="(Todas)",COUNTIF(BASE[CODCIE1010],GUIA_NACIONAL_2022_1106128105107110207214216217218[[#This Row],[CIE-10]]),COUNTIFS(BASE[Cod.Establecimiento],$B$2,BASE[CODCIE1010],GUIA_NACIONAL_2022_1106128105107110207214216217218[[#This Row],[CIE-10]]))</f>
        <v>0</v>
      </c>
      <c r="BM33" s="9">
        <f>SUM(GUIA_NACIONAL_2022_1106128105107110207214216217218[[#This Row],[D1]:[D6]])</f>
        <v>0</v>
      </c>
      <c r="BO33" s="4" t="s">
        <v>245</v>
      </c>
      <c r="BP33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3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3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3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3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3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3" s="9">
        <f>SUM(GUIA_NACIONAL_2022_1106128105107110207210231232234235[[#This Row],[D1]:[D6]])</f>
        <v>0</v>
      </c>
      <c r="CG33" t="s">
        <v>77</v>
      </c>
      <c r="CH33" s="3" t="s">
        <v>78</v>
      </c>
      <c r="CI33" s="3" t="s">
        <v>79</v>
      </c>
      <c r="CJ33" s="3" t="s">
        <v>80</v>
      </c>
      <c r="CK33" s="3" t="s">
        <v>81</v>
      </c>
      <c r="CL33" s="3" t="s">
        <v>82</v>
      </c>
      <c r="CM33" s="3" t="s">
        <v>83</v>
      </c>
      <c r="CN33" s="8" t="s">
        <v>84</v>
      </c>
    </row>
    <row r="34" spans="1:92" ht="15" customHeight="1">
      <c r="A34" s="151"/>
      <c r="B34" s="151"/>
      <c r="D34" s="31" t="s">
        <v>414</v>
      </c>
      <c r="E34" s="3">
        <f>IF($B$2="(Todas)",COUNTIF(BASE[CODCIE10],GUIA_NACIONAL_2022_1106109[[#This Row],[CIE-10]]),COUNTIFS(BASE[Cod.Establecimiento],$B$2,BASE[CODCIE10],GUIA_NACIONAL_2022_1106109[[#This Row],[CIE-10]]))</f>
        <v>0</v>
      </c>
      <c r="F34" s="3">
        <f>IF($B$2="(Todas)",COUNTIF(BASE[CODCIE102],GUIA_NACIONAL_2022_1106109[[#This Row],[CIE-10]]),COUNTIFS(BASE[Cod.Establecimiento],$B$2,BASE[CODCIE102],GUIA_NACIONAL_2022_1106109[[#This Row],[CIE-10]]))</f>
        <v>0</v>
      </c>
      <c r="G34" s="3">
        <f>IF($B$2="(Todas)",COUNTIF(BASE[CODCIE104],GUIA_NACIONAL_2022_1106109[[#This Row],[CIE-10]]),COUNTIFS(BASE[Cod.Establecimiento],$B$2,BASE[CODCIE104],GUIA_NACIONAL_2022_1106109[[#This Row],[CIE-10]]))</f>
        <v>0</v>
      </c>
      <c r="H34" s="3">
        <f>IF($B$2="(Todas)",COUNTIF(BASE[CODCIE106],GUIA_NACIONAL_2022_1106109[[#This Row],[CIE-10]]),COUNTIFS(BASE[Cod.Establecimiento],$B$2,BASE[CODCIE106],GUIA_NACIONAL_2022_1106109[[#This Row],[CIE-10]]))</f>
        <v>0</v>
      </c>
      <c r="I34" s="3">
        <f>IF($B$2="(Todas)",COUNTIF(BASE[CODCIE108],GUIA_NACIONAL_2022_1106109[[#This Row],[CIE-10]]),COUNTIFS(BASE[Cod.Establecimiento],$B$2,BASE[CODCIE108],GUIA_NACIONAL_2022_1106109[[#This Row],[CIE-10]]))</f>
        <v>0</v>
      </c>
      <c r="J34" s="3">
        <f>IF($B$2="(Todas)",COUNTIF(BASE[CODCIE1010],GUIA_NACIONAL_2022_1106109[[#This Row],[CIE-10]]),COUNTIFS(BASE[Cod.Establecimiento],$B$2,BASE[CODCIE1010],GUIA_NACIONAL_2022_1106109[[#This Row],[CIE-10]]))</f>
        <v>0</v>
      </c>
      <c r="K34" s="9">
        <f>SUM(GUIA_NACIONAL_2022_1106109[[#This Row],[D1]:[D6]])</f>
        <v>0</v>
      </c>
      <c r="M34" s="158" t="s">
        <v>512</v>
      </c>
      <c r="N34" s="159"/>
      <c r="O34" s="159"/>
      <c r="P34" s="159"/>
      <c r="Q34" s="159"/>
      <c r="R34" s="159"/>
      <c r="S34" s="159"/>
      <c r="T34" s="159"/>
      <c r="V34" s="158" t="s">
        <v>522</v>
      </c>
      <c r="W34" s="159"/>
      <c r="X34" s="159"/>
      <c r="Y34" s="159"/>
      <c r="Z34" s="159"/>
      <c r="AA34" s="159"/>
      <c r="AB34" s="159"/>
      <c r="AC34" s="159"/>
      <c r="AE34" s="31" t="s">
        <v>351</v>
      </c>
      <c r="AF34" s="3">
        <f>IF($B$2="(Todas)",COUNTIF(BASE[CODCIE10],GUIA_NACIONAL_2022_1106128105168169170174[[#This Row],[CIE-10]]),COUNTIFS(BASE[Cod.Establecimiento],$B$2,BASE[CODCIE10],GUIA_NACIONAL_2022_1106128105168169170174[[#This Row],[CIE-10]]))</f>
        <v>0</v>
      </c>
      <c r="AG34" s="3">
        <f>IF($B$2="(Todas)",COUNTIF(BASE[CODCIE102],GUIA_NACIONAL_2022_1106128105168169170174[[#This Row],[CIE-10]]),COUNTIFS(BASE[Cod.Establecimiento],$B$2,BASE[CODCIE102],GUIA_NACIONAL_2022_1106128105168169170174[[#This Row],[CIE-10]]))</f>
        <v>0</v>
      </c>
      <c r="AH34" s="3">
        <f>IF($B$2="(Todas)",COUNTIF(BASE[CODCIE104],GUIA_NACIONAL_2022_1106128105168169170174[[#This Row],[CIE-10]]),COUNTIFS(BASE[Cod.Establecimiento],$B$2,BASE[CODCIE104],GUIA_NACIONAL_2022_1106128105168169170174[[#This Row],[CIE-10]]))</f>
        <v>0</v>
      </c>
      <c r="AI34" s="3">
        <f>IF($B$2="(Todas)",COUNTIF(BASE[CODCIE106],GUIA_NACIONAL_2022_1106128105168169170174[[#This Row],[CIE-10]]),COUNTIFS(BASE[Cod.Establecimiento],$B$2,BASE[CODCIE106],GUIA_NACIONAL_2022_1106128105168169170174[[#This Row],[CIE-10]]))</f>
        <v>0</v>
      </c>
      <c r="AJ34" s="3">
        <f>IF($B$2="(Todas)",COUNTIF(BASE[CODCIE108],GUIA_NACIONAL_2022_1106128105168169170174[[#This Row],[CIE-10]]),COUNTIFS(BASE[Cod.Establecimiento],$B$2,BASE[CODCIE108],GUIA_NACIONAL_2022_1106128105168169170174[[#This Row],[CIE-10]]))</f>
        <v>0</v>
      </c>
      <c r="AK34" s="3">
        <f>IF($B$2="(Todas)",COUNTIF(BASE[CODCIE1010],GUIA_NACIONAL_2022_1106128105168169170174[[#This Row],[CIE-10]]),COUNTIFS(BASE[Cod.Establecimiento],$B$2,BASE[CODCIE1010],GUIA_NACIONAL_2022_1106128105168169170174[[#This Row],[CIE-10]]))</f>
        <v>0</v>
      </c>
      <c r="AL34" s="9">
        <f>SUM(GUIA_NACIONAL_2022_1106128105168169170174[[#This Row],[D1]:[D6]])</f>
        <v>0</v>
      </c>
      <c r="AN34" s="159" t="s">
        <v>609</v>
      </c>
      <c r="AO34" s="159"/>
      <c r="AP34" s="159"/>
      <c r="AQ34" s="159"/>
      <c r="AR34" s="159"/>
      <c r="AS34" s="159"/>
      <c r="AT34" s="159"/>
      <c r="AU34" s="159"/>
      <c r="BF34" s="158" t="s">
        <v>650</v>
      </c>
      <c r="BG34" s="159"/>
      <c r="BH34" s="159"/>
      <c r="BI34" s="159"/>
      <c r="BJ34" s="159"/>
      <c r="BK34" s="159"/>
      <c r="BL34" s="159"/>
      <c r="BM34" s="159"/>
      <c r="BO34" s="4" t="s">
        <v>317</v>
      </c>
      <c r="BP34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4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4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4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4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4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4" s="9">
        <f>SUM(GUIA_NACIONAL_2022_1106128105107110207210231232234235[[#This Row],[D1]:[D6]])</f>
        <v>0</v>
      </c>
      <c r="CG34" s="4" t="s">
        <v>723</v>
      </c>
      <c r="CH34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4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4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4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4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4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4" s="9">
        <f>SUM(GUIA_NACIONAL_2022_1106128105107111115129130250251252[[#This Row],[D1]:[D6]])</f>
        <v>0</v>
      </c>
    </row>
    <row r="35" spans="1:92" ht="15" customHeight="1">
      <c r="A35" s="150" t="s">
        <v>598</v>
      </c>
      <c r="B35" s="151"/>
      <c r="D35" s="31" t="s">
        <v>415</v>
      </c>
      <c r="E35" s="3">
        <f>IF($B$2="(Todas)",COUNTIF(BASE[CODCIE10],GUIA_NACIONAL_2022_1106109[[#This Row],[CIE-10]]),COUNTIFS(BASE[Cod.Establecimiento],$B$2,BASE[CODCIE10],GUIA_NACIONAL_2022_1106109[[#This Row],[CIE-10]]))</f>
        <v>0</v>
      </c>
      <c r="F35" s="3">
        <f>IF($B$2="(Todas)",COUNTIF(BASE[CODCIE102],GUIA_NACIONAL_2022_1106109[[#This Row],[CIE-10]]),COUNTIFS(BASE[Cod.Establecimiento],$B$2,BASE[CODCIE102],GUIA_NACIONAL_2022_1106109[[#This Row],[CIE-10]]))</f>
        <v>0</v>
      </c>
      <c r="G35" s="3">
        <f>IF($B$2="(Todas)",COUNTIF(BASE[CODCIE104],GUIA_NACIONAL_2022_1106109[[#This Row],[CIE-10]]),COUNTIFS(BASE[Cod.Establecimiento],$B$2,BASE[CODCIE104],GUIA_NACIONAL_2022_1106109[[#This Row],[CIE-10]]))</f>
        <v>0</v>
      </c>
      <c r="H35" s="3">
        <f>IF($B$2="(Todas)",COUNTIF(BASE[CODCIE106],GUIA_NACIONAL_2022_1106109[[#This Row],[CIE-10]]),COUNTIFS(BASE[Cod.Establecimiento],$B$2,BASE[CODCIE106],GUIA_NACIONAL_2022_1106109[[#This Row],[CIE-10]]))</f>
        <v>0</v>
      </c>
      <c r="I35" s="3">
        <f>IF($B$2="(Todas)",COUNTIF(BASE[CODCIE108],GUIA_NACIONAL_2022_1106109[[#This Row],[CIE-10]]),COUNTIFS(BASE[Cod.Establecimiento],$B$2,BASE[CODCIE108],GUIA_NACIONAL_2022_1106109[[#This Row],[CIE-10]]))</f>
        <v>0</v>
      </c>
      <c r="J35" s="3">
        <f>IF($B$2="(Todas)",COUNTIF(BASE[CODCIE1010],GUIA_NACIONAL_2022_1106109[[#This Row],[CIE-10]]),COUNTIFS(BASE[Cod.Establecimiento],$B$2,BASE[CODCIE1010],GUIA_NACIONAL_2022_1106109[[#This Row],[CIE-10]]))</f>
        <v>0</v>
      </c>
      <c r="K35" s="9">
        <f>SUM(GUIA_NACIONAL_2022_1106109[[#This Row],[D1]:[D6]])</f>
        <v>0</v>
      </c>
      <c r="M35" t="s">
        <v>77</v>
      </c>
      <c r="N35" s="3" t="s">
        <v>78</v>
      </c>
      <c r="O35" s="3" t="s">
        <v>79</v>
      </c>
      <c r="P35" s="3" t="s">
        <v>80</v>
      </c>
      <c r="Q35" s="3" t="s">
        <v>81</v>
      </c>
      <c r="R35" s="3" t="s">
        <v>82</v>
      </c>
      <c r="S35" s="3" t="s">
        <v>83</v>
      </c>
      <c r="T35" s="8" t="s">
        <v>84</v>
      </c>
      <c r="V35" t="s">
        <v>77</v>
      </c>
      <c r="W35" s="3" t="s">
        <v>78</v>
      </c>
      <c r="X35" s="3" t="s">
        <v>79</v>
      </c>
      <c r="Y35" s="3" t="s">
        <v>80</v>
      </c>
      <c r="Z35" s="3" t="s">
        <v>81</v>
      </c>
      <c r="AA35" s="3" t="s">
        <v>82</v>
      </c>
      <c r="AB35" s="3" t="s">
        <v>83</v>
      </c>
      <c r="AC35" s="8" t="s">
        <v>84</v>
      </c>
      <c r="AE35" s="31" t="s">
        <v>352</v>
      </c>
      <c r="AF35" s="3">
        <f>IF($B$2="(Todas)",COUNTIF(BASE[CODCIE10],GUIA_NACIONAL_2022_1106128105168169170174[[#This Row],[CIE-10]]),COUNTIFS(BASE[Cod.Establecimiento],$B$2,BASE[CODCIE10],GUIA_NACIONAL_2022_1106128105168169170174[[#This Row],[CIE-10]]))</f>
        <v>0</v>
      </c>
      <c r="AG35" s="3">
        <f>IF($B$2="(Todas)",COUNTIF(BASE[CODCIE102],GUIA_NACIONAL_2022_1106128105168169170174[[#This Row],[CIE-10]]),COUNTIFS(BASE[Cod.Establecimiento],$B$2,BASE[CODCIE102],GUIA_NACIONAL_2022_1106128105168169170174[[#This Row],[CIE-10]]))</f>
        <v>0</v>
      </c>
      <c r="AH35" s="3">
        <f>IF($B$2="(Todas)",COUNTIF(BASE[CODCIE104],GUIA_NACIONAL_2022_1106128105168169170174[[#This Row],[CIE-10]]),COUNTIFS(BASE[Cod.Establecimiento],$B$2,BASE[CODCIE104],GUIA_NACIONAL_2022_1106128105168169170174[[#This Row],[CIE-10]]))</f>
        <v>0</v>
      </c>
      <c r="AI35" s="3">
        <f>IF($B$2="(Todas)",COUNTIF(BASE[CODCIE106],GUIA_NACIONAL_2022_1106128105168169170174[[#This Row],[CIE-10]]),COUNTIFS(BASE[Cod.Establecimiento],$B$2,BASE[CODCIE106],GUIA_NACIONAL_2022_1106128105168169170174[[#This Row],[CIE-10]]))</f>
        <v>0</v>
      </c>
      <c r="AJ35" s="3">
        <f>IF($B$2="(Todas)",COUNTIF(BASE[CODCIE108],GUIA_NACIONAL_2022_1106128105168169170174[[#This Row],[CIE-10]]),COUNTIFS(BASE[Cod.Establecimiento],$B$2,BASE[CODCIE108],GUIA_NACIONAL_2022_1106128105168169170174[[#This Row],[CIE-10]]))</f>
        <v>0</v>
      </c>
      <c r="AK35" s="3">
        <f>IF($B$2="(Todas)",COUNTIF(BASE[CODCIE1010],GUIA_NACIONAL_2022_1106128105168169170174[[#This Row],[CIE-10]]),COUNTIFS(BASE[Cod.Establecimiento],$B$2,BASE[CODCIE1010],GUIA_NACIONAL_2022_1106128105168169170174[[#This Row],[CIE-10]]))</f>
        <v>0</v>
      </c>
      <c r="AL35" s="9">
        <f>SUM(GUIA_NACIONAL_2022_1106128105168169170174[[#This Row],[D1]:[D6]])</f>
        <v>0</v>
      </c>
      <c r="AN35" t="s">
        <v>77</v>
      </c>
      <c r="AO35" s="3" t="s">
        <v>78</v>
      </c>
      <c r="AP35" s="3" t="s">
        <v>79</v>
      </c>
      <c r="AQ35" s="3" t="s">
        <v>80</v>
      </c>
      <c r="AR35" s="3" t="s">
        <v>81</v>
      </c>
      <c r="AS35" s="3" t="s">
        <v>82</v>
      </c>
      <c r="AT35" s="3" t="s">
        <v>83</v>
      </c>
      <c r="AU35" s="8" t="s">
        <v>84</v>
      </c>
      <c r="BF35" t="s">
        <v>77</v>
      </c>
      <c r="BG35" s="3" t="s">
        <v>78</v>
      </c>
      <c r="BH35" s="3" t="s">
        <v>79</v>
      </c>
      <c r="BI35" s="3" t="s">
        <v>80</v>
      </c>
      <c r="BJ35" s="3" t="s">
        <v>81</v>
      </c>
      <c r="BK35" s="3" t="s">
        <v>82</v>
      </c>
      <c r="BL35" s="3" t="s">
        <v>83</v>
      </c>
      <c r="BM35" s="8" t="s">
        <v>84</v>
      </c>
      <c r="BO35" s="4" t="s">
        <v>309</v>
      </c>
      <c r="BP35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5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5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5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5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5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5" s="9">
        <f>SUM(GUIA_NACIONAL_2022_1106128105107110207210231232234235[[#This Row],[D1]:[D6]])</f>
        <v>0</v>
      </c>
      <c r="CG35" s="4" t="s">
        <v>724</v>
      </c>
      <c r="CH35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5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5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5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5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5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5" s="9">
        <f>SUM(GUIA_NACIONAL_2022_1106128105107111115129130250251252[[#This Row],[D1]:[D6]])</f>
        <v>0</v>
      </c>
    </row>
    <row r="36" spans="1:92" ht="15" customHeight="1">
      <c r="A36" s="151"/>
      <c r="B36" s="151"/>
      <c r="D36" s="159" t="s">
        <v>423</v>
      </c>
      <c r="E36" s="159"/>
      <c r="F36" s="159"/>
      <c r="G36" s="159"/>
      <c r="H36" s="159"/>
      <c r="I36" s="159"/>
      <c r="J36" s="159"/>
      <c r="K36" s="159"/>
      <c r="M36" s="4" t="s">
        <v>513</v>
      </c>
      <c r="N36" s="3">
        <f>IF($B$2="(Todas)",COUNTIF(BASE[CODCIE10],GUIA_NACIONAL_2022_1106127136137138139142[[#This Row],[CIE-10]]),COUNTIFS(BASE[Cod.Establecimiento],$B$2,BASE[CODCIE10],GUIA_NACIONAL_2022_1106127136137138139142[[#This Row],[CIE-10]]))</f>
        <v>0</v>
      </c>
      <c r="O36" s="3">
        <f>IF($B$2="(Todas)",COUNTIF(BASE[CODCIE102],GUIA_NACIONAL_2022_1106127136137138139142[[#This Row],[CIE-10]]),COUNTIFS(BASE[Cod.Establecimiento],$B$2,BASE[CODCIE102],GUIA_NACIONAL_2022_1106127136137138139142[[#This Row],[CIE-10]]))</f>
        <v>0</v>
      </c>
      <c r="P36" s="3">
        <f>IF($B$2="(Todas)",COUNTIF(BASE[CODCIE104],GUIA_NACIONAL_2022_1106127136137138139142[[#This Row],[CIE-10]]),COUNTIFS(BASE[Cod.Establecimiento],$B$2,BASE[CODCIE104],GUIA_NACIONAL_2022_1106127136137138139142[[#This Row],[CIE-10]]))</f>
        <v>0</v>
      </c>
      <c r="Q36" s="3">
        <f>IF($B$2="(Todas)",COUNTIF(BASE[CODCIE106],GUIA_NACIONAL_2022_1106127136137138139142[[#This Row],[CIE-10]]),COUNTIFS(BASE[Cod.Establecimiento],$B$2,BASE[CODCIE106],GUIA_NACIONAL_2022_1106127136137138139142[[#This Row],[CIE-10]]))</f>
        <v>0</v>
      </c>
      <c r="R36" s="3">
        <f>IF($B$2="(Todas)",COUNTIF(BASE[CODCIE108],GUIA_NACIONAL_2022_1106127136137138139142[[#This Row],[CIE-10]]),COUNTIFS(BASE[Cod.Establecimiento],$B$2,BASE[CODCIE108],GUIA_NACIONAL_2022_1106127136137138139142[[#This Row],[CIE-10]]))</f>
        <v>0</v>
      </c>
      <c r="S36" s="3">
        <f>IF($B$2="(Todas)",COUNTIF(BASE[CODCIE1010],GUIA_NACIONAL_2022_1106127136137138139142[[#This Row],[CIE-10]]),COUNTIFS(BASE[Cod.Establecimiento],$B$2,BASE[CODCIE1010],GUIA_NACIONAL_2022_1106127136137138139142[[#This Row],[CIE-10]]))</f>
        <v>0</v>
      </c>
      <c r="T36" s="9">
        <f>SUM(GUIA_NACIONAL_2022_1106127136137138139142[[#This Row],[D1]:[D6]])</f>
        <v>0</v>
      </c>
      <c r="V36" s="4" t="s">
        <v>118</v>
      </c>
      <c r="W36" s="3">
        <f>IF($B$2="(Todas)",COUNTIF(BASE[CODCIE10],GUIA_NACIONAL_2022_1106128143146150[[#This Row],[CIE-10]]),COUNTIFS(BASE[Cod.Establecimiento],$B$2,BASE[CODCIE10],GUIA_NACIONAL_2022_1106128143146150[[#This Row],[CIE-10]]))</f>
        <v>0</v>
      </c>
      <c r="X36" s="3">
        <f>IF($B$2="(Todas)",COUNTIF(BASE[CODCIE102],GUIA_NACIONAL_2022_1106128143146150[[#This Row],[CIE-10]]),COUNTIFS(BASE[Cod.Establecimiento],$B$2,BASE[CODCIE102],GUIA_NACIONAL_2022_1106128143146150[[#This Row],[CIE-10]]))</f>
        <v>0</v>
      </c>
      <c r="Y36" s="3">
        <f>IF($B$2="(Todas)",COUNTIF(BASE[CODCIE104],GUIA_NACIONAL_2022_1106128143146150[[#This Row],[CIE-10]]),COUNTIFS(BASE[Cod.Establecimiento],$B$2,BASE[CODCIE104],GUIA_NACIONAL_2022_1106128143146150[[#This Row],[CIE-10]]))</f>
        <v>0</v>
      </c>
      <c r="Z36" s="3">
        <f>IF($B$2="(Todas)",COUNTIF(BASE[CODCIE106],GUIA_NACIONAL_2022_1106128143146150[[#This Row],[CIE-10]]),COUNTIFS(BASE[Cod.Establecimiento],$B$2,BASE[CODCIE106],GUIA_NACIONAL_2022_1106128143146150[[#This Row],[CIE-10]]))</f>
        <v>0</v>
      </c>
      <c r="AA36" s="3">
        <f>IF($B$2="(Todas)",COUNTIF(BASE[CODCIE108],GUIA_NACIONAL_2022_1106128143146150[[#This Row],[CIE-10]]),COUNTIFS(BASE[Cod.Establecimiento],$B$2,BASE[CODCIE108],GUIA_NACIONAL_2022_1106128143146150[[#This Row],[CIE-10]]))</f>
        <v>0</v>
      </c>
      <c r="AB36" s="3">
        <f>IF($B$2="(Todas)",COUNTIF(BASE[CODCIE1010],GUIA_NACIONAL_2022_1106128143146150[[#This Row],[CIE-10]]),COUNTIFS(BASE[Cod.Establecimiento],$B$2,BASE[CODCIE1010],GUIA_NACIONAL_2022_1106128143146150[[#This Row],[CIE-10]]))</f>
        <v>0</v>
      </c>
      <c r="AC36" s="9">
        <f>SUM(GUIA_NACIONAL_2022_1106128143146150[[#This Row],[D1]:[D6]])</f>
        <v>0</v>
      </c>
      <c r="AE36" s="160" t="s">
        <v>557</v>
      </c>
      <c r="AF36" s="160"/>
      <c r="AG36" s="160"/>
      <c r="AH36" s="160"/>
      <c r="AI36" s="160"/>
      <c r="AJ36" s="160"/>
      <c r="AK36" s="160"/>
      <c r="AL36" s="160"/>
      <c r="AN36" s="4" t="s">
        <v>374</v>
      </c>
      <c r="AO36" s="3">
        <f>IF($B$2="(Todas)",COUNTIF(BASE[CODCIE10],GUIA_NACIONAL_2022_1106128105168162195198202[[#This Row],[CIE-10]]),COUNTIFS(BASE[Cod.Establecimiento],$B$2,BASE[CODCIE10],GUIA_NACIONAL_2022_1106128105168162195198202[[#This Row],[CIE-10]]))</f>
        <v>0</v>
      </c>
      <c r="AP36" s="3">
        <f>IF($B$2="(Todas)",COUNTIF(BASE[CODCIE102],GUIA_NACIONAL_2022_1106128105168162195198202[[#This Row],[CIE-10]]),COUNTIFS(BASE[Cod.Establecimiento],$B$2,BASE[CODCIE102],GUIA_NACIONAL_2022_1106128105168162195198202[[#This Row],[CIE-10]]))</f>
        <v>0</v>
      </c>
      <c r="AQ36" s="3">
        <f>IF($B$2="(Todas)",COUNTIF(BASE[CODCIE104],GUIA_NACIONAL_2022_1106128105168162195198202[[#This Row],[CIE-10]]),COUNTIFS(BASE[Cod.Establecimiento],$B$2,BASE[CODCIE104],GUIA_NACIONAL_2022_1106128105168162195198202[[#This Row],[CIE-10]]))</f>
        <v>0</v>
      </c>
      <c r="AR36" s="3">
        <f>IF($B$2="(Todas)",COUNTIF(BASE[CODCIE106],GUIA_NACIONAL_2022_1106128105168162195198202[[#This Row],[CIE-10]]),COUNTIFS(BASE[Cod.Establecimiento],$B$2,BASE[CODCIE106],GUIA_NACIONAL_2022_1106128105168162195198202[[#This Row],[CIE-10]]))</f>
        <v>0</v>
      </c>
      <c r="AS36" s="3">
        <f>IF($B$2="(Todas)",COUNTIF(BASE[CODCIE108],GUIA_NACIONAL_2022_1106128105168162195198202[[#This Row],[CIE-10]]),COUNTIFS(BASE[Cod.Establecimiento],$B$2,BASE[CODCIE108],GUIA_NACIONAL_2022_1106128105168162195198202[[#This Row],[CIE-10]]))</f>
        <v>0</v>
      </c>
      <c r="AT36" s="3">
        <f>IF($B$2="(Todas)",COUNTIF(BASE[CODCIE1010],GUIA_NACIONAL_2022_1106128105168162195198202[[#This Row],[CIE-10]]),COUNTIFS(BASE[Cod.Establecimiento],$B$2,BASE[CODCIE1010],GUIA_NACIONAL_2022_1106128105168162195198202[[#This Row],[CIE-10]]))</f>
        <v>0</v>
      </c>
      <c r="AU36" s="9">
        <f>SUM(GUIA_NACIONAL_2022_1106128105168162195198202[[#This Row],[D1]:[D6]])</f>
        <v>0</v>
      </c>
      <c r="BF36" s="4" t="s">
        <v>651</v>
      </c>
      <c r="BG36" s="3">
        <f>IF($B$2="(Todas)",COUNTIF(BASE[CODCIE10],GUIA_NACIONAL_2022_1106128105107110207214216217218219[[#This Row],[CIE-10]]),COUNTIFS(BASE[Cod.Establecimiento],$B$2,BASE[CODCIE10],GUIA_NACIONAL_2022_1106128105107110207214216217218219[[#This Row],[CIE-10]]))</f>
        <v>0</v>
      </c>
      <c r="BH36" s="3">
        <f>IF($B$2="(Todas)",COUNTIF(BASE[CODCIE102],GUIA_NACIONAL_2022_1106128105107110207214216217218219[[#This Row],[CIE-10]]),COUNTIFS(BASE[Cod.Establecimiento],$B$2,BASE[CODCIE102],GUIA_NACIONAL_2022_1106128105107110207214216217218219[[#This Row],[CIE-10]]))</f>
        <v>0</v>
      </c>
      <c r="BI36" s="3">
        <f>IF($B$2="(Todas)",COUNTIF(BASE[CODCIE104],GUIA_NACIONAL_2022_1106128105107110207214216217218219[[#This Row],[CIE-10]]),COUNTIFS(BASE[Cod.Establecimiento],$B$2,BASE[CODCIE104],GUIA_NACIONAL_2022_1106128105107110207214216217218219[[#This Row],[CIE-10]]))</f>
        <v>0</v>
      </c>
      <c r="BJ36" s="3">
        <f>IF($B$2="(Todas)",COUNTIF(BASE[CODCIE106],GUIA_NACIONAL_2022_1106128105107110207214216217218219[[#This Row],[CIE-10]]),COUNTIFS(BASE[Cod.Establecimiento],$B$2,BASE[CODCIE106],GUIA_NACIONAL_2022_1106128105107110207214216217218219[[#This Row],[CIE-10]]))</f>
        <v>0</v>
      </c>
      <c r="BK36" s="3">
        <f>IF($B$2="(Todas)",COUNTIF(BASE[CODCIE108],GUIA_NACIONAL_2022_1106128105107110207214216217218219[[#This Row],[CIE-10]]),COUNTIFS(BASE[Cod.Establecimiento],$B$2,BASE[CODCIE108],GUIA_NACIONAL_2022_1106128105107110207214216217218219[[#This Row],[CIE-10]]))</f>
        <v>0</v>
      </c>
      <c r="BL36" s="3">
        <f>IF($B$2="(Todas)",COUNTIF(BASE[CODCIE1010],GUIA_NACIONAL_2022_1106128105107110207214216217218219[[#This Row],[CIE-10]]),COUNTIFS(BASE[Cod.Establecimiento],$B$2,BASE[CODCIE1010],GUIA_NACIONAL_2022_1106128105107110207214216217218219[[#This Row],[CIE-10]]))</f>
        <v>0</v>
      </c>
      <c r="BM36" s="9">
        <f>SUM(GUIA_NACIONAL_2022_1106128105107110207214216217218219[[#This Row],[D1]:[D6]])</f>
        <v>0</v>
      </c>
      <c r="BO36" s="4" t="s">
        <v>310</v>
      </c>
      <c r="BP36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6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6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6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6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6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6" s="9">
        <f>SUM(GUIA_NACIONAL_2022_1106128105107110207210231232234235[[#This Row],[D1]:[D6]])</f>
        <v>0</v>
      </c>
      <c r="CG36" s="4" t="s">
        <v>725</v>
      </c>
      <c r="CH36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6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6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6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6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6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6" s="9">
        <f>SUM(GUIA_NACIONAL_2022_1106128105107111115129130250251252[[#This Row],[D1]:[D6]])</f>
        <v>0</v>
      </c>
    </row>
    <row r="37" spans="1:92" ht="15" customHeight="1">
      <c r="A37" s="151"/>
      <c r="B37" s="151"/>
      <c r="D37" t="s">
        <v>77</v>
      </c>
      <c r="E37" s="3" t="s">
        <v>78</v>
      </c>
      <c r="F37" s="3" t="s">
        <v>79</v>
      </c>
      <c r="G37" s="3" t="s">
        <v>80</v>
      </c>
      <c r="H37" s="3" t="s">
        <v>81</v>
      </c>
      <c r="I37" s="3" t="s">
        <v>82</v>
      </c>
      <c r="J37" s="3" t="s">
        <v>83</v>
      </c>
      <c r="K37" s="8" t="s">
        <v>84</v>
      </c>
      <c r="V37" s="158" t="s">
        <v>523</v>
      </c>
      <c r="W37" s="159"/>
      <c r="X37" s="159"/>
      <c r="Y37" s="159"/>
      <c r="Z37" s="159"/>
      <c r="AA37" s="159"/>
      <c r="AB37" s="159"/>
      <c r="AC37" s="159"/>
      <c r="AE37" s="159" t="s">
        <v>558</v>
      </c>
      <c r="AF37" s="159"/>
      <c r="AG37" s="159"/>
      <c r="AH37" s="159"/>
      <c r="AI37" s="159"/>
      <c r="AJ37" s="159"/>
      <c r="AK37" s="159"/>
      <c r="AL37" s="159"/>
      <c r="AN37" s="160" t="s">
        <v>612</v>
      </c>
      <c r="AO37" s="160"/>
      <c r="AP37" s="160"/>
      <c r="AQ37" s="160"/>
      <c r="AR37" s="160"/>
      <c r="AS37" s="160"/>
      <c r="AT37" s="160"/>
      <c r="AU37" s="160"/>
      <c r="BF37" s="4" t="s">
        <v>652</v>
      </c>
      <c r="BG37" s="3">
        <f>IF($B$2="(Todas)",COUNTIF(BASE[CODCIE10],GUIA_NACIONAL_2022_1106128105107110207214216217218219[[#This Row],[CIE-10]]),COUNTIFS(BASE[Cod.Establecimiento],$B$2,BASE[CODCIE10],GUIA_NACIONAL_2022_1106128105107110207214216217218219[[#This Row],[CIE-10]]))</f>
        <v>0</v>
      </c>
      <c r="BH37" s="3">
        <f>IF($B$2="(Todas)",COUNTIF(BASE[CODCIE102],GUIA_NACIONAL_2022_1106128105107110207214216217218219[[#This Row],[CIE-10]]),COUNTIFS(BASE[Cod.Establecimiento],$B$2,BASE[CODCIE102],GUIA_NACIONAL_2022_1106128105107110207214216217218219[[#This Row],[CIE-10]]))</f>
        <v>0</v>
      </c>
      <c r="BI37" s="3">
        <f>IF($B$2="(Todas)",COUNTIF(BASE[CODCIE104],GUIA_NACIONAL_2022_1106128105107110207214216217218219[[#This Row],[CIE-10]]),COUNTIFS(BASE[Cod.Establecimiento],$B$2,BASE[CODCIE104],GUIA_NACIONAL_2022_1106128105107110207214216217218219[[#This Row],[CIE-10]]))</f>
        <v>0</v>
      </c>
      <c r="BJ37" s="3">
        <f>IF($B$2="(Todas)",COUNTIF(BASE[CODCIE106],GUIA_NACIONAL_2022_1106128105107110207214216217218219[[#This Row],[CIE-10]]),COUNTIFS(BASE[Cod.Establecimiento],$B$2,BASE[CODCIE106],GUIA_NACIONAL_2022_1106128105107110207214216217218219[[#This Row],[CIE-10]]))</f>
        <v>0</v>
      </c>
      <c r="BK37" s="3">
        <f>IF($B$2="(Todas)",COUNTIF(BASE[CODCIE108],GUIA_NACIONAL_2022_1106128105107110207214216217218219[[#This Row],[CIE-10]]),COUNTIFS(BASE[Cod.Establecimiento],$B$2,BASE[CODCIE108],GUIA_NACIONAL_2022_1106128105107110207214216217218219[[#This Row],[CIE-10]]))</f>
        <v>0</v>
      </c>
      <c r="BL37" s="3">
        <f>IF($B$2="(Todas)",COUNTIF(BASE[CODCIE1010],GUIA_NACIONAL_2022_1106128105107110207214216217218219[[#This Row],[CIE-10]]),COUNTIFS(BASE[Cod.Establecimiento],$B$2,BASE[CODCIE1010],GUIA_NACIONAL_2022_1106128105107110207214216217218219[[#This Row],[CIE-10]]))</f>
        <v>0</v>
      </c>
      <c r="BM37" s="9">
        <f>SUM(GUIA_NACIONAL_2022_1106128105107110207214216217218219[[#This Row],[D1]:[D6]])</f>
        <v>0</v>
      </c>
      <c r="BO37" s="4" t="s">
        <v>311</v>
      </c>
      <c r="BP37" s="3">
        <f>IF($B$2="(Todas)",COUNTIF(BASE[CODCIE10],GUIA_NACIONAL_2022_1106128105107110207210231232234235[[#This Row],[CIE-10]]),COUNTIFS(BASE[Cod.Establecimiento],$B$2,BASE[CODCIE10],GUIA_NACIONAL_2022_1106128105107110207210231232234235[[#This Row],[CIE-10]]))</f>
        <v>0</v>
      </c>
      <c r="BQ37" s="3">
        <f>IF($B$2="(Todas)",COUNTIF(BASE[CODCIE102],GUIA_NACIONAL_2022_1106128105107110207210231232234235[[#This Row],[CIE-10]]),COUNTIFS(BASE[Cod.Establecimiento],$B$2,BASE[CODCIE102],GUIA_NACIONAL_2022_1106128105107110207210231232234235[[#This Row],[CIE-10]]))</f>
        <v>0</v>
      </c>
      <c r="BR37" s="3">
        <f>IF($B$2="(Todas)",COUNTIF(BASE[CODCIE104],GUIA_NACIONAL_2022_1106128105107110207210231232234235[[#This Row],[CIE-10]]),COUNTIFS(BASE[Cod.Establecimiento],$B$2,BASE[CODCIE104],GUIA_NACIONAL_2022_1106128105107110207210231232234235[[#This Row],[CIE-10]]))</f>
        <v>0</v>
      </c>
      <c r="BS37" s="3">
        <f>IF($B$2="(Todas)",COUNTIF(BASE[CODCIE106],GUIA_NACIONAL_2022_1106128105107110207210231232234235[[#This Row],[CIE-10]]),COUNTIFS(BASE[Cod.Establecimiento],$B$2,BASE[CODCIE106],GUIA_NACIONAL_2022_1106128105107110207210231232234235[[#This Row],[CIE-10]]))</f>
        <v>0</v>
      </c>
      <c r="BT37" s="3">
        <f>IF($B$2="(Todas)",COUNTIF(BASE[CODCIE108],GUIA_NACIONAL_2022_1106128105107110207210231232234235[[#This Row],[CIE-10]]),COUNTIFS(BASE[Cod.Establecimiento],$B$2,BASE[CODCIE108],GUIA_NACIONAL_2022_1106128105107110207210231232234235[[#This Row],[CIE-10]]))</f>
        <v>0</v>
      </c>
      <c r="BU37" s="3">
        <f>IF($B$2="(Todas)",COUNTIF(BASE[CODCIE1010],GUIA_NACIONAL_2022_1106128105107110207210231232234235[[#This Row],[CIE-10]]),COUNTIFS(BASE[Cod.Establecimiento],$B$2,BASE[CODCIE1010],GUIA_NACIONAL_2022_1106128105107110207210231232234235[[#This Row],[CIE-10]]))</f>
        <v>0</v>
      </c>
      <c r="BV37" s="9">
        <f>SUM(GUIA_NACIONAL_2022_1106128105107110207210231232234235[[#This Row],[D1]:[D6]])</f>
        <v>0</v>
      </c>
      <c r="CG37" s="4" t="s">
        <v>726</v>
      </c>
      <c r="CH37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7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7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7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7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7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7" s="9">
        <f>SUM(GUIA_NACIONAL_2022_1106128105107111115129130250251252[[#This Row],[D1]:[D6]])</f>
        <v>0</v>
      </c>
    </row>
    <row r="38" spans="1:92" ht="15" customHeight="1">
      <c r="A38" s="151"/>
      <c r="B38" s="151"/>
      <c r="D38" s="4" t="s">
        <v>393</v>
      </c>
      <c r="E38" s="3">
        <f>IF($B$2="(Todas)",COUNTIF(BASE[CODCIE10],GUIA_NACIONAL_2022_1106112[[#This Row],[CIE-10]]),COUNTIFS(BASE[Cod.Establecimiento],$B$2,BASE[CODCIE10],GUIA_NACIONAL_2022_1106112[[#This Row],[CIE-10]]))</f>
        <v>0</v>
      </c>
      <c r="F38" s="3">
        <f>IF($B$2="(Todas)",COUNTIF(BASE[CODCIE102],GUIA_NACIONAL_2022_1106112[[#This Row],[CIE-10]]),COUNTIFS(BASE[Cod.Establecimiento],$B$2,BASE[CODCIE102],GUIA_NACIONAL_2022_1106112[[#This Row],[CIE-10]]))</f>
        <v>0</v>
      </c>
      <c r="G38" s="3">
        <f>IF($B$2="(Todas)",COUNTIF(BASE[CODCIE104],GUIA_NACIONAL_2022_1106112[[#This Row],[CIE-10]]),COUNTIFS(BASE[Cod.Establecimiento],$B$2,BASE[CODCIE104],GUIA_NACIONAL_2022_1106112[[#This Row],[CIE-10]]))</f>
        <v>0</v>
      </c>
      <c r="H38" s="3">
        <f>IF($B$2="(Todas)",COUNTIF(BASE[CODCIE106],GUIA_NACIONAL_2022_1106112[[#This Row],[CIE-10]]),COUNTIFS(BASE[Cod.Establecimiento],$B$2,BASE[CODCIE106],GUIA_NACIONAL_2022_1106112[[#This Row],[CIE-10]]))</f>
        <v>0</v>
      </c>
      <c r="I38" s="3">
        <f>IF($B$2="(Todas)",COUNTIF(BASE[CODCIE108],GUIA_NACIONAL_2022_1106112[[#This Row],[CIE-10]]),COUNTIFS(BASE[Cod.Establecimiento],$B$2,BASE[CODCIE108],GUIA_NACIONAL_2022_1106112[[#This Row],[CIE-10]]))</f>
        <v>0</v>
      </c>
      <c r="J38" s="3">
        <f>IF($B$2="(Todas)",COUNTIF(BASE[CODCIE1010],GUIA_NACIONAL_2022_1106112[[#This Row],[CIE-10]]),COUNTIFS(BASE[Cod.Establecimiento],$B$2,BASE[CODCIE1010],GUIA_NACIONAL_2022_1106112[[#This Row],[CIE-10]]))</f>
        <v>0</v>
      </c>
      <c r="K38" s="9">
        <f>SUM(GUIA_NACIONAL_2022_1106112[[#This Row],[D1]:[D6]])</f>
        <v>0</v>
      </c>
      <c r="V38" t="s">
        <v>77</v>
      </c>
      <c r="W38" s="3" t="s">
        <v>78</v>
      </c>
      <c r="X38" s="3" t="s">
        <v>79</v>
      </c>
      <c r="Y38" s="3" t="s">
        <v>80</v>
      </c>
      <c r="Z38" s="3" t="s">
        <v>81</v>
      </c>
      <c r="AA38" s="3" t="s">
        <v>82</v>
      </c>
      <c r="AB38" s="3" t="s">
        <v>83</v>
      </c>
      <c r="AC38" s="8" t="s">
        <v>84</v>
      </c>
      <c r="AE38" t="s">
        <v>77</v>
      </c>
      <c r="AF38" s="3" t="s">
        <v>78</v>
      </c>
      <c r="AG38" s="3" t="s">
        <v>79</v>
      </c>
      <c r="AH38" s="3" t="s">
        <v>80</v>
      </c>
      <c r="AI38" s="3" t="s">
        <v>81</v>
      </c>
      <c r="AJ38" s="3" t="s">
        <v>82</v>
      </c>
      <c r="AK38" s="3" t="s">
        <v>83</v>
      </c>
      <c r="AL38" s="8" t="s">
        <v>84</v>
      </c>
      <c r="AN38" s="159" t="s">
        <v>613</v>
      </c>
      <c r="AO38" s="159"/>
      <c r="AP38" s="159"/>
      <c r="AQ38" s="159"/>
      <c r="AR38" s="159"/>
      <c r="AS38" s="159"/>
      <c r="AT38" s="159"/>
      <c r="AU38" s="159"/>
      <c r="BF38" s="158" t="s">
        <v>653</v>
      </c>
      <c r="BG38" s="159"/>
      <c r="BH38" s="159"/>
      <c r="BI38" s="159"/>
      <c r="BJ38" s="159"/>
      <c r="BK38" s="159"/>
      <c r="BL38" s="159"/>
      <c r="BM38" s="159"/>
      <c r="BO38" s="160" t="s">
        <v>162</v>
      </c>
      <c r="BP38" s="160"/>
      <c r="BQ38" s="160"/>
      <c r="BR38" s="160"/>
      <c r="BS38" s="160"/>
      <c r="BT38" s="160"/>
      <c r="BU38" s="160"/>
      <c r="BV38" s="160"/>
      <c r="CG38" s="4" t="s">
        <v>727</v>
      </c>
      <c r="CH38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8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8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8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8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8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8" s="9">
        <f>SUM(GUIA_NACIONAL_2022_1106128105107111115129130250251252[[#This Row],[D1]:[D6]])</f>
        <v>0</v>
      </c>
    </row>
    <row r="39" spans="1:92" ht="15" customHeight="1">
      <c r="D39" s="159" t="s">
        <v>424</v>
      </c>
      <c r="E39" s="159"/>
      <c r="F39" s="159"/>
      <c r="G39" s="159"/>
      <c r="H39" s="159"/>
      <c r="I39" s="159"/>
      <c r="J39" s="159"/>
      <c r="K39" s="159"/>
      <c r="V39" s="4" t="s">
        <v>121</v>
      </c>
      <c r="W39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39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39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39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39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39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39" s="9">
        <f>SUM(GUIA_NACIONAL_2022_1106128143146150151[[#This Row],[D1]:[D6]])</f>
        <v>0</v>
      </c>
      <c r="AE39" s="4" t="s">
        <v>559</v>
      </c>
      <c r="AF39" s="3">
        <f>IF($B$2="(Todas)",COUNTIF(BASE[CODCIE10],GUIA_NACIONAL_2022_1106128105168175[[#This Row],[CIE-10]]),COUNTIFS(BASE[Cod.Establecimiento],$B$2,BASE[CODCIE10],GUIA_NACIONAL_2022_1106128105168175[[#This Row],[CIE-10]]))</f>
        <v>0</v>
      </c>
      <c r="AG39" s="3">
        <f>IF($B$2="(Todas)",COUNTIF(BASE[CODCIE102],GUIA_NACIONAL_2022_1106128105168175[[#This Row],[CIE-10]]),COUNTIFS(BASE[Cod.Establecimiento],$B$2,BASE[CODCIE102],GUIA_NACIONAL_2022_1106128105168175[[#This Row],[CIE-10]]))</f>
        <v>0</v>
      </c>
      <c r="AH39" s="3">
        <f>IF($B$2="(Todas)",COUNTIF(BASE[CODCIE104],GUIA_NACIONAL_2022_1106128105168175[[#This Row],[CIE-10]]),COUNTIFS(BASE[Cod.Establecimiento],$B$2,BASE[CODCIE104],GUIA_NACIONAL_2022_1106128105168175[[#This Row],[CIE-10]]))</f>
        <v>0</v>
      </c>
      <c r="AI39" s="3">
        <f>IF($B$2="(Todas)",COUNTIF(BASE[CODCIE106],GUIA_NACIONAL_2022_1106128105168175[[#This Row],[CIE-10]]),COUNTIFS(BASE[Cod.Establecimiento],$B$2,BASE[CODCIE106],GUIA_NACIONAL_2022_1106128105168175[[#This Row],[CIE-10]]))</f>
        <v>0</v>
      </c>
      <c r="AJ39" s="3">
        <f>IF($B$2="(Todas)",COUNTIF(BASE[CODCIE108],GUIA_NACIONAL_2022_1106128105168175[[#This Row],[CIE-10]]),COUNTIFS(BASE[Cod.Establecimiento],$B$2,BASE[CODCIE108],GUIA_NACIONAL_2022_1106128105168175[[#This Row],[CIE-10]]))</f>
        <v>0</v>
      </c>
      <c r="AK39" s="3">
        <f>IF($B$2="(Todas)",COUNTIF(BASE[CODCIE1010],GUIA_NACIONAL_2022_1106128105168175[[#This Row],[CIE-10]]),COUNTIFS(BASE[Cod.Establecimiento],$B$2,BASE[CODCIE1010],GUIA_NACIONAL_2022_1106128105168175[[#This Row],[CIE-10]]))</f>
        <v>0</v>
      </c>
      <c r="AL39" s="9">
        <f>SUM(GUIA_NACIONAL_2022_1106128105168175[[#This Row],[D1]:[D6]])</f>
        <v>0</v>
      </c>
      <c r="AN39" t="s">
        <v>77</v>
      </c>
      <c r="AO39" s="3" t="s">
        <v>78</v>
      </c>
      <c r="AP39" s="3" t="s">
        <v>79</v>
      </c>
      <c r="AQ39" s="3" t="s">
        <v>80</v>
      </c>
      <c r="AR39" s="3" t="s">
        <v>81</v>
      </c>
      <c r="AS39" s="3" t="s">
        <v>82</v>
      </c>
      <c r="AT39" s="3" t="s">
        <v>83</v>
      </c>
      <c r="AU39" s="8" t="s">
        <v>84</v>
      </c>
      <c r="BF39" t="s">
        <v>77</v>
      </c>
      <c r="BG39" s="3" t="s">
        <v>78</v>
      </c>
      <c r="BH39" s="3" t="s">
        <v>79</v>
      </c>
      <c r="BI39" s="3" t="s">
        <v>80</v>
      </c>
      <c r="BJ39" s="3" t="s">
        <v>81</v>
      </c>
      <c r="BK39" s="3" t="s">
        <v>82</v>
      </c>
      <c r="BL39" s="3" t="s">
        <v>83</v>
      </c>
      <c r="BM39" s="8" t="s">
        <v>84</v>
      </c>
      <c r="BO39" s="159" t="s">
        <v>680</v>
      </c>
      <c r="BP39" s="159"/>
      <c r="BQ39" s="159"/>
      <c r="BR39" s="159"/>
      <c r="BS39" s="159"/>
      <c r="BT39" s="159"/>
      <c r="BU39" s="159"/>
      <c r="BV39" s="159"/>
      <c r="CG39" s="4" t="s">
        <v>728</v>
      </c>
      <c r="CH39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39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39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39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39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39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39" s="9">
        <f>SUM(GUIA_NACIONAL_2022_1106128105107111115129130250251252[[#This Row],[D1]:[D6]])</f>
        <v>0</v>
      </c>
    </row>
    <row r="40" spans="1:92" ht="15" customHeight="1">
      <c r="D40" t="s">
        <v>77</v>
      </c>
      <c r="E40" s="3" t="s">
        <v>78</v>
      </c>
      <c r="F40" s="3" t="s">
        <v>79</v>
      </c>
      <c r="G40" s="3" t="s">
        <v>80</v>
      </c>
      <c r="H40" s="3" t="s">
        <v>81</v>
      </c>
      <c r="I40" s="3" t="s">
        <v>82</v>
      </c>
      <c r="J40" s="3" t="s">
        <v>83</v>
      </c>
      <c r="K40" s="8" t="s">
        <v>84</v>
      </c>
      <c r="V40" s="31" t="s">
        <v>123</v>
      </c>
      <c r="W40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0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0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0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0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0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0" s="9">
        <f>SUM(GUIA_NACIONAL_2022_1106128143146150151[[#This Row],[D1]:[D6]])</f>
        <v>0</v>
      </c>
      <c r="AE40" s="31" t="s">
        <v>560</v>
      </c>
      <c r="AF40" s="3">
        <f>IF($B$2="(Todas)",COUNTIF(BASE[CODCIE10],GUIA_NACIONAL_2022_1106128105168175[[#This Row],[CIE-10]]),COUNTIFS(BASE[Cod.Establecimiento],$B$2,BASE[CODCIE10],GUIA_NACIONAL_2022_1106128105168175[[#This Row],[CIE-10]]))</f>
        <v>0</v>
      </c>
      <c r="AG40" s="3">
        <f>IF($B$2="(Todas)",COUNTIF(BASE[CODCIE102],GUIA_NACIONAL_2022_1106128105168175[[#This Row],[CIE-10]]),COUNTIFS(BASE[Cod.Establecimiento],$B$2,BASE[CODCIE102],GUIA_NACIONAL_2022_1106128105168175[[#This Row],[CIE-10]]))</f>
        <v>0</v>
      </c>
      <c r="AH40" s="3">
        <f>IF($B$2="(Todas)",COUNTIF(BASE[CODCIE104],GUIA_NACIONAL_2022_1106128105168175[[#This Row],[CIE-10]]),COUNTIFS(BASE[Cod.Establecimiento],$B$2,BASE[CODCIE104],GUIA_NACIONAL_2022_1106128105168175[[#This Row],[CIE-10]]))</f>
        <v>0</v>
      </c>
      <c r="AI40" s="3">
        <f>IF($B$2="(Todas)",COUNTIF(BASE[CODCIE106],GUIA_NACIONAL_2022_1106128105168175[[#This Row],[CIE-10]]),COUNTIFS(BASE[Cod.Establecimiento],$B$2,BASE[CODCIE106],GUIA_NACIONAL_2022_1106128105168175[[#This Row],[CIE-10]]))</f>
        <v>0</v>
      </c>
      <c r="AJ40" s="3">
        <f>IF($B$2="(Todas)",COUNTIF(BASE[CODCIE108],GUIA_NACIONAL_2022_1106128105168175[[#This Row],[CIE-10]]),COUNTIFS(BASE[Cod.Establecimiento],$B$2,BASE[CODCIE108],GUIA_NACIONAL_2022_1106128105168175[[#This Row],[CIE-10]]))</f>
        <v>0</v>
      </c>
      <c r="AK40" s="3">
        <f>IF($B$2="(Todas)",COUNTIF(BASE[CODCIE1010],GUIA_NACIONAL_2022_1106128105168175[[#This Row],[CIE-10]]),COUNTIFS(BASE[Cod.Establecimiento],$B$2,BASE[CODCIE1010],GUIA_NACIONAL_2022_1106128105168175[[#This Row],[CIE-10]]))</f>
        <v>0</v>
      </c>
      <c r="AL40" s="9">
        <f>SUM(GUIA_NACIONAL_2022_1106128105168175[[#This Row],[D1]:[D6]])</f>
        <v>0</v>
      </c>
      <c r="AN40" s="4" t="s">
        <v>614</v>
      </c>
      <c r="AO40" s="3">
        <f>IF($B$2="(Todas)",COUNTIF(BASE[CODCIE10],GUIA_NACIONAL_2022_1106128105168162197200203[[#This Row],[CIE-10]]),COUNTIFS(BASE[Cod.Establecimiento],$B$2,BASE[CODCIE10],GUIA_NACIONAL_2022_1106128105168162197200203[[#This Row],[CIE-10]]))</f>
        <v>0</v>
      </c>
      <c r="AP40" s="3">
        <f>IF($B$2="(Todas)",COUNTIF(BASE[CODCIE102],GUIA_NACIONAL_2022_1106128105168162197200203[[#This Row],[CIE-10]]),COUNTIFS(BASE[Cod.Establecimiento],$B$2,BASE[CODCIE102],GUIA_NACIONAL_2022_1106128105168162197200203[[#This Row],[CIE-10]]))</f>
        <v>0</v>
      </c>
      <c r="AQ40" s="3">
        <f>IF($B$2="(Todas)",COUNTIF(BASE[CODCIE104],GUIA_NACIONAL_2022_1106128105168162197200203[[#This Row],[CIE-10]]),COUNTIFS(BASE[Cod.Establecimiento],$B$2,BASE[CODCIE104],GUIA_NACIONAL_2022_1106128105168162197200203[[#This Row],[CIE-10]]))</f>
        <v>0</v>
      </c>
      <c r="AR40" s="3">
        <f>IF($B$2="(Todas)",COUNTIF(BASE[CODCIE106],GUIA_NACIONAL_2022_1106128105168162197200203[[#This Row],[CIE-10]]),COUNTIFS(BASE[Cod.Establecimiento],$B$2,BASE[CODCIE106],GUIA_NACIONAL_2022_1106128105168162197200203[[#This Row],[CIE-10]]))</f>
        <v>0</v>
      </c>
      <c r="AS40" s="3">
        <f>IF($B$2="(Todas)",COUNTIF(BASE[CODCIE108],GUIA_NACIONAL_2022_1106128105168162197200203[[#This Row],[CIE-10]]),COUNTIFS(BASE[Cod.Establecimiento],$B$2,BASE[CODCIE108],GUIA_NACIONAL_2022_1106128105168162197200203[[#This Row],[CIE-10]]))</f>
        <v>0</v>
      </c>
      <c r="AT40" s="3">
        <f>IF($B$2="(Todas)",COUNTIF(BASE[CODCIE1010],GUIA_NACIONAL_2022_1106128105168162197200203[[#This Row],[CIE-10]]),COUNTIFS(BASE[Cod.Establecimiento],$B$2,BASE[CODCIE1010],GUIA_NACIONAL_2022_1106128105168162197200203[[#This Row],[CIE-10]]))</f>
        <v>0</v>
      </c>
      <c r="AU40" s="9">
        <f>SUM(GUIA_NACIONAL_2022_1106128105168162197200203[[#This Row],[D1]:[D6]])</f>
        <v>0</v>
      </c>
      <c r="BF40" s="4" t="s">
        <v>654</v>
      </c>
      <c r="BG40" s="3">
        <f>IF($B$2="(Todas)",COUNTIF(BASE[CODCIE10],GUIA_NACIONAL_2022_1106128105107110207214216217218219220[[#This Row],[CIE-10]]),COUNTIFS(BASE[Cod.Establecimiento],$B$2,BASE[CODCIE10],GUIA_NACIONAL_2022_1106128105107110207214216217218219220[[#This Row],[CIE-10]]))</f>
        <v>0</v>
      </c>
      <c r="BH40" s="3">
        <f>IF($B$2="(Todas)",COUNTIF(BASE[CODCIE102],GUIA_NACIONAL_2022_1106128105107110207214216217218219220[[#This Row],[CIE-10]]),COUNTIFS(BASE[Cod.Establecimiento],$B$2,BASE[CODCIE102],GUIA_NACIONAL_2022_1106128105107110207214216217218219220[[#This Row],[CIE-10]]))</f>
        <v>0</v>
      </c>
      <c r="BI40" s="3">
        <f>IF($B$2="(Todas)",COUNTIF(BASE[CODCIE104],GUIA_NACIONAL_2022_1106128105107110207214216217218219220[[#This Row],[CIE-10]]),COUNTIFS(BASE[Cod.Establecimiento],$B$2,BASE[CODCIE104],GUIA_NACIONAL_2022_1106128105107110207214216217218219220[[#This Row],[CIE-10]]))</f>
        <v>0</v>
      </c>
      <c r="BJ40" s="3">
        <f>IF($B$2="(Todas)",COUNTIF(BASE[CODCIE106],GUIA_NACIONAL_2022_1106128105107110207214216217218219220[[#This Row],[CIE-10]]),COUNTIFS(BASE[Cod.Establecimiento],$B$2,BASE[CODCIE106],GUIA_NACIONAL_2022_1106128105107110207214216217218219220[[#This Row],[CIE-10]]))</f>
        <v>0</v>
      </c>
      <c r="BK40" s="3">
        <f>IF($B$2="(Todas)",COUNTIF(BASE[CODCIE108],GUIA_NACIONAL_2022_1106128105107110207214216217218219220[[#This Row],[CIE-10]]),COUNTIFS(BASE[Cod.Establecimiento],$B$2,BASE[CODCIE108],GUIA_NACIONAL_2022_1106128105107110207214216217218219220[[#This Row],[CIE-10]]))</f>
        <v>0</v>
      </c>
      <c r="BL40" s="3">
        <f>IF($B$2="(Todas)",COUNTIF(BASE[CODCIE1010],GUIA_NACIONAL_2022_1106128105107110207214216217218219220[[#This Row],[CIE-10]]),COUNTIFS(BASE[Cod.Establecimiento],$B$2,BASE[CODCIE1010],GUIA_NACIONAL_2022_1106128105107110207214216217218219220[[#This Row],[CIE-10]]))</f>
        <v>0</v>
      </c>
      <c r="BM40" s="9">
        <f>SUM(GUIA_NACIONAL_2022_1106128105107110207214216217218219220[[#This Row],[D1]:[D6]])</f>
        <v>0</v>
      </c>
      <c r="BO40" t="s">
        <v>77</v>
      </c>
      <c r="BP40" s="3" t="s">
        <v>78</v>
      </c>
      <c r="BQ40" s="3" t="s">
        <v>79</v>
      </c>
      <c r="BR40" s="3" t="s">
        <v>80</v>
      </c>
      <c r="BS40" s="3" t="s">
        <v>81</v>
      </c>
      <c r="BT40" s="3" t="s">
        <v>82</v>
      </c>
      <c r="BU40" s="3" t="s">
        <v>83</v>
      </c>
      <c r="BV40" s="8" t="s">
        <v>84</v>
      </c>
      <c r="CG40" s="4" t="s">
        <v>729</v>
      </c>
      <c r="CH40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0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0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0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0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0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0" s="9">
        <f>SUM(GUIA_NACIONAL_2022_1106128105107111115129130250251252[[#This Row],[D1]:[D6]])</f>
        <v>0</v>
      </c>
    </row>
    <row r="41" spans="1:92" ht="15" customHeight="1">
      <c r="D41" s="4" t="s">
        <v>425</v>
      </c>
      <c r="E41" s="3">
        <f>IF($B$2="(Todas)",COUNTIF(BASE[CODCIE10],GUIA_NACIONAL_2022_1106112113[[#This Row],[CIE-10]]),COUNTIFS(BASE[Cod.Establecimiento],$B$2,BASE[CODCIE10],GUIA_NACIONAL_2022_1106112113[[#This Row],[CIE-10]]))</f>
        <v>0</v>
      </c>
      <c r="F41" s="3">
        <f>IF($B$2="(Todas)",COUNTIF(BASE[CODCIE102],GUIA_NACIONAL_2022_1106112113[[#This Row],[CIE-10]]),COUNTIFS(BASE[Cod.Establecimiento],$B$2,BASE[CODCIE102],GUIA_NACIONAL_2022_1106112113[[#This Row],[CIE-10]]))</f>
        <v>0</v>
      </c>
      <c r="G41" s="3">
        <f>IF($B$2="(Todas)",COUNTIF(BASE[CODCIE104],GUIA_NACIONAL_2022_1106112113[[#This Row],[CIE-10]]),COUNTIFS(BASE[Cod.Establecimiento],$B$2,BASE[CODCIE104],GUIA_NACIONAL_2022_1106112113[[#This Row],[CIE-10]]))</f>
        <v>0</v>
      </c>
      <c r="H41" s="3">
        <f>IF($B$2="(Todas)",COUNTIF(BASE[CODCIE106],GUIA_NACIONAL_2022_1106112113[[#This Row],[CIE-10]]),COUNTIFS(BASE[Cod.Establecimiento],$B$2,BASE[CODCIE106],GUIA_NACIONAL_2022_1106112113[[#This Row],[CIE-10]]))</f>
        <v>0</v>
      </c>
      <c r="I41" s="3">
        <f>IF($B$2="(Todas)",COUNTIF(BASE[CODCIE108],GUIA_NACIONAL_2022_1106112113[[#This Row],[CIE-10]]),COUNTIFS(BASE[Cod.Establecimiento],$B$2,BASE[CODCIE108],GUIA_NACIONAL_2022_1106112113[[#This Row],[CIE-10]]))</f>
        <v>0</v>
      </c>
      <c r="J41" s="3">
        <f>IF($B$2="(Todas)",COUNTIF(BASE[CODCIE1010],GUIA_NACIONAL_2022_1106112113[[#This Row],[CIE-10]]),COUNTIFS(BASE[Cod.Establecimiento],$B$2,BASE[CODCIE1010],GUIA_NACIONAL_2022_1106112113[[#This Row],[CIE-10]]))</f>
        <v>0</v>
      </c>
      <c r="K41" s="9">
        <f>SUM(GUIA_NACIONAL_2022_1106112113[[#This Row],[D1]:[D6]])</f>
        <v>0</v>
      </c>
      <c r="V41" s="31" t="s">
        <v>124</v>
      </c>
      <c r="W41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1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1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1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1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1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1" s="9">
        <f>SUM(GUIA_NACIONAL_2022_1106128143146150151[[#This Row],[D1]:[D6]])</f>
        <v>0</v>
      </c>
      <c r="AE41" s="159" t="s">
        <v>561</v>
      </c>
      <c r="AF41" s="159"/>
      <c r="AG41" s="159"/>
      <c r="AH41" s="159"/>
      <c r="AI41" s="159"/>
      <c r="AJ41" s="159"/>
      <c r="AK41" s="159"/>
      <c r="AL41" s="159"/>
      <c r="AN41" s="159" t="s">
        <v>615</v>
      </c>
      <c r="AO41" s="159"/>
      <c r="AP41" s="159"/>
      <c r="AQ41" s="159"/>
      <c r="AR41" s="159"/>
      <c r="AS41" s="159"/>
      <c r="AT41" s="159"/>
      <c r="AU41" s="159"/>
      <c r="BF41" s="4" t="s">
        <v>655</v>
      </c>
      <c r="BG41" s="3">
        <f>IF($B$2="(Todas)",COUNTIF(BASE[CODCIE10],GUIA_NACIONAL_2022_1106128105107110207214216217218219220[[#This Row],[CIE-10]]),COUNTIFS(BASE[Cod.Establecimiento],$B$2,BASE[CODCIE10],GUIA_NACIONAL_2022_1106128105107110207214216217218219220[[#This Row],[CIE-10]]))</f>
        <v>0</v>
      </c>
      <c r="BH41" s="3">
        <f>IF($B$2="(Todas)",COUNTIF(BASE[CODCIE102],GUIA_NACIONAL_2022_1106128105107110207214216217218219220[[#This Row],[CIE-10]]),COUNTIFS(BASE[Cod.Establecimiento],$B$2,BASE[CODCIE102],GUIA_NACIONAL_2022_1106128105107110207214216217218219220[[#This Row],[CIE-10]]))</f>
        <v>0</v>
      </c>
      <c r="BI41" s="3">
        <f>IF($B$2="(Todas)",COUNTIF(BASE[CODCIE104],GUIA_NACIONAL_2022_1106128105107110207214216217218219220[[#This Row],[CIE-10]]),COUNTIFS(BASE[Cod.Establecimiento],$B$2,BASE[CODCIE104],GUIA_NACIONAL_2022_1106128105107110207214216217218219220[[#This Row],[CIE-10]]))</f>
        <v>0</v>
      </c>
      <c r="BJ41" s="3">
        <f>IF($B$2="(Todas)",COUNTIF(BASE[CODCIE106],GUIA_NACIONAL_2022_1106128105107110207214216217218219220[[#This Row],[CIE-10]]),COUNTIFS(BASE[Cod.Establecimiento],$B$2,BASE[CODCIE106],GUIA_NACIONAL_2022_1106128105107110207214216217218219220[[#This Row],[CIE-10]]))</f>
        <v>0</v>
      </c>
      <c r="BK41" s="3">
        <f>IF($B$2="(Todas)",COUNTIF(BASE[CODCIE108],GUIA_NACIONAL_2022_1106128105107110207214216217218219220[[#This Row],[CIE-10]]),COUNTIFS(BASE[Cod.Establecimiento],$B$2,BASE[CODCIE108],GUIA_NACIONAL_2022_1106128105107110207214216217218219220[[#This Row],[CIE-10]]))</f>
        <v>0</v>
      </c>
      <c r="BL41" s="3">
        <f>IF($B$2="(Todas)",COUNTIF(BASE[CODCIE1010],GUIA_NACIONAL_2022_1106128105107110207214216217218219220[[#This Row],[CIE-10]]),COUNTIFS(BASE[Cod.Establecimiento],$B$2,BASE[CODCIE1010],GUIA_NACIONAL_2022_1106128105107110207214216217218219220[[#This Row],[CIE-10]]))</f>
        <v>0</v>
      </c>
      <c r="BM41" s="9">
        <f>SUM(GUIA_NACIONAL_2022_1106128105107110207214216217218219220[[#This Row],[D1]:[D6]])</f>
        <v>0</v>
      </c>
      <c r="BO41" s="4" t="s">
        <v>241</v>
      </c>
      <c r="BP41" s="3">
        <f>IF($B$2="(Todas)",COUNTIF(BASE[CODCIE10],GUIA_NACIONAL_2022_1106128105107110207214216217236[[#This Row],[CIE-10]]),COUNTIFS(BASE[Cod.Establecimiento],$B$2,BASE[CODCIE10],GUIA_NACIONAL_2022_1106128105107110207214216217236[[#This Row],[CIE-10]]))</f>
        <v>0</v>
      </c>
      <c r="BQ41" s="3">
        <f>IF($B$2="(Todas)",COUNTIF(BASE[CODCIE102],GUIA_NACIONAL_2022_1106128105107110207214216217236[[#This Row],[CIE-10]]),COUNTIFS(BASE[Cod.Establecimiento],$B$2,BASE[CODCIE102],GUIA_NACIONAL_2022_1106128105107110207214216217236[[#This Row],[CIE-10]]))</f>
        <v>0</v>
      </c>
      <c r="BR41" s="3">
        <f>IF($B$2="(Todas)",COUNTIF(BASE[CODCIE104],GUIA_NACIONAL_2022_1106128105107110207214216217236[[#This Row],[CIE-10]]),COUNTIFS(BASE[Cod.Establecimiento],$B$2,BASE[CODCIE104],GUIA_NACIONAL_2022_1106128105107110207214216217236[[#This Row],[CIE-10]]))</f>
        <v>0</v>
      </c>
      <c r="BS41" s="3">
        <f>IF($B$2="(Todas)",COUNTIF(BASE[CODCIE106],GUIA_NACIONAL_2022_1106128105107110207214216217236[[#This Row],[CIE-10]]),COUNTIFS(BASE[Cod.Establecimiento],$B$2,BASE[CODCIE106],GUIA_NACIONAL_2022_1106128105107110207214216217236[[#This Row],[CIE-10]]))</f>
        <v>0</v>
      </c>
      <c r="BT41" s="3">
        <f>IF($B$2="(Todas)",COUNTIF(BASE[CODCIE108],GUIA_NACIONAL_2022_1106128105107110207214216217236[[#This Row],[CIE-10]]),COUNTIFS(BASE[Cod.Establecimiento],$B$2,BASE[CODCIE108],GUIA_NACIONAL_2022_1106128105107110207214216217236[[#This Row],[CIE-10]]))</f>
        <v>0</v>
      </c>
      <c r="BU41" s="3">
        <f>IF($B$2="(Todas)",COUNTIF(BASE[CODCIE1010],GUIA_NACIONAL_2022_1106128105107110207214216217236[[#This Row],[CIE-10]]),COUNTIFS(BASE[Cod.Establecimiento],$B$2,BASE[CODCIE1010],GUIA_NACIONAL_2022_1106128105107110207214216217236[[#This Row],[CIE-10]]))</f>
        <v>0</v>
      </c>
      <c r="BV41" s="9">
        <f>SUM(GUIA_NACIONAL_2022_1106128105107110207214216217236[[#This Row],[D1]:[D6]])</f>
        <v>0</v>
      </c>
      <c r="CG41" s="4" t="s">
        <v>730</v>
      </c>
      <c r="CH41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1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1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1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1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1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1" s="9">
        <f>SUM(GUIA_NACIONAL_2022_1106128105107111115129130250251252[[#This Row],[D1]:[D6]])</f>
        <v>0</v>
      </c>
    </row>
    <row r="42" spans="1:92" ht="15" customHeight="1">
      <c r="D42" s="159" t="s">
        <v>426</v>
      </c>
      <c r="E42" s="159"/>
      <c r="F42" s="159"/>
      <c r="G42" s="159"/>
      <c r="H42" s="159"/>
      <c r="I42" s="159"/>
      <c r="J42" s="159"/>
      <c r="K42" s="159"/>
      <c r="V42" s="31" t="s">
        <v>125</v>
      </c>
      <c r="W42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2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2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2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2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2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2" s="9">
        <f>SUM(GUIA_NACIONAL_2022_1106128143146150151[[#This Row],[D1]:[D6]])</f>
        <v>0</v>
      </c>
      <c r="AE42" t="s">
        <v>77</v>
      </c>
      <c r="AF42" s="3" t="s">
        <v>78</v>
      </c>
      <c r="AG42" s="3" t="s">
        <v>79</v>
      </c>
      <c r="AH42" s="3" t="s">
        <v>80</v>
      </c>
      <c r="AI42" s="3" t="s">
        <v>81</v>
      </c>
      <c r="AJ42" s="3" t="s">
        <v>82</v>
      </c>
      <c r="AK42" s="3" t="s">
        <v>83</v>
      </c>
      <c r="AL42" s="8" t="s">
        <v>84</v>
      </c>
      <c r="AN42" t="s">
        <v>77</v>
      </c>
      <c r="AO42" s="3" t="s">
        <v>78</v>
      </c>
      <c r="AP42" s="3" t="s">
        <v>79</v>
      </c>
      <c r="AQ42" s="3" t="s">
        <v>80</v>
      </c>
      <c r="AR42" s="3" t="s">
        <v>81</v>
      </c>
      <c r="AS42" s="3" t="s">
        <v>82</v>
      </c>
      <c r="AT42" s="3" t="s">
        <v>83</v>
      </c>
      <c r="AU42" s="8" t="s">
        <v>84</v>
      </c>
      <c r="BF42" s="159" t="s">
        <v>656</v>
      </c>
      <c r="BG42" s="159"/>
      <c r="BH42" s="159"/>
      <c r="BI42" s="159"/>
      <c r="BJ42" s="159"/>
      <c r="BK42" s="159"/>
      <c r="BL42" s="159"/>
      <c r="BM42" s="159"/>
      <c r="BO42" s="160" t="s">
        <v>681</v>
      </c>
      <c r="BP42" s="160"/>
      <c r="BQ42" s="160"/>
      <c r="BR42" s="160"/>
      <c r="BS42" s="160"/>
      <c r="BT42" s="160"/>
      <c r="BU42" s="160"/>
      <c r="BV42" s="160"/>
      <c r="CG42" s="4" t="s">
        <v>731</v>
      </c>
      <c r="CH42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2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2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2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2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2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2" s="9">
        <f>SUM(GUIA_NACIONAL_2022_1106128105107111115129130250251252[[#This Row],[D1]:[D6]])</f>
        <v>0</v>
      </c>
    </row>
    <row r="43" spans="1:92" ht="15" customHeight="1">
      <c r="D43" t="s">
        <v>77</v>
      </c>
      <c r="E43" s="3" t="s">
        <v>78</v>
      </c>
      <c r="F43" s="3" t="s">
        <v>79</v>
      </c>
      <c r="G43" s="3" t="s">
        <v>80</v>
      </c>
      <c r="H43" s="3" t="s">
        <v>81</v>
      </c>
      <c r="I43" s="3" t="s">
        <v>82</v>
      </c>
      <c r="J43" s="3" t="s">
        <v>83</v>
      </c>
      <c r="K43" s="8" t="s">
        <v>84</v>
      </c>
      <c r="V43" s="31" t="s">
        <v>127</v>
      </c>
      <c r="W43" s="3">
        <f>IF($B$2="(Todas)",COUNTIF(BASE[CODCIE10],GUIA_NACIONAL_2022_1106128143146150151[[#This Row],[CIE-10]]),COUNTIFS(BASE[Cod.Establecimiento],$B$2,BASE[CODCIE10],GUIA_NACIONAL_2022_1106128143146150151[[#This Row],[CIE-10]]))</f>
        <v>0</v>
      </c>
      <c r="X43" s="3">
        <f>IF($B$2="(Todas)",COUNTIF(BASE[CODCIE102],GUIA_NACIONAL_2022_1106128143146150151[[#This Row],[CIE-10]]),COUNTIFS(BASE[Cod.Establecimiento],$B$2,BASE[CODCIE102],GUIA_NACIONAL_2022_1106128143146150151[[#This Row],[CIE-10]]))</f>
        <v>0</v>
      </c>
      <c r="Y43" s="3">
        <f>IF($B$2="(Todas)",COUNTIF(BASE[CODCIE104],GUIA_NACIONAL_2022_1106128143146150151[[#This Row],[CIE-10]]),COUNTIFS(BASE[Cod.Establecimiento],$B$2,BASE[CODCIE104],GUIA_NACIONAL_2022_1106128143146150151[[#This Row],[CIE-10]]))</f>
        <v>0</v>
      </c>
      <c r="Z43" s="3">
        <f>IF($B$2="(Todas)",COUNTIF(BASE[CODCIE106],GUIA_NACIONAL_2022_1106128143146150151[[#This Row],[CIE-10]]),COUNTIFS(BASE[Cod.Establecimiento],$B$2,BASE[CODCIE106],GUIA_NACIONAL_2022_1106128143146150151[[#This Row],[CIE-10]]))</f>
        <v>0</v>
      </c>
      <c r="AA43" s="3">
        <f>IF($B$2="(Todas)",COUNTIF(BASE[CODCIE108],GUIA_NACIONAL_2022_1106128143146150151[[#This Row],[CIE-10]]),COUNTIFS(BASE[Cod.Establecimiento],$B$2,BASE[CODCIE108],GUIA_NACIONAL_2022_1106128143146150151[[#This Row],[CIE-10]]))</f>
        <v>0</v>
      </c>
      <c r="AB43" s="3">
        <f>IF($B$2="(Todas)",COUNTIF(BASE[CODCIE1010],GUIA_NACIONAL_2022_1106128143146150151[[#This Row],[CIE-10]]),COUNTIFS(BASE[Cod.Establecimiento],$B$2,BASE[CODCIE1010],GUIA_NACIONAL_2022_1106128143146150151[[#This Row],[CIE-10]]))</f>
        <v>0</v>
      </c>
      <c r="AC43" s="9">
        <f>SUM(GUIA_NACIONAL_2022_1106128143146150151[[#This Row],[D1]:[D6]])</f>
        <v>0</v>
      </c>
      <c r="AE43" s="4" t="s">
        <v>87</v>
      </c>
      <c r="AF43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3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3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3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3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3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3" s="9">
        <f>SUM(GUIA_NACIONAL_2022_1106128105168175176[[#This Row],[D1]:[D6]])</f>
        <v>0</v>
      </c>
      <c r="AN43" s="4" t="s">
        <v>616</v>
      </c>
      <c r="AO43" s="3">
        <f>IF($B$2="(Todas)",COUNTIF(BASE[CODCIE10],GUIA_NACIONAL_2022_1106128105168162195198202204[[#This Row],[CIE-10]]),COUNTIFS(BASE[Cod.Establecimiento],$B$2,BASE[CODCIE10],GUIA_NACIONAL_2022_1106128105168162195198202204[[#This Row],[CIE-10]]))</f>
        <v>0</v>
      </c>
      <c r="AP43" s="3">
        <f>IF($B$2="(Todas)",COUNTIF(BASE[CODCIE102],GUIA_NACIONAL_2022_1106128105168162195198202204[[#This Row],[CIE-10]]),COUNTIFS(BASE[Cod.Establecimiento],$B$2,BASE[CODCIE102],GUIA_NACIONAL_2022_1106128105168162195198202204[[#This Row],[CIE-10]]))</f>
        <v>0</v>
      </c>
      <c r="AQ43" s="3">
        <f>IF($B$2="(Todas)",COUNTIF(BASE[CODCIE104],GUIA_NACIONAL_2022_1106128105168162195198202204[[#This Row],[CIE-10]]),COUNTIFS(BASE[Cod.Establecimiento],$B$2,BASE[CODCIE104],GUIA_NACIONAL_2022_1106128105168162195198202204[[#This Row],[CIE-10]]))</f>
        <v>0</v>
      </c>
      <c r="AR43" s="3">
        <f>IF($B$2="(Todas)",COUNTIF(BASE[CODCIE106],GUIA_NACIONAL_2022_1106128105168162195198202204[[#This Row],[CIE-10]]),COUNTIFS(BASE[Cod.Establecimiento],$B$2,BASE[CODCIE106],GUIA_NACIONAL_2022_1106128105168162195198202204[[#This Row],[CIE-10]]))</f>
        <v>0</v>
      </c>
      <c r="AS43" s="3">
        <f>IF($B$2="(Todas)",COUNTIF(BASE[CODCIE108],GUIA_NACIONAL_2022_1106128105168162195198202204[[#This Row],[CIE-10]]),COUNTIFS(BASE[Cod.Establecimiento],$B$2,BASE[CODCIE108],GUIA_NACIONAL_2022_1106128105168162195198202204[[#This Row],[CIE-10]]))</f>
        <v>0</v>
      </c>
      <c r="AT43" s="3">
        <f>IF($B$2="(Todas)",COUNTIF(BASE[CODCIE1010],GUIA_NACIONAL_2022_1106128105168162195198202204[[#This Row],[CIE-10]]),COUNTIFS(BASE[Cod.Establecimiento],$B$2,BASE[CODCIE1010],GUIA_NACIONAL_2022_1106128105168162195198202204[[#This Row],[CIE-10]]))</f>
        <v>0</v>
      </c>
      <c r="AU43" s="9">
        <f>SUM(GUIA_NACIONAL_2022_1106128105168162195198202204[[#This Row],[D1]:[D6]])</f>
        <v>0</v>
      </c>
      <c r="BF43" t="s">
        <v>77</v>
      </c>
      <c r="BG43" s="3" t="s">
        <v>78</v>
      </c>
      <c r="BH43" s="3" t="s">
        <v>79</v>
      </c>
      <c r="BI43" s="3" t="s">
        <v>80</v>
      </c>
      <c r="BJ43" s="3" t="s">
        <v>81</v>
      </c>
      <c r="BK43" s="3" t="s">
        <v>82</v>
      </c>
      <c r="BL43" s="3" t="s">
        <v>83</v>
      </c>
      <c r="BM43" s="8" t="s">
        <v>84</v>
      </c>
      <c r="BO43" s="159" t="s">
        <v>682</v>
      </c>
      <c r="BP43" s="159"/>
      <c r="BQ43" s="159"/>
      <c r="BR43" s="159"/>
      <c r="BS43" s="159"/>
      <c r="BT43" s="159"/>
      <c r="BU43" s="159"/>
      <c r="BV43" s="159"/>
      <c r="CG43" s="4" t="s">
        <v>732</v>
      </c>
      <c r="CH43" s="3">
        <f>IF($B$2="(Todas)",COUNTIF(BASE[CODCIE10],GUIA_NACIONAL_2022_1106128105107111115129130250251252[[#This Row],[CIE-10]]),COUNTIFS(BASE[Cod.Establecimiento],$B$2,BASE[CODCIE10],GUIA_NACIONAL_2022_1106128105107111115129130250251252[[#This Row],[CIE-10]]))</f>
        <v>0</v>
      </c>
      <c r="CI43" s="3">
        <f>IF($B$2="(Todas)",COUNTIF(BASE[CODCIE102],GUIA_NACIONAL_2022_1106128105107111115129130250251252[[#This Row],[CIE-10]]),COUNTIFS(BASE[Cod.Establecimiento],$B$2,BASE[CODCIE102],GUIA_NACIONAL_2022_1106128105107111115129130250251252[[#This Row],[CIE-10]]))</f>
        <v>0</v>
      </c>
      <c r="CJ43" s="3">
        <f>IF($B$2="(Todas)",COUNTIF(BASE[CODCIE104],GUIA_NACIONAL_2022_1106128105107111115129130250251252[[#This Row],[CIE-10]]),COUNTIFS(BASE[Cod.Establecimiento],$B$2,BASE[CODCIE104],GUIA_NACIONAL_2022_1106128105107111115129130250251252[[#This Row],[CIE-10]]))</f>
        <v>0</v>
      </c>
      <c r="CK43" s="3">
        <f>IF($B$2="(Todas)",COUNTIF(BASE[CODCIE106],GUIA_NACIONAL_2022_1106128105107111115129130250251252[[#This Row],[CIE-10]]),COUNTIFS(BASE[Cod.Establecimiento],$B$2,BASE[CODCIE106],GUIA_NACIONAL_2022_1106128105107111115129130250251252[[#This Row],[CIE-10]]))</f>
        <v>0</v>
      </c>
      <c r="CL43" s="3">
        <f>IF($B$2="(Todas)",COUNTIF(BASE[CODCIE108],GUIA_NACIONAL_2022_1106128105107111115129130250251252[[#This Row],[CIE-10]]),COUNTIFS(BASE[Cod.Establecimiento],$B$2,BASE[CODCIE108],GUIA_NACIONAL_2022_1106128105107111115129130250251252[[#This Row],[CIE-10]]))</f>
        <v>0</v>
      </c>
      <c r="CM43" s="3">
        <f>IF($B$2="(Todas)",COUNTIF(BASE[CODCIE1010],GUIA_NACIONAL_2022_1106128105107111115129130250251252[[#This Row],[CIE-10]]),COUNTIFS(BASE[Cod.Establecimiento],$B$2,BASE[CODCIE1010],GUIA_NACIONAL_2022_1106128105107111115129130250251252[[#This Row],[CIE-10]]))</f>
        <v>0</v>
      </c>
      <c r="CN43" s="9">
        <f>SUM(GUIA_NACIONAL_2022_1106128105107111115129130250251252[[#This Row],[D1]:[D6]])</f>
        <v>0</v>
      </c>
    </row>
    <row r="44" spans="1:92" ht="15" customHeight="1">
      <c r="D44" s="4" t="s">
        <v>427</v>
      </c>
      <c r="E44" s="3">
        <f>IF($B$2="(Todas)",COUNTIF(BASE[CODCIE10],GUIA_NACIONAL_2022_1106112113114[[#This Row],[CIE-10]]),COUNTIFS(BASE[Cod.Establecimiento],$B$2,BASE[CODCIE10],GUIA_NACIONAL_2022_1106112113114[[#This Row],[CIE-10]]))</f>
        <v>0</v>
      </c>
      <c r="F44" s="3">
        <f>IF($B$2="(Todas)",COUNTIF(BASE[CODCIE102],GUIA_NACIONAL_2022_1106112113114[[#This Row],[CIE-10]]),COUNTIFS(BASE[Cod.Establecimiento],$B$2,BASE[CODCIE102],GUIA_NACIONAL_2022_1106112113114[[#This Row],[CIE-10]]))</f>
        <v>0</v>
      </c>
      <c r="G44" s="3">
        <f>IF($B$2="(Todas)",COUNTIF(BASE[CODCIE104],GUIA_NACIONAL_2022_1106112113114[[#This Row],[CIE-10]]),COUNTIFS(BASE[Cod.Establecimiento],$B$2,BASE[CODCIE104],GUIA_NACIONAL_2022_1106112113114[[#This Row],[CIE-10]]))</f>
        <v>0</v>
      </c>
      <c r="H44" s="3">
        <f>IF($B$2="(Todas)",COUNTIF(BASE[CODCIE106],GUIA_NACIONAL_2022_1106112113114[[#This Row],[CIE-10]]),COUNTIFS(BASE[Cod.Establecimiento],$B$2,BASE[CODCIE106],GUIA_NACIONAL_2022_1106112113114[[#This Row],[CIE-10]]))</f>
        <v>0</v>
      </c>
      <c r="I44" s="3">
        <f>IF($B$2="(Todas)",COUNTIF(BASE[CODCIE108],GUIA_NACIONAL_2022_1106112113114[[#This Row],[CIE-10]]),COUNTIFS(BASE[Cod.Establecimiento],$B$2,BASE[CODCIE108],GUIA_NACIONAL_2022_1106112113114[[#This Row],[CIE-10]]))</f>
        <v>0</v>
      </c>
      <c r="J44" s="3">
        <f>IF($B$2="(Todas)",COUNTIF(BASE[CODCIE1010],GUIA_NACIONAL_2022_1106112113114[[#This Row],[CIE-10]]),COUNTIFS(BASE[Cod.Establecimiento],$B$2,BASE[CODCIE1010],GUIA_NACIONAL_2022_1106112113114[[#This Row],[CIE-10]]))</f>
        <v>0</v>
      </c>
      <c r="K44" s="9">
        <f>SUM(GUIA_NACIONAL_2022_1106112113114[[#This Row],[D1]:[D6]])</f>
        <v>0</v>
      </c>
      <c r="V44" s="160" t="s">
        <v>524</v>
      </c>
      <c r="W44" s="160"/>
      <c r="X44" s="160"/>
      <c r="Y44" s="160"/>
      <c r="Z44" s="160"/>
      <c r="AA44" s="160"/>
      <c r="AB44" s="160"/>
      <c r="AC44" s="160"/>
      <c r="AE44" s="31" t="s">
        <v>562</v>
      </c>
      <c r="AF44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4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4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4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4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4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4" s="9">
        <f>SUM(GUIA_NACIONAL_2022_1106128105168175176[[#This Row],[D1]:[D6]])</f>
        <v>0</v>
      </c>
      <c r="AN44" s="159" t="s">
        <v>617</v>
      </c>
      <c r="AO44" s="159"/>
      <c r="AP44" s="159"/>
      <c r="AQ44" s="159"/>
      <c r="AR44" s="159"/>
      <c r="AS44" s="159"/>
      <c r="AT44" s="159"/>
      <c r="AU44" s="159"/>
      <c r="BF44" s="4" t="s">
        <v>250</v>
      </c>
      <c r="BG44" s="3">
        <f>IF($B$2="(Todas)",COUNTIF(BASE[CODCIE10],GUIA_NACIONAL_2022_1106128105107110207214216221[[#This Row],[CIE-10]]),COUNTIFS(BASE[Cod.Establecimiento],$B$2,BASE[CODCIE10],GUIA_NACIONAL_2022_1106128105107110207214216221[[#This Row],[CIE-10]]))</f>
        <v>0</v>
      </c>
      <c r="BH44" s="3">
        <f>IF($B$2="(Todas)",COUNTIF(BASE[CODCIE102],GUIA_NACIONAL_2022_1106128105107110207214216221[[#This Row],[CIE-10]]),COUNTIFS(BASE[Cod.Establecimiento],$B$2,BASE[CODCIE102],GUIA_NACIONAL_2022_1106128105107110207214216221[[#This Row],[CIE-10]]))</f>
        <v>0</v>
      </c>
      <c r="BI44" s="3">
        <f>IF($B$2="(Todas)",COUNTIF(BASE[CODCIE104],GUIA_NACIONAL_2022_1106128105107110207214216221[[#This Row],[CIE-10]]),COUNTIFS(BASE[Cod.Establecimiento],$B$2,BASE[CODCIE104],GUIA_NACIONAL_2022_1106128105107110207214216221[[#This Row],[CIE-10]]))</f>
        <v>0</v>
      </c>
      <c r="BJ44" s="3">
        <f>IF($B$2="(Todas)",COUNTIF(BASE[CODCIE106],GUIA_NACIONAL_2022_1106128105107110207214216221[[#This Row],[CIE-10]]),COUNTIFS(BASE[Cod.Establecimiento],$B$2,BASE[CODCIE106],GUIA_NACIONAL_2022_1106128105107110207214216221[[#This Row],[CIE-10]]))</f>
        <v>0</v>
      </c>
      <c r="BK44" s="3">
        <f>IF($B$2="(Todas)",COUNTIF(BASE[CODCIE108],GUIA_NACIONAL_2022_1106128105107110207214216221[[#This Row],[CIE-10]]),COUNTIFS(BASE[Cod.Establecimiento],$B$2,BASE[CODCIE108],GUIA_NACIONAL_2022_1106128105107110207214216221[[#This Row],[CIE-10]]))</f>
        <v>0</v>
      </c>
      <c r="BL44" s="3">
        <f>IF($B$2="(Todas)",COUNTIF(BASE[CODCIE1010],GUIA_NACIONAL_2022_1106128105107110207214216221[[#This Row],[CIE-10]]),COUNTIFS(BASE[Cod.Establecimiento],$B$2,BASE[CODCIE1010],GUIA_NACIONAL_2022_1106128105107110207214216221[[#This Row],[CIE-10]]))</f>
        <v>0</v>
      </c>
      <c r="BM44" s="9">
        <f>SUM(GUIA_NACIONAL_2022_1106128105107110207214216221[[#This Row],[D1]:[D6]])</f>
        <v>0</v>
      </c>
      <c r="BO44" t="s">
        <v>77</v>
      </c>
      <c r="BP44" s="3" t="s">
        <v>78</v>
      </c>
      <c r="BQ44" s="3" t="s">
        <v>79</v>
      </c>
      <c r="BR44" s="3" t="s">
        <v>80</v>
      </c>
      <c r="BS44" s="3" t="s">
        <v>81</v>
      </c>
      <c r="BT44" s="3" t="s">
        <v>82</v>
      </c>
      <c r="BU44" s="3" t="s">
        <v>83</v>
      </c>
      <c r="BV44" s="8" t="s">
        <v>84</v>
      </c>
      <c r="CG44" s="155" t="s">
        <v>733</v>
      </c>
      <c r="CH44" s="156"/>
      <c r="CI44" s="156"/>
      <c r="CJ44" s="156"/>
      <c r="CK44" s="156"/>
      <c r="CL44" s="156"/>
      <c r="CM44" s="156"/>
      <c r="CN44" s="157"/>
    </row>
    <row r="45" spans="1:92" ht="15" customHeight="1">
      <c r="D45" s="31" t="s">
        <v>428</v>
      </c>
      <c r="E45" s="3">
        <f>IF($B$2="(Todas)",COUNTIF(BASE[CODCIE10],GUIA_NACIONAL_2022_1106112113114[[#This Row],[CIE-10]]),COUNTIFS(BASE[Cod.Establecimiento],$B$2,BASE[CODCIE10],GUIA_NACIONAL_2022_1106112113114[[#This Row],[CIE-10]]))</f>
        <v>0</v>
      </c>
      <c r="F45" s="3">
        <f>IF($B$2="(Todas)",COUNTIF(BASE[CODCIE102],GUIA_NACIONAL_2022_1106112113114[[#This Row],[CIE-10]]),COUNTIFS(BASE[Cod.Establecimiento],$B$2,BASE[CODCIE102],GUIA_NACIONAL_2022_1106112113114[[#This Row],[CIE-10]]))</f>
        <v>0</v>
      </c>
      <c r="G45" s="3">
        <f>IF($B$2="(Todas)",COUNTIF(BASE[CODCIE104],GUIA_NACIONAL_2022_1106112113114[[#This Row],[CIE-10]]),COUNTIFS(BASE[Cod.Establecimiento],$B$2,BASE[CODCIE104],GUIA_NACIONAL_2022_1106112113114[[#This Row],[CIE-10]]))</f>
        <v>0</v>
      </c>
      <c r="H45" s="3">
        <f>IF($B$2="(Todas)",COUNTIF(BASE[CODCIE106],GUIA_NACIONAL_2022_1106112113114[[#This Row],[CIE-10]]),COUNTIFS(BASE[Cod.Establecimiento],$B$2,BASE[CODCIE106],GUIA_NACIONAL_2022_1106112113114[[#This Row],[CIE-10]]))</f>
        <v>0</v>
      </c>
      <c r="I45" s="3">
        <f>IF($B$2="(Todas)",COUNTIF(BASE[CODCIE108],GUIA_NACIONAL_2022_1106112113114[[#This Row],[CIE-10]]),COUNTIFS(BASE[Cod.Establecimiento],$B$2,BASE[CODCIE108],GUIA_NACIONAL_2022_1106112113114[[#This Row],[CIE-10]]))</f>
        <v>0</v>
      </c>
      <c r="J45" s="3">
        <f>IF($B$2="(Todas)",COUNTIF(BASE[CODCIE1010],GUIA_NACIONAL_2022_1106112113114[[#This Row],[CIE-10]]),COUNTIFS(BASE[Cod.Establecimiento],$B$2,BASE[CODCIE1010],GUIA_NACIONAL_2022_1106112113114[[#This Row],[CIE-10]]))</f>
        <v>0</v>
      </c>
      <c r="K45" s="9">
        <f>SUM(GUIA_NACIONAL_2022_1106112113114[[#This Row],[D1]:[D6]])</f>
        <v>0</v>
      </c>
      <c r="V45" s="158" t="s">
        <v>525</v>
      </c>
      <c r="W45" s="159"/>
      <c r="X45" s="159"/>
      <c r="Y45" s="159"/>
      <c r="Z45" s="159"/>
      <c r="AA45" s="159"/>
      <c r="AB45" s="159"/>
      <c r="AC45" s="159"/>
      <c r="AE45" s="31" t="s">
        <v>564</v>
      </c>
      <c r="AF45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5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5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5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5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5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5" s="9">
        <f>SUM(GUIA_NACIONAL_2022_1106128105168175176[[#This Row],[D1]:[D6]])</f>
        <v>0</v>
      </c>
      <c r="AN45" t="s">
        <v>77</v>
      </c>
      <c r="AO45" s="3" t="s">
        <v>78</v>
      </c>
      <c r="AP45" s="3" t="s">
        <v>79</v>
      </c>
      <c r="AQ45" s="3" t="s">
        <v>80</v>
      </c>
      <c r="AR45" s="3" t="s">
        <v>81</v>
      </c>
      <c r="AS45" s="3" t="s">
        <v>82</v>
      </c>
      <c r="AT45" s="3" t="s">
        <v>83</v>
      </c>
      <c r="AU45" s="8" t="s">
        <v>84</v>
      </c>
      <c r="BF45" s="159" t="s">
        <v>657</v>
      </c>
      <c r="BG45" s="159"/>
      <c r="BH45" s="159"/>
      <c r="BI45" s="159"/>
      <c r="BJ45" s="159"/>
      <c r="BK45" s="159"/>
      <c r="BL45" s="159"/>
      <c r="BM45" s="159"/>
      <c r="BO45" s="4" t="s">
        <v>683</v>
      </c>
      <c r="BP45" s="3">
        <f>IF($B$2="(Todas)",COUNTIF(BASE[CODCIE10],GUIA_NACIONAL_2022_1106128105107110207214216217236241[[#This Row],[CIE-10]]),COUNTIFS(BASE[Cod.Establecimiento],$B$2,BASE[CODCIE10],GUIA_NACIONAL_2022_1106128105107110207214216217236241[[#This Row],[CIE-10]]))</f>
        <v>0</v>
      </c>
      <c r="BQ45" s="3">
        <f>IF($B$2="(Todas)",COUNTIF(BASE[CODCIE102],GUIA_NACIONAL_2022_1106128105107110207214216217236241[[#This Row],[CIE-10]]),COUNTIFS(BASE[Cod.Establecimiento],$B$2,BASE[CODCIE102],GUIA_NACIONAL_2022_1106128105107110207214216217236241[[#This Row],[CIE-10]]))</f>
        <v>0</v>
      </c>
      <c r="BR45" s="3">
        <f>IF($B$2="(Todas)",COUNTIF(BASE[CODCIE104],GUIA_NACIONAL_2022_1106128105107110207214216217236241[[#This Row],[CIE-10]]),COUNTIFS(BASE[Cod.Establecimiento],$B$2,BASE[CODCIE104],GUIA_NACIONAL_2022_1106128105107110207214216217236241[[#This Row],[CIE-10]]))</f>
        <v>0</v>
      </c>
      <c r="BS45" s="3">
        <f>IF($B$2="(Todas)",COUNTIF(BASE[CODCIE106],GUIA_NACIONAL_2022_1106128105107110207214216217236241[[#This Row],[CIE-10]]),COUNTIFS(BASE[Cod.Establecimiento],$B$2,BASE[CODCIE106],GUIA_NACIONAL_2022_1106128105107110207214216217236241[[#This Row],[CIE-10]]))</f>
        <v>0</v>
      </c>
      <c r="BT45" s="3">
        <f>IF($B$2="(Todas)",COUNTIF(BASE[CODCIE108],GUIA_NACIONAL_2022_1106128105107110207214216217236241[[#This Row],[CIE-10]]),COUNTIFS(BASE[Cod.Establecimiento],$B$2,BASE[CODCIE108],GUIA_NACIONAL_2022_1106128105107110207214216217236241[[#This Row],[CIE-10]]))</f>
        <v>0</v>
      </c>
      <c r="BU45" s="3">
        <f>IF($B$2="(Todas)",COUNTIF(BASE[CODCIE1010],GUIA_NACIONAL_2022_1106128105107110207214216217236241[[#This Row],[CIE-10]]),COUNTIFS(BASE[Cod.Establecimiento],$B$2,BASE[CODCIE1010],GUIA_NACIONAL_2022_1106128105107110207214216217236241[[#This Row],[CIE-10]]))</f>
        <v>0</v>
      </c>
      <c r="BV45" s="9">
        <f>SUM(GUIA_NACIONAL_2022_1106128105107110207214216217236241[[#This Row],[D1]:[D6]])</f>
        <v>0</v>
      </c>
      <c r="CG45" t="s">
        <v>77</v>
      </c>
      <c r="CH45" s="3" t="s">
        <v>78</v>
      </c>
      <c r="CI45" s="3" t="s">
        <v>79</v>
      </c>
      <c r="CJ45" s="3" t="s">
        <v>80</v>
      </c>
      <c r="CK45" s="3" t="s">
        <v>81</v>
      </c>
      <c r="CL45" s="3" t="s">
        <v>82</v>
      </c>
      <c r="CM45" s="3" t="s">
        <v>83</v>
      </c>
      <c r="CN45" s="8" t="s">
        <v>84</v>
      </c>
    </row>
    <row r="46" spans="1:92" ht="15" customHeight="1">
      <c r="D46" s="162" t="s">
        <v>429</v>
      </c>
      <c r="E46" s="162"/>
      <c r="F46" s="162"/>
      <c r="G46" s="162"/>
      <c r="H46" s="162"/>
      <c r="I46" s="162"/>
      <c r="J46" s="162"/>
      <c r="K46" s="162"/>
      <c r="V46" t="s">
        <v>77</v>
      </c>
      <c r="W46" s="3" t="s">
        <v>78</v>
      </c>
      <c r="X46" s="3" t="s">
        <v>79</v>
      </c>
      <c r="Y46" s="3" t="s">
        <v>80</v>
      </c>
      <c r="Z46" s="3" t="s">
        <v>81</v>
      </c>
      <c r="AA46" s="3" t="s">
        <v>82</v>
      </c>
      <c r="AB46" s="3" t="s">
        <v>83</v>
      </c>
      <c r="AC46" s="8" t="s">
        <v>84</v>
      </c>
      <c r="AE46" s="31" t="s">
        <v>563</v>
      </c>
      <c r="AF46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6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6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6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6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6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6" s="9">
        <f>SUM(GUIA_NACIONAL_2022_1106128105168175176[[#This Row],[D1]:[D6]])</f>
        <v>0</v>
      </c>
      <c r="AN46" s="4" t="s">
        <v>618</v>
      </c>
      <c r="AO46" s="3">
        <f>IF($B$2="(Todas)",COUNTIF(BASE[CODCIE10],GUIA_NACIONAL_2022_1106128105168162195198202204205[[#This Row],[CIE-10]]),COUNTIFS(BASE[Cod.Establecimiento],$B$2,BASE[CODCIE10],GUIA_NACIONAL_2022_1106128105168162195198202204205[[#This Row],[CIE-10]]))</f>
        <v>0</v>
      </c>
      <c r="AP46" s="3">
        <f>IF($B$2="(Todas)",COUNTIF(BASE[CODCIE102],GUIA_NACIONAL_2022_1106128105168162195198202204205[[#This Row],[CIE-10]]),COUNTIFS(BASE[Cod.Establecimiento],$B$2,BASE[CODCIE102],GUIA_NACIONAL_2022_1106128105168162195198202204205[[#This Row],[CIE-10]]))</f>
        <v>0</v>
      </c>
      <c r="AQ46" s="3">
        <f>IF($B$2="(Todas)",COUNTIF(BASE[CODCIE104],GUIA_NACIONAL_2022_1106128105168162195198202204205[[#This Row],[CIE-10]]),COUNTIFS(BASE[Cod.Establecimiento],$B$2,BASE[CODCIE104],GUIA_NACIONAL_2022_1106128105168162195198202204205[[#This Row],[CIE-10]]))</f>
        <v>0</v>
      </c>
      <c r="AR46" s="3">
        <f>IF($B$2="(Todas)",COUNTIF(BASE[CODCIE106],GUIA_NACIONAL_2022_1106128105168162195198202204205[[#This Row],[CIE-10]]),COUNTIFS(BASE[Cod.Establecimiento],$B$2,BASE[CODCIE106],GUIA_NACIONAL_2022_1106128105168162195198202204205[[#This Row],[CIE-10]]))</f>
        <v>0</v>
      </c>
      <c r="AS46" s="3">
        <f>IF($B$2="(Todas)",COUNTIF(BASE[CODCIE108],GUIA_NACIONAL_2022_1106128105168162195198202204205[[#This Row],[CIE-10]]),COUNTIFS(BASE[Cod.Establecimiento],$B$2,BASE[CODCIE108],GUIA_NACIONAL_2022_1106128105168162195198202204205[[#This Row],[CIE-10]]))</f>
        <v>0</v>
      </c>
      <c r="AT46" s="3">
        <f>IF($B$2="(Todas)",COUNTIF(BASE[CODCIE1010],GUIA_NACIONAL_2022_1106128105168162195198202204205[[#This Row],[CIE-10]]),COUNTIFS(BASE[Cod.Establecimiento],$B$2,BASE[CODCIE1010],GUIA_NACIONAL_2022_1106128105168162195198202204205[[#This Row],[CIE-10]]))</f>
        <v>0</v>
      </c>
      <c r="AU46" s="9">
        <f>SUM(GUIA_NACIONAL_2022_1106128105168162195198202204205[[#This Row],[D1]:[D6]])</f>
        <v>0</v>
      </c>
      <c r="BF46" t="s">
        <v>77</v>
      </c>
      <c r="BG46" s="3" t="s">
        <v>78</v>
      </c>
      <c r="BH46" s="3" t="s">
        <v>79</v>
      </c>
      <c r="BI46" s="3" t="s">
        <v>80</v>
      </c>
      <c r="BJ46" s="3" t="s">
        <v>81</v>
      </c>
      <c r="BK46" s="3" t="s">
        <v>82</v>
      </c>
      <c r="BL46" s="3" t="s">
        <v>83</v>
      </c>
      <c r="BM46" s="8" t="s">
        <v>84</v>
      </c>
      <c r="BO46" s="159" t="s">
        <v>684</v>
      </c>
      <c r="BP46" s="159"/>
      <c r="BQ46" s="159"/>
      <c r="BR46" s="159"/>
      <c r="BS46" s="159"/>
      <c r="BT46" s="159"/>
      <c r="BU46" s="159"/>
      <c r="BV46" s="159"/>
      <c r="CG46" s="4" t="s">
        <v>96</v>
      </c>
      <c r="CH46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6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6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6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6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6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6" s="9">
        <f>SUM(GUIA_NACIONAL_2022_1106128105107111115129130250251252253[[#This Row],[D1]:[D6]])</f>
        <v>0</v>
      </c>
    </row>
    <row r="47" spans="1:92" ht="15" customHeight="1">
      <c r="A47" s="72"/>
      <c r="B47" s="72"/>
      <c r="D47" s="159" t="s">
        <v>430</v>
      </c>
      <c r="E47" s="159"/>
      <c r="F47" s="159"/>
      <c r="G47" s="159"/>
      <c r="H47" s="159"/>
      <c r="I47" s="159"/>
      <c r="J47" s="159"/>
      <c r="K47" s="159"/>
      <c r="V47" s="4" t="s">
        <v>85</v>
      </c>
      <c r="W47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47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47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47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47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47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47" s="9">
        <f>SUM(GUIA_NACIONAL_2022_1106128143146150152[[#This Row],[D1]:[D6]])</f>
        <v>0</v>
      </c>
      <c r="AE47" s="31" t="s">
        <v>565</v>
      </c>
      <c r="AF47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7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7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7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7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7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7" s="9">
        <f>SUM(GUIA_NACIONAL_2022_1106128105168175176[[#This Row],[D1]:[D6]])</f>
        <v>0</v>
      </c>
      <c r="AN47" s="159" t="s">
        <v>619</v>
      </c>
      <c r="AO47" s="159"/>
      <c r="AP47" s="159"/>
      <c r="AQ47" s="159"/>
      <c r="AR47" s="159"/>
      <c r="AS47" s="159"/>
      <c r="AT47" s="159"/>
      <c r="AU47" s="159"/>
      <c r="BF47" s="4" t="s">
        <v>658</v>
      </c>
      <c r="BG47" s="3">
        <f>IF($B$2="(Todas)",COUNTIF(BASE[CODCIE10],GUIA_NACIONAL_2022_1106128105107110207214216221222[[#This Row],[CIE-10]]),COUNTIFS(BASE[Cod.Establecimiento],$B$2,BASE[CODCIE10],GUIA_NACIONAL_2022_1106128105107110207214216221222[[#This Row],[CIE-10]]))</f>
        <v>0</v>
      </c>
      <c r="BH47" s="3">
        <f>IF($B$2="(Todas)",COUNTIF(BASE[CODCIE102],GUIA_NACIONAL_2022_1106128105107110207214216221222[[#This Row],[CIE-10]]),COUNTIFS(BASE[Cod.Establecimiento],$B$2,BASE[CODCIE102],GUIA_NACIONAL_2022_1106128105107110207214216221222[[#This Row],[CIE-10]]))</f>
        <v>0</v>
      </c>
      <c r="BI47" s="3">
        <f>IF($B$2="(Todas)",COUNTIF(BASE[CODCIE104],GUIA_NACIONAL_2022_1106128105107110207214216221222[[#This Row],[CIE-10]]),COUNTIFS(BASE[Cod.Establecimiento],$B$2,BASE[CODCIE104],GUIA_NACIONAL_2022_1106128105107110207214216221222[[#This Row],[CIE-10]]))</f>
        <v>0</v>
      </c>
      <c r="BJ47" s="3">
        <f>IF($B$2="(Todas)",COUNTIF(BASE[CODCIE106],GUIA_NACIONAL_2022_1106128105107110207214216221222[[#This Row],[CIE-10]]),COUNTIFS(BASE[Cod.Establecimiento],$B$2,BASE[CODCIE106],GUIA_NACIONAL_2022_1106128105107110207214216221222[[#This Row],[CIE-10]]))</f>
        <v>0</v>
      </c>
      <c r="BK47" s="3">
        <f>IF($B$2="(Todas)",COUNTIF(BASE[CODCIE108],GUIA_NACIONAL_2022_1106128105107110207214216221222[[#This Row],[CIE-10]]),COUNTIFS(BASE[Cod.Establecimiento],$B$2,BASE[CODCIE108],GUIA_NACIONAL_2022_1106128105107110207214216221222[[#This Row],[CIE-10]]))</f>
        <v>0</v>
      </c>
      <c r="BL47" s="3">
        <f>IF($B$2="(Todas)",COUNTIF(BASE[CODCIE1010],GUIA_NACIONAL_2022_1106128105107110207214216221222[[#This Row],[CIE-10]]),COUNTIFS(BASE[Cod.Establecimiento],$B$2,BASE[CODCIE1010],GUIA_NACIONAL_2022_1106128105107110207214216221222[[#This Row],[CIE-10]]))</f>
        <v>0</v>
      </c>
      <c r="BM47" s="9">
        <f>SUM(GUIA_NACIONAL_2022_1106128105107110207214216221222[[#This Row],[D1]:[D6]])</f>
        <v>0</v>
      </c>
      <c r="BO47" t="s">
        <v>77</v>
      </c>
      <c r="BP47" s="3" t="s">
        <v>78</v>
      </c>
      <c r="BQ47" s="3" t="s">
        <v>79</v>
      </c>
      <c r="BR47" s="3" t="s">
        <v>80</v>
      </c>
      <c r="BS47" s="3" t="s">
        <v>81</v>
      </c>
      <c r="BT47" s="3" t="s">
        <v>82</v>
      </c>
      <c r="BU47" s="3" t="s">
        <v>83</v>
      </c>
      <c r="BV47" s="8" t="s">
        <v>84</v>
      </c>
      <c r="CG47" s="4" t="s">
        <v>734</v>
      </c>
      <c r="CH47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7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7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7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7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7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7" s="9">
        <f>SUM(GUIA_NACIONAL_2022_1106128105107111115129130250251252253[[#This Row],[D1]:[D6]])</f>
        <v>0</v>
      </c>
    </row>
    <row r="48" spans="1:92" ht="15" customHeight="1">
      <c r="A48" s="72"/>
      <c r="B48" s="72"/>
      <c r="D48" t="s">
        <v>77</v>
      </c>
      <c r="E48" s="3" t="s">
        <v>78</v>
      </c>
      <c r="F48" s="3" t="s">
        <v>79</v>
      </c>
      <c r="G48" s="3" t="s">
        <v>80</v>
      </c>
      <c r="H48" s="3" t="s">
        <v>81</v>
      </c>
      <c r="I48" s="3" t="s">
        <v>82</v>
      </c>
      <c r="J48" s="3" t="s">
        <v>83</v>
      </c>
      <c r="K48" s="8" t="s">
        <v>84</v>
      </c>
      <c r="V48" s="31" t="s">
        <v>87</v>
      </c>
      <c r="W48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48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48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48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48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48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48" s="9">
        <f>SUM(GUIA_NACIONAL_2022_1106128143146150152[[#This Row],[D1]:[D6]])</f>
        <v>0</v>
      </c>
      <c r="AE48" s="31" t="s">
        <v>566</v>
      </c>
      <c r="AF48" s="3">
        <f>IF($B$2="(Todas)",COUNTIF(BASE[CODCIE10],GUIA_NACIONAL_2022_1106128105168175176[[#This Row],[CIE-10]]),COUNTIFS(BASE[Cod.Establecimiento],$B$2,BASE[CODCIE10],GUIA_NACIONAL_2022_1106128105168175176[[#This Row],[CIE-10]]))</f>
        <v>0</v>
      </c>
      <c r="AG48" s="3">
        <f>IF($B$2="(Todas)",COUNTIF(BASE[CODCIE102],GUIA_NACIONAL_2022_1106128105168175176[[#This Row],[CIE-10]]),COUNTIFS(BASE[Cod.Establecimiento],$B$2,BASE[CODCIE102],GUIA_NACIONAL_2022_1106128105168175176[[#This Row],[CIE-10]]))</f>
        <v>0</v>
      </c>
      <c r="AH48" s="3">
        <f>IF($B$2="(Todas)",COUNTIF(BASE[CODCIE104],GUIA_NACIONAL_2022_1106128105168175176[[#This Row],[CIE-10]]),COUNTIFS(BASE[Cod.Establecimiento],$B$2,BASE[CODCIE104],GUIA_NACIONAL_2022_1106128105168175176[[#This Row],[CIE-10]]))</f>
        <v>0</v>
      </c>
      <c r="AI48" s="3">
        <f>IF($B$2="(Todas)",COUNTIF(BASE[CODCIE106],GUIA_NACIONAL_2022_1106128105168175176[[#This Row],[CIE-10]]),COUNTIFS(BASE[Cod.Establecimiento],$B$2,BASE[CODCIE106],GUIA_NACIONAL_2022_1106128105168175176[[#This Row],[CIE-10]]))</f>
        <v>0</v>
      </c>
      <c r="AJ48" s="3">
        <f>IF($B$2="(Todas)",COUNTIF(BASE[CODCIE108],GUIA_NACIONAL_2022_1106128105168175176[[#This Row],[CIE-10]]),COUNTIFS(BASE[Cod.Establecimiento],$B$2,BASE[CODCIE108],GUIA_NACIONAL_2022_1106128105168175176[[#This Row],[CIE-10]]))</f>
        <v>0</v>
      </c>
      <c r="AK48" s="3">
        <f>IF($B$2="(Todas)",COUNTIF(BASE[CODCIE1010],GUIA_NACIONAL_2022_1106128105168175176[[#This Row],[CIE-10]]),COUNTIFS(BASE[Cod.Establecimiento],$B$2,BASE[CODCIE1010],GUIA_NACIONAL_2022_1106128105168175176[[#This Row],[CIE-10]]))</f>
        <v>0</v>
      </c>
      <c r="AL48" s="9">
        <f>SUM(GUIA_NACIONAL_2022_1106128105168175176[[#This Row],[D1]:[D6]])</f>
        <v>0</v>
      </c>
      <c r="AN48" t="s">
        <v>77</v>
      </c>
      <c r="AO48" s="3" t="s">
        <v>78</v>
      </c>
      <c r="AP48" s="3" t="s">
        <v>79</v>
      </c>
      <c r="AQ48" s="3" t="s">
        <v>80</v>
      </c>
      <c r="AR48" s="3" t="s">
        <v>81</v>
      </c>
      <c r="AS48" s="3" t="s">
        <v>82</v>
      </c>
      <c r="AT48" s="3" t="s">
        <v>83</v>
      </c>
      <c r="AU48" s="8" t="s">
        <v>84</v>
      </c>
      <c r="BF48" s="159" t="s">
        <v>659</v>
      </c>
      <c r="BG48" s="159"/>
      <c r="BH48" s="159"/>
      <c r="BI48" s="159"/>
      <c r="BJ48" s="159"/>
      <c r="BK48" s="159"/>
      <c r="BL48" s="159"/>
      <c r="BM48" s="159"/>
      <c r="BO48" s="4" t="s">
        <v>683</v>
      </c>
      <c r="BP48" s="3">
        <f>IF($B$2="(Todas)",COUNTIF(BASE[CODCIE10],GUIA_NACIONAL_2022_1106128105107110207214216217236241242[[#This Row],[CIE-10]]),COUNTIFS(BASE[Cod.Establecimiento],$B$2,BASE[CODCIE10],GUIA_NACIONAL_2022_1106128105107110207214216217236241242[[#This Row],[CIE-10]]))</f>
        <v>0</v>
      </c>
      <c r="BQ48" s="3">
        <f>IF($B$2="(Todas)",COUNTIF(BASE[CODCIE102],GUIA_NACIONAL_2022_1106128105107110207214216217236241242[[#This Row],[CIE-10]]),COUNTIFS(BASE[Cod.Establecimiento],$B$2,BASE[CODCIE102],GUIA_NACIONAL_2022_1106128105107110207214216217236241242[[#This Row],[CIE-10]]))</f>
        <v>0</v>
      </c>
      <c r="BR48" s="3">
        <f>IF($B$2="(Todas)",COUNTIF(BASE[CODCIE104],GUIA_NACIONAL_2022_1106128105107110207214216217236241242[[#This Row],[CIE-10]]),COUNTIFS(BASE[Cod.Establecimiento],$B$2,BASE[CODCIE104],GUIA_NACIONAL_2022_1106128105107110207214216217236241242[[#This Row],[CIE-10]]))</f>
        <v>0</v>
      </c>
      <c r="BS48" s="3">
        <f>IF($B$2="(Todas)",COUNTIF(BASE[CODCIE106],GUIA_NACIONAL_2022_1106128105107110207214216217236241242[[#This Row],[CIE-10]]),COUNTIFS(BASE[Cod.Establecimiento],$B$2,BASE[CODCIE106],GUIA_NACIONAL_2022_1106128105107110207214216217236241242[[#This Row],[CIE-10]]))</f>
        <v>0</v>
      </c>
      <c r="BT48" s="3">
        <f>IF($B$2="(Todas)",COUNTIF(BASE[CODCIE108],GUIA_NACIONAL_2022_1106128105107110207214216217236241242[[#This Row],[CIE-10]]),COUNTIFS(BASE[Cod.Establecimiento],$B$2,BASE[CODCIE108],GUIA_NACIONAL_2022_1106128105107110207214216217236241242[[#This Row],[CIE-10]]))</f>
        <v>0</v>
      </c>
      <c r="BU48" s="3">
        <f>IF($B$2="(Todas)",COUNTIF(BASE[CODCIE1010],GUIA_NACIONAL_2022_1106128105107110207214216217236241242[[#This Row],[CIE-10]]),COUNTIFS(BASE[Cod.Establecimiento],$B$2,BASE[CODCIE1010],GUIA_NACIONAL_2022_1106128105107110207214216217236241242[[#This Row],[CIE-10]]))</f>
        <v>0</v>
      </c>
      <c r="BV48" s="9">
        <f>SUM(GUIA_NACIONAL_2022_1106128105107110207214216217236241242[[#This Row],[D1]:[D6]])</f>
        <v>0</v>
      </c>
      <c r="CG48" s="4" t="s">
        <v>735</v>
      </c>
      <c r="CH48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8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8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8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8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8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8" s="9">
        <f>SUM(GUIA_NACIONAL_2022_1106128105107111115129130250251252253[[#This Row],[D1]:[D6]])</f>
        <v>0</v>
      </c>
    </row>
    <row r="49" spans="1:92" ht="15" customHeight="1">
      <c r="A49" s="72"/>
      <c r="B49" s="72"/>
      <c r="D49" s="4" t="s">
        <v>431</v>
      </c>
      <c r="E49" s="3">
        <f>IF($B$2="(Todas)",COUNTIF(BASE[CODCIE10],GUIA_NACIONAL_2022_1106112113116[[#This Row],[CIE-10]]),COUNTIFS(BASE[Cod.Establecimiento],$B$2,BASE[CODCIE10],GUIA_NACIONAL_2022_1106112113116[[#This Row],[CIE-10]]))</f>
        <v>0</v>
      </c>
      <c r="F49" s="3">
        <f>IF($B$2="(Todas)",COUNTIF(BASE[CODCIE102],GUIA_NACIONAL_2022_1106112113116[[#This Row],[CIE-10]]),COUNTIFS(BASE[Cod.Establecimiento],$B$2,BASE[CODCIE102],GUIA_NACIONAL_2022_1106112113116[[#This Row],[CIE-10]]))</f>
        <v>0</v>
      </c>
      <c r="G49" s="3">
        <f>IF($B$2="(Todas)",COUNTIF(BASE[CODCIE104],GUIA_NACIONAL_2022_1106112113116[[#This Row],[CIE-10]]),COUNTIFS(BASE[Cod.Establecimiento],$B$2,BASE[CODCIE104],GUIA_NACIONAL_2022_1106112113116[[#This Row],[CIE-10]]))</f>
        <v>0</v>
      </c>
      <c r="H49" s="3">
        <f>IF($B$2="(Todas)",COUNTIF(BASE[CODCIE106],GUIA_NACIONAL_2022_1106112113116[[#This Row],[CIE-10]]),COUNTIFS(BASE[Cod.Establecimiento],$B$2,BASE[CODCIE106],GUIA_NACIONAL_2022_1106112113116[[#This Row],[CIE-10]]))</f>
        <v>0</v>
      </c>
      <c r="I49" s="3">
        <f>IF($B$2="(Todas)",COUNTIF(BASE[CODCIE108],GUIA_NACIONAL_2022_1106112113116[[#This Row],[CIE-10]]),COUNTIFS(BASE[Cod.Establecimiento],$B$2,BASE[CODCIE108],GUIA_NACIONAL_2022_1106112113116[[#This Row],[CIE-10]]))</f>
        <v>0</v>
      </c>
      <c r="J49" s="3">
        <f>IF($B$2="(Todas)",COUNTIF(BASE[CODCIE1010],GUIA_NACIONAL_2022_1106112113116[[#This Row],[CIE-10]]),COUNTIFS(BASE[Cod.Establecimiento],$B$2,BASE[CODCIE1010],GUIA_NACIONAL_2022_1106112113116[[#This Row],[CIE-10]]))</f>
        <v>0</v>
      </c>
      <c r="K49" s="9">
        <f>SUM(GUIA_NACIONAL_2022_1106112113116[[#This Row],[D1]:[D6]])</f>
        <v>0</v>
      </c>
      <c r="V49" s="31" t="s">
        <v>89</v>
      </c>
      <c r="W49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49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49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49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49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49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49" s="9">
        <f>SUM(GUIA_NACIONAL_2022_1106128143146150152[[#This Row],[D1]:[D6]])</f>
        <v>0</v>
      </c>
      <c r="AE49" s="159" t="s">
        <v>567</v>
      </c>
      <c r="AF49" s="159"/>
      <c r="AG49" s="159"/>
      <c r="AH49" s="159"/>
      <c r="AI49" s="159"/>
      <c r="AJ49" s="159"/>
      <c r="AK49" s="159"/>
      <c r="AL49" s="159"/>
      <c r="AN49" s="4" t="s">
        <v>620</v>
      </c>
      <c r="AO49" s="3">
        <f>IF($B$2="(Todas)",COUNTIF(BASE[CODCIE10],GUIA_NACIONAL_2022_1106128105168162195198202204205206[[#This Row],[CIE-10]]),COUNTIFS(BASE[Cod.Establecimiento],$B$2,BASE[CODCIE10],GUIA_NACIONAL_2022_1106128105168162195198202204205206[[#This Row],[CIE-10]]))</f>
        <v>0</v>
      </c>
      <c r="AP49" s="3">
        <f>IF($B$2="(Todas)",COUNTIF(BASE[CODCIE102],GUIA_NACIONAL_2022_1106128105168162195198202204205206[[#This Row],[CIE-10]]),COUNTIFS(BASE[Cod.Establecimiento],$B$2,BASE[CODCIE102],GUIA_NACIONAL_2022_1106128105168162195198202204205206[[#This Row],[CIE-10]]))</f>
        <v>0</v>
      </c>
      <c r="AQ49" s="3">
        <f>IF($B$2="(Todas)",COUNTIF(BASE[CODCIE104],GUIA_NACIONAL_2022_1106128105168162195198202204205206[[#This Row],[CIE-10]]),COUNTIFS(BASE[Cod.Establecimiento],$B$2,BASE[CODCIE104],GUIA_NACIONAL_2022_1106128105168162195198202204205206[[#This Row],[CIE-10]]))</f>
        <v>0</v>
      </c>
      <c r="AR49" s="3">
        <f>IF($B$2="(Todas)",COUNTIF(BASE[CODCIE106],GUIA_NACIONAL_2022_1106128105168162195198202204205206[[#This Row],[CIE-10]]),COUNTIFS(BASE[Cod.Establecimiento],$B$2,BASE[CODCIE106],GUIA_NACIONAL_2022_1106128105168162195198202204205206[[#This Row],[CIE-10]]))</f>
        <v>0</v>
      </c>
      <c r="AS49" s="3">
        <f>IF($B$2="(Todas)",COUNTIF(BASE[CODCIE108],GUIA_NACIONAL_2022_1106128105168162195198202204205206[[#This Row],[CIE-10]]),COUNTIFS(BASE[Cod.Establecimiento],$B$2,BASE[CODCIE108],GUIA_NACIONAL_2022_1106128105168162195198202204205206[[#This Row],[CIE-10]]))</f>
        <v>0</v>
      </c>
      <c r="AT49" s="3">
        <f>IF($B$2="(Todas)",COUNTIF(BASE[CODCIE1010],GUIA_NACIONAL_2022_1106128105168162195198202204205206[[#This Row],[CIE-10]]),COUNTIFS(BASE[Cod.Establecimiento],$B$2,BASE[CODCIE1010],GUIA_NACIONAL_2022_1106128105168162195198202204205206[[#This Row],[CIE-10]]))</f>
        <v>0</v>
      </c>
      <c r="AU49" s="9">
        <f>SUM(GUIA_NACIONAL_2022_1106128105168162195198202204205206[[#This Row],[D1]:[D6]])</f>
        <v>0</v>
      </c>
      <c r="BF49" t="s">
        <v>77</v>
      </c>
      <c r="BG49" s="3" t="s">
        <v>78</v>
      </c>
      <c r="BH49" s="3" t="s">
        <v>79</v>
      </c>
      <c r="BI49" s="3" t="s">
        <v>80</v>
      </c>
      <c r="BJ49" s="3" t="s">
        <v>81</v>
      </c>
      <c r="BK49" s="3" t="s">
        <v>82</v>
      </c>
      <c r="BL49" s="3" t="s">
        <v>83</v>
      </c>
      <c r="BM49" s="8" t="s">
        <v>84</v>
      </c>
      <c r="BO49" s="160" t="s">
        <v>685</v>
      </c>
      <c r="BP49" s="160"/>
      <c r="BQ49" s="160"/>
      <c r="BR49" s="160"/>
      <c r="BS49" s="160"/>
      <c r="BT49" s="160"/>
      <c r="BU49" s="160"/>
      <c r="BV49" s="160"/>
      <c r="CG49" s="4" t="s">
        <v>736</v>
      </c>
      <c r="CH49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49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49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49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49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49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49" s="9">
        <f>SUM(GUIA_NACIONAL_2022_1106128105107111115129130250251252253[[#This Row],[D1]:[D6]])</f>
        <v>0</v>
      </c>
    </row>
    <row r="50" spans="1:92" ht="15" customHeight="1">
      <c r="A50" s="72"/>
      <c r="B50" s="72"/>
      <c r="D50" s="159" t="s">
        <v>432</v>
      </c>
      <c r="E50" s="159"/>
      <c r="F50" s="159"/>
      <c r="G50" s="159"/>
      <c r="H50" s="159"/>
      <c r="I50" s="159"/>
      <c r="J50" s="159"/>
      <c r="K50" s="159"/>
      <c r="V50" s="31" t="s">
        <v>91</v>
      </c>
      <c r="W50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50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50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50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50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50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50" s="9">
        <f>SUM(GUIA_NACIONAL_2022_1106128143146150152[[#This Row],[D1]:[D6]])</f>
        <v>0</v>
      </c>
      <c r="AE50" t="s">
        <v>77</v>
      </c>
      <c r="AF50" s="3" t="s">
        <v>78</v>
      </c>
      <c r="AG50" s="3" t="s">
        <v>79</v>
      </c>
      <c r="AH50" s="3" t="s">
        <v>80</v>
      </c>
      <c r="AI50" s="3" t="s">
        <v>81</v>
      </c>
      <c r="AJ50" s="3" t="s">
        <v>82</v>
      </c>
      <c r="AK50" s="3" t="s">
        <v>83</v>
      </c>
      <c r="AL50" s="8" t="s">
        <v>84</v>
      </c>
      <c r="BF50" s="4" t="s">
        <v>660</v>
      </c>
      <c r="BG50" s="3">
        <f>IF($B$2="(Todas)",COUNTIF(BASE[CODCIE10],GUIA_NACIONAL_2022_1106128105107110207214216221222223[[#This Row],[CIE-10]]),COUNTIFS(BASE[Cod.Establecimiento],$B$2,BASE[CODCIE10],GUIA_NACIONAL_2022_1106128105107110207214216221222223[[#This Row],[CIE-10]]))</f>
        <v>0</v>
      </c>
      <c r="BH50" s="3">
        <f>IF($B$2="(Todas)",COUNTIF(BASE[CODCIE102],GUIA_NACIONAL_2022_1106128105107110207214216221222223[[#This Row],[CIE-10]]),COUNTIFS(BASE[Cod.Establecimiento],$B$2,BASE[CODCIE102],GUIA_NACIONAL_2022_1106128105107110207214216221222223[[#This Row],[CIE-10]]))</f>
        <v>0</v>
      </c>
      <c r="BI50" s="3">
        <f>IF($B$2="(Todas)",COUNTIF(BASE[CODCIE104],GUIA_NACIONAL_2022_1106128105107110207214216221222223[[#This Row],[CIE-10]]),COUNTIFS(BASE[Cod.Establecimiento],$B$2,BASE[CODCIE104],GUIA_NACIONAL_2022_1106128105107110207214216221222223[[#This Row],[CIE-10]]))</f>
        <v>0</v>
      </c>
      <c r="BJ50" s="3">
        <f>IF($B$2="(Todas)",COUNTIF(BASE[CODCIE106],GUIA_NACIONAL_2022_1106128105107110207214216221222223[[#This Row],[CIE-10]]),COUNTIFS(BASE[Cod.Establecimiento],$B$2,BASE[CODCIE106],GUIA_NACIONAL_2022_1106128105107110207214216221222223[[#This Row],[CIE-10]]))</f>
        <v>0</v>
      </c>
      <c r="BK50" s="3">
        <f>IF($B$2="(Todas)",COUNTIF(BASE[CODCIE108],GUIA_NACIONAL_2022_1106128105107110207214216221222223[[#This Row],[CIE-10]]),COUNTIFS(BASE[Cod.Establecimiento],$B$2,BASE[CODCIE108],GUIA_NACIONAL_2022_1106128105107110207214216221222223[[#This Row],[CIE-10]]))</f>
        <v>0</v>
      </c>
      <c r="BL50" s="3">
        <f>IF($B$2="(Todas)",COUNTIF(BASE[CODCIE1010],GUIA_NACIONAL_2022_1106128105107110207214216221222223[[#This Row],[CIE-10]]),COUNTIFS(BASE[Cod.Establecimiento],$B$2,BASE[CODCIE1010],GUIA_NACIONAL_2022_1106128105107110207214216221222223[[#This Row],[CIE-10]]))</f>
        <v>0</v>
      </c>
      <c r="BM50" s="9">
        <f>SUM(GUIA_NACIONAL_2022_1106128105107110207214216221222223[[#This Row],[D1]:[D6]])</f>
        <v>0</v>
      </c>
      <c r="BO50" s="159" t="s">
        <v>691</v>
      </c>
      <c r="BP50" s="159"/>
      <c r="BQ50" s="159"/>
      <c r="BR50" s="159"/>
      <c r="BS50" s="159"/>
      <c r="BT50" s="159"/>
      <c r="BU50" s="159"/>
      <c r="BV50" s="159"/>
      <c r="CG50" s="4" t="s">
        <v>737</v>
      </c>
      <c r="CH50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0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0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0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0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0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0" s="9">
        <f>SUM(GUIA_NACIONAL_2022_1106128105107111115129130250251252253[[#This Row],[D1]:[D6]])</f>
        <v>0</v>
      </c>
    </row>
    <row r="51" spans="1:92" ht="15" customHeight="1">
      <c r="A51" s="72"/>
      <c r="B51" s="72"/>
      <c r="D51" t="s">
        <v>77</v>
      </c>
      <c r="E51" s="3" t="s">
        <v>78</v>
      </c>
      <c r="F51" s="3" t="s">
        <v>79</v>
      </c>
      <c r="G51" s="3" t="s">
        <v>80</v>
      </c>
      <c r="H51" s="3" t="s">
        <v>81</v>
      </c>
      <c r="I51" s="3" t="s">
        <v>82</v>
      </c>
      <c r="J51" s="3" t="s">
        <v>83</v>
      </c>
      <c r="K51" s="8" t="s">
        <v>84</v>
      </c>
      <c r="V51" s="31" t="s">
        <v>93</v>
      </c>
      <c r="W51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51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51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51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51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51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51" s="9">
        <f>SUM(GUIA_NACIONAL_2022_1106128143146150152[[#This Row],[D1]:[D6]])</f>
        <v>0</v>
      </c>
      <c r="AE51" s="4" t="s">
        <v>568</v>
      </c>
      <c r="AF51" s="3">
        <f>IF($B$2="(Todas)",COUNTIF(BASE[CODCIE10],GUIA_NACIONAL_2022_1106128105168175177[[#This Row],[CIE-10]]),COUNTIFS(BASE[Cod.Establecimiento],$B$2,BASE[CODCIE10],GUIA_NACIONAL_2022_1106128105168175177[[#This Row],[CIE-10]]))</f>
        <v>0</v>
      </c>
      <c r="AG51" s="3">
        <f>IF($B$2="(Todas)",COUNTIF(BASE[CODCIE102],GUIA_NACIONAL_2022_1106128105168175177[[#This Row],[CIE-10]]),COUNTIFS(BASE[Cod.Establecimiento],$B$2,BASE[CODCIE102],GUIA_NACIONAL_2022_1106128105168175177[[#This Row],[CIE-10]]))</f>
        <v>0</v>
      </c>
      <c r="AH51" s="3">
        <f>IF($B$2="(Todas)",COUNTIF(BASE[CODCIE104],GUIA_NACIONAL_2022_1106128105168175177[[#This Row],[CIE-10]]),COUNTIFS(BASE[Cod.Establecimiento],$B$2,BASE[CODCIE104],GUIA_NACIONAL_2022_1106128105168175177[[#This Row],[CIE-10]]))</f>
        <v>0</v>
      </c>
      <c r="AI51" s="3">
        <f>IF($B$2="(Todas)",COUNTIF(BASE[CODCIE106],GUIA_NACIONAL_2022_1106128105168175177[[#This Row],[CIE-10]]),COUNTIFS(BASE[Cod.Establecimiento],$B$2,BASE[CODCIE106],GUIA_NACIONAL_2022_1106128105168175177[[#This Row],[CIE-10]]))</f>
        <v>0</v>
      </c>
      <c r="AJ51" s="3">
        <f>IF($B$2="(Todas)",COUNTIF(BASE[CODCIE108],GUIA_NACIONAL_2022_1106128105168175177[[#This Row],[CIE-10]]),COUNTIFS(BASE[Cod.Establecimiento],$B$2,BASE[CODCIE108],GUIA_NACIONAL_2022_1106128105168175177[[#This Row],[CIE-10]]))</f>
        <v>0</v>
      </c>
      <c r="AK51" s="3">
        <f>IF($B$2="(Todas)",COUNTIF(BASE[CODCIE1010],GUIA_NACIONAL_2022_1106128105168175177[[#This Row],[CIE-10]]),COUNTIFS(BASE[Cod.Establecimiento],$B$2,BASE[CODCIE1010],GUIA_NACIONAL_2022_1106128105168175177[[#This Row],[CIE-10]]))</f>
        <v>0</v>
      </c>
      <c r="AL51" s="9">
        <f>SUM(GUIA_NACIONAL_2022_1106128105168175177[[#This Row],[D1]:[D6]])</f>
        <v>0</v>
      </c>
      <c r="BF51" s="159" t="s">
        <v>661</v>
      </c>
      <c r="BG51" s="159"/>
      <c r="BH51" s="159"/>
      <c r="BI51" s="159"/>
      <c r="BJ51" s="159"/>
      <c r="BK51" s="159"/>
      <c r="BL51" s="159"/>
      <c r="BM51" s="159"/>
      <c r="BO51" t="s">
        <v>77</v>
      </c>
      <c r="BP51" s="3" t="s">
        <v>78</v>
      </c>
      <c r="BQ51" s="3" t="s">
        <v>79</v>
      </c>
      <c r="BR51" s="3" t="s">
        <v>80</v>
      </c>
      <c r="BS51" s="3" t="s">
        <v>81</v>
      </c>
      <c r="BT51" s="3" t="s">
        <v>82</v>
      </c>
      <c r="BU51" s="3" t="s">
        <v>83</v>
      </c>
      <c r="BV51" s="8" t="s">
        <v>84</v>
      </c>
      <c r="CG51" s="4" t="s">
        <v>738</v>
      </c>
      <c r="CH51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1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1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1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1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1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1" s="9">
        <f>SUM(GUIA_NACIONAL_2022_1106128105107111115129130250251252253[[#This Row],[D1]:[D6]])</f>
        <v>0</v>
      </c>
    </row>
    <row r="52" spans="1:92" ht="15" customHeight="1">
      <c r="A52" s="72"/>
      <c r="B52" s="72"/>
      <c r="D52" s="4" t="s">
        <v>433</v>
      </c>
      <c r="E52" s="3">
        <f>IF($B$2="(Todas)",COUNTIF(BASE[CODCIE10],GUIA_NACIONAL_2022_1106112113116117[[#This Row],[CIE-10]]),COUNTIFS(BASE[Cod.Establecimiento],$B$2,BASE[CODCIE10],GUIA_NACIONAL_2022_1106112113116117[[#This Row],[CIE-10]]))</f>
        <v>0</v>
      </c>
      <c r="F52" s="3">
        <f>IF($B$2="(Todas)",COUNTIF(BASE[CODCIE102],GUIA_NACIONAL_2022_1106112113116117[[#This Row],[CIE-10]]),COUNTIFS(BASE[Cod.Establecimiento],$B$2,BASE[CODCIE102],GUIA_NACIONAL_2022_1106112113116117[[#This Row],[CIE-10]]))</f>
        <v>0</v>
      </c>
      <c r="G52" s="3">
        <f>IF($B$2="(Todas)",COUNTIF(BASE[CODCIE104],GUIA_NACIONAL_2022_1106112113116117[[#This Row],[CIE-10]]),COUNTIFS(BASE[Cod.Establecimiento],$B$2,BASE[CODCIE104],GUIA_NACIONAL_2022_1106112113116117[[#This Row],[CIE-10]]))</f>
        <v>0</v>
      </c>
      <c r="H52" s="3">
        <f>IF($B$2="(Todas)",COUNTIF(BASE[CODCIE106],GUIA_NACIONAL_2022_1106112113116117[[#This Row],[CIE-10]]),COUNTIFS(BASE[Cod.Establecimiento],$B$2,BASE[CODCIE106],GUIA_NACIONAL_2022_1106112113116117[[#This Row],[CIE-10]]))</f>
        <v>0</v>
      </c>
      <c r="I52" s="3">
        <f>IF($B$2="(Todas)",COUNTIF(BASE[CODCIE108],GUIA_NACIONAL_2022_1106112113116117[[#This Row],[CIE-10]]),COUNTIFS(BASE[Cod.Establecimiento],$B$2,BASE[CODCIE108],GUIA_NACIONAL_2022_1106112113116117[[#This Row],[CIE-10]]))</f>
        <v>0</v>
      </c>
      <c r="J52" s="3">
        <f>IF($B$2="(Todas)",COUNTIF(BASE[CODCIE1010],GUIA_NACIONAL_2022_1106112113116117[[#This Row],[CIE-10]]),COUNTIFS(BASE[Cod.Establecimiento],$B$2,BASE[CODCIE1010],GUIA_NACIONAL_2022_1106112113116117[[#This Row],[CIE-10]]))</f>
        <v>0</v>
      </c>
      <c r="K52" s="9">
        <f>SUM(GUIA_NACIONAL_2022_1106112113116117[[#This Row],[D1]:[D6]])</f>
        <v>0</v>
      </c>
      <c r="V52" s="31" t="s">
        <v>96</v>
      </c>
      <c r="W52" s="3">
        <f>IF($B$2="(Todas)",COUNTIF(BASE[CODCIE10],GUIA_NACIONAL_2022_1106128143146150152[[#This Row],[CIE-10]]),COUNTIFS(BASE[Cod.Establecimiento],$B$2,BASE[CODCIE10],GUIA_NACIONAL_2022_1106128143146150152[[#This Row],[CIE-10]]))</f>
        <v>0</v>
      </c>
      <c r="X52" s="3">
        <f>IF($B$2="(Todas)",COUNTIF(BASE[CODCIE102],GUIA_NACIONAL_2022_1106128143146150152[[#This Row],[CIE-10]]),COUNTIFS(BASE[Cod.Establecimiento],$B$2,BASE[CODCIE102],GUIA_NACIONAL_2022_1106128143146150152[[#This Row],[CIE-10]]))</f>
        <v>0</v>
      </c>
      <c r="Y52" s="3">
        <f>IF($B$2="(Todas)",COUNTIF(BASE[CODCIE104],GUIA_NACIONAL_2022_1106128143146150152[[#This Row],[CIE-10]]),COUNTIFS(BASE[Cod.Establecimiento],$B$2,BASE[CODCIE104],GUIA_NACIONAL_2022_1106128143146150152[[#This Row],[CIE-10]]))</f>
        <v>0</v>
      </c>
      <c r="Z52" s="3">
        <f>IF($B$2="(Todas)",COUNTIF(BASE[CODCIE106],GUIA_NACIONAL_2022_1106128143146150152[[#This Row],[CIE-10]]),COUNTIFS(BASE[Cod.Establecimiento],$B$2,BASE[CODCIE106],GUIA_NACIONAL_2022_1106128143146150152[[#This Row],[CIE-10]]))</f>
        <v>0</v>
      </c>
      <c r="AA52" s="3">
        <f>IF($B$2="(Todas)",COUNTIF(BASE[CODCIE108],GUIA_NACIONAL_2022_1106128143146150152[[#This Row],[CIE-10]]),COUNTIFS(BASE[Cod.Establecimiento],$B$2,BASE[CODCIE108],GUIA_NACIONAL_2022_1106128143146150152[[#This Row],[CIE-10]]))</f>
        <v>0</v>
      </c>
      <c r="AB52" s="3">
        <f>IF($B$2="(Todas)",COUNTIF(BASE[CODCIE1010],GUIA_NACIONAL_2022_1106128143146150152[[#This Row],[CIE-10]]),COUNTIFS(BASE[Cod.Establecimiento],$B$2,BASE[CODCIE1010],GUIA_NACIONAL_2022_1106128143146150152[[#This Row],[CIE-10]]))</f>
        <v>0</v>
      </c>
      <c r="AC52" s="9">
        <f>SUM(GUIA_NACIONAL_2022_1106128143146150152[[#This Row],[D1]:[D6]])</f>
        <v>0</v>
      </c>
      <c r="AE52" s="159" t="s">
        <v>569</v>
      </c>
      <c r="AF52" s="159"/>
      <c r="AG52" s="159"/>
      <c r="AH52" s="159"/>
      <c r="AI52" s="159"/>
      <c r="AJ52" s="159"/>
      <c r="AK52" s="159"/>
      <c r="AL52" s="159"/>
      <c r="BF52" t="s">
        <v>77</v>
      </c>
      <c r="BG52" s="3" t="s">
        <v>78</v>
      </c>
      <c r="BH52" s="3" t="s">
        <v>79</v>
      </c>
      <c r="BI52" s="3" t="s">
        <v>80</v>
      </c>
      <c r="BJ52" s="3" t="s">
        <v>81</v>
      </c>
      <c r="BK52" s="3" t="s">
        <v>82</v>
      </c>
      <c r="BL52" s="3" t="s">
        <v>83</v>
      </c>
      <c r="BM52" s="8" t="s">
        <v>84</v>
      </c>
      <c r="BO52" s="4" t="s">
        <v>332</v>
      </c>
      <c r="BP52" s="3">
        <f>IF($B$2="(Todas)",COUNTIF(BASE[CODCIE10],GUIA_NACIONAL_2022_1106128105107111115243[[#This Row],[CIE-10]]),COUNTIFS(BASE[Cod.Establecimiento],$B$2,BASE[CODCIE10],GUIA_NACIONAL_2022_1106128105107111115243[[#This Row],[CIE-10]]))</f>
        <v>0</v>
      </c>
      <c r="BQ52" s="3">
        <f>IF($B$2="(Todas)",COUNTIF(BASE[CODCIE102],GUIA_NACIONAL_2022_1106128105107111115243[[#This Row],[CIE-10]]),COUNTIFS(BASE[Cod.Establecimiento],$B$2,BASE[CODCIE102],GUIA_NACIONAL_2022_1106128105107111115243[[#This Row],[CIE-10]]))</f>
        <v>0</v>
      </c>
      <c r="BR52" s="3">
        <f>IF($B$2="(Todas)",COUNTIF(BASE[CODCIE104],GUIA_NACIONAL_2022_1106128105107111115243[[#This Row],[CIE-10]]),COUNTIFS(BASE[Cod.Establecimiento],$B$2,BASE[CODCIE104],GUIA_NACIONAL_2022_1106128105107111115243[[#This Row],[CIE-10]]))</f>
        <v>0</v>
      </c>
      <c r="BS52" s="3">
        <f>IF($B$2="(Todas)",COUNTIF(BASE[CODCIE106],GUIA_NACIONAL_2022_1106128105107111115243[[#This Row],[CIE-10]]),COUNTIFS(BASE[Cod.Establecimiento],$B$2,BASE[CODCIE106],GUIA_NACIONAL_2022_1106128105107111115243[[#This Row],[CIE-10]]))</f>
        <v>0</v>
      </c>
      <c r="BT52" s="3">
        <f>IF($B$2="(Todas)",COUNTIF(BASE[CODCIE108],GUIA_NACIONAL_2022_1106128105107111115243[[#This Row],[CIE-10]]),COUNTIFS(BASE[Cod.Establecimiento],$B$2,BASE[CODCIE108],GUIA_NACIONAL_2022_1106128105107111115243[[#This Row],[CIE-10]]))</f>
        <v>0</v>
      </c>
      <c r="BU52" s="3">
        <f>IF($B$2="(Todas)",COUNTIF(BASE[CODCIE1010],GUIA_NACIONAL_2022_1106128105107111115243[[#This Row],[CIE-10]]),COUNTIFS(BASE[Cod.Establecimiento],$B$2,BASE[CODCIE1010],GUIA_NACIONAL_2022_1106128105107111115243[[#This Row],[CIE-10]]))</f>
        <v>0</v>
      </c>
      <c r="BV52" s="9">
        <f>SUM(GUIA_NACIONAL_2022_1106128105107111115243[[#This Row],[D1]:[D6]])</f>
        <v>0</v>
      </c>
      <c r="CG52" s="4" t="s">
        <v>739</v>
      </c>
      <c r="CH52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2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2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2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2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2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2" s="9">
        <f>SUM(GUIA_NACIONAL_2022_1106128105107111115129130250251252253[[#This Row],[D1]:[D6]])</f>
        <v>0</v>
      </c>
    </row>
    <row r="53" spans="1:92" ht="15" customHeight="1">
      <c r="A53" s="72"/>
      <c r="B53" s="72"/>
      <c r="D53" s="159" t="s">
        <v>434</v>
      </c>
      <c r="E53" s="159"/>
      <c r="F53" s="159"/>
      <c r="G53" s="159"/>
      <c r="H53" s="159"/>
      <c r="I53" s="159"/>
      <c r="J53" s="159"/>
      <c r="K53" s="159"/>
      <c r="V53" s="158" t="s">
        <v>526</v>
      </c>
      <c r="W53" s="159"/>
      <c r="X53" s="159"/>
      <c r="Y53" s="159"/>
      <c r="Z53" s="159"/>
      <c r="AA53" s="159"/>
      <c r="AB53" s="159"/>
      <c r="AC53" s="159"/>
      <c r="AE53" t="s">
        <v>77</v>
      </c>
      <c r="AF53" s="3" t="s">
        <v>78</v>
      </c>
      <c r="AG53" s="3" t="s">
        <v>79</v>
      </c>
      <c r="AH53" s="3" t="s">
        <v>80</v>
      </c>
      <c r="AI53" s="3" t="s">
        <v>81</v>
      </c>
      <c r="AJ53" s="3" t="s">
        <v>82</v>
      </c>
      <c r="AK53" s="3" t="s">
        <v>83</v>
      </c>
      <c r="AL53" s="8" t="s">
        <v>84</v>
      </c>
      <c r="BF53" s="4" t="s">
        <v>246</v>
      </c>
      <c r="BG53" s="3">
        <f>IF($B$2="(Todas)",COUNTIF(BASE[CODCIE10],GUIA_NACIONAL_2022_1106128105107110207214216221222223224[[#This Row],[CIE-10]]),COUNTIFS(BASE[Cod.Establecimiento],$B$2,BASE[CODCIE10],GUIA_NACIONAL_2022_1106128105107110207214216221222223224[[#This Row],[CIE-10]]))</f>
        <v>0</v>
      </c>
      <c r="BH53" s="3">
        <f>IF($B$2="(Todas)",COUNTIF(BASE[CODCIE102],GUIA_NACIONAL_2022_1106128105107110207214216221222223224[[#This Row],[CIE-10]]),COUNTIFS(BASE[Cod.Establecimiento],$B$2,BASE[CODCIE102],GUIA_NACIONAL_2022_1106128105107110207214216221222223224[[#This Row],[CIE-10]]))</f>
        <v>0</v>
      </c>
      <c r="BI53" s="3">
        <f>IF($B$2="(Todas)",COUNTIF(BASE[CODCIE104],GUIA_NACIONAL_2022_1106128105107110207214216221222223224[[#This Row],[CIE-10]]),COUNTIFS(BASE[Cod.Establecimiento],$B$2,BASE[CODCIE104],GUIA_NACIONAL_2022_1106128105107110207214216221222223224[[#This Row],[CIE-10]]))</f>
        <v>0</v>
      </c>
      <c r="BJ53" s="3">
        <f>IF($B$2="(Todas)",COUNTIF(BASE[CODCIE106],GUIA_NACIONAL_2022_1106128105107110207214216221222223224[[#This Row],[CIE-10]]),COUNTIFS(BASE[Cod.Establecimiento],$B$2,BASE[CODCIE106],GUIA_NACIONAL_2022_1106128105107110207214216221222223224[[#This Row],[CIE-10]]))</f>
        <v>0</v>
      </c>
      <c r="BK53" s="3">
        <f>IF($B$2="(Todas)",COUNTIF(BASE[CODCIE108],GUIA_NACIONAL_2022_1106128105107110207214216221222223224[[#This Row],[CIE-10]]),COUNTIFS(BASE[Cod.Establecimiento],$B$2,BASE[CODCIE108],GUIA_NACIONAL_2022_1106128105107110207214216221222223224[[#This Row],[CIE-10]]))</f>
        <v>0</v>
      </c>
      <c r="BL53" s="3">
        <f>IF($B$2="(Todas)",COUNTIF(BASE[CODCIE1010],GUIA_NACIONAL_2022_1106128105107110207214216221222223224[[#This Row],[CIE-10]]),COUNTIFS(BASE[Cod.Establecimiento],$B$2,BASE[CODCIE1010],GUIA_NACIONAL_2022_1106128105107110207214216221222223224[[#This Row],[CIE-10]]))</f>
        <v>0</v>
      </c>
      <c r="BM53" s="9">
        <f>SUM(GUIA_NACIONAL_2022_1106128105107110207214216221222223224[[#This Row],[D1]:[D6]])</f>
        <v>0</v>
      </c>
      <c r="BO53" s="159" t="s">
        <v>690</v>
      </c>
      <c r="BP53" s="159"/>
      <c r="BQ53" s="159"/>
      <c r="BR53" s="159"/>
      <c r="BS53" s="159"/>
      <c r="BT53" s="159"/>
      <c r="BU53" s="159"/>
      <c r="BV53" s="159"/>
      <c r="CG53" s="4" t="s">
        <v>740</v>
      </c>
      <c r="CH53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3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3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3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3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3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3" s="9">
        <f>SUM(GUIA_NACIONAL_2022_1106128105107111115129130250251252253[[#This Row],[D1]:[D6]])</f>
        <v>0</v>
      </c>
    </row>
    <row r="54" spans="1:92" ht="15" customHeight="1">
      <c r="A54" s="72"/>
      <c r="B54" s="72"/>
      <c r="D54" t="s">
        <v>77</v>
      </c>
      <c r="E54" s="3" t="s">
        <v>78</v>
      </c>
      <c r="F54" s="3" t="s">
        <v>79</v>
      </c>
      <c r="G54" s="3" t="s">
        <v>80</v>
      </c>
      <c r="H54" s="3" t="s">
        <v>81</v>
      </c>
      <c r="I54" s="3" t="s">
        <v>82</v>
      </c>
      <c r="J54" s="3" t="s">
        <v>83</v>
      </c>
      <c r="K54" s="8" t="s">
        <v>84</v>
      </c>
      <c r="V54" t="s">
        <v>77</v>
      </c>
      <c r="W54" s="3" t="s">
        <v>78</v>
      </c>
      <c r="X54" s="3" t="s">
        <v>79</v>
      </c>
      <c r="Y54" s="3" t="s">
        <v>80</v>
      </c>
      <c r="Z54" s="3" t="s">
        <v>81</v>
      </c>
      <c r="AA54" s="3" t="s">
        <v>82</v>
      </c>
      <c r="AB54" s="3" t="s">
        <v>83</v>
      </c>
      <c r="AC54" s="8" t="s">
        <v>84</v>
      </c>
      <c r="AE54" s="4" t="s">
        <v>570</v>
      </c>
      <c r="AF54" s="3">
        <f>IF($B$2="(Todas)",COUNTIF(BASE[CODCIE10],GUIA_NACIONAL_2022_1106128105168175177178[[#This Row],[CIE-10]]),COUNTIFS(BASE[Cod.Establecimiento],$B$2,BASE[CODCIE10],GUIA_NACIONAL_2022_1106128105168175177178[[#This Row],[CIE-10]]))</f>
        <v>0</v>
      </c>
      <c r="AG54" s="3">
        <f>IF($B$2="(Todas)",COUNTIF(BASE[CODCIE102],GUIA_NACIONAL_2022_1106128105168175177178[[#This Row],[CIE-10]]),COUNTIFS(BASE[Cod.Establecimiento],$B$2,BASE[CODCIE102],GUIA_NACIONAL_2022_1106128105168175177178[[#This Row],[CIE-10]]))</f>
        <v>0</v>
      </c>
      <c r="AH54" s="3">
        <f>IF($B$2="(Todas)",COUNTIF(BASE[CODCIE104],GUIA_NACIONAL_2022_1106128105168175177178[[#This Row],[CIE-10]]),COUNTIFS(BASE[Cod.Establecimiento],$B$2,BASE[CODCIE104],GUIA_NACIONAL_2022_1106128105168175177178[[#This Row],[CIE-10]]))</f>
        <v>0</v>
      </c>
      <c r="AI54" s="3">
        <f>IF($B$2="(Todas)",COUNTIF(BASE[CODCIE106],GUIA_NACIONAL_2022_1106128105168175177178[[#This Row],[CIE-10]]),COUNTIFS(BASE[Cod.Establecimiento],$B$2,BASE[CODCIE106],GUIA_NACIONAL_2022_1106128105168175177178[[#This Row],[CIE-10]]))</f>
        <v>0</v>
      </c>
      <c r="AJ54" s="3">
        <f>IF($B$2="(Todas)",COUNTIF(BASE[CODCIE108],GUIA_NACIONAL_2022_1106128105168175177178[[#This Row],[CIE-10]]),COUNTIFS(BASE[Cod.Establecimiento],$B$2,BASE[CODCIE108],GUIA_NACIONAL_2022_1106128105168175177178[[#This Row],[CIE-10]]))</f>
        <v>0</v>
      </c>
      <c r="AK54" s="3">
        <f>IF($B$2="(Todas)",COUNTIF(BASE[CODCIE1010],GUIA_NACIONAL_2022_1106128105168175177178[[#This Row],[CIE-10]]),COUNTIFS(BASE[Cod.Establecimiento],$B$2,BASE[CODCIE1010],GUIA_NACIONAL_2022_1106128105168175177178[[#This Row],[CIE-10]]))</f>
        <v>0</v>
      </c>
      <c r="AL54" s="9">
        <f>SUM(GUIA_NACIONAL_2022_1106128105168175177178[[#This Row],[D1]:[D6]])</f>
        <v>0</v>
      </c>
      <c r="BF54" s="160" t="s">
        <v>404</v>
      </c>
      <c r="BG54" s="160"/>
      <c r="BH54" s="160"/>
      <c r="BI54" s="160"/>
      <c r="BJ54" s="160"/>
      <c r="BK54" s="160"/>
      <c r="BL54" s="160"/>
      <c r="BM54" s="160"/>
      <c r="BO54" t="s">
        <v>77</v>
      </c>
      <c r="BP54" s="3" t="s">
        <v>78</v>
      </c>
      <c r="BQ54" s="3" t="s">
        <v>79</v>
      </c>
      <c r="BR54" s="3" t="s">
        <v>80</v>
      </c>
      <c r="BS54" s="3" t="s">
        <v>81</v>
      </c>
      <c r="BT54" s="3" t="s">
        <v>82</v>
      </c>
      <c r="BU54" s="3" t="s">
        <v>83</v>
      </c>
      <c r="BV54" s="8" t="s">
        <v>84</v>
      </c>
      <c r="CG54" s="4" t="s">
        <v>741</v>
      </c>
      <c r="CH54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4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4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4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4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4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4" s="9">
        <f>SUM(GUIA_NACIONAL_2022_1106128105107111115129130250251252253[[#This Row],[D1]:[D6]])</f>
        <v>0</v>
      </c>
    </row>
    <row r="55" spans="1:92" ht="15" customHeight="1">
      <c r="A55" s="72"/>
      <c r="B55" s="72"/>
      <c r="D55" s="4" t="s">
        <v>399</v>
      </c>
      <c r="E55" s="3">
        <f>IF($B$2="(Todas)",COUNTIF(BASE[CODCIE10],GUIA_NACIONAL_2022_1106112113116117118[[#This Row],[CIE-10]]),COUNTIFS(BASE[Cod.Establecimiento],$B$2,BASE[CODCIE10],GUIA_NACIONAL_2022_1106112113116117118[[#This Row],[CIE-10]]))</f>
        <v>0</v>
      </c>
      <c r="F55" s="3">
        <f>IF($B$2="(Todas)",COUNTIF(BASE[CODCIE102],GUIA_NACIONAL_2022_1106112113116117118[[#This Row],[CIE-10]]),COUNTIFS(BASE[Cod.Establecimiento],$B$2,BASE[CODCIE102],GUIA_NACIONAL_2022_1106112113116117118[[#This Row],[CIE-10]]))</f>
        <v>0</v>
      </c>
      <c r="G55" s="3">
        <f>IF($B$2="(Todas)",COUNTIF(BASE[CODCIE104],GUIA_NACIONAL_2022_1106112113116117118[[#This Row],[CIE-10]]),COUNTIFS(BASE[Cod.Establecimiento],$B$2,BASE[CODCIE104],GUIA_NACIONAL_2022_1106112113116117118[[#This Row],[CIE-10]]))</f>
        <v>0</v>
      </c>
      <c r="H55" s="3">
        <f>IF($B$2="(Todas)",COUNTIF(BASE[CODCIE106],GUIA_NACIONAL_2022_1106112113116117118[[#This Row],[CIE-10]]),COUNTIFS(BASE[Cod.Establecimiento],$B$2,BASE[CODCIE106],GUIA_NACIONAL_2022_1106112113116117118[[#This Row],[CIE-10]]))</f>
        <v>0</v>
      </c>
      <c r="I55" s="3">
        <f>IF($B$2="(Todas)",COUNTIF(BASE[CODCIE108],GUIA_NACIONAL_2022_1106112113116117118[[#This Row],[CIE-10]]),COUNTIFS(BASE[Cod.Establecimiento],$B$2,BASE[CODCIE108],GUIA_NACIONAL_2022_1106112113116117118[[#This Row],[CIE-10]]))</f>
        <v>0</v>
      </c>
      <c r="J55" s="3">
        <f>IF($B$2="(Todas)",COUNTIF(BASE[CODCIE1010],GUIA_NACIONAL_2022_1106112113116117118[[#This Row],[CIE-10]]),COUNTIFS(BASE[Cod.Establecimiento],$B$2,BASE[CODCIE1010],GUIA_NACIONAL_2022_1106112113116117118[[#This Row],[CIE-10]]))</f>
        <v>0</v>
      </c>
      <c r="K55" s="9">
        <f>SUM(GUIA_NACIONAL_2022_1106112113116117118[[#This Row],[D1]:[D6]])</f>
        <v>0</v>
      </c>
      <c r="V55" s="4" t="s">
        <v>99</v>
      </c>
      <c r="W55" s="3">
        <f>IF($B$2="(Todas)",COUNTIF(BASE[CODCIE10],GUIA_NACIONAL_2022_1106128143146150153[[#This Row],[CIE-10]]),COUNTIFS(BASE[Cod.Establecimiento],$B$2,BASE[CODCIE10],GUIA_NACIONAL_2022_1106128143146150153[[#This Row],[CIE-10]]))</f>
        <v>0</v>
      </c>
      <c r="X55" s="3">
        <f>IF($B$2="(Todas)",COUNTIF(BASE[CODCIE102],GUIA_NACIONAL_2022_1106128143146150153[[#This Row],[CIE-10]]),COUNTIFS(BASE[Cod.Establecimiento],$B$2,BASE[CODCIE102],GUIA_NACIONAL_2022_1106128143146150153[[#This Row],[CIE-10]]))</f>
        <v>0</v>
      </c>
      <c r="Y55" s="3">
        <f>IF($B$2="(Todas)",COUNTIF(BASE[CODCIE104],GUIA_NACIONAL_2022_1106128143146150153[[#This Row],[CIE-10]]),COUNTIFS(BASE[Cod.Establecimiento],$B$2,BASE[CODCIE104],GUIA_NACIONAL_2022_1106128143146150153[[#This Row],[CIE-10]]))</f>
        <v>0</v>
      </c>
      <c r="Z55" s="3">
        <f>IF($B$2="(Todas)",COUNTIF(BASE[CODCIE106],GUIA_NACIONAL_2022_1106128143146150153[[#This Row],[CIE-10]]),COUNTIFS(BASE[Cod.Establecimiento],$B$2,BASE[CODCIE106],GUIA_NACIONAL_2022_1106128143146150153[[#This Row],[CIE-10]]))</f>
        <v>0</v>
      </c>
      <c r="AA55" s="3">
        <f>IF($B$2="(Todas)",COUNTIF(BASE[CODCIE108],GUIA_NACIONAL_2022_1106128143146150153[[#This Row],[CIE-10]]),COUNTIFS(BASE[Cod.Establecimiento],$B$2,BASE[CODCIE108],GUIA_NACIONAL_2022_1106128143146150153[[#This Row],[CIE-10]]))</f>
        <v>0</v>
      </c>
      <c r="AB55" s="3">
        <f>IF($B$2="(Todas)",COUNTIF(BASE[CODCIE1010],GUIA_NACIONAL_2022_1106128143146150153[[#This Row],[CIE-10]]),COUNTIFS(BASE[Cod.Establecimiento],$B$2,BASE[CODCIE1010],GUIA_NACIONAL_2022_1106128143146150153[[#This Row],[CIE-10]]))</f>
        <v>0</v>
      </c>
      <c r="AC55" s="9">
        <f>SUM(GUIA_NACIONAL_2022_1106128143146150153[[#This Row],[D1]:[D6]])</f>
        <v>0</v>
      </c>
      <c r="AE55" s="159" t="s">
        <v>572</v>
      </c>
      <c r="AF55" s="159"/>
      <c r="AG55" s="159"/>
      <c r="AH55" s="159"/>
      <c r="AI55" s="159"/>
      <c r="AJ55" s="159"/>
      <c r="AK55" s="159"/>
      <c r="AL55" s="159"/>
      <c r="BF55" s="159" t="s">
        <v>662</v>
      </c>
      <c r="BG55" s="159"/>
      <c r="BH55" s="159"/>
      <c r="BI55" s="159"/>
      <c r="BJ55" s="159"/>
      <c r="BK55" s="159"/>
      <c r="BL55" s="159"/>
      <c r="BM55" s="159"/>
      <c r="BO55" s="4" t="s">
        <v>315</v>
      </c>
      <c r="BP55" s="3">
        <f>IF($B$2="(Todas)",COUNTIF(BASE[CODCIE10],GUIA_NACIONAL_2022_1106128105107110207214216217236241244[[#This Row],[CIE-10]]),COUNTIFS(BASE[Cod.Establecimiento],$B$2,BASE[CODCIE10],GUIA_NACIONAL_2022_1106128105107110207214216217236241244[[#This Row],[CIE-10]]))</f>
        <v>0</v>
      </c>
      <c r="BQ55" s="3">
        <f>IF($B$2="(Todas)",COUNTIF(BASE[CODCIE102],GUIA_NACIONAL_2022_1106128105107110207214216217236241244[[#This Row],[CIE-10]]),COUNTIFS(BASE[Cod.Establecimiento],$B$2,BASE[CODCIE102],GUIA_NACIONAL_2022_1106128105107110207214216217236241244[[#This Row],[CIE-10]]))</f>
        <v>0</v>
      </c>
      <c r="BR55" s="3">
        <f>IF($B$2="(Todas)",COUNTIF(BASE[CODCIE104],GUIA_NACIONAL_2022_1106128105107110207214216217236241244[[#This Row],[CIE-10]]),COUNTIFS(BASE[Cod.Establecimiento],$B$2,BASE[CODCIE104],GUIA_NACIONAL_2022_1106128105107110207214216217236241244[[#This Row],[CIE-10]]))</f>
        <v>0</v>
      </c>
      <c r="BS55" s="3">
        <f>IF($B$2="(Todas)",COUNTIF(BASE[CODCIE106],GUIA_NACIONAL_2022_1106128105107110207214216217236241244[[#This Row],[CIE-10]]),COUNTIFS(BASE[Cod.Establecimiento],$B$2,BASE[CODCIE106],GUIA_NACIONAL_2022_1106128105107110207214216217236241244[[#This Row],[CIE-10]]))</f>
        <v>0</v>
      </c>
      <c r="BT55" s="3">
        <f>IF($B$2="(Todas)",COUNTIF(BASE[CODCIE108],GUIA_NACIONAL_2022_1106128105107110207214216217236241244[[#This Row],[CIE-10]]),COUNTIFS(BASE[Cod.Establecimiento],$B$2,BASE[CODCIE108],GUIA_NACIONAL_2022_1106128105107110207214216217236241244[[#This Row],[CIE-10]]))</f>
        <v>0</v>
      </c>
      <c r="BU55" s="3">
        <f>IF($B$2="(Todas)",COUNTIF(BASE[CODCIE1010],GUIA_NACIONAL_2022_1106128105107110207214216217236241244[[#This Row],[CIE-10]]),COUNTIFS(BASE[Cod.Establecimiento],$B$2,BASE[CODCIE1010],GUIA_NACIONAL_2022_1106128105107110207214216217236241244[[#This Row],[CIE-10]]))</f>
        <v>0</v>
      </c>
      <c r="BV55" s="9">
        <f>SUM(GUIA_NACIONAL_2022_1106128105107110207214216217236241244[[#This Row],[D1]:[D6]])</f>
        <v>0</v>
      </c>
      <c r="CG55" s="4" t="s">
        <v>742</v>
      </c>
      <c r="CH55" s="3">
        <f>IF($B$2="(Todas)",COUNTIF(BASE[CODCIE10],GUIA_NACIONAL_2022_1106128105107111115129130250251252253[[#This Row],[CIE-10]]),COUNTIFS(BASE[Cod.Establecimiento],$B$2,BASE[CODCIE10],GUIA_NACIONAL_2022_1106128105107111115129130250251252253[[#This Row],[CIE-10]]))</f>
        <v>0</v>
      </c>
      <c r="CI55" s="3">
        <f>IF($B$2="(Todas)",COUNTIF(BASE[CODCIE102],GUIA_NACIONAL_2022_1106128105107111115129130250251252253[[#This Row],[CIE-10]]),COUNTIFS(BASE[Cod.Establecimiento],$B$2,BASE[CODCIE102],GUIA_NACIONAL_2022_1106128105107111115129130250251252253[[#This Row],[CIE-10]]))</f>
        <v>0</v>
      </c>
      <c r="CJ55" s="3">
        <f>IF($B$2="(Todas)",COUNTIF(BASE[CODCIE104],GUIA_NACIONAL_2022_1106128105107111115129130250251252253[[#This Row],[CIE-10]]),COUNTIFS(BASE[Cod.Establecimiento],$B$2,BASE[CODCIE104],GUIA_NACIONAL_2022_1106128105107111115129130250251252253[[#This Row],[CIE-10]]))</f>
        <v>0</v>
      </c>
      <c r="CK55" s="3">
        <f>IF($B$2="(Todas)",COUNTIF(BASE[CODCIE106],GUIA_NACIONAL_2022_1106128105107111115129130250251252253[[#This Row],[CIE-10]]),COUNTIFS(BASE[Cod.Establecimiento],$B$2,BASE[CODCIE106],GUIA_NACIONAL_2022_1106128105107111115129130250251252253[[#This Row],[CIE-10]]))</f>
        <v>0</v>
      </c>
      <c r="CL55" s="3">
        <f>IF($B$2="(Todas)",COUNTIF(BASE[CODCIE108],GUIA_NACIONAL_2022_1106128105107111115129130250251252253[[#This Row],[CIE-10]]),COUNTIFS(BASE[Cod.Establecimiento],$B$2,BASE[CODCIE108],GUIA_NACIONAL_2022_1106128105107111115129130250251252253[[#This Row],[CIE-10]]))</f>
        <v>0</v>
      </c>
      <c r="CM55" s="3">
        <f>IF($B$2="(Todas)",COUNTIF(BASE[CODCIE1010],GUIA_NACIONAL_2022_1106128105107111115129130250251252253[[#This Row],[CIE-10]]),COUNTIFS(BASE[Cod.Establecimiento],$B$2,BASE[CODCIE1010],GUIA_NACIONAL_2022_1106128105107111115129130250251252253[[#This Row],[CIE-10]]))</f>
        <v>0</v>
      </c>
      <c r="CN55" s="9">
        <f>SUM(GUIA_NACIONAL_2022_1106128105107111115129130250251252253[[#This Row],[D1]:[D6]])</f>
        <v>0</v>
      </c>
    </row>
    <row r="56" spans="1:92" ht="15" customHeight="1">
      <c r="A56" s="72"/>
      <c r="B56" s="72"/>
      <c r="D56" s="159" t="s">
        <v>435</v>
      </c>
      <c r="E56" s="159"/>
      <c r="F56" s="159"/>
      <c r="G56" s="159"/>
      <c r="H56" s="159"/>
      <c r="I56" s="159"/>
      <c r="J56" s="159"/>
      <c r="K56" s="159"/>
      <c r="V56" s="160" t="s">
        <v>527</v>
      </c>
      <c r="W56" s="160"/>
      <c r="X56" s="160"/>
      <c r="Y56" s="160"/>
      <c r="Z56" s="160"/>
      <c r="AA56" s="160"/>
      <c r="AB56" s="160"/>
      <c r="AC56" s="160"/>
      <c r="AE56" t="s">
        <v>77</v>
      </c>
      <c r="AF56" s="3" t="s">
        <v>78</v>
      </c>
      <c r="AG56" s="3" t="s">
        <v>79</v>
      </c>
      <c r="AH56" s="3" t="s">
        <v>80</v>
      </c>
      <c r="AI56" s="3" t="s">
        <v>81</v>
      </c>
      <c r="AJ56" s="3" t="s">
        <v>82</v>
      </c>
      <c r="AK56" s="3" t="s">
        <v>83</v>
      </c>
      <c r="AL56" s="8" t="s">
        <v>84</v>
      </c>
      <c r="BF56" t="s">
        <v>77</v>
      </c>
      <c r="BG56" s="3" t="s">
        <v>78</v>
      </c>
      <c r="BH56" s="3" t="s">
        <v>79</v>
      </c>
      <c r="BI56" s="3" t="s">
        <v>80</v>
      </c>
      <c r="BJ56" s="3" t="s">
        <v>81</v>
      </c>
      <c r="BK56" s="3" t="s">
        <v>82</v>
      </c>
      <c r="BL56" s="3" t="s">
        <v>83</v>
      </c>
      <c r="BM56" s="8" t="s">
        <v>84</v>
      </c>
      <c r="BO56" s="159" t="s">
        <v>689</v>
      </c>
      <c r="BP56" s="159"/>
      <c r="BQ56" s="159"/>
      <c r="BR56" s="159"/>
      <c r="BS56" s="159"/>
      <c r="BT56" s="159"/>
      <c r="BU56" s="159"/>
      <c r="BV56" s="159"/>
    </row>
    <row r="57" spans="1:92" ht="15" customHeight="1">
      <c r="A57" s="72"/>
      <c r="B57" s="72"/>
      <c r="D57" t="s">
        <v>77</v>
      </c>
      <c r="E57" s="3" t="s">
        <v>78</v>
      </c>
      <c r="F57" s="3" t="s">
        <v>79</v>
      </c>
      <c r="G57" s="3" t="s">
        <v>80</v>
      </c>
      <c r="H57" s="3" t="s">
        <v>81</v>
      </c>
      <c r="I57" s="3" t="s">
        <v>82</v>
      </c>
      <c r="J57" s="3" t="s">
        <v>83</v>
      </c>
      <c r="K57" s="8" t="s">
        <v>84</v>
      </c>
      <c r="V57" s="158" t="s">
        <v>528</v>
      </c>
      <c r="W57" s="159"/>
      <c r="X57" s="159"/>
      <c r="Y57" s="159"/>
      <c r="Z57" s="159"/>
      <c r="AA57" s="159"/>
      <c r="AB57" s="159"/>
      <c r="AC57" s="159"/>
      <c r="AE57" s="4" t="s">
        <v>571</v>
      </c>
      <c r="AF57" s="3">
        <f>IF($B$2="(Todas)",COUNTIF(BASE[CODCIE10],GUIA_NACIONAL_2022_1106128105168175177179[[#This Row],[CIE-10]]),COUNTIFS(BASE[Cod.Establecimiento],$B$2,BASE[CODCIE10],GUIA_NACIONAL_2022_1106128105168175177179[[#This Row],[CIE-10]]))</f>
        <v>0</v>
      </c>
      <c r="AG57" s="3">
        <f>IF($B$2="(Todas)",COUNTIF(BASE[CODCIE102],GUIA_NACIONAL_2022_1106128105168175177179[[#This Row],[CIE-10]]),COUNTIFS(BASE[Cod.Establecimiento],$B$2,BASE[CODCIE102],GUIA_NACIONAL_2022_1106128105168175177179[[#This Row],[CIE-10]]))</f>
        <v>0</v>
      </c>
      <c r="AH57" s="3">
        <f>IF($B$2="(Todas)",COUNTIF(BASE[CODCIE104],GUIA_NACIONAL_2022_1106128105168175177179[[#This Row],[CIE-10]]),COUNTIFS(BASE[Cod.Establecimiento],$B$2,BASE[CODCIE104],GUIA_NACIONAL_2022_1106128105168175177179[[#This Row],[CIE-10]]))</f>
        <v>0</v>
      </c>
      <c r="AI57" s="3">
        <f>IF($B$2="(Todas)",COUNTIF(BASE[CODCIE106],GUIA_NACIONAL_2022_1106128105168175177179[[#This Row],[CIE-10]]),COUNTIFS(BASE[Cod.Establecimiento],$B$2,BASE[CODCIE106],GUIA_NACIONAL_2022_1106128105168175177179[[#This Row],[CIE-10]]))</f>
        <v>0</v>
      </c>
      <c r="AJ57" s="3">
        <f>IF($B$2="(Todas)",COUNTIF(BASE[CODCIE108],GUIA_NACIONAL_2022_1106128105168175177179[[#This Row],[CIE-10]]),COUNTIFS(BASE[Cod.Establecimiento],$B$2,BASE[CODCIE108],GUIA_NACIONAL_2022_1106128105168175177179[[#This Row],[CIE-10]]))</f>
        <v>0</v>
      </c>
      <c r="AK57" s="3">
        <f>IF($B$2="(Todas)",COUNTIF(BASE[CODCIE1010],GUIA_NACIONAL_2022_1106128105168175177179[[#This Row],[CIE-10]]),COUNTIFS(BASE[Cod.Establecimiento],$B$2,BASE[CODCIE1010],GUIA_NACIONAL_2022_1106128105168175177179[[#This Row],[CIE-10]]))</f>
        <v>0</v>
      </c>
      <c r="AL57" s="9">
        <f>SUM(GUIA_NACIONAL_2022_1106128105168175177179[[#This Row],[D1]:[D6]])</f>
        <v>0</v>
      </c>
      <c r="BF57" s="4" t="s">
        <v>663</v>
      </c>
      <c r="BG57" s="3">
        <f>IF($B$2="(Todas)",COUNTIF(BASE[CODCIE10],GUIA_NACIONAL_2022_1106128105168162225[[#This Row],[CIE-10]]),COUNTIFS(BASE[Cod.Establecimiento],$B$2,BASE[CODCIE10],GUIA_NACIONAL_2022_1106128105168162225[[#This Row],[CIE-10]]))</f>
        <v>0</v>
      </c>
      <c r="BH57" s="3">
        <f>IF($B$2="(Todas)",COUNTIF(BASE[CODCIE102],GUIA_NACIONAL_2022_1106128105168162225[[#This Row],[CIE-10]]),COUNTIFS(BASE[Cod.Establecimiento],$B$2,BASE[CODCIE102],GUIA_NACIONAL_2022_1106128105168162225[[#This Row],[CIE-10]]))</f>
        <v>0</v>
      </c>
      <c r="BI57" s="3">
        <f>IF($B$2="(Todas)",COUNTIF(BASE[CODCIE104],GUIA_NACIONAL_2022_1106128105168162225[[#This Row],[CIE-10]]),COUNTIFS(BASE[Cod.Establecimiento],$B$2,BASE[CODCIE104],GUIA_NACIONAL_2022_1106128105168162225[[#This Row],[CIE-10]]))</f>
        <v>0</v>
      </c>
      <c r="BJ57" s="3">
        <f>IF($B$2="(Todas)",COUNTIF(BASE[CODCIE106],GUIA_NACIONAL_2022_1106128105168162225[[#This Row],[CIE-10]]),COUNTIFS(BASE[Cod.Establecimiento],$B$2,BASE[CODCIE106],GUIA_NACIONAL_2022_1106128105168162225[[#This Row],[CIE-10]]))</f>
        <v>0</v>
      </c>
      <c r="BK57" s="3">
        <f>IF($B$2="(Todas)",COUNTIF(BASE[CODCIE108],GUIA_NACIONAL_2022_1106128105168162225[[#This Row],[CIE-10]]),COUNTIFS(BASE[Cod.Establecimiento],$B$2,BASE[CODCIE108],GUIA_NACIONAL_2022_1106128105168162225[[#This Row],[CIE-10]]))</f>
        <v>0</v>
      </c>
      <c r="BL57" s="3">
        <f>IF($B$2="(Todas)",COUNTIF(BASE[CODCIE1010],GUIA_NACIONAL_2022_1106128105168162225[[#This Row],[CIE-10]]),COUNTIFS(BASE[Cod.Establecimiento],$B$2,BASE[CODCIE1010],GUIA_NACIONAL_2022_1106128105168162225[[#This Row],[CIE-10]]))</f>
        <v>0</v>
      </c>
      <c r="BM57" s="9">
        <f>SUM(GUIA_NACIONAL_2022_1106128105168162225[[#This Row],[D1]:[D6]])</f>
        <v>0</v>
      </c>
      <c r="BO57" t="s">
        <v>77</v>
      </c>
      <c r="BP57" s="3" t="s">
        <v>78</v>
      </c>
      <c r="BQ57" s="3" t="s">
        <v>79</v>
      </c>
      <c r="BR57" s="3" t="s">
        <v>80</v>
      </c>
      <c r="BS57" s="3" t="s">
        <v>81</v>
      </c>
      <c r="BT57" s="3" t="s">
        <v>82</v>
      </c>
      <c r="BU57" s="3" t="s">
        <v>83</v>
      </c>
      <c r="BV57" s="8" t="s">
        <v>84</v>
      </c>
    </row>
    <row r="58" spans="1:92" ht="15" customHeight="1">
      <c r="A58" s="72"/>
      <c r="B58" s="72"/>
      <c r="D58" s="4" t="s">
        <v>400</v>
      </c>
      <c r="E58" s="3">
        <f>IF($B$2="(Todas)",COUNTIF(BASE[CODCIE10],GUIA_NACIONAL_2022_1106112113116117118119[[#This Row],[CIE-10]]),COUNTIFS(BASE[Cod.Establecimiento],$B$2,BASE[CODCIE10],GUIA_NACIONAL_2022_1106112113116117118119[[#This Row],[CIE-10]]))</f>
        <v>0</v>
      </c>
      <c r="F58" s="3">
        <f>IF($B$2="(Todas)",COUNTIF(BASE[CODCIE102],GUIA_NACIONAL_2022_1106112113116117118119[[#This Row],[CIE-10]]),COUNTIFS(BASE[Cod.Establecimiento],$B$2,BASE[CODCIE102],GUIA_NACIONAL_2022_1106112113116117118119[[#This Row],[CIE-10]]))</f>
        <v>0</v>
      </c>
      <c r="G58" s="3">
        <f>IF($B$2="(Todas)",COUNTIF(BASE[CODCIE104],GUIA_NACIONAL_2022_1106112113116117118119[[#This Row],[CIE-10]]),COUNTIFS(BASE[Cod.Establecimiento],$B$2,BASE[CODCIE104],GUIA_NACIONAL_2022_1106112113116117118119[[#This Row],[CIE-10]]))</f>
        <v>0</v>
      </c>
      <c r="H58" s="3">
        <f>IF($B$2="(Todas)",COUNTIF(BASE[CODCIE106],GUIA_NACIONAL_2022_1106112113116117118119[[#This Row],[CIE-10]]),COUNTIFS(BASE[Cod.Establecimiento],$B$2,BASE[CODCIE106],GUIA_NACIONAL_2022_1106112113116117118119[[#This Row],[CIE-10]]))</f>
        <v>0</v>
      </c>
      <c r="I58" s="3">
        <f>IF($B$2="(Todas)",COUNTIF(BASE[CODCIE108],GUIA_NACIONAL_2022_1106112113116117118119[[#This Row],[CIE-10]]),COUNTIFS(BASE[Cod.Establecimiento],$B$2,BASE[CODCIE108],GUIA_NACIONAL_2022_1106112113116117118119[[#This Row],[CIE-10]]))</f>
        <v>0</v>
      </c>
      <c r="J58" s="3">
        <f>IF($B$2="(Todas)",COUNTIF(BASE[CODCIE1010],GUIA_NACIONAL_2022_1106112113116117118119[[#This Row],[CIE-10]]),COUNTIFS(BASE[Cod.Establecimiento],$B$2,BASE[CODCIE1010],GUIA_NACIONAL_2022_1106112113116117118119[[#This Row],[CIE-10]]))</f>
        <v>0</v>
      </c>
      <c r="K58" s="9">
        <f>SUM(GUIA_NACIONAL_2022_1106112113116117118119[[#This Row],[D1]:[D6]])</f>
        <v>0</v>
      </c>
      <c r="V58" t="s">
        <v>77</v>
      </c>
      <c r="W58" s="3" t="s">
        <v>78</v>
      </c>
      <c r="X58" s="3" t="s">
        <v>79</v>
      </c>
      <c r="Y58" s="3" t="s">
        <v>80</v>
      </c>
      <c r="Z58" s="3" t="s">
        <v>81</v>
      </c>
      <c r="AA58" s="3" t="s">
        <v>82</v>
      </c>
      <c r="AB58" s="3" t="s">
        <v>83</v>
      </c>
      <c r="AC58" s="8" t="s">
        <v>84</v>
      </c>
      <c r="AE58" s="160" t="s">
        <v>573</v>
      </c>
      <c r="AF58" s="160"/>
      <c r="AG58" s="160"/>
      <c r="AH58" s="160"/>
      <c r="AI58" s="160"/>
      <c r="AJ58" s="160"/>
      <c r="AK58" s="160"/>
      <c r="AL58" s="160"/>
      <c r="BF58" s="159" t="s">
        <v>664</v>
      </c>
      <c r="BG58" s="159"/>
      <c r="BH58" s="159"/>
      <c r="BI58" s="159"/>
      <c r="BJ58" s="159"/>
      <c r="BK58" s="159"/>
      <c r="BL58" s="159"/>
      <c r="BM58" s="159"/>
      <c r="BO58" s="4" t="s">
        <v>326</v>
      </c>
      <c r="BP58" s="3">
        <f>IF($B$2="(Todas)",COUNTIF(BASE[CODCIE10],GUIA_NACIONAL_2022_1106128105107111115243245[[#This Row],[CIE-10]]),COUNTIFS(BASE[Cod.Establecimiento],$B$2,BASE[CODCIE10],GUIA_NACIONAL_2022_1106128105107111115243245[[#This Row],[CIE-10]]))</f>
        <v>0</v>
      </c>
      <c r="BQ58" s="3">
        <f>IF($B$2="(Todas)",COUNTIF(BASE[CODCIE102],GUIA_NACIONAL_2022_1106128105107111115243245[[#This Row],[CIE-10]]),COUNTIFS(BASE[Cod.Establecimiento],$B$2,BASE[CODCIE102],GUIA_NACIONAL_2022_1106128105107111115243245[[#This Row],[CIE-10]]))</f>
        <v>0</v>
      </c>
      <c r="BR58" s="3">
        <f>IF($B$2="(Todas)",COUNTIF(BASE[CODCIE104],GUIA_NACIONAL_2022_1106128105107111115243245[[#This Row],[CIE-10]]),COUNTIFS(BASE[Cod.Establecimiento],$B$2,BASE[CODCIE104],GUIA_NACIONAL_2022_1106128105107111115243245[[#This Row],[CIE-10]]))</f>
        <v>0</v>
      </c>
      <c r="BS58" s="3">
        <f>IF($B$2="(Todas)",COUNTIF(BASE[CODCIE106],GUIA_NACIONAL_2022_1106128105107111115243245[[#This Row],[CIE-10]]),COUNTIFS(BASE[Cod.Establecimiento],$B$2,BASE[CODCIE106],GUIA_NACIONAL_2022_1106128105107111115243245[[#This Row],[CIE-10]]))</f>
        <v>0</v>
      </c>
      <c r="BT58" s="3">
        <f>IF($B$2="(Todas)",COUNTIF(BASE[CODCIE108],GUIA_NACIONAL_2022_1106128105107111115243245[[#This Row],[CIE-10]]),COUNTIFS(BASE[Cod.Establecimiento],$B$2,BASE[CODCIE108],GUIA_NACIONAL_2022_1106128105107111115243245[[#This Row],[CIE-10]]))</f>
        <v>0</v>
      </c>
      <c r="BU58" s="3">
        <f>IF($B$2="(Todas)",COUNTIF(BASE[CODCIE1010],GUIA_NACIONAL_2022_1106128105107111115243245[[#This Row],[CIE-10]]),COUNTIFS(BASE[Cod.Establecimiento],$B$2,BASE[CODCIE1010],GUIA_NACIONAL_2022_1106128105107111115243245[[#This Row],[CIE-10]]))</f>
        <v>0</v>
      </c>
      <c r="BV58" s="9">
        <f>SUM(GUIA_NACIONAL_2022_1106128105107111115243245[[#This Row],[D1]:[D6]])</f>
        <v>0</v>
      </c>
    </row>
    <row r="59" spans="1:92" ht="15" customHeight="1">
      <c r="A59" s="72"/>
      <c r="B59" s="72"/>
      <c r="D59" s="159" t="s">
        <v>436</v>
      </c>
      <c r="E59" s="159"/>
      <c r="F59" s="159"/>
      <c r="G59" s="159"/>
      <c r="H59" s="159"/>
      <c r="I59" s="159"/>
      <c r="J59" s="159"/>
      <c r="K59" s="159"/>
      <c r="V59" s="4" t="s">
        <v>86</v>
      </c>
      <c r="W59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59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59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59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59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59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59" s="9">
        <f>SUM(GUIA_NACIONAL_2022_1106128143146150152154[[#This Row],[D1]:[D6]])</f>
        <v>0</v>
      </c>
      <c r="AE59" s="159" t="s">
        <v>574</v>
      </c>
      <c r="AF59" s="159"/>
      <c r="AG59" s="159"/>
      <c r="AH59" s="159"/>
      <c r="AI59" s="159"/>
      <c r="AJ59" s="159"/>
      <c r="AK59" s="159"/>
      <c r="AL59" s="159"/>
      <c r="BF59" t="s">
        <v>77</v>
      </c>
      <c r="BG59" s="3" t="s">
        <v>78</v>
      </c>
      <c r="BH59" s="3" t="s">
        <v>79</v>
      </c>
      <c r="BI59" s="3" t="s">
        <v>80</v>
      </c>
      <c r="BJ59" s="3" t="s">
        <v>81</v>
      </c>
      <c r="BK59" s="3" t="s">
        <v>82</v>
      </c>
      <c r="BL59" s="3" t="s">
        <v>83</v>
      </c>
      <c r="BM59" s="8" t="s">
        <v>84</v>
      </c>
      <c r="BO59" s="159" t="s">
        <v>688</v>
      </c>
      <c r="BP59" s="159"/>
      <c r="BQ59" s="159"/>
      <c r="BR59" s="159"/>
      <c r="BS59" s="159"/>
      <c r="BT59" s="159"/>
      <c r="BU59" s="159"/>
      <c r="BV59" s="159"/>
    </row>
    <row r="60" spans="1:92" ht="15" customHeight="1">
      <c r="A60" s="72"/>
      <c r="B60" s="72"/>
      <c r="D60" t="s">
        <v>77</v>
      </c>
      <c r="E60" s="3" t="s">
        <v>78</v>
      </c>
      <c r="F60" s="3" t="s">
        <v>79</v>
      </c>
      <c r="G60" s="3" t="s">
        <v>80</v>
      </c>
      <c r="H60" s="3" t="s">
        <v>81</v>
      </c>
      <c r="I60" s="3" t="s">
        <v>82</v>
      </c>
      <c r="J60" s="3" t="s">
        <v>83</v>
      </c>
      <c r="K60" s="8" t="s">
        <v>84</v>
      </c>
      <c r="V60" s="31" t="s">
        <v>88</v>
      </c>
      <c r="W60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0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0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0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0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0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0" s="9">
        <f>SUM(GUIA_NACIONAL_2022_1106128143146150152154[[#This Row],[D1]:[D6]])</f>
        <v>0</v>
      </c>
      <c r="AE60" t="s">
        <v>77</v>
      </c>
      <c r="AF60" s="3" t="s">
        <v>78</v>
      </c>
      <c r="AG60" s="3" t="s">
        <v>79</v>
      </c>
      <c r="AH60" s="3" t="s">
        <v>80</v>
      </c>
      <c r="AI60" s="3" t="s">
        <v>81</v>
      </c>
      <c r="AJ60" s="3" t="s">
        <v>82</v>
      </c>
      <c r="AK60" s="3" t="s">
        <v>83</v>
      </c>
      <c r="AL60" s="8" t="s">
        <v>84</v>
      </c>
      <c r="BF60" s="4" t="s">
        <v>665</v>
      </c>
      <c r="BG60" s="3">
        <f>IF($B$2="(Todas)",COUNTIF(BASE[CODCIE10],GUIA_NACIONAL_2022_1106128105107110207214216221222223224226[[#This Row],[CIE-10]]),COUNTIFS(BASE[Cod.Establecimiento],$B$2,BASE[CODCIE10],GUIA_NACIONAL_2022_1106128105107110207214216221222223224226[[#This Row],[CIE-10]]))</f>
        <v>0</v>
      </c>
      <c r="BH60" s="3">
        <f>IF($B$2="(Todas)",COUNTIF(BASE[CODCIE102],GUIA_NACIONAL_2022_1106128105107110207214216221222223224226[[#This Row],[CIE-10]]),COUNTIFS(BASE[Cod.Establecimiento],$B$2,BASE[CODCIE102],GUIA_NACIONAL_2022_1106128105107110207214216221222223224226[[#This Row],[CIE-10]]))</f>
        <v>0</v>
      </c>
      <c r="BI60" s="3">
        <f>IF($B$2="(Todas)",COUNTIF(BASE[CODCIE104],GUIA_NACIONAL_2022_1106128105107110207214216221222223224226[[#This Row],[CIE-10]]),COUNTIFS(BASE[Cod.Establecimiento],$B$2,BASE[CODCIE104],GUIA_NACIONAL_2022_1106128105107110207214216221222223224226[[#This Row],[CIE-10]]))</f>
        <v>0</v>
      </c>
      <c r="BJ60" s="3">
        <f>IF($B$2="(Todas)",COUNTIF(BASE[CODCIE106],GUIA_NACIONAL_2022_1106128105107110207214216221222223224226[[#This Row],[CIE-10]]),COUNTIFS(BASE[Cod.Establecimiento],$B$2,BASE[CODCIE106],GUIA_NACIONAL_2022_1106128105107110207214216221222223224226[[#This Row],[CIE-10]]))</f>
        <v>0</v>
      </c>
      <c r="BK60" s="3">
        <f>IF($B$2="(Todas)",COUNTIF(BASE[CODCIE108],GUIA_NACIONAL_2022_1106128105107110207214216221222223224226[[#This Row],[CIE-10]]),COUNTIFS(BASE[Cod.Establecimiento],$B$2,BASE[CODCIE108],GUIA_NACIONAL_2022_1106128105107110207214216221222223224226[[#This Row],[CIE-10]]))</f>
        <v>0</v>
      </c>
      <c r="BL60" s="3">
        <f>IF($B$2="(Todas)",COUNTIF(BASE[CODCIE1010],GUIA_NACIONAL_2022_1106128105107110207214216221222223224226[[#This Row],[CIE-10]]),COUNTIFS(BASE[Cod.Establecimiento],$B$2,BASE[CODCIE1010],GUIA_NACIONAL_2022_1106128105107110207214216221222223224226[[#This Row],[CIE-10]]))</f>
        <v>0</v>
      </c>
      <c r="BM60" s="9">
        <f>SUM(GUIA_NACIONAL_2022_1106128105107110207214216221222223224226[[#This Row],[D1]:[D6]])</f>
        <v>0</v>
      </c>
      <c r="BO60" t="s">
        <v>77</v>
      </c>
      <c r="BP60" s="3" t="s">
        <v>78</v>
      </c>
      <c r="BQ60" s="3" t="s">
        <v>79</v>
      </c>
      <c r="BR60" s="3" t="s">
        <v>80</v>
      </c>
      <c r="BS60" s="3" t="s">
        <v>81</v>
      </c>
      <c r="BT60" s="3" t="s">
        <v>82</v>
      </c>
      <c r="BU60" s="3" t="s">
        <v>83</v>
      </c>
      <c r="BV60" s="8" t="s">
        <v>84</v>
      </c>
    </row>
    <row r="61" spans="1:92" ht="15" customHeight="1">
      <c r="A61" s="72"/>
      <c r="B61" s="72"/>
      <c r="D61" s="4" t="s">
        <v>401</v>
      </c>
      <c r="E61" s="3">
        <f>IF($B$2="(Todas)",COUNTIF(BASE[CODCIE10],GUIA_NACIONAL_2022_1106112113116117118119120[[#This Row],[CIE-10]]),COUNTIFS(BASE[Cod.Establecimiento],$B$2,BASE[CODCIE10],GUIA_NACIONAL_2022_1106112113116117118119120[[#This Row],[CIE-10]]))</f>
        <v>0</v>
      </c>
      <c r="F61" s="3">
        <f>IF($B$2="(Todas)",COUNTIF(BASE[CODCIE102],GUIA_NACIONAL_2022_1106112113116117118119120[[#This Row],[CIE-10]]),COUNTIFS(BASE[Cod.Establecimiento],$B$2,BASE[CODCIE102],GUIA_NACIONAL_2022_1106112113116117118119120[[#This Row],[CIE-10]]))</f>
        <v>0</v>
      </c>
      <c r="G61" s="3">
        <f>IF($B$2="(Todas)",COUNTIF(BASE[CODCIE104],GUIA_NACIONAL_2022_1106112113116117118119120[[#This Row],[CIE-10]]),COUNTIFS(BASE[Cod.Establecimiento],$B$2,BASE[CODCIE104],GUIA_NACIONAL_2022_1106112113116117118119120[[#This Row],[CIE-10]]))</f>
        <v>0</v>
      </c>
      <c r="H61" s="3">
        <f>IF($B$2="(Todas)",COUNTIF(BASE[CODCIE106],GUIA_NACIONAL_2022_1106112113116117118119120[[#This Row],[CIE-10]]),COUNTIFS(BASE[Cod.Establecimiento],$B$2,BASE[CODCIE106],GUIA_NACIONAL_2022_1106112113116117118119120[[#This Row],[CIE-10]]))</f>
        <v>0</v>
      </c>
      <c r="I61" s="3">
        <f>IF($B$2="(Todas)",COUNTIF(BASE[CODCIE108],GUIA_NACIONAL_2022_1106112113116117118119120[[#This Row],[CIE-10]]),COUNTIFS(BASE[Cod.Establecimiento],$B$2,BASE[CODCIE108],GUIA_NACIONAL_2022_1106112113116117118119120[[#This Row],[CIE-10]]))</f>
        <v>0</v>
      </c>
      <c r="J61" s="3">
        <f>IF($B$2="(Todas)",COUNTIF(BASE[CODCIE1010],GUIA_NACIONAL_2022_1106112113116117118119120[[#This Row],[CIE-10]]),COUNTIFS(BASE[Cod.Establecimiento],$B$2,BASE[CODCIE1010],GUIA_NACIONAL_2022_1106112113116117118119120[[#This Row],[CIE-10]]))</f>
        <v>0</v>
      </c>
      <c r="K61" s="9">
        <f>SUM(GUIA_NACIONAL_2022_1106112113116117118119120[[#This Row],[D1]:[D6]])</f>
        <v>0</v>
      </c>
      <c r="V61" s="31" t="s">
        <v>90</v>
      </c>
      <c r="W61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1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1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1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1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1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1" s="9">
        <f>SUM(GUIA_NACIONAL_2022_1106128143146150152154[[#This Row],[D1]:[D6]])</f>
        <v>0</v>
      </c>
      <c r="AE61" s="4" t="s">
        <v>575</v>
      </c>
      <c r="AF61" s="3">
        <f>IF($B$2="(Todas)",COUNTIF(BASE[CODCIE10],GUIA_NACIONAL_2022_1106128105168175180[[#This Row],[CIE-10]]),COUNTIFS(BASE[Cod.Establecimiento],$B$2,BASE[CODCIE10],GUIA_NACIONAL_2022_1106128105168175180[[#This Row],[CIE-10]]))</f>
        <v>0</v>
      </c>
      <c r="AG61" s="3">
        <f>IF($B$2="(Todas)",COUNTIF(BASE[CODCIE102],GUIA_NACIONAL_2022_1106128105168175180[[#This Row],[CIE-10]]),COUNTIFS(BASE[Cod.Establecimiento],$B$2,BASE[CODCIE102],GUIA_NACIONAL_2022_1106128105168175180[[#This Row],[CIE-10]]))</f>
        <v>0</v>
      </c>
      <c r="AH61" s="3">
        <f>IF($B$2="(Todas)",COUNTIF(BASE[CODCIE104],GUIA_NACIONAL_2022_1106128105168175180[[#This Row],[CIE-10]]),COUNTIFS(BASE[Cod.Establecimiento],$B$2,BASE[CODCIE104],GUIA_NACIONAL_2022_1106128105168175180[[#This Row],[CIE-10]]))</f>
        <v>0</v>
      </c>
      <c r="AI61" s="3">
        <f>IF($B$2="(Todas)",COUNTIF(BASE[CODCIE106],GUIA_NACIONAL_2022_1106128105168175180[[#This Row],[CIE-10]]),COUNTIFS(BASE[Cod.Establecimiento],$B$2,BASE[CODCIE106],GUIA_NACIONAL_2022_1106128105168175180[[#This Row],[CIE-10]]))</f>
        <v>0</v>
      </c>
      <c r="AJ61" s="3">
        <f>IF($B$2="(Todas)",COUNTIF(BASE[CODCIE108],GUIA_NACIONAL_2022_1106128105168175180[[#This Row],[CIE-10]]),COUNTIFS(BASE[Cod.Establecimiento],$B$2,BASE[CODCIE108],GUIA_NACIONAL_2022_1106128105168175180[[#This Row],[CIE-10]]))</f>
        <v>0</v>
      </c>
      <c r="AK61" s="3">
        <f>IF($B$2="(Todas)",COUNTIF(BASE[CODCIE1010],GUIA_NACIONAL_2022_1106128105168175180[[#This Row],[CIE-10]]),COUNTIFS(BASE[Cod.Establecimiento],$B$2,BASE[CODCIE1010],GUIA_NACIONAL_2022_1106128105168175180[[#This Row],[CIE-10]]))</f>
        <v>0</v>
      </c>
      <c r="AL61" s="9">
        <f>SUM(GUIA_NACIONAL_2022_1106128105168175180[[#This Row],[D1]:[D6]])</f>
        <v>0</v>
      </c>
      <c r="BF61" s="159" t="s">
        <v>666</v>
      </c>
      <c r="BG61" s="159"/>
      <c r="BH61" s="159"/>
      <c r="BI61" s="159"/>
      <c r="BJ61" s="159"/>
      <c r="BK61" s="159"/>
      <c r="BL61" s="159"/>
      <c r="BM61" s="159"/>
      <c r="BO61" s="4" t="s">
        <v>316</v>
      </c>
      <c r="BP61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1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1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1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1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1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1" s="9">
        <f>SUM(GUIA_NACIONAL_2022_1106128105107110207214216217236241244246[[#This Row],[D1]:[D6]])</f>
        <v>0</v>
      </c>
    </row>
    <row r="62" spans="1:92" ht="15" customHeight="1">
      <c r="A62" s="72"/>
      <c r="B62" s="72"/>
      <c r="D62" s="159" t="s">
        <v>437</v>
      </c>
      <c r="E62" s="159"/>
      <c r="F62" s="159"/>
      <c r="G62" s="159"/>
      <c r="H62" s="159"/>
      <c r="I62" s="159"/>
      <c r="J62" s="159"/>
      <c r="K62" s="159"/>
      <c r="V62" s="31" t="s">
        <v>68</v>
      </c>
      <c r="W62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2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2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2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2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2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2" s="9">
        <f>SUM(GUIA_NACIONAL_2022_1106128143146150152154[[#This Row],[D1]:[D6]])</f>
        <v>0</v>
      </c>
      <c r="AE62" s="159" t="s">
        <v>576</v>
      </c>
      <c r="AF62" s="159"/>
      <c r="AG62" s="159"/>
      <c r="AH62" s="159"/>
      <c r="AI62" s="159"/>
      <c r="AJ62" s="159"/>
      <c r="AK62" s="159"/>
      <c r="AL62" s="159"/>
      <c r="BF62" t="s">
        <v>77</v>
      </c>
      <c r="BG62" s="3" t="s">
        <v>78</v>
      </c>
      <c r="BH62" s="3" t="s">
        <v>79</v>
      </c>
      <c r="BI62" s="3" t="s">
        <v>80</v>
      </c>
      <c r="BJ62" s="3" t="s">
        <v>81</v>
      </c>
      <c r="BK62" s="3" t="s">
        <v>82</v>
      </c>
      <c r="BL62" s="3" t="s">
        <v>83</v>
      </c>
      <c r="BM62" s="8" t="s">
        <v>84</v>
      </c>
      <c r="BO62" s="31" t="s">
        <v>307</v>
      </c>
      <c r="BP62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2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2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2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2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2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2" s="9">
        <f>SUM(GUIA_NACIONAL_2022_1106128105107110207214216217236241244246[[#This Row],[D1]:[D6]])</f>
        <v>0</v>
      </c>
    </row>
    <row r="63" spans="1:92">
      <c r="D63" t="s">
        <v>77</v>
      </c>
      <c r="E63" s="3" t="s">
        <v>78</v>
      </c>
      <c r="F63" s="3" t="s">
        <v>79</v>
      </c>
      <c r="G63" s="3" t="s">
        <v>80</v>
      </c>
      <c r="H63" s="3" t="s">
        <v>81</v>
      </c>
      <c r="I63" s="3" t="s">
        <v>82</v>
      </c>
      <c r="J63" s="3" t="s">
        <v>83</v>
      </c>
      <c r="K63" s="8" t="s">
        <v>84</v>
      </c>
      <c r="V63" s="31" t="s">
        <v>94</v>
      </c>
      <c r="W63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3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3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3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3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3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3" s="9">
        <f>SUM(GUIA_NACIONAL_2022_1106128143146150152154[[#This Row],[D1]:[D6]])</f>
        <v>0</v>
      </c>
      <c r="AE63" t="s">
        <v>77</v>
      </c>
      <c r="AF63" s="3" t="s">
        <v>78</v>
      </c>
      <c r="AG63" s="3" t="s">
        <v>79</v>
      </c>
      <c r="AH63" s="3" t="s">
        <v>80</v>
      </c>
      <c r="AI63" s="3" t="s">
        <v>81</v>
      </c>
      <c r="AJ63" s="3" t="s">
        <v>82</v>
      </c>
      <c r="AK63" s="3" t="s">
        <v>83</v>
      </c>
      <c r="AL63" s="8" t="s">
        <v>84</v>
      </c>
      <c r="BF63" s="4" t="s">
        <v>405</v>
      </c>
      <c r="BG63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3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3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3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3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3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3" s="9">
        <f>SUM(GUIA_NACIONAL_2022_1106128105107110207214216221222223224226227[[#This Row],[D1]:[D6]])</f>
        <v>0</v>
      </c>
      <c r="BO63" s="31" t="s">
        <v>308</v>
      </c>
      <c r="BP63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3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3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3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3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3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3" s="9">
        <f>SUM(GUIA_NACIONAL_2022_1106128105107110207214216217236241244246[[#This Row],[D1]:[D6]])</f>
        <v>0</v>
      </c>
    </row>
    <row r="64" spans="1:92">
      <c r="D64" s="4" t="s">
        <v>402</v>
      </c>
      <c r="E64" s="3">
        <f>IF($B$2="(Todas)",COUNTIF(BASE[CODCIE10],GUIA_NACIONAL_2022_1106112113116117118119120121[[#This Row],[CIE-10]]),COUNTIFS(BASE[Cod.Establecimiento],$B$2,BASE[CODCIE10],GUIA_NACIONAL_2022_1106112113116117118119120121[[#This Row],[CIE-10]]))</f>
        <v>0</v>
      </c>
      <c r="F64" s="3">
        <f>IF($B$2="(Todas)",COUNTIF(BASE[CODCIE102],GUIA_NACIONAL_2022_1106112113116117118119120121[[#This Row],[CIE-10]]),COUNTIFS(BASE[Cod.Establecimiento],$B$2,BASE[CODCIE102],GUIA_NACIONAL_2022_1106112113116117118119120121[[#This Row],[CIE-10]]))</f>
        <v>0</v>
      </c>
      <c r="G64" s="3">
        <f>IF($B$2="(Todas)",COUNTIF(BASE[CODCIE104],GUIA_NACIONAL_2022_1106112113116117118119120121[[#This Row],[CIE-10]]),COUNTIFS(BASE[Cod.Establecimiento],$B$2,BASE[CODCIE104],GUIA_NACIONAL_2022_1106112113116117118119120121[[#This Row],[CIE-10]]))</f>
        <v>0</v>
      </c>
      <c r="H64" s="3">
        <f>IF($B$2="(Todas)",COUNTIF(BASE[CODCIE106],GUIA_NACIONAL_2022_1106112113116117118119120121[[#This Row],[CIE-10]]),COUNTIFS(BASE[Cod.Establecimiento],$B$2,BASE[CODCIE106],GUIA_NACIONAL_2022_1106112113116117118119120121[[#This Row],[CIE-10]]))</f>
        <v>0</v>
      </c>
      <c r="I64" s="3">
        <f>IF($B$2="(Todas)",COUNTIF(BASE[CODCIE108],GUIA_NACIONAL_2022_1106112113116117118119120121[[#This Row],[CIE-10]]),COUNTIFS(BASE[Cod.Establecimiento],$B$2,BASE[CODCIE108],GUIA_NACIONAL_2022_1106112113116117118119120121[[#This Row],[CIE-10]]))</f>
        <v>0</v>
      </c>
      <c r="J64" s="3">
        <f>IF($B$2="(Todas)",COUNTIF(BASE[CODCIE1010],GUIA_NACIONAL_2022_1106112113116117118119120121[[#This Row],[CIE-10]]),COUNTIFS(BASE[Cod.Establecimiento],$B$2,BASE[CODCIE1010],GUIA_NACIONAL_2022_1106112113116117118119120121[[#This Row],[CIE-10]]))</f>
        <v>0</v>
      </c>
      <c r="K64" s="9">
        <f>SUM(GUIA_NACIONAL_2022_1106112113116117118119120121[[#This Row],[D1]:[D6]])</f>
        <v>0</v>
      </c>
      <c r="V64" s="31" t="s">
        <v>97</v>
      </c>
      <c r="W64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4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4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4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4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4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4" s="9">
        <f>SUM(GUIA_NACIONAL_2022_1106128143146150152154[[#This Row],[D1]:[D6]])</f>
        <v>0</v>
      </c>
      <c r="AE64" s="4" t="s">
        <v>568</v>
      </c>
      <c r="AF64" s="3">
        <f>IF($B$2="(Todas)",COUNTIF(BASE[CODCIE10],GUIA_NACIONAL_2022_1106128105168175180181[[#This Row],[CIE-10]]),COUNTIFS(BASE[Cod.Establecimiento],$B$2,BASE[CODCIE10],GUIA_NACIONAL_2022_1106128105168175180181[[#This Row],[CIE-10]]))</f>
        <v>0</v>
      </c>
      <c r="AG64" s="3">
        <f>IF($B$2="(Todas)",COUNTIF(BASE[CODCIE102],GUIA_NACIONAL_2022_1106128105168175180181[[#This Row],[CIE-10]]),COUNTIFS(BASE[Cod.Establecimiento],$B$2,BASE[CODCIE102],GUIA_NACIONAL_2022_1106128105168175180181[[#This Row],[CIE-10]]))</f>
        <v>0</v>
      </c>
      <c r="AH64" s="3">
        <f>IF($B$2="(Todas)",COUNTIF(BASE[CODCIE104],GUIA_NACIONAL_2022_1106128105168175180181[[#This Row],[CIE-10]]),COUNTIFS(BASE[Cod.Establecimiento],$B$2,BASE[CODCIE104],GUIA_NACIONAL_2022_1106128105168175180181[[#This Row],[CIE-10]]))</f>
        <v>0</v>
      </c>
      <c r="AI64" s="3">
        <f>IF($B$2="(Todas)",COUNTIF(BASE[CODCIE106],GUIA_NACIONAL_2022_1106128105168175180181[[#This Row],[CIE-10]]),COUNTIFS(BASE[Cod.Establecimiento],$B$2,BASE[CODCIE106],GUIA_NACIONAL_2022_1106128105168175180181[[#This Row],[CIE-10]]))</f>
        <v>0</v>
      </c>
      <c r="AJ64" s="3">
        <f>IF($B$2="(Todas)",COUNTIF(BASE[CODCIE108],GUIA_NACIONAL_2022_1106128105168175180181[[#This Row],[CIE-10]]),COUNTIFS(BASE[Cod.Establecimiento],$B$2,BASE[CODCIE108],GUIA_NACIONAL_2022_1106128105168175180181[[#This Row],[CIE-10]]))</f>
        <v>0</v>
      </c>
      <c r="AK64" s="3">
        <f>IF($B$2="(Todas)",COUNTIF(BASE[CODCIE1010],GUIA_NACIONAL_2022_1106128105168175180181[[#This Row],[CIE-10]]),COUNTIFS(BASE[Cod.Establecimiento],$B$2,BASE[CODCIE1010],GUIA_NACIONAL_2022_1106128105168175180181[[#This Row],[CIE-10]]))</f>
        <v>0</v>
      </c>
      <c r="AL64" s="9">
        <f>SUM(GUIA_NACIONAL_2022_1106128105168175180181[[#This Row],[D1]:[D6]])</f>
        <v>0</v>
      </c>
      <c r="BF64" s="4" t="s">
        <v>406</v>
      </c>
      <c r="BG64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4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4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4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4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4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4" s="9">
        <f>SUM(GUIA_NACIONAL_2022_1106128105107110207214216221222223224226227[[#This Row],[D1]:[D6]])</f>
        <v>0</v>
      </c>
      <c r="BO64" s="31" t="s">
        <v>310</v>
      </c>
      <c r="BP64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4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4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4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4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4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4" s="9">
        <f>SUM(GUIA_NACIONAL_2022_1106128105107110207214216217236241244246[[#This Row],[D1]:[D6]])</f>
        <v>0</v>
      </c>
    </row>
    <row r="65" spans="4:74">
      <c r="D65" s="159" t="s">
        <v>438</v>
      </c>
      <c r="E65" s="159"/>
      <c r="F65" s="159"/>
      <c r="G65" s="159"/>
      <c r="H65" s="159"/>
      <c r="I65" s="159"/>
      <c r="J65" s="159"/>
      <c r="K65" s="159"/>
      <c r="V65" s="31" t="s">
        <v>100</v>
      </c>
      <c r="W65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5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5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5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5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5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5" s="9">
        <f>SUM(GUIA_NACIONAL_2022_1106128143146150152154[[#This Row],[D1]:[D6]])</f>
        <v>0</v>
      </c>
      <c r="AE65" s="159" t="s">
        <v>577</v>
      </c>
      <c r="AF65" s="159"/>
      <c r="AG65" s="159"/>
      <c r="AH65" s="159"/>
      <c r="AI65" s="159"/>
      <c r="AJ65" s="159"/>
      <c r="AK65" s="159"/>
      <c r="AL65" s="159"/>
      <c r="BF65" s="4" t="s">
        <v>407</v>
      </c>
      <c r="BG65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5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5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5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5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5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5" s="9">
        <f>SUM(GUIA_NACIONAL_2022_1106128105107110207214216221222223224226227[[#This Row],[D1]:[D6]])</f>
        <v>0</v>
      </c>
      <c r="BO65" s="31" t="s">
        <v>319</v>
      </c>
      <c r="BP65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5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5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5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5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5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5" s="9">
        <f>SUM(GUIA_NACIONAL_2022_1106128105107110207214216217236241244246[[#This Row],[D1]:[D6]])</f>
        <v>0</v>
      </c>
    </row>
    <row r="66" spans="4:74">
      <c r="D66" t="s">
        <v>77</v>
      </c>
      <c r="E66" s="3" t="s">
        <v>78</v>
      </c>
      <c r="F66" s="3" t="s">
        <v>79</v>
      </c>
      <c r="G66" s="3" t="s">
        <v>80</v>
      </c>
      <c r="H66" s="3" t="s">
        <v>81</v>
      </c>
      <c r="I66" s="3" t="s">
        <v>82</v>
      </c>
      <c r="J66" s="3" t="s">
        <v>83</v>
      </c>
      <c r="K66" s="8" t="s">
        <v>84</v>
      </c>
      <c r="V66" s="31" t="s">
        <v>102</v>
      </c>
      <c r="W66" s="3">
        <f>IF($B$2="(Todas)",COUNTIF(BASE[CODCIE10],GUIA_NACIONAL_2022_1106128143146150152154[[#This Row],[CIE-10]]),COUNTIFS(BASE[Cod.Establecimiento],$B$2,BASE[CODCIE10],GUIA_NACIONAL_2022_1106128143146150152154[[#This Row],[CIE-10]]))</f>
        <v>0</v>
      </c>
      <c r="X66" s="3">
        <f>IF($B$2="(Todas)",COUNTIF(BASE[CODCIE102],GUIA_NACIONAL_2022_1106128143146150152154[[#This Row],[CIE-10]]),COUNTIFS(BASE[Cod.Establecimiento],$B$2,BASE[CODCIE102],GUIA_NACIONAL_2022_1106128143146150152154[[#This Row],[CIE-10]]))</f>
        <v>0</v>
      </c>
      <c r="Y66" s="3">
        <f>IF($B$2="(Todas)",COUNTIF(BASE[CODCIE104],GUIA_NACIONAL_2022_1106128143146150152154[[#This Row],[CIE-10]]),COUNTIFS(BASE[Cod.Establecimiento],$B$2,BASE[CODCIE104],GUIA_NACIONAL_2022_1106128143146150152154[[#This Row],[CIE-10]]))</f>
        <v>0</v>
      </c>
      <c r="Z66" s="3">
        <f>IF($B$2="(Todas)",COUNTIF(BASE[CODCIE106],GUIA_NACIONAL_2022_1106128143146150152154[[#This Row],[CIE-10]]),COUNTIFS(BASE[Cod.Establecimiento],$B$2,BASE[CODCIE106],GUIA_NACIONAL_2022_1106128143146150152154[[#This Row],[CIE-10]]))</f>
        <v>0</v>
      </c>
      <c r="AA66" s="3">
        <f>IF($B$2="(Todas)",COUNTIF(BASE[CODCIE108],GUIA_NACIONAL_2022_1106128143146150152154[[#This Row],[CIE-10]]),COUNTIFS(BASE[Cod.Establecimiento],$B$2,BASE[CODCIE108],GUIA_NACIONAL_2022_1106128143146150152154[[#This Row],[CIE-10]]))</f>
        <v>0</v>
      </c>
      <c r="AB66" s="3">
        <f>IF($B$2="(Todas)",COUNTIF(BASE[CODCIE1010],GUIA_NACIONAL_2022_1106128143146150152154[[#This Row],[CIE-10]]),COUNTIFS(BASE[Cod.Establecimiento],$B$2,BASE[CODCIE1010],GUIA_NACIONAL_2022_1106128143146150152154[[#This Row],[CIE-10]]))</f>
        <v>0</v>
      </c>
      <c r="AC66" s="9">
        <f>SUM(GUIA_NACIONAL_2022_1106128143146150152154[[#This Row],[D1]:[D6]])</f>
        <v>0</v>
      </c>
      <c r="AE66" t="s">
        <v>77</v>
      </c>
      <c r="AF66" s="3" t="s">
        <v>78</v>
      </c>
      <c r="AG66" s="3" t="s">
        <v>79</v>
      </c>
      <c r="AH66" s="3" t="s">
        <v>80</v>
      </c>
      <c r="AI66" s="3" t="s">
        <v>81</v>
      </c>
      <c r="AJ66" s="3" t="s">
        <v>82</v>
      </c>
      <c r="AK66" s="3" t="s">
        <v>83</v>
      </c>
      <c r="AL66" s="8" t="s">
        <v>84</v>
      </c>
      <c r="BF66" s="4" t="s">
        <v>408</v>
      </c>
      <c r="BG66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6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6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6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6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6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6" s="9">
        <f>SUM(GUIA_NACIONAL_2022_1106128105107110207214216221222223224226227[[#This Row],[D1]:[D6]])</f>
        <v>0</v>
      </c>
      <c r="BO66" s="31" t="s">
        <v>320</v>
      </c>
      <c r="BP66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6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6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6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6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6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6" s="9">
        <f>SUM(GUIA_NACIONAL_2022_1106128105107110207214216217236241244246[[#This Row],[D1]:[D6]])</f>
        <v>0</v>
      </c>
    </row>
    <row r="67" spans="4:74">
      <c r="D67" s="4" t="s">
        <v>403</v>
      </c>
      <c r="E67" s="3">
        <f>IF($B$2="(Todas)",COUNTIF(BASE[CODCIE10],GUIA_NACIONAL_2022_1106112113116117118119120121122[[#This Row],[CIE-10]]),COUNTIFS(BASE[Cod.Establecimiento],$B$2,BASE[CODCIE10],GUIA_NACIONAL_2022_1106112113116117118119120121122[[#This Row],[CIE-10]]))</f>
        <v>0</v>
      </c>
      <c r="F67" s="3">
        <f>IF($B$2="(Todas)",COUNTIF(BASE[CODCIE102],GUIA_NACIONAL_2022_1106112113116117118119120121122[[#This Row],[CIE-10]]),COUNTIFS(BASE[Cod.Establecimiento],$B$2,BASE[CODCIE102],GUIA_NACIONAL_2022_1106112113116117118119120121122[[#This Row],[CIE-10]]))</f>
        <v>0</v>
      </c>
      <c r="G67" s="3">
        <f>IF($B$2="(Todas)",COUNTIF(BASE[CODCIE104],GUIA_NACIONAL_2022_1106112113116117118119120121122[[#This Row],[CIE-10]]),COUNTIFS(BASE[Cod.Establecimiento],$B$2,BASE[CODCIE104],GUIA_NACIONAL_2022_1106112113116117118119120121122[[#This Row],[CIE-10]]))</f>
        <v>0</v>
      </c>
      <c r="H67" s="3">
        <f>IF($B$2="(Todas)",COUNTIF(BASE[CODCIE106],GUIA_NACIONAL_2022_1106112113116117118119120121122[[#This Row],[CIE-10]]),COUNTIFS(BASE[Cod.Establecimiento],$B$2,BASE[CODCIE106],GUIA_NACIONAL_2022_1106112113116117118119120121122[[#This Row],[CIE-10]]))</f>
        <v>0</v>
      </c>
      <c r="I67" s="3">
        <f>IF($B$2="(Todas)",COUNTIF(BASE[CODCIE108],GUIA_NACIONAL_2022_1106112113116117118119120121122[[#This Row],[CIE-10]]),COUNTIFS(BASE[Cod.Establecimiento],$B$2,BASE[CODCIE108],GUIA_NACIONAL_2022_1106112113116117118119120121122[[#This Row],[CIE-10]]))</f>
        <v>0</v>
      </c>
      <c r="J67" s="3">
        <f>IF($B$2="(Todas)",COUNTIF(BASE[CODCIE1010],GUIA_NACIONAL_2022_1106112113116117118119120121122[[#This Row],[CIE-10]]),COUNTIFS(BASE[Cod.Establecimiento],$B$2,BASE[CODCIE1010],GUIA_NACIONAL_2022_1106112113116117118119120121122[[#This Row],[CIE-10]]))</f>
        <v>0</v>
      </c>
      <c r="K67" s="9">
        <f>SUM(GUIA_NACIONAL_2022_1106112113116117118119120121122[[#This Row],[D1]:[D6]])</f>
        <v>0</v>
      </c>
      <c r="V67" s="158" t="s">
        <v>529</v>
      </c>
      <c r="W67" s="159"/>
      <c r="X67" s="159"/>
      <c r="Y67" s="159"/>
      <c r="Z67" s="159"/>
      <c r="AA67" s="159"/>
      <c r="AB67" s="159"/>
      <c r="AC67" s="159"/>
      <c r="AE67" s="4" t="s">
        <v>578</v>
      </c>
      <c r="AF67" s="3">
        <f>IF($B$2="(Todas)",COUNTIF(BASE[CODCIE10],GUIA_NACIONAL_2022_1106128105168175180181182[[#This Row],[CIE-10]]),COUNTIFS(BASE[Cod.Establecimiento],$B$2,BASE[CODCIE10],GUIA_NACIONAL_2022_1106128105168175180181182[[#This Row],[CIE-10]]))</f>
        <v>0</v>
      </c>
      <c r="AG67" s="3">
        <f>IF($B$2="(Todas)",COUNTIF(BASE[CODCIE102],GUIA_NACIONAL_2022_1106128105168175180181182[[#This Row],[CIE-10]]),COUNTIFS(BASE[Cod.Establecimiento],$B$2,BASE[CODCIE102],GUIA_NACIONAL_2022_1106128105168175180181182[[#This Row],[CIE-10]]))</f>
        <v>0</v>
      </c>
      <c r="AH67" s="3">
        <f>IF($B$2="(Todas)",COUNTIF(BASE[CODCIE104],GUIA_NACIONAL_2022_1106128105168175180181182[[#This Row],[CIE-10]]),COUNTIFS(BASE[Cod.Establecimiento],$B$2,BASE[CODCIE104],GUIA_NACIONAL_2022_1106128105168175180181182[[#This Row],[CIE-10]]))</f>
        <v>0</v>
      </c>
      <c r="AI67" s="3">
        <f>IF($B$2="(Todas)",COUNTIF(BASE[CODCIE106],GUIA_NACIONAL_2022_1106128105168175180181182[[#This Row],[CIE-10]]),COUNTIFS(BASE[Cod.Establecimiento],$B$2,BASE[CODCIE106],GUIA_NACIONAL_2022_1106128105168175180181182[[#This Row],[CIE-10]]))</f>
        <v>0</v>
      </c>
      <c r="AJ67" s="3">
        <f>IF($B$2="(Todas)",COUNTIF(BASE[CODCIE108],GUIA_NACIONAL_2022_1106128105168175180181182[[#This Row],[CIE-10]]),COUNTIFS(BASE[Cod.Establecimiento],$B$2,BASE[CODCIE108],GUIA_NACIONAL_2022_1106128105168175180181182[[#This Row],[CIE-10]]))</f>
        <v>0</v>
      </c>
      <c r="AK67" s="3">
        <f>IF($B$2="(Todas)",COUNTIF(BASE[CODCIE1010],GUIA_NACIONAL_2022_1106128105168175180181182[[#This Row],[CIE-10]]),COUNTIFS(BASE[Cod.Establecimiento],$B$2,BASE[CODCIE1010],GUIA_NACIONAL_2022_1106128105168175180181182[[#This Row],[CIE-10]]))</f>
        <v>0</v>
      </c>
      <c r="AL67" s="9">
        <f>SUM(GUIA_NACIONAL_2022_1106128105168175180181182[[#This Row],[D1]:[D6]])</f>
        <v>0</v>
      </c>
      <c r="BF67" s="4" t="s">
        <v>667</v>
      </c>
      <c r="BG67" s="3">
        <f>IF($B$2="(Todas)",COUNTIF(BASE[CODCIE10],GUIA_NACIONAL_2022_1106128105107110207214216221222223224226227[[#This Row],[CIE-10]]),COUNTIFS(BASE[Cod.Establecimiento],$B$2,BASE[CODCIE10],GUIA_NACIONAL_2022_1106128105107110207214216221222223224226227[[#This Row],[CIE-10]]))</f>
        <v>0</v>
      </c>
      <c r="BH67" s="3">
        <f>IF($B$2="(Todas)",COUNTIF(BASE[CODCIE102],GUIA_NACIONAL_2022_1106128105107110207214216221222223224226227[[#This Row],[CIE-10]]),COUNTIFS(BASE[Cod.Establecimiento],$B$2,BASE[CODCIE102],GUIA_NACIONAL_2022_1106128105107110207214216221222223224226227[[#This Row],[CIE-10]]))</f>
        <v>0</v>
      </c>
      <c r="BI67" s="3">
        <f>IF($B$2="(Todas)",COUNTIF(BASE[CODCIE104],GUIA_NACIONAL_2022_1106128105107110207214216221222223224226227[[#This Row],[CIE-10]]),COUNTIFS(BASE[Cod.Establecimiento],$B$2,BASE[CODCIE104],GUIA_NACIONAL_2022_1106128105107110207214216221222223224226227[[#This Row],[CIE-10]]))</f>
        <v>0</v>
      </c>
      <c r="BJ67" s="3">
        <f>IF($B$2="(Todas)",COUNTIF(BASE[CODCIE106],GUIA_NACIONAL_2022_1106128105107110207214216221222223224226227[[#This Row],[CIE-10]]),COUNTIFS(BASE[Cod.Establecimiento],$B$2,BASE[CODCIE106],GUIA_NACIONAL_2022_1106128105107110207214216221222223224226227[[#This Row],[CIE-10]]))</f>
        <v>0</v>
      </c>
      <c r="BK67" s="3">
        <f>IF($B$2="(Todas)",COUNTIF(BASE[CODCIE108],GUIA_NACIONAL_2022_1106128105107110207214216221222223224226227[[#This Row],[CIE-10]]),COUNTIFS(BASE[Cod.Establecimiento],$B$2,BASE[CODCIE108],GUIA_NACIONAL_2022_1106128105107110207214216221222223224226227[[#This Row],[CIE-10]]))</f>
        <v>0</v>
      </c>
      <c r="BL67" s="3">
        <f>IF($B$2="(Todas)",COUNTIF(BASE[CODCIE1010],GUIA_NACIONAL_2022_1106128105107110207214216221222223224226227[[#This Row],[CIE-10]]),COUNTIFS(BASE[Cod.Establecimiento],$B$2,BASE[CODCIE1010],GUIA_NACIONAL_2022_1106128105107110207214216221222223224226227[[#This Row],[CIE-10]]))</f>
        <v>0</v>
      </c>
      <c r="BM67" s="9">
        <f>SUM(GUIA_NACIONAL_2022_1106128105107110207214216221222223224226227[[#This Row],[D1]:[D6]])</f>
        <v>0</v>
      </c>
      <c r="BO67" s="31" t="s">
        <v>241</v>
      </c>
      <c r="BP67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7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7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7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7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7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7" s="9">
        <f>SUM(GUIA_NACIONAL_2022_1106128105107110207214216217236241244246[[#This Row],[D1]:[D6]])</f>
        <v>0</v>
      </c>
    </row>
    <row r="68" spans="4:74">
      <c r="D68" s="159" t="s">
        <v>439</v>
      </c>
      <c r="E68" s="159"/>
      <c r="F68" s="159"/>
      <c r="G68" s="159"/>
      <c r="H68" s="159"/>
      <c r="I68" s="159"/>
      <c r="J68" s="159"/>
      <c r="K68" s="159"/>
      <c r="V68" t="s">
        <v>77</v>
      </c>
      <c r="W68" s="3" t="s">
        <v>78</v>
      </c>
      <c r="X68" s="3" t="s">
        <v>79</v>
      </c>
      <c r="Y68" s="3" t="s">
        <v>80</v>
      </c>
      <c r="Z68" s="3" t="s">
        <v>81</v>
      </c>
      <c r="AA68" s="3" t="s">
        <v>82</v>
      </c>
      <c r="AB68" s="3" t="s">
        <v>83</v>
      </c>
      <c r="AC68" s="8" t="s">
        <v>84</v>
      </c>
      <c r="AE68" s="31" t="s">
        <v>579</v>
      </c>
      <c r="AF68" s="3">
        <f>IF($B$2="(Todas)",COUNTIF(BASE[CODCIE10],GUIA_NACIONAL_2022_1106128105168175180181182[[#This Row],[CIE-10]]),COUNTIFS(BASE[Cod.Establecimiento],$B$2,BASE[CODCIE10],GUIA_NACIONAL_2022_1106128105168175180181182[[#This Row],[CIE-10]]))</f>
        <v>0</v>
      </c>
      <c r="AG68" s="3">
        <f>IF($B$2="(Todas)",COUNTIF(BASE[CODCIE102],GUIA_NACIONAL_2022_1106128105168175180181182[[#This Row],[CIE-10]]),COUNTIFS(BASE[Cod.Establecimiento],$B$2,BASE[CODCIE102],GUIA_NACIONAL_2022_1106128105168175180181182[[#This Row],[CIE-10]]))</f>
        <v>0</v>
      </c>
      <c r="AH68" s="3">
        <f>IF($B$2="(Todas)",COUNTIF(BASE[CODCIE104],GUIA_NACIONAL_2022_1106128105168175180181182[[#This Row],[CIE-10]]),COUNTIFS(BASE[Cod.Establecimiento],$B$2,BASE[CODCIE104],GUIA_NACIONAL_2022_1106128105168175180181182[[#This Row],[CIE-10]]))</f>
        <v>0</v>
      </c>
      <c r="AI68" s="3">
        <f>IF($B$2="(Todas)",COUNTIF(BASE[CODCIE106],GUIA_NACIONAL_2022_1106128105168175180181182[[#This Row],[CIE-10]]),COUNTIFS(BASE[Cod.Establecimiento],$B$2,BASE[CODCIE106],GUIA_NACIONAL_2022_1106128105168175180181182[[#This Row],[CIE-10]]))</f>
        <v>0</v>
      </c>
      <c r="AJ68" s="3">
        <f>IF($B$2="(Todas)",COUNTIF(BASE[CODCIE108],GUIA_NACIONAL_2022_1106128105168175180181182[[#This Row],[CIE-10]]),COUNTIFS(BASE[Cod.Establecimiento],$B$2,BASE[CODCIE108],GUIA_NACIONAL_2022_1106128105168175180181182[[#This Row],[CIE-10]]))</f>
        <v>0</v>
      </c>
      <c r="AK68" s="3">
        <f>IF($B$2="(Todas)",COUNTIF(BASE[CODCIE1010],GUIA_NACIONAL_2022_1106128105168175180181182[[#This Row],[CIE-10]]),COUNTIFS(BASE[Cod.Establecimiento],$B$2,BASE[CODCIE1010],GUIA_NACIONAL_2022_1106128105168175180181182[[#This Row],[CIE-10]]))</f>
        <v>0</v>
      </c>
      <c r="AL68" s="9">
        <f>SUM(GUIA_NACIONAL_2022_1106128105168175180181182[[#This Row],[D1]:[D6]])</f>
        <v>0</v>
      </c>
      <c r="BF68" s="159" t="s">
        <v>668</v>
      </c>
      <c r="BG68" s="159"/>
      <c r="BH68" s="159"/>
      <c r="BI68" s="159"/>
      <c r="BJ68" s="159"/>
      <c r="BK68" s="159"/>
      <c r="BL68" s="159"/>
      <c r="BM68" s="159"/>
      <c r="BO68" s="31" t="s">
        <v>326</v>
      </c>
      <c r="BP68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8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8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8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8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8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8" s="9">
        <f>SUM(GUIA_NACIONAL_2022_1106128105107110207214216217236241244246[[#This Row],[D1]:[D6]])</f>
        <v>0</v>
      </c>
    </row>
    <row r="69" spans="4:74">
      <c r="D69" t="s">
        <v>77</v>
      </c>
      <c r="E69" s="3" t="s">
        <v>78</v>
      </c>
      <c r="F69" s="3" t="s">
        <v>79</v>
      </c>
      <c r="G69" s="3" t="s">
        <v>80</v>
      </c>
      <c r="H69" s="3" t="s">
        <v>81</v>
      </c>
      <c r="I69" s="3" t="s">
        <v>82</v>
      </c>
      <c r="J69" s="3" t="s">
        <v>83</v>
      </c>
      <c r="K69" s="8" t="s">
        <v>84</v>
      </c>
      <c r="V69" s="4" t="s">
        <v>104</v>
      </c>
      <c r="W69" s="3">
        <f>IF($B$2="(Todas)",COUNTIF(BASE[CODCIE10],GUIA_NACIONAL_2022_1106128143146150152154155[[#This Row],[CIE-10]]),COUNTIFS(BASE[Cod.Establecimiento],$B$2,BASE[CODCIE10],GUIA_NACIONAL_2022_1106128143146150152154155[[#This Row],[CIE-10]]))</f>
        <v>0</v>
      </c>
      <c r="X69" s="3">
        <f>IF($B$2="(Todas)",COUNTIF(BASE[CODCIE102],GUIA_NACIONAL_2022_1106128143146150152154155[[#This Row],[CIE-10]]),COUNTIFS(BASE[Cod.Establecimiento],$B$2,BASE[CODCIE102],GUIA_NACIONAL_2022_1106128143146150152154155[[#This Row],[CIE-10]]))</f>
        <v>0</v>
      </c>
      <c r="Y69" s="3">
        <f>IF($B$2="(Todas)",COUNTIF(BASE[CODCIE104],GUIA_NACIONAL_2022_1106128143146150152154155[[#This Row],[CIE-10]]),COUNTIFS(BASE[Cod.Establecimiento],$B$2,BASE[CODCIE104],GUIA_NACIONAL_2022_1106128143146150152154155[[#This Row],[CIE-10]]))</f>
        <v>0</v>
      </c>
      <c r="Z69" s="3">
        <f>IF($B$2="(Todas)",COUNTIF(BASE[CODCIE106],GUIA_NACIONAL_2022_1106128143146150152154155[[#This Row],[CIE-10]]),COUNTIFS(BASE[Cod.Establecimiento],$B$2,BASE[CODCIE106],GUIA_NACIONAL_2022_1106128143146150152154155[[#This Row],[CIE-10]]))</f>
        <v>0</v>
      </c>
      <c r="AA69" s="3">
        <f>IF($B$2="(Todas)",COUNTIF(BASE[CODCIE108],GUIA_NACIONAL_2022_1106128143146150152154155[[#This Row],[CIE-10]]),COUNTIFS(BASE[Cod.Establecimiento],$B$2,BASE[CODCIE108],GUIA_NACIONAL_2022_1106128143146150152154155[[#This Row],[CIE-10]]))</f>
        <v>0</v>
      </c>
      <c r="AB69" s="3">
        <f>IF($B$2="(Todas)",COUNTIF(BASE[CODCIE1010],GUIA_NACIONAL_2022_1106128143146150152154155[[#This Row],[CIE-10]]),COUNTIFS(BASE[Cod.Establecimiento],$B$2,BASE[CODCIE1010],GUIA_NACIONAL_2022_1106128143146150152154155[[#This Row],[CIE-10]]))</f>
        <v>0</v>
      </c>
      <c r="AC69" s="9">
        <f>SUM(GUIA_NACIONAL_2022_1106128143146150152154155[[#This Row],[D1]:[D6]])</f>
        <v>0</v>
      </c>
      <c r="AE69" s="159" t="s">
        <v>580</v>
      </c>
      <c r="AF69" s="159"/>
      <c r="AG69" s="159"/>
      <c r="AH69" s="159"/>
      <c r="AI69" s="159"/>
      <c r="AJ69" s="159"/>
      <c r="AK69" s="159"/>
      <c r="AL69" s="159"/>
      <c r="BF69" t="s">
        <v>77</v>
      </c>
      <c r="BG69" s="3" t="s">
        <v>78</v>
      </c>
      <c r="BH69" s="3" t="s">
        <v>79</v>
      </c>
      <c r="BI69" s="3" t="s">
        <v>80</v>
      </c>
      <c r="BJ69" s="3" t="s">
        <v>81</v>
      </c>
      <c r="BK69" s="3" t="s">
        <v>82</v>
      </c>
      <c r="BL69" s="3" t="s">
        <v>83</v>
      </c>
      <c r="BM69" s="8" t="s">
        <v>84</v>
      </c>
      <c r="BO69" s="31" t="s">
        <v>686</v>
      </c>
      <c r="BP69" s="3">
        <f>IF($B$2="(Todas)",COUNTIF(BASE[CODCIE10],GUIA_NACIONAL_2022_1106128105107110207214216217236241244246[[#This Row],[CIE-10]]),COUNTIFS(BASE[Cod.Establecimiento],$B$2,BASE[CODCIE10],GUIA_NACIONAL_2022_1106128105107110207214216217236241244246[[#This Row],[CIE-10]]))</f>
        <v>0</v>
      </c>
      <c r="BQ69" s="3">
        <f>IF($B$2="(Todas)",COUNTIF(BASE[CODCIE102],GUIA_NACIONAL_2022_1106128105107110207214216217236241244246[[#This Row],[CIE-10]]),COUNTIFS(BASE[Cod.Establecimiento],$B$2,BASE[CODCIE102],GUIA_NACIONAL_2022_1106128105107110207214216217236241244246[[#This Row],[CIE-10]]))</f>
        <v>0</v>
      </c>
      <c r="BR69" s="3">
        <f>IF($B$2="(Todas)",COUNTIF(BASE[CODCIE104],GUIA_NACIONAL_2022_1106128105107110207214216217236241244246[[#This Row],[CIE-10]]),COUNTIFS(BASE[Cod.Establecimiento],$B$2,BASE[CODCIE104],GUIA_NACIONAL_2022_1106128105107110207214216217236241244246[[#This Row],[CIE-10]]))</f>
        <v>0</v>
      </c>
      <c r="BS69" s="3">
        <f>IF($B$2="(Todas)",COUNTIF(BASE[CODCIE106],GUIA_NACIONAL_2022_1106128105107110207214216217236241244246[[#This Row],[CIE-10]]),COUNTIFS(BASE[Cod.Establecimiento],$B$2,BASE[CODCIE106],GUIA_NACIONAL_2022_1106128105107110207214216217236241244246[[#This Row],[CIE-10]]))</f>
        <v>0</v>
      </c>
      <c r="BT69" s="3">
        <f>IF($B$2="(Todas)",COUNTIF(BASE[CODCIE108],GUIA_NACIONAL_2022_1106128105107110207214216217236241244246[[#This Row],[CIE-10]]),COUNTIFS(BASE[Cod.Establecimiento],$B$2,BASE[CODCIE108],GUIA_NACIONAL_2022_1106128105107110207214216217236241244246[[#This Row],[CIE-10]]))</f>
        <v>0</v>
      </c>
      <c r="BU69" s="3">
        <f>IF($B$2="(Todas)",COUNTIF(BASE[CODCIE1010],GUIA_NACIONAL_2022_1106128105107110207214216217236241244246[[#This Row],[CIE-10]]),COUNTIFS(BASE[Cod.Establecimiento],$B$2,BASE[CODCIE1010],GUIA_NACIONAL_2022_1106128105107110207214216217236241244246[[#This Row],[CIE-10]]))</f>
        <v>0</v>
      </c>
      <c r="BV69" s="9">
        <f>SUM(GUIA_NACIONAL_2022_1106128105107110207214216217236241244246[[#This Row],[D1]:[D6]])</f>
        <v>0</v>
      </c>
    </row>
    <row r="70" spans="4:74">
      <c r="D70" s="4" t="s">
        <v>440</v>
      </c>
      <c r="E70" s="3">
        <f>IF($B$2="(Todas)",COUNTIF(BASE[CODCIE10],GUIA_NACIONAL_2022_1106112113116117118119120121122123[[#This Row],[CIE-10]]),COUNTIFS(BASE[Cod.Establecimiento],$B$2,BASE[CODCIE10],GUIA_NACIONAL_2022_1106112113116117118119120121122123[[#This Row],[CIE-10]]))</f>
        <v>0</v>
      </c>
      <c r="F70" s="3">
        <f>IF($B$2="(Todas)",COUNTIF(BASE[CODCIE102],GUIA_NACIONAL_2022_1106112113116117118119120121122123[[#This Row],[CIE-10]]),COUNTIFS(BASE[Cod.Establecimiento],$B$2,BASE[CODCIE102],GUIA_NACIONAL_2022_1106112113116117118119120121122123[[#This Row],[CIE-10]]))</f>
        <v>0</v>
      </c>
      <c r="G70" s="3">
        <f>IF($B$2="(Todas)",COUNTIF(BASE[CODCIE104],GUIA_NACIONAL_2022_1106112113116117118119120121122123[[#This Row],[CIE-10]]),COUNTIFS(BASE[Cod.Establecimiento],$B$2,BASE[CODCIE104],GUIA_NACIONAL_2022_1106112113116117118119120121122123[[#This Row],[CIE-10]]))</f>
        <v>0</v>
      </c>
      <c r="H70" s="3">
        <f>IF($B$2="(Todas)",COUNTIF(BASE[CODCIE106],GUIA_NACIONAL_2022_1106112113116117118119120121122123[[#This Row],[CIE-10]]),COUNTIFS(BASE[Cod.Establecimiento],$B$2,BASE[CODCIE106],GUIA_NACIONAL_2022_1106112113116117118119120121122123[[#This Row],[CIE-10]]))</f>
        <v>0</v>
      </c>
      <c r="I70" s="3">
        <f>IF($B$2="(Todas)",COUNTIF(BASE[CODCIE108],GUIA_NACIONAL_2022_1106112113116117118119120121122123[[#This Row],[CIE-10]]),COUNTIFS(BASE[Cod.Establecimiento],$B$2,BASE[CODCIE108],GUIA_NACIONAL_2022_1106112113116117118119120121122123[[#This Row],[CIE-10]]))</f>
        <v>0</v>
      </c>
      <c r="J70" s="3">
        <f>IF($B$2="(Todas)",COUNTIF(BASE[CODCIE1010],GUIA_NACIONAL_2022_1106112113116117118119120121122123[[#This Row],[CIE-10]]),COUNTIFS(BASE[Cod.Establecimiento],$B$2,BASE[CODCIE1010],GUIA_NACIONAL_2022_1106112113116117118119120121122123[[#This Row],[CIE-10]]))</f>
        <v>0</v>
      </c>
      <c r="K70" s="9">
        <f>SUM(GUIA_NACIONAL_2022_1106112113116117118119120121122123[[#This Row],[D1]:[D6]])</f>
        <v>0</v>
      </c>
      <c r="V70" s="158" t="s">
        <v>530</v>
      </c>
      <c r="W70" s="159"/>
      <c r="X70" s="159"/>
      <c r="Y70" s="159"/>
      <c r="Z70" s="159"/>
      <c r="AA70" s="159"/>
      <c r="AB70" s="159"/>
      <c r="AC70" s="159"/>
      <c r="AE70" t="s">
        <v>77</v>
      </c>
      <c r="AF70" s="3" t="s">
        <v>78</v>
      </c>
      <c r="AG70" s="3" t="s">
        <v>79</v>
      </c>
      <c r="AH70" s="3" t="s">
        <v>80</v>
      </c>
      <c r="AI70" s="3" t="s">
        <v>81</v>
      </c>
      <c r="AJ70" s="3" t="s">
        <v>82</v>
      </c>
      <c r="AK70" s="3" t="s">
        <v>83</v>
      </c>
      <c r="AL70" s="8" t="s">
        <v>84</v>
      </c>
      <c r="BF70" s="4" t="s">
        <v>669</v>
      </c>
      <c r="BG70" s="3">
        <f>IF($B$2="(Todas)",COUNTIF(BASE[CODCIE10],GUIA_NACIONAL_2022_1106128105107110207214216221222223224226228[[#This Row],[CIE-10]]),COUNTIFS(BASE[Cod.Establecimiento],$B$2,BASE[CODCIE10],GUIA_NACIONAL_2022_1106128105107110207214216221222223224226228[[#This Row],[CIE-10]]))</f>
        <v>0</v>
      </c>
      <c r="BH70" s="3">
        <f>IF($B$2="(Todas)",COUNTIF(BASE[CODCIE102],GUIA_NACIONAL_2022_1106128105107110207214216221222223224226228[[#This Row],[CIE-10]]),COUNTIFS(BASE[Cod.Establecimiento],$B$2,BASE[CODCIE102],GUIA_NACIONAL_2022_1106128105107110207214216221222223224226228[[#This Row],[CIE-10]]))</f>
        <v>0</v>
      </c>
      <c r="BI70" s="3">
        <f>IF($B$2="(Todas)",COUNTIF(BASE[CODCIE104],GUIA_NACIONAL_2022_1106128105107110207214216221222223224226228[[#This Row],[CIE-10]]),COUNTIFS(BASE[Cod.Establecimiento],$B$2,BASE[CODCIE104],GUIA_NACIONAL_2022_1106128105107110207214216221222223224226228[[#This Row],[CIE-10]]))</f>
        <v>0</v>
      </c>
      <c r="BJ70" s="3">
        <f>IF($B$2="(Todas)",COUNTIF(BASE[CODCIE106],GUIA_NACIONAL_2022_1106128105107110207214216221222223224226228[[#This Row],[CIE-10]]),COUNTIFS(BASE[Cod.Establecimiento],$B$2,BASE[CODCIE106],GUIA_NACIONAL_2022_1106128105107110207214216221222223224226228[[#This Row],[CIE-10]]))</f>
        <v>0</v>
      </c>
      <c r="BK70" s="3">
        <f>IF($B$2="(Todas)",COUNTIF(BASE[CODCIE108],GUIA_NACIONAL_2022_1106128105107110207214216221222223224226228[[#This Row],[CIE-10]]),COUNTIFS(BASE[Cod.Establecimiento],$B$2,BASE[CODCIE108],GUIA_NACIONAL_2022_1106128105107110207214216221222223224226228[[#This Row],[CIE-10]]))</f>
        <v>0</v>
      </c>
      <c r="BL70" s="3">
        <f>IF($B$2="(Todas)",COUNTIF(BASE[CODCIE1010],GUIA_NACIONAL_2022_1106128105107110207214216221222223224226228[[#This Row],[CIE-10]]),COUNTIFS(BASE[Cod.Establecimiento],$B$2,BASE[CODCIE1010],GUIA_NACIONAL_2022_1106128105107110207214216221222223224226228[[#This Row],[CIE-10]]))</f>
        <v>0</v>
      </c>
      <c r="BM70" s="9">
        <f>SUM(GUIA_NACIONAL_2022_1106128105107110207214216221222223224226228[[#This Row],[D1]:[D6]])</f>
        <v>0</v>
      </c>
      <c r="BO70" s="159" t="s">
        <v>687</v>
      </c>
      <c r="BP70" s="159"/>
      <c r="BQ70" s="159"/>
      <c r="BR70" s="159"/>
      <c r="BS70" s="159"/>
      <c r="BT70" s="159"/>
      <c r="BU70" s="159"/>
      <c r="BV70" s="159"/>
    </row>
    <row r="71" spans="4:74">
      <c r="D71" s="159" t="s">
        <v>441</v>
      </c>
      <c r="E71" s="159"/>
      <c r="F71" s="159"/>
      <c r="G71" s="159"/>
      <c r="H71" s="159"/>
      <c r="I71" s="159"/>
      <c r="J71" s="159"/>
      <c r="K71" s="159"/>
      <c r="V71" t="s">
        <v>77</v>
      </c>
      <c r="W71" s="3" t="s">
        <v>78</v>
      </c>
      <c r="X71" s="3" t="s">
        <v>79</v>
      </c>
      <c r="Y71" s="3" t="s">
        <v>80</v>
      </c>
      <c r="Z71" s="3" t="s">
        <v>81</v>
      </c>
      <c r="AA71" s="3" t="s">
        <v>82</v>
      </c>
      <c r="AB71" s="3" t="s">
        <v>83</v>
      </c>
      <c r="AC71" s="8" t="s">
        <v>84</v>
      </c>
      <c r="AE71" s="4" t="s">
        <v>578</v>
      </c>
      <c r="AF71" s="3">
        <f>IF($B$2="(Todas)",COUNTIF(BASE[CODCIE10],GUIA_NACIONAL_2022_1106128105168175180181182183[[#This Row],[CIE-10]]),COUNTIFS(BASE[Cod.Establecimiento],$B$2,BASE[CODCIE10],GUIA_NACIONAL_2022_1106128105168175180181182183[[#This Row],[CIE-10]]))</f>
        <v>0</v>
      </c>
      <c r="AG71" s="3">
        <f>IF($B$2="(Todas)",COUNTIF(BASE[CODCIE102],GUIA_NACIONAL_2022_1106128105168175180181182183[[#This Row],[CIE-10]]),COUNTIFS(BASE[Cod.Establecimiento],$B$2,BASE[CODCIE102],GUIA_NACIONAL_2022_1106128105168175180181182183[[#This Row],[CIE-10]]))</f>
        <v>0</v>
      </c>
      <c r="AH71" s="3">
        <f>IF($B$2="(Todas)",COUNTIF(BASE[CODCIE104],GUIA_NACIONAL_2022_1106128105168175180181182183[[#This Row],[CIE-10]]),COUNTIFS(BASE[Cod.Establecimiento],$B$2,BASE[CODCIE104],GUIA_NACIONAL_2022_1106128105168175180181182183[[#This Row],[CIE-10]]))</f>
        <v>0</v>
      </c>
      <c r="AI71" s="3">
        <f>IF($B$2="(Todas)",COUNTIF(BASE[CODCIE106],GUIA_NACIONAL_2022_1106128105168175180181182183[[#This Row],[CIE-10]]),COUNTIFS(BASE[Cod.Establecimiento],$B$2,BASE[CODCIE106],GUIA_NACIONAL_2022_1106128105168175180181182183[[#This Row],[CIE-10]]))</f>
        <v>0</v>
      </c>
      <c r="AJ71" s="3">
        <f>IF($B$2="(Todas)",COUNTIF(BASE[CODCIE108],GUIA_NACIONAL_2022_1106128105168175180181182183[[#This Row],[CIE-10]]),COUNTIFS(BASE[Cod.Establecimiento],$B$2,BASE[CODCIE108],GUIA_NACIONAL_2022_1106128105168175180181182183[[#This Row],[CIE-10]]))</f>
        <v>0</v>
      </c>
      <c r="AK71" s="3">
        <f>IF($B$2="(Todas)",COUNTIF(BASE[CODCIE1010],GUIA_NACIONAL_2022_1106128105168175180181182183[[#This Row],[CIE-10]]),COUNTIFS(BASE[Cod.Establecimiento],$B$2,BASE[CODCIE1010],GUIA_NACIONAL_2022_1106128105168175180181182183[[#This Row],[CIE-10]]))</f>
        <v>0</v>
      </c>
      <c r="AL71" s="9">
        <f>SUM(GUIA_NACIONAL_2022_1106128105168175180181182183[[#This Row],[D1]:[D6]])</f>
        <v>0</v>
      </c>
      <c r="BF71" s="159" t="s">
        <v>670</v>
      </c>
      <c r="BG71" s="159"/>
      <c r="BH71" s="159"/>
      <c r="BI71" s="159"/>
      <c r="BJ71" s="159"/>
      <c r="BK71" s="159"/>
      <c r="BL71" s="159"/>
      <c r="BM71" s="159"/>
      <c r="BO71" t="s">
        <v>77</v>
      </c>
      <c r="BP71" s="3" t="s">
        <v>78</v>
      </c>
      <c r="BQ71" s="3" t="s">
        <v>79</v>
      </c>
      <c r="BR71" s="3" t="s">
        <v>80</v>
      </c>
      <c r="BS71" s="3" t="s">
        <v>81</v>
      </c>
      <c r="BT71" s="3" t="s">
        <v>82</v>
      </c>
      <c r="BU71" s="3" t="s">
        <v>83</v>
      </c>
      <c r="BV71" s="8" t="s">
        <v>84</v>
      </c>
    </row>
    <row r="72" spans="4:74">
      <c r="D72" t="s">
        <v>77</v>
      </c>
      <c r="E72" s="3" t="s">
        <v>78</v>
      </c>
      <c r="F72" s="3" t="s">
        <v>79</v>
      </c>
      <c r="G72" s="3" t="s">
        <v>80</v>
      </c>
      <c r="H72" s="3" t="s">
        <v>81</v>
      </c>
      <c r="I72" s="3" t="s">
        <v>82</v>
      </c>
      <c r="J72" s="3" t="s">
        <v>83</v>
      </c>
      <c r="K72" s="8" t="s">
        <v>84</v>
      </c>
      <c r="V72" s="4" t="s">
        <v>104</v>
      </c>
      <c r="W72" s="3">
        <f>IF($B$2="(Todas)",COUNTIF(BASE[CODCIE10],GUIA_NACIONAL_2022_1106128143146150153156[[#This Row],[CIE-10]]),COUNTIFS(BASE[Cod.Establecimiento],$B$2,BASE[CODCIE10],GUIA_NACIONAL_2022_1106128143146150153156[[#This Row],[CIE-10]]))</f>
        <v>0</v>
      </c>
      <c r="X72" s="3">
        <f>IF($B$2="(Todas)",COUNTIF(BASE[CODCIE102],GUIA_NACIONAL_2022_1106128143146150153156[[#This Row],[CIE-10]]),COUNTIFS(BASE[Cod.Establecimiento],$B$2,BASE[CODCIE102],GUIA_NACIONAL_2022_1106128143146150153156[[#This Row],[CIE-10]]))</f>
        <v>0</v>
      </c>
      <c r="Y72" s="3">
        <f>IF($B$2="(Todas)",COUNTIF(BASE[CODCIE104],GUIA_NACIONAL_2022_1106128143146150153156[[#This Row],[CIE-10]]),COUNTIFS(BASE[Cod.Establecimiento],$B$2,BASE[CODCIE104],GUIA_NACIONAL_2022_1106128143146150153156[[#This Row],[CIE-10]]))</f>
        <v>0</v>
      </c>
      <c r="Z72" s="3">
        <f>IF($B$2="(Todas)",COUNTIF(BASE[CODCIE106],GUIA_NACIONAL_2022_1106128143146150153156[[#This Row],[CIE-10]]),COUNTIFS(BASE[Cod.Establecimiento],$B$2,BASE[CODCIE106],GUIA_NACIONAL_2022_1106128143146150153156[[#This Row],[CIE-10]]))</f>
        <v>0</v>
      </c>
      <c r="AA72" s="3">
        <f>IF($B$2="(Todas)",COUNTIF(BASE[CODCIE108],GUIA_NACIONAL_2022_1106128143146150153156[[#This Row],[CIE-10]]),COUNTIFS(BASE[Cod.Establecimiento],$B$2,BASE[CODCIE108],GUIA_NACIONAL_2022_1106128143146150153156[[#This Row],[CIE-10]]))</f>
        <v>0</v>
      </c>
      <c r="AB72" s="3">
        <f>IF($B$2="(Todas)",COUNTIF(BASE[CODCIE1010],GUIA_NACIONAL_2022_1106128143146150153156[[#This Row],[CIE-10]]),COUNTIFS(BASE[Cod.Establecimiento],$B$2,BASE[CODCIE1010],GUIA_NACIONAL_2022_1106128143146150153156[[#This Row],[CIE-10]]))</f>
        <v>0</v>
      </c>
      <c r="AC72" s="9">
        <f>SUM(GUIA_NACIONAL_2022_1106128143146150153156[[#This Row],[D1]:[D6]])</f>
        <v>0</v>
      </c>
      <c r="AE72" s="31" t="s">
        <v>579</v>
      </c>
      <c r="AF72" s="3">
        <f>IF($B$2="(Todas)",COUNTIF(BASE[CODCIE10],GUIA_NACIONAL_2022_1106128105168175180181182183[[#This Row],[CIE-10]]),COUNTIFS(BASE[Cod.Establecimiento],$B$2,BASE[CODCIE10],GUIA_NACIONAL_2022_1106128105168175180181182183[[#This Row],[CIE-10]]))</f>
        <v>0</v>
      </c>
      <c r="AG72" s="3">
        <f>IF($B$2="(Todas)",COUNTIF(BASE[CODCIE102],GUIA_NACIONAL_2022_1106128105168175180181182183[[#This Row],[CIE-10]]),COUNTIFS(BASE[Cod.Establecimiento],$B$2,BASE[CODCIE102],GUIA_NACIONAL_2022_1106128105168175180181182183[[#This Row],[CIE-10]]))</f>
        <v>0</v>
      </c>
      <c r="AH72" s="3">
        <f>IF($B$2="(Todas)",COUNTIF(BASE[CODCIE104],GUIA_NACIONAL_2022_1106128105168175180181182183[[#This Row],[CIE-10]]),COUNTIFS(BASE[Cod.Establecimiento],$B$2,BASE[CODCIE104],GUIA_NACIONAL_2022_1106128105168175180181182183[[#This Row],[CIE-10]]))</f>
        <v>0</v>
      </c>
      <c r="AI72" s="3">
        <f>IF($B$2="(Todas)",COUNTIF(BASE[CODCIE106],GUIA_NACIONAL_2022_1106128105168175180181182183[[#This Row],[CIE-10]]),COUNTIFS(BASE[Cod.Establecimiento],$B$2,BASE[CODCIE106],GUIA_NACIONAL_2022_1106128105168175180181182183[[#This Row],[CIE-10]]))</f>
        <v>0</v>
      </c>
      <c r="AJ72" s="3">
        <f>IF($B$2="(Todas)",COUNTIF(BASE[CODCIE108],GUIA_NACIONAL_2022_1106128105168175180181182183[[#This Row],[CIE-10]]),COUNTIFS(BASE[Cod.Establecimiento],$B$2,BASE[CODCIE108],GUIA_NACIONAL_2022_1106128105168175180181182183[[#This Row],[CIE-10]]))</f>
        <v>0</v>
      </c>
      <c r="AK72" s="3">
        <f>IF($B$2="(Todas)",COUNTIF(BASE[CODCIE1010],GUIA_NACIONAL_2022_1106128105168175180181182183[[#This Row],[CIE-10]]),COUNTIFS(BASE[Cod.Establecimiento],$B$2,BASE[CODCIE1010],GUIA_NACIONAL_2022_1106128105168175180181182183[[#This Row],[CIE-10]]))</f>
        <v>0</v>
      </c>
      <c r="AL72" s="9">
        <f>SUM(GUIA_NACIONAL_2022_1106128105168175180181182183[[#This Row],[D1]:[D6]])</f>
        <v>0</v>
      </c>
      <c r="BF72" t="s">
        <v>77</v>
      </c>
      <c r="BG72" s="3" t="s">
        <v>78</v>
      </c>
      <c r="BH72" s="3" t="s">
        <v>79</v>
      </c>
      <c r="BI72" s="3" t="s">
        <v>80</v>
      </c>
      <c r="BJ72" s="3" t="s">
        <v>81</v>
      </c>
      <c r="BK72" s="3" t="s">
        <v>82</v>
      </c>
      <c r="BL72" s="3" t="s">
        <v>83</v>
      </c>
      <c r="BM72" s="8" t="s">
        <v>84</v>
      </c>
      <c r="BO72" s="4" t="s">
        <v>245</v>
      </c>
      <c r="BP72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2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2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2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2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2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2" s="9">
        <f>SUM(GUIA_NACIONAL_2022_1106128105107110207214216217236241244246247[[#This Row],[D1]:[D6]])</f>
        <v>0</v>
      </c>
    </row>
    <row r="73" spans="4:74">
      <c r="D73" s="4" t="s">
        <v>442</v>
      </c>
      <c r="E73" s="3">
        <f>IF($B$2="(Todas)",COUNTIF(BASE[CODCIE10],GUIA_NACIONAL_2022_1106112113116117118119120121122123124[[#This Row],[CIE-10]]),COUNTIFS(BASE[Cod.Establecimiento],$B$2,BASE[CODCIE10],GUIA_NACIONAL_2022_1106112113116117118119120121122123124[[#This Row],[CIE-10]]))</f>
        <v>0</v>
      </c>
      <c r="F73" s="3">
        <f>IF($B$2="(Todas)",COUNTIF(BASE[CODCIE102],GUIA_NACIONAL_2022_1106112113116117118119120121122123124[[#This Row],[CIE-10]]),COUNTIFS(BASE[Cod.Establecimiento],$B$2,BASE[CODCIE102],GUIA_NACIONAL_2022_1106112113116117118119120121122123124[[#This Row],[CIE-10]]))</f>
        <v>0</v>
      </c>
      <c r="G73" s="3">
        <f>IF($B$2="(Todas)",COUNTIF(BASE[CODCIE104],GUIA_NACIONAL_2022_1106112113116117118119120121122123124[[#This Row],[CIE-10]]),COUNTIFS(BASE[Cod.Establecimiento],$B$2,BASE[CODCIE104],GUIA_NACIONAL_2022_1106112113116117118119120121122123124[[#This Row],[CIE-10]]))</f>
        <v>0</v>
      </c>
      <c r="H73" s="3">
        <f>IF($B$2="(Todas)",COUNTIF(BASE[CODCIE106],GUIA_NACIONAL_2022_1106112113116117118119120121122123124[[#This Row],[CIE-10]]),COUNTIFS(BASE[Cod.Establecimiento],$B$2,BASE[CODCIE106],GUIA_NACIONAL_2022_1106112113116117118119120121122123124[[#This Row],[CIE-10]]))</f>
        <v>0</v>
      </c>
      <c r="I73" s="3">
        <f>IF($B$2="(Todas)",COUNTIF(BASE[CODCIE108],GUIA_NACIONAL_2022_1106112113116117118119120121122123124[[#This Row],[CIE-10]]),COUNTIFS(BASE[Cod.Establecimiento],$B$2,BASE[CODCIE108],GUIA_NACIONAL_2022_1106112113116117118119120121122123124[[#This Row],[CIE-10]]))</f>
        <v>0</v>
      </c>
      <c r="J73" s="3">
        <f>IF($B$2="(Todas)",COUNTIF(BASE[CODCIE1010],GUIA_NACIONAL_2022_1106112113116117118119120121122123124[[#This Row],[CIE-10]]),COUNTIFS(BASE[Cod.Establecimiento],$B$2,BASE[CODCIE1010],GUIA_NACIONAL_2022_1106112113116117118119120121122123124[[#This Row],[CIE-10]]))</f>
        <v>0</v>
      </c>
      <c r="K73" s="9">
        <f>SUM(GUIA_NACIONAL_2022_1106112113116117118119120121122123124[[#This Row],[D1]:[D6]])</f>
        <v>0</v>
      </c>
      <c r="V73" s="158" t="s">
        <v>531</v>
      </c>
      <c r="W73" s="159"/>
      <c r="X73" s="159"/>
      <c r="Y73" s="159"/>
      <c r="Z73" s="159"/>
      <c r="AA73" s="159"/>
      <c r="AB73" s="159"/>
      <c r="AC73" s="159"/>
      <c r="AE73" s="159" t="s">
        <v>581</v>
      </c>
      <c r="AF73" s="159"/>
      <c r="AG73" s="159"/>
      <c r="AH73" s="159"/>
      <c r="AI73" s="159"/>
      <c r="AJ73" s="159"/>
      <c r="AK73" s="159"/>
      <c r="AL73" s="159"/>
      <c r="BF73" s="4" t="s">
        <v>671</v>
      </c>
      <c r="BG73" s="3">
        <f>IF($B$2="(Todas)",COUNTIF(BASE[CODCIE10],GUIA_NACIONAL_2022_1106128105107110207214216221222223224226228229[[#This Row],[CIE-10]]),COUNTIFS(BASE[Cod.Establecimiento],$B$2,BASE[CODCIE10],GUIA_NACIONAL_2022_1106128105107110207214216221222223224226228229[[#This Row],[CIE-10]]))</f>
        <v>0</v>
      </c>
      <c r="BH73" s="3">
        <f>IF($B$2="(Todas)",COUNTIF(BASE[CODCIE102],GUIA_NACIONAL_2022_1106128105107110207214216221222223224226228229[[#This Row],[CIE-10]]),COUNTIFS(BASE[Cod.Establecimiento],$B$2,BASE[CODCIE102],GUIA_NACIONAL_2022_1106128105107110207214216221222223224226228229[[#This Row],[CIE-10]]))</f>
        <v>0</v>
      </c>
      <c r="BI73" s="3">
        <f>IF($B$2="(Todas)",COUNTIF(BASE[CODCIE104],GUIA_NACIONAL_2022_1106128105107110207214216221222223224226228229[[#This Row],[CIE-10]]),COUNTIFS(BASE[Cod.Establecimiento],$B$2,BASE[CODCIE104],GUIA_NACIONAL_2022_1106128105107110207214216221222223224226228229[[#This Row],[CIE-10]]))</f>
        <v>0</v>
      </c>
      <c r="BJ73" s="3">
        <f>IF($B$2="(Todas)",COUNTIF(BASE[CODCIE106],GUIA_NACIONAL_2022_1106128105107110207214216221222223224226228229[[#This Row],[CIE-10]]),COUNTIFS(BASE[Cod.Establecimiento],$B$2,BASE[CODCIE106],GUIA_NACIONAL_2022_1106128105107110207214216221222223224226228229[[#This Row],[CIE-10]]))</f>
        <v>0</v>
      </c>
      <c r="BK73" s="3">
        <f>IF($B$2="(Todas)",COUNTIF(BASE[CODCIE108],GUIA_NACIONAL_2022_1106128105107110207214216221222223224226228229[[#This Row],[CIE-10]]),COUNTIFS(BASE[Cod.Establecimiento],$B$2,BASE[CODCIE108],GUIA_NACIONAL_2022_1106128105107110207214216221222223224226228229[[#This Row],[CIE-10]]))</f>
        <v>0</v>
      </c>
      <c r="BL73" s="3">
        <f>IF($B$2="(Todas)",COUNTIF(BASE[CODCIE1010],GUIA_NACIONAL_2022_1106128105107110207214216221222223224226228229[[#This Row],[CIE-10]]),COUNTIFS(BASE[Cod.Establecimiento],$B$2,BASE[CODCIE1010],GUIA_NACIONAL_2022_1106128105107110207214216221222223224226228229[[#This Row],[CIE-10]]))</f>
        <v>0</v>
      </c>
      <c r="BM73" s="9">
        <f>SUM(GUIA_NACIONAL_2022_1106128105107110207214216221222223224226228229[[#This Row],[D1]:[D6]])</f>
        <v>0</v>
      </c>
      <c r="BO73" s="31" t="s">
        <v>328</v>
      </c>
      <c r="BP73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3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3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3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3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3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3" s="9">
        <f>SUM(GUIA_NACIONAL_2022_1106128105107110207214216217236241244246247[[#This Row],[D1]:[D6]])</f>
        <v>0</v>
      </c>
    </row>
    <row r="74" spans="4:74">
      <c r="D74" s="159" t="s">
        <v>443</v>
      </c>
      <c r="E74" s="159"/>
      <c r="F74" s="159"/>
      <c r="G74" s="159"/>
      <c r="H74" s="159"/>
      <c r="I74" s="159"/>
      <c r="J74" s="159"/>
      <c r="K74" s="159"/>
      <c r="V74" t="s">
        <v>77</v>
      </c>
      <c r="W74" s="3" t="s">
        <v>78</v>
      </c>
      <c r="X74" s="3" t="s">
        <v>79</v>
      </c>
      <c r="Y74" s="3" t="s">
        <v>80</v>
      </c>
      <c r="Z74" s="3" t="s">
        <v>81</v>
      </c>
      <c r="AA74" s="3" t="s">
        <v>82</v>
      </c>
      <c r="AB74" s="3" t="s">
        <v>83</v>
      </c>
      <c r="AC74" s="8" t="s">
        <v>84</v>
      </c>
      <c r="AE74" t="s">
        <v>77</v>
      </c>
      <c r="AF74" s="3" t="s">
        <v>78</v>
      </c>
      <c r="AG74" s="3" t="s">
        <v>79</v>
      </c>
      <c r="AH74" s="3" t="s">
        <v>80</v>
      </c>
      <c r="AI74" s="3" t="s">
        <v>81</v>
      </c>
      <c r="AJ74" s="3" t="s">
        <v>82</v>
      </c>
      <c r="AK74" s="3" t="s">
        <v>83</v>
      </c>
      <c r="AL74" s="8" t="s">
        <v>84</v>
      </c>
      <c r="BF74" s="159" t="s">
        <v>672</v>
      </c>
      <c r="BG74" s="159"/>
      <c r="BH74" s="159"/>
      <c r="BI74" s="159"/>
      <c r="BJ74" s="159"/>
      <c r="BK74" s="159"/>
      <c r="BL74" s="159"/>
      <c r="BM74" s="159"/>
      <c r="BO74" s="31" t="s">
        <v>329</v>
      </c>
      <c r="BP74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4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4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4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4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4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4" s="9">
        <f>SUM(GUIA_NACIONAL_2022_1106128105107110207214216217236241244246247[[#This Row],[D1]:[D6]])</f>
        <v>0</v>
      </c>
    </row>
    <row r="75" spans="4:74">
      <c r="D75" t="s">
        <v>77</v>
      </c>
      <c r="E75" s="3" t="s">
        <v>78</v>
      </c>
      <c r="F75" s="3" t="s">
        <v>79</v>
      </c>
      <c r="G75" s="3" t="s">
        <v>80</v>
      </c>
      <c r="H75" s="3" t="s">
        <v>81</v>
      </c>
      <c r="I75" s="3" t="s">
        <v>82</v>
      </c>
      <c r="J75" s="3" t="s">
        <v>83</v>
      </c>
      <c r="K75" s="8" t="s">
        <v>84</v>
      </c>
      <c r="V75" s="4" t="s">
        <v>107</v>
      </c>
      <c r="W75" s="3">
        <f>IF($B$2="(Todas)",COUNTIF(BASE[CODCIE10],GUIA_NACIONAL_2022_1106128143146150153156145[[#This Row],[CIE-10]]),COUNTIFS(BASE[Cod.Establecimiento],$B$2,BASE[CODCIE10],GUIA_NACIONAL_2022_1106128143146150153156145[[#This Row],[CIE-10]]))</f>
        <v>0</v>
      </c>
      <c r="X75" s="3">
        <f>IF($B$2="(Todas)",COUNTIF(BASE[CODCIE102],GUIA_NACIONAL_2022_1106128143146150153156145[[#This Row],[CIE-10]]),COUNTIFS(BASE[Cod.Establecimiento],$B$2,BASE[CODCIE102],GUIA_NACIONAL_2022_1106128143146150153156145[[#This Row],[CIE-10]]))</f>
        <v>0</v>
      </c>
      <c r="Y75" s="3">
        <f>IF($B$2="(Todas)",COUNTIF(BASE[CODCIE104],GUIA_NACIONAL_2022_1106128143146150153156145[[#This Row],[CIE-10]]),COUNTIFS(BASE[Cod.Establecimiento],$B$2,BASE[CODCIE104],GUIA_NACIONAL_2022_1106128143146150153156145[[#This Row],[CIE-10]]))</f>
        <v>0</v>
      </c>
      <c r="Z75" s="3">
        <f>IF($B$2="(Todas)",COUNTIF(BASE[CODCIE106],GUIA_NACIONAL_2022_1106128143146150153156145[[#This Row],[CIE-10]]),COUNTIFS(BASE[Cod.Establecimiento],$B$2,BASE[CODCIE106],GUIA_NACIONAL_2022_1106128143146150153156145[[#This Row],[CIE-10]]))</f>
        <v>0</v>
      </c>
      <c r="AA75" s="3">
        <f>IF($B$2="(Todas)",COUNTIF(BASE[CODCIE108],GUIA_NACIONAL_2022_1106128143146150153156145[[#This Row],[CIE-10]]),COUNTIFS(BASE[Cod.Establecimiento],$B$2,BASE[CODCIE108],GUIA_NACIONAL_2022_1106128143146150153156145[[#This Row],[CIE-10]]))</f>
        <v>0</v>
      </c>
      <c r="AB75" s="3">
        <f>IF($B$2="(Todas)",COUNTIF(BASE[CODCIE1010],GUIA_NACIONAL_2022_1106128143146150153156145[[#This Row],[CIE-10]]),COUNTIFS(BASE[Cod.Establecimiento],$B$2,BASE[CODCIE1010],GUIA_NACIONAL_2022_1106128143146150153156145[[#This Row],[CIE-10]]))</f>
        <v>0</v>
      </c>
      <c r="AC75" s="9">
        <f>SUM(GUIA_NACIONAL_2022_1106128143146150153156145[[#This Row],[D1]:[D6]])</f>
        <v>0</v>
      </c>
      <c r="AE75" s="4" t="s">
        <v>578</v>
      </c>
      <c r="AF75" s="3">
        <f>IF($B$2="(Todas)",COUNTIF(BASE[CODCIE10],GUIA_NACIONAL_2022_1106128105168175180181182183184[[#This Row],[CIE-10]]),COUNTIFS(BASE[Cod.Establecimiento],$B$2,BASE[CODCIE10],GUIA_NACIONAL_2022_1106128105168175180181182183184[[#This Row],[CIE-10]]))</f>
        <v>0</v>
      </c>
      <c r="AG75" s="3">
        <f>IF($B$2="(Todas)",COUNTIF(BASE[CODCIE102],GUIA_NACIONAL_2022_1106128105168175180181182183184[[#This Row],[CIE-10]]),COUNTIFS(BASE[Cod.Establecimiento],$B$2,BASE[CODCIE102],GUIA_NACIONAL_2022_1106128105168175180181182183184[[#This Row],[CIE-10]]))</f>
        <v>0</v>
      </c>
      <c r="AH75" s="3">
        <f>IF($B$2="(Todas)",COUNTIF(BASE[CODCIE104],GUIA_NACIONAL_2022_1106128105168175180181182183184[[#This Row],[CIE-10]]),COUNTIFS(BASE[Cod.Establecimiento],$B$2,BASE[CODCIE104],GUIA_NACIONAL_2022_1106128105168175180181182183184[[#This Row],[CIE-10]]))</f>
        <v>0</v>
      </c>
      <c r="AI75" s="3">
        <f>IF($B$2="(Todas)",COUNTIF(BASE[CODCIE106],GUIA_NACIONAL_2022_1106128105168175180181182183184[[#This Row],[CIE-10]]),COUNTIFS(BASE[Cod.Establecimiento],$B$2,BASE[CODCIE106],GUIA_NACIONAL_2022_1106128105168175180181182183184[[#This Row],[CIE-10]]))</f>
        <v>0</v>
      </c>
      <c r="AJ75" s="3">
        <f>IF($B$2="(Todas)",COUNTIF(BASE[CODCIE108],GUIA_NACIONAL_2022_1106128105168175180181182183184[[#This Row],[CIE-10]]),COUNTIFS(BASE[Cod.Establecimiento],$B$2,BASE[CODCIE108],GUIA_NACIONAL_2022_1106128105168175180181182183184[[#This Row],[CIE-10]]))</f>
        <v>0</v>
      </c>
      <c r="AK75" s="3">
        <f>IF($B$2="(Todas)",COUNTIF(BASE[CODCIE1010],GUIA_NACIONAL_2022_1106128105168175180181182183184[[#This Row],[CIE-10]]),COUNTIFS(BASE[Cod.Establecimiento],$B$2,BASE[CODCIE1010],GUIA_NACIONAL_2022_1106128105168175180181182183184[[#This Row],[CIE-10]]))</f>
        <v>0</v>
      </c>
      <c r="AL75" s="9">
        <f>SUM(GUIA_NACIONAL_2022_1106128105168175180181182183184[[#This Row],[D1]:[D6]])</f>
        <v>0</v>
      </c>
      <c r="BF75" t="s">
        <v>77</v>
      </c>
      <c r="BG75" s="3" t="s">
        <v>78</v>
      </c>
      <c r="BH75" s="3" t="s">
        <v>79</v>
      </c>
      <c r="BI75" s="3" t="s">
        <v>80</v>
      </c>
      <c r="BJ75" s="3" t="s">
        <v>81</v>
      </c>
      <c r="BK75" s="3" t="s">
        <v>82</v>
      </c>
      <c r="BL75" s="3" t="s">
        <v>83</v>
      </c>
      <c r="BM75" s="8" t="s">
        <v>84</v>
      </c>
      <c r="BO75" s="31" t="s">
        <v>692</v>
      </c>
      <c r="BP75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5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5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5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5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5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5" s="9">
        <f>SUM(GUIA_NACIONAL_2022_1106128105107110207214216217236241244246247[[#This Row],[D1]:[D6]])</f>
        <v>0</v>
      </c>
    </row>
    <row r="76" spans="4:74">
      <c r="D76" s="4" t="s">
        <v>444</v>
      </c>
      <c r="E76" s="3">
        <f>IF($B$2="(Todas)",COUNTIF(BASE[CODCIE10],GUIA_NACIONAL_2022_1106112113116117118119120121122123124125[[#This Row],[CIE-10]]),COUNTIFS(BASE[Cod.Establecimiento],$B$2,BASE[CODCIE10],GUIA_NACIONAL_2022_1106112113116117118119120121122123124125[[#This Row],[CIE-10]]))</f>
        <v>0</v>
      </c>
      <c r="F76" s="3">
        <f>IF($B$2="(Todas)",COUNTIF(BASE[CODCIE102],GUIA_NACIONAL_2022_1106112113116117118119120121122123124125[[#This Row],[CIE-10]]),COUNTIFS(BASE[Cod.Establecimiento],$B$2,BASE[CODCIE102],GUIA_NACIONAL_2022_1106112113116117118119120121122123124125[[#This Row],[CIE-10]]))</f>
        <v>0</v>
      </c>
      <c r="G76" s="3">
        <f>IF($B$2="(Todas)",COUNTIF(BASE[CODCIE104],GUIA_NACIONAL_2022_1106112113116117118119120121122123124125[[#This Row],[CIE-10]]),COUNTIFS(BASE[Cod.Establecimiento],$B$2,BASE[CODCIE104],GUIA_NACIONAL_2022_1106112113116117118119120121122123124125[[#This Row],[CIE-10]]))</f>
        <v>0</v>
      </c>
      <c r="H76" s="3">
        <f>IF($B$2="(Todas)",COUNTIF(BASE[CODCIE106],GUIA_NACIONAL_2022_1106112113116117118119120121122123124125[[#This Row],[CIE-10]]),COUNTIFS(BASE[Cod.Establecimiento],$B$2,BASE[CODCIE106],GUIA_NACIONAL_2022_1106112113116117118119120121122123124125[[#This Row],[CIE-10]]))</f>
        <v>0</v>
      </c>
      <c r="I76" s="3">
        <f>IF($B$2="(Todas)",COUNTIF(BASE[CODCIE108],GUIA_NACIONAL_2022_1106112113116117118119120121122123124125[[#This Row],[CIE-10]]),COUNTIFS(BASE[Cod.Establecimiento],$B$2,BASE[CODCIE108],GUIA_NACIONAL_2022_1106112113116117118119120121122123124125[[#This Row],[CIE-10]]))</f>
        <v>0</v>
      </c>
      <c r="J76" s="3">
        <f>IF($B$2="(Todas)",COUNTIF(BASE[CODCIE1010],GUIA_NACIONAL_2022_1106112113116117118119120121122123124125[[#This Row],[CIE-10]]),COUNTIFS(BASE[Cod.Establecimiento],$B$2,BASE[CODCIE1010],GUIA_NACIONAL_2022_1106112113116117118119120121122123124125[[#This Row],[CIE-10]]))</f>
        <v>0</v>
      </c>
      <c r="K76" s="9">
        <f>SUM(GUIA_NACIONAL_2022_1106112113116117118119120121122123124125[[#This Row],[D1]:[D6]])</f>
        <v>0</v>
      </c>
      <c r="V76" s="158" t="s">
        <v>532</v>
      </c>
      <c r="W76" s="159"/>
      <c r="X76" s="159"/>
      <c r="Y76" s="159"/>
      <c r="Z76" s="159"/>
      <c r="AA76" s="159"/>
      <c r="AB76" s="159"/>
      <c r="AC76" s="159"/>
      <c r="AE76" s="31" t="s">
        <v>579</v>
      </c>
      <c r="AF76" s="3">
        <f>IF($B$2="(Todas)",COUNTIF(BASE[CODCIE10],GUIA_NACIONAL_2022_1106128105168175180181182183184[[#This Row],[CIE-10]]),COUNTIFS(BASE[Cod.Establecimiento],$B$2,BASE[CODCIE10],GUIA_NACIONAL_2022_1106128105168175180181182183184[[#This Row],[CIE-10]]))</f>
        <v>0</v>
      </c>
      <c r="AG76" s="3">
        <f>IF($B$2="(Todas)",COUNTIF(BASE[CODCIE102],GUIA_NACIONAL_2022_1106128105168175180181182183184[[#This Row],[CIE-10]]),COUNTIFS(BASE[Cod.Establecimiento],$B$2,BASE[CODCIE102],GUIA_NACIONAL_2022_1106128105168175180181182183184[[#This Row],[CIE-10]]))</f>
        <v>0</v>
      </c>
      <c r="AH76" s="3">
        <f>IF($B$2="(Todas)",COUNTIF(BASE[CODCIE104],GUIA_NACIONAL_2022_1106128105168175180181182183184[[#This Row],[CIE-10]]),COUNTIFS(BASE[Cod.Establecimiento],$B$2,BASE[CODCIE104],GUIA_NACIONAL_2022_1106128105168175180181182183184[[#This Row],[CIE-10]]))</f>
        <v>0</v>
      </c>
      <c r="AI76" s="3">
        <f>IF($B$2="(Todas)",COUNTIF(BASE[CODCIE106],GUIA_NACIONAL_2022_1106128105168175180181182183184[[#This Row],[CIE-10]]),COUNTIFS(BASE[Cod.Establecimiento],$B$2,BASE[CODCIE106],GUIA_NACIONAL_2022_1106128105168175180181182183184[[#This Row],[CIE-10]]))</f>
        <v>0</v>
      </c>
      <c r="AJ76" s="3">
        <f>IF($B$2="(Todas)",COUNTIF(BASE[CODCIE108],GUIA_NACIONAL_2022_1106128105168175180181182183184[[#This Row],[CIE-10]]),COUNTIFS(BASE[Cod.Establecimiento],$B$2,BASE[CODCIE108],GUIA_NACIONAL_2022_1106128105168175180181182183184[[#This Row],[CIE-10]]))</f>
        <v>0</v>
      </c>
      <c r="AK76" s="3">
        <f>IF($B$2="(Todas)",COUNTIF(BASE[CODCIE1010],GUIA_NACIONAL_2022_1106128105168175180181182183184[[#This Row],[CIE-10]]),COUNTIFS(BASE[Cod.Establecimiento],$B$2,BASE[CODCIE1010],GUIA_NACIONAL_2022_1106128105168175180181182183184[[#This Row],[CIE-10]]))</f>
        <v>0</v>
      </c>
      <c r="AL76" s="9">
        <f>SUM(GUIA_NACIONAL_2022_1106128105168175180181182183184[[#This Row],[D1]:[D6]])</f>
        <v>0</v>
      </c>
      <c r="BF76" s="4" t="s">
        <v>671</v>
      </c>
      <c r="BG76" s="3">
        <f>IF($B$2="(Todas)",COUNTIF(BASE[CODCIE10],GUIA_NACIONAL_2022_1106128105107110207214216221222223224226228230[[#This Row],[CIE-10]]),COUNTIFS(BASE[Cod.Establecimiento],$B$2,BASE[CODCIE10],GUIA_NACIONAL_2022_1106128105107110207214216221222223224226228230[[#This Row],[CIE-10]]))</f>
        <v>0</v>
      </c>
      <c r="BH76" s="3">
        <f>IF($B$2="(Todas)",COUNTIF(BASE[CODCIE102],GUIA_NACIONAL_2022_1106128105107110207214216221222223224226228230[[#This Row],[CIE-10]]),COUNTIFS(BASE[Cod.Establecimiento],$B$2,BASE[CODCIE102],GUIA_NACIONAL_2022_1106128105107110207214216221222223224226228230[[#This Row],[CIE-10]]))</f>
        <v>0</v>
      </c>
      <c r="BI76" s="3">
        <f>IF($B$2="(Todas)",COUNTIF(BASE[CODCIE104],GUIA_NACIONAL_2022_1106128105107110207214216221222223224226228230[[#This Row],[CIE-10]]),COUNTIFS(BASE[Cod.Establecimiento],$B$2,BASE[CODCIE104],GUIA_NACIONAL_2022_1106128105107110207214216221222223224226228230[[#This Row],[CIE-10]]))</f>
        <v>0</v>
      </c>
      <c r="BJ76" s="3">
        <f>IF($B$2="(Todas)",COUNTIF(BASE[CODCIE106],GUIA_NACIONAL_2022_1106128105107110207214216221222223224226228230[[#This Row],[CIE-10]]),COUNTIFS(BASE[Cod.Establecimiento],$B$2,BASE[CODCIE106],GUIA_NACIONAL_2022_1106128105107110207214216221222223224226228230[[#This Row],[CIE-10]]))</f>
        <v>0</v>
      </c>
      <c r="BK76" s="3">
        <f>IF($B$2="(Todas)",COUNTIF(BASE[CODCIE108],GUIA_NACIONAL_2022_1106128105107110207214216221222223224226228230[[#This Row],[CIE-10]]),COUNTIFS(BASE[Cod.Establecimiento],$B$2,BASE[CODCIE108],GUIA_NACIONAL_2022_1106128105107110207214216221222223224226228230[[#This Row],[CIE-10]]))</f>
        <v>0</v>
      </c>
      <c r="BL76" s="3">
        <f>IF($B$2="(Todas)",COUNTIF(BASE[CODCIE1010],GUIA_NACIONAL_2022_1106128105107110207214216221222223224226228230[[#This Row],[CIE-10]]),COUNTIFS(BASE[Cod.Establecimiento],$B$2,BASE[CODCIE1010],GUIA_NACIONAL_2022_1106128105107110207214216221222223224226228230[[#This Row],[CIE-10]]))</f>
        <v>0</v>
      </c>
      <c r="BM76" s="9">
        <f>SUM(GUIA_NACIONAL_2022_1106128105107110207214216221222223224226228230[[#This Row],[D1]:[D6]])</f>
        <v>0</v>
      </c>
      <c r="BO76" s="31" t="s">
        <v>693</v>
      </c>
      <c r="BP76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6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6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6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6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6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6" s="9">
        <f>SUM(GUIA_NACIONAL_2022_1106128105107110207214216217236241244246247[[#This Row],[D1]:[D6]])</f>
        <v>0</v>
      </c>
    </row>
    <row r="77" spans="4:74">
      <c r="D77" s="159" t="s">
        <v>445</v>
      </c>
      <c r="E77" s="159"/>
      <c r="F77" s="159"/>
      <c r="G77" s="159"/>
      <c r="H77" s="159"/>
      <c r="I77" s="159"/>
      <c r="J77" s="159"/>
      <c r="K77" s="159"/>
      <c r="V77" t="s">
        <v>77</v>
      </c>
      <c r="W77" s="3" t="s">
        <v>78</v>
      </c>
      <c r="X77" s="3" t="s">
        <v>79</v>
      </c>
      <c r="Y77" s="3" t="s">
        <v>80</v>
      </c>
      <c r="Z77" s="3" t="s">
        <v>81</v>
      </c>
      <c r="AA77" s="3" t="s">
        <v>82</v>
      </c>
      <c r="AB77" s="3" t="s">
        <v>83</v>
      </c>
      <c r="AC77" s="8" t="s">
        <v>84</v>
      </c>
      <c r="AE77" s="159" t="s">
        <v>582</v>
      </c>
      <c r="AF77" s="159"/>
      <c r="AG77" s="159"/>
      <c r="AH77" s="159"/>
      <c r="AI77" s="159"/>
      <c r="AJ77" s="159"/>
      <c r="AK77" s="159"/>
      <c r="AL77" s="159"/>
      <c r="BO77" s="31" t="s">
        <v>694</v>
      </c>
      <c r="BP77" s="3">
        <f>IF($B$2="(Todas)",COUNTIF(BASE[CODCIE10],GUIA_NACIONAL_2022_1106128105107110207214216217236241244246247[[#This Row],[CIE-10]]),COUNTIFS(BASE[Cod.Establecimiento],$B$2,BASE[CODCIE10],GUIA_NACIONAL_2022_1106128105107110207214216217236241244246247[[#This Row],[CIE-10]]))</f>
        <v>0</v>
      </c>
      <c r="BQ77" s="3">
        <f>IF($B$2="(Todas)",COUNTIF(BASE[CODCIE102],GUIA_NACIONAL_2022_1106128105107110207214216217236241244246247[[#This Row],[CIE-10]]),COUNTIFS(BASE[Cod.Establecimiento],$B$2,BASE[CODCIE102],GUIA_NACIONAL_2022_1106128105107110207214216217236241244246247[[#This Row],[CIE-10]]))</f>
        <v>0</v>
      </c>
      <c r="BR77" s="3">
        <f>IF($B$2="(Todas)",COUNTIF(BASE[CODCIE104],GUIA_NACIONAL_2022_1106128105107110207214216217236241244246247[[#This Row],[CIE-10]]),COUNTIFS(BASE[Cod.Establecimiento],$B$2,BASE[CODCIE104],GUIA_NACIONAL_2022_1106128105107110207214216217236241244246247[[#This Row],[CIE-10]]))</f>
        <v>0</v>
      </c>
      <c r="BS77" s="3">
        <f>IF($B$2="(Todas)",COUNTIF(BASE[CODCIE106],GUIA_NACIONAL_2022_1106128105107110207214216217236241244246247[[#This Row],[CIE-10]]),COUNTIFS(BASE[Cod.Establecimiento],$B$2,BASE[CODCIE106],GUIA_NACIONAL_2022_1106128105107110207214216217236241244246247[[#This Row],[CIE-10]]))</f>
        <v>0</v>
      </c>
      <c r="BT77" s="3">
        <f>IF($B$2="(Todas)",COUNTIF(BASE[CODCIE108],GUIA_NACIONAL_2022_1106128105107110207214216217236241244246247[[#This Row],[CIE-10]]),COUNTIFS(BASE[Cod.Establecimiento],$B$2,BASE[CODCIE108],GUIA_NACIONAL_2022_1106128105107110207214216217236241244246247[[#This Row],[CIE-10]]))</f>
        <v>0</v>
      </c>
      <c r="BU77" s="3">
        <f>IF($B$2="(Todas)",COUNTIF(BASE[CODCIE1010],GUIA_NACIONAL_2022_1106128105107110207214216217236241244246247[[#This Row],[CIE-10]]),COUNTIFS(BASE[Cod.Establecimiento],$B$2,BASE[CODCIE1010],GUIA_NACIONAL_2022_1106128105107110207214216217236241244246247[[#This Row],[CIE-10]]))</f>
        <v>0</v>
      </c>
      <c r="BV77" s="9">
        <f>SUM(GUIA_NACIONAL_2022_1106128105107110207214216217236241244246247[[#This Row],[D1]:[D6]])</f>
        <v>0</v>
      </c>
    </row>
    <row r="78" spans="4:74">
      <c r="D78" t="s">
        <v>77</v>
      </c>
      <c r="E78" s="3" t="s">
        <v>78</v>
      </c>
      <c r="F78" s="3" t="s">
        <v>79</v>
      </c>
      <c r="G78" s="3" t="s">
        <v>80</v>
      </c>
      <c r="H78" s="3" t="s">
        <v>81</v>
      </c>
      <c r="I78" s="3" t="s">
        <v>82</v>
      </c>
      <c r="J78" s="3" t="s">
        <v>83</v>
      </c>
      <c r="K78" s="8" t="s">
        <v>84</v>
      </c>
      <c r="V78" s="4" t="s">
        <v>107</v>
      </c>
      <c r="W78" s="3">
        <f>IF($B$2="(Todas)",COUNTIF(BASE[CODCIE10],GUIA_NACIONAL_2022_1106128143146150153156145157[[#This Row],[CIE-10]]),COUNTIFS(BASE[Cod.Establecimiento],$B$2,BASE[CODCIE10],GUIA_NACIONAL_2022_1106128143146150153156145157[[#This Row],[CIE-10]]))</f>
        <v>0</v>
      </c>
      <c r="X78" s="3">
        <f>IF($B$2="(Todas)",COUNTIF(BASE[CODCIE102],GUIA_NACIONAL_2022_1106128143146150153156145157[[#This Row],[CIE-10]]),COUNTIFS(BASE[Cod.Establecimiento],$B$2,BASE[CODCIE102],GUIA_NACIONAL_2022_1106128143146150153156145157[[#This Row],[CIE-10]]))</f>
        <v>0</v>
      </c>
      <c r="Y78" s="3">
        <f>IF($B$2="(Todas)",COUNTIF(BASE[CODCIE104],GUIA_NACIONAL_2022_1106128143146150153156145157[[#This Row],[CIE-10]]),COUNTIFS(BASE[Cod.Establecimiento],$B$2,BASE[CODCIE104],GUIA_NACIONAL_2022_1106128143146150153156145157[[#This Row],[CIE-10]]))</f>
        <v>0</v>
      </c>
      <c r="Z78" s="3">
        <f>IF($B$2="(Todas)",COUNTIF(BASE[CODCIE106],GUIA_NACIONAL_2022_1106128143146150153156145157[[#This Row],[CIE-10]]),COUNTIFS(BASE[Cod.Establecimiento],$B$2,BASE[CODCIE106],GUIA_NACIONAL_2022_1106128143146150153156145157[[#This Row],[CIE-10]]))</f>
        <v>0</v>
      </c>
      <c r="AA78" s="3">
        <f>IF($B$2="(Todas)",COUNTIF(BASE[CODCIE108],GUIA_NACIONAL_2022_1106128143146150153156145157[[#This Row],[CIE-10]]),COUNTIFS(BASE[Cod.Establecimiento],$B$2,BASE[CODCIE108],GUIA_NACIONAL_2022_1106128143146150153156145157[[#This Row],[CIE-10]]))</f>
        <v>0</v>
      </c>
      <c r="AB78" s="3">
        <f>IF($B$2="(Todas)",COUNTIF(BASE[CODCIE1010],GUIA_NACIONAL_2022_1106128143146150153156145157[[#This Row],[CIE-10]]),COUNTIFS(BASE[Cod.Establecimiento],$B$2,BASE[CODCIE1010],GUIA_NACIONAL_2022_1106128143146150153156145157[[#This Row],[CIE-10]]))</f>
        <v>0</v>
      </c>
      <c r="AC78" s="9">
        <f>SUM(GUIA_NACIONAL_2022_1106128143146150153156145157[[#This Row],[D1]:[D6]])</f>
        <v>0</v>
      </c>
      <c r="AE78" t="s">
        <v>77</v>
      </c>
      <c r="AF78" s="3" t="s">
        <v>78</v>
      </c>
      <c r="AG78" s="3" t="s">
        <v>79</v>
      </c>
      <c r="AH78" s="3" t="s">
        <v>80</v>
      </c>
      <c r="AI78" s="3" t="s">
        <v>81</v>
      </c>
      <c r="AJ78" s="3" t="s">
        <v>82</v>
      </c>
      <c r="AK78" s="3" t="s">
        <v>83</v>
      </c>
      <c r="AL78" s="8" t="s">
        <v>84</v>
      </c>
    </row>
    <row r="79" spans="4:74">
      <c r="D79" s="4" t="s">
        <v>446</v>
      </c>
      <c r="E79" s="3">
        <f>IF($B$2="(Todas)",COUNTIF(BASE[CODCIE10],GUIA_NACIONAL_2022_1106112113116117118119120121122123124125126[[#This Row],[CIE-10]]),COUNTIFS(BASE[Cod.Establecimiento],$B$2,BASE[CODCIE10],GUIA_NACIONAL_2022_1106112113116117118119120121122123124125126[[#This Row],[CIE-10]]))</f>
        <v>0</v>
      </c>
      <c r="F79" s="3">
        <f>IF($B$2="(Todas)",COUNTIF(BASE[CODCIE102],GUIA_NACIONAL_2022_1106112113116117118119120121122123124125126[[#This Row],[CIE-10]]),COUNTIFS(BASE[Cod.Establecimiento],$B$2,BASE[CODCIE102],GUIA_NACIONAL_2022_1106112113116117118119120121122123124125126[[#This Row],[CIE-10]]))</f>
        <v>0</v>
      </c>
      <c r="G79" s="3">
        <f>IF($B$2="(Todas)",COUNTIF(BASE[CODCIE104],GUIA_NACIONAL_2022_1106112113116117118119120121122123124125126[[#This Row],[CIE-10]]),COUNTIFS(BASE[Cod.Establecimiento],$B$2,BASE[CODCIE104],GUIA_NACIONAL_2022_1106112113116117118119120121122123124125126[[#This Row],[CIE-10]]))</f>
        <v>0</v>
      </c>
      <c r="H79" s="3">
        <f>IF($B$2="(Todas)",COUNTIF(BASE[CODCIE106],GUIA_NACIONAL_2022_1106112113116117118119120121122123124125126[[#This Row],[CIE-10]]),COUNTIFS(BASE[Cod.Establecimiento],$B$2,BASE[CODCIE106],GUIA_NACIONAL_2022_1106112113116117118119120121122123124125126[[#This Row],[CIE-10]]))</f>
        <v>0</v>
      </c>
      <c r="I79" s="3">
        <f>IF($B$2="(Todas)",COUNTIF(BASE[CODCIE108],GUIA_NACIONAL_2022_1106112113116117118119120121122123124125126[[#This Row],[CIE-10]]),COUNTIFS(BASE[Cod.Establecimiento],$B$2,BASE[CODCIE108],GUIA_NACIONAL_2022_1106112113116117118119120121122123124125126[[#This Row],[CIE-10]]))</f>
        <v>0</v>
      </c>
      <c r="J79" s="3">
        <f>IF($B$2="(Todas)",COUNTIF(BASE[CODCIE1010],GUIA_NACIONAL_2022_1106112113116117118119120121122123124125126[[#This Row],[CIE-10]]),COUNTIFS(BASE[Cod.Establecimiento],$B$2,BASE[CODCIE1010],GUIA_NACIONAL_2022_1106112113116117118119120121122123124125126[[#This Row],[CIE-10]]))</f>
        <v>0</v>
      </c>
      <c r="K79" s="9">
        <f>SUM(GUIA_NACIONAL_2022_1106112113116117118119120121122123124125126[[#This Row],[D1]:[D6]])</f>
        <v>0</v>
      </c>
      <c r="V79" s="158" t="s">
        <v>530</v>
      </c>
      <c r="W79" s="159"/>
      <c r="X79" s="159"/>
      <c r="Y79" s="159"/>
      <c r="Z79" s="159"/>
      <c r="AA79" s="159"/>
      <c r="AB79" s="159"/>
      <c r="AC79" s="159"/>
      <c r="AE79" s="4" t="s">
        <v>578</v>
      </c>
      <c r="AF79" s="3">
        <f>IF($B$2="(Todas)",COUNTIF(BASE[CODCIE10],GUIA_NACIONAL_2022_1106128105168175180181182183184185[[#This Row],[CIE-10]]),COUNTIFS(BASE[Cod.Establecimiento],$B$2,BASE[CODCIE10],GUIA_NACIONAL_2022_1106128105168175180181182183184185[[#This Row],[CIE-10]]))</f>
        <v>0</v>
      </c>
      <c r="AG79" s="3">
        <f>IF($B$2="(Todas)",COUNTIF(BASE[CODCIE102],GUIA_NACIONAL_2022_1106128105168175180181182183184185[[#This Row],[CIE-10]]),COUNTIFS(BASE[Cod.Establecimiento],$B$2,BASE[CODCIE102],GUIA_NACIONAL_2022_1106128105168175180181182183184185[[#This Row],[CIE-10]]))</f>
        <v>0</v>
      </c>
      <c r="AH79" s="3">
        <f>IF($B$2="(Todas)",COUNTIF(BASE[CODCIE104],GUIA_NACIONAL_2022_1106128105168175180181182183184185[[#This Row],[CIE-10]]),COUNTIFS(BASE[Cod.Establecimiento],$B$2,BASE[CODCIE104],GUIA_NACIONAL_2022_1106128105168175180181182183184185[[#This Row],[CIE-10]]))</f>
        <v>0</v>
      </c>
      <c r="AI79" s="3">
        <f>IF($B$2="(Todas)",COUNTIF(BASE[CODCIE106],GUIA_NACIONAL_2022_1106128105168175180181182183184185[[#This Row],[CIE-10]]),COUNTIFS(BASE[Cod.Establecimiento],$B$2,BASE[CODCIE106],GUIA_NACIONAL_2022_1106128105168175180181182183184185[[#This Row],[CIE-10]]))</f>
        <v>0</v>
      </c>
      <c r="AJ79" s="3">
        <f>IF($B$2="(Todas)",COUNTIF(BASE[CODCIE108],GUIA_NACIONAL_2022_1106128105168175180181182183184185[[#This Row],[CIE-10]]),COUNTIFS(BASE[Cod.Establecimiento],$B$2,BASE[CODCIE108],GUIA_NACIONAL_2022_1106128105168175180181182183184185[[#This Row],[CIE-10]]))</f>
        <v>0</v>
      </c>
      <c r="AK79" s="3">
        <f>IF($B$2="(Todas)",COUNTIF(BASE[CODCIE1010],GUIA_NACIONAL_2022_1106128105168175180181182183184185[[#This Row],[CIE-10]]),COUNTIFS(BASE[Cod.Establecimiento],$B$2,BASE[CODCIE1010],GUIA_NACIONAL_2022_1106128105168175180181182183184185[[#This Row],[CIE-10]]))</f>
        <v>0</v>
      </c>
      <c r="AL79" s="9">
        <f>SUM(GUIA_NACIONAL_2022_1106128105168175180181182183184185[[#This Row],[D1]:[D6]])</f>
        <v>0</v>
      </c>
    </row>
    <row r="80" spans="4:74">
      <c r="V80" t="s">
        <v>77</v>
      </c>
      <c r="W80" s="3" t="s">
        <v>78</v>
      </c>
      <c r="X80" s="3" t="s">
        <v>79</v>
      </c>
      <c r="Y80" s="3" t="s">
        <v>80</v>
      </c>
      <c r="Z80" s="3" t="s">
        <v>81</v>
      </c>
      <c r="AA80" s="3" t="s">
        <v>82</v>
      </c>
      <c r="AB80" s="3" t="s">
        <v>83</v>
      </c>
      <c r="AC80" s="8" t="s">
        <v>84</v>
      </c>
      <c r="AE80" s="31" t="s">
        <v>579</v>
      </c>
      <c r="AF80" s="3">
        <f>IF($B$2="(Todas)",COUNTIF(BASE[CODCIE10],GUIA_NACIONAL_2022_1106128105168175180181182183184185[[#This Row],[CIE-10]]),COUNTIFS(BASE[Cod.Establecimiento],$B$2,BASE[CODCIE10],GUIA_NACIONAL_2022_1106128105168175180181182183184185[[#This Row],[CIE-10]]))</f>
        <v>0</v>
      </c>
      <c r="AG80" s="3">
        <f>IF($B$2="(Todas)",COUNTIF(BASE[CODCIE102],GUIA_NACIONAL_2022_1106128105168175180181182183184185[[#This Row],[CIE-10]]),COUNTIFS(BASE[Cod.Establecimiento],$B$2,BASE[CODCIE102],GUIA_NACIONAL_2022_1106128105168175180181182183184185[[#This Row],[CIE-10]]))</f>
        <v>0</v>
      </c>
      <c r="AH80" s="3">
        <f>IF($B$2="(Todas)",COUNTIF(BASE[CODCIE104],GUIA_NACIONAL_2022_1106128105168175180181182183184185[[#This Row],[CIE-10]]),COUNTIFS(BASE[Cod.Establecimiento],$B$2,BASE[CODCIE104],GUIA_NACIONAL_2022_1106128105168175180181182183184185[[#This Row],[CIE-10]]))</f>
        <v>0</v>
      </c>
      <c r="AI80" s="3">
        <f>IF($B$2="(Todas)",COUNTIF(BASE[CODCIE106],GUIA_NACIONAL_2022_1106128105168175180181182183184185[[#This Row],[CIE-10]]),COUNTIFS(BASE[Cod.Establecimiento],$B$2,BASE[CODCIE106],GUIA_NACIONAL_2022_1106128105168175180181182183184185[[#This Row],[CIE-10]]))</f>
        <v>0</v>
      </c>
      <c r="AJ80" s="3">
        <f>IF($B$2="(Todas)",COUNTIF(BASE[CODCIE108],GUIA_NACIONAL_2022_1106128105168175180181182183184185[[#This Row],[CIE-10]]),COUNTIFS(BASE[Cod.Establecimiento],$B$2,BASE[CODCIE108],GUIA_NACIONAL_2022_1106128105168175180181182183184185[[#This Row],[CIE-10]]))</f>
        <v>0</v>
      </c>
      <c r="AK80" s="3">
        <f>IF($B$2="(Todas)",COUNTIF(BASE[CODCIE1010],GUIA_NACIONAL_2022_1106128105168175180181182183184185[[#This Row],[CIE-10]]),COUNTIFS(BASE[Cod.Establecimiento],$B$2,BASE[CODCIE1010],GUIA_NACIONAL_2022_1106128105168175180181182183184185[[#This Row],[CIE-10]]))</f>
        <v>0</v>
      </c>
      <c r="AL80" s="9">
        <f>SUM(GUIA_NACIONAL_2022_1106128105168175180181182183184185[[#This Row],[D1]:[D6]])</f>
        <v>0</v>
      </c>
    </row>
    <row r="81" spans="22:38">
      <c r="V81" s="4" t="s">
        <v>108</v>
      </c>
      <c r="W81" s="3">
        <f>IF($B$2="(Todas)",COUNTIF(BASE[CODCIE10],GUIA_NACIONAL_2022_1106128143146150153156158[[#This Row],[CIE-10]]),COUNTIFS(BASE[Cod.Establecimiento],$B$2,BASE[CODCIE10],GUIA_NACIONAL_2022_1106128143146150153156158[[#This Row],[CIE-10]]))</f>
        <v>0</v>
      </c>
      <c r="X81" s="3">
        <f>IF($B$2="(Todas)",COUNTIF(BASE[CODCIE102],GUIA_NACIONAL_2022_1106128143146150153156158[[#This Row],[CIE-10]]),COUNTIFS(BASE[Cod.Establecimiento],$B$2,BASE[CODCIE102],GUIA_NACIONAL_2022_1106128143146150153156158[[#This Row],[CIE-10]]))</f>
        <v>0</v>
      </c>
      <c r="Y81" s="3">
        <f>IF($B$2="(Todas)",COUNTIF(BASE[CODCIE104],GUIA_NACIONAL_2022_1106128143146150153156158[[#This Row],[CIE-10]]),COUNTIFS(BASE[Cod.Establecimiento],$B$2,BASE[CODCIE104],GUIA_NACIONAL_2022_1106128143146150153156158[[#This Row],[CIE-10]]))</f>
        <v>0</v>
      </c>
      <c r="Z81" s="3">
        <f>IF($B$2="(Todas)",COUNTIF(BASE[CODCIE106],GUIA_NACIONAL_2022_1106128143146150153156158[[#This Row],[CIE-10]]),COUNTIFS(BASE[Cod.Establecimiento],$B$2,BASE[CODCIE106],GUIA_NACIONAL_2022_1106128143146150153156158[[#This Row],[CIE-10]]))</f>
        <v>0</v>
      </c>
      <c r="AA81" s="3">
        <f>IF($B$2="(Todas)",COUNTIF(BASE[CODCIE108],GUIA_NACIONAL_2022_1106128143146150153156158[[#This Row],[CIE-10]]),COUNTIFS(BASE[Cod.Establecimiento],$B$2,BASE[CODCIE108],GUIA_NACIONAL_2022_1106128143146150153156158[[#This Row],[CIE-10]]))</f>
        <v>0</v>
      </c>
      <c r="AB81" s="3">
        <f>IF($B$2="(Todas)",COUNTIF(BASE[CODCIE1010],GUIA_NACIONAL_2022_1106128143146150153156158[[#This Row],[CIE-10]]),COUNTIFS(BASE[Cod.Establecimiento],$B$2,BASE[CODCIE1010],GUIA_NACIONAL_2022_1106128143146150153156158[[#This Row],[CIE-10]]))</f>
        <v>0</v>
      </c>
      <c r="AC81" s="9">
        <f>SUM(GUIA_NACIONAL_2022_1106128143146150153156158[[#This Row],[D1]:[D6]])</f>
        <v>0</v>
      </c>
      <c r="AE81" s="159" t="s">
        <v>582</v>
      </c>
      <c r="AF81" s="159"/>
      <c r="AG81" s="159"/>
      <c r="AH81" s="159"/>
      <c r="AI81" s="159"/>
      <c r="AJ81" s="159"/>
      <c r="AK81" s="159"/>
      <c r="AL81" s="159"/>
    </row>
    <row r="82" spans="22:38">
      <c r="V82" s="160" t="s">
        <v>176</v>
      </c>
      <c r="W82" s="160"/>
      <c r="X82" s="160"/>
      <c r="Y82" s="160"/>
      <c r="Z82" s="160"/>
      <c r="AA82" s="160"/>
      <c r="AB82" s="160"/>
      <c r="AC82" s="160"/>
      <c r="AE82" t="s">
        <v>77</v>
      </c>
      <c r="AF82" s="3" t="s">
        <v>78</v>
      </c>
      <c r="AG82" s="3" t="s">
        <v>79</v>
      </c>
      <c r="AH82" s="3" t="s">
        <v>80</v>
      </c>
      <c r="AI82" s="3" t="s">
        <v>81</v>
      </c>
      <c r="AJ82" s="3" t="s">
        <v>82</v>
      </c>
      <c r="AK82" s="3" t="s">
        <v>83</v>
      </c>
      <c r="AL82" s="8" t="s">
        <v>84</v>
      </c>
    </row>
    <row r="83" spans="22:38">
      <c r="V83" s="158" t="s">
        <v>528</v>
      </c>
      <c r="W83" s="159"/>
      <c r="X83" s="159"/>
      <c r="Y83" s="159"/>
      <c r="Z83" s="159"/>
      <c r="AA83" s="159"/>
      <c r="AB83" s="159"/>
      <c r="AC83" s="159"/>
      <c r="AE83" s="4" t="s">
        <v>583</v>
      </c>
      <c r="AF83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3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3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3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3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3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3" s="9">
        <f>SUM(GUIA_NACIONAL_2022_1106128105168175180181182183184185186[[#This Row],[D1]:[D6]])</f>
        <v>0</v>
      </c>
    </row>
    <row r="84" spans="22:38">
      <c r="V84" t="s">
        <v>77</v>
      </c>
      <c r="W84" s="3" t="s">
        <v>78</v>
      </c>
      <c r="X84" s="3" t="s">
        <v>79</v>
      </c>
      <c r="Y84" s="3" t="s">
        <v>80</v>
      </c>
      <c r="Z84" s="3" t="s">
        <v>81</v>
      </c>
      <c r="AA84" s="3" t="s">
        <v>82</v>
      </c>
      <c r="AB84" s="3" t="s">
        <v>83</v>
      </c>
      <c r="AC84" s="8" t="s">
        <v>84</v>
      </c>
      <c r="AE84" s="31" t="s">
        <v>584</v>
      </c>
      <c r="AF84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4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4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4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4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4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4" s="9">
        <f>SUM(GUIA_NACIONAL_2022_1106128105168175180181182183184185186[[#This Row],[D1]:[D6]])</f>
        <v>0</v>
      </c>
    </row>
    <row r="85" spans="22:38">
      <c r="V85" s="4" t="s">
        <v>86</v>
      </c>
      <c r="W85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5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5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5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5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5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5" s="9">
        <f>SUM(GUIA_NACIONAL_2022_1106128143146150152154159[[#This Row],[D1]:[D6]])</f>
        <v>0</v>
      </c>
      <c r="AE85" s="31" t="s">
        <v>585</v>
      </c>
      <c r="AF85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5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5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5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5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5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5" s="9">
        <f>SUM(GUIA_NACIONAL_2022_1106128105168175180181182183184185186[[#This Row],[D1]:[D6]])</f>
        <v>0</v>
      </c>
    </row>
    <row r="86" spans="22:38">
      <c r="V86" s="31" t="s">
        <v>88</v>
      </c>
      <c r="W86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6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6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6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6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6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6" s="9">
        <f>SUM(GUIA_NACIONAL_2022_1106128143146150152154159[[#This Row],[D1]:[D6]])</f>
        <v>0</v>
      </c>
      <c r="AE86" s="31" t="s">
        <v>586</v>
      </c>
      <c r="AF86" s="3">
        <f>IF($B$2="(Todas)",COUNTIF(BASE[CODCIE10],GUIA_NACIONAL_2022_1106128105168175180181182183184185186[[#This Row],[CIE-10]]),COUNTIFS(BASE[Cod.Establecimiento],$B$2,BASE[CODCIE10],GUIA_NACIONAL_2022_1106128105168175180181182183184185186[[#This Row],[CIE-10]]))</f>
        <v>0</v>
      </c>
      <c r="AG86" s="3">
        <f>IF($B$2="(Todas)",COUNTIF(BASE[CODCIE102],GUIA_NACIONAL_2022_1106128105168175180181182183184185186[[#This Row],[CIE-10]]),COUNTIFS(BASE[Cod.Establecimiento],$B$2,BASE[CODCIE102],GUIA_NACIONAL_2022_1106128105168175180181182183184185186[[#This Row],[CIE-10]]))</f>
        <v>0</v>
      </c>
      <c r="AH86" s="3">
        <f>IF($B$2="(Todas)",COUNTIF(BASE[CODCIE104],GUIA_NACIONAL_2022_1106128105168175180181182183184185186[[#This Row],[CIE-10]]),COUNTIFS(BASE[Cod.Establecimiento],$B$2,BASE[CODCIE104],GUIA_NACIONAL_2022_1106128105168175180181182183184185186[[#This Row],[CIE-10]]))</f>
        <v>0</v>
      </c>
      <c r="AI86" s="3">
        <f>IF($B$2="(Todas)",COUNTIF(BASE[CODCIE106],GUIA_NACIONAL_2022_1106128105168175180181182183184185186[[#This Row],[CIE-10]]),COUNTIFS(BASE[Cod.Establecimiento],$B$2,BASE[CODCIE106],GUIA_NACIONAL_2022_1106128105168175180181182183184185186[[#This Row],[CIE-10]]))</f>
        <v>0</v>
      </c>
      <c r="AJ86" s="3">
        <f>IF($B$2="(Todas)",COUNTIF(BASE[CODCIE108],GUIA_NACIONAL_2022_1106128105168175180181182183184185186[[#This Row],[CIE-10]]),COUNTIFS(BASE[Cod.Establecimiento],$B$2,BASE[CODCIE108],GUIA_NACIONAL_2022_1106128105168175180181182183184185186[[#This Row],[CIE-10]]))</f>
        <v>0</v>
      </c>
      <c r="AK86" s="3">
        <f>IF($B$2="(Todas)",COUNTIF(BASE[CODCIE1010],GUIA_NACIONAL_2022_1106128105168175180181182183184185186[[#This Row],[CIE-10]]),COUNTIFS(BASE[Cod.Establecimiento],$B$2,BASE[CODCIE1010],GUIA_NACIONAL_2022_1106128105168175180181182183184185186[[#This Row],[CIE-10]]))</f>
        <v>0</v>
      </c>
      <c r="AL86" s="9">
        <f>SUM(GUIA_NACIONAL_2022_1106128105168175180181182183184185186[[#This Row],[D1]:[D6]])</f>
        <v>0</v>
      </c>
    </row>
    <row r="87" spans="22:38">
      <c r="V87" s="31" t="s">
        <v>90</v>
      </c>
      <c r="W87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7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7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7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7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7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7" s="9">
        <f>SUM(GUIA_NACIONAL_2022_1106128143146150152154159[[#This Row],[D1]:[D6]])</f>
        <v>0</v>
      </c>
      <c r="AE87" s="160" t="s">
        <v>587</v>
      </c>
      <c r="AF87" s="160"/>
      <c r="AG87" s="160"/>
      <c r="AH87" s="160"/>
      <c r="AI87" s="160"/>
      <c r="AJ87" s="160"/>
      <c r="AK87" s="160"/>
      <c r="AL87" s="160"/>
    </row>
    <row r="88" spans="22:38">
      <c r="V88" s="31" t="s">
        <v>68</v>
      </c>
      <c r="W88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8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8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8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8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8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8" s="9">
        <f>SUM(GUIA_NACIONAL_2022_1106128143146150152154159[[#This Row],[D1]:[D6]])</f>
        <v>0</v>
      </c>
      <c r="AE88" s="159" t="s">
        <v>588</v>
      </c>
      <c r="AF88" s="159"/>
      <c r="AG88" s="159"/>
      <c r="AH88" s="159"/>
      <c r="AI88" s="159"/>
      <c r="AJ88" s="159"/>
      <c r="AK88" s="159"/>
      <c r="AL88" s="159"/>
    </row>
    <row r="89" spans="22:38">
      <c r="V89" s="31" t="s">
        <v>94</v>
      </c>
      <c r="W89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89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89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89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89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89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89" s="9">
        <f>SUM(GUIA_NACIONAL_2022_1106128143146150152154159[[#This Row],[D1]:[D6]])</f>
        <v>0</v>
      </c>
      <c r="AE89" t="s">
        <v>77</v>
      </c>
      <c r="AF89" s="3" t="s">
        <v>78</v>
      </c>
      <c r="AG89" s="3" t="s">
        <v>79</v>
      </c>
      <c r="AH89" s="3" t="s">
        <v>80</v>
      </c>
      <c r="AI89" s="3" t="s">
        <v>81</v>
      </c>
      <c r="AJ89" s="3" t="s">
        <v>82</v>
      </c>
      <c r="AK89" s="3" t="s">
        <v>83</v>
      </c>
      <c r="AL89" s="8" t="s">
        <v>84</v>
      </c>
    </row>
    <row r="90" spans="22:38">
      <c r="V90" s="31" t="s">
        <v>97</v>
      </c>
      <c r="W90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90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90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90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90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90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90" s="9">
        <f>SUM(GUIA_NACIONAL_2022_1106128143146150152154159[[#This Row],[D1]:[D6]])</f>
        <v>0</v>
      </c>
      <c r="AE90" s="4" t="s">
        <v>366</v>
      </c>
      <c r="AF90" s="3">
        <f>IF($B$2="(Todas)",COUNTIF(BASE[CODCIE10],GUIA_NACIONAL_2022_1106128105168175180187[[#This Row],[CIE-10]]),COUNTIFS(BASE[Cod.Establecimiento],$B$2,BASE[CODCIE10],GUIA_NACIONAL_2022_1106128105168175180187[[#This Row],[CIE-10]]))</f>
        <v>0</v>
      </c>
      <c r="AG90" s="3">
        <f>IF($B$2="(Todas)",COUNTIF(BASE[CODCIE102],GUIA_NACIONAL_2022_1106128105168175180187[[#This Row],[CIE-10]]),COUNTIFS(BASE[Cod.Establecimiento],$B$2,BASE[CODCIE102],GUIA_NACIONAL_2022_1106128105168175180187[[#This Row],[CIE-10]]))</f>
        <v>0</v>
      </c>
      <c r="AH90" s="3">
        <f>IF($B$2="(Todas)",COUNTIF(BASE[CODCIE104],GUIA_NACIONAL_2022_1106128105168175180187[[#This Row],[CIE-10]]),COUNTIFS(BASE[Cod.Establecimiento],$B$2,BASE[CODCIE104],GUIA_NACIONAL_2022_1106128105168175180187[[#This Row],[CIE-10]]))</f>
        <v>0</v>
      </c>
      <c r="AI90" s="3">
        <f>IF($B$2="(Todas)",COUNTIF(BASE[CODCIE106],GUIA_NACIONAL_2022_1106128105168175180187[[#This Row],[CIE-10]]),COUNTIFS(BASE[Cod.Establecimiento],$B$2,BASE[CODCIE106],GUIA_NACIONAL_2022_1106128105168175180187[[#This Row],[CIE-10]]))</f>
        <v>0</v>
      </c>
      <c r="AJ90" s="3">
        <f>IF($B$2="(Todas)",COUNTIF(BASE[CODCIE108],GUIA_NACIONAL_2022_1106128105168175180187[[#This Row],[CIE-10]]),COUNTIFS(BASE[Cod.Establecimiento],$B$2,BASE[CODCIE108],GUIA_NACIONAL_2022_1106128105168175180187[[#This Row],[CIE-10]]))</f>
        <v>0</v>
      </c>
      <c r="AK90" s="3">
        <f>IF($B$2="(Todas)",COUNTIF(BASE[CODCIE1010],GUIA_NACIONAL_2022_1106128105168175180187[[#This Row],[CIE-10]]),COUNTIFS(BASE[Cod.Establecimiento],$B$2,BASE[CODCIE1010],GUIA_NACIONAL_2022_1106128105168175180187[[#This Row],[CIE-10]]))</f>
        <v>0</v>
      </c>
      <c r="AL90" s="9">
        <f>SUM(GUIA_NACIONAL_2022_1106128105168175180187[[#This Row],[D1]:[D6]])</f>
        <v>0</v>
      </c>
    </row>
    <row r="91" spans="22:38">
      <c r="V91" s="31" t="s">
        <v>100</v>
      </c>
      <c r="W91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91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91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91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91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91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91" s="9">
        <f>SUM(GUIA_NACIONAL_2022_1106128143146150152154159[[#This Row],[D1]:[D6]])</f>
        <v>0</v>
      </c>
      <c r="AE91" s="159" t="s">
        <v>589</v>
      </c>
      <c r="AF91" s="159"/>
      <c r="AG91" s="159"/>
      <c r="AH91" s="159"/>
      <c r="AI91" s="159"/>
      <c r="AJ91" s="159"/>
      <c r="AK91" s="159"/>
      <c r="AL91" s="159"/>
    </row>
    <row r="92" spans="22:38">
      <c r="V92" s="31" t="s">
        <v>102</v>
      </c>
      <c r="W92" s="3">
        <f>IF($B$2="(Todas)",COUNTIF(BASE[CODCIE10],GUIA_NACIONAL_2022_1106128143146150152154159[[#This Row],[CIE-10]]),COUNTIFS(BASE[Cod.Establecimiento],$B$2,BASE[CODCIE10],GUIA_NACIONAL_2022_1106128143146150152154159[[#This Row],[CIE-10]]))</f>
        <v>0</v>
      </c>
      <c r="X92" s="3">
        <f>IF($B$2="(Todas)",COUNTIF(BASE[CODCIE102],GUIA_NACIONAL_2022_1106128143146150152154159[[#This Row],[CIE-10]]),COUNTIFS(BASE[Cod.Establecimiento],$B$2,BASE[CODCIE102],GUIA_NACIONAL_2022_1106128143146150152154159[[#This Row],[CIE-10]]))</f>
        <v>0</v>
      </c>
      <c r="Y92" s="3">
        <f>IF($B$2="(Todas)",COUNTIF(BASE[CODCIE104],GUIA_NACIONAL_2022_1106128143146150152154159[[#This Row],[CIE-10]]),COUNTIFS(BASE[Cod.Establecimiento],$B$2,BASE[CODCIE104],GUIA_NACIONAL_2022_1106128143146150152154159[[#This Row],[CIE-10]]))</f>
        <v>0</v>
      </c>
      <c r="Z92" s="3">
        <f>IF($B$2="(Todas)",COUNTIF(BASE[CODCIE106],GUIA_NACIONAL_2022_1106128143146150152154159[[#This Row],[CIE-10]]),COUNTIFS(BASE[Cod.Establecimiento],$B$2,BASE[CODCIE106],GUIA_NACIONAL_2022_1106128143146150152154159[[#This Row],[CIE-10]]))</f>
        <v>0</v>
      </c>
      <c r="AA92" s="3">
        <f>IF($B$2="(Todas)",COUNTIF(BASE[CODCIE108],GUIA_NACIONAL_2022_1106128143146150152154159[[#This Row],[CIE-10]]),COUNTIFS(BASE[Cod.Establecimiento],$B$2,BASE[CODCIE108],GUIA_NACIONAL_2022_1106128143146150152154159[[#This Row],[CIE-10]]))</f>
        <v>0</v>
      </c>
      <c r="AB92" s="3">
        <f>IF($B$2="(Todas)",COUNTIF(BASE[CODCIE1010],GUIA_NACIONAL_2022_1106128143146150152154159[[#This Row],[CIE-10]]),COUNTIFS(BASE[Cod.Establecimiento],$B$2,BASE[CODCIE1010],GUIA_NACIONAL_2022_1106128143146150152154159[[#This Row],[CIE-10]]))</f>
        <v>0</v>
      </c>
      <c r="AC92" s="9">
        <f>SUM(GUIA_NACIONAL_2022_1106128143146150152154159[[#This Row],[D1]:[D6]])</f>
        <v>0</v>
      </c>
      <c r="AE92" t="s">
        <v>77</v>
      </c>
      <c r="AF92" s="3" t="s">
        <v>78</v>
      </c>
      <c r="AG92" s="3" t="s">
        <v>79</v>
      </c>
      <c r="AH92" s="3" t="s">
        <v>80</v>
      </c>
      <c r="AI92" s="3" t="s">
        <v>81</v>
      </c>
      <c r="AJ92" s="3" t="s">
        <v>82</v>
      </c>
      <c r="AK92" s="3" t="s">
        <v>83</v>
      </c>
      <c r="AL92" s="8" t="s">
        <v>84</v>
      </c>
    </row>
    <row r="93" spans="22:38">
      <c r="V93" s="158" t="s">
        <v>533</v>
      </c>
      <c r="W93" s="159"/>
      <c r="X93" s="159"/>
      <c r="Y93" s="159"/>
      <c r="Z93" s="159"/>
      <c r="AA93" s="159"/>
      <c r="AB93" s="159"/>
      <c r="AC93" s="159"/>
      <c r="AE93" s="4" t="s">
        <v>368</v>
      </c>
      <c r="AF93" s="3">
        <f>IF($B$2="(Todas)",COUNTIF(BASE[CODCIE10],GUIA_NACIONAL_2022_1106128105168175180187188[[#This Row],[CIE-10]]),COUNTIFS(BASE[Cod.Establecimiento],$B$2,BASE[CODCIE10],GUIA_NACIONAL_2022_1106128105168175180187188[[#This Row],[CIE-10]]))</f>
        <v>0</v>
      </c>
      <c r="AG93" s="3">
        <f>IF($B$2="(Todas)",COUNTIF(BASE[CODCIE102],GUIA_NACIONAL_2022_1106128105168175180187188[[#This Row],[CIE-10]]),COUNTIFS(BASE[Cod.Establecimiento],$B$2,BASE[CODCIE102],GUIA_NACIONAL_2022_1106128105168175180187188[[#This Row],[CIE-10]]))</f>
        <v>0</v>
      </c>
      <c r="AH93" s="3">
        <f>IF($B$2="(Todas)",COUNTIF(BASE[CODCIE104],GUIA_NACIONAL_2022_1106128105168175180187188[[#This Row],[CIE-10]]),COUNTIFS(BASE[Cod.Establecimiento],$B$2,BASE[CODCIE104],GUIA_NACIONAL_2022_1106128105168175180187188[[#This Row],[CIE-10]]))</f>
        <v>0</v>
      </c>
      <c r="AI93" s="3">
        <f>IF($B$2="(Todas)",COUNTIF(BASE[CODCIE106],GUIA_NACIONAL_2022_1106128105168175180187188[[#This Row],[CIE-10]]),COUNTIFS(BASE[Cod.Establecimiento],$B$2,BASE[CODCIE106],GUIA_NACIONAL_2022_1106128105168175180187188[[#This Row],[CIE-10]]))</f>
        <v>0</v>
      </c>
      <c r="AJ93" s="3">
        <f>IF($B$2="(Todas)",COUNTIF(BASE[CODCIE108],GUIA_NACIONAL_2022_1106128105168175180187188[[#This Row],[CIE-10]]),COUNTIFS(BASE[Cod.Establecimiento],$B$2,BASE[CODCIE108],GUIA_NACIONAL_2022_1106128105168175180187188[[#This Row],[CIE-10]]))</f>
        <v>0</v>
      </c>
      <c r="AK93" s="3">
        <f>IF($B$2="(Todas)",COUNTIF(BASE[CODCIE1010],GUIA_NACIONAL_2022_1106128105168175180187188[[#This Row],[CIE-10]]),COUNTIFS(BASE[Cod.Establecimiento],$B$2,BASE[CODCIE1010],GUIA_NACIONAL_2022_1106128105168175180187188[[#This Row],[CIE-10]]))</f>
        <v>0</v>
      </c>
      <c r="AL93" s="9">
        <f>SUM(GUIA_NACIONAL_2022_1106128105168175180187188[[#This Row],[D1]:[D6]])</f>
        <v>0</v>
      </c>
    </row>
    <row r="94" spans="22:38">
      <c r="V94" t="s">
        <v>77</v>
      </c>
      <c r="W94" s="3" t="s">
        <v>78</v>
      </c>
      <c r="X94" s="3" t="s">
        <v>79</v>
      </c>
      <c r="Y94" s="3" t="s">
        <v>80</v>
      </c>
      <c r="Z94" s="3" t="s">
        <v>81</v>
      </c>
      <c r="AA94" s="3" t="s">
        <v>82</v>
      </c>
      <c r="AB94" s="3" t="s">
        <v>83</v>
      </c>
      <c r="AC94" s="8" t="s">
        <v>84</v>
      </c>
      <c r="AE94" s="159" t="s">
        <v>590</v>
      </c>
      <c r="AF94" s="159"/>
      <c r="AG94" s="159"/>
      <c r="AH94" s="159"/>
      <c r="AI94" s="159"/>
      <c r="AJ94" s="159"/>
      <c r="AK94" s="159"/>
      <c r="AL94" s="159"/>
    </row>
    <row r="95" spans="22:38">
      <c r="V95" s="4" t="s">
        <v>105</v>
      </c>
      <c r="W95" s="3">
        <f>IF($B$2="(Todas)",COUNTIF(BASE[CODCIE10],GUIA_NACIONAL_2022_1106128143146150152154155160[[#This Row],[CIE-10]]),COUNTIFS(BASE[Cod.Establecimiento],$B$2,BASE[CODCIE10],GUIA_NACIONAL_2022_1106128143146150152154155160[[#This Row],[CIE-10]]))</f>
        <v>0</v>
      </c>
      <c r="X95" s="3">
        <f>IF($B$2="(Todas)",COUNTIF(BASE[CODCIE102],GUIA_NACIONAL_2022_1106128143146150152154155160[[#This Row],[CIE-10]]),COUNTIFS(BASE[Cod.Establecimiento],$B$2,BASE[CODCIE102],GUIA_NACIONAL_2022_1106128143146150152154155160[[#This Row],[CIE-10]]))</f>
        <v>0</v>
      </c>
      <c r="Y95" s="3">
        <f>IF($B$2="(Todas)",COUNTIF(BASE[CODCIE104],GUIA_NACIONAL_2022_1106128143146150152154155160[[#This Row],[CIE-10]]),COUNTIFS(BASE[Cod.Establecimiento],$B$2,BASE[CODCIE104],GUIA_NACIONAL_2022_1106128143146150152154155160[[#This Row],[CIE-10]]))</f>
        <v>0</v>
      </c>
      <c r="Z95" s="3">
        <f>IF($B$2="(Todas)",COUNTIF(BASE[CODCIE106],GUIA_NACIONAL_2022_1106128143146150152154155160[[#This Row],[CIE-10]]),COUNTIFS(BASE[Cod.Establecimiento],$B$2,BASE[CODCIE106],GUIA_NACIONAL_2022_1106128143146150152154155160[[#This Row],[CIE-10]]))</f>
        <v>0</v>
      </c>
      <c r="AA95" s="3">
        <f>IF($B$2="(Todas)",COUNTIF(BASE[CODCIE108],GUIA_NACIONAL_2022_1106128143146150152154155160[[#This Row],[CIE-10]]),COUNTIFS(BASE[Cod.Establecimiento],$B$2,BASE[CODCIE108],GUIA_NACIONAL_2022_1106128143146150152154155160[[#This Row],[CIE-10]]))</f>
        <v>0</v>
      </c>
      <c r="AB95" s="3">
        <f>IF($B$2="(Todas)",COUNTIF(BASE[CODCIE1010],GUIA_NACIONAL_2022_1106128143146150152154155160[[#This Row],[CIE-10]]),COUNTIFS(BASE[Cod.Establecimiento],$B$2,BASE[CODCIE1010],GUIA_NACIONAL_2022_1106128143146150152154155160[[#This Row],[CIE-10]]))</f>
        <v>0</v>
      </c>
      <c r="AC95" s="9">
        <f>SUM(GUIA_NACIONAL_2022_1106128143146150152154155160[[#This Row],[D1]:[D6]])</f>
        <v>0</v>
      </c>
      <c r="AE95" t="s">
        <v>77</v>
      </c>
      <c r="AF95" s="3" t="s">
        <v>78</v>
      </c>
      <c r="AG95" s="3" t="s">
        <v>79</v>
      </c>
      <c r="AH95" s="3" t="s">
        <v>80</v>
      </c>
      <c r="AI95" s="3" t="s">
        <v>81</v>
      </c>
      <c r="AJ95" s="3" t="s">
        <v>82</v>
      </c>
      <c r="AK95" s="3" t="s">
        <v>83</v>
      </c>
      <c r="AL95" s="8" t="s">
        <v>84</v>
      </c>
    </row>
    <row r="96" spans="22:38">
      <c r="V96" s="158" t="s">
        <v>534</v>
      </c>
      <c r="W96" s="159"/>
      <c r="X96" s="159"/>
      <c r="Y96" s="159"/>
      <c r="Z96" s="159"/>
      <c r="AA96" s="159"/>
      <c r="AB96" s="159"/>
      <c r="AC96" s="159"/>
      <c r="AE96" s="4" t="s">
        <v>370</v>
      </c>
      <c r="AF96" s="3">
        <f>IF($B$2="(Todas)",COUNTIF(BASE[CODCIE10],GUIA_NACIONAL_2022_1106128105168175180187188189[[#This Row],[CIE-10]]),COUNTIFS(BASE[Cod.Establecimiento],$B$2,BASE[CODCIE10],GUIA_NACIONAL_2022_1106128105168175180187188189[[#This Row],[CIE-10]]))</f>
        <v>0</v>
      </c>
      <c r="AG96" s="3">
        <f>IF($B$2="(Todas)",COUNTIF(BASE[CODCIE102],GUIA_NACIONAL_2022_1106128105168175180187188189[[#This Row],[CIE-10]]),COUNTIFS(BASE[Cod.Establecimiento],$B$2,BASE[CODCIE102],GUIA_NACIONAL_2022_1106128105168175180187188189[[#This Row],[CIE-10]]))</f>
        <v>0</v>
      </c>
      <c r="AH96" s="3">
        <f>IF($B$2="(Todas)",COUNTIF(BASE[CODCIE104],GUIA_NACIONAL_2022_1106128105168175180187188189[[#This Row],[CIE-10]]),COUNTIFS(BASE[Cod.Establecimiento],$B$2,BASE[CODCIE104],GUIA_NACIONAL_2022_1106128105168175180187188189[[#This Row],[CIE-10]]))</f>
        <v>0</v>
      </c>
      <c r="AI96" s="3">
        <f>IF($B$2="(Todas)",COUNTIF(BASE[CODCIE106],GUIA_NACIONAL_2022_1106128105168175180187188189[[#This Row],[CIE-10]]),COUNTIFS(BASE[Cod.Establecimiento],$B$2,BASE[CODCIE106],GUIA_NACIONAL_2022_1106128105168175180187188189[[#This Row],[CIE-10]]))</f>
        <v>0</v>
      </c>
      <c r="AJ96" s="3">
        <f>IF($B$2="(Todas)",COUNTIF(BASE[CODCIE108],GUIA_NACIONAL_2022_1106128105168175180187188189[[#This Row],[CIE-10]]),COUNTIFS(BASE[Cod.Establecimiento],$B$2,BASE[CODCIE108],GUIA_NACIONAL_2022_1106128105168175180187188189[[#This Row],[CIE-10]]))</f>
        <v>0</v>
      </c>
      <c r="AK96" s="3">
        <f>IF($B$2="(Todas)",COUNTIF(BASE[CODCIE1010],GUIA_NACIONAL_2022_1106128105168175180187188189[[#This Row],[CIE-10]]),COUNTIFS(BASE[Cod.Establecimiento],$B$2,BASE[CODCIE1010],GUIA_NACIONAL_2022_1106128105168175180187188189[[#This Row],[CIE-10]]))</f>
        <v>0</v>
      </c>
      <c r="AL96" s="9">
        <f>SUM(GUIA_NACIONAL_2022_1106128105168175180187188189[[#This Row],[D1]:[D6]])</f>
        <v>0</v>
      </c>
    </row>
    <row r="97" spans="22:38">
      <c r="V97" t="s">
        <v>77</v>
      </c>
      <c r="W97" s="3" t="s">
        <v>78</v>
      </c>
      <c r="X97" s="3" t="s">
        <v>79</v>
      </c>
      <c r="Y97" s="3" t="s">
        <v>80</v>
      </c>
      <c r="Z97" s="3" t="s">
        <v>81</v>
      </c>
      <c r="AA97" s="3" t="s">
        <v>82</v>
      </c>
      <c r="AB97" s="3" t="s">
        <v>83</v>
      </c>
      <c r="AC97" s="8" t="s">
        <v>84</v>
      </c>
      <c r="AE97" s="159" t="s">
        <v>592</v>
      </c>
      <c r="AF97" s="159"/>
      <c r="AG97" s="159"/>
      <c r="AH97" s="159"/>
      <c r="AI97" s="159"/>
      <c r="AJ97" s="159"/>
      <c r="AK97" s="159"/>
      <c r="AL97" s="159"/>
    </row>
    <row r="98" spans="22:38">
      <c r="V98" s="4" t="s">
        <v>105</v>
      </c>
      <c r="W98" s="3">
        <f>IF($B$2="(Todas)",COUNTIF(BASE[CODCIE10],GUIA_NACIONAL_2022_1106128143146150153156161[[#This Row],[CIE-10]]),COUNTIFS(BASE[Cod.Establecimiento],$B$2,BASE[CODCIE10],GUIA_NACIONAL_2022_1106128143146150153156161[[#This Row],[CIE-10]]))</f>
        <v>0</v>
      </c>
      <c r="X98" s="3">
        <f>IF($B$2="(Todas)",COUNTIF(BASE[CODCIE102],GUIA_NACIONAL_2022_1106128143146150153156161[[#This Row],[CIE-10]]),COUNTIFS(BASE[Cod.Establecimiento],$B$2,BASE[CODCIE102],GUIA_NACIONAL_2022_1106128143146150153156161[[#This Row],[CIE-10]]))</f>
        <v>0</v>
      </c>
      <c r="Y98" s="3">
        <f>IF($B$2="(Todas)",COUNTIF(BASE[CODCIE104],GUIA_NACIONAL_2022_1106128143146150153156161[[#This Row],[CIE-10]]),COUNTIFS(BASE[Cod.Establecimiento],$B$2,BASE[CODCIE104],GUIA_NACIONAL_2022_1106128143146150153156161[[#This Row],[CIE-10]]))</f>
        <v>0</v>
      </c>
      <c r="Z98" s="3">
        <f>IF($B$2="(Todas)",COUNTIF(BASE[CODCIE106],GUIA_NACIONAL_2022_1106128143146150153156161[[#This Row],[CIE-10]]),COUNTIFS(BASE[Cod.Establecimiento],$B$2,BASE[CODCIE106],GUIA_NACIONAL_2022_1106128143146150153156161[[#This Row],[CIE-10]]))</f>
        <v>0</v>
      </c>
      <c r="AA98" s="3">
        <f>IF($B$2="(Todas)",COUNTIF(BASE[CODCIE108],GUIA_NACIONAL_2022_1106128143146150153156161[[#This Row],[CIE-10]]),COUNTIFS(BASE[Cod.Establecimiento],$B$2,BASE[CODCIE108],GUIA_NACIONAL_2022_1106128143146150153156161[[#This Row],[CIE-10]]))</f>
        <v>0</v>
      </c>
      <c r="AB98" s="3">
        <f>IF($B$2="(Todas)",COUNTIF(BASE[CODCIE1010],GUIA_NACIONAL_2022_1106128143146150153156161[[#This Row],[CIE-10]]),COUNTIFS(BASE[Cod.Establecimiento],$B$2,BASE[CODCIE1010],GUIA_NACIONAL_2022_1106128143146150153156161[[#This Row],[CIE-10]]))</f>
        <v>0</v>
      </c>
      <c r="AC98" s="9">
        <f>SUM(GUIA_NACIONAL_2022_1106128143146150153156161[[#This Row],[D1]:[D6]])</f>
        <v>0</v>
      </c>
      <c r="AE98" t="s">
        <v>77</v>
      </c>
      <c r="AF98" s="3" t="s">
        <v>78</v>
      </c>
      <c r="AG98" s="3" t="s">
        <v>79</v>
      </c>
      <c r="AH98" s="3" t="s">
        <v>80</v>
      </c>
      <c r="AI98" s="3" t="s">
        <v>81</v>
      </c>
      <c r="AJ98" s="3" t="s">
        <v>82</v>
      </c>
      <c r="AK98" s="3" t="s">
        <v>83</v>
      </c>
      <c r="AL98" s="8" t="s">
        <v>84</v>
      </c>
    </row>
    <row r="99" spans="22:38">
      <c r="V99" s="160" t="s">
        <v>535</v>
      </c>
      <c r="W99" s="160"/>
      <c r="X99" s="160"/>
      <c r="Y99" s="160"/>
      <c r="Z99" s="160"/>
      <c r="AA99" s="160"/>
      <c r="AB99" s="160"/>
      <c r="AC99" s="160"/>
      <c r="AE99" s="4" t="s">
        <v>591</v>
      </c>
      <c r="AF99" s="3">
        <f>IF($B$2="(Todas)",COUNTIF(BASE[CODCIE10],GUIA_NACIONAL_2022_1106128105168175180187188189190[[#This Row],[CIE-10]]),COUNTIFS(BASE[Cod.Establecimiento],$B$2,BASE[CODCIE10],GUIA_NACIONAL_2022_1106128105168175180187188189190[[#This Row],[CIE-10]]))</f>
        <v>0</v>
      </c>
      <c r="AG99" s="3">
        <f>IF($B$2="(Todas)",COUNTIF(BASE[CODCIE102],GUIA_NACIONAL_2022_1106128105168175180187188189190[[#This Row],[CIE-10]]),COUNTIFS(BASE[Cod.Establecimiento],$B$2,BASE[CODCIE102],GUIA_NACIONAL_2022_1106128105168175180187188189190[[#This Row],[CIE-10]]))</f>
        <v>0</v>
      </c>
      <c r="AH99" s="3">
        <f>IF($B$2="(Todas)",COUNTIF(BASE[CODCIE104],GUIA_NACIONAL_2022_1106128105168175180187188189190[[#This Row],[CIE-10]]),COUNTIFS(BASE[Cod.Establecimiento],$B$2,BASE[CODCIE104],GUIA_NACIONAL_2022_1106128105168175180187188189190[[#This Row],[CIE-10]]))</f>
        <v>0</v>
      </c>
      <c r="AI99" s="3">
        <f>IF($B$2="(Todas)",COUNTIF(BASE[CODCIE106],GUIA_NACIONAL_2022_1106128105168175180187188189190[[#This Row],[CIE-10]]),COUNTIFS(BASE[Cod.Establecimiento],$B$2,BASE[CODCIE106],GUIA_NACIONAL_2022_1106128105168175180187188189190[[#This Row],[CIE-10]]))</f>
        <v>0</v>
      </c>
      <c r="AJ99" s="3">
        <f>IF($B$2="(Todas)",COUNTIF(BASE[CODCIE108],GUIA_NACIONAL_2022_1106128105168175180187188189190[[#This Row],[CIE-10]]),COUNTIFS(BASE[Cod.Establecimiento],$B$2,BASE[CODCIE108],GUIA_NACIONAL_2022_1106128105168175180187188189190[[#This Row],[CIE-10]]))</f>
        <v>0</v>
      </c>
      <c r="AK99" s="3">
        <f>IF($B$2="(Todas)",COUNTIF(BASE[CODCIE1010],GUIA_NACIONAL_2022_1106128105168175180187188189190[[#This Row],[CIE-10]]),COUNTIFS(BASE[Cod.Establecimiento],$B$2,BASE[CODCIE1010],GUIA_NACIONAL_2022_1106128105168175180187188189190[[#This Row],[CIE-10]]))</f>
        <v>0</v>
      </c>
      <c r="AL99" s="9">
        <f>SUM(GUIA_NACIONAL_2022_1106128105168175180187188189190[[#This Row],[D1]:[D6]])</f>
        <v>0</v>
      </c>
    </row>
    <row r="100" spans="22:38">
      <c r="V100" s="158" t="s">
        <v>536</v>
      </c>
      <c r="W100" s="159"/>
      <c r="X100" s="159"/>
      <c r="Y100" s="159"/>
      <c r="Z100" s="159"/>
      <c r="AA100" s="159"/>
      <c r="AB100" s="159"/>
      <c r="AC100" s="159"/>
      <c r="AE100" s="160" t="s">
        <v>593</v>
      </c>
      <c r="AF100" s="160"/>
      <c r="AG100" s="160"/>
      <c r="AH100" s="160"/>
      <c r="AI100" s="160"/>
      <c r="AJ100" s="160"/>
      <c r="AK100" s="160"/>
      <c r="AL100" s="160"/>
    </row>
    <row r="101" spans="22:38">
      <c r="V101" t="s">
        <v>77</v>
      </c>
      <c r="W101" s="3" t="s">
        <v>78</v>
      </c>
      <c r="X101" s="3" t="s">
        <v>79</v>
      </c>
      <c r="Y101" s="3" t="s">
        <v>80</v>
      </c>
      <c r="Z101" s="3" t="s">
        <v>81</v>
      </c>
      <c r="AA101" s="3" t="s">
        <v>82</v>
      </c>
      <c r="AB101" s="3" t="s">
        <v>83</v>
      </c>
      <c r="AC101" s="8" t="s">
        <v>84</v>
      </c>
      <c r="AE101" s="159" t="s">
        <v>594</v>
      </c>
      <c r="AF101" s="159"/>
      <c r="AG101" s="159"/>
      <c r="AH101" s="159"/>
      <c r="AI101" s="159"/>
      <c r="AJ101" s="159"/>
      <c r="AK101" s="159"/>
      <c r="AL101" s="159"/>
    </row>
    <row r="102" spans="22:38">
      <c r="V102" s="4" t="s">
        <v>115</v>
      </c>
      <c r="W102" s="3">
        <f>IF($B$2="(Todas)",COUNTIF(BASE[CODCIE10],GUIA_NACIONAL_2022_1106128143146150163[[#This Row],[CIE-10]]),COUNTIFS(BASE[Cod.Establecimiento],$B$2,BASE[CODCIE10],GUIA_NACIONAL_2022_1106128143146150163[[#This Row],[CIE-10]]))</f>
        <v>0</v>
      </c>
      <c r="X102" s="3">
        <f>IF($B$2="(Todas)",COUNTIF(BASE[CODCIE102],GUIA_NACIONAL_2022_1106128143146150163[[#This Row],[CIE-10]]),COUNTIFS(BASE[Cod.Establecimiento],$B$2,BASE[CODCIE102],GUIA_NACIONAL_2022_1106128143146150163[[#This Row],[CIE-10]]))</f>
        <v>0</v>
      </c>
      <c r="Y102" s="3">
        <f>IF($B$2="(Todas)",COUNTIF(BASE[CODCIE104],GUIA_NACIONAL_2022_1106128143146150163[[#This Row],[CIE-10]]),COUNTIFS(BASE[Cod.Establecimiento],$B$2,BASE[CODCIE104],GUIA_NACIONAL_2022_1106128143146150163[[#This Row],[CIE-10]]))</f>
        <v>0</v>
      </c>
      <c r="Z102" s="3">
        <f>IF($B$2="(Todas)",COUNTIF(BASE[CODCIE106],GUIA_NACIONAL_2022_1106128143146150163[[#This Row],[CIE-10]]),COUNTIFS(BASE[Cod.Establecimiento],$B$2,BASE[CODCIE106],GUIA_NACIONAL_2022_1106128143146150163[[#This Row],[CIE-10]]))</f>
        <v>0</v>
      </c>
      <c r="AA102" s="3">
        <f>IF($B$2="(Todas)",COUNTIF(BASE[CODCIE108],GUIA_NACIONAL_2022_1106128143146150163[[#This Row],[CIE-10]]),COUNTIFS(BASE[Cod.Establecimiento],$B$2,BASE[CODCIE108],GUIA_NACIONAL_2022_1106128143146150163[[#This Row],[CIE-10]]))</f>
        <v>0</v>
      </c>
      <c r="AB102" s="3">
        <f>IF($B$2="(Todas)",COUNTIF(BASE[CODCIE1010],GUIA_NACIONAL_2022_1106128143146150163[[#This Row],[CIE-10]]),COUNTIFS(BASE[Cod.Establecimiento],$B$2,BASE[CODCIE1010],GUIA_NACIONAL_2022_1106128143146150163[[#This Row],[CIE-10]]))</f>
        <v>0</v>
      </c>
      <c r="AC102" s="9">
        <f>SUM(GUIA_NACIONAL_2022_1106128143146150163[[#This Row],[D1]:[D6]])</f>
        <v>0</v>
      </c>
      <c r="AE102" t="s">
        <v>77</v>
      </c>
      <c r="AF102" s="3" t="s">
        <v>78</v>
      </c>
      <c r="AG102" s="3" t="s">
        <v>79</v>
      </c>
      <c r="AH102" s="3" t="s">
        <v>80</v>
      </c>
      <c r="AI102" s="3" t="s">
        <v>81</v>
      </c>
      <c r="AJ102" s="3" t="s">
        <v>82</v>
      </c>
      <c r="AK102" s="3" t="s">
        <v>83</v>
      </c>
      <c r="AL102" s="8" t="s">
        <v>84</v>
      </c>
    </row>
    <row r="103" spans="22:38">
      <c r="V103" s="31" t="s">
        <v>119</v>
      </c>
      <c r="W103" s="3">
        <f>IF($B$2="(Todas)",COUNTIF(BASE[CODCIE10],GUIA_NACIONAL_2022_1106128143146150163[[#This Row],[CIE-10]]),COUNTIFS(BASE[Cod.Establecimiento],$B$2,BASE[CODCIE10],GUIA_NACIONAL_2022_1106128143146150163[[#This Row],[CIE-10]]))</f>
        <v>0</v>
      </c>
      <c r="X103" s="3">
        <f>IF($B$2="(Todas)",COUNTIF(BASE[CODCIE102],GUIA_NACIONAL_2022_1106128143146150163[[#This Row],[CIE-10]]),COUNTIFS(BASE[Cod.Establecimiento],$B$2,BASE[CODCIE102],GUIA_NACIONAL_2022_1106128143146150163[[#This Row],[CIE-10]]))</f>
        <v>0</v>
      </c>
      <c r="Y103" s="3">
        <f>IF($B$2="(Todas)",COUNTIF(BASE[CODCIE104],GUIA_NACIONAL_2022_1106128143146150163[[#This Row],[CIE-10]]),COUNTIFS(BASE[Cod.Establecimiento],$B$2,BASE[CODCIE104],GUIA_NACIONAL_2022_1106128143146150163[[#This Row],[CIE-10]]))</f>
        <v>0</v>
      </c>
      <c r="Z103" s="3">
        <f>IF($B$2="(Todas)",COUNTIF(BASE[CODCIE106],GUIA_NACIONAL_2022_1106128143146150163[[#This Row],[CIE-10]]),COUNTIFS(BASE[Cod.Establecimiento],$B$2,BASE[CODCIE106],GUIA_NACIONAL_2022_1106128143146150163[[#This Row],[CIE-10]]))</f>
        <v>0</v>
      </c>
      <c r="AA103" s="3">
        <f>IF($B$2="(Todas)",COUNTIF(BASE[CODCIE108],GUIA_NACIONAL_2022_1106128143146150163[[#This Row],[CIE-10]]),COUNTIFS(BASE[Cod.Establecimiento],$B$2,BASE[CODCIE108],GUIA_NACIONAL_2022_1106128143146150163[[#This Row],[CIE-10]]))</f>
        <v>0</v>
      </c>
      <c r="AB103" s="3">
        <f>IF($B$2="(Todas)",COUNTIF(BASE[CODCIE1010],GUIA_NACIONAL_2022_1106128143146150163[[#This Row],[CIE-10]]),COUNTIFS(BASE[Cod.Establecimiento],$B$2,BASE[CODCIE1010],GUIA_NACIONAL_2022_1106128143146150163[[#This Row],[CIE-10]]))</f>
        <v>0</v>
      </c>
      <c r="AC103" s="9">
        <f>SUM(GUIA_NACIONAL_2022_1106128143146150163[[#This Row],[D1]:[D6]])</f>
        <v>0</v>
      </c>
      <c r="AE103" s="4" t="s">
        <v>541</v>
      </c>
      <c r="AF103" s="3">
        <f>IF($B$2="(Todas)",COUNTIF(BASE[CODCIE10],GUIA_NACIONAL_2022_1106128105168175180187191[[#This Row],[CIE-10]]),COUNTIFS(BASE[Cod.Establecimiento],$B$2,BASE[CODCIE10],GUIA_NACIONAL_2022_1106128105168175180187191[[#This Row],[CIE-10]]))</f>
        <v>0</v>
      </c>
      <c r="AG103" s="3">
        <f>IF($B$2="(Todas)",COUNTIF(BASE[CODCIE102],GUIA_NACIONAL_2022_1106128105168175180187191[[#This Row],[CIE-10]]),COUNTIFS(BASE[Cod.Establecimiento],$B$2,BASE[CODCIE102],GUIA_NACIONAL_2022_1106128105168175180187191[[#This Row],[CIE-10]]))</f>
        <v>0</v>
      </c>
      <c r="AH103" s="3">
        <f>IF($B$2="(Todas)",COUNTIF(BASE[CODCIE104],GUIA_NACIONAL_2022_1106128105168175180187191[[#This Row],[CIE-10]]),COUNTIFS(BASE[Cod.Establecimiento],$B$2,BASE[CODCIE104],GUIA_NACIONAL_2022_1106128105168175180187191[[#This Row],[CIE-10]]))</f>
        <v>0</v>
      </c>
      <c r="AI103" s="3">
        <f>IF($B$2="(Todas)",COUNTIF(BASE[CODCIE106],GUIA_NACIONAL_2022_1106128105168175180187191[[#This Row],[CIE-10]]),COUNTIFS(BASE[Cod.Establecimiento],$B$2,BASE[CODCIE106],GUIA_NACIONAL_2022_1106128105168175180187191[[#This Row],[CIE-10]]))</f>
        <v>0</v>
      </c>
      <c r="AJ103" s="3">
        <f>IF($B$2="(Todas)",COUNTIF(BASE[CODCIE108],GUIA_NACIONAL_2022_1106128105168175180187191[[#This Row],[CIE-10]]),COUNTIFS(BASE[Cod.Establecimiento],$B$2,BASE[CODCIE108],GUIA_NACIONAL_2022_1106128105168175180187191[[#This Row],[CIE-10]]))</f>
        <v>0</v>
      </c>
      <c r="AK103" s="3">
        <f>IF($B$2="(Todas)",COUNTIF(BASE[CODCIE1010],GUIA_NACIONAL_2022_1106128105168175180187191[[#This Row],[CIE-10]]),COUNTIFS(BASE[Cod.Establecimiento],$B$2,BASE[CODCIE1010],GUIA_NACIONAL_2022_1106128105168175180187191[[#This Row],[CIE-10]]))</f>
        <v>0</v>
      </c>
      <c r="AL103" s="9">
        <f>SUM(GUIA_NACIONAL_2022_1106128105168175180187191[[#This Row],[D1]:[D6]])</f>
        <v>0</v>
      </c>
    </row>
    <row r="104" spans="22:38">
      <c r="V104" s="158" t="s">
        <v>537</v>
      </c>
      <c r="W104" s="159"/>
      <c r="X104" s="159"/>
      <c r="Y104" s="159"/>
      <c r="Z104" s="159"/>
      <c r="AA104" s="159"/>
      <c r="AB104" s="159"/>
      <c r="AC104" s="159"/>
      <c r="AE104" s="31" t="s">
        <v>542</v>
      </c>
      <c r="AF104" s="3">
        <f>IF($B$2="(Todas)",COUNTIF(BASE[CODCIE10],GUIA_NACIONAL_2022_1106128105168175180187191[[#This Row],[CIE-10]]),COUNTIFS(BASE[Cod.Establecimiento],$B$2,BASE[CODCIE10],GUIA_NACIONAL_2022_1106128105168175180187191[[#This Row],[CIE-10]]))</f>
        <v>0</v>
      </c>
      <c r="AG104" s="3">
        <f>IF($B$2="(Todas)",COUNTIF(BASE[CODCIE102],GUIA_NACIONAL_2022_1106128105168175180187191[[#This Row],[CIE-10]]),COUNTIFS(BASE[Cod.Establecimiento],$B$2,BASE[CODCIE102],GUIA_NACIONAL_2022_1106128105168175180187191[[#This Row],[CIE-10]]))</f>
        <v>0</v>
      </c>
      <c r="AH104" s="3">
        <f>IF($B$2="(Todas)",COUNTIF(BASE[CODCIE104],GUIA_NACIONAL_2022_1106128105168175180187191[[#This Row],[CIE-10]]),COUNTIFS(BASE[Cod.Establecimiento],$B$2,BASE[CODCIE104],GUIA_NACIONAL_2022_1106128105168175180187191[[#This Row],[CIE-10]]))</f>
        <v>0</v>
      </c>
      <c r="AI104" s="3">
        <f>IF($B$2="(Todas)",COUNTIF(BASE[CODCIE106],GUIA_NACIONAL_2022_1106128105168175180187191[[#This Row],[CIE-10]]),COUNTIFS(BASE[Cod.Establecimiento],$B$2,BASE[CODCIE106],GUIA_NACIONAL_2022_1106128105168175180187191[[#This Row],[CIE-10]]))</f>
        <v>0</v>
      </c>
      <c r="AJ104" s="3">
        <f>IF($B$2="(Todas)",COUNTIF(BASE[CODCIE108],GUIA_NACIONAL_2022_1106128105168175180187191[[#This Row],[CIE-10]]),COUNTIFS(BASE[Cod.Establecimiento],$B$2,BASE[CODCIE108],GUIA_NACIONAL_2022_1106128105168175180187191[[#This Row],[CIE-10]]))</f>
        <v>0</v>
      </c>
      <c r="AK104" s="3">
        <f>IF($B$2="(Todas)",COUNTIF(BASE[CODCIE1010],GUIA_NACIONAL_2022_1106128105168175180187191[[#This Row],[CIE-10]]),COUNTIFS(BASE[Cod.Establecimiento],$B$2,BASE[CODCIE1010],GUIA_NACIONAL_2022_1106128105168175180187191[[#This Row],[CIE-10]]))</f>
        <v>0</v>
      </c>
      <c r="AL104" s="9">
        <f>SUM(GUIA_NACIONAL_2022_1106128105168175180187191[[#This Row],[D1]:[D6]])</f>
        <v>0</v>
      </c>
    </row>
    <row r="105" spans="22:38">
      <c r="V105" t="s">
        <v>77</v>
      </c>
      <c r="W105" s="3" t="s">
        <v>78</v>
      </c>
      <c r="X105" s="3" t="s">
        <v>79</v>
      </c>
      <c r="Y105" s="3" t="s">
        <v>80</v>
      </c>
      <c r="Z105" s="3" t="s">
        <v>81</v>
      </c>
      <c r="AA105" s="3" t="s">
        <v>82</v>
      </c>
      <c r="AB105" s="3" t="s">
        <v>83</v>
      </c>
      <c r="AC105" s="8" t="s">
        <v>84</v>
      </c>
      <c r="AE105" s="159" t="s">
        <v>540</v>
      </c>
      <c r="AF105" s="159"/>
      <c r="AG105" s="159"/>
      <c r="AH105" s="159"/>
      <c r="AI105" s="159"/>
      <c r="AJ105" s="159"/>
      <c r="AK105" s="159"/>
      <c r="AL105" s="159"/>
    </row>
    <row r="106" spans="22:38">
      <c r="V106" s="4" t="s">
        <v>116</v>
      </c>
      <c r="W106" s="3">
        <f>IF($B$2="(Todas)",COUNTIF(BASE[CODCIE10],GUIA_NACIONAL_2022_1106128143146150163164[[#This Row],[CIE-10]]),COUNTIFS(BASE[Cod.Establecimiento],$B$2,BASE[CODCIE10],GUIA_NACIONAL_2022_1106128143146150163164[[#This Row],[CIE-10]]))</f>
        <v>0</v>
      </c>
      <c r="X106" s="3">
        <f>IF($B$2="(Todas)",COUNTIF(BASE[CODCIE102],GUIA_NACIONAL_2022_1106128143146150163164[[#This Row],[CIE-10]]),COUNTIFS(BASE[Cod.Establecimiento],$B$2,BASE[CODCIE102],GUIA_NACIONAL_2022_1106128143146150163164[[#This Row],[CIE-10]]))</f>
        <v>0</v>
      </c>
      <c r="Y106" s="3">
        <f>IF($B$2="(Todas)",COUNTIF(BASE[CODCIE104],GUIA_NACIONAL_2022_1106128143146150163164[[#This Row],[CIE-10]]),COUNTIFS(BASE[Cod.Establecimiento],$B$2,BASE[CODCIE104],GUIA_NACIONAL_2022_1106128143146150163164[[#This Row],[CIE-10]]))</f>
        <v>0</v>
      </c>
      <c r="Z106" s="3">
        <f>IF($B$2="(Todas)",COUNTIF(BASE[CODCIE106],GUIA_NACIONAL_2022_1106128143146150163164[[#This Row],[CIE-10]]),COUNTIFS(BASE[Cod.Establecimiento],$B$2,BASE[CODCIE106],GUIA_NACIONAL_2022_1106128143146150163164[[#This Row],[CIE-10]]))</f>
        <v>0</v>
      </c>
      <c r="AA106" s="3">
        <f>IF($B$2="(Todas)",COUNTIF(BASE[CODCIE108],GUIA_NACIONAL_2022_1106128143146150163164[[#This Row],[CIE-10]]),COUNTIFS(BASE[Cod.Establecimiento],$B$2,BASE[CODCIE108],GUIA_NACIONAL_2022_1106128143146150163164[[#This Row],[CIE-10]]))</f>
        <v>0</v>
      </c>
      <c r="AB106" s="3">
        <f>IF($B$2="(Todas)",COUNTIF(BASE[CODCIE1010],GUIA_NACIONAL_2022_1106128143146150163164[[#This Row],[CIE-10]]),COUNTIFS(BASE[Cod.Establecimiento],$B$2,BASE[CODCIE1010],GUIA_NACIONAL_2022_1106128143146150163164[[#This Row],[CIE-10]]))</f>
        <v>0</v>
      </c>
      <c r="AC106" s="9">
        <f>SUM(GUIA_NACIONAL_2022_1106128143146150163164[[#This Row],[D1]:[D6]])</f>
        <v>0</v>
      </c>
      <c r="AE106" t="s">
        <v>77</v>
      </c>
      <c r="AF106" s="3" t="s">
        <v>78</v>
      </c>
      <c r="AG106" s="3" t="s">
        <v>79</v>
      </c>
      <c r="AH106" s="3" t="s">
        <v>80</v>
      </c>
      <c r="AI106" s="3" t="s">
        <v>81</v>
      </c>
      <c r="AJ106" s="3" t="s">
        <v>82</v>
      </c>
      <c r="AK106" s="3" t="s">
        <v>83</v>
      </c>
      <c r="AL106" s="8" t="s">
        <v>84</v>
      </c>
    </row>
    <row r="107" spans="22:38">
      <c r="V107" s="160" t="s">
        <v>158</v>
      </c>
      <c r="W107" s="160"/>
      <c r="X107" s="160"/>
      <c r="Y107" s="160"/>
      <c r="Z107" s="160"/>
      <c r="AA107" s="160"/>
      <c r="AB107" s="160"/>
      <c r="AC107" s="160"/>
      <c r="AE107" s="4" t="s">
        <v>541</v>
      </c>
      <c r="AF107" s="3">
        <f>IF($B$2="(Todas)",COUNTIF(BASE[CODCIE10],GUIA_NACIONAL_2022_1106128105168175180187191192[[#This Row],[CIE-10]]),COUNTIFS(BASE[Cod.Establecimiento],$B$2,BASE[CODCIE10],GUIA_NACIONAL_2022_1106128105168175180187191192[[#This Row],[CIE-10]]))</f>
        <v>0</v>
      </c>
      <c r="AG107" s="3">
        <f>IF($B$2="(Todas)",COUNTIF(BASE[CODCIE102],GUIA_NACIONAL_2022_1106128105168175180187191192[[#This Row],[CIE-10]]),COUNTIFS(BASE[Cod.Establecimiento],$B$2,BASE[CODCIE102],GUIA_NACIONAL_2022_1106128105168175180187191192[[#This Row],[CIE-10]]))</f>
        <v>0</v>
      </c>
      <c r="AH107" s="3">
        <f>IF($B$2="(Todas)",COUNTIF(BASE[CODCIE104],GUIA_NACIONAL_2022_1106128105168175180187191192[[#This Row],[CIE-10]]),COUNTIFS(BASE[Cod.Establecimiento],$B$2,BASE[CODCIE104],GUIA_NACIONAL_2022_1106128105168175180187191192[[#This Row],[CIE-10]]))</f>
        <v>0</v>
      </c>
      <c r="AI107" s="3">
        <f>IF($B$2="(Todas)",COUNTIF(BASE[CODCIE106],GUIA_NACIONAL_2022_1106128105168175180187191192[[#This Row],[CIE-10]]),COUNTIFS(BASE[Cod.Establecimiento],$B$2,BASE[CODCIE106],GUIA_NACIONAL_2022_1106128105168175180187191192[[#This Row],[CIE-10]]))</f>
        <v>0</v>
      </c>
      <c r="AJ107" s="3">
        <f>IF($B$2="(Todas)",COUNTIF(BASE[CODCIE108],GUIA_NACIONAL_2022_1106128105168175180187191192[[#This Row],[CIE-10]]),COUNTIFS(BASE[Cod.Establecimiento],$B$2,BASE[CODCIE108],GUIA_NACIONAL_2022_1106128105168175180187191192[[#This Row],[CIE-10]]))</f>
        <v>0</v>
      </c>
      <c r="AK107" s="3">
        <f>IF($B$2="(Todas)",COUNTIF(BASE[CODCIE1010],GUIA_NACIONAL_2022_1106128105168175180187191192[[#This Row],[CIE-10]]),COUNTIFS(BASE[Cod.Establecimiento],$B$2,BASE[CODCIE1010],GUIA_NACIONAL_2022_1106128105168175180187191192[[#This Row],[CIE-10]]))</f>
        <v>0</v>
      </c>
      <c r="AL107" s="9">
        <f>SUM(GUIA_NACIONAL_2022_1106128105168175180187191192[[#This Row],[D1]:[D6]])</f>
        <v>0</v>
      </c>
    </row>
    <row r="108" spans="22:38">
      <c r="V108" s="158" t="s">
        <v>539</v>
      </c>
      <c r="W108" s="159"/>
      <c r="X108" s="159"/>
      <c r="Y108" s="159"/>
      <c r="Z108" s="159"/>
      <c r="AA108" s="159"/>
      <c r="AB108" s="159"/>
      <c r="AC108" s="159"/>
      <c r="AE108" s="31" t="s">
        <v>542</v>
      </c>
      <c r="AF108" s="3">
        <f>IF($B$2="(Todas)",COUNTIF(BASE[CODCIE10],GUIA_NACIONAL_2022_1106128105168175180187191192[[#This Row],[CIE-10]]),COUNTIFS(BASE[Cod.Establecimiento],$B$2,BASE[CODCIE10],GUIA_NACIONAL_2022_1106128105168175180187191192[[#This Row],[CIE-10]]))</f>
        <v>0</v>
      </c>
      <c r="AG108" s="3">
        <f>IF($B$2="(Todas)",COUNTIF(BASE[CODCIE102],GUIA_NACIONAL_2022_1106128105168175180187191192[[#This Row],[CIE-10]]),COUNTIFS(BASE[Cod.Establecimiento],$B$2,BASE[CODCIE102],GUIA_NACIONAL_2022_1106128105168175180187191192[[#This Row],[CIE-10]]))</f>
        <v>0</v>
      </c>
      <c r="AH108" s="3">
        <f>IF($B$2="(Todas)",COUNTIF(BASE[CODCIE104],GUIA_NACIONAL_2022_1106128105168175180187191192[[#This Row],[CIE-10]]),COUNTIFS(BASE[Cod.Establecimiento],$B$2,BASE[CODCIE104],GUIA_NACIONAL_2022_1106128105168175180187191192[[#This Row],[CIE-10]]))</f>
        <v>0</v>
      </c>
      <c r="AI108" s="3">
        <f>IF($B$2="(Todas)",COUNTIF(BASE[CODCIE106],GUIA_NACIONAL_2022_1106128105168175180187191192[[#This Row],[CIE-10]]),COUNTIFS(BASE[Cod.Establecimiento],$B$2,BASE[CODCIE106],GUIA_NACIONAL_2022_1106128105168175180187191192[[#This Row],[CIE-10]]))</f>
        <v>0</v>
      </c>
      <c r="AJ108" s="3">
        <f>IF($B$2="(Todas)",COUNTIF(BASE[CODCIE108],GUIA_NACIONAL_2022_1106128105168175180187191192[[#This Row],[CIE-10]]),COUNTIFS(BASE[Cod.Establecimiento],$B$2,BASE[CODCIE108],GUIA_NACIONAL_2022_1106128105168175180187191192[[#This Row],[CIE-10]]))</f>
        <v>0</v>
      </c>
      <c r="AK108" s="3">
        <f>IF($B$2="(Todas)",COUNTIF(BASE[CODCIE1010],GUIA_NACIONAL_2022_1106128105168175180187191192[[#This Row],[CIE-10]]),COUNTIFS(BASE[Cod.Establecimiento],$B$2,BASE[CODCIE1010],GUIA_NACIONAL_2022_1106128105168175180187191192[[#This Row],[CIE-10]]))</f>
        <v>0</v>
      </c>
      <c r="AL108" s="9">
        <f>SUM(GUIA_NACIONAL_2022_1106128105168175180187191192[[#This Row],[D1]:[D6]])</f>
        <v>0</v>
      </c>
    </row>
    <row r="109" spans="22:38">
      <c r="V109" t="s">
        <v>77</v>
      </c>
      <c r="W109" s="3" t="s">
        <v>78</v>
      </c>
      <c r="X109" s="3" t="s">
        <v>79</v>
      </c>
      <c r="Y109" s="3" t="s">
        <v>80</v>
      </c>
      <c r="Z109" s="3" t="s">
        <v>81</v>
      </c>
      <c r="AA109" s="3" t="s">
        <v>82</v>
      </c>
      <c r="AB109" s="3" t="s">
        <v>83</v>
      </c>
      <c r="AC109" s="8" t="s">
        <v>84</v>
      </c>
      <c r="AE109" s="159" t="s">
        <v>595</v>
      </c>
      <c r="AF109" s="159"/>
      <c r="AG109" s="159"/>
      <c r="AH109" s="159"/>
      <c r="AI109" s="159"/>
      <c r="AJ109" s="159"/>
      <c r="AK109" s="159"/>
      <c r="AL109" s="159"/>
    </row>
    <row r="110" spans="22:38">
      <c r="V110" s="4" t="s">
        <v>130</v>
      </c>
      <c r="W110" s="3">
        <f>IF($B$2="(Todas)",COUNTIF(BASE[CODCIE10],GUIA_NACIONAL_2022_1106128143146150163165[[#This Row],[CIE-10]]),COUNTIFS(BASE[Cod.Establecimiento],$B$2,BASE[CODCIE10],GUIA_NACIONAL_2022_1106128143146150163165[[#This Row],[CIE-10]]))</f>
        <v>0</v>
      </c>
      <c r="X110" s="3">
        <f>IF($B$2="(Todas)",COUNTIF(BASE[CODCIE102],GUIA_NACIONAL_2022_1106128143146150163165[[#This Row],[CIE-10]]),COUNTIFS(BASE[Cod.Establecimiento],$B$2,BASE[CODCIE102],GUIA_NACIONAL_2022_1106128143146150163165[[#This Row],[CIE-10]]))</f>
        <v>0</v>
      </c>
      <c r="Y110" s="3">
        <f>IF($B$2="(Todas)",COUNTIF(BASE[CODCIE104],GUIA_NACIONAL_2022_1106128143146150163165[[#This Row],[CIE-10]]),COUNTIFS(BASE[Cod.Establecimiento],$B$2,BASE[CODCIE104],GUIA_NACIONAL_2022_1106128143146150163165[[#This Row],[CIE-10]]))</f>
        <v>0</v>
      </c>
      <c r="Z110" s="3">
        <f>IF($B$2="(Todas)",COUNTIF(BASE[CODCIE106],GUIA_NACIONAL_2022_1106128143146150163165[[#This Row],[CIE-10]]),COUNTIFS(BASE[Cod.Establecimiento],$B$2,BASE[CODCIE106],GUIA_NACIONAL_2022_1106128143146150163165[[#This Row],[CIE-10]]))</f>
        <v>0</v>
      </c>
      <c r="AA110" s="3">
        <f>IF($B$2="(Todas)",COUNTIF(BASE[CODCIE108],GUIA_NACIONAL_2022_1106128143146150163165[[#This Row],[CIE-10]]),COUNTIFS(BASE[Cod.Establecimiento],$B$2,BASE[CODCIE108],GUIA_NACIONAL_2022_1106128143146150163165[[#This Row],[CIE-10]]))</f>
        <v>0</v>
      </c>
      <c r="AB110" s="3">
        <f>IF($B$2="(Todas)",COUNTIF(BASE[CODCIE1010],GUIA_NACIONAL_2022_1106128143146150163165[[#This Row],[CIE-10]]),COUNTIFS(BASE[Cod.Establecimiento],$B$2,BASE[CODCIE1010],GUIA_NACIONAL_2022_1106128143146150163165[[#This Row],[CIE-10]]))</f>
        <v>0</v>
      </c>
      <c r="AC110" s="9">
        <f>SUM(GUIA_NACIONAL_2022_1106128143146150163165[[#This Row],[D1]:[D6]])</f>
        <v>0</v>
      </c>
      <c r="AE110" t="s">
        <v>77</v>
      </c>
      <c r="AF110" s="3" t="s">
        <v>78</v>
      </c>
      <c r="AG110" s="3" t="s">
        <v>79</v>
      </c>
      <c r="AH110" s="3" t="s">
        <v>80</v>
      </c>
      <c r="AI110" s="3" t="s">
        <v>81</v>
      </c>
      <c r="AJ110" s="3" t="s">
        <v>82</v>
      </c>
      <c r="AK110" s="3" t="s">
        <v>83</v>
      </c>
      <c r="AL110" s="8" t="s">
        <v>84</v>
      </c>
    </row>
    <row r="111" spans="22:38">
      <c r="V111" s="158" t="s">
        <v>538</v>
      </c>
      <c r="W111" s="159"/>
      <c r="X111" s="159"/>
      <c r="Y111" s="159"/>
      <c r="Z111" s="159"/>
      <c r="AA111" s="159"/>
      <c r="AB111" s="159"/>
      <c r="AC111" s="159"/>
      <c r="AE111" s="4" t="s">
        <v>231</v>
      </c>
      <c r="AF111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1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1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1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1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1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1" s="9">
        <f>SUM(GUIA_NACIONAL_2022_1106128105168175180187188189190193[[#This Row],[D1]:[D6]])</f>
        <v>0</v>
      </c>
    </row>
    <row r="112" spans="22:38">
      <c r="V112" t="s">
        <v>77</v>
      </c>
      <c r="W112" s="3" t="s">
        <v>78</v>
      </c>
      <c r="X112" s="3" t="s">
        <v>79</v>
      </c>
      <c r="Y112" s="3" t="s">
        <v>80</v>
      </c>
      <c r="Z112" s="3" t="s">
        <v>81</v>
      </c>
      <c r="AA112" s="3" t="s">
        <v>82</v>
      </c>
      <c r="AB112" s="3" t="s">
        <v>83</v>
      </c>
      <c r="AC112" s="8" t="s">
        <v>84</v>
      </c>
      <c r="AE112" s="31" t="s">
        <v>233</v>
      </c>
      <c r="AF112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2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2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2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2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2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2" s="9">
        <f>SUM(GUIA_NACIONAL_2022_1106128105168175180187188189190193[[#This Row],[D1]:[D6]])</f>
        <v>0</v>
      </c>
    </row>
    <row r="113" spans="22:38">
      <c r="V113" s="4" t="s">
        <v>131</v>
      </c>
      <c r="W113" s="3">
        <f>IF($B$2="(Todas)",COUNTIF(BASE[CODCIE10],GUIA_NACIONAL_2022_1106128143146150163165166[[#This Row],[CIE-10]]),COUNTIFS(BASE[Cod.Establecimiento],$B$2,BASE[CODCIE10],GUIA_NACIONAL_2022_1106128143146150163165166[[#This Row],[CIE-10]]))</f>
        <v>0</v>
      </c>
      <c r="X113" s="3">
        <f>IF($B$2="(Todas)",COUNTIF(BASE[CODCIE102],GUIA_NACIONAL_2022_1106128143146150163165166[[#This Row],[CIE-10]]),COUNTIFS(BASE[Cod.Establecimiento],$B$2,BASE[CODCIE102],GUIA_NACIONAL_2022_1106128143146150163165166[[#This Row],[CIE-10]]))</f>
        <v>0</v>
      </c>
      <c r="Y113" s="3">
        <f>IF($B$2="(Todas)",COUNTIF(BASE[CODCIE104],GUIA_NACIONAL_2022_1106128143146150163165166[[#This Row],[CIE-10]]),COUNTIFS(BASE[Cod.Establecimiento],$B$2,BASE[CODCIE104],GUIA_NACIONAL_2022_1106128143146150163165166[[#This Row],[CIE-10]]))</f>
        <v>0</v>
      </c>
      <c r="Z113" s="3">
        <f>IF($B$2="(Todas)",COUNTIF(BASE[CODCIE106],GUIA_NACIONAL_2022_1106128143146150163165166[[#This Row],[CIE-10]]),COUNTIFS(BASE[Cod.Establecimiento],$B$2,BASE[CODCIE106],GUIA_NACIONAL_2022_1106128143146150163165166[[#This Row],[CIE-10]]))</f>
        <v>0</v>
      </c>
      <c r="AA113" s="3">
        <f>IF($B$2="(Todas)",COUNTIF(BASE[CODCIE108],GUIA_NACIONAL_2022_1106128143146150163165166[[#This Row],[CIE-10]]),COUNTIFS(BASE[Cod.Establecimiento],$B$2,BASE[CODCIE108],GUIA_NACIONAL_2022_1106128143146150163165166[[#This Row],[CIE-10]]))</f>
        <v>0</v>
      </c>
      <c r="AB113" s="3">
        <f>IF($B$2="(Todas)",COUNTIF(BASE[CODCIE1010],GUIA_NACIONAL_2022_1106128143146150163165166[[#This Row],[CIE-10]]),COUNTIFS(BASE[Cod.Establecimiento],$B$2,BASE[CODCIE1010],GUIA_NACIONAL_2022_1106128143146150163165166[[#This Row],[CIE-10]]))</f>
        <v>0</v>
      </c>
      <c r="AC113" s="9">
        <f>SUM(GUIA_NACIONAL_2022_1106128143146150163165166[[#This Row],[D1]:[D6]])</f>
        <v>0</v>
      </c>
      <c r="AE113" s="31" t="s">
        <v>234</v>
      </c>
      <c r="AF113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3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3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3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3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3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3" s="9">
        <f>SUM(GUIA_NACIONAL_2022_1106128105168175180187188189190193[[#This Row],[D1]:[D6]])</f>
        <v>0</v>
      </c>
    </row>
    <row r="114" spans="22:38">
      <c r="AE114" s="31" t="s">
        <v>235</v>
      </c>
      <c r="AF114" s="3">
        <f>IF($B$2="(Todas)",COUNTIF(BASE[CODCIE10],GUIA_NACIONAL_2022_1106128105168175180187188189190193[[#This Row],[CIE-10]]),COUNTIFS(BASE[Cod.Establecimiento],$B$2,BASE[CODCIE10],GUIA_NACIONAL_2022_1106128105168175180187188189190193[[#This Row],[CIE-10]]))</f>
        <v>0</v>
      </c>
      <c r="AG114" s="3">
        <f>IF($B$2="(Todas)",COUNTIF(BASE[CODCIE102],GUIA_NACIONAL_2022_1106128105168175180187188189190193[[#This Row],[CIE-10]]),COUNTIFS(BASE[Cod.Establecimiento],$B$2,BASE[CODCIE102],GUIA_NACIONAL_2022_1106128105168175180187188189190193[[#This Row],[CIE-10]]))</f>
        <v>0</v>
      </c>
      <c r="AH114" s="3">
        <f>IF($B$2="(Todas)",COUNTIF(BASE[CODCIE104],GUIA_NACIONAL_2022_1106128105168175180187188189190193[[#This Row],[CIE-10]]),COUNTIFS(BASE[Cod.Establecimiento],$B$2,BASE[CODCIE104],GUIA_NACIONAL_2022_1106128105168175180187188189190193[[#This Row],[CIE-10]]))</f>
        <v>0</v>
      </c>
      <c r="AI114" s="3">
        <f>IF($B$2="(Todas)",COUNTIF(BASE[CODCIE106],GUIA_NACIONAL_2022_1106128105168175180187188189190193[[#This Row],[CIE-10]]),COUNTIFS(BASE[Cod.Establecimiento],$B$2,BASE[CODCIE106],GUIA_NACIONAL_2022_1106128105168175180187188189190193[[#This Row],[CIE-10]]))</f>
        <v>0</v>
      </c>
      <c r="AJ114" s="3">
        <f>IF($B$2="(Todas)",COUNTIF(BASE[CODCIE108],GUIA_NACIONAL_2022_1106128105168175180187188189190193[[#This Row],[CIE-10]]),COUNTIFS(BASE[Cod.Establecimiento],$B$2,BASE[CODCIE108],GUIA_NACIONAL_2022_1106128105168175180187188189190193[[#This Row],[CIE-10]]))</f>
        <v>0</v>
      </c>
      <c r="AK114" s="3">
        <f>IF($B$2="(Todas)",COUNTIF(BASE[CODCIE1010],GUIA_NACIONAL_2022_1106128105168175180187188189190193[[#This Row],[CIE-10]]),COUNTIFS(BASE[Cod.Establecimiento],$B$2,BASE[CODCIE1010],GUIA_NACIONAL_2022_1106128105168175180187188189190193[[#This Row],[CIE-10]]))</f>
        <v>0</v>
      </c>
      <c r="AL114" s="9">
        <f>SUM(GUIA_NACIONAL_2022_1106128105168175180187188189190193[[#This Row],[D1]:[D6]])</f>
        <v>0</v>
      </c>
    </row>
    <row r="115" spans="22:38">
      <c r="AE115" s="159" t="s">
        <v>596</v>
      </c>
      <c r="AF115" s="159"/>
      <c r="AG115" s="159"/>
      <c r="AH115" s="159"/>
      <c r="AI115" s="159"/>
      <c r="AJ115" s="159"/>
      <c r="AK115" s="159"/>
      <c r="AL115" s="159"/>
    </row>
    <row r="116" spans="22:38">
      <c r="AE116" t="s">
        <v>77</v>
      </c>
      <c r="AF116" s="3" t="s">
        <v>78</v>
      </c>
      <c r="AG116" s="3" t="s">
        <v>79</v>
      </c>
      <c r="AH116" s="3" t="s">
        <v>80</v>
      </c>
      <c r="AI116" s="3" t="s">
        <v>81</v>
      </c>
      <c r="AJ116" s="3" t="s">
        <v>82</v>
      </c>
      <c r="AK116" s="3" t="s">
        <v>83</v>
      </c>
      <c r="AL116" s="8" t="s">
        <v>84</v>
      </c>
    </row>
    <row r="117" spans="22:38">
      <c r="AE117" s="4" t="s">
        <v>236</v>
      </c>
      <c r="AF117" s="3">
        <f>IF($B$2="(Todas)",COUNTIF(BASE[CODCIE10],GUIA_NACIONAL_2022_1106128105168175180187188189190193194[[#This Row],[CIE-10]]),COUNTIFS(BASE[Cod.Establecimiento],$B$2,BASE[CODCIE10],GUIA_NACIONAL_2022_1106128105168175180187188189190193194[[#This Row],[CIE-10]]))</f>
        <v>0</v>
      </c>
      <c r="AG117" s="3">
        <f>IF($B$2="(Todas)",COUNTIF(BASE[CODCIE102],GUIA_NACIONAL_2022_1106128105168175180187188189190193194[[#This Row],[CIE-10]]),COUNTIFS(BASE[Cod.Establecimiento],$B$2,BASE[CODCIE102],GUIA_NACIONAL_2022_1106128105168175180187188189190193194[[#This Row],[CIE-10]]))</f>
        <v>0</v>
      </c>
      <c r="AH117" s="3">
        <f>IF($B$2="(Todas)",COUNTIF(BASE[CODCIE104],GUIA_NACIONAL_2022_1106128105168175180187188189190193194[[#This Row],[CIE-10]]),COUNTIFS(BASE[Cod.Establecimiento],$B$2,BASE[CODCIE104],GUIA_NACIONAL_2022_1106128105168175180187188189190193194[[#This Row],[CIE-10]]))</f>
        <v>0</v>
      </c>
      <c r="AI117" s="3">
        <f>IF($B$2="(Todas)",COUNTIF(BASE[CODCIE106],GUIA_NACIONAL_2022_1106128105168175180187188189190193194[[#This Row],[CIE-10]]),COUNTIFS(BASE[Cod.Establecimiento],$B$2,BASE[CODCIE106],GUIA_NACIONAL_2022_1106128105168175180187188189190193194[[#This Row],[CIE-10]]))</f>
        <v>0</v>
      </c>
      <c r="AJ117" s="3">
        <f>IF($B$2="(Todas)",COUNTIF(BASE[CODCIE108],GUIA_NACIONAL_2022_1106128105168175180187188189190193194[[#This Row],[CIE-10]]),COUNTIFS(BASE[Cod.Establecimiento],$B$2,BASE[CODCIE108],GUIA_NACIONAL_2022_1106128105168175180187188189190193194[[#This Row],[CIE-10]]))</f>
        <v>0</v>
      </c>
      <c r="AK117" s="3">
        <f>IF($B$2="(Todas)",COUNTIF(BASE[CODCIE1010],GUIA_NACIONAL_2022_1106128105168175180187188189190193194[[#This Row],[CIE-10]]),COUNTIFS(BASE[Cod.Establecimiento],$B$2,BASE[CODCIE1010],GUIA_NACIONAL_2022_1106128105168175180187188189190193194[[#This Row],[CIE-10]]))</f>
        <v>0</v>
      </c>
      <c r="AL117" s="9">
        <f>SUM(GUIA_NACIONAL_2022_1106128105168175180187188189190193194[[#This Row],[D1]:[D6]])</f>
        <v>0</v>
      </c>
    </row>
  </sheetData>
  <mergeCells count="209">
    <mergeCell ref="CY1:DF1"/>
    <mergeCell ref="CY2:DF2"/>
    <mergeCell ref="CY3:DF3"/>
    <mergeCell ref="DZ1:EG1"/>
    <mergeCell ref="DZ2:EG2"/>
    <mergeCell ref="DZ3:EG3"/>
    <mergeCell ref="DH1:DO1"/>
    <mergeCell ref="DH2:DO2"/>
    <mergeCell ref="DH3:DO3"/>
    <mergeCell ref="DQ1:DX1"/>
    <mergeCell ref="DQ2:DX2"/>
    <mergeCell ref="DQ3:DX3"/>
    <mergeCell ref="BX3:CE3"/>
    <mergeCell ref="BX2:CE2"/>
    <mergeCell ref="BX1:CE1"/>
    <mergeCell ref="CG1:CN1"/>
    <mergeCell ref="CG2:CN2"/>
    <mergeCell ref="CG3:CN3"/>
    <mergeCell ref="CP1:CW1"/>
    <mergeCell ref="CP2:CW2"/>
    <mergeCell ref="CP3:CW3"/>
    <mergeCell ref="AE1:AL1"/>
    <mergeCell ref="AE2:AL2"/>
    <mergeCell ref="AE3:AL3"/>
    <mergeCell ref="AN1:AU1"/>
    <mergeCell ref="AN2:AU2"/>
    <mergeCell ref="AN3:AU3"/>
    <mergeCell ref="BO1:BV1"/>
    <mergeCell ref="BO2:BV2"/>
    <mergeCell ref="BO3:BV3"/>
    <mergeCell ref="AW1:BD1"/>
    <mergeCell ref="AW2:BD2"/>
    <mergeCell ref="AW3:BD3"/>
    <mergeCell ref="BF1:BM1"/>
    <mergeCell ref="BF2:BM2"/>
    <mergeCell ref="BF3:BM3"/>
    <mergeCell ref="M3:T3"/>
    <mergeCell ref="V6:AC6"/>
    <mergeCell ref="V9:AC9"/>
    <mergeCell ref="V14:AC14"/>
    <mergeCell ref="V15:AC15"/>
    <mergeCell ref="D11:K11"/>
    <mergeCell ref="D28:K28"/>
    <mergeCell ref="D36:K36"/>
    <mergeCell ref="A1:B1"/>
    <mergeCell ref="D3:K3"/>
    <mergeCell ref="D1:K1"/>
    <mergeCell ref="D2:K2"/>
    <mergeCell ref="A3:B3"/>
    <mergeCell ref="V18:AC18"/>
    <mergeCell ref="V23:AC23"/>
    <mergeCell ref="V30:AC30"/>
    <mergeCell ref="V33:AC33"/>
    <mergeCell ref="V34:AC34"/>
    <mergeCell ref="V1:AC1"/>
    <mergeCell ref="V2:AC2"/>
    <mergeCell ref="V3:AC3"/>
    <mergeCell ref="A35:B38"/>
    <mergeCell ref="A28:B34"/>
    <mergeCell ref="A5:B26"/>
    <mergeCell ref="D74:K74"/>
    <mergeCell ref="D77:K77"/>
    <mergeCell ref="M1:T1"/>
    <mergeCell ref="M2:T2"/>
    <mergeCell ref="M7:T7"/>
    <mergeCell ref="D62:K62"/>
    <mergeCell ref="D65:K65"/>
    <mergeCell ref="D68:K68"/>
    <mergeCell ref="D71:K71"/>
    <mergeCell ref="M11:T11"/>
    <mergeCell ref="M14:T14"/>
    <mergeCell ref="M17:T17"/>
    <mergeCell ref="M20:T20"/>
    <mergeCell ref="M23:T23"/>
    <mergeCell ref="M28:T28"/>
    <mergeCell ref="M34:T34"/>
    <mergeCell ref="D56:K56"/>
    <mergeCell ref="D59:K59"/>
    <mergeCell ref="D53:K53"/>
    <mergeCell ref="D39:K39"/>
    <mergeCell ref="D42:K42"/>
    <mergeCell ref="D46:K46"/>
    <mergeCell ref="D47:K47"/>
    <mergeCell ref="D50:K50"/>
    <mergeCell ref="V82:AC82"/>
    <mergeCell ref="V83:AC83"/>
    <mergeCell ref="V57:AC57"/>
    <mergeCell ref="V67:AC67"/>
    <mergeCell ref="V70:AC70"/>
    <mergeCell ref="V37:AC37"/>
    <mergeCell ref="V44:AC44"/>
    <mergeCell ref="V45:AC45"/>
    <mergeCell ref="V53:AC53"/>
    <mergeCell ref="V56:AC56"/>
    <mergeCell ref="V107:AC107"/>
    <mergeCell ref="V108:AC108"/>
    <mergeCell ref="V111:AC111"/>
    <mergeCell ref="AE6:AL6"/>
    <mergeCell ref="AE10:AL10"/>
    <mergeCell ref="AE11:AL11"/>
    <mergeCell ref="AE14:AL14"/>
    <mergeCell ref="AE15:AL15"/>
    <mergeCell ref="AE18:AL18"/>
    <mergeCell ref="AE21:AL21"/>
    <mergeCell ref="AE24:AL24"/>
    <mergeCell ref="AE27:AL27"/>
    <mergeCell ref="AE28:AL28"/>
    <mergeCell ref="AE31:AL31"/>
    <mergeCell ref="AE36:AL36"/>
    <mergeCell ref="AE37:AL37"/>
    <mergeCell ref="V93:AC93"/>
    <mergeCell ref="V96:AC96"/>
    <mergeCell ref="V99:AC99"/>
    <mergeCell ref="V100:AC100"/>
    <mergeCell ref="V104:AC104"/>
    <mergeCell ref="V73:AC73"/>
    <mergeCell ref="V76:AC76"/>
    <mergeCell ref="V79:AC79"/>
    <mergeCell ref="AE59:AL59"/>
    <mergeCell ref="AE62:AL62"/>
    <mergeCell ref="AE65:AL65"/>
    <mergeCell ref="AE69:AL69"/>
    <mergeCell ref="AE73:AL73"/>
    <mergeCell ref="AE41:AL41"/>
    <mergeCell ref="AE49:AL49"/>
    <mergeCell ref="AE52:AL52"/>
    <mergeCell ref="AE55:AL55"/>
    <mergeCell ref="AE58:AL58"/>
    <mergeCell ref="AE109:AL109"/>
    <mergeCell ref="AE115:AL115"/>
    <mergeCell ref="AE94:AL94"/>
    <mergeCell ref="AE97:AL97"/>
    <mergeCell ref="AE100:AL100"/>
    <mergeCell ref="AE101:AL101"/>
    <mergeCell ref="AE105:AL105"/>
    <mergeCell ref="AE77:AL77"/>
    <mergeCell ref="AE81:AL81"/>
    <mergeCell ref="AE87:AL87"/>
    <mergeCell ref="AE88:AL88"/>
    <mergeCell ref="AE91:AL91"/>
    <mergeCell ref="AN6:AU6"/>
    <mergeCell ref="AN7:AU7"/>
    <mergeCell ref="AN10:AU10"/>
    <mergeCell ref="AN13:AU13"/>
    <mergeCell ref="AN18:AU18"/>
    <mergeCell ref="AN19:AU19"/>
    <mergeCell ref="AN23:AU23"/>
    <mergeCell ref="AN26:AU26"/>
    <mergeCell ref="AN27:AU27"/>
    <mergeCell ref="BF6:BM6"/>
    <mergeCell ref="BF9:BM9"/>
    <mergeCell ref="BF12:BM12"/>
    <mergeCell ref="BF15:BM15"/>
    <mergeCell ref="BF16:BM16"/>
    <mergeCell ref="BF19:BM19"/>
    <mergeCell ref="BF22:BM22"/>
    <mergeCell ref="BF23:BM23"/>
    <mergeCell ref="BF26:BM26"/>
    <mergeCell ref="BF68:BM68"/>
    <mergeCell ref="BF71:BM71"/>
    <mergeCell ref="BF74:BM74"/>
    <mergeCell ref="AN41:AU41"/>
    <mergeCell ref="AN44:AU44"/>
    <mergeCell ref="AN47:AU47"/>
    <mergeCell ref="AW8:BD8"/>
    <mergeCell ref="AW11:BD11"/>
    <mergeCell ref="AW19:BD19"/>
    <mergeCell ref="BF29:BM29"/>
    <mergeCell ref="BF34:BM34"/>
    <mergeCell ref="BF38:BM38"/>
    <mergeCell ref="BF42:BM42"/>
    <mergeCell ref="BF45:BM45"/>
    <mergeCell ref="AN31:AU31"/>
    <mergeCell ref="AN34:AU34"/>
    <mergeCell ref="AN37:AU37"/>
    <mergeCell ref="AN38:AU38"/>
    <mergeCell ref="BO25:BV25"/>
    <mergeCell ref="BO39:BV39"/>
    <mergeCell ref="BO38:BV38"/>
    <mergeCell ref="BF48:BM48"/>
    <mergeCell ref="BF51:BM51"/>
    <mergeCell ref="BF54:BM54"/>
    <mergeCell ref="BF55:BM55"/>
    <mergeCell ref="BF58:BM58"/>
    <mergeCell ref="BF61:BM61"/>
    <mergeCell ref="DH6:DO6"/>
    <mergeCell ref="DH19:DO19"/>
    <mergeCell ref="DH22:DO22"/>
    <mergeCell ref="BO59:BV59"/>
    <mergeCell ref="BO70:BV70"/>
    <mergeCell ref="BX6:CE6"/>
    <mergeCell ref="BX9:CE9"/>
    <mergeCell ref="CG20:CN20"/>
    <mergeCell ref="CG29:CN29"/>
    <mergeCell ref="CG32:CN32"/>
    <mergeCell ref="CG44:CN44"/>
    <mergeCell ref="CP6:CW6"/>
    <mergeCell ref="CP9:CW9"/>
    <mergeCell ref="BO42:BV42"/>
    <mergeCell ref="BO43:BV43"/>
    <mergeCell ref="BO46:BV46"/>
    <mergeCell ref="BO49:BV49"/>
    <mergeCell ref="BO50:BV50"/>
    <mergeCell ref="BO53:BV53"/>
    <mergeCell ref="BO56:BV56"/>
    <mergeCell ref="BO6:BV6"/>
    <mergeCell ref="BO9:BV9"/>
    <mergeCell ref="BO12:BV12"/>
    <mergeCell ref="BO13:BV13"/>
  </mergeCells>
  <phoneticPr fontId="29" type="noConversion"/>
  <conditionalFormatting sqref="A3">
    <cfRule type="cellIs" dxfId="72" priority="153" operator="greaterThan">
      <formula>0</formula>
    </cfRule>
  </conditionalFormatting>
  <conditionalFormatting sqref="E5:K10 E13:K27 E30:K35 E38:K38 E41:K41 E44:K45 E49:K49 E52:K52 E55:K55 E58:K58 E61:K61 E64:K64 E67:K67 E70:K70 E73:K73 E76:K76 E79:K79">
    <cfRule type="cellIs" dxfId="71" priority="134" operator="greaterThan">
      <formula>0</formula>
    </cfRule>
  </conditionalFormatting>
  <conditionalFormatting sqref="W5:AC5 N5:T6 W8:AC8 N9:T10 W11:AC13 N13:T13 N16:T16 W17:AC17 N19:T19 W20:AC22 N22:T22 N25:T27 W25:AC29 N30:T33 W32:AC32 N36:T36 W36:AC36 W39:AC43 W47:AC52 W55:AC55 W59:AC66 W69:AC69 W72:AC72 W75:AC75 W78:AC78 W81:AC81 W85:AC92 W95:AC95 W98:AC98 W102:AC103 W106:AC106 W110:AC110 W113:AC113">
    <cfRule type="cellIs" dxfId="70" priority="60" operator="greaterThan">
      <formula>0</formula>
    </cfRule>
  </conditionalFormatting>
  <conditionalFormatting sqref="AF5:AL5 AF8:AL9 AF13:AL13 AF17:AL17 AF20:AL20 AF23:AL23 AF26:AL26 AF30:AL30 AF33:AL35 AF39:AL40 AF43:AL48 AF51:AL51 AF54:AL54 AF57:AL57 AF61:AL61 AF64:AL64 AF67:AL68 AF71:AL72 AF75:AL76 AF79:AL80 AF83:AL86 AF90:AL90 AF93:AL93 AF96:AL96 AF99:AL99 AF103:AL104 AF107:AL108 AF111:AL114 AF117:AL117">
    <cfRule type="cellIs" dxfId="69" priority="59" operator="greaterThan">
      <formula>0</formula>
    </cfRule>
  </conditionalFormatting>
  <conditionalFormatting sqref="AO5:AU5">
    <cfRule type="cellIs" dxfId="68" priority="130" operator="greaterThan">
      <formula>0</formula>
    </cfRule>
  </conditionalFormatting>
  <conditionalFormatting sqref="AO9:AU9">
    <cfRule type="cellIs" dxfId="67" priority="58" operator="greaterThan">
      <formula>0</formula>
    </cfRule>
  </conditionalFormatting>
  <conditionalFormatting sqref="AO12:AU12">
    <cfRule type="cellIs" dxfId="66" priority="57" operator="greaterThan">
      <formula>0</formula>
    </cfRule>
  </conditionalFormatting>
  <conditionalFormatting sqref="AO15:AU17">
    <cfRule type="cellIs" dxfId="65" priority="56" operator="greaterThan">
      <formula>0</formula>
    </cfRule>
  </conditionalFormatting>
  <conditionalFormatting sqref="AO21:AU22">
    <cfRule type="cellIs" dxfId="64" priority="55" operator="greaterThan">
      <formula>0</formula>
    </cfRule>
  </conditionalFormatting>
  <conditionalFormatting sqref="AO25:AU25">
    <cfRule type="cellIs" dxfId="63" priority="54" operator="greaterThan">
      <formula>0</formula>
    </cfRule>
  </conditionalFormatting>
  <conditionalFormatting sqref="AO29:AU30">
    <cfRule type="cellIs" dxfId="62" priority="53" operator="greaterThan">
      <formula>0</formula>
    </cfRule>
  </conditionalFormatting>
  <conditionalFormatting sqref="AO33:AU33">
    <cfRule type="cellIs" dxfId="61" priority="52" operator="greaterThan">
      <formula>0</formula>
    </cfRule>
  </conditionalFormatting>
  <conditionalFormatting sqref="AO36:AU36">
    <cfRule type="cellIs" dxfId="60" priority="51" operator="greaterThan">
      <formula>0</formula>
    </cfRule>
  </conditionalFormatting>
  <conditionalFormatting sqref="AO40:AU40">
    <cfRule type="cellIs" dxfId="59" priority="50" operator="greaterThan">
      <formula>0</formula>
    </cfRule>
  </conditionalFormatting>
  <conditionalFormatting sqref="AO43:AU43">
    <cfRule type="cellIs" dxfId="58" priority="49" operator="greaterThan">
      <formula>0</formula>
    </cfRule>
  </conditionalFormatting>
  <conditionalFormatting sqref="AO46:AU46">
    <cfRule type="cellIs" dxfId="57" priority="48" operator="greaterThan">
      <formula>0</formula>
    </cfRule>
  </conditionalFormatting>
  <conditionalFormatting sqref="AO49:AU49">
    <cfRule type="cellIs" dxfId="56" priority="47" operator="greaterThan">
      <formula>0</formula>
    </cfRule>
  </conditionalFormatting>
  <conditionalFormatting sqref="AX5:BD7">
    <cfRule type="cellIs" dxfId="55" priority="129" operator="greaterThan">
      <formula>0</formula>
    </cfRule>
  </conditionalFormatting>
  <conditionalFormatting sqref="AX10:BD10">
    <cfRule type="cellIs" dxfId="54" priority="46" operator="greaterThan">
      <formula>0</formula>
    </cfRule>
  </conditionalFormatting>
  <conditionalFormatting sqref="AX13:BD18">
    <cfRule type="cellIs" dxfId="53" priority="45" operator="greaterThan">
      <formula>0</formula>
    </cfRule>
  </conditionalFormatting>
  <conditionalFormatting sqref="AX21:BD21">
    <cfRule type="cellIs" dxfId="52" priority="44" operator="greaterThan">
      <formula>0</formula>
    </cfRule>
  </conditionalFormatting>
  <conditionalFormatting sqref="BG5:BM5">
    <cfRule type="cellIs" dxfId="51" priority="128" operator="greaterThan">
      <formula>0</formula>
    </cfRule>
  </conditionalFormatting>
  <conditionalFormatting sqref="BG8:BM8">
    <cfRule type="cellIs" dxfId="50" priority="43" operator="greaterThan">
      <formula>0</formula>
    </cfRule>
  </conditionalFormatting>
  <conditionalFormatting sqref="BG11:BM11">
    <cfRule type="cellIs" dxfId="49" priority="42" operator="greaterThan">
      <formula>0</formula>
    </cfRule>
  </conditionalFormatting>
  <conditionalFormatting sqref="BG14:BM14">
    <cfRule type="cellIs" dxfId="48" priority="41" operator="greaterThan">
      <formula>0</formula>
    </cfRule>
  </conditionalFormatting>
  <conditionalFormatting sqref="BG18:BM18">
    <cfRule type="cellIs" dxfId="47" priority="40" operator="greaterThan">
      <formula>0</formula>
    </cfRule>
  </conditionalFormatting>
  <conditionalFormatting sqref="BG21:BM21">
    <cfRule type="cellIs" dxfId="46" priority="39" operator="greaterThan">
      <formula>0</formula>
    </cfRule>
  </conditionalFormatting>
  <conditionalFormatting sqref="BG25:BM25">
    <cfRule type="cellIs" dxfId="45" priority="38" operator="greaterThan">
      <formula>0</formula>
    </cfRule>
  </conditionalFormatting>
  <conditionalFormatting sqref="BG28:BM28">
    <cfRule type="cellIs" dxfId="44" priority="37" operator="greaterThan">
      <formula>0</formula>
    </cfRule>
  </conditionalFormatting>
  <conditionalFormatting sqref="BG31:BM33">
    <cfRule type="cellIs" dxfId="43" priority="36" operator="greaterThan">
      <formula>0</formula>
    </cfRule>
  </conditionalFormatting>
  <conditionalFormatting sqref="BG36:BM37">
    <cfRule type="cellIs" dxfId="42" priority="35" operator="greaterThan">
      <formula>0</formula>
    </cfRule>
  </conditionalFormatting>
  <conditionalFormatting sqref="BG40:BM41">
    <cfRule type="cellIs" dxfId="41" priority="34" operator="greaterThan">
      <formula>0</formula>
    </cfRule>
  </conditionalFormatting>
  <conditionalFormatting sqref="BG44:BM44">
    <cfRule type="cellIs" dxfId="40" priority="33" operator="greaterThan">
      <formula>0</formula>
    </cfRule>
  </conditionalFormatting>
  <conditionalFormatting sqref="BG47:BM47">
    <cfRule type="cellIs" dxfId="39" priority="32" operator="greaterThan">
      <formula>0</formula>
    </cfRule>
  </conditionalFormatting>
  <conditionalFormatting sqref="BG50:BM50">
    <cfRule type="cellIs" dxfId="38" priority="31" operator="greaterThan">
      <formula>0</formula>
    </cfRule>
  </conditionalFormatting>
  <conditionalFormatting sqref="BG53:BM53">
    <cfRule type="cellIs" dxfId="37" priority="30" operator="greaterThan">
      <formula>0</formula>
    </cfRule>
  </conditionalFormatting>
  <conditionalFormatting sqref="BG57:BM57">
    <cfRule type="cellIs" dxfId="36" priority="29" operator="greaterThan">
      <formula>0</formula>
    </cfRule>
  </conditionalFormatting>
  <conditionalFormatting sqref="BG60:BM60">
    <cfRule type="cellIs" dxfId="35" priority="28" operator="greaterThan">
      <formula>0</formula>
    </cfRule>
  </conditionalFormatting>
  <conditionalFormatting sqref="BG63:BM67">
    <cfRule type="cellIs" dxfId="34" priority="27" operator="greaterThan">
      <formula>0</formula>
    </cfRule>
  </conditionalFormatting>
  <conditionalFormatting sqref="BG70:BM70">
    <cfRule type="cellIs" dxfId="33" priority="26" operator="greaterThan">
      <formula>0</formula>
    </cfRule>
  </conditionalFormatting>
  <conditionalFormatting sqref="BG73:BM73">
    <cfRule type="cellIs" dxfId="32" priority="25" operator="greaterThan">
      <formula>0</formula>
    </cfRule>
  </conditionalFormatting>
  <conditionalFormatting sqref="BG76:BM76">
    <cfRule type="cellIs" dxfId="31" priority="24" operator="greaterThan">
      <formula>0</formula>
    </cfRule>
  </conditionalFormatting>
  <conditionalFormatting sqref="BP5:BV5">
    <cfRule type="cellIs" dxfId="30" priority="127" operator="greaterThan">
      <formula>0</formula>
    </cfRule>
  </conditionalFormatting>
  <conditionalFormatting sqref="BP8:BV8">
    <cfRule type="cellIs" dxfId="29" priority="23" operator="greaterThan">
      <formula>0</formula>
    </cfRule>
  </conditionalFormatting>
  <conditionalFormatting sqref="BP11:BV11">
    <cfRule type="cellIs" dxfId="28" priority="22" operator="greaterThan">
      <formula>0</formula>
    </cfRule>
  </conditionalFormatting>
  <conditionalFormatting sqref="BP15:BV24">
    <cfRule type="cellIs" dxfId="27" priority="21" operator="greaterThan">
      <formula>0</formula>
    </cfRule>
  </conditionalFormatting>
  <conditionalFormatting sqref="BP27:BV37">
    <cfRule type="cellIs" dxfId="26" priority="20" operator="greaterThan">
      <formula>0</formula>
    </cfRule>
  </conditionalFormatting>
  <conditionalFormatting sqref="BP41:BV41">
    <cfRule type="cellIs" dxfId="25" priority="19" operator="greaterThan">
      <formula>0</formula>
    </cfRule>
  </conditionalFormatting>
  <conditionalFormatting sqref="BP45:BV45">
    <cfRule type="cellIs" dxfId="24" priority="18" operator="greaterThan">
      <formula>0</formula>
    </cfRule>
  </conditionalFormatting>
  <conditionalFormatting sqref="BP48:BV48">
    <cfRule type="cellIs" dxfId="23" priority="17" operator="greaterThan">
      <formula>0</formula>
    </cfRule>
  </conditionalFormatting>
  <conditionalFormatting sqref="BP52:BV52">
    <cfRule type="cellIs" dxfId="22" priority="16" operator="greaterThan">
      <formula>0</formula>
    </cfRule>
  </conditionalFormatting>
  <conditionalFormatting sqref="BP55:BV55">
    <cfRule type="cellIs" dxfId="21" priority="15" operator="greaterThan">
      <formula>0</formula>
    </cfRule>
  </conditionalFormatting>
  <conditionalFormatting sqref="BP58:BV58">
    <cfRule type="cellIs" dxfId="20" priority="14" operator="greaterThan">
      <formula>0</formula>
    </cfRule>
  </conditionalFormatting>
  <conditionalFormatting sqref="BP61:BV69">
    <cfRule type="cellIs" dxfId="19" priority="13" operator="greaterThan">
      <formula>0</formula>
    </cfRule>
  </conditionalFormatting>
  <conditionalFormatting sqref="BP72:BV77">
    <cfRule type="cellIs" dxfId="18" priority="12" operator="greaterThan">
      <formula>0</formula>
    </cfRule>
  </conditionalFormatting>
  <conditionalFormatting sqref="BY5:CE5">
    <cfRule type="cellIs" dxfId="17" priority="126" operator="greaterThan">
      <formula>0</formula>
    </cfRule>
  </conditionalFormatting>
  <conditionalFormatting sqref="BY8:CE8">
    <cfRule type="cellIs" dxfId="16" priority="11" operator="greaterThan">
      <formula>0</formula>
    </cfRule>
  </conditionalFormatting>
  <conditionalFormatting sqref="BY11:CE11">
    <cfRule type="cellIs" dxfId="15" priority="10" operator="greaterThan">
      <formula>0</formula>
    </cfRule>
  </conditionalFormatting>
  <conditionalFormatting sqref="CH5:CN19">
    <cfRule type="cellIs" dxfId="14" priority="125" operator="greaterThan">
      <formula>0</formula>
    </cfRule>
  </conditionalFormatting>
  <conditionalFormatting sqref="CH22:CN28">
    <cfRule type="cellIs" dxfId="13" priority="9" operator="greaterThan">
      <formula>0</formula>
    </cfRule>
  </conditionalFormatting>
  <conditionalFormatting sqref="CH31:CN31">
    <cfRule type="cellIs" dxfId="12" priority="8" operator="greaterThan">
      <formula>0</formula>
    </cfRule>
  </conditionalFormatting>
  <conditionalFormatting sqref="CH34:CN43">
    <cfRule type="cellIs" dxfId="11" priority="7" operator="greaterThan">
      <formula>0</formula>
    </cfRule>
  </conditionalFormatting>
  <conditionalFormatting sqref="CH46:CN55">
    <cfRule type="cellIs" dxfId="10" priority="6" operator="greaterThan">
      <formula>0</formula>
    </cfRule>
  </conditionalFormatting>
  <conditionalFormatting sqref="CQ5:CW5">
    <cfRule type="cellIs" dxfId="9" priority="124" operator="greaterThan">
      <formula>0</formula>
    </cfRule>
  </conditionalFormatting>
  <conditionalFormatting sqref="CQ8:CW8">
    <cfRule type="cellIs" dxfId="8" priority="5" operator="greaterThan">
      <formula>0</formula>
    </cfRule>
  </conditionalFormatting>
  <conditionalFormatting sqref="CQ11:CW11">
    <cfRule type="cellIs" dxfId="7" priority="4" operator="greaterThan">
      <formula>0</formula>
    </cfRule>
  </conditionalFormatting>
  <conditionalFormatting sqref="CZ5:DF5">
    <cfRule type="cellIs" dxfId="6" priority="123" operator="greaterThan">
      <formula>0</formula>
    </cfRule>
  </conditionalFormatting>
  <conditionalFormatting sqref="DI5:DO5">
    <cfRule type="cellIs" dxfId="5" priority="122" operator="greaterThan">
      <formula>0</formula>
    </cfRule>
  </conditionalFormatting>
  <conditionalFormatting sqref="DI8:DO18">
    <cfRule type="cellIs" dxfId="4" priority="3" operator="greaterThan">
      <formula>0</formula>
    </cfRule>
  </conditionalFormatting>
  <conditionalFormatting sqref="DI21:DO21">
    <cfRule type="cellIs" dxfId="3" priority="2" operator="greaterThan">
      <formula>0</formula>
    </cfRule>
  </conditionalFormatting>
  <conditionalFormatting sqref="DI24:DO24">
    <cfRule type="cellIs" dxfId="2" priority="1" operator="greaterThan">
      <formula>0</formula>
    </cfRule>
  </conditionalFormatting>
  <conditionalFormatting sqref="DR5:DX5">
    <cfRule type="cellIs" dxfId="1" priority="121" operator="greaterThan">
      <formula>0</formula>
    </cfRule>
  </conditionalFormatting>
  <conditionalFormatting sqref="EA5:EG5">
    <cfRule type="cellIs" dxfId="0" priority="120" operator="greaterThan">
      <formula>0</formula>
    </cfRule>
  </conditionalFormatting>
  <hyperlinks>
    <hyperlink ref="A35" r:id="rId2" xr:uid="{1FF9509F-E191-401F-BB31-EA2D771FA164}"/>
  </hyperlinks>
  <pageMargins left="0.7" right="0.7" top="0.75" bottom="0.75" header="0.3" footer="0.3"/>
  <pageSetup orientation="portrait" r:id="rId3"/>
  <legacyDrawing r:id="rId4"/>
  <tableParts count="148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  <tablePart r:id="rId136"/>
    <tablePart r:id="rId137"/>
    <tablePart r:id="rId138"/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EPV</vt:lpstr>
      <vt:lpstr>ENOS</vt:lpstr>
      <vt:lpstr>GUÍA NACIONAL DE VIGILANCIA2015</vt:lpstr>
      <vt:lpstr>GUÍA NACIONAL DE VIGILANCIA2022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UER Guairá</cp:lastModifiedBy>
  <dcterms:created xsi:type="dcterms:W3CDTF">2024-02-09T13:22:46Z</dcterms:created>
  <dcterms:modified xsi:type="dcterms:W3CDTF">2025-06-24T12:10:20Z</dcterms:modified>
</cp:coreProperties>
</file>