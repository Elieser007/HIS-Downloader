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HIS-Downloader\"/>
    </mc:Choice>
  </mc:AlternateContent>
  <xr:revisionPtr revIDLastSave="0" documentId="13_ncr:1_{161F9A0C-7155-469D-9C12-68761C1CA824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B5" i="3"/>
  <c r="Q81" i="3"/>
  <c r="R81" i="3"/>
  <c r="S81" i="3"/>
  <c r="T81" i="3"/>
  <c r="U81" i="3"/>
  <c r="V81" i="3"/>
  <c r="Q80" i="3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J28" i="6" l="1"/>
  <c r="W81" i="3"/>
  <c r="J49" i="6"/>
  <c r="W80" i="3"/>
  <c r="CN36" i="7"/>
  <c r="DO10" i="7"/>
  <c r="CN35" i="7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AB38" i="6" l="1"/>
  <c r="A59" i="6"/>
  <c r="AB23" i="6"/>
  <c r="AB59" i="6"/>
  <c r="J66" i="6"/>
  <c r="J59" i="6"/>
  <c r="J3" i="6"/>
  <c r="A3" i="6"/>
  <c r="S3" i="6"/>
  <c r="S38" i="6"/>
  <c r="S18" i="6"/>
  <c r="AB3" i="6"/>
  <c r="S23" i="6"/>
  <c r="S32" i="6"/>
  <c r="A44" i="6"/>
  <c r="V18" i="2"/>
  <c r="W18" i="2"/>
  <c r="U18" i="2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AB18" i="2" s="1"/>
  <c r="H21" i="2"/>
  <c r="K29" i="2"/>
  <c r="AC3" i="2"/>
  <c r="T18" i="2"/>
  <c r="B29" i="2"/>
  <c r="T3" i="2"/>
  <c r="K3" i="2"/>
  <c r="K18" i="2"/>
  <c r="B18" i="2"/>
  <c r="A18" i="2" l="1"/>
  <c r="S3" i="2"/>
  <c r="S18" i="2"/>
  <c r="J18" i="2"/>
  <c r="J3" i="2"/>
  <c r="A29" i="2"/>
  <c r="A3" i="2"/>
  <c r="AB3" i="2"/>
  <c r="J29" i="2"/>
  <c r="H26" i="3"/>
  <c r="F21" i="3"/>
  <c r="L26" i="3"/>
  <c r="I28" i="3"/>
  <c r="G27" i="3"/>
  <c r="G26" i="3"/>
  <c r="J29" i="3"/>
  <c r="L28" i="3"/>
  <c r="I30" i="3"/>
  <c r="G28" i="3"/>
  <c r="J30" i="3"/>
  <c r="L30" i="3"/>
  <c r="K27" i="3"/>
  <c r="M22" i="3"/>
  <c r="K29" i="3"/>
  <c r="G29" i="3"/>
  <c r="L27" i="3"/>
  <c r="J27" i="3"/>
  <c r="K30" i="3"/>
  <c r="H30" i="3"/>
  <c r="K28" i="3"/>
  <c r="J28" i="3"/>
  <c r="H28" i="3"/>
  <c r="G30" i="3"/>
  <c r="H27" i="3"/>
  <c r="J26" i="3"/>
  <c r="I26" i="3"/>
  <c r="H29" i="3"/>
  <c r="L29" i="3"/>
  <c r="I29" i="3"/>
  <c r="K26" i="3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5" authorId="0" shapeId="0" xr:uid="{8628A077-AA03-4BF5-8B88-FF227F19BDA9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V8" authorId="0" shapeId="0" xr:uid="{FBB4DA4C-E510-4F5A-A7EB-B30FD8C16CF6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" authorId="0" shapeId="0" xr:uid="{FF8AF5EC-D83A-44A2-8956-2B856545A8BF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2" authorId="0" shapeId="0" xr:uid="{86DE58C0-6CAB-498B-96B0-A7EE002D5D59}">
      <text>
        <r>
          <rPr>
            <sz val="9"/>
            <color indexed="81"/>
            <rFont val="Tahoma"/>
            <family val="2"/>
          </rPr>
          <t>CIE-10:
Tos ferina debida a Bordetella parapertussis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V13" authorId="0" shapeId="0" xr:uid="{9F1E68EC-106C-4A18-999A-052CC0AB96DC}">
      <text>
        <r>
          <rPr>
            <sz val="9"/>
            <color indexed="81"/>
            <rFont val="Tahoma"/>
            <family val="2"/>
          </rPr>
          <t xml:space="preserve">CIE-10:
Tos ferina debida a otras especies de Bordetella 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0" authorId="0" shapeId="0" xr:uid="{8A1B3FB1-DB57-4C1C-B8A4-EC9FF80A51E3}">
      <text>
        <r>
          <rPr>
            <sz val="9"/>
            <color indexed="81"/>
            <rFont val="Tahoma"/>
            <family val="2"/>
          </rPr>
          <t>CIE-10:
Faringitis aguda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V21" authorId="0" shapeId="0" xr:uid="{3ED4E171-745B-413C-81A4-4D6387A498B8}">
      <text>
        <r>
          <rPr>
            <sz val="9"/>
            <color indexed="81"/>
            <rFont val="Tahoma"/>
            <family val="2"/>
          </rPr>
          <t>CIE-10:
Amigdalitis aguda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V22" authorId="0" shapeId="0" xr:uid="{D5B07265-6225-4EA5-BED4-6978C7530D1C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V25" authorId="0" shapeId="0" xr:uid="{AEAE46A1-1F48-48F3-8620-599570DC0A6D}">
      <text>
        <r>
          <rPr>
            <sz val="9"/>
            <color indexed="81"/>
            <rFont val="Tahoma"/>
            <family val="2"/>
          </rPr>
          <t>CIE-10:
Difteria faríngea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V26" authorId="0" shapeId="0" xr:uid="{54F65E30-0DA8-4BC9-AA39-616D3F2471F5}">
      <text>
        <r>
          <rPr>
            <sz val="9"/>
            <color indexed="81"/>
            <rFont val="Tahoma"/>
            <family val="2"/>
          </rPr>
          <t>CIE-10:
Difteria nasofaríngea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V27" authorId="0" shapeId="0" xr:uid="{BD6B59FD-1F43-4106-BF6B-042E3643CE33}">
      <text>
        <r>
          <rPr>
            <sz val="9"/>
            <color indexed="81"/>
            <rFont val="Tahoma"/>
            <family val="2"/>
          </rPr>
          <t>CIE-10:
Difteria laríngea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8" authorId="0" shapeId="0" xr:uid="{8D48219A-5461-49CF-BBB7-68585BBB4750}">
      <text>
        <r>
          <rPr>
            <sz val="9"/>
            <color indexed="81"/>
            <rFont val="Tahoma"/>
            <family val="2"/>
          </rPr>
          <t>CIE-10:
Difteria cutánea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9" authorId="0" shapeId="0" xr:uid="{2DECB0C2-F971-4B03-BA91-D4C0D5D557BA}">
      <text>
        <r>
          <rPr>
            <sz val="9"/>
            <color indexed="81"/>
            <rFont val="Tahoma"/>
            <family val="2"/>
          </rPr>
          <t>CIE-10:
Otras difterias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V32" authorId="0" shapeId="0" xr:uid="{20E76083-F227-44A7-AB43-9912DF346857}">
      <text>
        <r>
          <rPr>
            <sz val="9"/>
            <color indexed="81"/>
            <rFont val="Tahoma"/>
            <family val="2"/>
          </rPr>
          <t>CIE-10:
Difteria, no especificada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<sst xmlns="http://schemas.openxmlformats.org/spreadsheetml/2006/main" count="3158" uniqueCount="766">
  <si>
    <t>Datos de la Dependencia</t>
  </si>
  <si>
    <t>Datos del Paciente</t>
  </si>
  <si>
    <t>Datos del Diagnostico</t>
  </si>
  <si>
    <t>Datos de la Preconsulta</t>
  </si>
  <si>
    <t>Datos del Procedimiento</t>
  </si>
  <si>
    <t>Fecha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</si>
  <si>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</si>
  <si>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</si>
  <si>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</si>
  <si>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</si>
  <si>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</si>
  <si>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</si>
  <si>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</si>
  <si>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</si>
  <si>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</si>
  <si>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</si>
  <si>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</si>
  <si>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</si>
  <si>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</si>
  <si>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</si>
  <si>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</si>
  <si>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</si>
  <si>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</si>
  <si>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</si>
  <si>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</si>
  <si>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</si>
  <si>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</si>
  <si>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</si>
  <si>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</si>
  <si>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</si>
  <si>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</si>
  <si>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</si>
  <si>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</si>
  <si>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</si>
  <si>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</si>
  <si>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</si>
  <si>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</si>
  <si>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</si>
  <si>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</si>
  <si>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</si>
  <si>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</si>
  <si>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</si>
  <si>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</si>
  <si>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</si>
  <si>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</si>
  <si>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</si>
  <si>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</si>
  <si>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</si>
  <si>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</si>
  <si>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</si>
  <si>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</si>
  <si>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</si>
  <si>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</si>
  <si>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HbA1C (%)</t>
  </si>
  <si>
    <t>Alimentación</t>
  </si>
  <si>
    <t>CODCIE9 1</t>
  </si>
  <si>
    <t>Procedimiento</t>
  </si>
  <si>
    <t>CODCIE9 2</t>
  </si>
  <si>
    <t>Procedimiento12</t>
  </si>
  <si>
    <t>CODCIE9 3</t>
  </si>
  <si>
    <t>Procedimiento14</t>
  </si>
  <si>
    <t>CODCIE9 4</t>
  </si>
  <si>
    <t>Procedimiento16</t>
  </si>
  <si>
    <t>CODCIE9 5</t>
  </si>
  <si>
    <t>Procedimiento18</t>
  </si>
  <si>
    <t>CODCIE9 6</t>
  </si>
  <si>
    <t>Procedimiento20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</si>
  <si>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</si>
  <si>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</si>
  <si>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</si>
  <si>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</si>
  <si>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</si>
  <si>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</si>
  <si>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</si>
  <si>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</si>
  <si>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</si>
  <si>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</si>
  <si>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</si>
  <si>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</si>
  <si>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</si>
  <si>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</si>
  <si>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</si>
  <si>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</si>
  <si>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</si>
  <si>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</si>
  <si>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</si>
  <si>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</si>
  <si>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</si>
  <si>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</si>
  <si>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</si>
  <si>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</si>
  <si>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</si>
  <si>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</si>
  <si>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</si>
  <si>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</si>
  <si>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</si>
  <si>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</si>
  <si>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</si>
  <si>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</si>
  <si>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</si>
  <si>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</si>
  <si>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</si>
  <si>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</si>
  <si>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</si>
  <si>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</si>
  <si>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</si>
  <si>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</si>
  <si>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</si>
  <si>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</si>
  <si>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</si>
  <si>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</si>
  <si>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</si>
  <si>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</si>
  <si>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</si>
  <si>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</si>
  <si>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</si>
  <si>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</si>
  <si>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</si>
  <si>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</si>
  <si>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</si>
  <si>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</si>
  <si>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</si>
  <si>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</si>
  <si>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</si>
  <si>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</si>
  <si>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</si>
  <si>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</si>
  <si>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</si>
  <si>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</si>
  <si>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</si>
  <si>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</si>
  <si>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</si>
  <si>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</si>
  <si>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</si>
  <si>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</si>
  <si>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</si>
  <si>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</si>
  <si>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</si>
  <si>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</si>
  <si>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</si>
  <si>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</si>
  <si>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</si>
  <si>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</si>
  <si>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</si>
  <si>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</si>
  <si>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</si>
  <si>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</si>
  <si>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</si>
  <si>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</si>
  <si>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</si>
  <si>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</si>
  <si>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</si>
  <si>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</si>
  <si>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</si>
  <si>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</si>
  <si>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</si>
  <si>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</si>
  <si>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</si>
  <si>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</si>
  <si>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</si>
  <si>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</si>
  <si>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</si>
  <si>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</si>
  <si>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</si>
  <si>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</si>
  <si>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</si>
  <si>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</si>
  <si>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</si>
  <si>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</si>
  <si>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</si>
  <si>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</si>
  <si>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</si>
  <si>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</si>
  <si>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</si>
  <si>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</si>
  <si>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</si>
  <si>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</si>
  <si>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</si>
  <si>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</si>
  <si>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</si>
  <si>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</si>
  <si>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</si>
  <si>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</si>
  <si>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</si>
  <si>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</si>
  <si>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</si>
  <si>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</si>
  <si>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</si>
  <si>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</si>
  <si>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</si>
  <si>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</si>
  <si>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</si>
  <si>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</si>
  <si>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</si>
  <si>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</si>
  <si>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</si>
  <si>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</si>
  <si>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</si>
  <si>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</si>
  <si>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</si>
  <si>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</si>
  <si>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</si>
  <si>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</si>
  <si>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</si>
  <si>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</si>
  <si>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</si>
  <si>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</si>
  <si>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</si>
  <si>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</si>
  <si>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</si>
  <si>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</si>
  <si>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</si>
  <si>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</si>
  <si>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</si>
  <si>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</si>
  <si>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</si>
  <si>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</si>
  <si>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</si>
  <si>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</si>
  <si>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</si>
  <si>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</si>
  <si>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</si>
  <si>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</si>
  <si>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</si>
  <si>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</si>
  <si>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</si>
  <si>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</si>
  <si>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</si>
  <si>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</si>
  <si>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</si>
  <si>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</si>
  <si>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</si>
  <si>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</si>
  <si>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</si>
  <si>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</si>
  <si>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</si>
  <si>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</si>
  <si>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</si>
  <si>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</si>
  <si>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</si>
  <si>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</si>
  <si>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</si>
  <si>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</si>
  <si>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</si>
  <si>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</si>
  <si>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</si>
  <si>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</si>
  <si>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</si>
  <si>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</si>
  <si>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</si>
  <si>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</si>
  <si>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</si>
  <si>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</si>
  <si>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</si>
  <si>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</si>
  <si>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</si>
  <si>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</si>
  <si>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</si>
  <si>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</si>
  <si>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</si>
  <si>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</si>
  <si>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</si>
  <si>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</si>
  <si>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</si>
  <si>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</si>
  <si>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</si>
  <si>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</si>
  <si>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</si>
  <si>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</si>
  <si>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</si>
  <si>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</si>
  <si>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</si>
  <si>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</si>
  <si>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</si>
  <si>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</si>
  <si>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</si>
  <si>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</si>
  <si>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</si>
  <si>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</si>
  <si>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</si>
  <si>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</si>
  <si>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</si>
  <si>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</si>
  <si>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</si>
  <si>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</si>
  <si>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</si>
  <si>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</si>
  <si>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</si>
  <si>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</si>
  <si>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</si>
  <si>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</si>
  <si>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</si>
  <si>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</si>
  <si>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</si>
  <si>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</si>
  <si>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</si>
  <si>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</si>
  <si>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</si>
  <si>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</si>
  <si>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</si>
  <si>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</si>
  <si>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</si>
  <si>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</si>
  <si>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</si>
  <si>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</si>
  <si>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</si>
  <si>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</si>
  <si>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</si>
  <si>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</si>
  <si>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</si>
  <si>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</si>
  <si>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</si>
  <si>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</si>
  <si>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</si>
  <si>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</si>
  <si>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</si>
  <si>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</si>
  <si>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</si>
  <si>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</si>
  <si>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</si>
  <si>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</si>
  <si>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</si>
  <si>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</si>
  <si>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</si>
  <si>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</si>
  <si>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</si>
  <si>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</si>
  <si>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</si>
  <si>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</si>
  <si>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</si>
  <si>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</si>
  <si>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</si>
  <si>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</si>
  <si>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</si>
  <si>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</si>
  <si>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</si>
  <si>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</si>
  <si>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</si>
  <si>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</si>
  <si>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</si>
  <si>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</si>
  <si>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</si>
  <si>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</si>
  <si>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</si>
  <si>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</si>
  <si>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</si>
  <si>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</si>
  <si>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</si>
  <si>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</si>
  <si>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</si>
  <si>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</si>
  <si>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</si>
  <si>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</si>
  <si>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</si>
  <si>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</si>
  <si>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</si>
  <si>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</si>
  <si>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</si>
  <si>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</si>
  <si>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</si>
  <si>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</si>
  <si>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</si>
  <si>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</si>
  <si>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</si>
  <si>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</si>
  <si>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</si>
  <si>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</si>
  <si>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</si>
  <si>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</si>
  <si>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</si>
  <si>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</si>
  <si>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</si>
  <si>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</si>
  <si>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</si>
  <si>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</si>
  <si>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</si>
  <si>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</si>
  <si>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</si>
  <si>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</si>
  <si>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</si>
  <si>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</si>
  <si>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</si>
  <si>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</si>
  <si>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</si>
  <si>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</si>
  <si>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</si>
  <si>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</si>
  <si>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</si>
  <si>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</si>
  <si>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</si>
  <si>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</si>
  <si>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</si>
  <si>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</si>
  <si>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</si>
  <si>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</si>
  <si>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</si>
  <si>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</si>
  <si>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</si>
  <si>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</si>
  <si>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</si>
  <si>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</si>
  <si>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</si>
  <si>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</si>
  <si>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</si>
  <si>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</si>
  <si>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</si>
  <si>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</si>
  <si>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</si>
  <si>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</si>
  <si>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</si>
  <si>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</si>
  <si>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</si>
  <si>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</si>
  <si>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</si>
  <si>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</si>
  <si>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</si>
  <si>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</si>
  <si>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</si>
  <si>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</si>
  <si>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</si>
  <si>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</si>
  <si>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</si>
  <si>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</si>
  <si>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</si>
  <si>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</si>
  <si>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</si>
  <si>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</si>
  <si>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</si>
  <si>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</si>
  <si>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</si>
  <si>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</si>
  <si>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</si>
  <si>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</si>
  <si>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</si>
  <si>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</si>
  <si>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</si>
  <si>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</si>
  <si>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</si>
  <si>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</si>
  <si>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</si>
  <si>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</si>
  <si>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</si>
  <si>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</si>
  <si>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</si>
  <si>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</si>
  <si>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</si>
  <si>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</si>
  <si>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</si>
  <si>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</si>
  <si>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</si>
  <si>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</si>
  <si>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</si>
  <si>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</si>
  <si>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</si>
  <si>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</si>
  <si>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</si>
  <si>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</si>
  <si>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</si>
  <si>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</si>
  <si>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</si>
  <si>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</si>
  <si>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</si>
  <si>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</si>
  <si>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</si>
  <si>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</si>
  <si>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</si>
  <si>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</si>
  <si>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</si>
  <si>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</si>
  <si>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</si>
  <si>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</si>
  <si>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</si>
  <si>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</si>
  <si>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</si>
  <si>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</si>
  <si>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</si>
  <si>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</si>
  <si>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</si>
  <si>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</si>
  <si>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</si>
  <si>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</si>
  <si>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</si>
  <si>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</si>
  <si>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</si>
  <si>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</si>
  <si>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</si>
  <si>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</si>
  <si>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</si>
  <si>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</si>
  <si>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</si>
  <si>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</si>
  <si>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</si>
  <si>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</si>
  <si>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</si>
  <si>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</si>
  <si>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</si>
  <si>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</si>
  <si>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</si>
  <si>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</si>
  <si>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</si>
  <si>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</si>
  <si>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</si>
  <si>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</si>
  <si>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</si>
  <si>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</si>
  <si>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</si>
  <si>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</si>
  <si>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</si>
  <si>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</si>
  <si>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</si>
  <si>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</si>
  <si>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</si>
  <si>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</si>
  <si>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</si>
  <si>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</si>
  <si>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</si>
  <si>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</si>
  <si>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</si>
  <si>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</si>
  <si>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</si>
  <si>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</si>
  <si>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</si>
  <si>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</si>
  <si>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</si>
  <si>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</si>
  <si>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</si>
  <si>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</si>
  <si>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</si>
  <si>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</si>
  <si>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</si>
  <si>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</si>
  <si>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</si>
  <si>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</si>
  <si>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</si>
  <si>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</si>
  <si>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</si>
  <si>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</si>
  <si>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</si>
  <si>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</si>
  <si>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</si>
  <si>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</si>
  <si>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</si>
  <si>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</si>
  <si>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</si>
  <si>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</si>
  <si>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</si>
  <si>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</si>
  <si>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</si>
  <si>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</si>
  <si>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</si>
  <si>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</si>
  <si>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</si>
  <si>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</si>
  <si>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</si>
  <si>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</si>
  <si>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</si>
  <si>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</si>
  <si>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</si>
  <si>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</si>
  <si>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</si>
  <si>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</si>
  <si>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</si>
  <si>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</si>
  <si>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</si>
  <si>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</si>
  <si>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</si>
  <si>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</si>
  <si>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</si>
  <si>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</si>
  <si>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</si>
  <si>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</si>
  <si>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</si>
  <si>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</si>
  <si>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</si>
  <si>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</si>
  <si>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</si>
  <si>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</si>
  <si>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</si>
  <si>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</si>
  <si>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</si>
  <si>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</si>
  <si>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</si>
  <si>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</si>
  <si>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</si>
  <si>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</si>
  <si>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</si>
  <si>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</si>
  <si>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</si>
  <si>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</si>
  <si>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</si>
  <si>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</si>
  <si>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</si>
  <si>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</si>
  <si>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</si>
  <si>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</si>
  <si>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</si>
  <si>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</si>
  <si>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</si>
  <si>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</si>
  <si>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</si>
  <si>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</si>
  <si>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</si>
  <si>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</si>
  <si>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</si>
  <si>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</si>
  <si>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</si>
  <si>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</si>
  <si>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</si>
  <si>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</si>
  <si>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</si>
  <si>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</si>
  <si>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</si>
  <si>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</si>
  <si>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</si>
  <si>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</si>
  <si>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</si>
  <si>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</si>
  <si>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</si>
  <si>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</si>
  <si>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</si>
  <si>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</si>
  <si>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</si>
  <si>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</si>
  <si>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</si>
  <si>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</si>
  <si>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</si>
  <si>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</si>
  <si>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</si>
  <si>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</si>
  <si>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</si>
  <si>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</si>
  <si>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</si>
  <si>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</si>
  <si>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</si>
  <si>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</si>
  <si>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</si>
  <si>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</si>
  <si>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</si>
  <si>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</si>
  <si>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</si>
  <si>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</si>
  <si>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</si>
  <si>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</si>
  <si>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</si>
  <si>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</si>
  <si>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</si>
  <si>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</si>
  <si>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</si>
  <si>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</si>
  <si>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</si>
  <si>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</si>
  <si>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</si>
  <si>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</si>
  <si>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</si>
  <si>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</si>
  <si>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</si>
  <si>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</si>
  <si>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</si>
  <si>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</si>
  <si>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</si>
  <si>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</si>
  <si>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</si>
  <si>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</si>
  <si>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</si>
  <si>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</si>
  <si>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</si>
  <si>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</si>
  <si>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</si>
  <si>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</si>
  <si>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</si>
  <si>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</si>
  <si>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</si>
  <si>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</si>
  <si>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</si>
  <si>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</si>
  <si>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</si>
  <si>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</si>
  <si>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</si>
  <si>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</si>
  <si>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</si>
  <si>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</si>
  <si>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</si>
  <si>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</si>
  <si>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</si>
  <si>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</si>
  <si>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</si>
  <si>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</si>
  <si>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</si>
  <si>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</si>
  <si>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</si>
  <si>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</si>
  <si>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</si>
  <si>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</si>
  <si>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</si>
  <si>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</si>
  <si>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</si>
  <si>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</si>
  <si>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</si>
  <si>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</si>
  <si>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</si>
  <si>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</si>
  <si>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</si>
  <si>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</si>
  <si>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</si>
  <si>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</si>
  <si>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</si>
  <si>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</si>
  <si>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</si>
  <si>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</si>
  <si>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</si>
  <si>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</si>
  <si>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</si>
  <si>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</si>
  <si>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</si>
  <si>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</si>
  <si>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</si>
  <si>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</si>
  <si>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</si>
  <si>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</si>
  <si>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</si>
  <si>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</si>
  <si>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</si>
  <si>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</si>
  <si>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</si>
  <si>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</si>
  <si>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</si>
  <si>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</si>
  <si>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</si>
  <si>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</si>
  <si>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</si>
  <si>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</si>
  <si>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</si>
  <si>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</si>
  <si>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</si>
  <si>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</si>
  <si>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</si>
  <si>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</si>
  <si>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</si>
  <si>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</si>
  <si>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</si>
  <si>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</si>
  <si>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</si>
  <si>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</si>
  <si>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</si>
  <si>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</si>
  <si>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</si>
  <si>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</si>
  <si>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</si>
  <si>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</si>
  <si>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</si>
  <si>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</si>
  <si>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</si>
  <si>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</si>
  <si>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</si>
  <si>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</si>
  <si>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</si>
  <si>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</si>
  <si>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</si>
  <si>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</si>
  <si>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</si>
  <si>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</si>
  <si>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</si>
  <si>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</si>
  <si>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</si>
  <si>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</si>
  <si>
    <t>Inicio de consulta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</si>
</sst>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5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</fills>
  <borders count="6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7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0" borderId="1" applyNumberFormat="0" applyFill="0" applyBorder="0" applyAlignment="0" applyProtection="0"/>
    <xf numFmtId="0" fontId="34" fillId="0" borderId="1"/>
  </cellStyleXfs>
  <cellXfs count="166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14" fontId="2" fillId="0" borderId="43" xfId="0" applyNumberFormat="1" applyFont="1" applyBorder="1" applyAlignment="1">
      <alignment horizontal="center"/>
    </xf>
    <xf numFmtId="0" fontId="34" fillId="0" borderId="45" xfId="16" applyBorder="1" applyAlignment="1">
      <alignment horizontal="center" vertical="center"/>
    </xf>
    <xf numFmtId="0" fontId="2" fillId="0" borderId="45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1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7" xfId="0" applyBorder="1"/>
    <xf numFmtId="0" fontId="0" fillId="0" borderId="60" xfId="0" applyBorder="1"/>
    <xf numFmtId="0" fontId="1" fillId="0" borderId="57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22" fillId="2" borderId="1" xfId="1" applyFont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0" fontId="0" fillId="0" borderId="11" xfId="0" applyBorder="1"/>
    <xf numFmtId="164" fontId="9" fillId="7" borderId="1" xfId="8" applyFont="1" applyFill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4" fillId="0" borderId="15" xfId="8" applyFont="1" applyBorder="1" applyAlignment="1">
      <alignment horizontal="left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42" xfId="8" applyFont="1" applyBorder="1" applyAlignment="1">
      <alignment horizontal="center" vertical="center" wrapText="1"/>
    </xf>
    <xf numFmtId="164" fontId="14" fillId="0" borderId="21" xfId="8" applyFont="1" applyBorder="1" applyAlignment="1">
      <alignment horizontal="left" vertical="center" wrapText="1"/>
    </xf>
    <xf numFmtId="0" fontId="0" fillId="0" borderId="18" xfId="0" applyBorder="1"/>
    <xf numFmtId="0" fontId="0" fillId="0" borderId="14" xfId="0" applyBorder="1"/>
    <xf numFmtId="0" fontId="0" fillId="0" borderId="10" xfId="0" applyBorder="1"/>
    <xf numFmtId="0" fontId="0" fillId="0" borderId="27" xfId="0" applyBorder="1"/>
    <xf numFmtId="0" fontId="0" fillId="0" borderId="28" xfId="0" applyBorder="1"/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0" fillId="0" borderId="44" xfId="0" applyBorder="1"/>
    <xf numFmtId="0" fontId="0" fillId="0" borderId="20" xfId="0" applyBorder="1"/>
    <xf numFmtId="0" fontId="0" fillId="0" borderId="13" xfId="0" applyBorder="1"/>
    <xf numFmtId="164" fontId="14" fillId="0" borderId="41" xfId="8" applyFont="1" applyBorder="1" applyAlignment="1">
      <alignment horizontal="left" vertical="center" wrapText="1"/>
    </xf>
    <xf numFmtId="164" fontId="15" fillId="0" borderId="12" xfId="8" applyFont="1" applyBorder="1" applyAlignment="1">
      <alignment horizontal="center" vertical="center"/>
    </xf>
    <xf numFmtId="0" fontId="0" fillId="0" borderId="12" xfId="0" applyBorder="1"/>
    <xf numFmtId="0" fontId="18" fillId="8" borderId="1" xfId="9" applyFont="1" applyFill="1" applyAlignment="1">
      <alignment horizontal="right" wrapText="1"/>
    </xf>
    <xf numFmtId="164" fontId="17" fillId="0" borderId="17" xfId="8" applyFont="1" applyBorder="1" applyAlignment="1">
      <alignment horizontal="center" vertical="center"/>
    </xf>
    <xf numFmtId="0" fontId="0" fillId="0" borderId="26" xfId="0" applyBorder="1"/>
    <xf numFmtId="164" fontId="14" fillId="0" borderId="15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25" xfId="0" applyBorder="1"/>
    <xf numFmtId="164" fontId="14" fillId="0" borderId="42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5" fillId="0" borderId="11" xfId="8" applyFont="1" applyBorder="1" applyAlignment="1">
      <alignment horizontal="center" vertical="center"/>
    </xf>
    <xf numFmtId="164" fontId="14" fillId="0" borderId="9" xfId="8" applyFont="1" applyBorder="1" applyAlignment="1">
      <alignment horizontal="left" vertical="center" wrapText="1"/>
    </xf>
    <xf numFmtId="0" fontId="0" fillId="0" borderId="19" xfId="0" applyBorder="1"/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17" fillId="0" borderId="15" xfId="9" applyBorder="1" applyAlignment="1">
      <alignment horizontal="center" vertical="center"/>
    </xf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0" fillId="7" borderId="1" xfId="8" applyFont="1" applyFill="1" applyAlignment="1">
      <alignment horizontal="center" vertical="center"/>
    </xf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0" fontId="27" fillId="0" borderId="1" xfId="11" applyBorder="1" applyAlignment="1">
      <alignment horizontal="center" wrapText="1"/>
    </xf>
    <xf numFmtId="0" fontId="28" fillId="0" borderId="2" xfId="3" applyFont="1" applyAlignment="1">
      <alignment horizontal="center"/>
    </xf>
    <xf numFmtId="0" fontId="33" fillId="0" borderId="0" xfId="15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30" fillId="0" borderId="47" xfId="12" applyAlignment="1">
      <alignment horizontal="center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1" fillId="10" borderId="49" xfId="13" applyAlignment="1">
      <alignment horizontal="center"/>
    </xf>
    <xf numFmtId="0" fontId="32" fillId="10" borderId="48" xfId="14" applyAlignment="1">
      <alignment horizontal="center"/>
    </xf>
    <xf numFmtId="0" fontId="32" fillId="10" borderId="48" xfId="14" applyAlignment="1">
      <alignment horizontal="center" wrapText="1"/>
    </xf>
    <xf numFmtId="0" fontId="31" fillId="10" borderId="49" xfId="13" applyAlignment="1">
      <alignment horizontal="center" wrapText="1"/>
    </xf>
  </cellXfs>
  <cellStyles count="17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5" builtinId="8"/>
    <cellStyle name="Normal" xfId="0" builtinId="0"/>
    <cellStyle name="Normal 2" xfId="16" xr:uid="{58988935-CF36-4239-B410-911E1CFBEBC2}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UER Guairá" refreshedDate="45831.663817245368" createdVersion="8" refreshedVersion="8" minRefreshableVersion="3" recordCount="299997" xr:uid="{00000000-000A-0000-FFFF-FFFF04000000}">
  <cacheSource type="worksheet">
    <worksheetSource name="BASE"/>
  </cacheSource>
  <cacheFields count="63">
    <cacheField name="Fecha" numFmtId="14">
      <sharedItems containsNonDate="0" containsString="0" containsBlank="1"/>
    </cacheField>
    <cacheField name="Inicio de consulta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IMC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63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63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63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63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K299999" totalsRowShown="0" headerRowDxfId="2077">
  <autoFilter ref="A2:BK299999" xr:uid="{00000000-0009-0000-0100-000001000000}"/>
  <tableColumns count="63">
    <tableColumn id="1" xr3:uid="{00000000-0010-0000-0000-000001000000}" name="Fecha" dataDxfId="2076"/>
    <tableColumn id="2" xr3:uid="{00000000-0010-0000-0000-000002000000}" name="Inicio de consulta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77" xr3:uid="{E8D77619-4B50-457E-9753-3B1DE34E9B55}" name="IMC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8" xr3:uid="{00000000-0010-0000-0000-00003A000000}" name="CODCIE9 2"/>
    <tableColumn id="59" xr3:uid="{00000000-0010-0000-0000-00003B000000}" name="Procedimiento12"/>
    <tableColumn id="61" xr3:uid="{00000000-0010-0000-0000-00003D000000}" name="CODCIE9 3"/>
    <tableColumn id="62" xr3:uid="{00000000-0010-0000-0000-00003E000000}" name="Procedimiento14"/>
    <tableColumn id="64" xr3:uid="{00000000-0010-0000-0000-000040000000}" name="CODCIE9 4"/>
    <tableColumn id="65" xr3:uid="{00000000-0010-0000-0000-000041000000}" name="Procedimiento16"/>
    <tableColumn id="67" xr3:uid="{00000000-0010-0000-0000-000043000000}" name="CODCIE9 5"/>
    <tableColumn id="68" xr3:uid="{00000000-0010-0000-0000-000044000000}" name="Procedimiento18"/>
    <tableColumn id="70" xr3:uid="{00000000-0010-0000-0000-000046000000}" name="CODCIE9 6"/>
    <tableColumn id="71" xr3:uid="{00000000-0010-0000-0000-000047000000}" name="Procedimiento20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K1054"/>
  <sheetViews>
    <sheetView tabSelected="1"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1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3" width="16.42578125" style="2" customWidth="1"/>
    <col min="14" max="14" width="11.7109375" style="2" bestFit="1" customWidth="1"/>
    <col min="15" max="15" width="28.28515625" style="2" customWidth="1"/>
    <col min="16" max="16" width="22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7" width="31.28515625" style="2" bestFit="1" customWidth="1"/>
    <col min="48" max="48" width="11.7109375" style="2" bestFit="1" customWidth="1"/>
    <col min="49" max="49" width="10.85546875" style="2" customWidth="1"/>
    <col min="50" max="50" width="15.5703125" style="2" bestFit="1" customWidth="1"/>
    <col min="51" max="51" width="15" style="2" customWidth="1"/>
    <col min="52" max="52" width="12.140625" style="2" customWidth="1"/>
    <col min="53" max="63" width="23.42578125" style="2" bestFit="1" customWidth="1"/>
    <col min="64" max="16384" width="9.140625" style="2"/>
  </cols>
  <sheetData>
    <row r="1" spans="1:63" ht="19.5" customHeight="1">
      <c r="A1" s="79" t="s">
        <v>0</v>
      </c>
      <c r="B1" s="80"/>
      <c r="C1" s="80"/>
      <c r="D1" s="80"/>
      <c r="E1" s="80"/>
      <c r="F1" s="80"/>
      <c r="G1" s="81"/>
      <c r="H1" s="79" t="s">
        <v>1</v>
      </c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3"/>
      <c r="V1" s="79" t="s">
        <v>2</v>
      </c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3"/>
      <c r="AO1" s="79" t="s">
        <v>3</v>
      </c>
      <c r="AP1" s="82"/>
      <c r="AQ1" s="82"/>
      <c r="AR1" s="82"/>
      <c r="AS1" s="82"/>
      <c r="AT1" s="82"/>
      <c r="AU1" s="82"/>
      <c r="AV1" s="82"/>
      <c r="AW1" s="82"/>
      <c r="AX1" s="83"/>
      <c r="AY1" s="79" t="s">
        <v>4</v>
      </c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4"/>
    </row>
    <row r="2" spans="1:63" ht="18.75" customHeight="1" thickBot="1">
      <c r="A2" s="73" t="s">
        <v>5</v>
      </c>
      <c r="B2" s="74" t="s">
        <v>765</v>
      </c>
      <c r="C2" s="75" t="s">
        <v>6</v>
      </c>
      <c r="D2" s="75" t="s">
        <v>7</v>
      </c>
      <c r="E2" s="75" t="s">
        <v>8</v>
      </c>
      <c r="F2" s="75" t="s">
        <v>9</v>
      </c>
      <c r="G2" s="77" t="s">
        <v>10</v>
      </c>
      <c r="H2" s="78" t="s">
        <v>11</v>
      </c>
      <c r="I2" s="75" t="s">
        <v>12</v>
      </c>
      <c r="J2" s="75" t="s">
        <v>13</v>
      </c>
      <c r="K2" s="75" t="s">
        <v>14</v>
      </c>
      <c r="L2" s="75" t="s">
        <v>15</v>
      </c>
      <c r="M2" s="74" t="s">
        <v>52</v>
      </c>
      <c r="N2" s="75" t="s">
        <v>16</v>
      </c>
      <c r="O2" s="75" t="s">
        <v>17</v>
      </c>
      <c r="P2" s="75" t="s">
        <v>18</v>
      </c>
      <c r="Q2" s="75" t="s">
        <v>19</v>
      </c>
      <c r="R2" s="75" t="s">
        <v>20</v>
      </c>
      <c r="S2" s="75" t="s">
        <v>21</v>
      </c>
      <c r="T2" s="75" t="s">
        <v>22</v>
      </c>
      <c r="U2" s="77" t="s">
        <v>23</v>
      </c>
      <c r="V2" s="78" t="s">
        <v>24</v>
      </c>
      <c r="W2" s="75" t="s">
        <v>25</v>
      </c>
      <c r="X2" s="75" t="s">
        <v>26</v>
      </c>
      <c r="Y2" s="75" t="s">
        <v>27</v>
      </c>
      <c r="Z2" s="75" t="s">
        <v>28</v>
      </c>
      <c r="AA2" s="75" t="s">
        <v>29</v>
      </c>
      <c r="AB2" s="75" t="s">
        <v>30</v>
      </c>
      <c r="AC2" s="75" t="s">
        <v>31</v>
      </c>
      <c r="AD2" s="75" t="s">
        <v>32</v>
      </c>
      <c r="AE2" s="75" t="s">
        <v>33</v>
      </c>
      <c r="AF2" s="75" t="s">
        <v>34</v>
      </c>
      <c r="AG2" s="75" t="s">
        <v>35</v>
      </c>
      <c r="AH2" s="75" t="s">
        <v>36</v>
      </c>
      <c r="AI2" s="75" t="s">
        <v>37</v>
      </c>
      <c r="AJ2" s="75" t="s">
        <v>38</v>
      </c>
      <c r="AK2" s="75" t="s">
        <v>39</v>
      </c>
      <c r="AL2" s="75" t="s">
        <v>40</v>
      </c>
      <c r="AM2" s="75" t="s">
        <v>41</v>
      </c>
      <c r="AN2" s="77" t="s">
        <v>42</v>
      </c>
      <c r="AO2" s="78" t="s">
        <v>43</v>
      </c>
      <c r="AP2" s="75" t="s">
        <v>44</v>
      </c>
      <c r="AQ2" s="75" t="s">
        <v>45</v>
      </c>
      <c r="AR2" s="75" t="s">
        <v>46</v>
      </c>
      <c r="AS2" s="75" t="s">
        <v>47</v>
      </c>
      <c r="AT2" s="75" t="s">
        <v>48</v>
      </c>
      <c r="AU2" s="75" t="s">
        <v>49</v>
      </c>
      <c r="AV2" s="75" t="s">
        <v>50</v>
      </c>
      <c r="AW2" s="75" t="s">
        <v>51</v>
      </c>
      <c r="AX2" s="77" t="s">
        <v>53</v>
      </c>
      <c r="AY2" s="78" t="s">
        <v>54</v>
      </c>
      <c r="AZ2" s="75" t="s">
        <v>55</v>
      </c>
      <c r="BA2" s="75" t="s">
        <v>56</v>
      </c>
      <c r="BB2" s="75" t="s">
        <v>57</v>
      </c>
      <c r="BC2" s="75" t="s">
        <v>58</v>
      </c>
      <c r="BD2" s="75" t="s">
        <v>59</v>
      </c>
      <c r="BE2" s="75" t="s">
        <v>60</v>
      </c>
      <c r="BF2" s="75" t="s">
        <v>61</v>
      </c>
      <c r="BG2" s="75" t="s">
        <v>62</v>
      </c>
      <c r="BH2" s="75" t="s">
        <v>63</v>
      </c>
      <c r="BI2" s="75" t="s">
        <v>64</v>
      </c>
      <c r="BJ2" s="75" t="s">
        <v>65</v>
      </c>
      <c r="BK2" s="76" t="s">
        <v>66</v>
      </c>
    </row>
    <row r="3" spans="1:63">
      <c r="A3" s="70"/>
      <c r="B3"/>
      <c r="C3"/>
      <c r="D3"/>
      <c r="E3"/>
      <c r="F3"/>
      <c r="G3"/>
      <c r="H3"/>
      <c r="I3"/>
      <c r="J3"/>
      <c r="K3"/>
      <c r="L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>
      <c r="A4" s="70"/>
      <c r="B4"/>
      <c r="C4"/>
      <c r="D4"/>
      <c r="E4"/>
      <c r="F4"/>
      <c r="G4"/>
      <c r="H4"/>
      <c r="I4"/>
      <c r="J4"/>
      <c r="K4"/>
      <c r="L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</row>
    <row r="5" spans="1:63">
      <c r="A5" s="70"/>
      <c r="B5"/>
      <c r="C5"/>
      <c r="D5"/>
      <c r="E5"/>
      <c r="F5"/>
      <c r="G5"/>
      <c r="H5"/>
      <c r="I5"/>
      <c r="J5"/>
      <c r="K5"/>
      <c r="L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</row>
    <row r="6" spans="1:63">
      <c r="A6" s="70"/>
      <c r="B6"/>
      <c r="C6"/>
      <c r="D6"/>
      <c r="E6"/>
      <c r="F6"/>
      <c r="G6"/>
      <c r="H6"/>
      <c r="I6"/>
      <c r="J6"/>
      <c r="K6"/>
      <c r="L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</row>
    <row r="7" spans="1:63">
      <c r="A7" s="70"/>
      <c r="B7"/>
      <c r="C7"/>
      <c r="D7"/>
      <c r="E7"/>
      <c r="F7"/>
      <c r="G7"/>
      <c r="H7"/>
      <c r="I7"/>
      <c r="J7"/>
      <c r="K7"/>
      <c r="L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</row>
    <row r="8" spans="1:63">
      <c r="A8" s="70"/>
      <c r="B8"/>
      <c r="C8"/>
      <c r="D8"/>
      <c r="E8"/>
      <c r="F8"/>
      <c r="G8"/>
      <c r="H8"/>
      <c r="I8"/>
      <c r="J8"/>
      <c r="K8"/>
      <c r="L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</row>
    <row r="9" spans="1:63">
      <c r="A9" s="70"/>
      <c r="B9"/>
      <c r="C9"/>
      <c r="D9"/>
      <c r="E9"/>
      <c r="F9"/>
      <c r="G9"/>
      <c r="H9"/>
      <c r="I9"/>
      <c r="J9"/>
      <c r="K9"/>
      <c r="L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</row>
    <row r="10" spans="1:63">
      <c r="A10" s="70"/>
      <c r="B10"/>
      <c r="C10"/>
      <c r="D10"/>
      <c r="E10"/>
      <c r="F10"/>
      <c r="G10"/>
      <c r="H10"/>
      <c r="I10"/>
      <c r="J10"/>
      <c r="K10"/>
      <c r="L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</row>
    <row r="11" spans="1:63">
      <c r="A11" s="70"/>
      <c r="B11"/>
      <c r="C11"/>
      <c r="D11"/>
      <c r="E11"/>
      <c r="F11"/>
      <c r="G11"/>
      <c r="H11"/>
      <c r="I11"/>
      <c r="J11"/>
      <c r="K11"/>
      <c r="L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</row>
    <row r="12" spans="1:63">
      <c r="A12" s="70"/>
      <c r="B12"/>
      <c r="C12"/>
      <c r="D12"/>
      <c r="E12"/>
      <c r="F12"/>
      <c r="G12"/>
      <c r="H12"/>
      <c r="I12"/>
      <c r="J12"/>
      <c r="K12"/>
      <c r="L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</row>
    <row r="13" spans="1:63">
      <c r="A13" s="70"/>
      <c r="B13"/>
      <c r="C13"/>
      <c r="D13"/>
      <c r="E13"/>
      <c r="F13"/>
      <c r="G13"/>
      <c r="H13"/>
      <c r="I13"/>
      <c r="J13"/>
      <c r="K13"/>
      <c r="L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</row>
    <row r="14" spans="1:63">
      <c r="A14" s="70"/>
      <c r="B14"/>
      <c r="C14"/>
      <c r="D14"/>
      <c r="E14"/>
      <c r="F14"/>
      <c r="G14"/>
      <c r="H14"/>
      <c r="I14"/>
      <c r="J14"/>
      <c r="K14"/>
      <c r="L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</row>
    <row r="15" spans="1:63">
      <c r="A15" s="70"/>
      <c r="B15"/>
      <c r="C15"/>
      <c r="D15"/>
      <c r="E15"/>
      <c r="F15"/>
      <c r="G15"/>
      <c r="H15"/>
      <c r="I15"/>
      <c r="J15"/>
      <c r="K15"/>
      <c r="L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</row>
    <row r="16" spans="1:63">
      <c r="A16" s="70"/>
      <c r="B16"/>
      <c r="C16"/>
      <c r="D16"/>
      <c r="E16"/>
      <c r="F16"/>
      <c r="G16"/>
      <c r="H16"/>
      <c r="I16"/>
      <c r="J16"/>
      <c r="K16"/>
      <c r="L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</row>
    <row r="17" spans="1:63">
      <c r="A17" s="70"/>
      <c r="B17"/>
      <c r="C17"/>
      <c r="D17"/>
      <c r="E17"/>
      <c r="F17"/>
      <c r="G17"/>
      <c r="H17"/>
      <c r="I17"/>
      <c r="J17"/>
      <c r="K17"/>
      <c r="L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</row>
    <row r="18" spans="1:63">
      <c r="A18" s="70"/>
      <c r="B18"/>
      <c r="C18"/>
      <c r="D18"/>
      <c r="E18"/>
      <c r="F18"/>
      <c r="G18"/>
      <c r="H18"/>
      <c r="I18"/>
      <c r="J18"/>
      <c r="K18"/>
      <c r="L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</row>
    <row r="19" spans="1:63">
      <c r="A19" s="70"/>
      <c r="B19"/>
      <c r="C19"/>
      <c r="D19"/>
      <c r="E19"/>
      <c r="F19"/>
      <c r="G19"/>
      <c r="H19"/>
      <c r="I19"/>
      <c r="J19"/>
      <c r="K19"/>
      <c r="L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</row>
    <row r="20" spans="1:63">
      <c r="A20" s="70"/>
      <c r="B20"/>
      <c r="C20"/>
      <c r="D20"/>
      <c r="E20"/>
      <c r="F20"/>
      <c r="G20"/>
      <c r="H20"/>
      <c r="I20"/>
      <c r="J20"/>
      <c r="K20"/>
      <c r="L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</row>
    <row r="21" spans="1:63">
      <c r="A21" s="70"/>
      <c r="B21"/>
      <c r="C21"/>
      <c r="D21"/>
      <c r="E21"/>
      <c r="F21"/>
      <c r="G21"/>
      <c r="H21"/>
      <c r="I21"/>
      <c r="J21"/>
      <c r="K21"/>
      <c r="L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</row>
    <row r="22" spans="1:63">
      <c r="A22" s="70"/>
      <c r="B22"/>
      <c r="C22"/>
      <c r="D22"/>
      <c r="E22"/>
      <c r="F22"/>
      <c r="G22"/>
      <c r="H22"/>
      <c r="I22"/>
      <c r="J22"/>
      <c r="K22"/>
      <c r="L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</row>
    <row r="23" spans="1:63">
      <c r="A23" s="70"/>
      <c r="B23"/>
      <c r="C23"/>
      <c r="D23"/>
      <c r="E23"/>
      <c r="F23"/>
      <c r="G23"/>
      <c r="H23"/>
      <c r="I23"/>
      <c r="J23"/>
      <c r="K23"/>
      <c r="L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</row>
    <row r="24" spans="1:63">
      <c r="A24" s="70"/>
      <c r="B24"/>
      <c r="C24"/>
      <c r="D24"/>
      <c r="E24"/>
      <c r="F24"/>
      <c r="G24"/>
      <c r="H24"/>
      <c r="I24"/>
      <c r="J24"/>
      <c r="K24"/>
      <c r="L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</row>
    <row r="25" spans="1:63">
      <c r="A25" s="70"/>
      <c r="B25"/>
      <c r="C25"/>
      <c r="D25"/>
      <c r="E25"/>
      <c r="F25"/>
      <c r="G25"/>
      <c r="H25"/>
      <c r="I25"/>
      <c r="J25"/>
      <c r="K25"/>
      <c r="L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</row>
    <row r="26" spans="1:63">
      <c r="A26" s="70"/>
      <c r="B26"/>
      <c r="C26"/>
      <c r="D26"/>
      <c r="E26"/>
      <c r="F26"/>
      <c r="G26"/>
      <c r="H26"/>
      <c r="I26"/>
      <c r="J26"/>
      <c r="K26"/>
      <c r="L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</row>
    <row r="27" spans="1:63">
      <c r="A27" s="70"/>
      <c r="B27"/>
      <c r="C27"/>
      <c r="D27"/>
      <c r="E27"/>
      <c r="F27"/>
      <c r="G27"/>
      <c r="H27"/>
      <c r="I27"/>
      <c r="J27"/>
      <c r="K27"/>
      <c r="L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</row>
    <row r="28" spans="1:63">
      <c r="A28" s="70"/>
      <c r="B28"/>
      <c r="C28"/>
      <c r="D28"/>
      <c r="E28"/>
      <c r="F28"/>
      <c r="G28"/>
      <c r="H28"/>
      <c r="I28"/>
      <c r="J28"/>
      <c r="K28"/>
      <c r="L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</row>
    <row r="29" spans="1:63">
      <c r="A29" s="70"/>
      <c r="B29"/>
      <c r="C29"/>
      <c r="D29"/>
      <c r="E29"/>
      <c r="F29"/>
      <c r="G29"/>
      <c r="H29"/>
      <c r="I29"/>
      <c r="J29"/>
      <c r="K29"/>
      <c r="L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</row>
    <row r="30" spans="1:63">
      <c r="A30" s="70"/>
      <c r="B30"/>
      <c r="C30"/>
      <c r="D30"/>
      <c r="E30"/>
      <c r="F30"/>
      <c r="G30"/>
      <c r="H30"/>
      <c r="I30"/>
      <c r="J30"/>
      <c r="K30"/>
      <c r="L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</row>
    <row r="31" spans="1:63">
      <c r="A31" s="70"/>
      <c r="B31"/>
      <c r="C31"/>
      <c r="D31"/>
      <c r="E31"/>
      <c r="F31"/>
      <c r="G31"/>
      <c r="H31"/>
      <c r="I31"/>
      <c r="J31"/>
      <c r="K31"/>
      <c r="L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</row>
    <row r="32" spans="1:63">
      <c r="A32" s="70"/>
      <c r="B32"/>
      <c r="C32"/>
      <c r="D32"/>
      <c r="E32"/>
      <c r="F32"/>
      <c r="G32"/>
      <c r="H32"/>
      <c r="I32"/>
      <c r="J32"/>
      <c r="K32"/>
      <c r="L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</row>
    <row r="33" spans="1:63">
      <c r="A33" s="70"/>
      <c r="B33"/>
      <c r="C33"/>
      <c r="D33"/>
      <c r="E33"/>
      <c r="F33"/>
      <c r="G33"/>
      <c r="H33"/>
      <c r="I33"/>
      <c r="J33"/>
      <c r="K33"/>
      <c r="L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</row>
    <row r="34" spans="1:63">
      <c r="A34" s="70"/>
      <c r="B34"/>
      <c r="C34"/>
      <c r="D34"/>
      <c r="E34"/>
      <c r="F34"/>
      <c r="G34"/>
      <c r="H34"/>
      <c r="I34"/>
      <c r="J34"/>
      <c r="K34"/>
      <c r="L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</row>
    <row r="35" spans="1:63">
      <c r="A35" s="70"/>
      <c r="B35"/>
      <c r="C35"/>
      <c r="D35"/>
      <c r="E35"/>
      <c r="F35"/>
      <c r="G35"/>
      <c r="H35"/>
      <c r="I35"/>
      <c r="J35"/>
      <c r="K35"/>
      <c r="L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</row>
    <row r="36" spans="1:63">
      <c r="A36" s="70"/>
      <c r="B36"/>
      <c r="C36"/>
      <c r="D36"/>
      <c r="E36"/>
      <c r="F36"/>
      <c r="G36"/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</row>
    <row r="37" spans="1:63">
      <c r="A37" s="70"/>
      <c r="B37"/>
      <c r="C37"/>
      <c r="D37"/>
      <c r="E37"/>
      <c r="F37"/>
      <c r="G37"/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</row>
    <row r="38" spans="1:63">
      <c r="A38" s="70"/>
      <c r="B38"/>
      <c r="C38"/>
      <c r="D38"/>
      <c r="E38"/>
      <c r="F38"/>
      <c r="G38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</row>
    <row r="39" spans="1:63">
      <c r="A39" s="70"/>
      <c r="B39"/>
      <c r="C39"/>
      <c r="D39"/>
      <c r="E39"/>
      <c r="F39"/>
      <c r="G39"/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</row>
    <row r="40" spans="1:63">
      <c r="A40" s="70"/>
      <c r="B40"/>
      <c r="C40"/>
      <c r="D40"/>
      <c r="E40"/>
      <c r="F40"/>
      <c r="G40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</row>
    <row r="41" spans="1:63">
      <c r="A41" s="70"/>
      <c r="B41"/>
      <c r="C41"/>
      <c r="D41"/>
      <c r="E41"/>
      <c r="F41"/>
      <c r="G41"/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</row>
    <row r="42" spans="1:63">
      <c r="A42" s="70"/>
      <c r="B42"/>
      <c r="C42"/>
      <c r="D42"/>
      <c r="E42"/>
      <c r="F42"/>
      <c r="G42"/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</row>
    <row r="43" spans="1:63">
      <c r="A43" s="70"/>
      <c r="B43"/>
      <c r="C43"/>
      <c r="D43"/>
      <c r="E43"/>
      <c r="F43"/>
      <c r="G43"/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</row>
    <row r="44" spans="1:63">
      <c r="A44" s="70"/>
      <c r="B44"/>
      <c r="C44"/>
      <c r="D44"/>
      <c r="E44"/>
      <c r="F44"/>
      <c r="G44"/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</row>
    <row r="45" spans="1:63">
      <c r="A45" s="70"/>
      <c r="B45"/>
      <c r="C45"/>
      <c r="D45"/>
      <c r="E45"/>
      <c r="F45"/>
      <c r="G45"/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</row>
    <row r="46" spans="1:63">
      <c r="A46" s="70"/>
      <c r="B46"/>
      <c r="C46"/>
      <c r="D46"/>
      <c r="E46"/>
      <c r="F46"/>
      <c r="G46"/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</row>
    <row r="47" spans="1:63">
      <c r="A47" s="70"/>
      <c r="B47"/>
      <c r="C47"/>
      <c r="D47"/>
      <c r="E47"/>
      <c r="F47"/>
      <c r="G47"/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</row>
    <row r="48" spans="1:63">
      <c r="A48" s="70"/>
      <c r="B48"/>
      <c r="C48"/>
      <c r="D48"/>
      <c r="E48"/>
      <c r="F48"/>
      <c r="G48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</row>
    <row r="49" spans="1:63">
      <c r="A49" s="70"/>
      <c r="B49"/>
      <c r="C49"/>
      <c r="D49"/>
      <c r="E49"/>
      <c r="F49"/>
      <c r="G49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</row>
    <row r="50" spans="1:63">
      <c r="A50" s="70"/>
      <c r="B50"/>
      <c r="C50"/>
      <c r="D50"/>
      <c r="E50"/>
      <c r="F50"/>
      <c r="G50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</row>
    <row r="51" spans="1:63">
      <c r="A51" s="70"/>
      <c r="B51"/>
      <c r="C51"/>
      <c r="D51"/>
      <c r="E51"/>
      <c r="F51"/>
      <c r="G5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</row>
    <row r="52" spans="1:63">
      <c r="A52" s="70"/>
      <c r="B52"/>
      <c r="C52"/>
      <c r="D52"/>
      <c r="E52"/>
      <c r="F52"/>
      <c r="G52"/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</row>
    <row r="53" spans="1:63">
      <c r="A53" s="70"/>
      <c r="B53"/>
      <c r="C53"/>
      <c r="D53"/>
      <c r="E53"/>
      <c r="F53"/>
      <c r="G53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</row>
    <row r="54" spans="1:63">
      <c r="A54" s="70"/>
      <c r="B54"/>
      <c r="C54"/>
      <c r="D54"/>
      <c r="E54"/>
      <c r="F54"/>
      <c r="G54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</row>
    <row r="55" spans="1:63">
      <c r="A55" s="70"/>
      <c r="B55"/>
      <c r="C55"/>
      <c r="D55"/>
      <c r="E55"/>
      <c r="F55"/>
      <c r="G55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</row>
    <row r="56" spans="1:63">
      <c r="A56" s="70"/>
      <c r="B56"/>
      <c r="C56"/>
      <c r="D56"/>
      <c r="E56"/>
      <c r="F56"/>
      <c r="G5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</row>
    <row r="57" spans="1:63">
      <c r="A57" s="70"/>
      <c r="B57"/>
      <c r="C57"/>
      <c r="D57"/>
      <c r="E57"/>
      <c r="F57"/>
      <c r="G57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</row>
    <row r="58" spans="1:63">
      <c r="A58" s="70"/>
      <c r="B58"/>
      <c r="C58"/>
      <c r="D58"/>
      <c r="E58"/>
      <c r="F58"/>
      <c r="G58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</row>
    <row r="59" spans="1:63">
      <c r="A59" s="70"/>
      <c r="B59"/>
      <c r="C59"/>
      <c r="D59"/>
      <c r="E59"/>
      <c r="F59"/>
      <c r="G59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</row>
    <row r="60" spans="1:63">
      <c r="A60" s="70"/>
      <c r="B60"/>
      <c r="C60"/>
      <c r="D60"/>
      <c r="E60"/>
      <c r="F60"/>
      <c r="G6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</row>
    <row r="61" spans="1:63">
      <c r="A61" s="70"/>
      <c r="B61"/>
      <c r="C61"/>
      <c r="D61"/>
      <c r="E61"/>
      <c r="F61"/>
      <c r="G61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</row>
    <row r="62" spans="1:63">
      <c r="A62" s="70"/>
      <c r="B62"/>
      <c r="C62"/>
      <c r="D62"/>
      <c r="E62"/>
      <c r="F62"/>
      <c r="G62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</row>
    <row r="63" spans="1:63">
      <c r="A63" s="70"/>
      <c r="B63"/>
      <c r="C63"/>
      <c r="D63"/>
      <c r="E63"/>
      <c r="F63"/>
      <c r="G63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</row>
    <row r="64" spans="1:63">
      <c r="A64" s="70"/>
      <c r="B64"/>
      <c r="C64"/>
      <c r="D64"/>
      <c r="E64"/>
      <c r="F64"/>
      <c r="G6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</row>
    <row r="65" spans="1:63">
      <c r="A65" s="70"/>
      <c r="B65"/>
      <c r="C65"/>
      <c r="D65"/>
      <c r="E65"/>
      <c r="F65"/>
      <c r="G65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</row>
    <row r="66" spans="1:63">
      <c r="A66" s="70"/>
      <c r="B66"/>
      <c r="C66"/>
      <c r="D66"/>
      <c r="E66"/>
      <c r="F66"/>
      <c r="G66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</row>
    <row r="67" spans="1:63">
      <c r="A67" s="70"/>
      <c r="B67"/>
      <c r="C67"/>
      <c r="D67"/>
      <c r="E67"/>
      <c r="F67"/>
      <c r="G6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</row>
    <row r="68" spans="1:63">
      <c r="A68" s="70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</row>
    <row r="69" spans="1:63">
      <c r="A69" s="70"/>
      <c r="B69"/>
      <c r="C69"/>
      <c r="D69"/>
      <c r="E69"/>
      <c r="F69"/>
      <c r="G69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</row>
    <row r="70" spans="1:63">
      <c r="A70" s="70"/>
      <c r="B70"/>
      <c r="C70"/>
      <c r="D70"/>
      <c r="E70"/>
      <c r="F70"/>
      <c r="G70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</row>
    <row r="71" spans="1:63">
      <c r="A71" s="70"/>
      <c r="B71"/>
      <c r="C71"/>
      <c r="D71"/>
      <c r="E71"/>
      <c r="F71"/>
      <c r="G71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</row>
    <row r="72" spans="1:63">
      <c r="A72" s="70"/>
      <c r="B72"/>
      <c r="C72"/>
      <c r="D72"/>
      <c r="E72"/>
      <c r="F72"/>
      <c r="G72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</row>
    <row r="73" spans="1:63">
      <c r="A73" s="70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</row>
    <row r="74" spans="1:63">
      <c r="A74" s="70"/>
      <c r="B74"/>
      <c r="C74"/>
      <c r="D74"/>
      <c r="E74"/>
      <c r="F74"/>
      <c r="G74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</row>
    <row r="75" spans="1:63">
      <c r="A75" s="70"/>
      <c r="B75"/>
      <c r="C75"/>
      <c r="D75"/>
      <c r="E75"/>
      <c r="F75"/>
      <c r="G75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</row>
    <row r="76" spans="1:63">
      <c r="A76" s="70"/>
      <c r="B76"/>
      <c r="C76"/>
      <c r="D76"/>
      <c r="E76"/>
      <c r="F76"/>
      <c r="G76"/>
      <c r="H76"/>
      <c r="I76"/>
      <c r="J76"/>
      <c r="K76"/>
      <c r="L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</row>
    <row r="77" spans="1:63">
      <c r="A77" s="70"/>
      <c r="B77"/>
      <c r="C77"/>
      <c r="D77"/>
      <c r="E77"/>
      <c r="F77"/>
      <c r="G77"/>
      <c r="H77"/>
      <c r="I77"/>
      <c r="J77"/>
      <c r="K77"/>
      <c r="L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</row>
    <row r="78" spans="1:63">
      <c r="A78" s="70"/>
      <c r="B78"/>
      <c r="C78"/>
      <c r="D78"/>
      <c r="E78"/>
      <c r="F78"/>
      <c r="G78"/>
      <c r="H78"/>
      <c r="I78"/>
      <c r="J78"/>
      <c r="K78"/>
      <c r="L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</row>
    <row r="79" spans="1:63">
      <c r="A79" s="70"/>
      <c r="B79"/>
      <c r="C79"/>
      <c r="D79"/>
      <c r="E79"/>
      <c r="F79"/>
      <c r="G79"/>
      <c r="H79"/>
      <c r="I79"/>
      <c r="J79"/>
      <c r="K79"/>
      <c r="L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</row>
    <row r="80" spans="1:63">
      <c r="A80" s="70"/>
      <c r="B80"/>
      <c r="C80"/>
      <c r="D80"/>
      <c r="E80"/>
      <c r="F80"/>
      <c r="G80"/>
      <c r="H80"/>
      <c r="I80"/>
      <c r="J80"/>
      <c r="K80"/>
      <c r="L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</row>
    <row r="81" spans="1:63">
      <c r="A81" s="70"/>
      <c r="B81"/>
      <c r="C81"/>
      <c r="D81"/>
      <c r="E81"/>
      <c r="F81"/>
      <c r="G81"/>
      <c r="H81"/>
      <c r="I81"/>
      <c r="J81"/>
      <c r="K81"/>
      <c r="L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</row>
    <row r="82" spans="1:63">
      <c r="A82" s="70"/>
      <c r="B82"/>
      <c r="C82"/>
      <c r="D82"/>
      <c r="E82"/>
      <c r="F82"/>
      <c r="G82"/>
      <c r="H82"/>
      <c r="I82"/>
      <c r="J82"/>
      <c r="K82"/>
      <c r="L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</row>
    <row r="83" spans="1:63">
      <c r="A83" s="70"/>
      <c r="B83"/>
      <c r="C83"/>
      <c r="D83"/>
      <c r="E83"/>
      <c r="F83"/>
      <c r="G83"/>
      <c r="H83"/>
      <c r="I83"/>
      <c r="J83"/>
      <c r="K83"/>
      <c r="L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</row>
    <row r="84" spans="1:63">
      <c r="A84" s="70"/>
      <c r="B84"/>
      <c r="C84"/>
      <c r="D84"/>
      <c r="E84"/>
      <c r="F84"/>
      <c r="G84"/>
      <c r="H84"/>
      <c r="I84"/>
      <c r="J84"/>
      <c r="K84"/>
      <c r="L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</row>
    <row r="85" spans="1:63">
      <c r="A85" s="70"/>
      <c r="B85"/>
      <c r="C85"/>
      <c r="D85"/>
      <c r="E85"/>
      <c r="F85"/>
      <c r="G85"/>
      <c r="H85"/>
      <c r="I85"/>
      <c r="J85"/>
      <c r="K85"/>
      <c r="L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</row>
    <row r="86" spans="1:63">
      <c r="A86" s="70"/>
      <c r="B86"/>
      <c r="C86"/>
      <c r="D86"/>
      <c r="E86"/>
      <c r="F86"/>
      <c r="G86"/>
      <c r="H86"/>
      <c r="I86"/>
      <c r="J86"/>
      <c r="K86"/>
      <c r="L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</row>
    <row r="87" spans="1:63">
      <c r="A87" s="70"/>
      <c r="B87"/>
      <c r="C87"/>
      <c r="D87"/>
      <c r="E87"/>
      <c r="F87"/>
      <c r="G87"/>
      <c r="H87"/>
      <c r="I87"/>
      <c r="J87"/>
      <c r="K87"/>
      <c r="L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</row>
    <row r="88" spans="1:63">
      <c r="A88" s="70"/>
      <c r="B88"/>
      <c r="C88"/>
      <c r="D88"/>
      <c r="E88"/>
      <c r="F88"/>
      <c r="G88"/>
      <c r="H88"/>
      <c r="I88"/>
      <c r="J88"/>
      <c r="K88"/>
      <c r="L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</row>
    <row r="89" spans="1:63">
      <c r="A89" s="70"/>
      <c r="B89"/>
      <c r="C89"/>
      <c r="D89"/>
      <c r="E89"/>
      <c r="F89"/>
      <c r="G89"/>
      <c r="H89"/>
      <c r="I89"/>
      <c r="J89"/>
      <c r="K89"/>
      <c r="L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</row>
    <row r="90" spans="1:63">
      <c r="A90" s="70"/>
      <c r="B90"/>
      <c r="C90"/>
      <c r="D90"/>
      <c r="E90"/>
      <c r="F90"/>
      <c r="G90"/>
      <c r="H90"/>
      <c r="I90"/>
      <c r="J90"/>
      <c r="K90"/>
      <c r="L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</row>
    <row r="91" spans="1:63">
      <c r="A91" s="70"/>
      <c r="B91"/>
      <c r="C91"/>
      <c r="D91"/>
      <c r="E91"/>
      <c r="F91"/>
      <c r="G91"/>
      <c r="H91"/>
      <c r="I91"/>
      <c r="J91"/>
      <c r="K91"/>
      <c r="L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</row>
    <row r="92" spans="1:63">
      <c r="A92" s="70"/>
      <c r="B92"/>
      <c r="C92"/>
      <c r="D92"/>
      <c r="E92"/>
      <c r="F92"/>
      <c r="G92"/>
      <c r="H92"/>
      <c r="I92"/>
      <c r="J92"/>
      <c r="K92"/>
      <c r="L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</row>
    <row r="93" spans="1:63">
      <c r="A93" s="70"/>
      <c r="B93"/>
      <c r="C93"/>
      <c r="D93"/>
      <c r="E93"/>
      <c r="F93"/>
      <c r="G93"/>
      <c r="H93"/>
      <c r="I93"/>
      <c r="J93"/>
      <c r="K93"/>
      <c r="L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</row>
    <row r="94" spans="1:63">
      <c r="A94" s="70"/>
      <c r="B94"/>
      <c r="C94"/>
      <c r="D94"/>
      <c r="E94"/>
      <c r="F94"/>
      <c r="G94"/>
      <c r="H94"/>
      <c r="I94"/>
      <c r="J94"/>
      <c r="K94"/>
      <c r="L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</row>
    <row r="95" spans="1:63">
      <c r="A95" s="70"/>
      <c r="B95"/>
      <c r="C95"/>
      <c r="D95"/>
      <c r="E95"/>
      <c r="F95"/>
      <c r="G95"/>
      <c r="H95"/>
      <c r="I95"/>
      <c r="J95"/>
      <c r="K95"/>
      <c r="L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</row>
    <row r="96" spans="1:63">
      <c r="A96" s="70"/>
      <c r="B96"/>
      <c r="C96"/>
      <c r="D96"/>
      <c r="E96"/>
      <c r="F96"/>
      <c r="G96"/>
      <c r="H96"/>
      <c r="I96"/>
      <c r="J96"/>
      <c r="K96"/>
      <c r="L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</row>
    <row r="97" spans="1:63">
      <c r="A97" s="70"/>
      <c r="B97"/>
      <c r="C97"/>
      <c r="D97"/>
      <c r="E97"/>
      <c r="F97"/>
      <c r="G97"/>
      <c r="H97"/>
      <c r="I97"/>
      <c r="J97"/>
      <c r="K97"/>
      <c r="L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</row>
    <row r="98" spans="1:63">
      <c r="A98" s="70"/>
      <c r="B98"/>
      <c r="C98"/>
      <c r="D98"/>
      <c r="E98"/>
      <c r="F98"/>
      <c r="G98"/>
      <c r="H98"/>
      <c r="I98"/>
      <c r="J98"/>
      <c r="K98"/>
      <c r="L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</row>
    <row r="99" spans="1:63">
      <c r="A99" s="70"/>
      <c r="B99"/>
      <c r="C99"/>
      <c r="D99"/>
      <c r="E99"/>
      <c r="F99"/>
      <c r="G99"/>
      <c r="H99"/>
      <c r="I99"/>
      <c r="J99"/>
      <c r="K99"/>
      <c r="L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</row>
    <row r="100" spans="1:63">
      <c r="A100" s="70"/>
      <c r="B100"/>
      <c r="C100"/>
      <c r="D100"/>
      <c r="E100"/>
      <c r="F100"/>
      <c r="G100"/>
      <c r="H100"/>
      <c r="I100"/>
      <c r="J100"/>
      <c r="K100"/>
      <c r="L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</row>
    <row r="101" spans="1:63">
      <c r="A101" s="70"/>
      <c r="B101"/>
      <c r="C101"/>
      <c r="D101"/>
      <c r="E101"/>
      <c r="F101"/>
      <c r="G101"/>
      <c r="H101"/>
      <c r="I101"/>
      <c r="J101"/>
      <c r="K101"/>
      <c r="L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</row>
    <row r="102" spans="1:63">
      <c r="A102" s="70"/>
      <c r="B102"/>
      <c r="C102"/>
      <c r="D102"/>
      <c r="E102"/>
      <c r="F102"/>
      <c r="G102"/>
      <c r="H102"/>
      <c r="I102"/>
      <c r="J102"/>
      <c r="K102"/>
      <c r="L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</row>
    <row r="103" spans="1:63">
      <c r="A103" s="70"/>
      <c r="B103"/>
      <c r="C103"/>
      <c r="D103"/>
      <c r="E103"/>
      <c r="F103"/>
      <c r="G103"/>
      <c r="H103"/>
      <c r="I103"/>
      <c r="J103"/>
      <c r="K103"/>
      <c r="L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</row>
    <row r="104" spans="1:63">
      <c r="A104" s="70"/>
      <c r="B104"/>
      <c r="C104"/>
      <c r="D104"/>
      <c r="E104"/>
      <c r="F104"/>
      <c r="G104"/>
      <c r="H104"/>
      <c r="I104"/>
      <c r="J104"/>
      <c r="K104"/>
      <c r="L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</row>
    <row r="105" spans="1:63">
      <c r="A105" s="70"/>
      <c r="B105"/>
      <c r="C105"/>
      <c r="D105"/>
      <c r="E105"/>
      <c r="F105"/>
      <c r="G105"/>
      <c r="H105"/>
      <c r="I105"/>
      <c r="J105"/>
      <c r="K105"/>
      <c r="L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</row>
    <row r="106" spans="1:63">
      <c r="A106" s="70"/>
      <c r="B106"/>
      <c r="C106"/>
      <c r="D106"/>
      <c r="E106"/>
      <c r="F106"/>
      <c r="G106"/>
      <c r="H106"/>
      <c r="I106"/>
      <c r="J106"/>
      <c r="K106"/>
      <c r="L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</row>
    <row r="107" spans="1:63">
      <c r="A107" s="70"/>
      <c r="B107"/>
      <c r="C107"/>
      <c r="D107"/>
      <c r="E107"/>
      <c r="F107"/>
      <c r="G107"/>
      <c r="H107"/>
      <c r="I107"/>
      <c r="J107"/>
      <c r="K107"/>
      <c r="L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</row>
    <row r="108" spans="1:63">
      <c r="A108" s="70"/>
      <c r="B108"/>
      <c r="C108"/>
      <c r="D108"/>
      <c r="E108"/>
      <c r="F108"/>
      <c r="G108"/>
      <c r="H108"/>
      <c r="I108"/>
      <c r="J108"/>
      <c r="K108"/>
      <c r="L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</row>
    <row r="109" spans="1:63">
      <c r="A109" s="70"/>
      <c r="B109"/>
      <c r="C109"/>
      <c r="D109"/>
      <c r="E109"/>
      <c r="F109"/>
      <c r="G109"/>
      <c r="H109"/>
      <c r="I109"/>
      <c r="J109"/>
      <c r="K109"/>
      <c r="L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</row>
    <row r="110" spans="1:63">
      <c r="A110" s="70"/>
      <c r="B110"/>
      <c r="C110"/>
      <c r="D110"/>
      <c r="E110"/>
      <c r="F110"/>
      <c r="G110"/>
      <c r="H110"/>
      <c r="I110"/>
      <c r="J110"/>
      <c r="K110"/>
      <c r="L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</row>
    <row r="111" spans="1:63">
      <c r="A111" s="70"/>
      <c r="B111"/>
      <c r="C111"/>
      <c r="D111"/>
      <c r="E111"/>
      <c r="F111"/>
      <c r="G111"/>
      <c r="H111"/>
      <c r="I111"/>
      <c r="J111"/>
      <c r="K111"/>
      <c r="L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</row>
    <row r="112" spans="1:63">
      <c r="A112" s="70"/>
      <c r="B112"/>
      <c r="C112"/>
      <c r="D112"/>
      <c r="E112"/>
      <c r="F112"/>
      <c r="G112"/>
      <c r="H112"/>
      <c r="I112"/>
      <c r="J112"/>
      <c r="K112"/>
      <c r="L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</row>
    <row r="113" spans="1:63">
      <c r="A113" s="70"/>
      <c r="B113"/>
      <c r="C113"/>
      <c r="D113"/>
      <c r="E113"/>
      <c r="F113"/>
      <c r="G113"/>
      <c r="H113"/>
      <c r="I113"/>
      <c r="J113"/>
      <c r="K113"/>
      <c r="L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</row>
    <row r="114" spans="1:63">
      <c r="A114" s="70"/>
      <c r="B114"/>
      <c r="C114"/>
      <c r="D114"/>
      <c r="E114"/>
      <c r="F114"/>
      <c r="G114"/>
      <c r="H114"/>
      <c r="I114"/>
      <c r="J114"/>
      <c r="K114"/>
      <c r="L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</row>
    <row r="115" spans="1:63">
      <c r="A115" s="70"/>
      <c r="B115"/>
      <c r="C115"/>
      <c r="D115"/>
      <c r="E115"/>
      <c r="F115"/>
      <c r="G115"/>
      <c r="H115"/>
      <c r="I115"/>
      <c r="J115"/>
      <c r="K115"/>
      <c r="L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</row>
    <row r="116" spans="1:63">
      <c r="A116" s="70"/>
      <c r="B116"/>
      <c r="C116"/>
      <c r="D116"/>
      <c r="E116"/>
      <c r="F116"/>
      <c r="G116"/>
      <c r="H116"/>
      <c r="I116"/>
      <c r="J116"/>
      <c r="K116"/>
      <c r="L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</row>
    <row r="117" spans="1:63">
      <c r="A117" s="70"/>
      <c r="B117"/>
      <c r="C117"/>
      <c r="D117"/>
      <c r="E117"/>
      <c r="F117"/>
      <c r="G117"/>
      <c r="H117"/>
      <c r="I117"/>
      <c r="J117"/>
      <c r="K117"/>
      <c r="L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</row>
    <row r="118" spans="1:63">
      <c r="A118" s="70"/>
      <c r="B118"/>
      <c r="C118"/>
      <c r="D118"/>
      <c r="E118"/>
      <c r="F118"/>
      <c r="G118"/>
      <c r="H118"/>
      <c r="I118"/>
      <c r="J118"/>
      <c r="K118"/>
      <c r="L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</row>
    <row r="119" spans="1:63">
      <c r="A119" s="70"/>
      <c r="B119"/>
      <c r="C119"/>
      <c r="D119"/>
      <c r="E119"/>
      <c r="F119"/>
      <c r="G119"/>
      <c r="H119"/>
      <c r="I119"/>
      <c r="J119"/>
      <c r="K119"/>
      <c r="L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</row>
    <row r="120" spans="1:63">
      <c r="A120" s="70"/>
      <c r="B120"/>
      <c r="C120"/>
      <c r="D120"/>
      <c r="E120"/>
      <c r="F120"/>
      <c r="G120"/>
      <c r="H120"/>
      <c r="I120"/>
      <c r="J120"/>
      <c r="K120"/>
      <c r="L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</row>
    <row r="121" spans="1:63">
      <c r="A121" s="70"/>
      <c r="B121"/>
      <c r="C121"/>
      <c r="D121"/>
      <c r="E121"/>
      <c r="F121"/>
      <c r="G121"/>
      <c r="H121"/>
      <c r="I121"/>
      <c r="J121"/>
      <c r="K121"/>
      <c r="L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</row>
    <row r="122" spans="1:63">
      <c r="A122" s="70"/>
      <c r="B122"/>
      <c r="C122"/>
      <c r="D122"/>
      <c r="E122"/>
      <c r="F122"/>
      <c r="G122"/>
      <c r="H122"/>
      <c r="I122"/>
      <c r="J122"/>
      <c r="K122"/>
      <c r="L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</row>
    <row r="123" spans="1:63">
      <c r="A123" s="70"/>
      <c r="B123"/>
      <c r="C123"/>
      <c r="D123"/>
      <c r="E123"/>
      <c r="F123"/>
      <c r="G123"/>
      <c r="H123"/>
      <c r="I123"/>
      <c r="J123"/>
      <c r="K123"/>
      <c r="L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</row>
    <row r="124" spans="1:63">
      <c r="A124" s="70"/>
      <c r="B124"/>
      <c r="C124"/>
      <c r="D124"/>
      <c r="E124"/>
      <c r="F124"/>
      <c r="G124"/>
      <c r="H124"/>
      <c r="I124"/>
      <c r="J124"/>
      <c r="K124"/>
      <c r="L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</row>
    <row r="125" spans="1:63">
      <c r="A125" s="70"/>
      <c r="B125"/>
      <c r="C125"/>
      <c r="D125"/>
      <c r="E125"/>
      <c r="F125"/>
      <c r="G125"/>
      <c r="H125"/>
      <c r="I125"/>
      <c r="J125"/>
      <c r="K125"/>
      <c r="L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</row>
    <row r="126" spans="1:63">
      <c r="A126" s="70"/>
      <c r="B126"/>
      <c r="C126"/>
      <c r="D126"/>
      <c r="E126"/>
      <c r="F126"/>
      <c r="G126"/>
      <c r="H126"/>
      <c r="I126"/>
      <c r="J126"/>
      <c r="K126"/>
      <c r="L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</row>
    <row r="127" spans="1:63">
      <c r="A127" s="70"/>
      <c r="B127"/>
      <c r="C127"/>
      <c r="D127"/>
      <c r="E127"/>
      <c r="F127"/>
      <c r="G127"/>
      <c r="H127"/>
      <c r="I127"/>
      <c r="J127"/>
      <c r="K127"/>
      <c r="L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</row>
    <row r="128" spans="1:63">
      <c r="A128" s="70"/>
      <c r="B128"/>
      <c r="C128"/>
      <c r="D128"/>
      <c r="E128"/>
      <c r="F128"/>
      <c r="G128"/>
      <c r="H128"/>
      <c r="I128"/>
      <c r="J128"/>
      <c r="K128"/>
      <c r="L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</row>
    <row r="129" spans="1:63">
      <c r="A129" s="70"/>
      <c r="B129"/>
      <c r="C129"/>
      <c r="D129"/>
      <c r="E129"/>
      <c r="F129"/>
      <c r="G129"/>
      <c r="H129"/>
      <c r="I129"/>
      <c r="J129"/>
      <c r="K129"/>
      <c r="L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</row>
    <row r="130" spans="1:63">
      <c r="A130" s="70"/>
      <c r="B130"/>
      <c r="C130"/>
      <c r="D130"/>
      <c r="E130"/>
      <c r="F130"/>
      <c r="G130"/>
      <c r="H130"/>
      <c r="I130"/>
      <c r="J130"/>
      <c r="K130"/>
      <c r="L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</row>
    <row r="131" spans="1:63">
      <c r="A131" s="70"/>
      <c r="B131"/>
      <c r="C131"/>
      <c r="D131"/>
      <c r="E131"/>
      <c r="F131"/>
      <c r="G131"/>
      <c r="H131"/>
      <c r="I131"/>
      <c r="J131"/>
      <c r="K131"/>
      <c r="L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</row>
    <row r="132" spans="1:63">
      <c r="A132" s="70"/>
      <c r="B132"/>
      <c r="C132"/>
      <c r="D132"/>
      <c r="E132"/>
      <c r="F132"/>
      <c r="G132"/>
      <c r="H132"/>
      <c r="I132"/>
      <c r="J132"/>
      <c r="K132"/>
      <c r="L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</row>
    <row r="133" spans="1:63">
      <c r="A133" s="70"/>
      <c r="B133"/>
      <c r="C133"/>
      <c r="D133"/>
      <c r="E133"/>
      <c r="F133"/>
      <c r="G133"/>
      <c r="H133"/>
      <c r="I133"/>
      <c r="J133"/>
      <c r="K133"/>
      <c r="L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</row>
    <row r="134" spans="1:63">
      <c r="A134" s="70"/>
      <c r="B134"/>
      <c r="C134"/>
      <c r="D134"/>
      <c r="E134"/>
      <c r="F134"/>
      <c r="G134"/>
      <c r="H134"/>
      <c r="I134"/>
      <c r="J134"/>
      <c r="K134"/>
      <c r="L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</row>
    <row r="135" spans="1:63">
      <c r="A135" s="70"/>
      <c r="B135"/>
      <c r="C135"/>
      <c r="D135"/>
      <c r="E135"/>
      <c r="F135"/>
      <c r="G135"/>
      <c r="H135"/>
      <c r="I135"/>
      <c r="J135"/>
      <c r="K135"/>
      <c r="L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</row>
    <row r="136" spans="1:63">
      <c r="A136" s="70"/>
      <c r="B136"/>
      <c r="C136"/>
      <c r="D136"/>
      <c r="E136"/>
      <c r="F136"/>
      <c r="G136"/>
      <c r="H136"/>
      <c r="I136"/>
      <c r="J136"/>
      <c r="K136"/>
      <c r="L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</row>
    <row r="137" spans="1:63">
      <c r="A137" s="70"/>
      <c r="B137"/>
      <c r="C137"/>
      <c r="D137"/>
      <c r="E137"/>
      <c r="F137"/>
      <c r="G137"/>
      <c r="H137"/>
      <c r="I137"/>
      <c r="J137"/>
      <c r="K137"/>
      <c r="L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</row>
    <row r="138" spans="1:63">
      <c r="A138" s="70"/>
      <c r="B138"/>
      <c r="C138"/>
      <c r="D138"/>
      <c r="E138"/>
      <c r="F138"/>
      <c r="G138"/>
      <c r="H138"/>
      <c r="I138"/>
      <c r="J138"/>
      <c r="K138"/>
      <c r="L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</row>
    <row r="139" spans="1:63">
      <c r="A139" s="70"/>
      <c r="B139"/>
      <c r="C139"/>
      <c r="D139"/>
      <c r="E139"/>
      <c r="F139"/>
      <c r="G139"/>
      <c r="H139"/>
      <c r="I139"/>
      <c r="J139"/>
      <c r="K139"/>
      <c r="L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</row>
    <row r="140" spans="1:63">
      <c r="A140" s="70"/>
      <c r="B140"/>
      <c r="C140"/>
      <c r="D140"/>
      <c r="E140"/>
      <c r="F140"/>
      <c r="G140"/>
      <c r="H140"/>
      <c r="I140"/>
      <c r="J140"/>
      <c r="K140"/>
      <c r="L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</row>
    <row r="141" spans="1:63">
      <c r="A141" s="70"/>
      <c r="B141"/>
      <c r="C141"/>
      <c r="D141"/>
      <c r="E141"/>
      <c r="F141"/>
      <c r="G141"/>
      <c r="H141"/>
      <c r="I141"/>
      <c r="J141"/>
      <c r="K141"/>
      <c r="L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</row>
    <row r="142" spans="1:63">
      <c r="A142" s="70"/>
      <c r="B142"/>
      <c r="C142"/>
      <c r="D142"/>
      <c r="E142"/>
      <c r="F142"/>
      <c r="G142"/>
      <c r="H142"/>
      <c r="I142"/>
      <c r="J142"/>
      <c r="K142"/>
      <c r="L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</row>
    <row r="143" spans="1:63">
      <c r="A143" s="70"/>
      <c r="B143"/>
      <c r="C143"/>
      <c r="D143"/>
      <c r="E143"/>
      <c r="F143"/>
      <c r="G143"/>
      <c r="H143"/>
      <c r="I143"/>
      <c r="J143"/>
      <c r="K143"/>
      <c r="L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</row>
    <row r="144" spans="1:63">
      <c r="A144" s="70"/>
      <c r="B144"/>
      <c r="C144"/>
      <c r="D144"/>
      <c r="E144"/>
      <c r="F144"/>
      <c r="G144"/>
      <c r="H144"/>
      <c r="I144"/>
      <c r="J144"/>
      <c r="K144"/>
      <c r="L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</row>
    <row r="145" spans="1:63">
      <c r="A145" s="70"/>
      <c r="B145"/>
      <c r="C145"/>
      <c r="D145"/>
      <c r="E145"/>
      <c r="F145"/>
      <c r="G145"/>
      <c r="H145"/>
      <c r="I145"/>
      <c r="J145"/>
      <c r="K145"/>
      <c r="L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</row>
    <row r="146" spans="1:63">
      <c r="A146" s="70"/>
      <c r="B146"/>
      <c r="C146"/>
      <c r="D146"/>
      <c r="E146"/>
      <c r="F146"/>
      <c r="G146"/>
      <c r="H146"/>
      <c r="I146"/>
      <c r="J146"/>
      <c r="K146"/>
      <c r="L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</row>
    <row r="147" spans="1:63">
      <c r="A147" s="70"/>
      <c r="B147"/>
      <c r="C147"/>
      <c r="D147"/>
      <c r="E147"/>
      <c r="F147"/>
      <c r="G147"/>
      <c r="H147"/>
      <c r="I147"/>
      <c r="J147"/>
      <c r="K147"/>
      <c r="L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</row>
    <row r="148" spans="1:63">
      <c r="A148" s="70"/>
      <c r="B148"/>
      <c r="C148"/>
      <c r="D148"/>
      <c r="E148"/>
      <c r="F148"/>
      <c r="G148"/>
      <c r="H148"/>
      <c r="I148"/>
      <c r="J148"/>
      <c r="K148"/>
      <c r="L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</row>
    <row r="149" spans="1:63">
      <c r="A149" s="70"/>
      <c r="B149"/>
      <c r="C149"/>
      <c r="D149"/>
      <c r="E149"/>
      <c r="F149"/>
      <c r="G149"/>
      <c r="H149"/>
      <c r="I149"/>
      <c r="J149"/>
      <c r="K149"/>
      <c r="L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</row>
    <row r="150" spans="1:63">
      <c r="A150" s="70"/>
      <c r="B150"/>
      <c r="C150"/>
      <c r="D150"/>
      <c r="E150"/>
      <c r="F150"/>
      <c r="G150"/>
      <c r="H150"/>
      <c r="I150"/>
      <c r="J150"/>
      <c r="K150"/>
      <c r="L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</row>
    <row r="151" spans="1:63">
      <c r="A151" s="70"/>
      <c r="B151"/>
      <c r="C151"/>
      <c r="D151"/>
      <c r="E151"/>
      <c r="F151"/>
      <c r="G151"/>
      <c r="H151"/>
      <c r="I151"/>
      <c r="J151"/>
      <c r="K151"/>
      <c r="L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</row>
    <row r="152" spans="1:63">
      <c r="A152" s="70"/>
      <c r="B152"/>
      <c r="C152"/>
      <c r="D152"/>
      <c r="E152"/>
      <c r="F152"/>
      <c r="G152"/>
      <c r="H152"/>
      <c r="I152"/>
      <c r="J152"/>
      <c r="K152"/>
      <c r="L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</row>
    <row r="153" spans="1:63">
      <c r="A153" s="70"/>
      <c r="B153"/>
      <c r="C153"/>
      <c r="D153"/>
      <c r="E153"/>
      <c r="F153"/>
      <c r="G153"/>
      <c r="H153"/>
      <c r="I153"/>
      <c r="J153"/>
      <c r="K153"/>
      <c r="L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</row>
    <row r="154" spans="1:63">
      <c r="A154" s="70"/>
      <c r="B154"/>
      <c r="C154"/>
      <c r="D154"/>
      <c r="E154"/>
      <c r="F154"/>
      <c r="G154"/>
      <c r="H154"/>
      <c r="I154"/>
      <c r="J154"/>
      <c r="K154"/>
      <c r="L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</row>
    <row r="155" spans="1:63">
      <c r="A155" s="70"/>
      <c r="B155"/>
      <c r="C155"/>
      <c r="D155"/>
      <c r="E155"/>
      <c r="F155"/>
      <c r="G155"/>
      <c r="H155"/>
      <c r="I155"/>
      <c r="J155"/>
      <c r="K155"/>
      <c r="L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</row>
    <row r="156" spans="1:63">
      <c r="A156" s="70"/>
      <c r="B156"/>
      <c r="C156"/>
      <c r="D156"/>
      <c r="E156"/>
      <c r="F156"/>
      <c r="G156"/>
      <c r="H156"/>
      <c r="I156"/>
      <c r="J156"/>
      <c r="K156"/>
      <c r="L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</row>
    <row r="157" spans="1:63">
      <c r="A157" s="70"/>
      <c r="B157"/>
      <c r="C157"/>
      <c r="D157"/>
      <c r="E157"/>
      <c r="F157"/>
      <c r="G157"/>
      <c r="H157"/>
      <c r="I157"/>
      <c r="J157"/>
      <c r="K157"/>
      <c r="L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</row>
    <row r="158" spans="1:63">
      <c r="A158" s="70"/>
      <c r="B158"/>
      <c r="C158"/>
      <c r="D158"/>
      <c r="E158"/>
      <c r="F158"/>
      <c r="G158"/>
      <c r="H158"/>
      <c r="I158"/>
      <c r="J158"/>
      <c r="K158"/>
      <c r="L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</row>
    <row r="159" spans="1:63">
      <c r="A159" s="70"/>
      <c r="B159"/>
      <c r="C159"/>
      <c r="D159"/>
      <c r="E159"/>
      <c r="F159"/>
      <c r="G159"/>
      <c r="H159"/>
      <c r="I159"/>
      <c r="J159"/>
      <c r="K159"/>
      <c r="L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</row>
    <row r="160" spans="1:63">
      <c r="A160" s="70"/>
      <c r="B160"/>
      <c r="C160"/>
      <c r="D160"/>
      <c r="E160"/>
      <c r="F160"/>
      <c r="G160"/>
      <c r="H160"/>
      <c r="I160"/>
      <c r="J160"/>
      <c r="K160"/>
      <c r="L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</row>
    <row r="161" spans="1:63">
      <c r="A161" s="70"/>
      <c r="B161"/>
      <c r="C161"/>
      <c r="D161"/>
      <c r="E161"/>
      <c r="F161"/>
      <c r="G161"/>
      <c r="H161"/>
      <c r="I161"/>
      <c r="J161"/>
      <c r="K161"/>
      <c r="L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</row>
    <row r="162" spans="1:63">
      <c r="A162" s="70"/>
      <c r="B162"/>
      <c r="C162"/>
      <c r="D162"/>
      <c r="E162"/>
      <c r="F162"/>
      <c r="G162"/>
      <c r="H162"/>
      <c r="I162"/>
      <c r="J162"/>
      <c r="K162"/>
      <c r="L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</row>
    <row r="163" spans="1:63">
      <c r="A163" s="70"/>
      <c r="B163"/>
      <c r="C163"/>
      <c r="D163"/>
      <c r="E163"/>
      <c r="F163"/>
      <c r="G163"/>
      <c r="H163"/>
      <c r="I163"/>
      <c r="J163"/>
      <c r="K163"/>
      <c r="L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</row>
    <row r="164" spans="1:63">
      <c r="A164" s="70"/>
      <c r="B164"/>
      <c r="C164"/>
      <c r="D164"/>
      <c r="E164"/>
      <c r="F164"/>
      <c r="G164"/>
      <c r="H164"/>
      <c r="I164"/>
      <c r="J164"/>
      <c r="K164"/>
      <c r="L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</row>
    <row r="165" spans="1:63">
      <c r="A165" s="70"/>
      <c r="B165"/>
      <c r="C165"/>
      <c r="D165"/>
      <c r="E165"/>
      <c r="F165"/>
      <c r="G165"/>
      <c r="H165"/>
      <c r="I165"/>
      <c r="J165"/>
      <c r="K165"/>
      <c r="L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</row>
    <row r="166" spans="1:63">
      <c r="A166" s="70"/>
      <c r="B166"/>
      <c r="C166"/>
      <c r="D166"/>
      <c r="E166"/>
      <c r="F166"/>
      <c r="G166"/>
      <c r="H166"/>
      <c r="I166"/>
      <c r="J166"/>
      <c r="K166"/>
      <c r="L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</row>
    <row r="167" spans="1:63">
      <c r="A167" s="70"/>
      <c r="B167"/>
      <c r="C167"/>
      <c r="D167"/>
      <c r="E167"/>
      <c r="F167"/>
      <c r="G167"/>
      <c r="H167"/>
      <c r="I167"/>
      <c r="J167"/>
      <c r="K167"/>
      <c r="L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</row>
    <row r="168" spans="1:63">
      <c r="A168" s="70"/>
      <c r="B168"/>
      <c r="C168"/>
      <c r="D168"/>
      <c r="E168"/>
      <c r="F168"/>
      <c r="G168"/>
      <c r="H168"/>
      <c r="I168"/>
      <c r="J168"/>
      <c r="K168"/>
      <c r="L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</row>
    <row r="169" spans="1:63">
      <c r="A169" s="70"/>
      <c r="B169"/>
      <c r="C169"/>
      <c r="D169"/>
      <c r="E169"/>
      <c r="F169"/>
      <c r="G169"/>
      <c r="H169"/>
      <c r="I169"/>
      <c r="J169"/>
      <c r="K169"/>
      <c r="L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</row>
    <row r="170" spans="1:63">
      <c r="A170" s="70"/>
      <c r="B170"/>
      <c r="C170"/>
      <c r="D170"/>
      <c r="E170"/>
      <c r="F170"/>
      <c r="G170"/>
      <c r="H170"/>
      <c r="I170"/>
      <c r="J170"/>
      <c r="K170"/>
      <c r="L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</row>
    <row r="171" spans="1:63">
      <c r="A171" s="70"/>
      <c r="B171"/>
      <c r="C171"/>
      <c r="D171"/>
      <c r="E171"/>
      <c r="F171"/>
      <c r="G171"/>
      <c r="H171"/>
      <c r="I171"/>
      <c r="J171"/>
      <c r="K171"/>
      <c r="L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</row>
    <row r="172" spans="1:63">
      <c r="A172" s="70"/>
      <c r="B172"/>
      <c r="C172"/>
      <c r="D172"/>
      <c r="E172"/>
      <c r="F172"/>
      <c r="G172"/>
      <c r="H172"/>
      <c r="I172"/>
      <c r="J172"/>
      <c r="K172"/>
      <c r="L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</row>
    <row r="173" spans="1:63">
      <c r="A173" s="70"/>
      <c r="B173"/>
      <c r="C173"/>
      <c r="D173"/>
      <c r="E173"/>
      <c r="F173"/>
      <c r="G173"/>
      <c r="H173"/>
      <c r="I173"/>
      <c r="J173"/>
      <c r="K173"/>
      <c r="L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</row>
    <row r="174" spans="1:63">
      <c r="A174" s="70"/>
      <c r="B174"/>
      <c r="C174"/>
      <c r="D174"/>
      <c r="E174"/>
      <c r="F174"/>
      <c r="G174"/>
      <c r="H174"/>
      <c r="I174"/>
      <c r="J174"/>
      <c r="K174"/>
      <c r="L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</row>
    <row r="175" spans="1:63">
      <c r="A175" s="70"/>
      <c r="B175"/>
      <c r="C175"/>
      <c r="D175"/>
      <c r="E175"/>
      <c r="F175"/>
      <c r="G175"/>
      <c r="H175"/>
      <c r="I175"/>
      <c r="J175"/>
      <c r="K175"/>
      <c r="L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</row>
    <row r="176" spans="1:63">
      <c r="A176" s="70"/>
      <c r="B176"/>
      <c r="C176"/>
      <c r="D176"/>
      <c r="E176"/>
      <c r="F176"/>
      <c r="G176"/>
      <c r="H176"/>
      <c r="I176"/>
      <c r="J176"/>
      <c r="K176"/>
      <c r="L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</row>
    <row r="177" spans="1:63">
      <c r="A177" s="70"/>
      <c r="B177"/>
      <c r="C177"/>
      <c r="D177"/>
      <c r="E177"/>
      <c r="F177"/>
      <c r="G177"/>
      <c r="H177"/>
      <c r="I177"/>
      <c r="J177"/>
      <c r="K177"/>
      <c r="L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</row>
    <row r="178" spans="1:63">
      <c r="A178" s="70"/>
      <c r="B178"/>
      <c r="C178"/>
      <c r="D178"/>
      <c r="E178"/>
      <c r="F178"/>
      <c r="G178"/>
      <c r="H178"/>
      <c r="I178"/>
      <c r="J178"/>
      <c r="K178"/>
      <c r="L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</row>
    <row r="179" spans="1:63">
      <c r="A179" s="70"/>
      <c r="B179"/>
      <c r="C179"/>
      <c r="D179"/>
      <c r="E179"/>
      <c r="F179"/>
      <c r="G179"/>
      <c r="H179"/>
      <c r="I179"/>
      <c r="J179"/>
      <c r="K179"/>
      <c r="L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</row>
    <row r="180" spans="1:63">
      <c r="A180" s="70"/>
      <c r="B180"/>
      <c r="C180"/>
      <c r="D180"/>
      <c r="E180"/>
      <c r="F180"/>
      <c r="G180"/>
      <c r="H180"/>
      <c r="I180"/>
      <c r="J180"/>
      <c r="K180"/>
      <c r="L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</row>
    <row r="181" spans="1:63">
      <c r="A181" s="70"/>
      <c r="B181"/>
      <c r="C181"/>
      <c r="D181"/>
      <c r="E181"/>
      <c r="F181"/>
      <c r="G181"/>
      <c r="H181"/>
      <c r="I181"/>
      <c r="J181"/>
      <c r="K181"/>
      <c r="L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</row>
    <row r="182" spans="1:63">
      <c r="A182" s="70"/>
      <c r="B182"/>
      <c r="C182"/>
      <c r="D182"/>
      <c r="E182"/>
      <c r="F182"/>
      <c r="G182"/>
      <c r="H182"/>
      <c r="I182"/>
      <c r="J182"/>
      <c r="K182"/>
      <c r="L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</row>
    <row r="183" spans="1:63">
      <c r="A183" s="70"/>
      <c r="B183"/>
      <c r="C183"/>
      <c r="D183"/>
      <c r="E183"/>
      <c r="F183"/>
      <c r="G183"/>
      <c r="H183"/>
      <c r="I183"/>
      <c r="J183"/>
      <c r="K183"/>
      <c r="L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</row>
    <row r="184" spans="1:63">
      <c r="A184" s="70"/>
      <c r="B184"/>
      <c r="C184"/>
      <c r="D184"/>
      <c r="E184"/>
      <c r="F184"/>
      <c r="G184"/>
      <c r="H184"/>
      <c r="I184"/>
      <c r="J184"/>
      <c r="K184"/>
      <c r="L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</row>
    <row r="185" spans="1:63">
      <c r="A185" s="70"/>
      <c r="B185"/>
      <c r="C185"/>
      <c r="D185"/>
      <c r="E185"/>
      <c r="F185"/>
      <c r="G185"/>
      <c r="H185"/>
      <c r="I185"/>
      <c r="J185"/>
      <c r="K185"/>
      <c r="L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</row>
    <row r="186" spans="1:63">
      <c r="A186" s="70"/>
      <c r="B186"/>
      <c r="C186"/>
      <c r="D186"/>
      <c r="E186"/>
      <c r="F186"/>
      <c r="G186"/>
      <c r="H186"/>
      <c r="I186"/>
      <c r="J186"/>
      <c r="K186"/>
      <c r="L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</row>
    <row r="187" spans="1:63">
      <c r="A187" s="70"/>
      <c r="B187"/>
      <c r="C187"/>
      <c r="D187"/>
      <c r="E187"/>
      <c r="F187"/>
      <c r="G187"/>
      <c r="H187"/>
      <c r="I187"/>
      <c r="J187"/>
      <c r="K187"/>
      <c r="L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</row>
    <row r="188" spans="1:63">
      <c r="A188" s="70"/>
      <c r="B188"/>
      <c r="C188"/>
      <c r="D188"/>
      <c r="E188"/>
      <c r="F188"/>
      <c r="G188"/>
      <c r="H188"/>
      <c r="I188"/>
      <c r="J188"/>
      <c r="K188"/>
      <c r="L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</row>
    <row r="189" spans="1:63">
      <c r="A189" s="70"/>
      <c r="B189"/>
      <c r="C189"/>
      <c r="D189"/>
      <c r="E189"/>
      <c r="F189"/>
      <c r="G189"/>
      <c r="H189"/>
      <c r="I189"/>
      <c r="J189"/>
      <c r="K189"/>
      <c r="L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</row>
    <row r="190" spans="1:63">
      <c r="A190" s="70"/>
      <c r="B190"/>
      <c r="C190"/>
      <c r="D190"/>
      <c r="E190"/>
      <c r="F190"/>
      <c r="G190"/>
      <c r="H190"/>
      <c r="I190"/>
      <c r="J190"/>
      <c r="K190"/>
      <c r="L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</row>
    <row r="191" spans="1:63">
      <c r="A191" s="70"/>
      <c r="B191"/>
      <c r="C191"/>
      <c r="D191"/>
      <c r="E191"/>
      <c r="F191"/>
      <c r="G191"/>
      <c r="H191"/>
      <c r="I191"/>
      <c r="J191"/>
      <c r="K191"/>
      <c r="L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</row>
    <row r="192" spans="1:63">
      <c r="A192" s="70"/>
      <c r="B192"/>
      <c r="C192"/>
      <c r="D192"/>
      <c r="E192"/>
      <c r="F192"/>
      <c r="G192"/>
      <c r="H192"/>
      <c r="I192"/>
      <c r="J192"/>
      <c r="K192"/>
      <c r="L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</row>
    <row r="193" spans="1:63">
      <c r="A193" s="70"/>
      <c r="B193"/>
      <c r="C193"/>
      <c r="D193"/>
      <c r="E193"/>
      <c r="F193"/>
      <c r="G193"/>
      <c r="H193"/>
      <c r="I193"/>
      <c r="J193"/>
      <c r="K193"/>
      <c r="L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</row>
    <row r="194" spans="1:63">
      <c r="A194" s="70"/>
      <c r="B194"/>
      <c r="C194"/>
      <c r="D194"/>
      <c r="E194"/>
      <c r="F194"/>
      <c r="G194"/>
      <c r="H194"/>
      <c r="I194"/>
      <c r="J194"/>
      <c r="K194"/>
      <c r="L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</row>
    <row r="195" spans="1:63">
      <c r="A195" s="70"/>
      <c r="B195"/>
      <c r="C195"/>
      <c r="D195"/>
      <c r="E195"/>
      <c r="F195"/>
      <c r="G195"/>
      <c r="H195"/>
      <c r="I195"/>
      <c r="J195"/>
      <c r="K195"/>
      <c r="L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</row>
    <row r="196" spans="1:63">
      <c r="A196" s="70"/>
      <c r="B196"/>
      <c r="C196"/>
      <c r="D196"/>
      <c r="E196"/>
      <c r="F196"/>
      <c r="G196"/>
      <c r="H196"/>
      <c r="I196"/>
      <c r="J196"/>
      <c r="K196"/>
      <c r="L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</row>
    <row r="197" spans="1:63">
      <c r="A197" s="70"/>
      <c r="B197"/>
      <c r="C197"/>
      <c r="D197"/>
      <c r="E197"/>
      <c r="F197"/>
      <c r="G197"/>
      <c r="H197"/>
      <c r="I197"/>
      <c r="J197"/>
      <c r="K197"/>
      <c r="L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</row>
    <row r="198" spans="1:63">
      <c r="A198" s="70"/>
      <c r="B198"/>
      <c r="C198"/>
      <c r="D198"/>
      <c r="E198"/>
      <c r="F198"/>
      <c r="G198"/>
      <c r="H198"/>
      <c r="I198"/>
      <c r="J198"/>
      <c r="K198"/>
      <c r="L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</row>
    <row r="199" spans="1:63">
      <c r="A199" s="70"/>
      <c r="B199"/>
      <c r="C199"/>
      <c r="D199"/>
      <c r="E199"/>
      <c r="F199"/>
      <c r="G199"/>
      <c r="H199"/>
      <c r="I199"/>
      <c r="J199"/>
      <c r="K199"/>
      <c r="L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</row>
    <row r="200" spans="1:63">
      <c r="A200" s="70"/>
      <c r="B200"/>
      <c r="C200"/>
      <c r="D200"/>
      <c r="E200"/>
      <c r="F200"/>
      <c r="G200"/>
      <c r="H200"/>
      <c r="I200"/>
      <c r="J200"/>
      <c r="K200"/>
      <c r="L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</row>
    <row r="201" spans="1:63">
      <c r="A201" s="70"/>
      <c r="B201"/>
      <c r="C201"/>
      <c r="D201"/>
      <c r="E201"/>
      <c r="F201"/>
      <c r="G201"/>
      <c r="H201"/>
      <c r="I201"/>
      <c r="J201"/>
      <c r="K201"/>
      <c r="L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</row>
    <row r="202" spans="1:63">
      <c r="A202" s="70"/>
      <c r="B202"/>
      <c r="C202"/>
      <c r="D202"/>
      <c r="E202"/>
      <c r="F202"/>
      <c r="G202"/>
      <c r="H202"/>
      <c r="I202"/>
      <c r="J202"/>
      <c r="K202"/>
      <c r="L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</row>
    <row r="203" spans="1:63">
      <c r="A203" s="70"/>
      <c r="B203"/>
      <c r="C203"/>
      <c r="D203"/>
      <c r="E203"/>
      <c r="F203"/>
      <c r="G203"/>
      <c r="H203"/>
      <c r="I203"/>
      <c r="J203"/>
      <c r="K203"/>
      <c r="L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</row>
    <row r="204" spans="1:63">
      <c r="A204" s="70"/>
      <c r="B204"/>
      <c r="C204"/>
      <c r="D204"/>
      <c r="E204"/>
      <c r="F204"/>
      <c r="G204"/>
      <c r="H204"/>
      <c r="I204"/>
      <c r="J204"/>
      <c r="K204"/>
      <c r="L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</row>
    <row r="205" spans="1:63">
      <c r="A205" s="70"/>
      <c r="B205"/>
      <c r="C205"/>
      <c r="D205"/>
      <c r="E205"/>
      <c r="F205"/>
      <c r="G205"/>
      <c r="H205"/>
      <c r="I205"/>
      <c r="J205"/>
      <c r="K205"/>
      <c r="L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</row>
    <row r="206" spans="1:63">
      <c r="A206" s="70"/>
      <c r="B206"/>
      <c r="C206"/>
      <c r="D206"/>
      <c r="E206"/>
      <c r="F206"/>
      <c r="G206"/>
      <c r="H206"/>
      <c r="I206"/>
      <c r="J206"/>
      <c r="K206"/>
      <c r="L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</row>
    <row r="207" spans="1:63">
      <c r="A207" s="70"/>
      <c r="B207"/>
      <c r="C207"/>
      <c r="D207"/>
      <c r="E207"/>
      <c r="F207"/>
      <c r="G207"/>
      <c r="H207"/>
      <c r="I207"/>
      <c r="J207"/>
      <c r="K207"/>
      <c r="L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</row>
    <row r="208" spans="1:63">
      <c r="A208" s="70"/>
      <c r="B208"/>
      <c r="C208"/>
      <c r="D208"/>
      <c r="E208"/>
      <c r="F208"/>
      <c r="G208"/>
      <c r="H208"/>
      <c r="I208"/>
      <c r="J208"/>
      <c r="K208"/>
      <c r="L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</row>
    <row r="209" spans="1:63">
      <c r="A209" s="70"/>
      <c r="B209"/>
      <c r="C209"/>
      <c r="D209"/>
      <c r="E209"/>
      <c r="F209"/>
      <c r="G209"/>
      <c r="H209"/>
      <c r="I209"/>
      <c r="J209"/>
      <c r="K209"/>
      <c r="L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</row>
    <row r="210" spans="1:63">
      <c r="A210" s="70"/>
      <c r="B210"/>
      <c r="C210"/>
      <c r="D210"/>
      <c r="E210"/>
      <c r="F210"/>
      <c r="G210"/>
      <c r="H210"/>
      <c r="I210"/>
      <c r="J210"/>
      <c r="K210"/>
      <c r="L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</row>
    <row r="211" spans="1:63">
      <c r="A211" s="70"/>
      <c r="B211"/>
      <c r="C211"/>
      <c r="D211"/>
      <c r="E211"/>
      <c r="F211"/>
      <c r="G211"/>
      <c r="H211"/>
      <c r="I211"/>
      <c r="J211"/>
      <c r="K211"/>
      <c r="L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</row>
    <row r="212" spans="1:63">
      <c r="A212" s="70"/>
      <c r="B212"/>
      <c r="C212"/>
      <c r="D212"/>
      <c r="E212"/>
      <c r="F212"/>
      <c r="G212"/>
      <c r="H212"/>
      <c r="I212"/>
      <c r="J212"/>
      <c r="K212"/>
      <c r="L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</row>
    <row r="213" spans="1:63">
      <c r="A213" s="70"/>
      <c r="B213"/>
      <c r="C213"/>
      <c r="D213"/>
      <c r="E213"/>
      <c r="F213"/>
      <c r="G213"/>
      <c r="H213"/>
      <c r="I213"/>
      <c r="J213"/>
      <c r="K213"/>
      <c r="L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</row>
    <row r="214" spans="1:63">
      <c r="A214" s="70"/>
      <c r="B214"/>
      <c r="C214"/>
      <c r="D214"/>
      <c r="E214"/>
      <c r="F214"/>
      <c r="G214"/>
      <c r="H214"/>
      <c r="I214"/>
      <c r="J214"/>
      <c r="K214"/>
      <c r="L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</row>
    <row r="215" spans="1:63">
      <c r="A215" s="70"/>
      <c r="B215"/>
      <c r="C215"/>
      <c r="D215"/>
      <c r="E215"/>
      <c r="F215"/>
      <c r="G215"/>
      <c r="H215"/>
      <c r="I215"/>
      <c r="J215"/>
      <c r="K215"/>
      <c r="L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</row>
    <row r="216" spans="1:63">
      <c r="A216" s="70"/>
      <c r="B216"/>
      <c r="C216"/>
      <c r="D216"/>
      <c r="E216"/>
      <c r="F216"/>
      <c r="G216"/>
      <c r="H216"/>
      <c r="I216"/>
      <c r="J216"/>
      <c r="K216"/>
      <c r="L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</row>
    <row r="217" spans="1:63">
      <c r="A217" s="70"/>
      <c r="B217"/>
      <c r="C217"/>
      <c r="D217"/>
      <c r="E217"/>
      <c r="F217"/>
      <c r="G217"/>
      <c r="H217"/>
      <c r="I217"/>
      <c r="J217"/>
      <c r="K217"/>
      <c r="L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</row>
    <row r="218" spans="1:63">
      <c r="A218" s="70"/>
      <c r="B218"/>
      <c r="C218"/>
      <c r="D218"/>
      <c r="E218"/>
      <c r="F218"/>
      <c r="G218"/>
      <c r="H218"/>
      <c r="I218"/>
      <c r="J218"/>
      <c r="K218"/>
      <c r="L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</row>
    <row r="219" spans="1:63">
      <c r="A219" s="70"/>
      <c r="B219"/>
      <c r="C219"/>
      <c r="D219"/>
      <c r="E219"/>
      <c r="F219"/>
      <c r="G219"/>
      <c r="H219"/>
      <c r="I219"/>
      <c r="J219"/>
      <c r="K219"/>
      <c r="L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</row>
    <row r="220" spans="1:63">
      <c r="A220" s="70"/>
      <c r="B220"/>
      <c r="C220"/>
      <c r="D220"/>
      <c r="E220"/>
      <c r="F220"/>
      <c r="G220"/>
      <c r="H220"/>
      <c r="I220"/>
      <c r="J220"/>
      <c r="K220"/>
      <c r="L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</row>
    <row r="221" spans="1:63">
      <c r="A221" s="70"/>
      <c r="B221"/>
      <c r="C221"/>
      <c r="D221"/>
      <c r="E221"/>
      <c r="F221"/>
      <c r="G221"/>
      <c r="H221"/>
      <c r="I221"/>
      <c r="J221"/>
      <c r="K221"/>
      <c r="L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</row>
    <row r="222" spans="1:63">
      <c r="A222" s="70"/>
      <c r="B222"/>
      <c r="C222"/>
      <c r="D222"/>
      <c r="E222"/>
      <c r="F222"/>
      <c r="G222"/>
      <c r="H222"/>
      <c r="I222"/>
      <c r="J222"/>
      <c r="K222"/>
      <c r="L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</row>
    <row r="223" spans="1:63">
      <c r="A223" s="70"/>
      <c r="B223"/>
      <c r="C223"/>
      <c r="D223"/>
      <c r="E223"/>
      <c r="F223"/>
      <c r="G223"/>
      <c r="H223"/>
      <c r="I223"/>
      <c r="J223"/>
      <c r="K223"/>
      <c r="L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</row>
    <row r="224" spans="1:63">
      <c r="A224" s="70"/>
      <c r="B224"/>
      <c r="C224"/>
      <c r="D224"/>
      <c r="E224"/>
      <c r="F224"/>
      <c r="G224"/>
      <c r="H224"/>
      <c r="I224"/>
      <c r="J224"/>
      <c r="K224"/>
      <c r="L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</row>
    <row r="225" spans="1:63">
      <c r="A225" s="70"/>
      <c r="B225"/>
      <c r="C225"/>
      <c r="D225"/>
      <c r="E225"/>
      <c r="F225"/>
      <c r="G225"/>
      <c r="H225"/>
      <c r="I225"/>
      <c r="J225"/>
      <c r="K225"/>
      <c r="L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</row>
    <row r="226" spans="1:63">
      <c r="A226" s="70"/>
      <c r="B226"/>
      <c r="C226"/>
      <c r="D226"/>
      <c r="E226"/>
      <c r="F226"/>
      <c r="G226"/>
      <c r="H226"/>
      <c r="I226"/>
      <c r="J226"/>
      <c r="K226"/>
      <c r="L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</row>
    <row r="227" spans="1:63">
      <c r="A227" s="70"/>
      <c r="B227"/>
      <c r="C227"/>
      <c r="D227"/>
      <c r="E227"/>
      <c r="F227"/>
      <c r="G227"/>
      <c r="H227"/>
      <c r="I227"/>
      <c r="J227"/>
      <c r="K227"/>
      <c r="L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</row>
    <row r="228" spans="1:63">
      <c r="A228" s="70"/>
      <c r="B228"/>
      <c r="C228"/>
      <c r="D228"/>
      <c r="E228"/>
      <c r="F228"/>
      <c r="G228"/>
      <c r="H228"/>
      <c r="I228"/>
      <c r="J228"/>
      <c r="K228"/>
      <c r="L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</row>
    <row r="229" spans="1:63">
      <c r="A229" s="70"/>
      <c r="B229"/>
      <c r="C229"/>
      <c r="D229"/>
      <c r="E229"/>
      <c r="F229"/>
      <c r="G229"/>
      <c r="H229"/>
      <c r="I229"/>
      <c r="J229"/>
      <c r="K229"/>
      <c r="L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</row>
    <row r="230" spans="1:63">
      <c r="A230" s="70"/>
      <c r="B230"/>
      <c r="C230"/>
      <c r="D230"/>
      <c r="E230"/>
      <c r="F230"/>
      <c r="G230"/>
      <c r="H230"/>
      <c r="I230"/>
      <c r="J230"/>
      <c r="K230"/>
      <c r="L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</row>
    <row r="231" spans="1:63">
      <c r="A231" s="70"/>
      <c r="B231"/>
      <c r="C231"/>
      <c r="D231"/>
      <c r="E231"/>
      <c r="F231"/>
      <c r="G231"/>
      <c r="H231"/>
      <c r="I231"/>
      <c r="J231"/>
      <c r="K231"/>
      <c r="L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</row>
    <row r="232" spans="1:63">
      <c r="A232" s="70"/>
      <c r="B232"/>
      <c r="C232"/>
      <c r="D232"/>
      <c r="E232"/>
      <c r="F232"/>
      <c r="G232"/>
      <c r="H232"/>
      <c r="I232"/>
      <c r="J232"/>
      <c r="K232"/>
      <c r="L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</row>
    <row r="233" spans="1:63">
      <c r="A233" s="70"/>
      <c r="B233"/>
      <c r="C233"/>
      <c r="D233"/>
      <c r="E233"/>
      <c r="F233"/>
      <c r="G233"/>
      <c r="H233"/>
      <c r="I233"/>
      <c r="J233"/>
      <c r="K233"/>
      <c r="L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</row>
    <row r="234" spans="1:63">
      <c r="A234" s="70"/>
      <c r="B234"/>
      <c r="C234"/>
      <c r="D234"/>
      <c r="E234"/>
      <c r="F234"/>
      <c r="G234"/>
      <c r="H234"/>
      <c r="I234"/>
      <c r="J234"/>
      <c r="K234"/>
      <c r="L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</row>
    <row r="235" spans="1:63">
      <c r="A235" s="70"/>
      <c r="B235"/>
      <c r="C235"/>
      <c r="D235"/>
      <c r="E235"/>
      <c r="F235"/>
      <c r="G235"/>
      <c r="H235"/>
      <c r="I235"/>
      <c r="J235"/>
      <c r="K235"/>
      <c r="L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</row>
    <row r="236" spans="1:63">
      <c r="A236" s="70"/>
      <c r="B236"/>
      <c r="C236"/>
      <c r="D236"/>
      <c r="E236"/>
      <c r="F236"/>
      <c r="G236"/>
      <c r="H236"/>
      <c r="I236"/>
      <c r="J236"/>
      <c r="K236"/>
      <c r="L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</row>
    <row r="237" spans="1:63">
      <c r="A237" s="70"/>
      <c r="B237"/>
      <c r="C237"/>
      <c r="D237"/>
      <c r="E237"/>
      <c r="F237"/>
      <c r="G237"/>
      <c r="H237"/>
      <c r="I237"/>
      <c r="J237"/>
      <c r="K237"/>
      <c r="L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</row>
    <row r="238" spans="1:63">
      <c r="A238" s="70"/>
      <c r="B238"/>
      <c r="C238"/>
      <c r="D238"/>
      <c r="E238"/>
      <c r="F238"/>
      <c r="G238"/>
      <c r="H238"/>
      <c r="I238"/>
      <c r="J238"/>
      <c r="K238"/>
      <c r="L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</row>
    <row r="239" spans="1:63">
      <c r="A239" s="70"/>
      <c r="B239"/>
      <c r="C239"/>
      <c r="D239"/>
      <c r="E239"/>
      <c r="F239"/>
      <c r="G239"/>
      <c r="H239"/>
      <c r="I239"/>
      <c r="J239"/>
      <c r="K239"/>
      <c r="L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</row>
    <row r="240" spans="1:63">
      <c r="A240" s="70"/>
      <c r="B240"/>
      <c r="C240"/>
      <c r="D240"/>
      <c r="E240"/>
      <c r="F240"/>
      <c r="G240"/>
      <c r="H240"/>
      <c r="I240"/>
      <c r="J240"/>
      <c r="K240"/>
      <c r="L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</row>
    <row r="241" spans="1:63">
      <c r="A241" s="70"/>
      <c r="B241"/>
      <c r="C241"/>
      <c r="D241"/>
      <c r="E241"/>
      <c r="F241"/>
      <c r="G241"/>
      <c r="H241"/>
      <c r="I241"/>
      <c r="J241"/>
      <c r="K241"/>
      <c r="L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</row>
    <row r="242" spans="1:63">
      <c r="A242" s="70"/>
      <c r="B242"/>
      <c r="C242"/>
      <c r="D242"/>
      <c r="E242"/>
      <c r="F242"/>
      <c r="G242"/>
      <c r="H242"/>
      <c r="I242"/>
      <c r="J242"/>
      <c r="K242"/>
      <c r="L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</row>
    <row r="243" spans="1:63">
      <c r="A243" s="70"/>
      <c r="B243"/>
      <c r="C243"/>
      <c r="D243"/>
      <c r="E243"/>
      <c r="F243"/>
      <c r="G243"/>
      <c r="H243"/>
      <c r="I243"/>
      <c r="J243"/>
      <c r="K243"/>
      <c r="L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</row>
    <row r="244" spans="1:63">
      <c r="A244" s="70"/>
      <c r="B244"/>
      <c r="C244"/>
      <c r="D244"/>
      <c r="E244"/>
      <c r="F244"/>
      <c r="G244"/>
      <c r="H244"/>
      <c r="I244"/>
      <c r="J244"/>
      <c r="K244"/>
      <c r="L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</row>
    <row r="245" spans="1:63">
      <c r="A245" s="70"/>
      <c r="B245"/>
      <c r="C245"/>
      <c r="D245"/>
      <c r="E245"/>
      <c r="F245"/>
      <c r="G245"/>
      <c r="H245"/>
      <c r="I245"/>
      <c r="J245"/>
      <c r="K245"/>
      <c r="L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</row>
    <row r="246" spans="1:63">
      <c r="A246" s="70"/>
      <c r="B246"/>
      <c r="C246"/>
      <c r="D246"/>
      <c r="E246"/>
      <c r="F246"/>
      <c r="G246"/>
      <c r="H246"/>
      <c r="I246"/>
      <c r="J246"/>
      <c r="K246"/>
      <c r="L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</row>
    <row r="247" spans="1:63">
      <c r="A247" s="70"/>
      <c r="B247"/>
      <c r="C247"/>
      <c r="D247"/>
      <c r="E247"/>
      <c r="F247"/>
      <c r="G247"/>
      <c r="H247"/>
      <c r="I247"/>
      <c r="J247"/>
      <c r="K247"/>
      <c r="L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</row>
    <row r="248" spans="1:63">
      <c r="A248" s="70"/>
      <c r="B248"/>
      <c r="C248"/>
      <c r="D248"/>
      <c r="E248"/>
      <c r="F248"/>
      <c r="G248"/>
      <c r="H248"/>
      <c r="I248"/>
      <c r="J248"/>
      <c r="K248"/>
      <c r="L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</row>
    <row r="249" spans="1:63">
      <c r="A249" s="70"/>
      <c r="B249"/>
      <c r="C249"/>
      <c r="D249"/>
      <c r="E249"/>
      <c r="F249"/>
      <c r="G249"/>
      <c r="H249"/>
      <c r="I249"/>
      <c r="J249"/>
      <c r="K249"/>
      <c r="L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</row>
    <row r="250" spans="1:63">
      <c r="A250" s="70"/>
      <c r="B250"/>
      <c r="C250"/>
      <c r="D250"/>
      <c r="E250"/>
      <c r="F250"/>
      <c r="G250"/>
      <c r="H250"/>
      <c r="I250"/>
      <c r="J250"/>
      <c r="K250"/>
      <c r="L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</row>
    <row r="251" spans="1:63">
      <c r="A251" s="70"/>
      <c r="B251"/>
      <c r="C251"/>
      <c r="D251"/>
      <c r="E251"/>
      <c r="F251"/>
      <c r="G251"/>
      <c r="H251"/>
      <c r="I251"/>
      <c r="J251"/>
      <c r="K251"/>
      <c r="L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</row>
    <row r="252" spans="1:63">
      <c r="A252" s="70"/>
      <c r="B252"/>
      <c r="C252"/>
      <c r="D252"/>
      <c r="E252"/>
      <c r="F252"/>
      <c r="G252"/>
      <c r="H252"/>
      <c r="I252"/>
      <c r="J252"/>
      <c r="K252"/>
      <c r="L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</row>
    <row r="253" spans="1:63">
      <c r="A253" s="70"/>
      <c r="B253"/>
      <c r="C253"/>
      <c r="D253"/>
      <c r="E253"/>
      <c r="F253"/>
      <c r="G253"/>
      <c r="H253"/>
      <c r="I253"/>
      <c r="J253"/>
      <c r="K253"/>
      <c r="L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</row>
    <row r="254" spans="1:63">
      <c r="A254" s="70"/>
      <c r="B254"/>
      <c r="C254"/>
      <c r="D254"/>
      <c r="E254"/>
      <c r="F254"/>
      <c r="G254"/>
      <c r="H254"/>
      <c r="I254"/>
      <c r="J254"/>
      <c r="K254"/>
      <c r="L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</row>
    <row r="255" spans="1:63">
      <c r="A255" s="70"/>
      <c r="B255"/>
      <c r="C255"/>
      <c r="D255"/>
      <c r="E255"/>
      <c r="F255"/>
      <c r="G255"/>
      <c r="H255"/>
      <c r="I255"/>
      <c r="J255"/>
      <c r="K255"/>
      <c r="L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</row>
    <row r="256" spans="1:63">
      <c r="A256" s="70"/>
      <c r="B256"/>
      <c r="C256"/>
      <c r="D256"/>
      <c r="E256"/>
      <c r="F256"/>
      <c r="G256"/>
      <c r="H256"/>
      <c r="I256"/>
      <c r="J256"/>
      <c r="K256"/>
      <c r="L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</row>
    <row r="257" spans="1:63">
      <c r="A257" s="70"/>
      <c r="B257"/>
      <c r="C257"/>
      <c r="D257"/>
      <c r="E257"/>
      <c r="F257"/>
      <c r="G257"/>
      <c r="H257"/>
      <c r="I257"/>
      <c r="J257"/>
      <c r="K257"/>
      <c r="L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</row>
    <row r="258" spans="1:63">
      <c r="A258" s="70"/>
      <c r="B258"/>
      <c r="C258"/>
      <c r="D258"/>
      <c r="E258"/>
      <c r="F258"/>
      <c r="G258"/>
      <c r="H258"/>
      <c r="I258"/>
      <c r="J258"/>
      <c r="K258"/>
      <c r="L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</row>
    <row r="259" spans="1:63">
      <c r="A259" s="70"/>
      <c r="B259"/>
      <c r="C259"/>
      <c r="D259"/>
      <c r="E259"/>
      <c r="F259"/>
      <c r="G259"/>
      <c r="H259"/>
      <c r="I259"/>
      <c r="J259"/>
      <c r="K259"/>
      <c r="L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</row>
    <row r="260" spans="1:63">
      <c r="A260" s="70"/>
      <c r="B260"/>
      <c r="C260"/>
      <c r="D260"/>
      <c r="E260"/>
      <c r="F260"/>
      <c r="G260"/>
      <c r="H260"/>
      <c r="I260"/>
      <c r="J260"/>
      <c r="K260"/>
      <c r="L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</row>
    <row r="261" spans="1:63">
      <c r="A261" s="70"/>
      <c r="B261"/>
      <c r="C261"/>
      <c r="D261"/>
      <c r="E261"/>
      <c r="F261"/>
      <c r="G261"/>
      <c r="H261"/>
      <c r="I261"/>
      <c r="J261"/>
      <c r="K261"/>
      <c r="L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</row>
    <row r="262" spans="1:63">
      <c r="A262" s="70"/>
      <c r="B262"/>
      <c r="C262"/>
      <c r="D262"/>
      <c r="E262"/>
      <c r="F262"/>
      <c r="G262"/>
      <c r="H262"/>
      <c r="I262"/>
      <c r="J262"/>
      <c r="K262"/>
      <c r="L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</row>
    <row r="263" spans="1:63">
      <c r="A263" s="70"/>
      <c r="B263"/>
      <c r="C263"/>
      <c r="D263"/>
      <c r="E263"/>
      <c r="F263"/>
      <c r="G263"/>
      <c r="H263"/>
      <c r="I263"/>
      <c r="J263"/>
      <c r="K263"/>
      <c r="L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</row>
    <row r="264" spans="1:63">
      <c r="A264" s="70"/>
      <c r="B264"/>
      <c r="C264"/>
      <c r="D264"/>
      <c r="E264"/>
      <c r="F264"/>
      <c r="G264"/>
      <c r="H264"/>
      <c r="I264"/>
      <c r="J264"/>
      <c r="K264"/>
      <c r="L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</row>
    <row r="265" spans="1:63">
      <c r="A265" s="70"/>
      <c r="B265"/>
      <c r="C265"/>
      <c r="D265"/>
      <c r="E265"/>
      <c r="F265"/>
      <c r="G265"/>
      <c r="H265"/>
      <c r="I265"/>
      <c r="J265"/>
      <c r="K265"/>
      <c r="L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</row>
    <row r="266" spans="1:63">
      <c r="A266" s="70"/>
      <c r="B266"/>
      <c r="C266"/>
      <c r="D266"/>
      <c r="E266"/>
      <c r="F266"/>
      <c r="G266"/>
      <c r="H266"/>
      <c r="I266"/>
      <c r="J266"/>
      <c r="K266"/>
      <c r="L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</row>
    <row r="267" spans="1:63">
      <c r="A267" s="70"/>
      <c r="B267"/>
      <c r="C267"/>
      <c r="D267"/>
      <c r="E267"/>
      <c r="F267"/>
      <c r="G267"/>
      <c r="H267"/>
      <c r="I267"/>
      <c r="J267"/>
      <c r="K267"/>
      <c r="L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</row>
    <row r="268" spans="1:63">
      <c r="A268" s="70"/>
      <c r="B268"/>
      <c r="C268"/>
      <c r="D268"/>
      <c r="E268"/>
      <c r="F268"/>
      <c r="G268"/>
      <c r="H268"/>
      <c r="I268"/>
      <c r="J268"/>
      <c r="K268"/>
      <c r="L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</row>
    <row r="269" spans="1:63">
      <c r="A269" s="70"/>
      <c r="B269"/>
      <c r="C269"/>
      <c r="D269"/>
      <c r="E269"/>
      <c r="F269"/>
      <c r="G269"/>
      <c r="H269"/>
      <c r="I269"/>
      <c r="J269"/>
      <c r="K269"/>
      <c r="L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</row>
    <row r="270" spans="1:63">
      <c r="A270" s="70"/>
      <c r="B270"/>
      <c r="C270"/>
      <c r="D270"/>
      <c r="E270"/>
      <c r="F270"/>
      <c r="G270"/>
      <c r="H270"/>
      <c r="I270"/>
      <c r="J270"/>
      <c r="K270"/>
      <c r="L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</row>
    <row r="271" spans="1:63">
      <c r="A271" s="70"/>
      <c r="B271"/>
      <c r="C271"/>
      <c r="D271"/>
      <c r="E271"/>
      <c r="F271"/>
      <c r="G271"/>
      <c r="H271"/>
      <c r="I271"/>
      <c r="J271"/>
      <c r="K271"/>
      <c r="L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</row>
    <row r="272" spans="1:63">
      <c r="A272" s="70"/>
      <c r="B272"/>
      <c r="C272"/>
      <c r="D272"/>
      <c r="E272"/>
      <c r="F272"/>
      <c r="G272"/>
      <c r="H272"/>
      <c r="I272"/>
      <c r="J272"/>
      <c r="K272"/>
      <c r="L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</row>
    <row r="273" spans="1:63">
      <c r="A273" s="70"/>
      <c r="B273"/>
      <c r="C273"/>
      <c r="D273"/>
      <c r="E273"/>
      <c r="F273"/>
      <c r="G273"/>
      <c r="H273"/>
      <c r="I273"/>
      <c r="J273"/>
      <c r="K273"/>
      <c r="L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</row>
    <row r="274" spans="1:63">
      <c r="A274" s="70"/>
      <c r="B274"/>
      <c r="C274"/>
      <c r="D274"/>
      <c r="E274"/>
      <c r="F274"/>
      <c r="G274"/>
      <c r="H274"/>
      <c r="I274"/>
      <c r="J274"/>
      <c r="K274"/>
      <c r="L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</row>
    <row r="275" spans="1:63">
      <c r="A275" s="70"/>
      <c r="B275"/>
      <c r="C275"/>
      <c r="D275"/>
      <c r="E275"/>
      <c r="F275"/>
      <c r="G275"/>
      <c r="H275"/>
      <c r="I275"/>
      <c r="J275"/>
      <c r="K275"/>
      <c r="L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</row>
    <row r="276" spans="1:63">
      <c r="A276" s="70"/>
      <c r="B276"/>
      <c r="C276"/>
      <c r="D276"/>
      <c r="E276"/>
      <c r="F276"/>
      <c r="G276"/>
      <c r="H276"/>
      <c r="I276"/>
      <c r="J276"/>
      <c r="K276"/>
      <c r="L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</row>
    <row r="277" spans="1:63">
      <c r="A277" s="70"/>
      <c r="B277"/>
      <c r="C277"/>
      <c r="D277"/>
      <c r="E277"/>
      <c r="F277"/>
      <c r="G277"/>
      <c r="H277"/>
      <c r="I277"/>
      <c r="J277"/>
      <c r="K277"/>
      <c r="L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</row>
    <row r="278" spans="1:63">
      <c r="A278" s="70"/>
      <c r="B278"/>
      <c r="C278"/>
      <c r="D278"/>
      <c r="E278"/>
      <c r="F278"/>
      <c r="G278"/>
      <c r="H278"/>
      <c r="I278"/>
      <c r="J278"/>
      <c r="K278"/>
      <c r="L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</row>
    <row r="279" spans="1:63">
      <c r="A279" s="70"/>
      <c r="B279"/>
      <c r="C279"/>
      <c r="D279"/>
      <c r="E279"/>
      <c r="F279"/>
      <c r="G279"/>
      <c r="H279"/>
      <c r="I279"/>
      <c r="J279"/>
      <c r="K279"/>
      <c r="L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</row>
    <row r="280" spans="1:63">
      <c r="A280" s="70"/>
      <c r="B280"/>
      <c r="C280"/>
      <c r="D280"/>
      <c r="E280"/>
      <c r="F280"/>
      <c r="G280"/>
      <c r="H280"/>
      <c r="I280"/>
      <c r="J280"/>
      <c r="K280"/>
      <c r="L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</row>
    <row r="281" spans="1:63">
      <c r="A281" s="70"/>
      <c r="B281"/>
      <c r="C281"/>
      <c r="D281"/>
      <c r="E281"/>
      <c r="F281"/>
      <c r="G281"/>
      <c r="H281"/>
      <c r="I281"/>
      <c r="J281"/>
      <c r="K281"/>
      <c r="L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</row>
    <row r="282" spans="1:63">
      <c r="A282" s="70"/>
      <c r="B282"/>
      <c r="C282"/>
      <c r="D282"/>
      <c r="E282"/>
      <c r="F282"/>
      <c r="G282"/>
      <c r="H282"/>
      <c r="I282"/>
      <c r="J282"/>
      <c r="K282"/>
      <c r="L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</row>
    <row r="283" spans="1:63">
      <c r="A283" s="70"/>
      <c r="B283"/>
      <c r="C283"/>
      <c r="D283"/>
      <c r="E283"/>
      <c r="F283"/>
      <c r="G283"/>
      <c r="H283"/>
      <c r="I283"/>
      <c r="J283"/>
      <c r="K283"/>
      <c r="L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</row>
    <row r="284" spans="1:63">
      <c r="A284" s="70"/>
      <c r="B284"/>
      <c r="C284"/>
      <c r="D284"/>
      <c r="E284"/>
      <c r="F284"/>
      <c r="G284"/>
      <c r="H284"/>
      <c r="I284"/>
      <c r="J284"/>
      <c r="K284"/>
      <c r="L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</row>
    <row r="285" spans="1:63">
      <c r="A285" s="70"/>
      <c r="B285"/>
      <c r="C285"/>
      <c r="D285"/>
      <c r="E285"/>
      <c r="F285"/>
      <c r="G285"/>
      <c r="H285"/>
      <c r="I285"/>
      <c r="J285"/>
      <c r="K285"/>
      <c r="L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</row>
    <row r="286" spans="1:63">
      <c r="A286" s="70"/>
      <c r="B286"/>
      <c r="C286"/>
      <c r="D286"/>
      <c r="E286"/>
      <c r="F286"/>
      <c r="G286"/>
      <c r="H286"/>
      <c r="I286"/>
      <c r="J286"/>
      <c r="K286"/>
      <c r="L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</row>
    <row r="287" spans="1:63">
      <c r="A287" s="70"/>
      <c r="B287"/>
      <c r="C287"/>
      <c r="D287"/>
      <c r="E287"/>
      <c r="F287"/>
      <c r="G287"/>
      <c r="H287"/>
      <c r="I287"/>
      <c r="J287"/>
      <c r="K287"/>
      <c r="L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</row>
    <row r="288" spans="1:63">
      <c r="A288" s="70"/>
      <c r="B288"/>
      <c r="C288"/>
      <c r="D288"/>
      <c r="E288"/>
      <c r="F288"/>
      <c r="G288"/>
      <c r="H288"/>
      <c r="I288"/>
      <c r="J288"/>
      <c r="K288"/>
      <c r="L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</row>
    <row r="289" spans="1:63">
      <c r="A289" s="70"/>
      <c r="B289"/>
      <c r="C289"/>
      <c r="D289"/>
      <c r="E289"/>
      <c r="F289"/>
      <c r="G289"/>
      <c r="H289"/>
      <c r="I289"/>
      <c r="J289"/>
      <c r="K289"/>
      <c r="L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</row>
    <row r="290" spans="1:63">
      <c r="A290" s="70"/>
      <c r="B290"/>
      <c r="C290"/>
      <c r="D290"/>
      <c r="E290"/>
      <c r="F290"/>
      <c r="G290"/>
      <c r="H290"/>
      <c r="I290"/>
      <c r="J290"/>
      <c r="K290"/>
      <c r="L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</row>
    <row r="291" spans="1:63">
      <c r="A291" s="70"/>
      <c r="B291"/>
      <c r="C291"/>
      <c r="D291"/>
      <c r="E291"/>
      <c r="F291"/>
      <c r="G291"/>
      <c r="H291"/>
      <c r="I291"/>
      <c r="J291"/>
      <c r="K291"/>
      <c r="L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</row>
    <row r="292" spans="1:63">
      <c r="A292" s="70"/>
      <c r="B292"/>
      <c r="C292"/>
      <c r="D292"/>
      <c r="E292"/>
      <c r="F292"/>
      <c r="G292"/>
      <c r="H292"/>
      <c r="I292"/>
      <c r="J292"/>
      <c r="K292"/>
      <c r="L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</row>
    <row r="293" spans="1:63">
      <c r="A293" s="70"/>
      <c r="B293"/>
      <c r="C293"/>
      <c r="D293"/>
      <c r="E293"/>
      <c r="F293"/>
      <c r="G293"/>
      <c r="H293"/>
      <c r="I293"/>
      <c r="J293"/>
      <c r="K293"/>
      <c r="L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</row>
    <row r="294" spans="1:63">
      <c r="A294" s="70"/>
      <c r="B294"/>
      <c r="C294"/>
      <c r="D294"/>
      <c r="E294"/>
      <c r="F294"/>
      <c r="G294"/>
      <c r="H294"/>
      <c r="I294"/>
      <c r="J294"/>
      <c r="K294"/>
      <c r="L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</row>
    <row r="295" spans="1:63">
      <c r="A295" s="70"/>
      <c r="B295"/>
      <c r="C295"/>
      <c r="D295"/>
      <c r="E295"/>
      <c r="F295"/>
      <c r="G295"/>
      <c r="H295"/>
      <c r="I295"/>
      <c r="J295"/>
      <c r="K295"/>
      <c r="L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</row>
    <row r="296" spans="1:63">
      <c r="A296" s="70"/>
      <c r="B296"/>
      <c r="C296"/>
      <c r="D296"/>
      <c r="E296"/>
      <c r="F296"/>
      <c r="G296"/>
      <c r="H296"/>
      <c r="I296"/>
      <c r="J296"/>
      <c r="K296"/>
      <c r="L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</row>
    <row r="297" spans="1:63">
      <c r="A297" s="70"/>
      <c r="B297"/>
      <c r="C297"/>
      <c r="D297"/>
      <c r="E297"/>
      <c r="F297"/>
      <c r="G297"/>
      <c r="H297"/>
      <c r="I297"/>
      <c r="J297"/>
      <c r="K297"/>
      <c r="L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</row>
    <row r="298" spans="1:63">
      <c r="A298" s="70"/>
      <c r="B298"/>
      <c r="C298"/>
      <c r="D298"/>
      <c r="E298"/>
      <c r="F298"/>
      <c r="G298"/>
      <c r="H298"/>
      <c r="I298"/>
      <c r="J298"/>
      <c r="K298"/>
      <c r="L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</row>
    <row r="299" spans="1:63">
      <c r="A299" s="70"/>
      <c r="B299"/>
      <c r="C299"/>
      <c r="D299"/>
      <c r="E299"/>
      <c r="F299"/>
      <c r="G299"/>
      <c r="H299"/>
      <c r="I299"/>
      <c r="J299"/>
      <c r="K299"/>
      <c r="L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</row>
    <row r="300" spans="1:63">
      <c r="A300" s="70"/>
      <c r="B300"/>
      <c r="C300"/>
      <c r="D300"/>
      <c r="E300"/>
      <c r="F300"/>
      <c r="G300"/>
      <c r="H300"/>
      <c r="I300"/>
      <c r="J300"/>
      <c r="K300"/>
      <c r="L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</row>
    <row r="301" spans="1:63">
      <c r="A301" s="70"/>
      <c r="B301"/>
      <c r="C301"/>
      <c r="D301"/>
      <c r="E301"/>
      <c r="F301"/>
      <c r="G301"/>
      <c r="H301"/>
      <c r="I301"/>
      <c r="J301"/>
      <c r="K301"/>
      <c r="L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</row>
    <row r="302" spans="1:63">
      <c r="A302" s="70"/>
      <c r="B302"/>
      <c r="C302"/>
      <c r="D302"/>
      <c r="E302"/>
      <c r="F302"/>
      <c r="G302"/>
      <c r="H302"/>
      <c r="I302"/>
      <c r="J302"/>
      <c r="K302"/>
      <c r="L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</row>
    <row r="303" spans="1:63">
      <c r="A303" s="70"/>
      <c r="B303"/>
      <c r="C303"/>
      <c r="D303"/>
      <c r="E303"/>
      <c r="F303"/>
      <c r="G303"/>
      <c r="H303"/>
      <c r="I303"/>
      <c r="J303"/>
      <c r="K303"/>
      <c r="L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</row>
    <row r="304" spans="1:63">
      <c r="A304" s="70"/>
      <c r="B304"/>
      <c r="C304"/>
      <c r="D304"/>
      <c r="E304"/>
      <c r="F304"/>
      <c r="G304"/>
      <c r="H304"/>
      <c r="I304"/>
      <c r="J304"/>
      <c r="K304"/>
      <c r="L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</row>
    <row r="305" spans="1:63">
      <c r="A305" s="70"/>
      <c r="B305"/>
      <c r="C305"/>
      <c r="D305"/>
      <c r="E305"/>
      <c r="F305"/>
      <c r="G305"/>
      <c r="H305"/>
      <c r="I305"/>
      <c r="J305"/>
      <c r="K305"/>
      <c r="L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</row>
    <row r="306" spans="1:63">
      <c r="A306" s="70"/>
      <c r="B306"/>
      <c r="C306"/>
      <c r="D306"/>
      <c r="E306"/>
      <c r="F306"/>
      <c r="G306"/>
      <c r="H306"/>
      <c r="I306"/>
      <c r="J306"/>
      <c r="K306"/>
      <c r="L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</row>
    <row r="307" spans="1:63">
      <c r="A307" s="70"/>
      <c r="B307"/>
      <c r="C307"/>
      <c r="D307"/>
      <c r="E307"/>
      <c r="F307"/>
      <c r="G307"/>
      <c r="H307"/>
      <c r="I307"/>
      <c r="J307"/>
      <c r="K307"/>
      <c r="L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</row>
    <row r="308" spans="1:63">
      <c r="A308" s="70"/>
      <c r="B308"/>
      <c r="C308"/>
      <c r="D308"/>
      <c r="E308"/>
      <c r="F308"/>
      <c r="G308"/>
      <c r="H308"/>
      <c r="I308"/>
      <c r="J308"/>
      <c r="K308"/>
      <c r="L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</row>
    <row r="309" spans="1:63">
      <c r="A309" s="70"/>
      <c r="B309"/>
      <c r="C309"/>
      <c r="D309"/>
      <c r="E309"/>
      <c r="F309"/>
      <c r="G309"/>
      <c r="H309"/>
      <c r="I309"/>
      <c r="J309"/>
      <c r="K309"/>
      <c r="L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</row>
    <row r="310" spans="1:63">
      <c r="A310" s="70"/>
      <c r="B310"/>
      <c r="C310"/>
      <c r="D310"/>
      <c r="E310"/>
      <c r="F310"/>
      <c r="G310"/>
      <c r="H310"/>
      <c r="I310"/>
      <c r="J310"/>
      <c r="K310"/>
      <c r="L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</row>
    <row r="311" spans="1:63">
      <c r="A311" s="70"/>
      <c r="B311"/>
      <c r="C311"/>
      <c r="D311"/>
      <c r="E311"/>
      <c r="F311"/>
      <c r="G311"/>
      <c r="H311"/>
      <c r="I311"/>
      <c r="J311"/>
      <c r="K311"/>
      <c r="L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</row>
    <row r="312" spans="1:63">
      <c r="A312" s="70"/>
      <c r="B312"/>
      <c r="C312"/>
      <c r="D312"/>
      <c r="E312"/>
      <c r="F312"/>
      <c r="G312"/>
      <c r="H312"/>
      <c r="I312"/>
      <c r="J312"/>
      <c r="K312"/>
      <c r="L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</row>
    <row r="313" spans="1:63">
      <c r="A313" s="70"/>
      <c r="B313"/>
      <c r="C313"/>
      <c r="D313"/>
      <c r="E313"/>
      <c r="F313"/>
      <c r="G313"/>
      <c r="H313"/>
      <c r="I313"/>
      <c r="J313"/>
      <c r="K313"/>
      <c r="L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</row>
    <row r="314" spans="1:63">
      <c r="A314" s="70"/>
      <c r="B314"/>
      <c r="C314"/>
      <c r="D314"/>
      <c r="E314"/>
      <c r="F314"/>
      <c r="G314"/>
      <c r="H314"/>
      <c r="I314"/>
      <c r="J314"/>
      <c r="K314"/>
      <c r="L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</row>
    <row r="315" spans="1:63">
      <c r="A315" s="70"/>
      <c r="B315"/>
      <c r="C315"/>
      <c r="D315"/>
      <c r="E315"/>
      <c r="F315"/>
      <c r="G315"/>
      <c r="H315"/>
      <c r="I315"/>
      <c r="J315"/>
      <c r="K315"/>
      <c r="L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</row>
    <row r="316" spans="1:63">
      <c r="A316" s="70"/>
      <c r="B316"/>
      <c r="C316"/>
      <c r="D316"/>
      <c r="E316"/>
      <c r="F316"/>
      <c r="G316"/>
      <c r="H316"/>
      <c r="I316"/>
      <c r="J316"/>
      <c r="K316"/>
      <c r="L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</row>
    <row r="317" spans="1:63">
      <c r="A317" s="70"/>
      <c r="B317"/>
      <c r="C317"/>
      <c r="D317"/>
      <c r="E317"/>
      <c r="F317"/>
      <c r="G317"/>
      <c r="H317"/>
      <c r="I317"/>
      <c r="J317"/>
      <c r="K317"/>
      <c r="L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</row>
    <row r="318" spans="1:63">
      <c r="A318" s="70"/>
      <c r="B318"/>
      <c r="C318"/>
      <c r="D318"/>
      <c r="E318"/>
      <c r="F318"/>
      <c r="G318"/>
      <c r="H318"/>
      <c r="I318"/>
      <c r="J318"/>
      <c r="K318"/>
      <c r="L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</row>
    <row r="319" spans="1:63">
      <c r="A319" s="70"/>
      <c r="B319"/>
      <c r="C319"/>
      <c r="D319"/>
      <c r="E319"/>
      <c r="F319"/>
      <c r="G319"/>
      <c r="H319"/>
      <c r="I319"/>
      <c r="J319"/>
      <c r="K319"/>
      <c r="L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</row>
    <row r="320" spans="1:63">
      <c r="A320" s="70"/>
      <c r="B320"/>
      <c r="C320"/>
      <c r="D320"/>
      <c r="E320"/>
      <c r="F320"/>
      <c r="G320"/>
      <c r="H320"/>
      <c r="I320"/>
      <c r="J320"/>
      <c r="K320"/>
      <c r="L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</row>
    <row r="321" spans="1:63">
      <c r="A321" s="70"/>
      <c r="B321"/>
      <c r="C321"/>
      <c r="D321"/>
      <c r="E321"/>
      <c r="F321"/>
      <c r="G321"/>
      <c r="H321"/>
      <c r="I321"/>
      <c r="J321"/>
      <c r="K321"/>
      <c r="L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</row>
    <row r="322" spans="1:63">
      <c r="A322" s="70"/>
      <c r="B322"/>
      <c r="C322"/>
      <c r="D322"/>
      <c r="E322"/>
      <c r="F322"/>
      <c r="G322"/>
      <c r="H322"/>
      <c r="I322"/>
      <c r="J322"/>
      <c r="K322"/>
      <c r="L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</row>
    <row r="323" spans="1:63">
      <c r="A323" s="70"/>
      <c r="B323"/>
      <c r="C323"/>
      <c r="D323"/>
      <c r="E323"/>
      <c r="F323"/>
      <c r="G323"/>
      <c r="H323"/>
      <c r="I323"/>
      <c r="J323"/>
      <c r="K323"/>
      <c r="L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</row>
    <row r="324" spans="1:63">
      <c r="A324" s="70"/>
      <c r="B324"/>
      <c r="C324"/>
      <c r="D324"/>
      <c r="E324"/>
      <c r="F324"/>
      <c r="G324"/>
      <c r="H324"/>
      <c r="I324"/>
      <c r="J324"/>
      <c r="K324"/>
      <c r="L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</row>
    <row r="325" spans="1:63">
      <c r="A325" s="70"/>
      <c r="B325"/>
      <c r="C325"/>
      <c r="D325"/>
      <c r="E325"/>
      <c r="F325"/>
      <c r="G325"/>
      <c r="H325"/>
      <c r="I325"/>
      <c r="J325"/>
      <c r="K325"/>
      <c r="L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</row>
    <row r="326" spans="1:63">
      <c r="A326" s="70"/>
      <c r="B326"/>
      <c r="C326"/>
      <c r="D326"/>
      <c r="E326"/>
      <c r="F326"/>
      <c r="G326"/>
      <c r="H326"/>
      <c r="I326"/>
      <c r="J326"/>
      <c r="K326"/>
      <c r="L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</row>
    <row r="327" spans="1:63">
      <c r="A327" s="70"/>
      <c r="B327"/>
      <c r="C327"/>
      <c r="D327"/>
      <c r="E327"/>
      <c r="F327"/>
      <c r="G327"/>
      <c r="H327"/>
      <c r="I327"/>
      <c r="J327"/>
      <c r="K327"/>
      <c r="L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</row>
    <row r="328" spans="1:63">
      <c r="A328" s="70"/>
      <c r="B328"/>
      <c r="C328"/>
      <c r="D328"/>
      <c r="E328"/>
      <c r="F328"/>
      <c r="G328"/>
      <c r="H328"/>
      <c r="I328"/>
      <c r="J328"/>
      <c r="K328"/>
      <c r="L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</row>
    <row r="329" spans="1:63">
      <c r="A329" s="70"/>
      <c r="B329"/>
      <c r="C329"/>
      <c r="D329"/>
      <c r="E329"/>
      <c r="F329"/>
      <c r="G329"/>
      <c r="H329"/>
      <c r="I329"/>
      <c r="J329"/>
      <c r="K329"/>
      <c r="L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</row>
    <row r="330" spans="1:63">
      <c r="A330" s="70"/>
      <c r="B330"/>
      <c r="C330"/>
      <c r="D330"/>
      <c r="E330"/>
      <c r="F330"/>
      <c r="G330"/>
      <c r="H330"/>
      <c r="I330"/>
      <c r="J330"/>
      <c r="K330"/>
      <c r="L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</row>
    <row r="331" spans="1:63">
      <c r="A331" s="70"/>
      <c r="B331"/>
      <c r="C331"/>
      <c r="D331"/>
      <c r="E331"/>
      <c r="F331"/>
      <c r="G331"/>
      <c r="H331"/>
      <c r="I331"/>
      <c r="J331"/>
      <c r="K331"/>
      <c r="L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</row>
    <row r="332" spans="1:63">
      <c r="A332" s="70"/>
      <c r="B332"/>
      <c r="C332"/>
      <c r="D332"/>
      <c r="E332"/>
      <c r="F332"/>
      <c r="G332"/>
      <c r="H332"/>
      <c r="I332"/>
      <c r="J332"/>
      <c r="K332"/>
      <c r="L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</row>
    <row r="333" spans="1:63">
      <c r="A333" s="70"/>
      <c r="B333"/>
      <c r="C333"/>
      <c r="D333"/>
      <c r="E333"/>
      <c r="F333"/>
      <c r="G333"/>
      <c r="H333"/>
      <c r="I333"/>
      <c r="J333"/>
      <c r="K333"/>
      <c r="L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</row>
    <row r="334" spans="1:63">
      <c r="A334" s="70"/>
      <c r="B334"/>
      <c r="C334"/>
      <c r="D334"/>
      <c r="E334"/>
      <c r="F334"/>
      <c r="G334"/>
      <c r="H334"/>
      <c r="I334"/>
      <c r="J334"/>
      <c r="K334"/>
      <c r="L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</row>
    <row r="335" spans="1:63">
      <c r="A335" s="70"/>
      <c r="B335"/>
      <c r="C335"/>
      <c r="D335"/>
      <c r="E335"/>
      <c r="F335"/>
      <c r="G335"/>
      <c r="H335"/>
      <c r="I335"/>
      <c r="J335"/>
      <c r="K335"/>
      <c r="L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</row>
    <row r="336" spans="1:63">
      <c r="A336" s="70"/>
      <c r="B336"/>
      <c r="C336"/>
      <c r="D336"/>
      <c r="E336"/>
      <c r="F336"/>
      <c r="G336"/>
      <c r="H336"/>
      <c r="I336"/>
      <c r="J336"/>
      <c r="K336"/>
      <c r="L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</row>
    <row r="337" spans="1:63">
      <c r="A337" s="70"/>
      <c r="B337"/>
      <c r="C337"/>
      <c r="D337"/>
      <c r="E337"/>
      <c r="F337"/>
      <c r="G337"/>
      <c r="H337"/>
      <c r="I337"/>
      <c r="J337"/>
      <c r="K337"/>
      <c r="L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</row>
    <row r="338" spans="1:63">
      <c r="A338" s="70"/>
      <c r="B338"/>
      <c r="C338"/>
      <c r="D338"/>
      <c r="E338"/>
      <c r="F338"/>
      <c r="G338"/>
      <c r="H338"/>
      <c r="I338"/>
      <c r="J338"/>
      <c r="K338"/>
      <c r="L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</row>
    <row r="339" spans="1:63">
      <c r="A339" s="70"/>
      <c r="B339"/>
      <c r="C339"/>
      <c r="D339"/>
      <c r="E339"/>
      <c r="F339"/>
      <c r="G339"/>
      <c r="H339"/>
      <c r="I339"/>
      <c r="J339"/>
      <c r="K339"/>
      <c r="L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</row>
    <row r="340" spans="1:63">
      <c r="A340" s="70"/>
      <c r="B340"/>
      <c r="C340"/>
      <c r="D340"/>
      <c r="E340"/>
      <c r="F340"/>
      <c r="G340"/>
      <c r="H340"/>
      <c r="I340"/>
      <c r="J340"/>
      <c r="K340"/>
      <c r="L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</row>
    <row r="341" spans="1:63">
      <c r="A341" s="70"/>
      <c r="B341"/>
      <c r="C341"/>
      <c r="D341"/>
      <c r="E341"/>
      <c r="F341"/>
      <c r="G341"/>
      <c r="H341"/>
      <c r="I341"/>
      <c r="J341"/>
      <c r="K341"/>
      <c r="L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</row>
    <row r="342" spans="1:63">
      <c r="A342" s="70"/>
      <c r="B342"/>
      <c r="C342"/>
      <c r="D342"/>
      <c r="E342"/>
      <c r="F342"/>
      <c r="G342"/>
      <c r="H342"/>
      <c r="I342"/>
      <c r="J342"/>
      <c r="K342"/>
      <c r="L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</row>
    <row r="343" spans="1:63">
      <c r="A343" s="70"/>
      <c r="B343"/>
      <c r="C343"/>
      <c r="D343"/>
      <c r="E343"/>
      <c r="F343"/>
      <c r="G343"/>
      <c r="H343"/>
      <c r="I343"/>
      <c r="J343"/>
      <c r="K343"/>
      <c r="L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</row>
    <row r="344" spans="1:63">
      <c r="A344" s="70"/>
      <c r="B344"/>
      <c r="C344"/>
      <c r="D344"/>
      <c r="E344"/>
      <c r="F344"/>
      <c r="G344"/>
      <c r="H344"/>
      <c r="I344"/>
      <c r="J344"/>
      <c r="K344"/>
      <c r="L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</row>
    <row r="345" spans="1:63">
      <c r="A345" s="70"/>
      <c r="B345"/>
      <c r="C345"/>
      <c r="D345"/>
      <c r="E345"/>
      <c r="F345"/>
      <c r="G345"/>
      <c r="H345"/>
      <c r="I345"/>
      <c r="J345"/>
      <c r="K345"/>
      <c r="L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</row>
    <row r="346" spans="1:63">
      <c r="A346" s="70"/>
      <c r="B346"/>
      <c r="C346"/>
      <c r="D346"/>
      <c r="E346"/>
      <c r="F346"/>
      <c r="G346"/>
      <c r="H346"/>
      <c r="I346"/>
      <c r="J346"/>
      <c r="K346"/>
      <c r="L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</row>
    <row r="347" spans="1:63">
      <c r="A347" s="70"/>
      <c r="B347"/>
      <c r="C347"/>
      <c r="D347"/>
      <c r="E347"/>
      <c r="F347"/>
      <c r="G347"/>
      <c r="H347"/>
      <c r="I347"/>
      <c r="J347"/>
      <c r="K347"/>
      <c r="L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</row>
    <row r="348" spans="1:63">
      <c r="A348" s="70"/>
      <c r="B348"/>
      <c r="C348"/>
      <c r="D348"/>
      <c r="E348"/>
      <c r="F348"/>
      <c r="G348"/>
      <c r="H348"/>
      <c r="I348"/>
      <c r="J348"/>
      <c r="K348"/>
      <c r="L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</row>
    <row r="349" spans="1:63">
      <c r="A349" s="70"/>
      <c r="B349"/>
      <c r="C349"/>
      <c r="D349"/>
      <c r="E349"/>
      <c r="F349"/>
      <c r="G349"/>
      <c r="H349"/>
      <c r="I349"/>
      <c r="J349"/>
      <c r="K349"/>
      <c r="L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</row>
    <row r="350" spans="1:63">
      <c r="A350" s="70"/>
      <c r="B350"/>
      <c r="C350"/>
      <c r="D350"/>
      <c r="E350"/>
      <c r="F350"/>
      <c r="G350"/>
      <c r="H350"/>
      <c r="I350"/>
      <c r="J350"/>
      <c r="K350"/>
      <c r="L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</row>
    <row r="351" spans="1:63">
      <c r="A351" s="70"/>
      <c r="B351"/>
      <c r="C351"/>
      <c r="D351"/>
      <c r="E351"/>
      <c r="F351"/>
      <c r="G351"/>
      <c r="H351"/>
      <c r="I351"/>
      <c r="J351"/>
      <c r="K351"/>
      <c r="L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</row>
    <row r="352" spans="1:63">
      <c r="A352" s="70"/>
      <c r="B352"/>
      <c r="C352"/>
      <c r="D352"/>
      <c r="E352"/>
      <c r="F352"/>
      <c r="G352"/>
      <c r="H352"/>
      <c r="I352"/>
      <c r="J352"/>
      <c r="K352"/>
      <c r="L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</row>
    <row r="353" spans="1:63">
      <c r="A353" s="70"/>
      <c r="B353"/>
      <c r="C353"/>
      <c r="D353"/>
      <c r="E353"/>
      <c r="F353"/>
      <c r="G353"/>
      <c r="H353"/>
      <c r="I353"/>
      <c r="J353"/>
      <c r="K353"/>
      <c r="L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</row>
    <row r="354" spans="1:63">
      <c r="A354" s="70"/>
      <c r="B354"/>
      <c r="C354"/>
      <c r="D354"/>
      <c r="E354"/>
      <c r="F354"/>
      <c r="G354"/>
      <c r="H354"/>
      <c r="I354"/>
      <c r="J354"/>
      <c r="K354"/>
      <c r="L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</row>
    <row r="355" spans="1:63">
      <c r="A355" s="70"/>
      <c r="B355"/>
      <c r="C355"/>
      <c r="D355"/>
      <c r="E355"/>
      <c r="F355"/>
      <c r="G355"/>
      <c r="H355"/>
      <c r="I355"/>
      <c r="J355"/>
      <c r="K355"/>
      <c r="L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</row>
    <row r="356" spans="1:63">
      <c r="A356" s="70"/>
      <c r="B356"/>
      <c r="C356"/>
      <c r="D356"/>
      <c r="E356"/>
      <c r="F356"/>
      <c r="G356"/>
      <c r="H356"/>
      <c r="I356"/>
      <c r="J356"/>
      <c r="K356"/>
      <c r="L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</row>
    <row r="357" spans="1:63">
      <c r="A357" s="70"/>
      <c r="B357"/>
      <c r="C357"/>
      <c r="D357"/>
      <c r="E357"/>
      <c r="F357"/>
      <c r="G357"/>
      <c r="H357"/>
      <c r="I357"/>
      <c r="J357"/>
      <c r="K357"/>
      <c r="L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</row>
    <row r="358" spans="1:63">
      <c r="A358" s="70"/>
      <c r="B358"/>
      <c r="C358"/>
      <c r="D358"/>
      <c r="E358"/>
      <c r="F358"/>
      <c r="G358"/>
      <c r="H358"/>
      <c r="I358"/>
      <c r="J358"/>
      <c r="K358"/>
      <c r="L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</row>
    <row r="359" spans="1:63">
      <c r="A359" s="70"/>
      <c r="B359"/>
      <c r="C359"/>
      <c r="D359"/>
      <c r="E359"/>
      <c r="F359"/>
      <c r="G359"/>
      <c r="H359"/>
      <c r="I359"/>
      <c r="J359"/>
      <c r="K359"/>
      <c r="L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</row>
    <row r="360" spans="1:63">
      <c r="A360" s="70"/>
      <c r="B360"/>
      <c r="C360"/>
      <c r="D360"/>
      <c r="E360"/>
      <c r="F360"/>
      <c r="G360"/>
      <c r="H360"/>
      <c r="I360"/>
      <c r="J360"/>
      <c r="K360"/>
      <c r="L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</row>
    <row r="361" spans="1:63">
      <c r="A361" s="70"/>
      <c r="B361"/>
      <c r="C361"/>
      <c r="D361"/>
      <c r="E361"/>
      <c r="F361"/>
      <c r="G361"/>
      <c r="H361"/>
      <c r="I361"/>
      <c r="J361"/>
      <c r="K361"/>
      <c r="L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</row>
    <row r="362" spans="1:63">
      <c r="A362" s="70"/>
      <c r="B362"/>
      <c r="C362"/>
      <c r="D362"/>
      <c r="E362"/>
      <c r="F362"/>
      <c r="G362"/>
      <c r="H362"/>
      <c r="I362"/>
      <c r="J362"/>
      <c r="K362"/>
      <c r="L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</row>
    <row r="363" spans="1:63">
      <c r="A363" s="70"/>
      <c r="B363"/>
      <c r="C363"/>
      <c r="D363"/>
      <c r="E363"/>
      <c r="F363"/>
      <c r="G363"/>
      <c r="H363"/>
      <c r="I363"/>
      <c r="J363"/>
      <c r="K363"/>
      <c r="L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</row>
    <row r="364" spans="1:63">
      <c r="A364" s="70"/>
      <c r="B364"/>
      <c r="C364"/>
      <c r="D364"/>
      <c r="E364"/>
      <c r="F364"/>
      <c r="G364"/>
      <c r="H364"/>
      <c r="I364"/>
      <c r="J364"/>
      <c r="K364"/>
      <c r="L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</row>
    <row r="365" spans="1:63">
      <c r="A365" s="70"/>
      <c r="B365"/>
      <c r="C365"/>
      <c r="D365"/>
      <c r="E365"/>
      <c r="F365"/>
      <c r="G365"/>
      <c r="H365"/>
      <c r="I365"/>
      <c r="J365"/>
      <c r="K365"/>
      <c r="L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</row>
    <row r="366" spans="1:63">
      <c r="A366" s="70"/>
      <c r="B366"/>
      <c r="C366"/>
      <c r="D366"/>
      <c r="E366"/>
      <c r="F366"/>
      <c r="G366"/>
      <c r="H366"/>
      <c r="I366"/>
      <c r="J366"/>
      <c r="K366"/>
      <c r="L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</row>
    <row r="367" spans="1:63">
      <c r="A367" s="70"/>
      <c r="B367"/>
      <c r="C367"/>
      <c r="D367"/>
      <c r="E367"/>
      <c r="F367"/>
      <c r="G367"/>
      <c r="H367"/>
      <c r="I367"/>
      <c r="J367"/>
      <c r="K367"/>
      <c r="L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</row>
    <row r="368" spans="1:63">
      <c r="A368" s="70"/>
      <c r="B368"/>
      <c r="C368"/>
      <c r="D368"/>
      <c r="E368"/>
      <c r="F368"/>
      <c r="G368"/>
      <c r="H368"/>
      <c r="I368"/>
      <c r="J368"/>
      <c r="K368"/>
      <c r="L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</row>
    <row r="369" spans="1:63">
      <c r="A369" s="70"/>
      <c r="B369"/>
      <c r="C369"/>
      <c r="D369"/>
      <c r="E369"/>
      <c r="F369"/>
      <c r="G369"/>
      <c r="H369"/>
      <c r="I369"/>
      <c r="J369"/>
      <c r="K369"/>
      <c r="L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</row>
    <row r="370" spans="1:63">
      <c r="A370" s="70"/>
      <c r="B370"/>
      <c r="C370"/>
      <c r="D370"/>
      <c r="E370"/>
      <c r="F370"/>
      <c r="G370"/>
      <c r="H370"/>
      <c r="I370"/>
      <c r="J370"/>
      <c r="K370"/>
      <c r="L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</row>
    <row r="371" spans="1:63">
      <c r="A371" s="70"/>
      <c r="B371"/>
      <c r="C371"/>
      <c r="D371"/>
      <c r="E371"/>
      <c r="F371"/>
      <c r="G371"/>
      <c r="H371"/>
      <c r="I371"/>
      <c r="J371"/>
      <c r="K371"/>
      <c r="L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</row>
    <row r="372" spans="1:63">
      <c r="A372" s="70"/>
      <c r="B372"/>
      <c r="C372"/>
      <c r="D372"/>
      <c r="E372"/>
      <c r="F372"/>
      <c r="G372"/>
      <c r="H372"/>
      <c r="I372"/>
      <c r="J372"/>
      <c r="K372"/>
      <c r="L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</row>
    <row r="373" spans="1:63">
      <c r="A373" s="70"/>
      <c r="B373"/>
      <c r="C373"/>
      <c r="D373"/>
      <c r="E373"/>
      <c r="F373"/>
      <c r="G373"/>
      <c r="H373"/>
      <c r="I373"/>
      <c r="J373"/>
      <c r="K373"/>
      <c r="L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</row>
    <row r="374" spans="1:63">
      <c r="A374" s="70"/>
      <c r="B374"/>
      <c r="C374"/>
      <c r="D374"/>
      <c r="E374"/>
      <c r="F374"/>
      <c r="G374"/>
      <c r="H374"/>
      <c r="I374"/>
      <c r="J374"/>
      <c r="K374"/>
      <c r="L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</row>
    <row r="375" spans="1:63">
      <c r="A375" s="70"/>
      <c r="B375"/>
      <c r="C375"/>
      <c r="D375"/>
      <c r="E375"/>
      <c r="F375"/>
      <c r="G375"/>
      <c r="H375"/>
      <c r="I375"/>
      <c r="J375"/>
      <c r="K375"/>
      <c r="L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</row>
    <row r="376" spans="1:63">
      <c r="A376" s="70"/>
      <c r="B376"/>
      <c r="C376"/>
      <c r="D376"/>
      <c r="E376"/>
      <c r="F376"/>
      <c r="G376"/>
      <c r="H376"/>
      <c r="I376"/>
      <c r="J376"/>
      <c r="K376"/>
      <c r="L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</row>
    <row r="377" spans="1:63">
      <c r="A377" s="70"/>
      <c r="B377"/>
      <c r="C377"/>
      <c r="D377"/>
      <c r="E377"/>
      <c r="F377"/>
      <c r="G377"/>
      <c r="H377"/>
      <c r="I377"/>
      <c r="J377"/>
      <c r="K377"/>
      <c r="L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</row>
    <row r="378" spans="1:63">
      <c r="A378" s="70"/>
      <c r="B378"/>
      <c r="C378"/>
      <c r="D378"/>
      <c r="E378"/>
      <c r="F378"/>
      <c r="G378"/>
      <c r="H378"/>
      <c r="I378"/>
      <c r="J378"/>
      <c r="K378"/>
      <c r="L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</row>
    <row r="379" spans="1:63">
      <c r="A379" s="70"/>
      <c r="B379"/>
      <c r="C379"/>
      <c r="D379"/>
      <c r="E379"/>
      <c r="F379"/>
      <c r="G379"/>
      <c r="H379"/>
      <c r="I379"/>
      <c r="J379"/>
      <c r="K379"/>
      <c r="L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</row>
    <row r="380" spans="1:63">
      <c r="A380" s="70"/>
      <c r="B380"/>
      <c r="C380"/>
      <c r="D380"/>
      <c r="E380"/>
      <c r="F380"/>
      <c r="G380"/>
      <c r="H380"/>
      <c r="I380"/>
      <c r="J380"/>
      <c r="K380"/>
      <c r="L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</row>
    <row r="381" spans="1:63">
      <c r="A381" s="70"/>
      <c r="B381"/>
      <c r="C381"/>
      <c r="D381"/>
      <c r="E381"/>
      <c r="F381"/>
      <c r="G381"/>
      <c r="H381"/>
      <c r="I381"/>
      <c r="J381"/>
      <c r="K381"/>
      <c r="L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</row>
    <row r="382" spans="1:63">
      <c r="A382" s="70"/>
      <c r="B382"/>
      <c r="C382"/>
      <c r="D382"/>
      <c r="E382"/>
      <c r="F382"/>
      <c r="G382"/>
      <c r="H382"/>
      <c r="I382"/>
      <c r="J382"/>
      <c r="K382"/>
      <c r="L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</row>
    <row r="383" spans="1:63">
      <c r="A383" s="70"/>
      <c r="B383"/>
      <c r="C383"/>
      <c r="D383"/>
      <c r="E383"/>
      <c r="F383"/>
      <c r="G383"/>
      <c r="H383"/>
      <c r="I383"/>
      <c r="J383"/>
      <c r="K383"/>
      <c r="L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</row>
    <row r="384" spans="1:63">
      <c r="A384" s="70"/>
      <c r="B384"/>
      <c r="C384"/>
      <c r="D384"/>
      <c r="E384"/>
      <c r="F384"/>
      <c r="G384"/>
      <c r="H384"/>
      <c r="I384"/>
      <c r="J384"/>
      <c r="K384"/>
      <c r="L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</row>
    <row r="385" spans="1:63">
      <c r="A385" s="70"/>
      <c r="B385"/>
      <c r="C385"/>
      <c r="D385"/>
      <c r="E385"/>
      <c r="F385"/>
      <c r="G385"/>
      <c r="H385"/>
      <c r="I385"/>
      <c r="J385"/>
      <c r="K385"/>
      <c r="L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</row>
    <row r="386" spans="1:63">
      <c r="A386" s="70"/>
      <c r="B386"/>
      <c r="C386"/>
      <c r="D386"/>
      <c r="E386"/>
      <c r="F386"/>
      <c r="G386"/>
      <c r="H386"/>
      <c r="I386"/>
      <c r="J386"/>
      <c r="K386"/>
      <c r="L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</row>
    <row r="387" spans="1:63">
      <c r="A387" s="70"/>
      <c r="B387"/>
      <c r="C387"/>
      <c r="D387"/>
      <c r="E387"/>
      <c r="F387"/>
      <c r="G387"/>
      <c r="H387"/>
      <c r="I387"/>
      <c r="J387"/>
      <c r="K387"/>
      <c r="L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</row>
    <row r="388" spans="1:63">
      <c r="A388" s="70"/>
      <c r="B388"/>
      <c r="C388"/>
      <c r="D388"/>
      <c r="E388"/>
      <c r="F388"/>
      <c r="G388"/>
      <c r="H388"/>
      <c r="I388"/>
      <c r="J388"/>
      <c r="K388"/>
      <c r="L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</row>
    <row r="389" spans="1:63">
      <c r="A389" s="70"/>
      <c r="B389"/>
      <c r="C389"/>
      <c r="D389"/>
      <c r="E389"/>
      <c r="F389"/>
      <c r="G389"/>
      <c r="H389"/>
      <c r="I389"/>
      <c r="J389"/>
      <c r="K389"/>
      <c r="L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</row>
    <row r="390" spans="1:63">
      <c r="A390" s="70"/>
      <c r="B390"/>
      <c r="C390"/>
      <c r="D390"/>
      <c r="E390"/>
      <c r="F390"/>
      <c r="G390"/>
      <c r="H390"/>
      <c r="I390"/>
      <c r="J390"/>
      <c r="K390"/>
      <c r="L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</row>
    <row r="391" spans="1:63">
      <c r="A391" s="70"/>
      <c r="B391"/>
      <c r="C391"/>
      <c r="D391"/>
      <c r="E391"/>
      <c r="F391"/>
      <c r="G391"/>
      <c r="H391"/>
      <c r="I391"/>
      <c r="J391"/>
      <c r="K391"/>
      <c r="L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</row>
    <row r="392" spans="1:63">
      <c r="A392" s="70"/>
      <c r="B392"/>
      <c r="C392"/>
      <c r="D392"/>
      <c r="E392"/>
      <c r="F392"/>
      <c r="G392"/>
      <c r="H392"/>
      <c r="I392"/>
      <c r="J392"/>
      <c r="K392"/>
      <c r="L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</row>
    <row r="393" spans="1:63">
      <c r="A393" s="70"/>
      <c r="B393"/>
      <c r="C393"/>
      <c r="D393"/>
      <c r="E393"/>
      <c r="F393"/>
      <c r="G393"/>
      <c r="H393"/>
      <c r="I393"/>
      <c r="J393"/>
      <c r="K393"/>
      <c r="L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</row>
    <row r="394" spans="1:63">
      <c r="A394" s="70"/>
      <c r="B394"/>
      <c r="C394"/>
      <c r="D394"/>
      <c r="E394"/>
      <c r="F394"/>
      <c r="G394"/>
      <c r="H394"/>
      <c r="I394"/>
      <c r="J394"/>
      <c r="K394"/>
      <c r="L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</row>
    <row r="395" spans="1:63">
      <c r="A395" s="70"/>
      <c r="B395"/>
      <c r="C395"/>
      <c r="D395"/>
      <c r="E395"/>
      <c r="F395"/>
      <c r="G395"/>
      <c r="H395"/>
      <c r="I395"/>
      <c r="J395"/>
      <c r="K395"/>
      <c r="L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</row>
    <row r="396" spans="1:63">
      <c r="A396" s="70"/>
      <c r="B396"/>
      <c r="C396"/>
      <c r="D396"/>
      <c r="E396"/>
      <c r="F396"/>
      <c r="G396"/>
      <c r="H396"/>
      <c r="I396"/>
      <c r="J396"/>
      <c r="K396"/>
      <c r="L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</row>
    <row r="397" spans="1:63">
      <c r="A397" s="70"/>
      <c r="B397"/>
      <c r="C397"/>
      <c r="D397"/>
      <c r="E397"/>
      <c r="F397"/>
      <c r="G397"/>
      <c r="H397"/>
      <c r="I397"/>
      <c r="J397"/>
      <c r="K397"/>
      <c r="L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</row>
    <row r="398" spans="1:63">
      <c r="A398" s="70"/>
      <c r="B398"/>
      <c r="C398"/>
      <c r="D398"/>
      <c r="E398"/>
      <c r="F398"/>
      <c r="G398"/>
      <c r="H398"/>
      <c r="I398"/>
      <c r="J398"/>
      <c r="K398"/>
      <c r="L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</row>
    <row r="399" spans="1:63">
      <c r="A399" s="70"/>
      <c r="B399"/>
      <c r="C399"/>
      <c r="D399"/>
      <c r="E399"/>
      <c r="F399"/>
      <c r="G399"/>
      <c r="H399"/>
      <c r="I399"/>
      <c r="J399"/>
      <c r="K399"/>
      <c r="L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</row>
    <row r="400" spans="1:63">
      <c r="A400" s="70"/>
      <c r="B400"/>
      <c r="C400"/>
      <c r="D400"/>
      <c r="E400"/>
      <c r="F400"/>
      <c r="G400"/>
      <c r="H400"/>
      <c r="I400"/>
      <c r="J400"/>
      <c r="K400"/>
      <c r="L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</row>
    <row r="401" spans="1:63">
      <c r="A401" s="70"/>
      <c r="B401"/>
      <c r="C401"/>
      <c r="D401"/>
      <c r="E401"/>
      <c r="F401"/>
      <c r="G401"/>
      <c r="H401"/>
      <c r="I401"/>
      <c r="J401"/>
      <c r="K401"/>
      <c r="L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</row>
    <row r="402" spans="1:63">
      <c r="A402" s="70"/>
      <c r="B402"/>
      <c r="C402"/>
      <c r="D402"/>
      <c r="E402"/>
      <c r="F402"/>
      <c r="G402"/>
      <c r="H402"/>
      <c r="I402"/>
      <c r="J402"/>
      <c r="K402"/>
      <c r="L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</row>
    <row r="403" spans="1:63">
      <c r="A403" s="70"/>
      <c r="B403"/>
      <c r="C403"/>
      <c r="D403"/>
      <c r="E403"/>
      <c r="F403"/>
      <c r="G403"/>
      <c r="H403"/>
      <c r="I403"/>
      <c r="J403"/>
      <c r="K403"/>
      <c r="L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</row>
    <row r="404" spans="1:63">
      <c r="A404" s="70"/>
      <c r="B404"/>
      <c r="C404"/>
      <c r="D404"/>
      <c r="E404"/>
      <c r="F404"/>
      <c r="G404"/>
      <c r="H404"/>
      <c r="I404"/>
      <c r="J404"/>
      <c r="K404"/>
      <c r="L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</row>
    <row r="405" spans="1:63">
      <c r="A405" s="70"/>
      <c r="B405"/>
      <c r="C405"/>
      <c r="D405"/>
      <c r="E405"/>
      <c r="F405"/>
      <c r="G405"/>
      <c r="H405"/>
      <c r="I405"/>
      <c r="J405"/>
      <c r="K405"/>
      <c r="L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</row>
    <row r="406" spans="1:63">
      <c r="A406" s="70"/>
      <c r="B406"/>
      <c r="C406"/>
      <c r="D406"/>
      <c r="E406"/>
      <c r="F406"/>
      <c r="G406"/>
      <c r="H406"/>
      <c r="I406"/>
      <c r="J406"/>
      <c r="K406"/>
      <c r="L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</row>
    <row r="407" spans="1:63">
      <c r="A407" s="70"/>
      <c r="B407"/>
      <c r="C407"/>
      <c r="D407"/>
      <c r="E407"/>
      <c r="F407"/>
      <c r="G407"/>
      <c r="H407"/>
      <c r="I407"/>
      <c r="J407"/>
      <c r="K407"/>
      <c r="L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</row>
    <row r="408" spans="1:63">
      <c r="A408" s="70"/>
      <c r="B408"/>
      <c r="C408"/>
      <c r="D408"/>
      <c r="E408"/>
      <c r="F408"/>
      <c r="G408"/>
      <c r="H408"/>
      <c r="I408"/>
      <c r="J408"/>
      <c r="K408"/>
      <c r="L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</row>
    <row r="409" spans="1:63">
      <c r="A409" s="70"/>
      <c r="B409"/>
      <c r="C409"/>
      <c r="D409"/>
      <c r="E409"/>
      <c r="F409"/>
      <c r="G409"/>
      <c r="H409"/>
      <c r="I409"/>
      <c r="J409"/>
      <c r="K409"/>
      <c r="L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</row>
    <row r="410" spans="1:63">
      <c r="A410" s="70"/>
      <c r="B410"/>
      <c r="C410"/>
      <c r="D410"/>
      <c r="E410"/>
      <c r="F410"/>
      <c r="G410"/>
      <c r="H410"/>
      <c r="I410"/>
      <c r="J410"/>
      <c r="K410"/>
      <c r="L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</row>
    <row r="411" spans="1:63">
      <c r="A411" s="70"/>
      <c r="B411"/>
      <c r="C411"/>
      <c r="D411"/>
      <c r="E411"/>
      <c r="F411"/>
      <c r="G411"/>
      <c r="H411"/>
      <c r="I411"/>
      <c r="J411"/>
      <c r="K411"/>
      <c r="L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</row>
    <row r="412" spans="1:63">
      <c r="A412" s="70"/>
      <c r="B412"/>
      <c r="C412"/>
      <c r="D412"/>
      <c r="E412"/>
      <c r="F412"/>
      <c r="G412"/>
      <c r="H412"/>
      <c r="I412"/>
      <c r="J412"/>
      <c r="K412"/>
      <c r="L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</row>
    <row r="413" spans="1:63">
      <c r="A413" s="70"/>
      <c r="B413"/>
      <c r="C413"/>
      <c r="D413"/>
      <c r="E413"/>
      <c r="F413"/>
      <c r="G413"/>
      <c r="H413"/>
      <c r="I413"/>
      <c r="J413"/>
      <c r="K413"/>
      <c r="L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</row>
    <row r="414" spans="1:63">
      <c r="A414" s="70"/>
      <c r="B414"/>
      <c r="C414"/>
      <c r="D414"/>
      <c r="E414"/>
      <c r="F414"/>
      <c r="G414"/>
      <c r="H414"/>
      <c r="I414"/>
      <c r="J414"/>
      <c r="K414"/>
      <c r="L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</row>
    <row r="415" spans="1:63">
      <c r="A415" s="70"/>
      <c r="B415"/>
      <c r="C415"/>
      <c r="D415"/>
      <c r="E415"/>
      <c r="F415"/>
      <c r="G415"/>
      <c r="H415"/>
      <c r="I415"/>
      <c r="J415"/>
      <c r="K415"/>
      <c r="L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</row>
    <row r="416" spans="1:63">
      <c r="A416" s="70"/>
      <c r="B416"/>
      <c r="C416"/>
      <c r="D416"/>
      <c r="E416"/>
      <c r="F416"/>
      <c r="G416"/>
      <c r="H416"/>
      <c r="I416"/>
      <c r="J416"/>
      <c r="K416"/>
      <c r="L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</row>
    <row r="417" spans="1:63">
      <c r="A417" s="70"/>
      <c r="B417"/>
      <c r="C417"/>
      <c r="D417"/>
      <c r="E417"/>
      <c r="F417"/>
      <c r="G417"/>
      <c r="H417"/>
      <c r="I417"/>
      <c r="J417"/>
      <c r="K417"/>
      <c r="L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</row>
    <row r="418" spans="1:63">
      <c r="A418" s="70"/>
      <c r="B418"/>
      <c r="C418"/>
      <c r="D418"/>
      <c r="E418"/>
      <c r="F418"/>
      <c r="G418"/>
      <c r="H418"/>
      <c r="I418"/>
      <c r="J418"/>
      <c r="K418"/>
      <c r="L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</row>
    <row r="419" spans="1:63">
      <c r="A419" s="70"/>
      <c r="B419"/>
      <c r="C419"/>
      <c r="D419"/>
      <c r="E419"/>
      <c r="F419"/>
      <c r="G419"/>
      <c r="H419"/>
      <c r="I419"/>
      <c r="J419"/>
      <c r="K419"/>
      <c r="L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</row>
    <row r="420" spans="1:63">
      <c r="A420" s="70"/>
      <c r="B420"/>
      <c r="C420"/>
      <c r="D420"/>
      <c r="E420"/>
      <c r="F420"/>
      <c r="G420"/>
      <c r="H420"/>
      <c r="I420"/>
      <c r="J420"/>
      <c r="K420"/>
      <c r="L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</row>
    <row r="421" spans="1:63">
      <c r="A421" s="70"/>
      <c r="B421"/>
      <c r="C421"/>
      <c r="D421"/>
      <c r="E421"/>
      <c r="F421"/>
      <c r="G421"/>
      <c r="H421"/>
      <c r="I421"/>
      <c r="J421"/>
      <c r="K421"/>
      <c r="L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</row>
    <row r="422" spans="1:63">
      <c r="A422" s="70"/>
      <c r="B422"/>
      <c r="C422"/>
      <c r="D422"/>
      <c r="E422"/>
      <c r="F422"/>
      <c r="G422"/>
      <c r="H422"/>
      <c r="I422"/>
      <c r="J422"/>
      <c r="K422"/>
      <c r="L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</row>
    <row r="423" spans="1:63">
      <c r="A423" s="70"/>
      <c r="B423"/>
      <c r="C423"/>
      <c r="D423"/>
      <c r="E423"/>
      <c r="F423"/>
      <c r="G423"/>
      <c r="H423"/>
      <c r="I423"/>
      <c r="J423"/>
      <c r="K423"/>
      <c r="L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</row>
    <row r="424" spans="1:63">
      <c r="A424" s="70"/>
      <c r="B424"/>
      <c r="C424"/>
      <c r="D424"/>
      <c r="E424"/>
      <c r="F424"/>
      <c r="G424"/>
      <c r="H424"/>
      <c r="I424"/>
      <c r="J424"/>
      <c r="K424"/>
      <c r="L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</row>
    <row r="425" spans="1:63">
      <c r="A425" s="70"/>
      <c r="B425"/>
      <c r="C425"/>
      <c r="D425"/>
      <c r="E425"/>
      <c r="F425"/>
      <c r="G425"/>
      <c r="H425"/>
      <c r="I425"/>
      <c r="J425"/>
      <c r="K425"/>
      <c r="L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</row>
    <row r="426" spans="1:63">
      <c r="A426" s="70"/>
      <c r="B426"/>
      <c r="C426"/>
      <c r="D426"/>
      <c r="E426"/>
      <c r="F426"/>
      <c r="G426"/>
      <c r="H426"/>
      <c r="I426"/>
      <c r="J426"/>
      <c r="K426"/>
      <c r="L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</row>
    <row r="427" spans="1:63">
      <c r="A427" s="70"/>
      <c r="B427"/>
      <c r="C427"/>
      <c r="D427"/>
      <c r="E427"/>
      <c r="F427"/>
      <c r="G427"/>
      <c r="H427"/>
      <c r="I427"/>
      <c r="J427"/>
      <c r="K427"/>
      <c r="L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</row>
    <row r="428" spans="1:63">
      <c r="A428" s="70"/>
      <c r="B428"/>
      <c r="C428"/>
      <c r="D428"/>
      <c r="E428"/>
      <c r="F428"/>
      <c r="G428"/>
      <c r="H428"/>
      <c r="I428"/>
      <c r="J428"/>
      <c r="K428"/>
      <c r="L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</row>
    <row r="429" spans="1:63">
      <c r="A429" s="70"/>
      <c r="B429"/>
      <c r="C429"/>
      <c r="D429"/>
      <c r="E429"/>
      <c r="F429"/>
      <c r="G429"/>
      <c r="H429"/>
      <c r="I429"/>
      <c r="J429"/>
      <c r="K429"/>
      <c r="L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</row>
    <row r="430" spans="1:63">
      <c r="A430" s="70"/>
      <c r="B430"/>
      <c r="C430"/>
      <c r="D430"/>
      <c r="E430"/>
      <c r="F430"/>
      <c r="G430"/>
      <c r="H430"/>
      <c r="I430"/>
      <c r="J430"/>
      <c r="K430"/>
      <c r="L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</row>
    <row r="431" spans="1:63">
      <c r="A431" s="70"/>
      <c r="B431"/>
      <c r="C431"/>
      <c r="D431"/>
      <c r="E431"/>
      <c r="F431"/>
      <c r="G431"/>
      <c r="H431"/>
      <c r="I431"/>
      <c r="J431"/>
      <c r="K431"/>
      <c r="L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</row>
    <row r="432" spans="1:63">
      <c r="A432" s="70"/>
      <c r="B432"/>
      <c r="C432"/>
      <c r="D432"/>
      <c r="E432"/>
      <c r="F432"/>
      <c r="G432"/>
      <c r="H432"/>
      <c r="I432"/>
      <c r="J432"/>
      <c r="K432"/>
      <c r="L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</row>
    <row r="433" spans="1:63">
      <c r="A433" s="70"/>
      <c r="B433"/>
      <c r="C433"/>
      <c r="D433"/>
      <c r="E433"/>
      <c r="F433"/>
      <c r="G433"/>
      <c r="H433"/>
      <c r="I433"/>
      <c r="J433"/>
      <c r="K433"/>
      <c r="L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</row>
    <row r="434" spans="1:63">
      <c r="A434" s="70"/>
      <c r="B434"/>
      <c r="C434"/>
      <c r="D434"/>
      <c r="E434"/>
      <c r="F434"/>
      <c r="G434"/>
      <c r="H434"/>
      <c r="I434"/>
      <c r="J434"/>
      <c r="K434"/>
      <c r="L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</row>
    <row r="435" spans="1:63">
      <c r="A435" s="70"/>
      <c r="B435"/>
      <c r="C435"/>
      <c r="D435"/>
      <c r="E435"/>
      <c r="F435"/>
      <c r="G435"/>
      <c r="H435"/>
      <c r="I435"/>
      <c r="J435"/>
      <c r="K435"/>
      <c r="L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</row>
    <row r="436" spans="1:63">
      <c r="A436" s="70"/>
      <c r="B436"/>
      <c r="C436"/>
      <c r="D436"/>
      <c r="E436"/>
      <c r="F436"/>
      <c r="G436"/>
      <c r="H436"/>
      <c r="I436"/>
      <c r="J436"/>
      <c r="K436"/>
      <c r="L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</row>
    <row r="437" spans="1:63">
      <c r="A437" s="70"/>
      <c r="B437"/>
      <c r="C437"/>
      <c r="D437"/>
      <c r="E437"/>
      <c r="F437"/>
      <c r="G437"/>
      <c r="H437"/>
      <c r="I437"/>
      <c r="J437"/>
      <c r="K437"/>
      <c r="L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</row>
    <row r="438" spans="1:63">
      <c r="A438" s="70"/>
      <c r="B438"/>
      <c r="C438"/>
      <c r="D438"/>
      <c r="E438"/>
      <c r="F438"/>
      <c r="G438"/>
      <c r="H438"/>
      <c r="I438"/>
      <c r="J438"/>
      <c r="K438"/>
      <c r="L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</row>
    <row r="439" spans="1:63">
      <c r="A439" s="70"/>
      <c r="B439"/>
      <c r="C439"/>
      <c r="D439"/>
      <c r="E439"/>
      <c r="F439"/>
      <c r="G439"/>
      <c r="H439"/>
      <c r="I439"/>
      <c r="J439"/>
      <c r="K439"/>
      <c r="L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</row>
    <row r="440" spans="1:63">
      <c r="A440" s="70"/>
      <c r="B440"/>
      <c r="C440"/>
      <c r="D440"/>
      <c r="E440"/>
      <c r="F440"/>
      <c r="G440"/>
      <c r="H440"/>
      <c r="I440"/>
      <c r="J440"/>
      <c r="K440"/>
      <c r="L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</row>
    <row r="441" spans="1:63">
      <c r="A441" s="70"/>
      <c r="B441"/>
      <c r="C441"/>
      <c r="D441"/>
      <c r="E441"/>
      <c r="F441"/>
      <c r="G441"/>
      <c r="H441"/>
      <c r="I441"/>
      <c r="J441"/>
      <c r="K441"/>
      <c r="L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</row>
    <row r="442" spans="1:63">
      <c r="A442" s="70"/>
      <c r="B442"/>
      <c r="C442"/>
      <c r="D442"/>
      <c r="E442"/>
      <c r="F442"/>
      <c r="G442"/>
      <c r="H442"/>
      <c r="I442"/>
      <c r="J442"/>
      <c r="K442"/>
      <c r="L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</row>
    <row r="443" spans="1:63">
      <c r="A443" s="70"/>
      <c r="B443"/>
      <c r="C443"/>
      <c r="D443"/>
      <c r="E443"/>
      <c r="F443"/>
      <c r="G443"/>
      <c r="H443"/>
      <c r="I443"/>
      <c r="J443"/>
      <c r="K443"/>
      <c r="L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</row>
    <row r="444" spans="1:63">
      <c r="A444" s="70"/>
      <c r="B444"/>
      <c r="C444"/>
      <c r="D444"/>
      <c r="E444"/>
      <c r="F444"/>
      <c r="G444"/>
      <c r="H444"/>
      <c r="I444"/>
      <c r="J444"/>
      <c r="K444"/>
      <c r="L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</row>
    <row r="445" spans="1:63">
      <c r="A445" s="70"/>
      <c r="B445"/>
      <c r="C445"/>
      <c r="D445"/>
      <c r="E445"/>
      <c r="F445"/>
      <c r="G445"/>
      <c r="H445"/>
      <c r="I445"/>
      <c r="J445"/>
      <c r="K445"/>
      <c r="L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</row>
    <row r="446" spans="1:63">
      <c r="A446" s="70"/>
      <c r="B446"/>
      <c r="C446"/>
      <c r="D446"/>
      <c r="E446"/>
      <c r="F446"/>
      <c r="G446"/>
      <c r="H446"/>
      <c r="I446"/>
      <c r="J446"/>
      <c r="K446"/>
      <c r="L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</row>
    <row r="447" spans="1:63">
      <c r="A447" s="70"/>
      <c r="B447"/>
      <c r="C447"/>
      <c r="D447"/>
      <c r="E447"/>
      <c r="F447"/>
      <c r="G447"/>
      <c r="H447"/>
      <c r="I447"/>
      <c r="J447"/>
      <c r="K447"/>
      <c r="L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</row>
    <row r="448" spans="1:63">
      <c r="A448" s="70"/>
      <c r="B448"/>
      <c r="C448"/>
      <c r="D448"/>
      <c r="E448"/>
      <c r="F448"/>
      <c r="G448"/>
      <c r="H448"/>
      <c r="I448"/>
      <c r="J448"/>
      <c r="K448"/>
      <c r="L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</row>
    <row r="449" spans="1:63">
      <c r="A449" s="70"/>
      <c r="B449"/>
      <c r="C449"/>
      <c r="D449"/>
      <c r="E449"/>
      <c r="F449"/>
      <c r="G449"/>
      <c r="H449"/>
      <c r="I449"/>
      <c r="J449"/>
      <c r="K449"/>
      <c r="L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</row>
    <row r="450" spans="1:63">
      <c r="A450" s="70"/>
      <c r="B450"/>
      <c r="C450"/>
      <c r="D450"/>
      <c r="E450"/>
      <c r="F450"/>
      <c r="G450"/>
      <c r="H450"/>
      <c r="I450"/>
      <c r="J450"/>
      <c r="K450"/>
      <c r="L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</row>
    <row r="451" spans="1:63">
      <c r="A451" s="70"/>
      <c r="B451"/>
      <c r="C451"/>
      <c r="D451"/>
      <c r="E451"/>
      <c r="F451"/>
      <c r="G451"/>
      <c r="H451"/>
      <c r="I451"/>
      <c r="J451"/>
      <c r="K451"/>
      <c r="L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</row>
    <row r="452" spans="1:63">
      <c r="A452" s="70"/>
      <c r="B452"/>
      <c r="C452"/>
      <c r="D452"/>
      <c r="E452"/>
      <c r="F452"/>
      <c r="G452"/>
      <c r="H452"/>
      <c r="I452"/>
      <c r="J452"/>
      <c r="K452"/>
      <c r="L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</row>
    <row r="453" spans="1:63">
      <c r="A453" s="70"/>
      <c r="B453"/>
      <c r="C453"/>
      <c r="D453"/>
      <c r="E453"/>
      <c r="F453"/>
      <c r="G453"/>
      <c r="H453"/>
      <c r="I453"/>
      <c r="J453"/>
      <c r="K453"/>
      <c r="L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</row>
    <row r="454" spans="1:63">
      <c r="A454" s="70"/>
      <c r="B454"/>
      <c r="C454"/>
      <c r="D454"/>
      <c r="E454"/>
      <c r="F454"/>
      <c r="G454"/>
      <c r="H454"/>
      <c r="I454"/>
      <c r="J454"/>
      <c r="K454"/>
      <c r="L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</row>
    <row r="455" spans="1:63">
      <c r="A455" s="70"/>
      <c r="B455"/>
      <c r="C455"/>
      <c r="D455"/>
      <c r="E455"/>
      <c r="F455"/>
      <c r="G455"/>
      <c r="H455"/>
      <c r="I455"/>
      <c r="J455"/>
      <c r="K455"/>
      <c r="L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</row>
    <row r="456" spans="1:63">
      <c r="A456" s="70"/>
      <c r="B456"/>
      <c r="C456"/>
      <c r="D456"/>
      <c r="E456"/>
      <c r="F456"/>
      <c r="G456"/>
      <c r="H456"/>
      <c r="I456"/>
      <c r="J456"/>
      <c r="K456"/>
      <c r="L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</row>
    <row r="457" spans="1:63">
      <c r="A457" s="70"/>
      <c r="B457"/>
      <c r="C457"/>
      <c r="D457"/>
      <c r="E457"/>
      <c r="F457"/>
      <c r="G457"/>
      <c r="H457"/>
      <c r="I457"/>
      <c r="J457"/>
      <c r="K457"/>
      <c r="L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</row>
    <row r="458" spans="1:63">
      <c r="A458" s="70"/>
      <c r="B458"/>
      <c r="C458"/>
      <c r="D458"/>
      <c r="E458"/>
      <c r="F458"/>
      <c r="G458"/>
      <c r="H458"/>
      <c r="I458"/>
      <c r="J458"/>
      <c r="K458"/>
      <c r="L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</row>
    <row r="459" spans="1:63">
      <c r="A459" s="70"/>
      <c r="B459"/>
      <c r="C459"/>
      <c r="D459"/>
      <c r="E459"/>
      <c r="F459"/>
      <c r="G459"/>
      <c r="H459"/>
      <c r="I459"/>
      <c r="J459"/>
      <c r="K459"/>
      <c r="L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</row>
    <row r="460" spans="1:63">
      <c r="A460" s="70"/>
      <c r="B460"/>
      <c r="C460"/>
      <c r="D460"/>
      <c r="E460"/>
      <c r="F460"/>
      <c r="G460"/>
      <c r="H460"/>
      <c r="I460"/>
      <c r="J460"/>
      <c r="K460"/>
      <c r="L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</row>
    <row r="461" spans="1:63">
      <c r="A461" s="70"/>
      <c r="B461"/>
      <c r="C461"/>
      <c r="D461"/>
      <c r="E461"/>
      <c r="F461"/>
      <c r="G461"/>
      <c r="H461"/>
      <c r="I461"/>
      <c r="J461"/>
      <c r="K461"/>
      <c r="L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</row>
    <row r="462" spans="1:63">
      <c r="A462" s="70"/>
      <c r="B462"/>
      <c r="C462"/>
      <c r="D462"/>
      <c r="E462"/>
      <c r="F462"/>
      <c r="G462"/>
      <c r="H462"/>
      <c r="I462"/>
      <c r="J462"/>
      <c r="K462"/>
      <c r="L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</row>
    <row r="463" spans="1:63">
      <c r="A463" s="70"/>
      <c r="B463"/>
      <c r="C463"/>
      <c r="D463"/>
      <c r="E463"/>
      <c r="F463"/>
      <c r="G463"/>
      <c r="H463"/>
      <c r="I463"/>
      <c r="J463"/>
      <c r="K463"/>
      <c r="L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</row>
    <row r="464" spans="1:63">
      <c r="A464" s="70"/>
      <c r="B464"/>
      <c r="C464"/>
      <c r="D464"/>
      <c r="E464"/>
      <c r="F464"/>
      <c r="G464"/>
      <c r="H464"/>
      <c r="I464"/>
      <c r="J464"/>
      <c r="K464"/>
      <c r="L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</row>
    <row r="465" spans="1:63">
      <c r="A465" s="70"/>
      <c r="B465"/>
      <c r="C465"/>
      <c r="D465"/>
      <c r="E465"/>
      <c r="F465"/>
      <c r="G465"/>
      <c r="H465"/>
      <c r="I465"/>
      <c r="J465"/>
      <c r="K465"/>
      <c r="L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</row>
    <row r="466" spans="1:63">
      <c r="A466" s="70"/>
      <c r="B466"/>
      <c r="C466"/>
      <c r="D466"/>
      <c r="E466"/>
      <c r="F466"/>
      <c r="G466"/>
      <c r="H466"/>
      <c r="I466"/>
      <c r="J466"/>
      <c r="K466"/>
      <c r="L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</row>
    <row r="467" spans="1:63">
      <c r="A467" s="70"/>
      <c r="B467"/>
      <c r="C467"/>
      <c r="D467"/>
      <c r="E467"/>
      <c r="F467"/>
      <c r="G467"/>
      <c r="H467"/>
      <c r="I467"/>
      <c r="J467"/>
      <c r="K467"/>
      <c r="L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</row>
    <row r="468" spans="1:63">
      <c r="A468" s="70"/>
      <c r="B468"/>
      <c r="C468"/>
      <c r="D468"/>
      <c r="E468"/>
      <c r="F468"/>
      <c r="G468"/>
      <c r="H468"/>
      <c r="I468"/>
      <c r="J468"/>
      <c r="K468"/>
      <c r="L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</row>
    <row r="469" spans="1:63">
      <c r="A469" s="70"/>
      <c r="B469"/>
      <c r="C469"/>
      <c r="D469"/>
      <c r="E469"/>
      <c r="F469"/>
      <c r="G469"/>
      <c r="H469"/>
      <c r="I469"/>
      <c r="J469"/>
      <c r="K469"/>
      <c r="L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</row>
    <row r="470" spans="1:63">
      <c r="A470" s="70"/>
      <c r="B470"/>
      <c r="C470"/>
      <c r="D470"/>
      <c r="E470"/>
      <c r="F470"/>
      <c r="G470"/>
      <c r="H470"/>
      <c r="I470"/>
      <c r="J470"/>
      <c r="K470"/>
      <c r="L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</row>
    <row r="471" spans="1:63">
      <c r="A471" s="70"/>
      <c r="B471"/>
      <c r="C471"/>
      <c r="D471"/>
      <c r="E471"/>
      <c r="F471"/>
      <c r="G471"/>
      <c r="H471"/>
      <c r="I471"/>
      <c r="J471"/>
      <c r="K471"/>
      <c r="L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</row>
    <row r="472" spans="1:63">
      <c r="A472" s="70"/>
      <c r="B472"/>
      <c r="C472"/>
      <c r="D472"/>
      <c r="E472"/>
      <c r="F472"/>
      <c r="G472"/>
      <c r="H472"/>
      <c r="I472"/>
      <c r="J472"/>
      <c r="K472"/>
      <c r="L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</row>
    <row r="473" spans="1:63">
      <c r="A473" s="70"/>
      <c r="B473"/>
      <c r="C473"/>
      <c r="D473"/>
      <c r="E473"/>
      <c r="F473"/>
      <c r="G473"/>
      <c r="H473"/>
      <c r="I473"/>
      <c r="J473"/>
      <c r="K473"/>
      <c r="L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</row>
    <row r="474" spans="1:63">
      <c r="A474" s="70"/>
      <c r="B474"/>
      <c r="C474"/>
      <c r="D474"/>
      <c r="E474"/>
      <c r="F474"/>
      <c r="G474"/>
      <c r="H474"/>
      <c r="I474"/>
      <c r="J474"/>
      <c r="K474"/>
      <c r="L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</row>
    <row r="475" spans="1:63">
      <c r="A475" s="70"/>
      <c r="B475"/>
      <c r="C475"/>
      <c r="D475"/>
      <c r="E475"/>
      <c r="F475"/>
      <c r="G475"/>
      <c r="H475"/>
      <c r="I475"/>
      <c r="J475"/>
      <c r="K475"/>
      <c r="L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</row>
    <row r="476" spans="1:63">
      <c r="A476" s="70"/>
      <c r="B476"/>
      <c r="C476"/>
      <c r="D476"/>
      <c r="E476"/>
      <c r="F476"/>
      <c r="G476"/>
      <c r="H476"/>
      <c r="I476"/>
      <c r="J476"/>
      <c r="K476"/>
      <c r="L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</row>
    <row r="477" spans="1:63">
      <c r="A477" s="70"/>
      <c r="B477"/>
      <c r="C477"/>
      <c r="D477"/>
      <c r="E477"/>
      <c r="F477"/>
      <c r="G477"/>
      <c r="H477"/>
      <c r="I477"/>
      <c r="J477"/>
      <c r="K477"/>
      <c r="L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</row>
    <row r="478" spans="1:63">
      <c r="A478" s="70"/>
      <c r="B478"/>
      <c r="C478"/>
      <c r="D478"/>
      <c r="E478"/>
      <c r="F478"/>
      <c r="G478"/>
      <c r="H478"/>
      <c r="I478"/>
      <c r="J478"/>
      <c r="K478"/>
      <c r="L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</row>
    <row r="479" spans="1:63">
      <c r="A479" s="70"/>
      <c r="B479"/>
      <c r="C479"/>
      <c r="D479"/>
      <c r="E479"/>
      <c r="F479"/>
      <c r="G479"/>
      <c r="H479"/>
      <c r="I479"/>
      <c r="J479"/>
      <c r="K479"/>
      <c r="L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</row>
    <row r="480" spans="1:63">
      <c r="A480" s="70"/>
      <c r="B480"/>
      <c r="C480"/>
      <c r="D480"/>
      <c r="E480"/>
      <c r="F480"/>
      <c r="G480"/>
      <c r="H480"/>
      <c r="I480"/>
      <c r="J480"/>
      <c r="K480"/>
      <c r="L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</row>
    <row r="481" spans="1:63">
      <c r="A481" s="70"/>
      <c r="B481"/>
      <c r="C481"/>
      <c r="D481"/>
      <c r="E481"/>
      <c r="F481"/>
      <c r="G481"/>
      <c r="H481"/>
      <c r="I481"/>
      <c r="J481"/>
      <c r="K481"/>
      <c r="L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</row>
    <row r="482" spans="1:63">
      <c r="A482" s="70"/>
      <c r="B482"/>
      <c r="C482"/>
      <c r="D482"/>
      <c r="E482"/>
      <c r="F482"/>
      <c r="G482"/>
      <c r="H482"/>
      <c r="I482"/>
      <c r="J482"/>
      <c r="K482"/>
      <c r="L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</row>
    <row r="483" spans="1:63">
      <c r="A483" s="70"/>
      <c r="B483"/>
      <c r="C483"/>
      <c r="D483"/>
      <c r="E483"/>
      <c r="F483"/>
      <c r="G483"/>
      <c r="H483"/>
      <c r="I483"/>
      <c r="J483"/>
      <c r="K483"/>
      <c r="L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</row>
    <row r="484" spans="1:63">
      <c r="A484" s="70"/>
      <c r="B484"/>
      <c r="C484"/>
      <c r="D484"/>
      <c r="E484"/>
      <c r="F484"/>
      <c r="G484"/>
      <c r="H484"/>
      <c r="I484"/>
      <c r="J484"/>
      <c r="K484"/>
      <c r="L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</row>
    <row r="485" spans="1:63">
      <c r="A485" s="70"/>
      <c r="B485"/>
      <c r="C485"/>
      <c r="D485"/>
      <c r="E485"/>
      <c r="F485"/>
      <c r="G485"/>
      <c r="H485"/>
      <c r="I485"/>
      <c r="J485"/>
      <c r="K485"/>
      <c r="L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</row>
    <row r="486" spans="1:63">
      <c r="A486" s="70"/>
      <c r="B486"/>
      <c r="C486"/>
      <c r="D486"/>
      <c r="E486"/>
      <c r="F486"/>
      <c r="G486"/>
      <c r="H486"/>
      <c r="I486"/>
      <c r="J486"/>
      <c r="K486"/>
      <c r="L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</row>
    <row r="487" spans="1:63">
      <c r="A487" s="70"/>
      <c r="B487"/>
      <c r="C487"/>
      <c r="D487"/>
      <c r="E487"/>
      <c r="F487"/>
      <c r="G487"/>
      <c r="H487"/>
      <c r="I487"/>
      <c r="J487"/>
      <c r="K487"/>
      <c r="L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</row>
    <row r="488" spans="1:63">
      <c r="A488" s="70"/>
      <c r="B488"/>
      <c r="C488"/>
      <c r="D488"/>
      <c r="E488"/>
      <c r="F488"/>
      <c r="G488"/>
      <c r="H488"/>
      <c r="I488"/>
      <c r="J488"/>
      <c r="K488"/>
      <c r="L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</row>
    <row r="489" spans="1:63">
      <c r="A489" s="70"/>
      <c r="B489"/>
      <c r="C489"/>
      <c r="D489"/>
      <c r="E489"/>
      <c r="F489"/>
      <c r="G489"/>
      <c r="H489"/>
      <c r="I489"/>
      <c r="J489"/>
      <c r="K489"/>
      <c r="L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</row>
    <row r="490" spans="1:63">
      <c r="A490" s="70"/>
      <c r="B490"/>
      <c r="C490"/>
      <c r="D490"/>
      <c r="E490"/>
      <c r="F490"/>
      <c r="G490"/>
      <c r="H490"/>
      <c r="I490"/>
      <c r="J490"/>
      <c r="K490"/>
      <c r="L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</row>
    <row r="491" spans="1:63">
      <c r="A491" s="70"/>
      <c r="B491"/>
      <c r="C491"/>
      <c r="D491"/>
      <c r="E491"/>
      <c r="F491"/>
      <c r="G491"/>
      <c r="H491"/>
      <c r="I491"/>
      <c r="J491"/>
      <c r="K491"/>
      <c r="L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</row>
    <row r="492" spans="1:63">
      <c r="A492" s="70"/>
      <c r="B492"/>
      <c r="C492"/>
      <c r="D492"/>
      <c r="E492"/>
      <c r="F492"/>
      <c r="G492"/>
      <c r="H492"/>
      <c r="I492"/>
      <c r="J492"/>
      <c r="K492"/>
      <c r="L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</row>
    <row r="493" spans="1:63">
      <c r="A493" s="70"/>
      <c r="B493"/>
      <c r="C493"/>
      <c r="D493"/>
      <c r="E493"/>
      <c r="F493"/>
      <c r="G493"/>
      <c r="H493"/>
      <c r="I493"/>
      <c r="J493"/>
      <c r="K493"/>
      <c r="L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</row>
    <row r="494" spans="1:63">
      <c r="A494" s="70"/>
      <c r="B494"/>
      <c r="C494"/>
      <c r="D494"/>
      <c r="E494"/>
      <c r="F494"/>
      <c r="G494"/>
      <c r="H494"/>
      <c r="I494"/>
      <c r="J494"/>
      <c r="K494"/>
      <c r="L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</row>
    <row r="495" spans="1:63">
      <c r="A495" s="70"/>
      <c r="B495"/>
      <c r="C495"/>
      <c r="D495"/>
      <c r="E495"/>
      <c r="F495"/>
      <c r="G495"/>
      <c r="H495"/>
      <c r="I495"/>
      <c r="J495"/>
      <c r="K495"/>
      <c r="L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</row>
    <row r="496" spans="1:63">
      <c r="A496" s="70"/>
      <c r="B496"/>
      <c r="C496"/>
      <c r="D496"/>
      <c r="E496"/>
      <c r="F496"/>
      <c r="G496"/>
      <c r="H496"/>
      <c r="I496"/>
      <c r="J496"/>
      <c r="K496"/>
      <c r="L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</row>
    <row r="497" spans="1:63">
      <c r="A497" s="70"/>
      <c r="B497"/>
      <c r="C497"/>
      <c r="D497"/>
      <c r="E497"/>
      <c r="F497"/>
      <c r="G497"/>
      <c r="H497"/>
      <c r="I497"/>
      <c r="J497"/>
      <c r="K497"/>
      <c r="L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</row>
    <row r="498" spans="1:63">
      <c r="A498" s="70"/>
      <c r="B498"/>
      <c r="C498"/>
      <c r="D498"/>
      <c r="E498"/>
      <c r="F498"/>
      <c r="G498"/>
      <c r="H498"/>
      <c r="I498"/>
      <c r="J498"/>
      <c r="K498"/>
      <c r="L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</row>
    <row r="499" spans="1:63">
      <c r="A499" s="70"/>
      <c r="B499"/>
      <c r="C499"/>
      <c r="D499"/>
      <c r="E499"/>
      <c r="F499"/>
      <c r="G499"/>
      <c r="H499"/>
      <c r="I499"/>
      <c r="J499"/>
      <c r="K499"/>
      <c r="L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</row>
    <row r="500" spans="1:63">
      <c r="A500" s="70"/>
      <c r="B500"/>
      <c r="C500"/>
      <c r="D500"/>
      <c r="E500"/>
      <c r="F500"/>
      <c r="G500"/>
      <c r="H500"/>
      <c r="I500"/>
      <c r="J500"/>
      <c r="K500"/>
      <c r="L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</row>
    <row r="501" spans="1:63">
      <c r="A501" s="70"/>
      <c r="B501"/>
      <c r="C501"/>
      <c r="D501"/>
      <c r="E501"/>
      <c r="F501"/>
      <c r="G501"/>
      <c r="H501"/>
      <c r="I501"/>
      <c r="J501"/>
      <c r="K501"/>
      <c r="L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</row>
    <row r="502" spans="1:63">
      <c r="A502" s="70"/>
      <c r="B502"/>
      <c r="C502"/>
      <c r="D502"/>
      <c r="E502"/>
      <c r="F502"/>
      <c r="G502"/>
      <c r="H502"/>
      <c r="I502"/>
      <c r="J502"/>
      <c r="K502"/>
      <c r="L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</row>
    <row r="503" spans="1:63">
      <c r="A503" s="70"/>
      <c r="B503"/>
      <c r="C503"/>
      <c r="D503"/>
      <c r="E503"/>
      <c r="F503"/>
      <c r="G503"/>
      <c r="H503"/>
      <c r="I503"/>
      <c r="J503"/>
      <c r="K503"/>
      <c r="L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</row>
    <row r="504" spans="1:63">
      <c r="A504" s="70"/>
      <c r="B504"/>
      <c r="C504"/>
      <c r="D504"/>
      <c r="E504"/>
      <c r="F504"/>
      <c r="G504"/>
      <c r="H504"/>
      <c r="I504"/>
      <c r="J504"/>
      <c r="K504"/>
      <c r="L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</row>
    <row r="505" spans="1:63">
      <c r="A505" s="70"/>
      <c r="B505"/>
      <c r="C505"/>
      <c r="D505"/>
      <c r="E505"/>
      <c r="F505"/>
      <c r="G505"/>
      <c r="H505"/>
      <c r="I505"/>
      <c r="J505"/>
      <c r="K505"/>
      <c r="L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</row>
    <row r="506" spans="1:63">
      <c r="A506" s="70"/>
      <c r="B506"/>
      <c r="C506"/>
      <c r="D506"/>
      <c r="E506"/>
      <c r="F506"/>
      <c r="G506"/>
      <c r="H506"/>
      <c r="I506"/>
      <c r="J506"/>
      <c r="K506"/>
      <c r="L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</row>
    <row r="507" spans="1:63">
      <c r="A507" s="70"/>
      <c r="B507"/>
      <c r="C507"/>
      <c r="D507"/>
      <c r="E507"/>
      <c r="F507"/>
      <c r="G507"/>
      <c r="H507"/>
      <c r="I507"/>
      <c r="J507"/>
      <c r="K507"/>
      <c r="L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</row>
    <row r="508" spans="1:63">
      <c r="A508" s="70"/>
      <c r="B508"/>
      <c r="C508"/>
      <c r="D508"/>
      <c r="E508"/>
      <c r="F508"/>
      <c r="G508"/>
      <c r="H508"/>
      <c r="I508"/>
      <c r="J508"/>
      <c r="K508"/>
      <c r="L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</row>
    <row r="509" spans="1:63">
      <c r="A509" s="70"/>
      <c r="B509"/>
      <c r="C509"/>
      <c r="D509"/>
      <c r="E509"/>
      <c r="F509"/>
      <c r="G509"/>
      <c r="H509"/>
      <c r="I509"/>
      <c r="J509"/>
      <c r="K509"/>
      <c r="L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</row>
    <row r="510" spans="1:63">
      <c r="A510" s="70"/>
      <c r="B510"/>
      <c r="C510"/>
      <c r="D510"/>
      <c r="E510"/>
      <c r="F510"/>
      <c r="G510"/>
      <c r="H510"/>
      <c r="I510"/>
      <c r="J510"/>
      <c r="K510"/>
      <c r="L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</row>
    <row r="511" spans="1:63">
      <c r="A511" s="70"/>
      <c r="B511"/>
      <c r="C511"/>
      <c r="D511"/>
      <c r="E511"/>
      <c r="F511"/>
      <c r="G511"/>
      <c r="H511"/>
      <c r="I511"/>
      <c r="J511"/>
      <c r="K511"/>
      <c r="L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</row>
    <row r="512" spans="1:63">
      <c r="A512" s="70"/>
      <c r="B512"/>
      <c r="C512"/>
      <c r="D512"/>
      <c r="E512"/>
      <c r="F512"/>
      <c r="G512"/>
      <c r="H512"/>
      <c r="I512"/>
      <c r="J512"/>
      <c r="K512"/>
      <c r="L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</row>
    <row r="513" spans="1:63">
      <c r="A513" s="70"/>
      <c r="B513"/>
      <c r="C513"/>
      <c r="D513"/>
      <c r="E513"/>
      <c r="F513"/>
      <c r="G513"/>
      <c r="H513"/>
      <c r="I513"/>
      <c r="J513"/>
      <c r="K513"/>
      <c r="L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</row>
    <row r="514" spans="1:63">
      <c r="A514" s="70"/>
      <c r="B514"/>
      <c r="C514"/>
      <c r="D514"/>
      <c r="E514"/>
      <c r="F514"/>
      <c r="G514"/>
      <c r="H514"/>
      <c r="I514"/>
      <c r="J514"/>
      <c r="K514"/>
      <c r="L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</row>
    <row r="515" spans="1:63">
      <c r="A515" s="70"/>
      <c r="B515"/>
      <c r="C515"/>
      <c r="D515"/>
      <c r="E515"/>
      <c r="F515"/>
      <c r="G515"/>
      <c r="H515"/>
      <c r="I515"/>
      <c r="J515"/>
      <c r="K515"/>
      <c r="L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</row>
    <row r="516" spans="1:63">
      <c r="A516" s="70"/>
      <c r="B516"/>
      <c r="C516"/>
      <c r="D516"/>
      <c r="E516"/>
      <c r="F516"/>
      <c r="G516"/>
      <c r="H516"/>
      <c r="I516"/>
      <c r="J516"/>
      <c r="K516"/>
      <c r="L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</row>
    <row r="517" spans="1:63">
      <c r="A517" s="70"/>
      <c r="B517"/>
      <c r="C517"/>
      <c r="D517"/>
      <c r="E517"/>
      <c r="F517"/>
      <c r="G517"/>
      <c r="H517"/>
      <c r="I517"/>
      <c r="J517"/>
      <c r="K517"/>
      <c r="L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</row>
    <row r="518" spans="1:63">
      <c r="A518" s="70"/>
      <c r="B518"/>
      <c r="C518"/>
      <c r="D518"/>
      <c r="E518"/>
      <c r="F518"/>
      <c r="G518"/>
      <c r="H518"/>
      <c r="I518"/>
      <c r="J518"/>
      <c r="K518"/>
      <c r="L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</row>
    <row r="519" spans="1:63">
      <c r="A519" s="70"/>
      <c r="B519"/>
      <c r="C519"/>
      <c r="D519"/>
      <c r="E519"/>
      <c r="F519"/>
      <c r="G519"/>
      <c r="H519"/>
      <c r="I519"/>
      <c r="J519"/>
      <c r="K519"/>
      <c r="L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</row>
    <row r="520" spans="1:63">
      <c r="A520" s="70"/>
      <c r="B520"/>
      <c r="C520"/>
      <c r="D520"/>
      <c r="E520"/>
      <c r="F520"/>
      <c r="G520"/>
      <c r="H520"/>
      <c r="I520"/>
      <c r="J520"/>
      <c r="K520"/>
      <c r="L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</row>
    <row r="521" spans="1:63">
      <c r="A521" s="70"/>
      <c r="B521"/>
      <c r="C521"/>
      <c r="D521"/>
      <c r="E521"/>
      <c r="F521"/>
      <c r="G521"/>
      <c r="H521"/>
      <c r="I521"/>
      <c r="J521"/>
      <c r="K521"/>
      <c r="L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</row>
    <row r="522" spans="1:63">
      <c r="A522" s="70"/>
      <c r="B522"/>
      <c r="C522"/>
      <c r="D522"/>
      <c r="E522"/>
      <c r="F522"/>
      <c r="G522"/>
      <c r="H522"/>
      <c r="I522"/>
      <c r="J522"/>
      <c r="K522"/>
      <c r="L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</row>
    <row r="523" spans="1:63">
      <c r="A523" s="70"/>
      <c r="B523"/>
      <c r="C523"/>
      <c r="D523"/>
      <c r="E523"/>
      <c r="F523"/>
      <c r="G523"/>
      <c r="H523"/>
      <c r="I523"/>
      <c r="J523"/>
      <c r="K523"/>
      <c r="L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</row>
    <row r="524" spans="1:63">
      <c r="A524" s="70"/>
      <c r="B524"/>
      <c r="C524"/>
      <c r="D524"/>
      <c r="E524"/>
      <c r="F524"/>
      <c r="G524"/>
      <c r="H524"/>
      <c r="I524"/>
      <c r="J524"/>
      <c r="K524"/>
      <c r="L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</row>
    <row r="525" spans="1:63">
      <c r="A525" s="70"/>
      <c r="B525"/>
      <c r="C525"/>
      <c r="D525"/>
      <c r="E525"/>
      <c r="F525"/>
      <c r="G525"/>
      <c r="H525"/>
      <c r="I525"/>
      <c r="J525"/>
      <c r="K525"/>
      <c r="L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</row>
    <row r="526" spans="1:63">
      <c r="A526" s="70"/>
      <c r="B526"/>
      <c r="C526"/>
      <c r="D526"/>
      <c r="E526"/>
      <c r="F526"/>
      <c r="G526"/>
      <c r="H526"/>
      <c r="I526"/>
      <c r="J526"/>
      <c r="K526"/>
      <c r="L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</row>
    <row r="527" spans="1:63">
      <c r="A527" s="70"/>
      <c r="B527"/>
      <c r="C527"/>
      <c r="D527"/>
      <c r="E527"/>
      <c r="F527"/>
      <c r="G527"/>
      <c r="H527"/>
      <c r="I527"/>
      <c r="J527"/>
      <c r="K527"/>
      <c r="L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</row>
    <row r="528" spans="1:63">
      <c r="A528" s="70"/>
      <c r="B528"/>
      <c r="C528"/>
      <c r="D528"/>
      <c r="E528"/>
      <c r="F528"/>
      <c r="G528"/>
      <c r="H528"/>
      <c r="I528"/>
      <c r="J528"/>
      <c r="K528"/>
      <c r="L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</row>
    <row r="529" spans="1:63">
      <c r="A529" s="70"/>
      <c r="B529"/>
      <c r="C529"/>
      <c r="D529"/>
      <c r="E529"/>
      <c r="F529"/>
      <c r="G529"/>
      <c r="H529"/>
      <c r="I529"/>
      <c r="J529"/>
      <c r="K529"/>
      <c r="L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</row>
    <row r="530" spans="1:63">
      <c r="A530" s="70"/>
      <c r="B530"/>
      <c r="C530"/>
      <c r="D530"/>
      <c r="E530"/>
      <c r="F530"/>
      <c r="G530"/>
      <c r="H530"/>
      <c r="I530"/>
      <c r="J530"/>
      <c r="K530"/>
      <c r="L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</row>
    <row r="531" spans="1:63">
      <c r="A531" s="70"/>
      <c r="B531"/>
      <c r="C531"/>
      <c r="D531"/>
      <c r="E531"/>
      <c r="F531"/>
      <c r="G531"/>
      <c r="H531"/>
      <c r="I531"/>
      <c r="J531"/>
      <c r="K531"/>
      <c r="L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</row>
    <row r="532" spans="1:63">
      <c r="A532" s="70"/>
      <c r="B532"/>
      <c r="C532"/>
      <c r="D532"/>
      <c r="E532"/>
      <c r="F532"/>
      <c r="G532"/>
      <c r="H532"/>
      <c r="I532"/>
      <c r="J532"/>
      <c r="K532"/>
      <c r="L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</row>
    <row r="533" spans="1:63">
      <c r="A533" s="70"/>
      <c r="B533"/>
      <c r="C533"/>
      <c r="D533"/>
      <c r="E533"/>
      <c r="F533"/>
      <c r="G533"/>
      <c r="H533"/>
      <c r="I533"/>
      <c r="J533"/>
      <c r="K533"/>
      <c r="L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</row>
    <row r="534" spans="1:63">
      <c r="A534" s="70"/>
      <c r="B534"/>
      <c r="C534"/>
      <c r="D534"/>
      <c r="E534"/>
      <c r="F534"/>
      <c r="G534"/>
      <c r="H534"/>
      <c r="I534"/>
      <c r="J534"/>
      <c r="K534"/>
      <c r="L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</row>
    <row r="535" spans="1:63">
      <c r="A535" s="70"/>
      <c r="B535"/>
      <c r="C535"/>
      <c r="D535"/>
      <c r="E535"/>
      <c r="F535"/>
      <c r="G535"/>
      <c r="H535"/>
      <c r="I535"/>
      <c r="J535"/>
      <c r="K535"/>
      <c r="L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</row>
    <row r="536" spans="1:63">
      <c r="A536" s="70"/>
      <c r="B536"/>
      <c r="C536"/>
      <c r="D536"/>
      <c r="E536"/>
      <c r="F536"/>
      <c r="G536"/>
      <c r="H536"/>
      <c r="I536"/>
      <c r="J536"/>
      <c r="K536"/>
      <c r="L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</row>
    <row r="537" spans="1:63">
      <c r="A537" s="70"/>
      <c r="B537"/>
      <c r="C537"/>
      <c r="D537"/>
      <c r="E537"/>
      <c r="F537"/>
      <c r="G537"/>
      <c r="H537"/>
      <c r="I537"/>
      <c r="J537"/>
      <c r="K537"/>
      <c r="L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</row>
    <row r="538" spans="1:63">
      <c r="A538" s="70"/>
      <c r="B538"/>
      <c r="C538"/>
      <c r="D538"/>
      <c r="E538"/>
      <c r="F538"/>
      <c r="G538"/>
      <c r="H538"/>
      <c r="I538"/>
      <c r="J538"/>
      <c r="K538"/>
      <c r="L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</row>
    <row r="539" spans="1:63">
      <c r="A539" s="70"/>
      <c r="B539"/>
      <c r="C539"/>
      <c r="D539"/>
      <c r="E539"/>
      <c r="F539"/>
      <c r="G539"/>
      <c r="H539"/>
      <c r="I539"/>
      <c r="J539"/>
      <c r="K539"/>
      <c r="L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</row>
    <row r="540" spans="1:63">
      <c r="A540" s="70"/>
      <c r="B540"/>
      <c r="C540"/>
      <c r="D540"/>
      <c r="E540"/>
      <c r="F540"/>
      <c r="G540"/>
      <c r="H540"/>
      <c r="I540"/>
      <c r="J540"/>
      <c r="K540"/>
      <c r="L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</row>
    <row r="541" spans="1:63">
      <c r="A541" s="70"/>
      <c r="B541"/>
      <c r="C541"/>
      <c r="D541"/>
      <c r="E541"/>
      <c r="F541"/>
      <c r="G541"/>
      <c r="H541"/>
      <c r="I541"/>
      <c r="J541"/>
      <c r="K541"/>
      <c r="L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</row>
    <row r="542" spans="1:63">
      <c r="A542" s="70"/>
      <c r="B542"/>
      <c r="C542"/>
      <c r="D542"/>
      <c r="E542"/>
      <c r="F542"/>
      <c r="G542"/>
      <c r="H542"/>
      <c r="I542"/>
      <c r="J542"/>
      <c r="K542"/>
      <c r="L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</row>
    <row r="543" spans="1:63">
      <c r="A543" s="70"/>
      <c r="B543"/>
      <c r="C543"/>
      <c r="D543"/>
      <c r="E543"/>
      <c r="F543"/>
      <c r="G543"/>
      <c r="H543"/>
      <c r="I543"/>
      <c r="J543"/>
      <c r="K543"/>
      <c r="L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</row>
    <row r="544" spans="1:63">
      <c r="A544" s="70"/>
      <c r="B544"/>
      <c r="C544"/>
      <c r="D544"/>
      <c r="E544"/>
      <c r="F544"/>
      <c r="G544"/>
      <c r="H544"/>
      <c r="I544"/>
      <c r="J544"/>
      <c r="K544"/>
      <c r="L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</row>
    <row r="545" spans="1:63">
      <c r="A545" s="70"/>
      <c r="B545"/>
      <c r="C545"/>
      <c r="D545"/>
      <c r="E545"/>
      <c r="F545"/>
      <c r="G545"/>
      <c r="H545"/>
      <c r="I545"/>
      <c r="J545"/>
      <c r="K545"/>
      <c r="L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</row>
    <row r="546" spans="1:63">
      <c r="A546" s="70"/>
      <c r="B546"/>
      <c r="C546"/>
      <c r="D546"/>
      <c r="E546"/>
      <c r="F546"/>
      <c r="G546"/>
      <c r="H546"/>
      <c r="I546"/>
      <c r="J546"/>
      <c r="K546"/>
      <c r="L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</row>
    <row r="547" spans="1:63">
      <c r="A547" s="70"/>
      <c r="B547"/>
      <c r="C547"/>
      <c r="D547"/>
      <c r="E547"/>
      <c r="F547"/>
      <c r="G547"/>
      <c r="H547"/>
      <c r="I547"/>
      <c r="J547"/>
      <c r="K547"/>
      <c r="L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</row>
    <row r="548" spans="1:63">
      <c r="A548" s="70"/>
      <c r="B548"/>
      <c r="C548"/>
      <c r="D548"/>
      <c r="E548"/>
      <c r="F548"/>
      <c r="G548"/>
      <c r="H548"/>
      <c r="I548"/>
      <c r="J548"/>
      <c r="K548"/>
      <c r="L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</row>
    <row r="549" spans="1:63">
      <c r="A549" s="70"/>
      <c r="B549"/>
      <c r="C549"/>
      <c r="D549"/>
      <c r="E549"/>
      <c r="F549"/>
      <c r="G549"/>
      <c r="H549"/>
      <c r="I549"/>
      <c r="J549"/>
      <c r="K549"/>
      <c r="L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</row>
    <row r="550" spans="1:63">
      <c r="A550" s="70"/>
      <c r="B550"/>
      <c r="C550"/>
      <c r="D550"/>
      <c r="E550"/>
      <c r="F550"/>
      <c r="G550"/>
      <c r="H550"/>
      <c r="I550"/>
      <c r="J550"/>
      <c r="K550"/>
      <c r="L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</row>
    <row r="551" spans="1:63">
      <c r="A551" s="70"/>
      <c r="B551"/>
      <c r="C551"/>
      <c r="D551"/>
      <c r="E551"/>
      <c r="F551"/>
      <c r="G551"/>
      <c r="H551"/>
      <c r="I551"/>
      <c r="J551"/>
      <c r="K551"/>
      <c r="L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</row>
    <row r="552" spans="1:63">
      <c r="A552" s="70"/>
      <c r="B552"/>
      <c r="C552"/>
      <c r="D552"/>
      <c r="E552"/>
      <c r="F552"/>
      <c r="G552"/>
      <c r="H552"/>
      <c r="I552"/>
      <c r="J552"/>
      <c r="K552"/>
      <c r="L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</row>
    <row r="553" spans="1:63">
      <c r="A553" s="70"/>
      <c r="B553"/>
      <c r="C553"/>
      <c r="D553"/>
      <c r="E553"/>
      <c r="F553"/>
      <c r="G553"/>
      <c r="H553"/>
      <c r="I553"/>
      <c r="J553"/>
      <c r="K553"/>
      <c r="L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</row>
    <row r="554" spans="1:63">
      <c r="A554" s="70"/>
      <c r="B554"/>
      <c r="C554"/>
      <c r="D554"/>
      <c r="E554"/>
      <c r="F554"/>
      <c r="G554"/>
      <c r="H554"/>
      <c r="I554"/>
      <c r="J554"/>
      <c r="K554"/>
      <c r="L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</row>
    <row r="555" spans="1:63">
      <c r="A555" s="70"/>
      <c r="B555"/>
      <c r="C555"/>
      <c r="D555"/>
      <c r="E555"/>
      <c r="F555"/>
      <c r="G555"/>
      <c r="H555"/>
      <c r="I555"/>
      <c r="J555"/>
      <c r="K555"/>
      <c r="L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</row>
    <row r="556" spans="1:63">
      <c r="A556" s="70"/>
      <c r="B556"/>
      <c r="C556"/>
      <c r="D556"/>
      <c r="E556"/>
      <c r="F556"/>
      <c r="G556"/>
      <c r="H556"/>
      <c r="I556"/>
      <c r="J556"/>
      <c r="K556"/>
      <c r="L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</row>
    <row r="557" spans="1:63">
      <c r="A557" s="70"/>
      <c r="B557"/>
      <c r="C557"/>
      <c r="D557"/>
      <c r="E557"/>
      <c r="F557"/>
      <c r="G557"/>
      <c r="H557"/>
      <c r="I557"/>
      <c r="J557"/>
      <c r="K557"/>
      <c r="L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</row>
    <row r="558" spans="1:63">
      <c r="A558" s="70"/>
      <c r="B558"/>
      <c r="C558"/>
      <c r="D558"/>
      <c r="E558"/>
      <c r="F558"/>
      <c r="G558"/>
      <c r="H558"/>
      <c r="I558"/>
      <c r="J558"/>
      <c r="K558"/>
      <c r="L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</row>
    <row r="559" spans="1:63">
      <c r="A559" s="70"/>
      <c r="B559"/>
      <c r="C559"/>
      <c r="D559"/>
      <c r="E559"/>
      <c r="F559"/>
      <c r="G559"/>
      <c r="H559"/>
      <c r="I559"/>
      <c r="J559"/>
      <c r="K559"/>
      <c r="L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</row>
    <row r="560" spans="1:63">
      <c r="A560" s="70"/>
      <c r="B560"/>
      <c r="C560"/>
      <c r="D560"/>
      <c r="E560"/>
      <c r="F560"/>
      <c r="G560"/>
      <c r="H560"/>
      <c r="I560"/>
      <c r="J560"/>
      <c r="K560"/>
      <c r="L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</row>
    <row r="561" spans="1:63">
      <c r="A561" s="70"/>
      <c r="B561"/>
      <c r="C561"/>
      <c r="D561"/>
      <c r="E561"/>
      <c r="F561"/>
      <c r="G561"/>
      <c r="H561"/>
      <c r="I561"/>
      <c r="J561"/>
      <c r="K561"/>
      <c r="L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</row>
    <row r="562" spans="1:63">
      <c r="A562" s="70"/>
      <c r="B562"/>
      <c r="C562"/>
      <c r="D562"/>
      <c r="E562"/>
      <c r="F562"/>
      <c r="G562"/>
      <c r="H562"/>
      <c r="I562"/>
      <c r="J562"/>
      <c r="K562"/>
      <c r="L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</row>
    <row r="563" spans="1:63">
      <c r="A563" s="70"/>
      <c r="B563"/>
      <c r="C563"/>
      <c r="D563"/>
      <c r="E563"/>
      <c r="F563"/>
      <c r="G563"/>
      <c r="H563"/>
      <c r="I563"/>
      <c r="J563"/>
      <c r="K563"/>
      <c r="L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</row>
    <row r="564" spans="1:63">
      <c r="A564" s="70"/>
      <c r="B564"/>
      <c r="C564"/>
      <c r="D564"/>
      <c r="E564"/>
      <c r="F564"/>
      <c r="G564"/>
      <c r="H564"/>
      <c r="I564"/>
      <c r="J564"/>
      <c r="K564"/>
      <c r="L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</row>
    <row r="565" spans="1:63">
      <c r="A565" s="70"/>
      <c r="B565"/>
      <c r="C565"/>
      <c r="D565"/>
      <c r="E565"/>
      <c r="F565"/>
      <c r="G565"/>
      <c r="H565"/>
      <c r="I565"/>
      <c r="J565"/>
      <c r="K565"/>
      <c r="L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</row>
    <row r="566" spans="1:63">
      <c r="A566" s="70"/>
      <c r="B566"/>
      <c r="C566"/>
      <c r="D566"/>
      <c r="E566"/>
      <c r="F566"/>
      <c r="G566"/>
      <c r="H566"/>
      <c r="I566"/>
      <c r="J566"/>
      <c r="K566"/>
      <c r="L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</row>
    <row r="567" spans="1:63">
      <c r="A567" s="70"/>
      <c r="B567"/>
      <c r="C567"/>
      <c r="D567"/>
      <c r="E567"/>
      <c r="F567"/>
      <c r="G567"/>
      <c r="H567"/>
      <c r="I567"/>
      <c r="J567"/>
      <c r="K567"/>
      <c r="L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</row>
    <row r="568" spans="1:63">
      <c r="A568" s="70"/>
      <c r="B568"/>
      <c r="C568"/>
      <c r="D568"/>
      <c r="E568"/>
      <c r="F568"/>
      <c r="G568"/>
      <c r="H568"/>
      <c r="I568"/>
      <c r="J568"/>
      <c r="K568"/>
      <c r="L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</row>
    <row r="569" spans="1:63">
      <c r="A569" s="70"/>
      <c r="B569"/>
      <c r="C569"/>
      <c r="D569"/>
      <c r="E569"/>
      <c r="F569"/>
      <c r="G569"/>
      <c r="H569"/>
      <c r="I569"/>
      <c r="J569"/>
      <c r="K569"/>
      <c r="L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</row>
    <row r="570" spans="1:63">
      <c r="A570" s="70"/>
      <c r="B570"/>
      <c r="C570"/>
      <c r="D570"/>
      <c r="E570"/>
      <c r="F570"/>
      <c r="G570"/>
      <c r="H570"/>
      <c r="I570"/>
      <c r="J570"/>
      <c r="K570"/>
      <c r="L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</row>
    <row r="571" spans="1:63">
      <c r="A571" s="70"/>
      <c r="B571"/>
      <c r="C571"/>
      <c r="D571"/>
      <c r="E571"/>
      <c r="F571"/>
      <c r="G571"/>
      <c r="H571"/>
      <c r="I571"/>
      <c r="J571"/>
      <c r="K571"/>
      <c r="L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</row>
    <row r="572" spans="1:63">
      <c r="A572" s="70"/>
      <c r="B572"/>
      <c r="C572"/>
      <c r="D572"/>
      <c r="E572"/>
      <c r="F572"/>
      <c r="G572"/>
      <c r="H572"/>
      <c r="I572"/>
      <c r="J572"/>
      <c r="K572"/>
      <c r="L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</row>
    <row r="573" spans="1:63">
      <c r="A573" s="70"/>
      <c r="B573"/>
      <c r="C573"/>
      <c r="D573"/>
      <c r="E573"/>
      <c r="F573"/>
      <c r="G573"/>
      <c r="H573"/>
      <c r="I573"/>
      <c r="J573"/>
      <c r="K573"/>
      <c r="L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</row>
    <row r="574" spans="1:63">
      <c r="A574" s="70"/>
      <c r="B574"/>
      <c r="C574"/>
      <c r="D574"/>
      <c r="E574"/>
      <c r="F574"/>
      <c r="G574"/>
      <c r="H574"/>
      <c r="I574"/>
      <c r="J574"/>
      <c r="K574"/>
      <c r="L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</row>
    <row r="575" spans="1:63">
      <c r="A575" s="70"/>
      <c r="B575"/>
      <c r="C575"/>
      <c r="D575"/>
      <c r="E575"/>
      <c r="F575"/>
      <c r="G575"/>
      <c r="H575"/>
      <c r="I575"/>
      <c r="J575"/>
      <c r="K575"/>
      <c r="L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</row>
    <row r="576" spans="1:63">
      <c r="A576" s="70"/>
      <c r="B576"/>
      <c r="C576"/>
      <c r="D576"/>
      <c r="E576"/>
      <c r="F576"/>
      <c r="G576"/>
      <c r="H576"/>
      <c r="I576"/>
      <c r="J576"/>
      <c r="K576"/>
      <c r="L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</row>
    <row r="577" spans="1:63">
      <c r="A577" s="70"/>
      <c r="B577"/>
      <c r="C577"/>
      <c r="D577"/>
      <c r="E577"/>
      <c r="F577"/>
      <c r="G577"/>
      <c r="H577"/>
      <c r="I577"/>
      <c r="J577"/>
      <c r="K577"/>
      <c r="L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</row>
    <row r="578" spans="1:63">
      <c r="A578" s="70"/>
      <c r="B578"/>
      <c r="C578"/>
      <c r="D578"/>
      <c r="E578"/>
      <c r="F578"/>
      <c r="G578"/>
      <c r="H578"/>
      <c r="I578"/>
      <c r="J578"/>
      <c r="K578"/>
      <c r="L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</row>
    <row r="579" spans="1:63">
      <c r="A579" s="70"/>
      <c r="B579"/>
      <c r="C579"/>
      <c r="D579"/>
      <c r="E579"/>
      <c r="F579"/>
      <c r="G579"/>
      <c r="H579"/>
      <c r="I579"/>
      <c r="J579"/>
      <c r="K579"/>
      <c r="L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</row>
    <row r="580" spans="1:63">
      <c r="A580" s="70"/>
      <c r="B580"/>
      <c r="C580"/>
      <c r="D580"/>
      <c r="E580"/>
      <c r="F580"/>
      <c r="G580"/>
      <c r="H580"/>
      <c r="I580"/>
      <c r="J580"/>
      <c r="K580"/>
      <c r="L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</row>
    <row r="581" spans="1:63">
      <c r="A581" s="70"/>
      <c r="B581"/>
      <c r="C581"/>
      <c r="D581"/>
      <c r="E581"/>
      <c r="F581"/>
      <c r="G581"/>
      <c r="H581"/>
      <c r="I581"/>
      <c r="J581"/>
      <c r="K581"/>
      <c r="L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</row>
    <row r="582" spans="1:63">
      <c r="A582" s="70"/>
      <c r="B582"/>
      <c r="C582"/>
      <c r="D582"/>
      <c r="E582"/>
      <c r="F582"/>
      <c r="G582"/>
      <c r="H582"/>
      <c r="I582"/>
      <c r="J582"/>
      <c r="K582"/>
      <c r="L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</row>
    <row r="583" spans="1:63">
      <c r="A583" s="70"/>
      <c r="B583"/>
      <c r="C583"/>
      <c r="D583"/>
      <c r="E583"/>
      <c r="F583"/>
      <c r="G583"/>
      <c r="H583"/>
      <c r="I583"/>
      <c r="J583"/>
      <c r="K583"/>
      <c r="L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</row>
    <row r="584" spans="1:63">
      <c r="A584" s="70"/>
      <c r="B584"/>
      <c r="C584"/>
      <c r="D584"/>
      <c r="E584"/>
      <c r="F584"/>
      <c r="G584"/>
      <c r="H584"/>
      <c r="I584"/>
      <c r="J584"/>
      <c r="K584"/>
      <c r="L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</row>
    <row r="585" spans="1:63">
      <c r="A585" s="70"/>
      <c r="B585"/>
      <c r="C585"/>
      <c r="D585"/>
      <c r="E585"/>
      <c r="F585"/>
      <c r="G585"/>
      <c r="H585"/>
      <c r="I585"/>
      <c r="J585"/>
      <c r="K585"/>
      <c r="L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</row>
    <row r="586" spans="1:63">
      <c r="A586" s="70"/>
      <c r="B586"/>
      <c r="C586"/>
      <c r="D586"/>
      <c r="E586"/>
      <c r="F586"/>
      <c r="G586"/>
      <c r="H586"/>
      <c r="I586"/>
      <c r="J586"/>
      <c r="K586"/>
      <c r="L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</row>
    <row r="587" spans="1:63">
      <c r="A587" s="70"/>
      <c r="B587"/>
      <c r="C587"/>
      <c r="D587"/>
      <c r="E587"/>
      <c r="F587"/>
      <c r="G587"/>
      <c r="H587"/>
      <c r="I587"/>
      <c r="J587"/>
      <c r="K587"/>
      <c r="L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</row>
    <row r="588" spans="1:63">
      <c r="A588" s="70"/>
      <c r="B588"/>
      <c r="C588"/>
      <c r="D588"/>
      <c r="E588"/>
      <c r="F588"/>
      <c r="G588"/>
      <c r="H588"/>
      <c r="I588"/>
      <c r="J588"/>
      <c r="K588"/>
      <c r="L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</row>
    <row r="589" spans="1:63">
      <c r="A589" s="70"/>
      <c r="B589"/>
      <c r="C589"/>
      <c r="D589"/>
      <c r="E589"/>
      <c r="F589"/>
      <c r="G589"/>
      <c r="H589"/>
      <c r="I589"/>
      <c r="J589"/>
      <c r="K589"/>
      <c r="L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</row>
    <row r="590" spans="1:63">
      <c r="A590" s="70"/>
      <c r="B590"/>
      <c r="C590"/>
      <c r="D590"/>
      <c r="E590"/>
      <c r="F590"/>
      <c r="G590"/>
      <c r="H590"/>
      <c r="I590"/>
      <c r="J590"/>
      <c r="K590"/>
      <c r="L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</row>
    <row r="591" spans="1:63">
      <c r="A591" s="70"/>
      <c r="B591"/>
      <c r="C591"/>
      <c r="D591"/>
      <c r="E591"/>
      <c r="F591"/>
      <c r="G591"/>
      <c r="H591"/>
      <c r="I591"/>
      <c r="J591"/>
      <c r="K591"/>
      <c r="L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</row>
    <row r="592" spans="1:63">
      <c r="A592" s="70"/>
      <c r="B592"/>
      <c r="C592"/>
      <c r="D592"/>
      <c r="E592"/>
      <c r="F592"/>
      <c r="G592"/>
      <c r="H592"/>
      <c r="I592"/>
      <c r="J592"/>
      <c r="K592"/>
      <c r="L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</row>
    <row r="593" spans="1:63">
      <c r="A593" s="70"/>
      <c r="B593"/>
      <c r="C593"/>
      <c r="D593"/>
      <c r="E593"/>
      <c r="F593"/>
      <c r="G593"/>
      <c r="H593"/>
      <c r="I593"/>
      <c r="J593"/>
      <c r="K593"/>
      <c r="L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</row>
    <row r="594" spans="1:63">
      <c r="A594" s="70"/>
      <c r="B594"/>
      <c r="C594"/>
      <c r="D594"/>
      <c r="E594"/>
      <c r="F594"/>
      <c r="G594"/>
      <c r="H594"/>
      <c r="I594"/>
      <c r="J594"/>
      <c r="K594"/>
      <c r="L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</row>
    <row r="595" spans="1:63">
      <c r="A595" s="70"/>
      <c r="B595"/>
      <c r="C595"/>
      <c r="D595"/>
      <c r="E595"/>
      <c r="F595"/>
      <c r="G595"/>
      <c r="H595"/>
      <c r="I595"/>
      <c r="J595"/>
      <c r="K595"/>
      <c r="L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</row>
    <row r="596" spans="1:63">
      <c r="A596" s="70"/>
      <c r="B596"/>
      <c r="C596"/>
      <c r="D596"/>
      <c r="E596"/>
      <c r="F596"/>
      <c r="G596"/>
      <c r="H596"/>
      <c r="I596"/>
      <c r="J596"/>
      <c r="K596"/>
      <c r="L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</row>
    <row r="597" spans="1:63">
      <c r="A597" s="70"/>
      <c r="B597"/>
      <c r="C597"/>
      <c r="D597"/>
      <c r="E597"/>
      <c r="F597"/>
      <c r="G597"/>
      <c r="H597"/>
      <c r="I597"/>
      <c r="J597"/>
      <c r="K597"/>
      <c r="L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</row>
    <row r="598" spans="1:63">
      <c r="A598" s="70"/>
      <c r="B598"/>
      <c r="C598"/>
      <c r="D598"/>
      <c r="E598"/>
      <c r="F598"/>
      <c r="G598"/>
      <c r="H598"/>
      <c r="I598"/>
      <c r="J598"/>
      <c r="K598"/>
      <c r="L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</row>
    <row r="599" spans="1:63">
      <c r="A599" s="70"/>
      <c r="B599"/>
      <c r="C599"/>
      <c r="D599"/>
      <c r="E599"/>
      <c r="F599"/>
      <c r="G599"/>
      <c r="H599"/>
      <c r="I599"/>
      <c r="J599"/>
      <c r="K599"/>
      <c r="L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</row>
    <row r="600" spans="1:63">
      <c r="A600" s="70"/>
      <c r="B600"/>
      <c r="C600"/>
      <c r="D600"/>
      <c r="E600"/>
      <c r="F600"/>
      <c r="G600"/>
      <c r="H600"/>
      <c r="I600"/>
      <c r="J600"/>
      <c r="K600"/>
      <c r="L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</row>
    <row r="601" spans="1:63">
      <c r="A601" s="70"/>
      <c r="B601"/>
      <c r="C601"/>
      <c r="D601"/>
      <c r="E601"/>
      <c r="F601"/>
      <c r="G601"/>
      <c r="H601"/>
      <c r="I601"/>
      <c r="J601"/>
      <c r="K601"/>
      <c r="L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</row>
    <row r="602" spans="1:63">
      <c r="A602" s="70"/>
      <c r="B602"/>
      <c r="C602"/>
      <c r="D602"/>
      <c r="E602"/>
      <c r="F602"/>
      <c r="G602"/>
      <c r="H602"/>
      <c r="I602"/>
      <c r="J602"/>
      <c r="K602"/>
      <c r="L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</row>
    <row r="603" spans="1:63">
      <c r="A603" s="70"/>
      <c r="B603"/>
      <c r="C603"/>
      <c r="D603"/>
      <c r="E603"/>
      <c r="F603"/>
      <c r="G603"/>
      <c r="H603"/>
      <c r="I603"/>
      <c r="J603"/>
      <c r="K603"/>
      <c r="L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</row>
    <row r="604" spans="1:63">
      <c r="A604" s="70"/>
      <c r="B604"/>
      <c r="C604"/>
      <c r="D604"/>
      <c r="E604"/>
      <c r="F604"/>
      <c r="G604"/>
      <c r="H604"/>
      <c r="I604"/>
      <c r="J604"/>
      <c r="K604"/>
      <c r="L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</row>
    <row r="605" spans="1:63">
      <c r="A605" s="70"/>
      <c r="B605"/>
      <c r="C605"/>
      <c r="D605"/>
      <c r="E605"/>
      <c r="F605"/>
      <c r="G605"/>
      <c r="H605"/>
      <c r="I605"/>
      <c r="J605"/>
      <c r="K605"/>
      <c r="L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</row>
    <row r="606" spans="1:63">
      <c r="A606" s="70"/>
      <c r="B606"/>
      <c r="C606"/>
      <c r="D606"/>
      <c r="E606"/>
      <c r="F606"/>
      <c r="G606"/>
      <c r="H606"/>
      <c r="I606"/>
      <c r="J606"/>
      <c r="K606"/>
      <c r="L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</row>
    <row r="607" spans="1:63">
      <c r="A607" s="70"/>
      <c r="B607"/>
      <c r="C607"/>
      <c r="D607"/>
      <c r="E607"/>
      <c r="F607"/>
      <c r="G607"/>
      <c r="H607"/>
      <c r="I607"/>
      <c r="J607"/>
      <c r="K607"/>
      <c r="L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</row>
    <row r="608" spans="1:63">
      <c r="A608" s="70"/>
      <c r="B608"/>
      <c r="C608"/>
      <c r="D608"/>
      <c r="E608"/>
      <c r="F608"/>
      <c r="G608"/>
      <c r="H608"/>
      <c r="I608"/>
      <c r="J608"/>
      <c r="K608"/>
      <c r="L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</row>
    <row r="609" spans="1:63">
      <c r="A609" s="70"/>
      <c r="B609"/>
      <c r="C609"/>
      <c r="D609"/>
      <c r="E609"/>
      <c r="F609"/>
      <c r="G609"/>
      <c r="H609"/>
      <c r="I609"/>
      <c r="J609"/>
      <c r="K609"/>
      <c r="L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</row>
    <row r="610" spans="1:63">
      <c r="A610" s="70"/>
      <c r="B610"/>
      <c r="C610"/>
      <c r="D610"/>
      <c r="E610"/>
      <c r="F610"/>
      <c r="G610"/>
      <c r="H610"/>
      <c r="I610"/>
      <c r="J610"/>
      <c r="K610"/>
      <c r="L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</row>
    <row r="611" spans="1:63">
      <c r="A611" s="70"/>
      <c r="B611"/>
      <c r="C611"/>
      <c r="D611"/>
      <c r="E611"/>
      <c r="F611"/>
      <c r="G611"/>
      <c r="H611"/>
      <c r="I611"/>
      <c r="J611"/>
      <c r="K611"/>
      <c r="L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</row>
    <row r="612" spans="1:63">
      <c r="A612" s="70"/>
      <c r="B612"/>
      <c r="C612"/>
      <c r="D612"/>
      <c r="E612"/>
      <c r="F612"/>
      <c r="G612"/>
      <c r="H612"/>
      <c r="I612"/>
      <c r="J612"/>
      <c r="K612"/>
      <c r="L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</row>
    <row r="613" spans="1:63">
      <c r="A613" s="70"/>
      <c r="B613"/>
      <c r="C613"/>
      <c r="D613"/>
      <c r="E613"/>
      <c r="F613"/>
      <c r="G613"/>
      <c r="H613"/>
      <c r="I613"/>
      <c r="J613"/>
      <c r="K613"/>
      <c r="L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</row>
    <row r="614" spans="1:63">
      <c r="A614" s="70"/>
      <c r="B614"/>
      <c r="C614"/>
      <c r="D614"/>
      <c r="E614"/>
      <c r="F614"/>
      <c r="G614"/>
      <c r="H614"/>
      <c r="I614"/>
      <c r="J614"/>
      <c r="K614"/>
      <c r="L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</row>
    <row r="615" spans="1:63">
      <c r="A615" s="70"/>
      <c r="B615"/>
      <c r="C615"/>
      <c r="D615"/>
      <c r="E615"/>
      <c r="F615"/>
      <c r="G615"/>
      <c r="H615"/>
      <c r="I615"/>
      <c r="J615"/>
      <c r="K615"/>
      <c r="L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</row>
    <row r="616" spans="1:63">
      <c r="A616" s="70"/>
      <c r="B616"/>
      <c r="C616"/>
      <c r="D616"/>
      <c r="E616"/>
      <c r="F616"/>
      <c r="G616"/>
      <c r="H616"/>
      <c r="I616"/>
      <c r="J616"/>
      <c r="K616"/>
      <c r="L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</row>
    <row r="617" spans="1:63">
      <c r="A617" s="70"/>
      <c r="B617"/>
      <c r="C617"/>
      <c r="D617"/>
      <c r="E617"/>
      <c r="F617"/>
      <c r="G617"/>
      <c r="H617"/>
      <c r="I617"/>
      <c r="J617"/>
      <c r="K617"/>
      <c r="L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</row>
    <row r="618" spans="1:63">
      <c r="A618" s="70"/>
      <c r="B618"/>
      <c r="C618"/>
      <c r="D618"/>
      <c r="E618"/>
      <c r="F618"/>
      <c r="G618"/>
      <c r="H618"/>
      <c r="I618"/>
      <c r="J618"/>
      <c r="K618"/>
      <c r="L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</row>
    <row r="619" spans="1:63">
      <c r="A619" s="70"/>
      <c r="B619"/>
      <c r="C619"/>
      <c r="D619"/>
      <c r="E619"/>
      <c r="F619"/>
      <c r="G619"/>
      <c r="H619"/>
      <c r="I619"/>
      <c r="J619"/>
      <c r="K619"/>
      <c r="L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</row>
    <row r="620" spans="1:63">
      <c r="A620" s="70"/>
      <c r="B620"/>
      <c r="C620"/>
      <c r="D620"/>
      <c r="E620"/>
      <c r="F620"/>
      <c r="G620"/>
      <c r="H620"/>
      <c r="I620"/>
      <c r="J620"/>
      <c r="K620"/>
      <c r="L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</row>
    <row r="621" spans="1:63">
      <c r="A621" s="70"/>
      <c r="B621"/>
      <c r="C621"/>
      <c r="D621"/>
      <c r="E621"/>
      <c r="F621"/>
      <c r="G621"/>
      <c r="H621"/>
      <c r="I621"/>
      <c r="J621"/>
      <c r="K621"/>
      <c r="L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</row>
    <row r="622" spans="1:63">
      <c r="A622" s="70"/>
      <c r="B622"/>
      <c r="C622"/>
      <c r="D622"/>
      <c r="E622"/>
      <c r="F622"/>
      <c r="G622"/>
      <c r="H622"/>
      <c r="I622"/>
      <c r="J622"/>
      <c r="K622"/>
      <c r="L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</row>
    <row r="623" spans="1:63">
      <c r="A623" s="70"/>
      <c r="B623"/>
      <c r="C623"/>
      <c r="D623"/>
      <c r="E623"/>
      <c r="F623"/>
      <c r="G623"/>
      <c r="H623"/>
      <c r="I623"/>
      <c r="J623"/>
      <c r="K623"/>
      <c r="L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</row>
    <row r="624" spans="1:63">
      <c r="A624" s="70"/>
      <c r="B624"/>
      <c r="C624"/>
      <c r="D624"/>
      <c r="E624"/>
      <c r="F624"/>
      <c r="G624"/>
      <c r="H624"/>
      <c r="I624"/>
      <c r="J624"/>
      <c r="K624"/>
      <c r="L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</row>
    <row r="625" spans="1:63">
      <c r="A625" s="70"/>
      <c r="B625"/>
      <c r="C625"/>
      <c r="D625"/>
      <c r="E625"/>
      <c r="F625"/>
      <c r="G625"/>
      <c r="H625"/>
      <c r="I625"/>
      <c r="J625"/>
      <c r="K625"/>
      <c r="L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</row>
    <row r="626" spans="1:63">
      <c r="A626" s="70"/>
      <c r="B626"/>
      <c r="C626"/>
      <c r="D626"/>
      <c r="E626"/>
      <c r="F626"/>
      <c r="G626"/>
      <c r="H626"/>
      <c r="I626"/>
      <c r="J626"/>
      <c r="K626"/>
      <c r="L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</row>
    <row r="627" spans="1:63">
      <c r="A627" s="70"/>
      <c r="B627"/>
      <c r="C627"/>
      <c r="D627"/>
      <c r="E627"/>
      <c r="F627"/>
      <c r="G627"/>
      <c r="H627"/>
      <c r="I627"/>
      <c r="J627"/>
      <c r="K627"/>
      <c r="L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</row>
    <row r="628" spans="1:63">
      <c r="A628" s="70"/>
      <c r="B628"/>
      <c r="C628"/>
      <c r="D628"/>
      <c r="E628"/>
      <c r="F628"/>
      <c r="G628"/>
      <c r="H628"/>
      <c r="I628"/>
      <c r="J628"/>
      <c r="K628"/>
      <c r="L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</row>
    <row r="629" spans="1:63">
      <c r="A629" s="70"/>
      <c r="B629"/>
      <c r="C629"/>
      <c r="D629"/>
      <c r="E629"/>
      <c r="F629"/>
      <c r="G629"/>
      <c r="H629"/>
      <c r="I629"/>
      <c r="J629"/>
      <c r="K629"/>
      <c r="L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</row>
    <row r="630" spans="1:63">
      <c r="A630" s="70"/>
      <c r="B630"/>
      <c r="C630"/>
      <c r="D630"/>
      <c r="E630"/>
      <c r="F630"/>
      <c r="G630"/>
      <c r="H630"/>
      <c r="I630"/>
      <c r="J630"/>
      <c r="K630"/>
      <c r="L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</row>
    <row r="631" spans="1:63">
      <c r="A631" s="70"/>
      <c r="B631"/>
      <c r="C631"/>
      <c r="D631"/>
      <c r="E631"/>
      <c r="F631"/>
      <c r="G631"/>
      <c r="H631"/>
      <c r="I631"/>
      <c r="J631"/>
      <c r="K631"/>
      <c r="L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</row>
    <row r="632" spans="1:63">
      <c r="A632" s="70"/>
      <c r="B632"/>
      <c r="C632"/>
      <c r="D632"/>
      <c r="E632"/>
      <c r="F632"/>
      <c r="G632"/>
      <c r="H632"/>
      <c r="I632"/>
      <c r="J632"/>
      <c r="K632"/>
      <c r="L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</row>
    <row r="633" spans="1:63">
      <c r="A633" s="70"/>
      <c r="B633"/>
      <c r="C633"/>
      <c r="D633"/>
      <c r="E633"/>
      <c r="F633"/>
      <c r="G633"/>
      <c r="H633"/>
      <c r="I633"/>
      <c r="J633"/>
      <c r="K633"/>
      <c r="L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</row>
    <row r="634" spans="1:63">
      <c r="A634" s="70"/>
      <c r="B634"/>
      <c r="C634"/>
      <c r="D634"/>
      <c r="E634"/>
      <c r="F634"/>
      <c r="G634"/>
      <c r="H634"/>
      <c r="I634"/>
      <c r="J634"/>
      <c r="K634"/>
      <c r="L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</row>
    <row r="635" spans="1:63">
      <c r="A635" s="70"/>
      <c r="B635"/>
      <c r="C635"/>
      <c r="D635"/>
      <c r="E635"/>
      <c r="F635"/>
      <c r="G635"/>
      <c r="H635"/>
      <c r="I635"/>
      <c r="J635"/>
      <c r="K635"/>
      <c r="L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</row>
    <row r="636" spans="1:63">
      <c r="A636" s="70"/>
      <c r="B636"/>
      <c r="C636"/>
      <c r="D636"/>
      <c r="E636"/>
      <c r="F636"/>
      <c r="G636"/>
      <c r="H636"/>
      <c r="I636"/>
      <c r="J636"/>
      <c r="K636"/>
      <c r="L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</row>
    <row r="637" spans="1:63">
      <c r="A637" s="70"/>
      <c r="B637"/>
      <c r="C637"/>
      <c r="D637"/>
      <c r="E637"/>
      <c r="F637"/>
      <c r="G637"/>
      <c r="H637"/>
      <c r="I637"/>
      <c r="J637"/>
      <c r="K637"/>
      <c r="L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</row>
    <row r="638" spans="1:63">
      <c r="A638" s="70"/>
      <c r="B638"/>
      <c r="C638"/>
      <c r="D638"/>
      <c r="E638"/>
      <c r="F638"/>
      <c r="G638"/>
      <c r="H638"/>
      <c r="I638"/>
      <c r="J638"/>
      <c r="K638"/>
      <c r="L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</row>
    <row r="639" spans="1:63">
      <c r="A639" s="70"/>
      <c r="B639"/>
      <c r="C639"/>
      <c r="D639"/>
      <c r="E639"/>
      <c r="F639"/>
      <c r="G639"/>
      <c r="H639"/>
      <c r="I639"/>
      <c r="J639"/>
      <c r="K639"/>
      <c r="L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</row>
    <row r="640" spans="1:63">
      <c r="A640" s="70"/>
      <c r="B640"/>
      <c r="C640"/>
      <c r="D640"/>
      <c r="E640"/>
      <c r="F640"/>
      <c r="G640"/>
      <c r="H640"/>
      <c r="I640"/>
      <c r="J640"/>
      <c r="K640"/>
      <c r="L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</row>
    <row r="641" spans="1:63">
      <c r="A641" s="70"/>
      <c r="B641"/>
      <c r="C641"/>
      <c r="D641"/>
      <c r="E641"/>
      <c r="F641"/>
      <c r="G641"/>
      <c r="H641"/>
      <c r="I641"/>
      <c r="J641"/>
      <c r="K641"/>
      <c r="L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</row>
    <row r="642" spans="1:63">
      <c r="A642" s="70"/>
      <c r="B642"/>
      <c r="C642"/>
      <c r="D642"/>
      <c r="E642"/>
      <c r="F642"/>
      <c r="G642"/>
      <c r="H642"/>
      <c r="I642"/>
      <c r="J642"/>
      <c r="K642"/>
      <c r="L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</row>
    <row r="643" spans="1:63">
      <c r="A643" s="70"/>
      <c r="B643"/>
      <c r="C643"/>
      <c r="D643"/>
      <c r="E643"/>
      <c r="F643"/>
      <c r="G643"/>
      <c r="H643"/>
      <c r="I643"/>
      <c r="J643"/>
      <c r="K643"/>
      <c r="L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</row>
    <row r="644" spans="1:63">
      <c r="A644" s="70"/>
      <c r="B644"/>
      <c r="C644"/>
      <c r="D644"/>
      <c r="E644"/>
      <c r="F644"/>
      <c r="G644"/>
      <c r="H644"/>
      <c r="I644"/>
      <c r="J644"/>
      <c r="K644"/>
      <c r="L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</row>
    <row r="645" spans="1:63">
      <c r="A645" s="70"/>
      <c r="B645"/>
      <c r="C645"/>
      <c r="D645"/>
      <c r="E645"/>
      <c r="F645"/>
      <c r="G645"/>
      <c r="H645"/>
      <c r="I645"/>
      <c r="J645"/>
      <c r="K645"/>
      <c r="L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</row>
    <row r="646" spans="1:63">
      <c r="A646" s="70"/>
      <c r="B646"/>
      <c r="C646"/>
      <c r="D646"/>
      <c r="E646"/>
      <c r="F646"/>
      <c r="G646"/>
      <c r="H646"/>
      <c r="I646"/>
      <c r="J646"/>
      <c r="K646"/>
      <c r="L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</row>
    <row r="647" spans="1:63">
      <c r="A647" s="70"/>
      <c r="B647"/>
      <c r="C647"/>
      <c r="D647"/>
      <c r="E647"/>
      <c r="F647"/>
      <c r="G647"/>
      <c r="H647"/>
      <c r="I647"/>
      <c r="J647"/>
      <c r="K647"/>
      <c r="L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</row>
    <row r="648" spans="1:63">
      <c r="A648" s="70"/>
      <c r="B648"/>
      <c r="C648"/>
      <c r="D648"/>
      <c r="E648"/>
      <c r="F648"/>
      <c r="G648"/>
      <c r="H648"/>
      <c r="I648"/>
      <c r="J648"/>
      <c r="K648"/>
      <c r="L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</row>
    <row r="649" spans="1:63">
      <c r="A649" s="70"/>
      <c r="B649"/>
      <c r="C649"/>
      <c r="D649"/>
      <c r="E649"/>
      <c r="F649"/>
      <c r="G649"/>
      <c r="H649"/>
      <c r="I649"/>
      <c r="J649"/>
      <c r="K649"/>
      <c r="L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</row>
    <row r="650" spans="1:63">
      <c r="A650" s="70"/>
      <c r="B650"/>
      <c r="C650"/>
      <c r="D650"/>
      <c r="E650"/>
      <c r="F650"/>
      <c r="G650"/>
      <c r="H650"/>
      <c r="I650"/>
      <c r="J650"/>
      <c r="K650"/>
      <c r="L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</row>
    <row r="651" spans="1:63">
      <c r="A651" s="70"/>
      <c r="B651"/>
      <c r="C651"/>
      <c r="D651"/>
      <c r="E651"/>
      <c r="F651"/>
      <c r="G651"/>
      <c r="H651"/>
      <c r="I651"/>
      <c r="J651"/>
      <c r="K651"/>
      <c r="L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</row>
    <row r="652" spans="1:63">
      <c r="A652" s="70"/>
      <c r="B652"/>
      <c r="C652"/>
      <c r="D652"/>
      <c r="E652"/>
      <c r="F652"/>
      <c r="G652"/>
      <c r="H652"/>
      <c r="I652"/>
      <c r="J652"/>
      <c r="K652"/>
      <c r="L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</row>
    <row r="653" spans="1:63">
      <c r="A653" s="70"/>
      <c r="B653"/>
      <c r="C653"/>
      <c r="D653"/>
      <c r="E653"/>
      <c r="F653"/>
      <c r="G653"/>
      <c r="H653"/>
      <c r="I653"/>
      <c r="J653"/>
      <c r="K653"/>
      <c r="L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</row>
    <row r="654" spans="1:63">
      <c r="A654" s="70"/>
      <c r="B654"/>
      <c r="C654"/>
      <c r="D654"/>
      <c r="E654"/>
      <c r="F654"/>
      <c r="G654"/>
      <c r="H654"/>
      <c r="I654"/>
      <c r="J654"/>
      <c r="K654"/>
      <c r="L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</row>
    <row r="655" spans="1:63">
      <c r="A655" s="70"/>
      <c r="B655"/>
      <c r="C655"/>
      <c r="D655"/>
      <c r="E655"/>
      <c r="F655"/>
      <c r="G655"/>
      <c r="H655"/>
      <c r="I655"/>
      <c r="J655"/>
      <c r="K655"/>
      <c r="L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</row>
    <row r="656" spans="1:63">
      <c r="A656" s="70"/>
      <c r="B656"/>
      <c r="C656"/>
      <c r="D656"/>
      <c r="E656"/>
      <c r="F656"/>
      <c r="G656"/>
      <c r="H656"/>
      <c r="I656"/>
      <c r="J656"/>
      <c r="K656"/>
      <c r="L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</row>
    <row r="657" spans="1:63">
      <c r="A657" s="70"/>
      <c r="B657"/>
      <c r="C657"/>
      <c r="D657"/>
      <c r="E657"/>
      <c r="F657"/>
      <c r="G657"/>
      <c r="H657"/>
      <c r="I657"/>
      <c r="J657"/>
      <c r="K657"/>
      <c r="L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</row>
    <row r="658" spans="1:63">
      <c r="A658" s="70"/>
      <c r="B658"/>
      <c r="C658"/>
      <c r="D658"/>
      <c r="E658"/>
      <c r="F658"/>
      <c r="G658"/>
      <c r="H658"/>
      <c r="I658"/>
      <c r="J658"/>
      <c r="K658"/>
      <c r="L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</row>
    <row r="659" spans="1:63">
      <c r="A659" s="70"/>
      <c r="B659"/>
      <c r="C659"/>
      <c r="D659"/>
      <c r="E659"/>
      <c r="F659"/>
      <c r="G659"/>
      <c r="H659"/>
      <c r="I659"/>
      <c r="J659"/>
      <c r="K659"/>
      <c r="L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</row>
    <row r="660" spans="1:63">
      <c r="A660" s="70"/>
      <c r="B660"/>
      <c r="C660"/>
      <c r="D660"/>
      <c r="E660"/>
      <c r="F660"/>
      <c r="G660"/>
      <c r="H660"/>
      <c r="I660"/>
      <c r="J660"/>
      <c r="K660"/>
      <c r="L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</row>
    <row r="661" spans="1:63">
      <c r="A661" s="70"/>
      <c r="B661"/>
      <c r="C661"/>
      <c r="D661"/>
      <c r="E661"/>
      <c r="F661"/>
      <c r="G661"/>
      <c r="H661"/>
      <c r="I661"/>
      <c r="J661"/>
      <c r="K661"/>
      <c r="L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</row>
    <row r="662" spans="1:63">
      <c r="A662" s="70"/>
      <c r="B662"/>
      <c r="C662"/>
      <c r="D662"/>
      <c r="E662"/>
      <c r="F662"/>
      <c r="G662"/>
      <c r="H662"/>
      <c r="I662"/>
      <c r="J662"/>
      <c r="K662"/>
      <c r="L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</row>
    <row r="663" spans="1:63">
      <c r="A663" s="70"/>
      <c r="B663"/>
      <c r="C663"/>
      <c r="D663"/>
      <c r="E663"/>
      <c r="F663"/>
      <c r="G663"/>
      <c r="H663"/>
      <c r="I663"/>
      <c r="J663"/>
      <c r="K663"/>
      <c r="L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</row>
    <row r="664" spans="1:63">
      <c r="A664" s="70"/>
      <c r="B664"/>
      <c r="C664"/>
      <c r="D664"/>
      <c r="E664"/>
      <c r="F664"/>
      <c r="G664"/>
      <c r="H664"/>
      <c r="I664"/>
      <c r="J664"/>
      <c r="K664"/>
      <c r="L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</row>
    <row r="665" spans="1:63">
      <c r="A665" s="70"/>
      <c r="B665"/>
      <c r="C665"/>
      <c r="D665"/>
      <c r="E665"/>
      <c r="F665"/>
      <c r="G665"/>
      <c r="H665"/>
      <c r="I665"/>
      <c r="J665"/>
      <c r="K665"/>
      <c r="L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</row>
    <row r="666" spans="1:63">
      <c r="A666" s="70"/>
      <c r="B666"/>
      <c r="C666"/>
      <c r="D666"/>
      <c r="E666"/>
      <c r="F666"/>
      <c r="G666"/>
      <c r="H666"/>
      <c r="I666"/>
      <c r="J666"/>
      <c r="K666"/>
      <c r="L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</row>
    <row r="667" spans="1:63">
      <c r="A667" s="70"/>
      <c r="B667"/>
      <c r="C667"/>
      <c r="D667"/>
      <c r="E667"/>
      <c r="F667"/>
      <c r="G667"/>
      <c r="H667"/>
      <c r="I667"/>
      <c r="J667"/>
      <c r="K667"/>
      <c r="L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</row>
    <row r="668" spans="1:63">
      <c r="A668" s="70"/>
      <c r="B668"/>
      <c r="C668"/>
      <c r="D668"/>
      <c r="E668"/>
      <c r="F668"/>
      <c r="G668"/>
      <c r="H668"/>
      <c r="I668"/>
      <c r="J668"/>
      <c r="K668"/>
      <c r="L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</row>
    <row r="669" spans="1:63">
      <c r="A669" s="70"/>
      <c r="B669"/>
      <c r="C669"/>
      <c r="D669"/>
      <c r="E669"/>
      <c r="F669"/>
      <c r="G669"/>
      <c r="H669"/>
      <c r="I669"/>
      <c r="J669"/>
      <c r="K669"/>
      <c r="L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</row>
    <row r="670" spans="1:63">
      <c r="A670" s="70"/>
      <c r="B670"/>
      <c r="C670"/>
      <c r="D670"/>
      <c r="E670"/>
      <c r="F670"/>
      <c r="G670"/>
      <c r="H670"/>
      <c r="I670"/>
      <c r="J670"/>
      <c r="K670"/>
      <c r="L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</row>
    <row r="671" spans="1:63">
      <c r="A671" s="70"/>
      <c r="B671"/>
      <c r="C671"/>
      <c r="D671"/>
      <c r="E671"/>
      <c r="F671"/>
      <c r="G671"/>
      <c r="H671"/>
      <c r="I671"/>
      <c r="J671"/>
      <c r="K671"/>
      <c r="L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</row>
    <row r="672" spans="1:63">
      <c r="A672" s="70"/>
      <c r="B672"/>
      <c r="C672"/>
      <c r="D672"/>
      <c r="E672"/>
      <c r="F672"/>
      <c r="G672"/>
      <c r="H672"/>
      <c r="I672"/>
      <c r="J672"/>
      <c r="K672"/>
      <c r="L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</row>
    <row r="673" spans="1:63">
      <c r="A673" s="70"/>
      <c r="B673"/>
      <c r="C673"/>
      <c r="D673"/>
      <c r="E673"/>
      <c r="F673"/>
      <c r="G673"/>
      <c r="H673"/>
      <c r="I673"/>
      <c r="J673"/>
      <c r="K673"/>
      <c r="L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</row>
    <row r="674" spans="1:63">
      <c r="A674" s="70"/>
      <c r="B674"/>
      <c r="C674"/>
      <c r="D674"/>
      <c r="E674"/>
      <c r="F674"/>
      <c r="G674"/>
      <c r="H674"/>
      <c r="I674"/>
      <c r="J674"/>
      <c r="K674"/>
      <c r="L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</row>
    <row r="675" spans="1:63">
      <c r="A675" s="70"/>
      <c r="B675"/>
      <c r="C675"/>
      <c r="D675"/>
      <c r="E675"/>
      <c r="F675"/>
      <c r="G675"/>
      <c r="H675"/>
      <c r="I675"/>
      <c r="J675"/>
      <c r="K675"/>
      <c r="L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</row>
    <row r="676" spans="1:63">
      <c r="A676" s="70"/>
      <c r="B676"/>
      <c r="C676"/>
      <c r="D676"/>
      <c r="E676"/>
      <c r="F676"/>
      <c r="G676"/>
      <c r="H676"/>
      <c r="I676"/>
      <c r="J676"/>
      <c r="K676"/>
      <c r="L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</row>
    <row r="677" spans="1:63">
      <c r="A677" s="70"/>
      <c r="B677"/>
      <c r="C677"/>
      <c r="D677"/>
      <c r="E677"/>
      <c r="F677"/>
      <c r="G677"/>
      <c r="H677"/>
      <c r="I677"/>
      <c r="J677"/>
      <c r="K677"/>
      <c r="L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</row>
    <row r="678" spans="1:63">
      <c r="A678" s="70"/>
      <c r="B678"/>
      <c r="C678"/>
      <c r="D678"/>
      <c r="E678"/>
      <c r="F678"/>
      <c r="G678"/>
      <c r="H678"/>
      <c r="I678"/>
      <c r="J678"/>
      <c r="K678"/>
      <c r="L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</row>
    <row r="679" spans="1:63">
      <c r="A679" s="70"/>
      <c r="B679"/>
      <c r="C679"/>
      <c r="D679"/>
      <c r="E679"/>
      <c r="F679"/>
      <c r="G679"/>
      <c r="H679"/>
      <c r="I679"/>
      <c r="J679"/>
      <c r="K679"/>
      <c r="L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</row>
    <row r="680" spans="1:63">
      <c r="A680" s="70"/>
      <c r="B680"/>
      <c r="C680"/>
      <c r="D680"/>
      <c r="E680"/>
      <c r="F680"/>
      <c r="G680"/>
      <c r="H680"/>
      <c r="I680"/>
      <c r="J680"/>
      <c r="K680"/>
      <c r="L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</row>
    <row r="681" spans="1:63">
      <c r="A681" s="70"/>
      <c r="B681"/>
      <c r="C681"/>
      <c r="D681"/>
      <c r="E681"/>
      <c r="F681"/>
      <c r="G681"/>
      <c r="H681"/>
      <c r="I681"/>
      <c r="J681"/>
      <c r="K681"/>
      <c r="L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</row>
    <row r="682" spans="1:63">
      <c r="A682" s="70"/>
      <c r="B682"/>
      <c r="C682"/>
      <c r="D682"/>
      <c r="E682"/>
      <c r="F682"/>
      <c r="G682"/>
      <c r="H682"/>
      <c r="I682"/>
      <c r="J682"/>
      <c r="K682"/>
      <c r="L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</row>
    <row r="683" spans="1:63">
      <c r="A683" s="70"/>
      <c r="B683"/>
      <c r="C683"/>
      <c r="D683"/>
      <c r="E683"/>
      <c r="F683"/>
      <c r="G683"/>
      <c r="H683"/>
      <c r="I683"/>
      <c r="J683"/>
      <c r="K683"/>
      <c r="L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</row>
    <row r="684" spans="1:63">
      <c r="A684" s="70"/>
      <c r="B684"/>
      <c r="C684"/>
      <c r="D684"/>
      <c r="E684"/>
      <c r="F684"/>
      <c r="G684"/>
      <c r="H684"/>
      <c r="I684"/>
      <c r="J684"/>
      <c r="K684"/>
      <c r="L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</row>
    <row r="685" spans="1:63">
      <c r="A685" s="70"/>
      <c r="B685"/>
      <c r="C685"/>
      <c r="D685"/>
      <c r="E685"/>
      <c r="F685"/>
      <c r="G685"/>
      <c r="H685"/>
      <c r="I685"/>
      <c r="J685"/>
      <c r="K685"/>
      <c r="L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</row>
    <row r="686" spans="1:63">
      <c r="A686" s="70"/>
      <c r="B686"/>
      <c r="C686"/>
      <c r="D686"/>
      <c r="E686"/>
      <c r="F686"/>
      <c r="G686"/>
      <c r="H686"/>
      <c r="I686"/>
      <c r="J686"/>
      <c r="K686"/>
      <c r="L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</row>
    <row r="687" spans="1:63">
      <c r="A687" s="70"/>
      <c r="B687"/>
      <c r="C687"/>
      <c r="D687"/>
      <c r="E687"/>
      <c r="F687"/>
      <c r="G687"/>
      <c r="H687"/>
      <c r="I687"/>
      <c r="J687"/>
      <c r="K687"/>
      <c r="L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</row>
    <row r="688" spans="1:63">
      <c r="A688" s="70"/>
      <c r="B688"/>
      <c r="C688"/>
      <c r="D688"/>
      <c r="E688"/>
      <c r="F688"/>
      <c r="G688"/>
      <c r="H688"/>
      <c r="I688"/>
      <c r="J688"/>
      <c r="K688"/>
      <c r="L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</row>
    <row r="689" spans="1:63">
      <c r="A689" s="70"/>
      <c r="B689"/>
      <c r="C689"/>
      <c r="D689"/>
      <c r="E689"/>
      <c r="F689"/>
      <c r="G689"/>
      <c r="H689"/>
      <c r="I689"/>
      <c r="J689"/>
      <c r="K689"/>
      <c r="L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</row>
    <row r="690" spans="1:63">
      <c r="A690" s="70"/>
      <c r="B690"/>
      <c r="C690"/>
      <c r="D690"/>
      <c r="E690"/>
      <c r="F690"/>
      <c r="G690"/>
      <c r="H690"/>
      <c r="I690"/>
      <c r="J690"/>
      <c r="K690"/>
      <c r="L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</row>
    <row r="691" spans="1:63">
      <c r="A691" s="70"/>
      <c r="B691"/>
      <c r="C691"/>
      <c r="D691"/>
      <c r="E691"/>
      <c r="F691"/>
      <c r="G691"/>
      <c r="H691"/>
      <c r="I691"/>
      <c r="J691"/>
      <c r="K691"/>
      <c r="L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</row>
    <row r="692" spans="1:63">
      <c r="A692" s="70"/>
      <c r="B692"/>
      <c r="C692"/>
      <c r="D692"/>
      <c r="E692"/>
      <c r="F692"/>
      <c r="G692"/>
      <c r="H692"/>
      <c r="I692"/>
      <c r="J692"/>
      <c r="K692"/>
      <c r="L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</row>
    <row r="693" spans="1:63">
      <c r="A693" s="70"/>
      <c r="B693"/>
      <c r="C693"/>
      <c r="D693"/>
      <c r="E693"/>
      <c r="F693"/>
      <c r="G693"/>
      <c r="H693"/>
      <c r="I693"/>
      <c r="J693"/>
      <c r="K693"/>
      <c r="L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</row>
    <row r="694" spans="1:63">
      <c r="A694" s="70"/>
      <c r="B694"/>
      <c r="C694"/>
      <c r="D694"/>
      <c r="E694"/>
      <c r="F694"/>
      <c r="G694"/>
      <c r="H694"/>
      <c r="I694"/>
      <c r="J694"/>
      <c r="K694"/>
      <c r="L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</row>
    <row r="695" spans="1:63">
      <c r="A695" s="70"/>
      <c r="B695"/>
      <c r="C695"/>
      <c r="D695"/>
      <c r="E695"/>
      <c r="F695"/>
      <c r="G695"/>
      <c r="H695"/>
      <c r="I695"/>
      <c r="J695"/>
      <c r="K695"/>
      <c r="L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</row>
    <row r="696" spans="1:63">
      <c r="A696" s="70"/>
      <c r="B696"/>
      <c r="C696"/>
      <c r="D696"/>
      <c r="E696"/>
      <c r="F696"/>
      <c r="G696"/>
      <c r="H696"/>
      <c r="I696"/>
      <c r="J696"/>
      <c r="K696"/>
      <c r="L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</row>
    <row r="697" spans="1:63">
      <c r="A697" s="70"/>
      <c r="B697"/>
      <c r="C697"/>
      <c r="D697"/>
      <c r="E697"/>
      <c r="F697"/>
      <c r="G697"/>
      <c r="H697"/>
      <c r="I697"/>
      <c r="J697"/>
      <c r="K697"/>
      <c r="L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</row>
    <row r="698" spans="1:63">
      <c r="A698" s="70"/>
      <c r="B698"/>
      <c r="C698"/>
      <c r="D698"/>
      <c r="E698"/>
      <c r="F698"/>
      <c r="G698"/>
      <c r="H698"/>
      <c r="I698"/>
      <c r="J698"/>
      <c r="K698"/>
      <c r="L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</row>
    <row r="699" spans="1:63">
      <c r="A699" s="70"/>
      <c r="B699"/>
      <c r="C699"/>
      <c r="D699"/>
      <c r="E699"/>
      <c r="F699"/>
      <c r="G699"/>
      <c r="H699"/>
      <c r="I699"/>
      <c r="J699"/>
      <c r="K699"/>
      <c r="L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</row>
    <row r="700" spans="1:63">
      <c r="A700" s="70"/>
      <c r="B700"/>
      <c r="C700"/>
      <c r="D700"/>
      <c r="E700"/>
      <c r="F700"/>
      <c r="G700"/>
      <c r="H700"/>
      <c r="I700"/>
      <c r="J700"/>
      <c r="K700"/>
      <c r="L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</row>
    <row r="701" spans="1:63">
      <c r="A701" s="70"/>
      <c r="B701"/>
      <c r="C701"/>
      <c r="D701"/>
      <c r="E701"/>
      <c r="F701"/>
      <c r="G701"/>
      <c r="H701"/>
      <c r="I701"/>
      <c r="J701"/>
      <c r="K701"/>
      <c r="L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</row>
    <row r="702" spans="1:63">
      <c r="A702" s="70"/>
      <c r="B702"/>
      <c r="C702"/>
      <c r="D702"/>
      <c r="E702"/>
      <c r="F702"/>
      <c r="G702"/>
      <c r="H702"/>
      <c r="I702"/>
      <c r="J702"/>
      <c r="K702"/>
      <c r="L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</row>
    <row r="703" spans="1:63">
      <c r="A703" s="70"/>
      <c r="B703"/>
      <c r="C703"/>
      <c r="D703"/>
      <c r="E703"/>
      <c r="F703"/>
      <c r="G703"/>
      <c r="H703"/>
      <c r="I703"/>
      <c r="J703"/>
      <c r="K703"/>
      <c r="L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</row>
    <row r="704" spans="1:63">
      <c r="A704" s="70"/>
      <c r="B704"/>
      <c r="C704"/>
      <c r="D704"/>
      <c r="E704"/>
      <c r="F704"/>
      <c r="G704"/>
      <c r="H704"/>
      <c r="I704"/>
      <c r="J704"/>
      <c r="K704"/>
      <c r="L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</row>
    <row r="705" spans="1:63">
      <c r="A705" s="70"/>
      <c r="B705"/>
      <c r="C705"/>
      <c r="D705"/>
      <c r="E705"/>
      <c r="F705"/>
      <c r="G705"/>
      <c r="H705"/>
      <c r="I705"/>
      <c r="J705"/>
      <c r="K705"/>
      <c r="L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</row>
    <row r="706" spans="1:63">
      <c r="A706" s="70"/>
      <c r="B706"/>
      <c r="C706"/>
      <c r="D706"/>
      <c r="E706"/>
      <c r="F706"/>
      <c r="G706"/>
      <c r="H706"/>
      <c r="I706"/>
      <c r="J706"/>
      <c r="K706"/>
      <c r="L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</row>
    <row r="707" spans="1:63">
      <c r="A707" s="70"/>
      <c r="B707"/>
      <c r="C707"/>
      <c r="D707"/>
      <c r="E707"/>
      <c r="F707"/>
      <c r="G707"/>
      <c r="H707"/>
      <c r="I707"/>
      <c r="J707"/>
      <c r="K707"/>
      <c r="L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</row>
    <row r="708" spans="1:63">
      <c r="A708" s="70"/>
      <c r="B708"/>
      <c r="C708"/>
      <c r="D708"/>
      <c r="E708"/>
      <c r="F708"/>
      <c r="G708"/>
      <c r="H708"/>
      <c r="I708"/>
      <c r="J708"/>
      <c r="K708"/>
      <c r="L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</row>
    <row r="709" spans="1:63">
      <c r="A709" s="70"/>
      <c r="B709"/>
      <c r="C709"/>
      <c r="D709"/>
      <c r="E709"/>
      <c r="F709"/>
      <c r="G709"/>
      <c r="H709"/>
      <c r="I709"/>
      <c r="J709"/>
      <c r="K709"/>
      <c r="L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</row>
    <row r="710" spans="1:63">
      <c r="A710" s="70"/>
      <c r="B710"/>
      <c r="C710"/>
      <c r="D710"/>
      <c r="E710"/>
      <c r="F710"/>
      <c r="G710"/>
      <c r="H710"/>
      <c r="I710"/>
      <c r="J710"/>
      <c r="K710"/>
      <c r="L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</row>
    <row r="711" spans="1:63">
      <c r="A711" s="70"/>
      <c r="B711"/>
      <c r="C711"/>
      <c r="D711"/>
      <c r="E711"/>
      <c r="F711"/>
      <c r="G711"/>
      <c r="H711"/>
      <c r="I711"/>
      <c r="J711"/>
      <c r="K711"/>
      <c r="L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</row>
    <row r="712" spans="1:63">
      <c r="A712" s="70"/>
      <c r="B712"/>
      <c r="C712"/>
      <c r="D712"/>
      <c r="E712"/>
      <c r="F712"/>
      <c r="G712"/>
      <c r="H712"/>
      <c r="I712"/>
      <c r="J712"/>
      <c r="K712"/>
      <c r="L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</row>
    <row r="713" spans="1:63">
      <c r="A713" s="70"/>
      <c r="B713"/>
      <c r="C713"/>
      <c r="D713"/>
      <c r="E713"/>
      <c r="F713"/>
      <c r="G713"/>
      <c r="H713"/>
      <c r="I713"/>
      <c r="J713"/>
      <c r="K713"/>
      <c r="L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</row>
    <row r="714" spans="1:63">
      <c r="A714" s="70"/>
      <c r="B714"/>
      <c r="C714"/>
      <c r="D714"/>
      <c r="E714"/>
      <c r="F714"/>
      <c r="G714"/>
      <c r="H714"/>
      <c r="I714"/>
      <c r="J714"/>
      <c r="K714"/>
      <c r="L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</row>
    <row r="715" spans="1:63">
      <c r="A715" s="70"/>
      <c r="B715"/>
      <c r="C715"/>
      <c r="D715"/>
      <c r="E715"/>
      <c r="F715"/>
      <c r="G715"/>
      <c r="H715"/>
      <c r="I715"/>
      <c r="J715"/>
      <c r="K715"/>
      <c r="L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</row>
    <row r="716" spans="1:63">
      <c r="A716" s="70"/>
      <c r="B716"/>
      <c r="C716"/>
      <c r="D716"/>
      <c r="E716"/>
      <c r="F716"/>
      <c r="G716"/>
      <c r="H716"/>
      <c r="I716"/>
      <c r="J716"/>
      <c r="K716"/>
      <c r="L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</row>
    <row r="717" spans="1:63">
      <c r="A717" s="70"/>
      <c r="B717"/>
      <c r="C717"/>
      <c r="D717"/>
      <c r="E717"/>
      <c r="F717"/>
      <c r="G717"/>
      <c r="H717"/>
      <c r="I717"/>
      <c r="J717"/>
      <c r="K717"/>
      <c r="L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</row>
    <row r="718" spans="1:63">
      <c r="A718" s="70"/>
      <c r="B718"/>
      <c r="C718"/>
      <c r="D718"/>
      <c r="E718"/>
      <c r="F718"/>
      <c r="G718"/>
      <c r="H718"/>
      <c r="I718"/>
      <c r="J718"/>
      <c r="K718"/>
      <c r="L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</row>
    <row r="719" spans="1:63">
      <c r="A719" s="70"/>
      <c r="B719"/>
      <c r="C719"/>
      <c r="D719"/>
      <c r="E719"/>
      <c r="F719"/>
      <c r="G719"/>
      <c r="H719"/>
      <c r="I719"/>
      <c r="J719"/>
      <c r="K719"/>
      <c r="L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</row>
    <row r="720" spans="1:63">
      <c r="A720" s="70"/>
      <c r="B720"/>
      <c r="C720"/>
      <c r="D720"/>
      <c r="E720"/>
      <c r="F720"/>
      <c r="G720"/>
      <c r="H720"/>
      <c r="I720"/>
      <c r="J720"/>
      <c r="K720"/>
      <c r="L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</row>
    <row r="721" spans="1:63">
      <c r="A721" s="70"/>
      <c r="B721"/>
      <c r="C721"/>
      <c r="D721"/>
      <c r="E721"/>
      <c r="F721"/>
      <c r="G721"/>
      <c r="H721"/>
      <c r="I721"/>
      <c r="J721"/>
      <c r="K721"/>
      <c r="L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</row>
    <row r="722" spans="1:63">
      <c r="A722" s="70"/>
      <c r="B722"/>
      <c r="C722"/>
      <c r="D722"/>
      <c r="E722"/>
      <c r="F722"/>
      <c r="G722"/>
      <c r="H722"/>
      <c r="I722"/>
      <c r="J722"/>
      <c r="K722"/>
      <c r="L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</row>
    <row r="723" spans="1:63">
      <c r="A723" s="70"/>
      <c r="B723"/>
      <c r="C723"/>
      <c r="D723"/>
      <c r="E723"/>
      <c r="F723"/>
      <c r="G723"/>
      <c r="H723"/>
      <c r="I723"/>
      <c r="J723"/>
      <c r="K723"/>
      <c r="L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</row>
    <row r="724" spans="1:63">
      <c r="A724" s="70"/>
      <c r="B724"/>
      <c r="C724"/>
      <c r="D724"/>
      <c r="E724"/>
      <c r="F724"/>
      <c r="G724"/>
      <c r="H724"/>
      <c r="I724"/>
      <c r="J724"/>
      <c r="K724"/>
      <c r="L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</row>
    <row r="725" spans="1:63">
      <c r="A725" s="70"/>
      <c r="B725"/>
      <c r="C725"/>
      <c r="D725"/>
      <c r="E725"/>
      <c r="F725"/>
      <c r="G725"/>
      <c r="H725"/>
      <c r="I725"/>
      <c r="J725"/>
      <c r="K725"/>
      <c r="L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</row>
    <row r="726" spans="1:63">
      <c r="A726" s="70"/>
      <c r="B726"/>
      <c r="C726"/>
      <c r="D726"/>
      <c r="E726"/>
      <c r="F726"/>
      <c r="G726"/>
      <c r="H726"/>
      <c r="I726"/>
      <c r="J726"/>
      <c r="K726"/>
      <c r="L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</row>
    <row r="727" spans="1:63">
      <c r="A727" s="70"/>
      <c r="B727"/>
      <c r="C727"/>
      <c r="D727"/>
      <c r="E727"/>
      <c r="F727"/>
      <c r="G727"/>
      <c r="H727"/>
      <c r="I727"/>
      <c r="J727"/>
      <c r="K727"/>
      <c r="L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</row>
    <row r="728" spans="1:63">
      <c r="A728" s="70"/>
      <c r="B728"/>
      <c r="C728"/>
      <c r="D728"/>
      <c r="E728"/>
      <c r="F728"/>
      <c r="G728"/>
      <c r="H728"/>
      <c r="I728"/>
      <c r="J728"/>
      <c r="K728"/>
      <c r="L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</row>
    <row r="729" spans="1:63">
      <c r="A729" s="70"/>
      <c r="B729"/>
      <c r="C729"/>
      <c r="D729"/>
      <c r="E729"/>
      <c r="F729"/>
      <c r="G729"/>
      <c r="H729"/>
      <c r="I729"/>
      <c r="J729"/>
      <c r="K729"/>
      <c r="L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</row>
    <row r="730" spans="1:63">
      <c r="A730" s="70"/>
      <c r="B730"/>
      <c r="C730"/>
      <c r="D730"/>
      <c r="E730"/>
      <c r="F730"/>
      <c r="G730"/>
      <c r="H730"/>
      <c r="I730"/>
      <c r="J730"/>
      <c r="K730"/>
      <c r="L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</row>
    <row r="731" spans="1:63">
      <c r="A731" s="70"/>
      <c r="B731"/>
      <c r="C731"/>
      <c r="D731"/>
      <c r="E731"/>
      <c r="F731"/>
      <c r="G731"/>
      <c r="H731"/>
      <c r="I731"/>
      <c r="J731"/>
      <c r="K731"/>
      <c r="L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</row>
    <row r="732" spans="1:63">
      <c r="A732" s="70"/>
      <c r="B732"/>
      <c r="C732"/>
      <c r="D732"/>
      <c r="E732"/>
      <c r="F732"/>
      <c r="G732"/>
      <c r="H732"/>
      <c r="I732"/>
      <c r="J732"/>
      <c r="K732"/>
      <c r="L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</row>
    <row r="733" spans="1:63">
      <c r="A733" s="70"/>
      <c r="B733"/>
      <c r="C733"/>
      <c r="D733"/>
      <c r="E733"/>
      <c r="F733"/>
      <c r="G733"/>
      <c r="H733"/>
      <c r="I733"/>
      <c r="J733"/>
      <c r="K733"/>
      <c r="L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</row>
    <row r="734" spans="1:63">
      <c r="A734" s="70"/>
      <c r="B734"/>
      <c r="C734"/>
      <c r="D734"/>
      <c r="E734"/>
      <c r="F734"/>
      <c r="G734"/>
      <c r="H734"/>
      <c r="I734"/>
      <c r="J734"/>
      <c r="K734"/>
      <c r="L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</row>
    <row r="735" spans="1:63">
      <c r="A735" s="70"/>
      <c r="B735"/>
      <c r="C735"/>
      <c r="D735"/>
      <c r="E735"/>
      <c r="F735"/>
      <c r="G735"/>
      <c r="H735"/>
      <c r="I735"/>
      <c r="J735"/>
      <c r="K735"/>
      <c r="L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</row>
    <row r="736" spans="1:63">
      <c r="A736" s="70"/>
      <c r="B736"/>
      <c r="C736"/>
      <c r="D736"/>
      <c r="E736"/>
      <c r="F736"/>
      <c r="G736"/>
      <c r="H736"/>
      <c r="I736"/>
      <c r="J736"/>
      <c r="K736"/>
      <c r="L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</row>
    <row r="737" spans="1:63">
      <c r="A737" s="70"/>
      <c r="B737"/>
      <c r="C737"/>
      <c r="D737"/>
      <c r="E737"/>
      <c r="F737"/>
      <c r="G737"/>
      <c r="H737"/>
      <c r="I737"/>
      <c r="J737"/>
      <c r="K737"/>
      <c r="L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</row>
    <row r="738" spans="1:63">
      <c r="A738" s="70"/>
      <c r="B738"/>
      <c r="C738"/>
      <c r="D738"/>
      <c r="E738"/>
      <c r="F738"/>
      <c r="G738"/>
      <c r="H738"/>
      <c r="I738"/>
      <c r="J738"/>
      <c r="K738"/>
      <c r="L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</row>
    <row r="739" spans="1:63">
      <c r="A739" s="70"/>
      <c r="B739"/>
      <c r="C739"/>
      <c r="D739"/>
      <c r="E739"/>
      <c r="F739"/>
      <c r="G739"/>
      <c r="H739"/>
      <c r="I739"/>
      <c r="J739"/>
      <c r="K739"/>
      <c r="L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</row>
    <row r="740" spans="1:63">
      <c r="A740" s="70"/>
      <c r="B740"/>
      <c r="C740"/>
      <c r="D740"/>
      <c r="E740"/>
      <c r="F740"/>
      <c r="G740"/>
      <c r="H740"/>
      <c r="I740"/>
      <c r="J740"/>
      <c r="K740"/>
      <c r="L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</row>
    <row r="741" spans="1:63">
      <c r="A741" s="70"/>
      <c r="B741"/>
      <c r="C741"/>
      <c r="D741"/>
      <c r="E741"/>
      <c r="F741"/>
      <c r="G741"/>
      <c r="H741"/>
      <c r="I741"/>
      <c r="J741"/>
      <c r="K741"/>
      <c r="L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</row>
    <row r="742" spans="1:63">
      <c r="A742" s="70"/>
      <c r="B742"/>
      <c r="C742"/>
      <c r="D742"/>
      <c r="E742"/>
      <c r="F742"/>
      <c r="G742"/>
      <c r="H742"/>
      <c r="I742"/>
      <c r="J742"/>
      <c r="K742"/>
      <c r="L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</row>
    <row r="743" spans="1:63">
      <c r="A743" s="70"/>
      <c r="B743"/>
      <c r="C743"/>
      <c r="D743"/>
      <c r="E743"/>
      <c r="F743"/>
      <c r="G743"/>
      <c r="H743"/>
      <c r="I743"/>
      <c r="J743"/>
      <c r="K743"/>
      <c r="L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</row>
    <row r="744" spans="1:63">
      <c r="A744" s="70"/>
      <c r="B744"/>
      <c r="C744"/>
      <c r="D744"/>
      <c r="E744"/>
      <c r="F744"/>
      <c r="G744"/>
      <c r="H744"/>
      <c r="I744"/>
      <c r="J744"/>
      <c r="K744"/>
      <c r="L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</row>
    <row r="745" spans="1:63">
      <c r="A745" s="70"/>
      <c r="B745"/>
      <c r="C745"/>
      <c r="D745"/>
      <c r="E745"/>
      <c r="F745"/>
      <c r="G745"/>
      <c r="H745"/>
      <c r="I745"/>
      <c r="J745"/>
      <c r="K745"/>
      <c r="L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</row>
    <row r="746" spans="1:63">
      <c r="A746" s="70"/>
      <c r="B746"/>
      <c r="C746"/>
      <c r="D746"/>
      <c r="E746"/>
      <c r="F746"/>
      <c r="G746"/>
      <c r="H746"/>
      <c r="I746"/>
      <c r="J746"/>
      <c r="K746"/>
      <c r="L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</row>
    <row r="747" spans="1:63">
      <c r="A747" s="70"/>
      <c r="B747"/>
      <c r="C747"/>
      <c r="D747"/>
      <c r="E747"/>
      <c r="F747"/>
      <c r="G747"/>
      <c r="H747"/>
      <c r="I747"/>
      <c r="J747"/>
      <c r="K747"/>
      <c r="L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</row>
    <row r="748" spans="1:63">
      <c r="A748" s="70"/>
      <c r="B748"/>
      <c r="C748"/>
      <c r="D748"/>
      <c r="E748"/>
      <c r="F748"/>
      <c r="G748"/>
      <c r="H748"/>
      <c r="I748"/>
      <c r="J748"/>
      <c r="K748"/>
      <c r="L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</row>
    <row r="749" spans="1:63">
      <c r="A749" s="70"/>
      <c r="B749"/>
      <c r="C749"/>
      <c r="D749"/>
      <c r="E749"/>
      <c r="F749"/>
      <c r="G749"/>
      <c r="H749"/>
      <c r="I749"/>
      <c r="J749"/>
      <c r="K749"/>
      <c r="L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</row>
    <row r="750" spans="1:63">
      <c r="A750" s="70"/>
      <c r="B750"/>
      <c r="C750"/>
      <c r="D750"/>
      <c r="E750"/>
      <c r="F750"/>
      <c r="G750"/>
      <c r="H750"/>
      <c r="I750"/>
      <c r="J750"/>
      <c r="K750"/>
      <c r="L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</row>
    <row r="751" spans="1:63">
      <c r="A751" s="70"/>
      <c r="B751"/>
      <c r="C751"/>
      <c r="D751"/>
      <c r="E751"/>
      <c r="F751"/>
      <c r="G751"/>
      <c r="H751"/>
      <c r="I751"/>
      <c r="J751"/>
      <c r="K751"/>
      <c r="L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</row>
    <row r="752" spans="1:63">
      <c r="A752" s="70"/>
      <c r="B752"/>
      <c r="C752"/>
      <c r="D752"/>
      <c r="E752"/>
      <c r="F752"/>
      <c r="G752"/>
      <c r="H752"/>
      <c r="I752"/>
      <c r="J752"/>
      <c r="K752"/>
      <c r="L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</row>
    <row r="753" spans="1:63">
      <c r="A753" s="70"/>
      <c r="B753"/>
      <c r="C753"/>
      <c r="D753"/>
      <c r="E753"/>
      <c r="F753"/>
      <c r="G753"/>
      <c r="H753"/>
      <c r="I753"/>
      <c r="J753"/>
      <c r="K753"/>
      <c r="L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</row>
    <row r="754" spans="1:63">
      <c r="A754" s="70"/>
      <c r="B754"/>
      <c r="C754"/>
      <c r="D754"/>
      <c r="E754"/>
      <c r="F754"/>
      <c r="G754"/>
      <c r="H754"/>
      <c r="I754"/>
      <c r="J754"/>
      <c r="K754"/>
      <c r="L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</row>
    <row r="755" spans="1:63">
      <c r="A755" s="70"/>
      <c r="B755"/>
      <c r="C755"/>
      <c r="D755"/>
      <c r="E755"/>
      <c r="F755"/>
      <c r="G755"/>
      <c r="H755"/>
      <c r="I755"/>
      <c r="J755"/>
      <c r="K755"/>
      <c r="L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</row>
    <row r="756" spans="1:63">
      <c r="A756" s="70"/>
      <c r="B756"/>
      <c r="C756"/>
      <c r="D756"/>
      <c r="E756"/>
      <c r="F756"/>
      <c r="G756"/>
      <c r="H756"/>
      <c r="I756"/>
      <c r="J756"/>
      <c r="K756"/>
      <c r="L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</row>
    <row r="757" spans="1:63">
      <c r="A757" s="70"/>
      <c r="B757"/>
      <c r="C757"/>
      <c r="D757"/>
      <c r="E757"/>
      <c r="F757"/>
      <c r="G757"/>
      <c r="H757"/>
      <c r="I757"/>
      <c r="J757"/>
      <c r="K757"/>
      <c r="L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</row>
    <row r="758" spans="1:63">
      <c r="A758" s="70"/>
      <c r="B758"/>
      <c r="C758"/>
      <c r="D758"/>
      <c r="E758"/>
      <c r="F758"/>
      <c r="G758"/>
      <c r="H758"/>
      <c r="I758"/>
      <c r="J758"/>
      <c r="K758"/>
      <c r="L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</row>
    <row r="759" spans="1:63">
      <c r="A759" s="70"/>
      <c r="B759"/>
      <c r="C759"/>
      <c r="D759"/>
      <c r="E759"/>
      <c r="F759"/>
      <c r="G759"/>
      <c r="H759"/>
      <c r="I759"/>
      <c r="J759"/>
      <c r="K759"/>
      <c r="L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</row>
    <row r="760" spans="1:63">
      <c r="A760" s="70"/>
      <c r="B760"/>
      <c r="C760"/>
      <c r="D760"/>
      <c r="E760"/>
      <c r="F760"/>
      <c r="G760"/>
      <c r="H760"/>
      <c r="I760"/>
      <c r="J760"/>
      <c r="K760"/>
      <c r="L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</row>
    <row r="761" spans="1:63">
      <c r="A761" s="70"/>
      <c r="B761"/>
      <c r="C761"/>
      <c r="D761"/>
      <c r="E761"/>
      <c r="F761"/>
      <c r="G761"/>
      <c r="H761"/>
      <c r="I761"/>
      <c r="J761"/>
      <c r="K761"/>
      <c r="L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</row>
    <row r="762" spans="1:63">
      <c r="A762" s="70"/>
      <c r="B762"/>
      <c r="C762"/>
      <c r="D762"/>
      <c r="E762"/>
      <c r="F762"/>
      <c r="G762"/>
      <c r="H762"/>
      <c r="I762"/>
      <c r="J762"/>
      <c r="K762"/>
      <c r="L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</row>
    <row r="763" spans="1:63">
      <c r="A763" s="70"/>
      <c r="B763"/>
      <c r="C763"/>
      <c r="D763"/>
      <c r="E763"/>
      <c r="F763"/>
      <c r="G763"/>
      <c r="H763"/>
      <c r="I763"/>
      <c r="J763"/>
      <c r="K763"/>
      <c r="L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</row>
    <row r="764" spans="1:63">
      <c r="A764" s="70"/>
      <c r="B764"/>
      <c r="C764"/>
      <c r="D764"/>
      <c r="E764"/>
      <c r="F764"/>
      <c r="G764"/>
      <c r="H764"/>
      <c r="I764"/>
      <c r="J764"/>
      <c r="K764"/>
      <c r="L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</row>
    <row r="765" spans="1:63">
      <c r="A765" s="70"/>
      <c r="B765"/>
      <c r="C765"/>
      <c r="D765"/>
      <c r="E765"/>
      <c r="F765"/>
      <c r="G765"/>
      <c r="H765"/>
      <c r="I765"/>
      <c r="J765"/>
      <c r="K765"/>
      <c r="L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</row>
    <row r="766" spans="1:63">
      <c r="A766" s="70"/>
      <c r="B766"/>
      <c r="C766"/>
      <c r="D766"/>
      <c r="E766"/>
      <c r="F766"/>
      <c r="G766"/>
      <c r="H766"/>
      <c r="I766"/>
      <c r="J766"/>
      <c r="K766"/>
      <c r="L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</row>
    <row r="767" spans="1:63">
      <c r="A767" s="70"/>
      <c r="B767"/>
      <c r="C767"/>
      <c r="D767"/>
      <c r="E767"/>
      <c r="F767"/>
      <c r="G767"/>
      <c r="H767"/>
      <c r="I767"/>
      <c r="J767"/>
      <c r="K767"/>
      <c r="L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</row>
    <row r="768" spans="1:63">
      <c r="A768" s="70"/>
      <c r="B768"/>
      <c r="C768"/>
      <c r="D768"/>
      <c r="E768"/>
      <c r="F768"/>
      <c r="G768"/>
      <c r="H768"/>
      <c r="I768"/>
      <c r="J768"/>
      <c r="K768"/>
      <c r="L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</row>
    <row r="769" spans="1:63">
      <c r="A769" s="70"/>
      <c r="B769"/>
      <c r="C769"/>
      <c r="D769"/>
      <c r="E769"/>
      <c r="F769"/>
      <c r="G769"/>
      <c r="H769"/>
      <c r="I769"/>
      <c r="J769"/>
      <c r="K769"/>
      <c r="L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</row>
    <row r="770" spans="1:63">
      <c r="A770" s="70"/>
      <c r="B770"/>
      <c r="C770"/>
      <c r="D770"/>
      <c r="E770"/>
      <c r="F770"/>
      <c r="G770"/>
      <c r="H770"/>
      <c r="I770"/>
      <c r="J770"/>
      <c r="K770"/>
      <c r="L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</row>
    <row r="771" spans="1:63">
      <c r="A771" s="70"/>
      <c r="B771"/>
      <c r="C771"/>
      <c r="D771"/>
      <c r="E771"/>
      <c r="F771"/>
      <c r="G771"/>
      <c r="H771"/>
      <c r="I771"/>
      <c r="J771"/>
      <c r="K771"/>
      <c r="L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</row>
    <row r="772" spans="1:63">
      <c r="A772" s="70"/>
      <c r="B772"/>
      <c r="C772"/>
      <c r="D772"/>
      <c r="E772"/>
      <c r="F772"/>
      <c r="G772"/>
      <c r="H772"/>
      <c r="I772"/>
      <c r="J772"/>
      <c r="K772"/>
      <c r="L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</row>
    <row r="773" spans="1:63">
      <c r="A773" s="70"/>
      <c r="B773"/>
      <c r="C773"/>
      <c r="D773"/>
      <c r="E773"/>
      <c r="F773"/>
      <c r="G773"/>
      <c r="H773"/>
      <c r="I773"/>
      <c r="J773"/>
      <c r="K773"/>
      <c r="L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</row>
    <row r="774" spans="1:63">
      <c r="A774" s="70"/>
      <c r="B774"/>
      <c r="C774"/>
      <c r="D774"/>
      <c r="E774"/>
      <c r="F774"/>
      <c r="G774"/>
      <c r="H774"/>
      <c r="I774"/>
      <c r="J774"/>
      <c r="K774"/>
      <c r="L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</row>
    <row r="775" spans="1:63">
      <c r="A775" s="70"/>
      <c r="B775"/>
      <c r="C775"/>
      <c r="D775"/>
      <c r="E775"/>
      <c r="F775"/>
      <c r="G775"/>
      <c r="H775"/>
      <c r="I775"/>
      <c r="J775"/>
      <c r="K775"/>
      <c r="L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</row>
    <row r="776" spans="1:63">
      <c r="A776" s="70"/>
      <c r="B776"/>
      <c r="C776"/>
      <c r="D776"/>
      <c r="E776"/>
      <c r="F776"/>
      <c r="G776"/>
      <c r="H776"/>
      <c r="I776"/>
      <c r="J776"/>
      <c r="K776"/>
      <c r="L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</row>
    <row r="777" spans="1:63">
      <c r="A777" s="70"/>
      <c r="B777"/>
      <c r="C777"/>
      <c r="D777"/>
      <c r="E777"/>
      <c r="F777"/>
      <c r="G777"/>
      <c r="H777"/>
      <c r="I777"/>
      <c r="J777"/>
      <c r="K777"/>
      <c r="L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</row>
    <row r="778" spans="1:63">
      <c r="A778" s="70"/>
      <c r="B778"/>
      <c r="C778"/>
      <c r="D778"/>
      <c r="E778"/>
      <c r="F778"/>
      <c r="G778"/>
      <c r="H778"/>
      <c r="I778"/>
      <c r="J778"/>
      <c r="K778"/>
      <c r="L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</row>
    <row r="779" spans="1:63">
      <c r="A779" s="70"/>
      <c r="B779"/>
      <c r="C779"/>
      <c r="D779"/>
      <c r="E779"/>
      <c r="F779"/>
      <c r="G779"/>
      <c r="H779"/>
      <c r="I779"/>
      <c r="J779"/>
      <c r="K779"/>
      <c r="L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</row>
    <row r="780" spans="1:63">
      <c r="A780" s="70"/>
      <c r="B780"/>
      <c r="C780"/>
      <c r="D780"/>
      <c r="E780"/>
      <c r="F780"/>
      <c r="G780"/>
      <c r="H780"/>
      <c r="I780"/>
      <c r="J780"/>
      <c r="K780"/>
      <c r="L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</row>
    <row r="781" spans="1:63">
      <c r="A781" s="70"/>
      <c r="B781"/>
      <c r="C781"/>
      <c r="D781"/>
      <c r="E781"/>
      <c r="F781"/>
      <c r="G781"/>
      <c r="H781"/>
      <c r="I781"/>
      <c r="J781"/>
      <c r="K781"/>
      <c r="L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</row>
    <row r="782" spans="1:63">
      <c r="A782" s="70"/>
      <c r="B782"/>
      <c r="C782"/>
      <c r="D782"/>
      <c r="E782"/>
      <c r="F782"/>
      <c r="G782"/>
      <c r="H782"/>
      <c r="I782"/>
      <c r="J782"/>
      <c r="K782"/>
      <c r="L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</row>
    <row r="783" spans="1:63">
      <c r="A783" s="70"/>
      <c r="B783"/>
      <c r="C783"/>
      <c r="D783"/>
      <c r="E783"/>
      <c r="F783"/>
      <c r="G783"/>
      <c r="H783"/>
      <c r="I783"/>
      <c r="J783"/>
      <c r="K783"/>
      <c r="L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</row>
    <row r="784" spans="1:63">
      <c r="A784" s="70"/>
      <c r="B784"/>
      <c r="C784"/>
      <c r="D784"/>
      <c r="E784"/>
      <c r="F784"/>
      <c r="G784"/>
      <c r="H784"/>
      <c r="I784"/>
      <c r="J784"/>
      <c r="K784"/>
      <c r="L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</row>
    <row r="785" spans="1:63">
      <c r="A785" s="70"/>
      <c r="B785"/>
      <c r="C785"/>
      <c r="D785"/>
      <c r="E785"/>
      <c r="F785"/>
      <c r="G785"/>
      <c r="H785"/>
      <c r="I785"/>
      <c r="J785"/>
      <c r="K785"/>
      <c r="L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</row>
    <row r="786" spans="1:63">
      <c r="A786" s="70"/>
      <c r="B786"/>
      <c r="C786"/>
      <c r="D786"/>
      <c r="E786"/>
      <c r="F786"/>
      <c r="G786"/>
      <c r="H786"/>
      <c r="I786"/>
      <c r="J786"/>
      <c r="K786"/>
      <c r="L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</row>
    <row r="787" spans="1:63">
      <c r="A787" s="70"/>
      <c r="B787"/>
      <c r="C787"/>
      <c r="D787"/>
      <c r="E787"/>
      <c r="F787"/>
      <c r="G787"/>
      <c r="H787"/>
      <c r="I787"/>
      <c r="J787"/>
      <c r="K787"/>
      <c r="L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</row>
    <row r="788" spans="1:63">
      <c r="A788" s="70"/>
      <c r="B788"/>
      <c r="C788"/>
      <c r="D788"/>
      <c r="E788"/>
      <c r="F788"/>
      <c r="G788"/>
      <c r="H788"/>
      <c r="I788"/>
      <c r="J788"/>
      <c r="K788"/>
      <c r="L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</row>
    <row r="789" spans="1:63">
      <c r="A789" s="70"/>
      <c r="B789"/>
      <c r="C789"/>
      <c r="D789"/>
      <c r="E789"/>
      <c r="F789"/>
      <c r="G789"/>
      <c r="H789"/>
      <c r="I789"/>
      <c r="J789"/>
      <c r="K789"/>
      <c r="L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</row>
    <row r="790" spans="1:63">
      <c r="A790" s="70"/>
      <c r="B790"/>
      <c r="C790"/>
      <c r="D790"/>
      <c r="E790"/>
      <c r="F790"/>
      <c r="G790"/>
      <c r="H790"/>
      <c r="I790"/>
      <c r="J790"/>
      <c r="K790"/>
      <c r="L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</row>
    <row r="791" spans="1:63">
      <c r="A791" s="70"/>
      <c r="B791"/>
      <c r="C791"/>
      <c r="D791"/>
      <c r="E791"/>
      <c r="F791"/>
      <c r="G791"/>
      <c r="H791"/>
      <c r="I791"/>
      <c r="J791"/>
      <c r="K791"/>
      <c r="L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</row>
    <row r="792" spans="1:63">
      <c r="A792" s="70"/>
      <c r="B792"/>
      <c r="C792"/>
      <c r="D792"/>
      <c r="E792"/>
      <c r="F792"/>
      <c r="G792"/>
      <c r="H792"/>
      <c r="I792"/>
      <c r="J792"/>
      <c r="K792"/>
      <c r="L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</row>
    <row r="793" spans="1:63">
      <c r="A793" s="70"/>
      <c r="B793"/>
      <c r="C793"/>
      <c r="D793"/>
      <c r="E793"/>
      <c r="F793"/>
      <c r="G793"/>
      <c r="H793"/>
      <c r="I793"/>
      <c r="J793"/>
      <c r="K793"/>
      <c r="L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</row>
    <row r="794" spans="1:63">
      <c r="A794" s="70"/>
      <c r="B794"/>
      <c r="C794"/>
      <c r="D794"/>
      <c r="E794"/>
      <c r="F794"/>
      <c r="G794"/>
      <c r="H794"/>
      <c r="I794"/>
      <c r="J794"/>
      <c r="K794"/>
      <c r="L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</row>
    <row r="795" spans="1:63">
      <c r="A795" s="70"/>
      <c r="B795"/>
      <c r="C795"/>
      <c r="D795"/>
      <c r="E795"/>
      <c r="F795"/>
      <c r="G795"/>
      <c r="H795"/>
      <c r="I795"/>
      <c r="J795"/>
      <c r="K795"/>
      <c r="L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</row>
    <row r="796" spans="1:63">
      <c r="A796" s="70"/>
      <c r="B796"/>
      <c r="C796"/>
      <c r="D796"/>
      <c r="E796"/>
      <c r="F796"/>
      <c r="G796"/>
      <c r="H796"/>
      <c r="I796"/>
      <c r="J796"/>
      <c r="K796"/>
      <c r="L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</row>
    <row r="797" spans="1:63">
      <c r="A797" s="70"/>
      <c r="B797"/>
      <c r="C797"/>
      <c r="D797"/>
      <c r="E797"/>
      <c r="F797"/>
      <c r="G797"/>
      <c r="H797"/>
      <c r="I797"/>
      <c r="J797"/>
      <c r="K797"/>
      <c r="L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</row>
    <row r="798" spans="1:63">
      <c r="A798" s="70"/>
      <c r="B798"/>
      <c r="C798"/>
      <c r="D798"/>
      <c r="E798"/>
      <c r="F798"/>
      <c r="G798"/>
      <c r="H798"/>
      <c r="I798"/>
      <c r="J798"/>
      <c r="K798"/>
      <c r="L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</row>
    <row r="799" spans="1:63">
      <c r="A799" s="70"/>
      <c r="B799"/>
      <c r="C799"/>
      <c r="D799"/>
      <c r="E799"/>
      <c r="F799"/>
      <c r="G799"/>
      <c r="H799"/>
      <c r="I799"/>
      <c r="J799"/>
      <c r="K799"/>
      <c r="L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</row>
    <row r="800" spans="1:63">
      <c r="A800" s="70"/>
      <c r="B800"/>
      <c r="C800"/>
      <c r="D800"/>
      <c r="E800"/>
      <c r="F800"/>
      <c r="G800"/>
      <c r="H800"/>
      <c r="I800"/>
      <c r="J800"/>
      <c r="K800"/>
      <c r="L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</row>
    <row r="801" spans="1:63">
      <c r="A801" s="70"/>
      <c r="B801"/>
      <c r="C801"/>
      <c r="D801"/>
      <c r="E801"/>
      <c r="F801"/>
      <c r="G801"/>
      <c r="H801"/>
      <c r="I801"/>
      <c r="J801"/>
      <c r="K801"/>
      <c r="L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</row>
    <row r="802" spans="1:63">
      <c r="A802" s="70"/>
      <c r="B802"/>
      <c r="C802"/>
      <c r="D802"/>
      <c r="E802"/>
      <c r="F802"/>
      <c r="G802"/>
      <c r="H802"/>
      <c r="I802"/>
      <c r="J802"/>
      <c r="K802"/>
      <c r="L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</row>
    <row r="803" spans="1:63">
      <c r="A803" s="70"/>
      <c r="B803"/>
      <c r="C803"/>
      <c r="D803"/>
      <c r="E803"/>
      <c r="F803"/>
      <c r="G803"/>
      <c r="H803"/>
      <c r="I803"/>
      <c r="J803"/>
      <c r="K803"/>
      <c r="L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</row>
    <row r="804" spans="1:63">
      <c r="A804" s="70"/>
      <c r="B804"/>
      <c r="C804"/>
      <c r="D804"/>
      <c r="E804"/>
      <c r="F804"/>
      <c r="G804"/>
      <c r="H804"/>
      <c r="I804"/>
      <c r="J804"/>
      <c r="K804"/>
      <c r="L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</row>
    <row r="805" spans="1:63">
      <c r="A805" s="70"/>
      <c r="B805"/>
      <c r="C805"/>
      <c r="D805"/>
      <c r="E805"/>
      <c r="F805"/>
      <c r="G805"/>
      <c r="H805"/>
      <c r="I805"/>
      <c r="J805"/>
      <c r="K805"/>
      <c r="L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</row>
    <row r="806" spans="1:63">
      <c r="A806" s="70"/>
      <c r="B806"/>
      <c r="C806"/>
      <c r="D806"/>
      <c r="E806"/>
      <c r="F806"/>
      <c r="G806"/>
      <c r="H806"/>
      <c r="I806"/>
      <c r="J806"/>
      <c r="K806"/>
      <c r="L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</row>
    <row r="807" spans="1:63">
      <c r="A807" s="70"/>
      <c r="B807"/>
      <c r="C807"/>
      <c r="D807"/>
      <c r="E807"/>
      <c r="F807"/>
      <c r="G807"/>
      <c r="H807"/>
      <c r="I807"/>
      <c r="J807"/>
      <c r="K807"/>
      <c r="L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</row>
    <row r="808" spans="1:63">
      <c r="A808" s="70"/>
      <c r="B808"/>
      <c r="C808"/>
      <c r="D808"/>
      <c r="E808"/>
      <c r="F808"/>
      <c r="G808"/>
      <c r="H808"/>
      <c r="I808"/>
      <c r="J808"/>
      <c r="K808"/>
      <c r="L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</row>
    <row r="809" spans="1:63">
      <c r="A809" s="70"/>
      <c r="B809"/>
      <c r="C809"/>
      <c r="D809"/>
      <c r="E809"/>
      <c r="F809"/>
      <c r="G809"/>
      <c r="H809"/>
      <c r="I809"/>
      <c r="J809"/>
      <c r="K809"/>
      <c r="L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</row>
    <row r="810" spans="1:63">
      <c r="A810" s="70"/>
      <c r="B810"/>
      <c r="C810"/>
      <c r="D810"/>
      <c r="E810"/>
      <c r="F810"/>
      <c r="G810"/>
      <c r="H810"/>
      <c r="I810"/>
      <c r="J810"/>
      <c r="K810"/>
      <c r="L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</row>
    <row r="811" spans="1:63">
      <c r="A811" s="70"/>
      <c r="B811"/>
      <c r="C811"/>
      <c r="D811"/>
      <c r="E811"/>
      <c r="F811"/>
      <c r="G811"/>
      <c r="H811"/>
      <c r="I811"/>
      <c r="J811"/>
      <c r="K811"/>
      <c r="L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</row>
    <row r="812" spans="1:63">
      <c r="A812" s="70"/>
      <c r="B812"/>
      <c r="C812"/>
      <c r="D812"/>
      <c r="E812"/>
      <c r="F812"/>
      <c r="G812"/>
      <c r="H812"/>
      <c r="I812"/>
      <c r="J812"/>
      <c r="K812"/>
      <c r="L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</row>
    <row r="813" spans="1:63">
      <c r="A813" s="70"/>
      <c r="B813"/>
      <c r="C813"/>
      <c r="D813"/>
      <c r="E813"/>
      <c r="F813"/>
      <c r="G813"/>
      <c r="H813"/>
      <c r="I813"/>
      <c r="J813"/>
      <c r="K813"/>
      <c r="L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</row>
    <row r="814" spans="1:63">
      <c r="A814" s="70"/>
      <c r="B814"/>
      <c r="C814"/>
      <c r="D814"/>
      <c r="E814"/>
      <c r="F814"/>
      <c r="G814"/>
      <c r="H814"/>
      <c r="I814"/>
      <c r="J814"/>
      <c r="K814"/>
      <c r="L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</row>
    <row r="815" spans="1:63">
      <c r="A815" s="70"/>
      <c r="B815"/>
      <c r="C815"/>
      <c r="D815"/>
      <c r="E815"/>
      <c r="F815"/>
      <c r="G815"/>
      <c r="H815"/>
      <c r="I815"/>
      <c r="J815"/>
      <c r="K815"/>
      <c r="L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</row>
    <row r="816" spans="1:63">
      <c r="A816" s="70"/>
      <c r="B816"/>
      <c r="C816"/>
      <c r="D816"/>
      <c r="E816"/>
      <c r="F816"/>
      <c r="G816"/>
      <c r="H816"/>
      <c r="I816"/>
      <c r="J816"/>
      <c r="K816"/>
      <c r="L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</row>
    <row r="817" spans="1:63">
      <c r="A817" s="70"/>
      <c r="B817"/>
      <c r="C817"/>
      <c r="D817"/>
      <c r="E817"/>
      <c r="F817"/>
      <c r="G817"/>
      <c r="H817"/>
      <c r="I817"/>
      <c r="J817"/>
      <c r="K817"/>
      <c r="L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</row>
    <row r="818" spans="1:63">
      <c r="A818" s="70"/>
      <c r="B818"/>
      <c r="C818"/>
      <c r="D818"/>
      <c r="E818"/>
      <c r="F818"/>
      <c r="G818"/>
      <c r="H818"/>
      <c r="I818"/>
      <c r="J818"/>
      <c r="K818"/>
      <c r="L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</row>
    <row r="819" spans="1:63">
      <c r="A819" s="70"/>
      <c r="B819"/>
      <c r="C819"/>
      <c r="D819"/>
      <c r="E819"/>
      <c r="F819"/>
      <c r="G819"/>
      <c r="H819"/>
      <c r="I819"/>
      <c r="J819"/>
      <c r="K819"/>
      <c r="L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</row>
    <row r="820" spans="1:63">
      <c r="A820" s="70"/>
      <c r="B820"/>
      <c r="C820"/>
      <c r="D820"/>
      <c r="E820"/>
      <c r="F820"/>
      <c r="G820"/>
      <c r="H820"/>
      <c r="I820"/>
      <c r="J820"/>
      <c r="K820"/>
      <c r="L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</row>
    <row r="821" spans="1:63">
      <c r="A821" s="70"/>
      <c r="B821"/>
      <c r="C821"/>
      <c r="D821"/>
      <c r="E821"/>
      <c r="F821"/>
      <c r="G821"/>
      <c r="H821"/>
      <c r="I821"/>
      <c r="J821"/>
      <c r="K821"/>
      <c r="L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</row>
    <row r="822" spans="1:63">
      <c r="A822" s="70"/>
      <c r="B822"/>
      <c r="C822"/>
      <c r="D822"/>
      <c r="E822"/>
      <c r="F822"/>
      <c r="G822"/>
      <c r="H822"/>
      <c r="I822"/>
      <c r="J822"/>
      <c r="K822"/>
      <c r="L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</row>
    <row r="823" spans="1:63">
      <c r="A823" s="70"/>
      <c r="B823"/>
      <c r="C823"/>
      <c r="D823"/>
      <c r="E823"/>
      <c r="F823"/>
      <c r="G823"/>
      <c r="H823"/>
      <c r="I823"/>
      <c r="J823"/>
      <c r="K823"/>
      <c r="L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</row>
    <row r="824" spans="1:63">
      <c r="A824" s="70"/>
      <c r="B824"/>
      <c r="C824"/>
      <c r="D824"/>
      <c r="E824"/>
      <c r="F824"/>
      <c r="G824"/>
      <c r="H824"/>
      <c r="I824"/>
      <c r="J824"/>
      <c r="K824"/>
      <c r="L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</row>
    <row r="825" spans="1:63">
      <c r="A825" s="70"/>
      <c r="B825"/>
      <c r="C825"/>
      <c r="D825"/>
      <c r="E825"/>
      <c r="F825"/>
      <c r="G825"/>
      <c r="H825"/>
      <c r="I825"/>
      <c r="J825"/>
      <c r="K825"/>
      <c r="L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</row>
    <row r="826" spans="1:63">
      <c r="A826" s="70"/>
      <c r="B826"/>
      <c r="C826"/>
      <c r="D826"/>
      <c r="E826"/>
      <c r="F826"/>
      <c r="G826"/>
      <c r="H826"/>
      <c r="I826"/>
      <c r="J826"/>
      <c r="K826"/>
      <c r="L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</row>
    <row r="827" spans="1:63">
      <c r="A827" s="70"/>
      <c r="B827"/>
      <c r="C827"/>
      <c r="D827"/>
      <c r="E827"/>
      <c r="F827"/>
      <c r="G827"/>
      <c r="H827"/>
      <c r="I827"/>
      <c r="J827"/>
      <c r="K827"/>
      <c r="L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</row>
    <row r="828" spans="1:63">
      <c r="A828" s="70"/>
      <c r="B828"/>
      <c r="C828"/>
      <c r="D828"/>
      <c r="E828"/>
      <c r="F828"/>
      <c r="G828"/>
      <c r="H828"/>
      <c r="I828"/>
      <c r="J828"/>
      <c r="K828"/>
      <c r="L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</row>
    <row r="829" spans="1:63">
      <c r="A829" s="70"/>
      <c r="B829"/>
      <c r="C829"/>
      <c r="D829"/>
      <c r="E829"/>
      <c r="F829"/>
      <c r="G829"/>
      <c r="H829"/>
      <c r="I829"/>
      <c r="J829"/>
      <c r="K829"/>
      <c r="L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</row>
    <row r="830" spans="1:63">
      <c r="A830" s="70"/>
      <c r="B830"/>
      <c r="C830"/>
      <c r="D830"/>
      <c r="E830"/>
      <c r="F830"/>
      <c r="G830"/>
      <c r="H830"/>
      <c r="I830"/>
      <c r="J830"/>
      <c r="K830"/>
      <c r="L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</row>
    <row r="831" spans="1:63">
      <c r="A831" s="70"/>
      <c r="B831"/>
      <c r="C831"/>
      <c r="D831"/>
      <c r="E831"/>
      <c r="F831"/>
      <c r="G831"/>
      <c r="H831"/>
      <c r="I831"/>
      <c r="J831"/>
      <c r="K831"/>
      <c r="L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</row>
    <row r="832" spans="1:63">
      <c r="A832" s="70"/>
      <c r="B832"/>
      <c r="C832"/>
      <c r="D832"/>
      <c r="E832"/>
      <c r="F832"/>
      <c r="G832"/>
      <c r="H832"/>
      <c r="I832"/>
      <c r="J832"/>
      <c r="K832"/>
      <c r="L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</row>
    <row r="833" spans="1:63">
      <c r="A833" s="70"/>
      <c r="B833"/>
      <c r="C833"/>
      <c r="D833"/>
      <c r="E833"/>
      <c r="F833"/>
      <c r="G833"/>
      <c r="H833"/>
      <c r="I833"/>
      <c r="J833"/>
      <c r="K833"/>
      <c r="L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</row>
    <row r="834" spans="1:63">
      <c r="A834" s="70"/>
      <c r="B834"/>
      <c r="C834"/>
      <c r="D834"/>
      <c r="E834"/>
      <c r="F834"/>
      <c r="G834"/>
      <c r="H834"/>
      <c r="I834"/>
      <c r="J834"/>
      <c r="K834"/>
      <c r="L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</row>
    <row r="835" spans="1:63">
      <c r="A835" s="70"/>
      <c r="B835"/>
      <c r="C835"/>
      <c r="D835"/>
      <c r="E835"/>
      <c r="F835"/>
      <c r="G835"/>
      <c r="H835"/>
      <c r="I835"/>
      <c r="J835"/>
      <c r="K835"/>
      <c r="L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</row>
    <row r="836" spans="1:63">
      <c r="A836" s="70"/>
      <c r="B836"/>
      <c r="C836"/>
      <c r="D836"/>
      <c r="E836"/>
      <c r="F836"/>
      <c r="G836"/>
      <c r="H836"/>
      <c r="I836"/>
      <c r="J836"/>
      <c r="K836"/>
      <c r="L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</row>
    <row r="837" spans="1:63">
      <c r="A837" s="70"/>
      <c r="B837"/>
      <c r="C837"/>
      <c r="D837"/>
      <c r="E837"/>
      <c r="F837"/>
      <c r="G837"/>
      <c r="H837"/>
      <c r="I837"/>
      <c r="J837"/>
      <c r="K837"/>
      <c r="L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</row>
    <row r="838" spans="1:63">
      <c r="A838" s="70"/>
      <c r="B838"/>
      <c r="C838"/>
      <c r="D838"/>
      <c r="E838"/>
      <c r="F838"/>
      <c r="G838"/>
      <c r="H838"/>
      <c r="I838"/>
      <c r="J838"/>
      <c r="K838"/>
      <c r="L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</row>
    <row r="839" spans="1:63">
      <c r="A839" s="70"/>
      <c r="B839"/>
      <c r="C839"/>
      <c r="D839"/>
      <c r="E839"/>
      <c r="F839"/>
      <c r="G839"/>
      <c r="H839"/>
      <c r="I839"/>
      <c r="J839"/>
      <c r="K839"/>
      <c r="L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</row>
    <row r="840" spans="1:63">
      <c r="A840" s="70"/>
      <c r="B840"/>
      <c r="C840"/>
      <c r="D840"/>
      <c r="E840"/>
      <c r="F840"/>
      <c r="G840"/>
      <c r="H840"/>
      <c r="I840"/>
      <c r="J840"/>
      <c r="K840"/>
      <c r="L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</row>
    <row r="841" spans="1:63">
      <c r="A841" s="70"/>
      <c r="B841"/>
      <c r="C841"/>
      <c r="D841"/>
      <c r="E841"/>
      <c r="F841"/>
      <c r="G841"/>
      <c r="H841"/>
      <c r="I841"/>
      <c r="J841"/>
      <c r="K841"/>
      <c r="L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</row>
    <row r="842" spans="1:63">
      <c r="A842" s="70"/>
      <c r="B842"/>
      <c r="C842"/>
      <c r="D842"/>
      <c r="E842"/>
      <c r="F842"/>
      <c r="G842"/>
      <c r="H842"/>
      <c r="I842"/>
      <c r="J842"/>
      <c r="K842"/>
      <c r="L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</row>
    <row r="843" spans="1:63">
      <c r="A843" s="70"/>
      <c r="B843"/>
      <c r="C843"/>
      <c r="D843"/>
      <c r="E843"/>
      <c r="F843"/>
      <c r="G843"/>
      <c r="H843"/>
      <c r="I843"/>
      <c r="J843"/>
      <c r="K843"/>
      <c r="L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</row>
    <row r="844" spans="1:63">
      <c r="A844" s="70"/>
      <c r="B844"/>
      <c r="C844"/>
      <c r="D844"/>
      <c r="E844"/>
      <c r="F844"/>
      <c r="G844"/>
      <c r="H844"/>
      <c r="I844"/>
      <c r="J844"/>
      <c r="K844"/>
      <c r="L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</row>
    <row r="845" spans="1:63">
      <c r="A845" s="70"/>
      <c r="B845"/>
      <c r="C845"/>
      <c r="D845"/>
      <c r="E845"/>
      <c r="F845"/>
      <c r="G845"/>
      <c r="H845"/>
      <c r="I845"/>
      <c r="J845"/>
      <c r="K845"/>
      <c r="L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</row>
    <row r="846" spans="1:63">
      <c r="A846" s="70"/>
      <c r="B846"/>
      <c r="C846"/>
      <c r="D846"/>
      <c r="E846"/>
      <c r="F846"/>
      <c r="G846"/>
      <c r="H846"/>
      <c r="I846"/>
      <c r="J846"/>
      <c r="K846"/>
      <c r="L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</row>
    <row r="847" spans="1:63">
      <c r="A847" s="70"/>
      <c r="B847"/>
      <c r="C847"/>
      <c r="D847"/>
      <c r="E847"/>
      <c r="F847"/>
      <c r="G847"/>
      <c r="H847"/>
      <c r="I847"/>
      <c r="J847"/>
      <c r="K847"/>
      <c r="L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</row>
    <row r="848" spans="1:63">
      <c r="A848" s="70"/>
      <c r="B848"/>
      <c r="C848"/>
      <c r="D848"/>
      <c r="E848"/>
      <c r="F848"/>
      <c r="G848"/>
      <c r="H848"/>
      <c r="I848"/>
      <c r="J848"/>
      <c r="K848"/>
      <c r="L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</row>
    <row r="849" spans="1:63">
      <c r="A849" s="70"/>
      <c r="B849"/>
      <c r="C849"/>
      <c r="D849"/>
      <c r="E849"/>
      <c r="F849"/>
      <c r="G849"/>
      <c r="H849"/>
      <c r="I849"/>
      <c r="J849"/>
      <c r="K849"/>
      <c r="L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</row>
    <row r="850" spans="1:63">
      <c r="A850" s="70"/>
      <c r="B850"/>
      <c r="C850"/>
      <c r="D850"/>
      <c r="E850"/>
      <c r="F850"/>
      <c r="G850"/>
      <c r="H850"/>
      <c r="I850"/>
      <c r="J850"/>
      <c r="K850"/>
      <c r="L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</row>
    <row r="851" spans="1:63">
      <c r="A851" s="70"/>
      <c r="B851"/>
      <c r="C851"/>
      <c r="D851"/>
      <c r="E851"/>
      <c r="F851"/>
      <c r="G851"/>
      <c r="H851"/>
      <c r="I851"/>
      <c r="J851"/>
      <c r="K851"/>
      <c r="L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</row>
    <row r="852" spans="1:63">
      <c r="A852" s="70"/>
      <c r="B852"/>
      <c r="C852"/>
      <c r="D852"/>
      <c r="E852"/>
      <c r="F852"/>
      <c r="G852"/>
      <c r="H852"/>
      <c r="I852"/>
      <c r="J852"/>
      <c r="K852"/>
      <c r="L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</row>
    <row r="853" spans="1:63">
      <c r="A853" s="70"/>
      <c r="B853"/>
      <c r="C853"/>
      <c r="D853"/>
      <c r="E853"/>
      <c r="F853"/>
      <c r="G853"/>
      <c r="H853"/>
      <c r="I853"/>
      <c r="J853"/>
      <c r="K853"/>
      <c r="L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</row>
    <row r="854" spans="1:63">
      <c r="A854" s="70"/>
      <c r="B854"/>
      <c r="C854"/>
      <c r="D854"/>
      <c r="E854"/>
      <c r="F854"/>
      <c r="G854"/>
      <c r="H854"/>
      <c r="I854"/>
      <c r="J854"/>
      <c r="K854"/>
      <c r="L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</row>
    <row r="855" spans="1:63">
      <c r="A855" s="70"/>
      <c r="B855"/>
      <c r="C855"/>
      <c r="D855"/>
      <c r="E855"/>
      <c r="F855"/>
      <c r="G855"/>
      <c r="H855"/>
      <c r="I855"/>
      <c r="J855"/>
      <c r="K855"/>
      <c r="L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</row>
    <row r="856" spans="1:63">
      <c r="A856" s="70"/>
      <c r="B856"/>
      <c r="C856"/>
      <c r="D856"/>
      <c r="E856"/>
      <c r="F856"/>
      <c r="G856"/>
      <c r="H856"/>
      <c r="I856"/>
      <c r="J856"/>
      <c r="K856"/>
      <c r="L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</row>
    <row r="857" spans="1:63">
      <c r="A857" s="70"/>
      <c r="B857"/>
      <c r="C857"/>
      <c r="D857"/>
      <c r="E857"/>
      <c r="F857"/>
      <c r="G857"/>
      <c r="H857"/>
      <c r="I857"/>
      <c r="J857"/>
      <c r="K857"/>
      <c r="L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</row>
    <row r="858" spans="1:63">
      <c r="A858" s="70"/>
      <c r="B858"/>
      <c r="C858"/>
      <c r="D858"/>
      <c r="E858"/>
      <c r="F858"/>
      <c r="G858"/>
      <c r="H858"/>
      <c r="I858"/>
      <c r="J858"/>
      <c r="K858"/>
      <c r="L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</row>
    <row r="859" spans="1:63">
      <c r="A859" s="70"/>
      <c r="B859"/>
      <c r="C859"/>
      <c r="D859"/>
      <c r="E859"/>
      <c r="F859"/>
      <c r="G859"/>
      <c r="H859"/>
      <c r="I859"/>
      <c r="J859"/>
      <c r="K859"/>
      <c r="L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</row>
    <row r="860" spans="1:63">
      <c r="A860" s="70"/>
      <c r="B860"/>
      <c r="C860"/>
      <c r="D860"/>
      <c r="E860"/>
      <c r="F860"/>
      <c r="G860"/>
      <c r="H860"/>
      <c r="I860"/>
      <c r="J860"/>
      <c r="K860"/>
      <c r="L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</row>
    <row r="861" spans="1:63">
      <c r="A861" s="70"/>
      <c r="B861"/>
      <c r="C861"/>
      <c r="D861"/>
      <c r="E861"/>
      <c r="F861"/>
      <c r="G861"/>
      <c r="H861"/>
      <c r="I861"/>
      <c r="J861"/>
      <c r="K861"/>
      <c r="L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</row>
    <row r="862" spans="1:63">
      <c r="A862" s="70"/>
      <c r="B862"/>
      <c r="C862"/>
      <c r="D862"/>
      <c r="E862"/>
      <c r="F862"/>
      <c r="G862"/>
      <c r="H862"/>
      <c r="I862"/>
      <c r="J862"/>
      <c r="K862"/>
      <c r="L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</row>
    <row r="863" spans="1:63">
      <c r="A863" s="70"/>
      <c r="B863"/>
      <c r="C863"/>
      <c r="D863"/>
      <c r="E863"/>
      <c r="F863"/>
      <c r="G863"/>
      <c r="H863"/>
      <c r="I863"/>
      <c r="J863"/>
      <c r="K863"/>
      <c r="L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</row>
    <row r="864" spans="1:63">
      <c r="A864" s="70"/>
      <c r="B864"/>
      <c r="C864"/>
      <c r="D864"/>
      <c r="E864"/>
      <c r="F864"/>
      <c r="G864"/>
      <c r="H864"/>
      <c r="I864"/>
      <c r="J864"/>
      <c r="K864"/>
      <c r="L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</row>
    <row r="865" spans="1:63">
      <c r="A865" s="70"/>
      <c r="B865"/>
      <c r="C865"/>
      <c r="D865"/>
      <c r="E865"/>
      <c r="F865"/>
      <c r="G865"/>
      <c r="H865"/>
      <c r="I865"/>
      <c r="J865"/>
      <c r="K865"/>
      <c r="L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</row>
    <row r="866" spans="1:63">
      <c r="A866" s="70"/>
      <c r="B866"/>
      <c r="C866"/>
      <c r="D866"/>
      <c r="E866"/>
      <c r="F866"/>
      <c r="G866"/>
      <c r="H866"/>
      <c r="I866"/>
      <c r="J866"/>
      <c r="K866"/>
      <c r="L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</row>
    <row r="867" spans="1:63">
      <c r="A867" s="70"/>
      <c r="B867"/>
      <c r="C867"/>
      <c r="D867"/>
      <c r="E867"/>
      <c r="F867"/>
      <c r="G867"/>
      <c r="H867"/>
      <c r="I867"/>
      <c r="J867"/>
      <c r="K867"/>
      <c r="L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</row>
    <row r="868" spans="1:63">
      <c r="A868" s="70"/>
      <c r="B868"/>
      <c r="C868"/>
      <c r="D868"/>
      <c r="E868"/>
      <c r="F868"/>
      <c r="G868"/>
      <c r="H868"/>
      <c r="I868"/>
      <c r="J868"/>
      <c r="K868"/>
      <c r="L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</row>
    <row r="869" spans="1:63">
      <c r="A869" s="70"/>
      <c r="B869"/>
      <c r="C869"/>
      <c r="D869"/>
      <c r="E869"/>
      <c r="F869"/>
      <c r="G869"/>
      <c r="H869"/>
      <c r="I869"/>
      <c r="J869"/>
      <c r="K869"/>
      <c r="L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</row>
    <row r="870" spans="1:63">
      <c r="A870" s="70"/>
      <c r="B870"/>
      <c r="C870"/>
      <c r="D870"/>
      <c r="E870"/>
      <c r="F870"/>
      <c r="G870"/>
      <c r="H870"/>
      <c r="I870"/>
      <c r="J870"/>
      <c r="K870"/>
      <c r="L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</row>
    <row r="871" spans="1:63">
      <c r="A871" s="70"/>
      <c r="B871"/>
      <c r="C871"/>
      <c r="D871"/>
      <c r="E871"/>
      <c r="F871"/>
      <c r="G871"/>
      <c r="H871"/>
      <c r="I871"/>
      <c r="J871"/>
      <c r="K871"/>
      <c r="L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</row>
    <row r="872" spans="1:63">
      <c r="A872" s="70"/>
      <c r="B872"/>
      <c r="C872"/>
      <c r="D872"/>
      <c r="E872"/>
      <c r="F872"/>
      <c r="G872"/>
      <c r="H872"/>
      <c r="I872"/>
      <c r="J872"/>
      <c r="K872"/>
      <c r="L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</row>
    <row r="873" spans="1:63">
      <c r="A873" s="70"/>
      <c r="B873"/>
      <c r="C873"/>
      <c r="D873"/>
      <c r="E873"/>
      <c r="F873"/>
      <c r="G873"/>
      <c r="H873"/>
      <c r="I873"/>
      <c r="J873"/>
      <c r="K873"/>
      <c r="L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</row>
    <row r="874" spans="1:63">
      <c r="A874" s="70"/>
      <c r="B874"/>
      <c r="C874"/>
      <c r="D874"/>
      <c r="E874"/>
      <c r="F874"/>
      <c r="G874"/>
      <c r="H874"/>
      <c r="I874"/>
      <c r="J874"/>
      <c r="K874"/>
      <c r="L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</row>
    <row r="875" spans="1:63">
      <c r="A875" s="70"/>
      <c r="B875"/>
      <c r="C875"/>
      <c r="D875"/>
      <c r="E875"/>
      <c r="F875"/>
      <c r="G875"/>
      <c r="H875"/>
      <c r="I875"/>
      <c r="J875"/>
      <c r="K875"/>
      <c r="L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</row>
    <row r="876" spans="1:63">
      <c r="A876" s="70"/>
      <c r="B876"/>
      <c r="C876"/>
      <c r="D876"/>
      <c r="E876"/>
      <c r="F876"/>
      <c r="G876"/>
      <c r="H876"/>
      <c r="I876"/>
      <c r="J876"/>
      <c r="K876"/>
      <c r="L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</row>
    <row r="877" spans="1:63">
      <c r="A877" s="70"/>
      <c r="B877"/>
      <c r="C877"/>
      <c r="D877"/>
      <c r="E877"/>
      <c r="F877"/>
      <c r="G877"/>
      <c r="H877"/>
      <c r="I877"/>
      <c r="J877"/>
      <c r="K877"/>
      <c r="L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</row>
    <row r="878" spans="1:63">
      <c r="A878" s="70"/>
      <c r="B878"/>
      <c r="C878"/>
      <c r="D878"/>
      <c r="E878"/>
      <c r="F878"/>
      <c r="G878"/>
      <c r="H878"/>
      <c r="I878"/>
      <c r="J878"/>
      <c r="K878"/>
      <c r="L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</row>
    <row r="879" spans="1:63">
      <c r="A879" s="70"/>
      <c r="B879"/>
      <c r="C879"/>
      <c r="D879"/>
      <c r="E879"/>
      <c r="F879"/>
      <c r="G879"/>
      <c r="H879"/>
      <c r="I879"/>
      <c r="J879"/>
      <c r="K879"/>
      <c r="L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</row>
    <row r="880" spans="1:63">
      <c r="A880" s="70"/>
      <c r="B880"/>
      <c r="C880"/>
      <c r="D880"/>
      <c r="E880"/>
      <c r="F880"/>
      <c r="G880"/>
      <c r="H880"/>
      <c r="I880"/>
      <c r="J880"/>
      <c r="K880"/>
      <c r="L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</row>
    <row r="881" spans="1:63">
      <c r="A881" s="70"/>
      <c r="B881"/>
      <c r="C881"/>
      <c r="D881"/>
      <c r="E881"/>
      <c r="F881"/>
      <c r="G881"/>
      <c r="H881"/>
      <c r="I881"/>
      <c r="J881"/>
      <c r="K881"/>
      <c r="L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</row>
    <row r="882" spans="1:63">
      <c r="A882" s="70"/>
      <c r="B882"/>
      <c r="C882"/>
      <c r="D882"/>
      <c r="E882"/>
      <c r="F882"/>
      <c r="G882"/>
      <c r="H882"/>
      <c r="I882"/>
      <c r="J882"/>
      <c r="K882"/>
      <c r="L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</row>
    <row r="883" spans="1:63">
      <c r="A883" s="70"/>
      <c r="B883"/>
      <c r="C883"/>
      <c r="D883"/>
      <c r="E883"/>
      <c r="F883"/>
      <c r="G883"/>
      <c r="H883"/>
      <c r="I883"/>
      <c r="J883"/>
      <c r="K883"/>
      <c r="L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</row>
    <row r="884" spans="1:63">
      <c r="A884" s="70"/>
      <c r="B884"/>
      <c r="C884"/>
      <c r="D884"/>
      <c r="E884"/>
      <c r="F884"/>
      <c r="G884"/>
      <c r="H884"/>
      <c r="I884"/>
      <c r="J884"/>
      <c r="K884"/>
      <c r="L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</row>
    <row r="885" spans="1:63">
      <c r="A885" s="70"/>
      <c r="B885"/>
      <c r="C885"/>
      <c r="D885"/>
      <c r="E885"/>
      <c r="F885"/>
      <c r="G885"/>
      <c r="H885"/>
      <c r="I885"/>
      <c r="J885"/>
      <c r="K885"/>
      <c r="L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</row>
    <row r="886" spans="1:63">
      <c r="A886" s="70"/>
      <c r="B886"/>
      <c r="C886"/>
      <c r="D886"/>
      <c r="E886"/>
      <c r="F886"/>
      <c r="G886"/>
      <c r="H886"/>
      <c r="I886"/>
      <c r="J886"/>
      <c r="K886"/>
      <c r="L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</row>
    <row r="887" spans="1:63">
      <c r="A887" s="70"/>
      <c r="B887"/>
      <c r="C887"/>
      <c r="D887"/>
      <c r="E887"/>
      <c r="F887"/>
      <c r="G887"/>
      <c r="H887"/>
      <c r="I887"/>
      <c r="J887"/>
      <c r="K887"/>
      <c r="L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</row>
    <row r="888" spans="1:63">
      <c r="A888" s="70"/>
      <c r="B888"/>
      <c r="C888"/>
      <c r="D888"/>
      <c r="E888"/>
      <c r="F888"/>
      <c r="G888"/>
      <c r="H888"/>
      <c r="I888"/>
      <c r="J888"/>
      <c r="K888"/>
      <c r="L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</row>
    <row r="889" spans="1:63">
      <c r="A889" s="70"/>
      <c r="B889"/>
      <c r="C889"/>
      <c r="D889"/>
      <c r="E889"/>
      <c r="F889"/>
      <c r="G889"/>
      <c r="H889"/>
      <c r="I889"/>
      <c r="J889"/>
      <c r="K889"/>
      <c r="L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</row>
    <row r="890" spans="1:63">
      <c r="A890" s="70"/>
      <c r="B890"/>
      <c r="C890"/>
      <c r="D890"/>
      <c r="E890"/>
      <c r="F890"/>
      <c r="G890"/>
      <c r="H890"/>
      <c r="I890"/>
      <c r="J890"/>
      <c r="K890"/>
      <c r="L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</row>
    <row r="891" spans="1:63">
      <c r="A891" s="70"/>
      <c r="B891"/>
      <c r="C891"/>
      <c r="D891"/>
      <c r="E891"/>
      <c r="F891"/>
      <c r="G891"/>
      <c r="H891"/>
      <c r="I891"/>
      <c r="J891"/>
      <c r="K891"/>
      <c r="L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</row>
    <row r="892" spans="1:63">
      <c r="A892" s="70"/>
      <c r="B892"/>
      <c r="C892"/>
      <c r="D892"/>
      <c r="E892"/>
      <c r="F892"/>
      <c r="G892"/>
      <c r="H892"/>
      <c r="I892"/>
      <c r="J892"/>
      <c r="K892"/>
      <c r="L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</row>
    <row r="893" spans="1:63">
      <c r="A893" s="70"/>
      <c r="B893"/>
      <c r="C893"/>
      <c r="D893"/>
      <c r="E893"/>
      <c r="F893"/>
      <c r="G893"/>
      <c r="H893"/>
      <c r="I893"/>
      <c r="J893"/>
      <c r="K893"/>
      <c r="L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</row>
    <row r="894" spans="1:63">
      <c r="A894" s="70"/>
      <c r="B894"/>
      <c r="C894"/>
      <c r="D894"/>
      <c r="E894"/>
      <c r="F894"/>
      <c r="G894"/>
      <c r="H894"/>
      <c r="I894"/>
      <c r="J894"/>
      <c r="K894"/>
      <c r="L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</row>
    <row r="895" spans="1:63">
      <c r="A895" s="70"/>
      <c r="B895"/>
      <c r="C895"/>
      <c r="D895"/>
      <c r="E895"/>
      <c r="F895"/>
      <c r="G895"/>
      <c r="H895"/>
      <c r="I895"/>
      <c r="J895"/>
      <c r="K895"/>
      <c r="L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</row>
    <row r="896" spans="1:63">
      <c r="A896" s="70"/>
      <c r="B896"/>
      <c r="C896"/>
      <c r="D896"/>
      <c r="E896"/>
      <c r="F896"/>
      <c r="G896"/>
      <c r="H896"/>
      <c r="I896"/>
      <c r="J896"/>
      <c r="K896"/>
      <c r="L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</row>
    <row r="897" spans="1:63">
      <c r="A897" s="70"/>
      <c r="B897"/>
      <c r="C897"/>
      <c r="D897"/>
      <c r="E897"/>
      <c r="F897"/>
      <c r="G897"/>
      <c r="H897"/>
      <c r="I897"/>
      <c r="J897"/>
      <c r="K897"/>
      <c r="L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</row>
    <row r="898" spans="1:63">
      <c r="A898" s="70"/>
      <c r="B898"/>
      <c r="C898"/>
      <c r="D898"/>
      <c r="E898"/>
      <c r="F898"/>
      <c r="G898"/>
      <c r="H898"/>
      <c r="I898"/>
      <c r="J898"/>
      <c r="K898"/>
      <c r="L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</row>
    <row r="899" spans="1:63">
      <c r="A899" s="70"/>
      <c r="B899"/>
      <c r="C899"/>
      <c r="D899"/>
      <c r="E899"/>
      <c r="F899"/>
      <c r="G899"/>
      <c r="H899"/>
      <c r="I899"/>
      <c r="J899"/>
      <c r="K899"/>
      <c r="L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</row>
    <row r="900" spans="1:63">
      <c r="A900" s="70"/>
      <c r="B900"/>
      <c r="C900"/>
      <c r="D900"/>
      <c r="E900"/>
      <c r="F900"/>
      <c r="G900"/>
      <c r="H900"/>
      <c r="I900"/>
      <c r="J900"/>
      <c r="K900"/>
      <c r="L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</row>
    <row r="901" spans="1:63">
      <c r="A901" s="70"/>
      <c r="B901"/>
      <c r="C901"/>
      <c r="D901"/>
      <c r="E901"/>
      <c r="F901"/>
      <c r="G901"/>
      <c r="H901"/>
      <c r="I901"/>
      <c r="J901"/>
      <c r="K901"/>
      <c r="L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</row>
    <row r="902" spans="1:63">
      <c r="A902" s="70"/>
      <c r="B902"/>
      <c r="C902"/>
      <c r="D902"/>
      <c r="E902"/>
      <c r="F902"/>
      <c r="G902"/>
      <c r="H902"/>
      <c r="I902"/>
      <c r="J902"/>
      <c r="K902"/>
      <c r="L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</row>
    <row r="903" spans="1:63">
      <c r="A903" s="70"/>
      <c r="B903"/>
      <c r="C903"/>
      <c r="D903"/>
      <c r="E903"/>
      <c r="F903"/>
      <c r="G903"/>
      <c r="H903"/>
      <c r="I903"/>
      <c r="J903"/>
      <c r="K903"/>
      <c r="L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</row>
    <row r="904" spans="1:63">
      <c r="A904" s="70"/>
      <c r="B904"/>
      <c r="C904"/>
      <c r="D904"/>
      <c r="E904"/>
      <c r="F904"/>
      <c r="G904"/>
      <c r="H904"/>
      <c r="I904"/>
      <c r="J904"/>
      <c r="K904"/>
      <c r="L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</row>
    <row r="905" spans="1:63">
      <c r="A905" s="70"/>
      <c r="B905"/>
      <c r="C905"/>
      <c r="D905"/>
      <c r="E905"/>
      <c r="F905"/>
      <c r="G905"/>
      <c r="H905"/>
      <c r="I905"/>
      <c r="J905"/>
      <c r="K905"/>
      <c r="L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</row>
    <row r="906" spans="1:63">
      <c r="A906" s="70"/>
      <c r="B906"/>
      <c r="C906"/>
      <c r="D906"/>
      <c r="E906"/>
      <c r="F906"/>
      <c r="G906"/>
      <c r="H906"/>
      <c r="I906"/>
      <c r="J906"/>
      <c r="K906"/>
      <c r="L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</row>
    <row r="907" spans="1:63">
      <c r="A907" s="70"/>
      <c r="B907"/>
      <c r="C907"/>
      <c r="D907"/>
      <c r="E907"/>
      <c r="F907"/>
      <c r="G907"/>
      <c r="H907"/>
      <c r="I907"/>
      <c r="J907"/>
      <c r="K907"/>
      <c r="L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</row>
    <row r="908" spans="1:63">
      <c r="A908" s="70"/>
      <c r="B908"/>
      <c r="C908"/>
      <c r="D908"/>
      <c r="E908"/>
      <c r="F908"/>
      <c r="G908"/>
      <c r="H908"/>
      <c r="I908"/>
      <c r="J908"/>
      <c r="K908"/>
      <c r="L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</row>
    <row r="909" spans="1:63">
      <c r="A909" s="70"/>
      <c r="B909"/>
      <c r="C909"/>
      <c r="D909"/>
      <c r="E909"/>
      <c r="F909"/>
      <c r="G909"/>
      <c r="H909"/>
      <c r="I909"/>
      <c r="J909"/>
      <c r="K909"/>
      <c r="L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</row>
    <row r="910" spans="1:63">
      <c r="A910" s="70"/>
      <c r="B910"/>
      <c r="C910"/>
      <c r="D910"/>
      <c r="E910"/>
      <c r="F910"/>
      <c r="G910"/>
      <c r="H910"/>
      <c r="I910"/>
      <c r="J910"/>
      <c r="K910"/>
      <c r="L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</row>
    <row r="911" spans="1:63">
      <c r="A911" s="70"/>
      <c r="B911"/>
      <c r="C911"/>
      <c r="D911"/>
      <c r="E911"/>
      <c r="F911"/>
      <c r="G911"/>
      <c r="H911"/>
      <c r="I911"/>
      <c r="J911"/>
      <c r="K911"/>
      <c r="L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</row>
    <row r="912" spans="1:63">
      <c r="A912" s="70"/>
      <c r="B912"/>
      <c r="C912"/>
      <c r="D912"/>
      <c r="E912"/>
      <c r="F912"/>
      <c r="G912"/>
      <c r="H912"/>
      <c r="I912"/>
      <c r="J912"/>
      <c r="K912"/>
      <c r="L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</row>
    <row r="913" spans="1:63">
      <c r="A913" s="70"/>
      <c r="B913"/>
      <c r="C913"/>
      <c r="D913"/>
      <c r="E913"/>
      <c r="F913"/>
      <c r="G913"/>
      <c r="H913"/>
      <c r="I913"/>
      <c r="J913"/>
      <c r="K913"/>
      <c r="L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</row>
    <row r="914" spans="1:63">
      <c r="A914" s="70"/>
      <c r="B914"/>
      <c r="C914"/>
      <c r="D914"/>
      <c r="E914"/>
      <c r="F914"/>
      <c r="G914"/>
      <c r="H914"/>
      <c r="I914"/>
      <c r="J914"/>
      <c r="K914"/>
      <c r="L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</row>
    <row r="915" spans="1:63">
      <c r="A915" s="70"/>
      <c r="B915"/>
      <c r="C915"/>
      <c r="D915"/>
      <c r="E915"/>
      <c r="F915"/>
      <c r="G915"/>
      <c r="H915"/>
      <c r="I915"/>
      <c r="J915"/>
      <c r="K915"/>
      <c r="L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</row>
    <row r="916" spans="1:63">
      <c r="A916" s="70"/>
      <c r="B916"/>
      <c r="C916"/>
      <c r="D916"/>
      <c r="E916"/>
      <c r="F916"/>
      <c r="G916"/>
      <c r="H916"/>
      <c r="I916"/>
      <c r="J916"/>
      <c r="K916"/>
      <c r="L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</row>
    <row r="917" spans="1:63">
      <c r="A917" s="70"/>
      <c r="B917"/>
      <c r="C917"/>
      <c r="D917"/>
      <c r="E917"/>
      <c r="F917"/>
      <c r="G917"/>
      <c r="H917"/>
      <c r="I917"/>
      <c r="J917"/>
      <c r="K917"/>
      <c r="L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</row>
    <row r="918" spans="1:63">
      <c r="A918" s="70"/>
      <c r="B918"/>
      <c r="C918"/>
      <c r="D918"/>
      <c r="E918"/>
      <c r="F918"/>
      <c r="G918"/>
      <c r="H918"/>
      <c r="I918"/>
      <c r="J918"/>
      <c r="K918"/>
      <c r="L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</row>
    <row r="919" spans="1:63">
      <c r="A919" s="70"/>
      <c r="B919"/>
      <c r="C919"/>
      <c r="D919"/>
      <c r="E919"/>
      <c r="F919"/>
      <c r="G919"/>
      <c r="H919"/>
      <c r="I919"/>
      <c r="J919"/>
      <c r="K919"/>
      <c r="L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</row>
    <row r="920" spans="1:63">
      <c r="A920" s="70"/>
      <c r="B920"/>
      <c r="C920"/>
      <c r="D920"/>
      <c r="E920"/>
      <c r="F920"/>
      <c r="G920"/>
      <c r="H920"/>
      <c r="I920"/>
      <c r="J920"/>
      <c r="K920"/>
      <c r="L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</row>
    <row r="921" spans="1:63">
      <c r="A921" s="70"/>
      <c r="B921"/>
      <c r="C921"/>
      <c r="D921"/>
      <c r="E921"/>
      <c r="F921"/>
      <c r="G921"/>
      <c r="H921"/>
      <c r="I921"/>
      <c r="J921"/>
      <c r="K921"/>
      <c r="L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</row>
    <row r="922" spans="1:63">
      <c r="A922" s="70"/>
      <c r="B922"/>
      <c r="C922"/>
      <c r="D922"/>
      <c r="E922"/>
      <c r="F922"/>
      <c r="G922"/>
      <c r="H922"/>
      <c r="I922"/>
      <c r="J922"/>
      <c r="K922"/>
      <c r="L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</row>
    <row r="923" spans="1:63">
      <c r="A923" s="70"/>
      <c r="B923"/>
      <c r="C923"/>
      <c r="D923"/>
      <c r="E923"/>
      <c r="F923"/>
      <c r="G923"/>
      <c r="H923"/>
      <c r="I923"/>
      <c r="J923"/>
      <c r="K923"/>
      <c r="L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</row>
    <row r="924" spans="1:63">
      <c r="A924" s="70"/>
      <c r="B924"/>
      <c r="C924"/>
      <c r="D924"/>
      <c r="E924"/>
      <c r="F924"/>
      <c r="G924"/>
      <c r="H924"/>
      <c r="I924"/>
      <c r="J924"/>
      <c r="K924"/>
      <c r="L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</row>
    <row r="925" spans="1:63">
      <c r="A925" s="70"/>
      <c r="B925"/>
      <c r="C925"/>
      <c r="D925"/>
      <c r="E925"/>
      <c r="F925"/>
      <c r="G925"/>
      <c r="H925"/>
      <c r="I925"/>
      <c r="J925"/>
      <c r="K925"/>
      <c r="L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</row>
    <row r="926" spans="1:63">
      <c r="A926" s="70"/>
      <c r="B926"/>
      <c r="C926"/>
      <c r="D926"/>
      <c r="E926"/>
      <c r="F926"/>
      <c r="G926"/>
      <c r="H926"/>
      <c r="I926"/>
      <c r="J926"/>
      <c r="K926"/>
      <c r="L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</row>
    <row r="927" spans="1:63">
      <c r="A927" s="70"/>
      <c r="B927"/>
      <c r="C927"/>
      <c r="D927"/>
      <c r="E927"/>
      <c r="F927"/>
      <c r="G927"/>
      <c r="H927"/>
      <c r="I927"/>
      <c r="J927"/>
      <c r="K927"/>
      <c r="L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</row>
    <row r="928" spans="1:63">
      <c r="A928" s="70"/>
      <c r="B928"/>
      <c r="C928"/>
      <c r="D928"/>
      <c r="E928"/>
      <c r="F928"/>
      <c r="G928"/>
      <c r="H928"/>
      <c r="I928"/>
      <c r="J928"/>
      <c r="K928"/>
      <c r="L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</row>
    <row r="929" spans="1:63">
      <c r="A929" s="70"/>
      <c r="B929"/>
      <c r="C929"/>
      <c r="D929"/>
      <c r="E929"/>
      <c r="F929"/>
      <c r="G929"/>
      <c r="H929"/>
      <c r="I929"/>
      <c r="J929"/>
      <c r="K929"/>
      <c r="L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</row>
    <row r="930" spans="1:63">
      <c r="A930" s="70"/>
      <c r="B930"/>
      <c r="C930"/>
      <c r="D930"/>
      <c r="E930"/>
      <c r="F930"/>
      <c r="G930"/>
      <c r="H930"/>
      <c r="I930"/>
      <c r="J930"/>
      <c r="K930"/>
      <c r="L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</row>
    <row r="931" spans="1:63">
      <c r="A931" s="70"/>
      <c r="B931"/>
      <c r="C931"/>
      <c r="D931"/>
      <c r="E931"/>
      <c r="F931"/>
      <c r="G931"/>
      <c r="H931"/>
      <c r="I931"/>
      <c r="J931"/>
      <c r="K931"/>
      <c r="L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</row>
    <row r="932" spans="1:63">
      <c r="A932" s="70"/>
      <c r="B932"/>
      <c r="C932"/>
      <c r="D932"/>
      <c r="E932"/>
      <c r="F932"/>
      <c r="G932"/>
      <c r="H932"/>
      <c r="I932"/>
      <c r="J932"/>
      <c r="K932"/>
      <c r="L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</row>
    <row r="933" spans="1:63">
      <c r="A933" s="70"/>
      <c r="B933"/>
      <c r="C933"/>
      <c r="D933"/>
      <c r="E933"/>
      <c r="F933"/>
      <c r="G933"/>
      <c r="H933"/>
      <c r="I933"/>
      <c r="J933"/>
      <c r="K933"/>
      <c r="L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</row>
    <row r="934" spans="1:63">
      <c r="A934" s="70"/>
      <c r="B934"/>
      <c r="C934"/>
      <c r="D934"/>
      <c r="E934"/>
      <c r="F934"/>
      <c r="G934"/>
      <c r="H934"/>
      <c r="I934"/>
      <c r="J934"/>
      <c r="K934"/>
      <c r="L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</row>
    <row r="935" spans="1:63">
      <c r="A935" s="70"/>
      <c r="B935"/>
      <c r="C935"/>
      <c r="D935"/>
      <c r="E935"/>
      <c r="F935"/>
      <c r="G935"/>
      <c r="H935"/>
      <c r="I935"/>
      <c r="J935"/>
      <c r="K935"/>
      <c r="L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</row>
    <row r="936" spans="1:63">
      <c r="A936" s="70"/>
      <c r="B936"/>
      <c r="C936"/>
      <c r="D936"/>
      <c r="E936"/>
      <c r="F936"/>
      <c r="G936"/>
      <c r="H936"/>
      <c r="I936"/>
      <c r="J936"/>
      <c r="K936"/>
      <c r="L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</row>
    <row r="937" spans="1:63">
      <c r="A937" s="70"/>
      <c r="B937"/>
      <c r="C937"/>
      <c r="D937"/>
      <c r="E937"/>
      <c r="F937"/>
      <c r="G937"/>
      <c r="H937"/>
      <c r="I937"/>
      <c r="J937"/>
      <c r="K937"/>
      <c r="L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</row>
    <row r="938" spans="1:63">
      <c r="A938" s="70"/>
      <c r="B938"/>
      <c r="C938"/>
      <c r="D938"/>
      <c r="E938"/>
      <c r="F938"/>
      <c r="G938"/>
      <c r="H938"/>
      <c r="I938"/>
      <c r="J938"/>
      <c r="K938"/>
      <c r="L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</row>
    <row r="939" spans="1:63">
      <c r="A939" s="70"/>
      <c r="B939"/>
      <c r="C939"/>
      <c r="D939"/>
      <c r="E939"/>
      <c r="F939"/>
      <c r="G939"/>
      <c r="H939"/>
      <c r="I939"/>
      <c r="J939"/>
      <c r="K939"/>
      <c r="L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</row>
    <row r="940" spans="1:63">
      <c r="A940" s="70"/>
      <c r="B940"/>
      <c r="C940"/>
      <c r="D940"/>
      <c r="E940"/>
      <c r="F940"/>
      <c r="G940"/>
      <c r="H940"/>
      <c r="I940"/>
      <c r="J940"/>
      <c r="K940"/>
      <c r="L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</row>
    <row r="941" spans="1:63">
      <c r="A941" s="70"/>
      <c r="B941"/>
      <c r="C941"/>
      <c r="D941"/>
      <c r="E941"/>
      <c r="F941"/>
      <c r="G941"/>
      <c r="H941"/>
      <c r="I941"/>
      <c r="J941"/>
      <c r="K941"/>
      <c r="L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</row>
    <row r="942" spans="1:63">
      <c r="A942" s="70"/>
      <c r="B942"/>
      <c r="C942"/>
      <c r="D942"/>
      <c r="E942"/>
      <c r="F942"/>
      <c r="G942"/>
      <c r="H942"/>
      <c r="I942"/>
      <c r="J942"/>
      <c r="K942"/>
      <c r="L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</row>
    <row r="943" spans="1:63">
      <c r="A943" s="70"/>
      <c r="B943"/>
      <c r="C943"/>
      <c r="D943"/>
      <c r="E943"/>
      <c r="F943"/>
      <c r="G943"/>
      <c r="H943"/>
      <c r="I943"/>
      <c r="J943"/>
      <c r="K943"/>
      <c r="L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</row>
    <row r="944" spans="1:63">
      <c r="A944" s="70"/>
      <c r="B944"/>
      <c r="C944"/>
      <c r="D944"/>
      <c r="E944"/>
      <c r="F944"/>
      <c r="G944"/>
      <c r="H944"/>
      <c r="I944"/>
      <c r="J944"/>
      <c r="K944"/>
      <c r="L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</row>
    <row r="945" spans="1:63">
      <c r="A945" s="70"/>
      <c r="B945"/>
      <c r="C945"/>
      <c r="D945"/>
      <c r="E945"/>
      <c r="F945"/>
      <c r="G945"/>
      <c r="H945"/>
      <c r="I945"/>
      <c r="J945"/>
      <c r="K945"/>
      <c r="L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</row>
    <row r="946" spans="1:63">
      <c r="A946" s="70"/>
      <c r="B946"/>
      <c r="C946"/>
      <c r="D946"/>
      <c r="E946"/>
      <c r="F946"/>
      <c r="G946"/>
      <c r="H946"/>
      <c r="I946"/>
      <c r="J946"/>
      <c r="K946"/>
      <c r="L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</row>
    <row r="947" spans="1:63">
      <c r="A947" s="70"/>
      <c r="B947"/>
      <c r="C947"/>
      <c r="D947"/>
      <c r="E947"/>
      <c r="F947"/>
      <c r="G947"/>
      <c r="H947"/>
      <c r="I947"/>
      <c r="J947"/>
      <c r="K947"/>
      <c r="L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</row>
    <row r="948" spans="1:63">
      <c r="A948" s="70"/>
      <c r="B948"/>
      <c r="C948"/>
      <c r="D948"/>
      <c r="E948"/>
      <c r="F948"/>
      <c r="G948"/>
      <c r="H948"/>
      <c r="I948"/>
      <c r="J948"/>
      <c r="K948"/>
      <c r="L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</row>
    <row r="949" spans="1:63">
      <c r="A949" s="70"/>
      <c r="B949"/>
      <c r="C949"/>
      <c r="D949"/>
      <c r="E949"/>
      <c r="F949"/>
      <c r="G949"/>
      <c r="H949"/>
      <c r="I949"/>
      <c r="J949"/>
      <c r="K949"/>
      <c r="L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</row>
    <row r="950" spans="1:63">
      <c r="A950" s="70"/>
      <c r="B950"/>
      <c r="C950"/>
      <c r="D950"/>
      <c r="E950"/>
      <c r="F950"/>
      <c r="G950"/>
      <c r="H950"/>
      <c r="I950"/>
      <c r="J950"/>
      <c r="K950"/>
      <c r="L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</row>
    <row r="951" spans="1:63">
      <c r="A951" s="70"/>
      <c r="B951"/>
      <c r="C951"/>
      <c r="D951"/>
      <c r="E951"/>
      <c r="F951"/>
      <c r="G951"/>
      <c r="H951"/>
      <c r="I951"/>
      <c r="J951"/>
      <c r="K951"/>
      <c r="L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</row>
    <row r="952" spans="1:63">
      <c r="A952" s="70"/>
      <c r="B952"/>
      <c r="C952"/>
      <c r="D952"/>
      <c r="E952"/>
      <c r="F952"/>
      <c r="G952"/>
      <c r="H952"/>
      <c r="I952"/>
      <c r="J952"/>
      <c r="K952"/>
      <c r="L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</row>
    <row r="953" spans="1:63">
      <c r="A953" s="70"/>
      <c r="B953"/>
      <c r="C953"/>
      <c r="D953"/>
      <c r="E953"/>
      <c r="F953"/>
      <c r="G953"/>
      <c r="H953"/>
      <c r="I953"/>
      <c r="J953"/>
      <c r="K953"/>
      <c r="L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</row>
    <row r="954" spans="1:63">
      <c r="A954" s="70"/>
      <c r="B954"/>
      <c r="C954"/>
      <c r="D954"/>
      <c r="E954"/>
      <c r="F954"/>
      <c r="G954"/>
      <c r="H954"/>
      <c r="I954"/>
      <c r="J954"/>
      <c r="K954"/>
      <c r="L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</row>
    <row r="955" spans="1:63">
      <c r="A955" s="70"/>
      <c r="B955"/>
      <c r="C955"/>
      <c r="D955"/>
      <c r="E955"/>
      <c r="F955"/>
      <c r="G955"/>
      <c r="H955"/>
      <c r="I955"/>
      <c r="J955"/>
      <c r="K955"/>
      <c r="L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</row>
    <row r="956" spans="1:63">
      <c r="A956" s="70"/>
      <c r="B956"/>
      <c r="C956"/>
      <c r="D956"/>
      <c r="E956"/>
      <c r="F956"/>
      <c r="G956"/>
      <c r="H956"/>
      <c r="I956"/>
      <c r="J956"/>
      <c r="K956"/>
      <c r="L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</row>
    <row r="957" spans="1:63">
      <c r="A957" s="70"/>
      <c r="B957"/>
      <c r="C957"/>
      <c r="D957"/>
      <c r="E957"/>
      <c r="F957"/>
      <c r="G957"/>
      <c r="H957"/>
      <c r="I957"/>
      <c r="J957"/>
      <c r="K957"/>
      <c r="L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</row>
    <row r="958" spans="1:63">
      <c r="A958" s="70"/>
      <c r="B958"/>
      <c r="C958"/>
      <c r="D958"/>
      <c r="E958"/>
      <c r="F958"/>
      <c r="G958"/>
      <c r="H958"/>
      <c r="I958"/>
      <c r="J958"/>
      <c r="K958"/>
      <c r="L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</row>
    <row r="959" spans="1:63">
      <c r="A959" s="70"/>
      <c r="B959"/>
      <c r="C959"/>
      <c r="D959"/>
      <c r="E959"/>
      <c r="F959"/>
      <c r="G959"/>
      <c r="H959"/>
      <c r="I959"/>
      <c r="J959"/>
      <c r="K959"/>
      <c r="L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</row>
    <row r="960" spans="1:63">
      <c r="A960" s="70"/>
      <c r="B960"/>
      <c r="C960"/>
      <c r="D960"/>
      <c r="E960"/>
      <c r="F960"/>
      <c r="G960"/>
      <c r="H960"/>
      <c r="I960"/>
      <c r="J960"/>
      <c r="K960"/>
      <c r="L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</row>
    <row r="961" spans="1:63">
      <c r="A961" s="70"/>
      <c r="B961"/>
      <c r="C961"/>
      <c r="D961"/>
      <c r="E961"/>
      <c r="F961"/>
      <c r="G961"/>
      <c r="H961"/>
      <c r="I961"/>
      <c r="J961"/>
      <c r="K961"/>
      <c r="L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</row>
    <row r="962" spans="1:63">
      <c r="A962" s="70"/>
      <c r="B962"/>
      <c r="C962"/>
      <c r="D962"/>
      <c r="E962"/>
      <c r="F962"/>
      <c r="G962"/>
      <c r="H962"/>
      <c r="I962"/>
      <c r="J962"/>
      <c r="K962"/>
      <c r="L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</row>
    <row r="963" spans="1:63">
      <c r="A963" s="70"/>
      <c r="B963"/>
      <c r="C963"/>
      <c r="D963"/>
      <c r="E963"/>
      <c r="F963"/>
      <c r="G963"/>
      <c r="H963"/>
      <c r="I963"/>
      <c r="J963"/>
      <c r="K963"/>
      <c r="L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</row>
    <row r="964" spans="1:63">
      <c r="A964" s="70"/>
      <c r="B964"/>
      <c r="C964"/>
      <c r="D964"/>
      <c r="E964"/>
      <c r="F964"/>
      <c r="G964"/>
      <c r="H964"/>
      <c r="I964"/>
      <c r="J964"/>
      <c r="K964"/>
      <c r="L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</row>
    <row r="965" spans="1:63">
      <c r="A965" s="70"/>
      <c r="B965"/>
      <c r="C965"/>
      <c r="D965"/>
      <c r="E965"/>
      <c r="F965"/>
      <c r="G965"/>
      <c r="H965"/>
      <c r="I965"/>
      <c r="J965"/>
      <c r="K965"/>
      <c r="L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</row>
    <row r="966" spans="1:63">
      <c r="A966" s="70"/>
      <c r="B966"/>
      <c r="C966"/>
      <c r="D966"/>
      <c r="E966"/>
      <c r="F966"/>
      <c r="G966"/>
      <c r="H966"/>
      <c r="I966"/>
      <c r="J966"/>
      <c r="K966"/>
      <c r="L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</row>
    <row r="967" spans="1:63">
      <c r="A967" s="70"/>
      <c r="B967"/>
      <c r="C967"/>
      <c r="D967"/>
      <c r="E967"/>
      <c r="F967"/>
      <c r="G967"/>
      <c r="H967"/>
      <c r="I967"/>
      <c r="J967"/>
      <c r="K967"/>
      <c r="L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</row>
    <row r="968" spans="1:63">
      <c r="A968" s="70"/>
      <c r="B968"/>
      <c r="C968"/>
      <c r="D968"/>
      <c r="E968"/>
      <c r="F968"/>
      <c r="G968"/>
      <c r="H968"/>
      <c r="I968"/>
      <c r="J968"/>
      <c r="K968"/>
      <c r="L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</row>
    <row r="969" spans="1:63">
      <c r="A969" s="70"/>
      <c r="B969"/>
      <c r="C969"/>
      <c r="D969"/>
      <c r="E969"/>
      <c r="F969"/>
      <c r="G969"/>
      <c r="H969"/>
      <c r="I969"/>
      <c r="J969"/>
      <c r="K969"/>
      <c r="L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</row>
    <row r="970" spans="1:63">
      <c r="A970" s="70"/>
      <c r="B970"/>
      <c r="C970"/>
      <c r="D970"/>
      <c r="E970"/>
      <c r="F970"/>
      <c r="G970"/>
      <c r="H970"/>
      <c r="I970"/>
      <c r="J970"/>
      <c r="K970"/>
      <c r="L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</row>
    <row r="971" spans="1:63">
      <c r="A971" s="70"/>
      <c r="B971"/>
      <c r="C971"/>
      <c r="D971"/>
      <c r="E971"/>
      <c r="F971"/>
      <c r="G971"/>
      <c r="H971"/>
      <c r="I971"/>
      <c r="J971"/>
      <c r="K971"/>
      <c r="L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</row>
    <row r="972" spans="1:63">
      <c r="A972" s="70"/>
      <c r="B972"/>
      <c r="C972"/>
      <c r="D972"/>
      <c r="E972"/>
      <c r="F972"/>
      <c r="G972"/>
      <c r="H972"/>
      <c r="I972"/>
      <c r="J972"/>
      <c r="K972"/>
      <c r="L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</row>
    <row r="973" spans="1:63">
      <c r="A973" s="70"/>
      <c r="B973"/>
      <c r="C973"/>
      <c r="D973"/>
      <c r="E973"/>
      <c r="F973"/>
      <c r="G973"/>
      <c r="H973"/>
      <c r="I973"/>
      <c r="J973"/>
      <c r="K973"/>
      <c r="L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</row>
    <row r="974" spans="1:63">
      <c r="A974" s="70"/>
      <c r="B974"/>
      <c r="C974"/>
      <c r="D974"/>
      <c r="E974"/>
      <c r="F974"/>
      <c r="G974"/>
      <c r="H974"/>
      <c r="I974"/>
      <c r="J974"/>
      <c r="K974"/>
      <c r="L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</row>
    <row r="975" spans="1:63">
      <c r="A975" s="70"/>
      <c r="B975"/>
      <c r="C975"/>
      <c r="D975"/>
      <c r="E975"/>
      <c r="F975"/>
      <c r="G975"/>
      <c r="H975"/>
      <c r="I975"/>
      <c r="J975"/>
      <c r="K975"/>
      <c r="L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</row>
    <row r="976" spans="1:63">
      <c r="A976" s="70"/>
      <c r="B976"/>
      <c r="C976"/>
      <c r="D976"/>
      <c r="E976"/>
      <c r="F976"/>
      <c r="G976"/>
      <c r="H976"/>
      <c r="I976"/>
      <c r="J976"/>
      <c r="K976"/>
      <c r="L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</row>
    <row r="977" spans="1:63">
      <c r="A977" s="70"/>
      <c r="B977"/>
      <c r="C977"/>
      <c r="D977"/>
      <c r="E977"/>
      <c r="F977"/>
      <c r="G977"/>
      <c r="H977"/>
      <c r="I977"/>
      <c r="J977"/>
      <c r="K977"/>
      <c r="L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</row>
    <row r="978" spans="1:63">
      <c r="A978" s="70"/>
      <c r="B978"/>
      <c r="C978"/>
      <c r="D978"/>
      <c r="E978"/>
      <c r="F978"/>
      <c r="G978"/>
      <c r="H978"/>
      <c r="I978"/>
      <c r="J978"/>
      <c r="K978"/>
      <c r="L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</row>
    <row r="979" spans="1:63">
      <c r="A979" s="70"/>
      <c r="B979"/>
      <c r="C979"/>
      <c r="D979"/>
      <c r="E979"/>
      <c r="F979"/>
      <c r="G979"/>
      <c r="H979"/>
      <c r="I979"/>
      <c r="J979"/>
      <c r="K979"/>
      <c r="L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</row>
    <row r="980" spans="1:63">
      <c r="A980" s="70"/>
      <c r="B980"/>
      <c r="C980"/>
      <c r="D980"/>
      <c r="E980"/>
      <c r="F980"/>
      <c r="G980"/>
      <c r="H980"/>
      <c r="I980"/>
      <c r="J980"/>
      <c r="K980"/>
      <c r="L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</row>
    <row r="981" spans="1:63">
      <c r="A981" s="70"/>
      <c r="B981"/>
      <c r="C981"/>
      <c r="D981"/>
      <c r="E981"/>
      <c r="F981"/>
      <c r="G981"/>
      <c r="H981"/>
      <c r="I981"/>
      <c r="J981"/>
      <c r="K981"/>
      <c r="L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</row>
    <row r="982" spans="1:63">
      <c r="A982" s="70"/>
      <c r="B982"/>
      <c r="C982"/>
      <c r="D982"/>
      <c r="E982"/>
      <c r="F982"/>
      <c r="G982"/>
      <c r="H982"/>
      <c r="I982"/>
      <c r="J982"/>
      <c r="K982"/>
      <c r="L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</row>
    <row r="983" spans="1:63">
      <c r="A983" s="70"/>
      <c r="B983"/>
      <c r="C983"/>
      <c r="D983"/>
      <c r="E983"/>
      <c r="F983"/>
      <c r="G983"/>
      <c r="H983"/>
      <c r="I983"/>
      <c r="J983"/>
      <c r="K983"/>
      <c r="L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</row>
    <row r="984" spans="1:63">
      <c r="A984" s="70"/>
      <c r="B984"/>
      <c r="C984"/>
      <c r="D984"/>
      <c r="E984"/>
      <c r="F984"/>
      <c r="G984"/>
      <c r="H984"/>
      <c r="I984"/>
      <c r="J984"/>
      <c r="K984"/>
      <c r="L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</row>
    <row r="985" spans="1:63">
      <c r="A985" s="70"/>
      <c r="B985"/>
      <c r="C985"/>
      <c r="D985"/>
      <c r="E985"/>
      <c r="F985"/>
      <c r="G985"/>
      <c r="H985"/>
      <c r="I985"/>
      <c r="J985"/>
      <c r="K985"/>
      <c r="L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</row>
    <row r="986" spans="1:63">
      <c r="A986" s="70"/>
      <c r="B986"/>
      <c r="C986"/>
      <c r="D986"/>
      <c r="E986"/>
      <c r="F986"/>
      <c r="G986"/>
      <c r="H986"/>
      <c r="I986"/>
      <c r="J986"/>
      <c r="K986"/>
      <c r="L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</row>
    <row r="987" spans="1:63">
      <c r="A987" s="70"/>
      <c r="B987"/>
      <c r="C987"/>
      <c r="D987"/>
      <c r="E987"/>
      <c r="F987"/>
      <c r="G987"/>
      <c r="H987"/>
      <c r="I987"/>
      <c r="J987"/>
      <c r="K987"/>
      <c r="L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</row>
    <row r="988" spans="1:63">
      <c r="A988" s="70"/>
      <c r="B988"/>
      <c r="C988"/>
      <c r="D988"/>
      <c r="E988"/>
      <c r="F988"/>
      <c r="G988"/>
      <c r="H988"/>
      <c r="I988"/>
      <c r="J988"/>
      <c r="K988"/>
      <c r="L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</row>
    <row r="989" spans="1:63">
      <c r="A989" s="70"/>
      <c r="B989"/>
      <c r="C989"/>
      <c r="D989"/>
      <c r="E989"/>
      <c r="F989"/>
      <c r="G989"/>
      <c r="H989"/>
      <c r="I989"/>
      <c r="J989"/>
      <c r="K989"/>
      <c r="L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</row>
    <row r="990" spans="1:63">
      <c r="A990" s="70"/>
      <c r="B990"/>
      <c r="C990"/>
      <c r="D990"/>
      <c r="E990"/>
      <c r="F990"/>
      <c r="G990"/>
      <c r="H990"/>
      <c r="I990"/>
      <c r="J990"/>
      <c r="K990"/>
      <c r="L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</row>
    <row r="991" spans="1:63">
      <c r="A991" s="70"/>
      <c r="B991"/>
      <c r="C991"/>
      <c r="D991"/>
      <c r="E991"/>
      <c r="F991"/>
      <c r="G991"/>
      <c r="H991"/>
      <c r="I991"/>
      <c r="J991"/>
      <c r="K991"/>
      <c r="L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</row>
    <row r="992" spans="1:63">
      <c r="A992" s="70"/>
      <c r="B992"/>
      <c r="C992"/>
      <c r="D992"/>
      <c r="E992"/>
      <c r="F992"/>
      <c r="G992"/>
      <c r="H992"/>
      <c r="I992"/>
      <c r="J992"/>
      <c r="K992"/>
      <c r="L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</row>
    <row r="993" spans="1:63">
      <c r="A993" s="70"/>
      <c r="B993"/>
      <c r="C993"/>
      <c r="D993"/>
      <c r="E993"/>
      <c r="F993"/>
      <c r="G993"/>
      <c r="H993"/>
      <c r="I993"/>
      <c r="J993"/>
      <c r="K993"/>
      <c r="L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</row>
    <row r="994" spans="1:63">
      <c r="A994" s="70"/>
      <c r="B994"/>
      <c r="C994"/>
      <c r="D994"/>
      <c r="E994"/>
      <c r="F994"/>
      <c r="G994"/>
      <c r="H994"/>
      <c r="I994"/>
      <c r="J994"/>
      <c r="K994"/>
      <c r="L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</row>
    <row r="995" spans="1:63">
      <c r="A995" s="70"/>
      <c r="B995"/>
      <c r="C995"/>
      <c r="D995"/>
      <c r="E995"/>
      <c r="F995"/>
      <c r="G995"/>
      <c r="H995"/>
      <c r="I995"/>
      <c r="J995"/>
      <c r="K995"/>
      <c r="L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</row>
    <row r="996" spans="1:63">
      <c r="A996" s="70"/>
      <c r="B996"/>
      <c r="C996"/>
      <c r="D996"/>
      <c r="E996"/>
      <c r="F996"/>
      <c r="G996"/>
      <c r="H996"/>
      <c r="I996"/>
      <c r="J996"/>
      <c r="K996"/>
      <c r="L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</row>
    <row r="997" spans="1:63">
      <c r="A997" s="70"/>
      <c r="B997"/>
      <c r="C997"/>
      <c r="D997"/>
      <c r="E997"/>
      <c r="F997"/>
      <c r="G997"/>
      <c r="H997"/>
      <c r="I997"/>
      <c r="J997"/>
      <c r="K997"/>
      <c r="L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</row>
    <row r="998" spans="1:63">
      <c r="A998" s="70"/>
      <c r="B998"/>
      <c r="C998"/>
      <c r="D998"/>
      <c r="E998"/>
      <c r="F998"/>
      <c r="G998"/>
      <c r="H998"/>
      <c r="I998"/>
      <c r="J998"/>
      <c r="K998"/>
      <c r="L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</row>
    <row r="999" spans="1:63">
      <c r="A999" s="70"/>
      <c r="B999"/>
      <c r="C999"/>
      <c r="D999"/>
      <c r="E999"/>
      <c r="F999"/>
      <c r="G999"/>
      <c r="H999"/>
      <c r="I999"/>
      <c r="J999"/>
      <c r="K999"/>
      <c r="L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</row>
    <row r="1000" spans="1:63">
      <c r="A1000" s="70"/>
      <c r="B1000"/>
      <c r="C1000"/>
      <c r="D1000"/>
      <c r="E1000"/>
      <c r="F1000"/>
      <c r="G1000"/>
      <c r="H1000"/>
      <c r="I1000"/>
      <c r="J1000"/>
      <c r="K1000"/>
      <c r="L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</row>
    <row r="1001" spans="1:63">
      <c r="A1001" s="70"/>
      <c r="B1001"/>
      <c r="C1001"/>
      <c r="D1001"/>
      <c r="E1001"/>
      <c r="F1001"/>
      <c r="G1001"/>
      <c r="H1001"/>
      <c r="I1001"/>
      <c r="J1001"/>
      <c r="K1001"/>
      <c r="L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</row>
    <row r="1002" spans="1:63">
      <c r="A1002" s="70"/>
      <c r="B1002"/>
      <c r="C1002"/>
      <c r="D1002"/>
      <c r="E1002"/>
      <c r="F1002"/>
      <c r="G1002"/>
      <c r="H1002"/>
      <c r="I1002"/>
      <c r="J1002"/>
      <c r="K1002"/>
      <c r="L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</row>
    <row r="1003" spans="1:63">
      <c r="A1003" s="70"/>
      <c r="B1003"/>
      <c r="C1003"/>
      <c r="D1003"/>
      <c r="E1003"/>
      <c r="F1003"/>
      <c r="G1003"/>
      <c r="H1003"/>
      <c r="I1003"/>
      <c r="J1003"/>
      <c r="K1003"/>
      <c r="L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</row>
    <row r="1004" spans="1:63">
      <c r="A1004" s="70"/>
      <c r="B1004"/>
      <c r="C1004"/>
      <c r="D1004"/>
      <c r="E1004"/>
      <c r="F1004"/>
      <c r="G1004"/>
      <c r="H1004"/>
      <c r="I1004"/>
      <c r="J1004"/>
      <c r="K1004"/>
      <c r="L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</row>
    <row r="1005" spans="1:63">
      <c r="A1005" s="70"/>
      <c r="B1005"/>
      <c r="C1005"/>
      <c r="D1005"/>
      <c r="E1005"/>
      <c r="F1005"/>
      <c r="G1005"/>
      <c r="H1005"/>
      <c r="I1005"/>
      <c r="J1005"/>
      <c r="K1005"/>
      <c r="L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</row>
    <row r="1006" spans="1:63">
      <c r="A1006" s="70"/>
      <c r="B1006"/>
      <c r="C1006"/>
      <c r="D1006"/>
      <c r="E1006"/>
      <c r="F1006"/>
      <c r="G1006"/>
      <c r="H1006"/>
      <c r="I1006"/>
      <c r="J1006"/>
      <c r="K1006"/>
      <c r="L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</row>
    <row r="1007" spans="1:63">
      <c r="A1007" s="70"/>
      <c r="B1007"/>
      <c r="C1007"/>
      <c r="D1007"/>
      <c r="E1007"/>
      <c r="F1007"/>
      <c r="G1007"/>
      <c r="H1007"/>
      <c r="I1007"/>
      <c r="J1007"/>
      <c r="K1007"/>
      <c r="L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</row>
    <row r="1008" spans="1:63">
      <c r="A1008" s="70"/>
      <c r="B1008"/>
      <c r="C1008"/>
      <c r="D1008"/>
      <c r="E1008"/>
      <c r="F1008"/>
      <c r="G1008"/>
      <c r="H1008"/>
      <c r="I1008"/>
      <c r="J1008"/>
      <c r="K1008"/>
      <c r="L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</row>
    <row r="1009" spans="1:63">
      <c r="A1009" s="70"/>
      <c r="B1009"/>
      <c r="C1009"/>
      <c r="D1009"/>
      <c r="E1009"/>
      <c r="F1009"/>
      <c r="G1009"/>
      <c r="H1009"/>
      <c r="I1009"/>
      <c r="J1009"/>
      <c r="K1009"/>
      <c r="L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</row>
    <row r="1010" spans="1:63">
      <c r="A1010" s="70"/>
      <c r="B1010"/>
      <c r="C1010"/>
      <c r="D1010"/>
      <c r="E1010"/>
      <c r="F1010"/>
      <c r="G1010"/>
      <c r="H1010"/>
      <c r="I1010"/>
      <c r="J1010"/>
      <c r="K1010"/>
      <c r="L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</row>
    <row r="1011" spans="1:63">
      <c r="A1011" s="70"/>
      <c r="B1011"/>
      <c r="C1011"/>
      <c r="D1011"/>
      <c r="E1011"/>
      <c r="F1011"/>
      <c r="G1011"/>
      <c r="H1011"/>
      <c r="I1011"/>
      <c r="J1011"/>
      <c r="K1011"/>
      <c r="L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</row>
    <row r="1012" spans="1:63">
      <c r="A1012" s="70"/>
      <c r="B1012"/>
      <c r="C1012"/>
      <c r="D1012"/>
      <c r="E1012"/>
      <c r="F1012"/>
      <c r="G1012"/>
      <c r="H1012"/>
      <c r="I1012"/>
      <c r="J1012"/>
      <c r="K1012"/>
      <c r="L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</row>
    <row r="1013" spans="1:63">
      <c r="A1013" s="70"/>
      <c r="B1013"/>
      <c r="C1013"/>
      <c r="D1013"/>
      <c r="E1013"/>
      <c r="F1013"/>
      <c r="G1013"/>
      <c r="H1013"/>
      <c r="I1013"/>
      <c r="J1013"/>
      <c r="K1013"/>
      <c r="L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</row>
    <row r="1014" spans="1:63">
      <c r="A1014" s="70"/>
      <c r="B1014"/>
      <c r="C1014"/>
      <c r="D1014"/>
      <c r="E1014"/>
      <c r="F1014"/>
      <c r="G1014"/>
      <c r="H1014"/>
      <c r="I1014"/>
      <c r="J1014"/>
      <c r="K1014"/>
      <c r="L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</row>
    <row r="1015" spans="1:63">
      <c r="A1015" s="70"/>
      <c r="B1015"/>
      <c r="C1015"/>
      <c r="D1015"/>
      <c r="E1015"/>
      <c r="F1015"/>
      <c r="G1015"/>
      <c r="H1015"/>
      <c r="I1015"/>
      <c r="J1015"/>
      <c r="K1015"/>
      <c r="L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</row>
    <row r="1016" spans="1:63">
      <c r="A1016" s="70"/>
      <c r="B1016"/>
      <c r="C1016"/>
      <c r="D1016"/>
      <c r="E1016"/>
      <c r="F1016"/>
      <c r="G1016"/>
      <c r="H1016"/>
      <c r="I1016"/>
      <c r="J1016"/>
      <c r="K1016"/>
      <c r="L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</row>
    <row r="1017" spans="1:63">
      <c r="A1017" s="70"/>
      <c r="B1017"/>
      <c r="C1017"/>
      <c r="D1017"/>
      <c r="E1017"/>
      <c r="F1017"/>
      <c r="G1017"/>
      <c r="H1017"/>
      <c r="I1017"/>
      <c r="J1017"/>
      <c r="K1017"/>
      <c r="L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</row>
    <row r="1018" spans="1:63">
      <c r="A1018" s="70"/>
      <c r="B1018"/>
      <c r="C1018"/>
      <c r="D1018"/>
      <c r="E1018"/>
      <c r="F1018"/>
      <c r="G1018"/>
      <c r="H1018"/>
      <c r="I1018"/>
      <c r="J1018"/>
      <c r="K1018"/>
      <c r="L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</row>
    <row r="1019" spans="1:63">
      <c r="A1019" s="70"/>
      <c r="B1019"/>
      <c r="C1019"/>
      <c r="D1019"/>
      <c r="E1019"/>
      <c r="F1019"/>
      <c r="G1019"/>
      <c r="H1019"/>
      <c r="I1019"/>
      <c r="J1019"/>
      <c r="K1019"/>
      <c r="L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</row>
    <row r="1020" spans="1:63">
      <c r="A1020" s="70"/>
      <c r="B1020"/>
      <c r="C1020"/>
      <c r="D1020"/>
      <c r="E1020"/>
      <c r="F1020"/>
      <c r="G1020"/>
      <c r="H1020"/>
      <c r="I1020"/>
      <c r="J1020"/>
      <c r="K1020"/>
      <c r="L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</row>
    <row r="1021" spans="1:63">
      <c r="A1021" s="70"/>
      <c r="B1021"/>
      <c r="C1021"/>
      <c r="D1021"/>
      <c r="E1021"/>
      <c r="F1021"/>
      <c r="G1021"/>
      <c r="H1021"/>
      <c r="I1021"/>
      <c r="J1021"/>
      <c r="K1021"/>
      <c r="L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</row>
    <row r="1022" spans="1:63">
      <c r="A1022" s="70"/>
      <c r="B1022"/>
      <c r="C1022"/>
      <c r="D1022"/>
      <c r="E1022"/>
      <c r="F1022"/>
      <c r="G1022"/>
      <c r="H1022"/>
      <c r="I1022"/>
      <c r="J1022"/>
      <c r="K1022"/>
      <c r="L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</row>
    <row r="1023" spans="1:63">
      <c r="A1023" s="70"/>
      <c r="B1023"/>
      <c r="C1023"/>
      <c r="D1023"/>
      <c r="E1023"/>
      <c r="F1023"/>
      <c r="G1023"/>
      <c r="H1023"/>
      <c r="I1023"/>
      <c r="J1023"/>
      <c r="K1023"/>
      <c r="L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</row>
    <row r="1024" spans="1:63">
      <c r="A1024" s="70"/>
      <c r="B1024"/>
      <c r="C1024"/>
      <c r="D1024"/>
      <c r="E1024"/>
      <c r="F1024"/>
      <c r="G1024"/>
      <c r="H1024"/>
      <c r="I1024"/>
      <c r="J1024"/>
      <c r="K1024"/>
      <c r="L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</row>
    <row r="1025" spans="1:63">
      <c r="A1025" s="70"/>
      <c r="B1025"/>
      <c r="C1025"/>
      <c r="D1025"/>
      <c r="E1025"/>
      <c r="F1025"/>
      <c r="G1025"/>
      <c r="H1025"/>
      <c r="I1025"/>
      <c r="J1025"/>
      <c r="K1025"/>
      <c r="L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</row>
    <row r="1026" spans="1:63">
      <c r="A1026" s="70"/>
      <c r="B1026"/>
      <c r="C1026"/>
      <c r="D1026"/>
      <c r="E1026"/>
      <c r="F1026"/>
      <c r="G1026"/>
      <c r="H1026"/>
      <c r="I1026"/>
      <c r="J1026"/>
      <c r="K1026"/>
      <c r="L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</row>
    <row r="1027" spans="1:63">
      <c r="A1027" s="70"/>
      <c r="B1027"/>
      <c r="C1027"/>
      <c r="D1027"/>
      <c r="E1027"/>
      <c r="F1027"/>
      <c r="G1027"/>
      <c r="H1027"/>
      <c r="I1027"/>
      <c r="J1027"/>
      <c r="K1027"/>
      <c r="L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</row>
    <row r="1028" spans="1:63">
      <c r="A1028" s="70"/>
      <c r="B1028"/>
      <c r="C1028"/>
      <c r="D1028"/>
      <c r="E1028"/>
      <c r="F1028"/>
      <c r="G1028"/>
      <c r="H1028"/>
      <c r="I1028"/>
      <c r="J1028"/>
      <c r="K1028"/>
      <c r="L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</row>
    <row r="1029" spans="1:63">
      <c r="A1029" s="70"/>
      <c r="B1029"/>
      <c r="C1029"/>
      <c r="D1029"/>
      <c r="E1029"/>
      <c r="F1029"/>
      <c r="G1029"/>
      <c r="H1029"/>
      <c r="I1029"/>
      <c r="J1029"/>
      <c r="K1029"/>
      <c r="L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</row>
    <row r="1030" spans="1:63">
      <c r="A1030" s="70"/>
      <c r="B1030"/>
      <c r="C1030"/>
      <c r="D1030"/>
      <c r="E1030"/>
      <c r="F1030"/>
      <c r="G1030"/>
      <c r="H1030"/>
      <c r="I1030"/>
      <c r="J1030"/>
      <c r="K1030"/>
      <c r="L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</row>
    <row r="1031" spans="1:63">
      <c r="A1031" s="70"/>
      <c r="B1031"/>
      <c r="C1031"/>
      <c r="D1031"/>
      <c r="E1031"/>
      <c r="F1031"/>
      <c r="G1031"/>
      <c r="H1031"/>
      <c r="I1031"/>
      <c r="J1031"/>
      <c r="K1031"/>
      <c r="L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</row>
    <row r="1032" spans="1:63">
      <c r="A1032" s="70"/>
      <c r="B1032"/>
      <c r="C1032"/>
      <c r="D1032"/>
      <c r="E1032"/>
      <c r="F1032"/>
      <c r="G1032"/>
      <c r="H1032"/>
      <c r="I1032"/>
      <c r="J1032"/>
      <c r="K1032"/>
      <c r="L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</row>
    <row r="1033" spans="1:63">
      <c r="A1033" s="70"/>
      <c r="B1033"/>
      <c r="C1033"/>
      <c r="D1033"/>
      <c r="E1033"/>
      <c r="F1033"/>
      <c r="G1033"/>
      <c r="H1033"/>
      <c r="I1033"/>
      <c r="J1033"/>
      <c r="K1033"/>
      <c r="L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</row>
    <row r="1034" spans="1:63">
      <c r="A1034" s="70"/>
      <c r="B1034"/>
      <c r="C1034"/>
      <c r="D1034"/>
      <c r="E1034"/>
      <c r="F1034"/>
      <c r="G1034"/>
      <c r="H1034"/>
      <c r="I1034"/>
      <c r="J1034"/>
      <c r="K1034"/>
      <c r="L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</row>
    <row r="1035" spans="1:63">
      <c r="A1035" s="70"/>
      <c r="B1035"/>
      <c r="C1035"/>
      <c r="D1035"/>
      <c r="E1035"/>
      <c r="F1035"/>
      <c r="G1035"/>
      <c r="H1035"/>
      <c r="I1035"/>
      <c r="J1035"/>
      <c r="K1035"/>
      <c r="L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</row>
    <row r="1036" spans="1:63">
      <c r="A1036" s="70"/>
      <c r="B1036"/>
      <c r="C1036"/>
      <c r="D1036"/>
      <c r="E1036"/>
      <c r="F1036"/>
      <c r="G1036"/>
      <c r="H1036"/>
      <c r="I1036"/>
      <c r="J1036"/>
      <c r="K1036"/>
      <c r="L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</row>
    <row r="1037" spans="1:63">
      <c r="A1037" s="70"/>
      <c r="B1037"/>
      <c r="C1037"/>
      <c r="D1037"/>
      <c r="E1037"/>
      <c r="F1037"/>
      <c r="G1037"/>
      <c r="H1037"/>
      <c r="I1037"/>
      <c r="J1037"/>
      <c r="K1037"/>
      <c r="L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</row>
    <row r="1038" spans="1:63">
      <c r="A1038" s="70"/>
      <c r="B1038"/>
      <c r="C1038"/>
      <c r="D1038"/>
      <c r="E1038"/>
      <c r="F1038"/>
      <c r="G1038"/>
      <c r="H1038"/>
      <c r="I1038"/>
      <c r="J1038"/>
      <c r="K1038"/>
      <c r="L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</row>
    <row r="1039" spans="1:63">
      <c r="A1039" s="70"/>
      <c r="B1039"/>
      <c r="C1039"/>
      <c r="D1039"/>
      <c r="E1039"/>
      <c r="F1039"/>
      <c r="G1039"/>
      <c r="H1039"/>
      <c r="I1039"/>
      <c r="J1039"/>
      <c r="K1039"/>
      <c r="L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</row>
    <row r="1040" spans="1:63">
      <c r="A1040" s="70"/>
      <c r="B1040"/>
      <c r="C1040"/>
      <c r="D1040"/>
      <c r="E1040"/>
      <c r="F1040"/>
      <c r="G1040"/>
      <c r="H1040"/>
      <c r="I1040"/>
      <c r="J1040"/>
      <c r="K1040"/>
      <c r="L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</row>
    <row r="1041" spans="1:63">
      <c r="A1041" s="70"/>
      <c r="B1041"/>
      <c r="C1041"/>
      <c r="D1041"/>
      <c r="E1041"/>
      <c r="F1041"/>
      <c r="G1041"/>
      <c r="H1041"/>
      <c r="I1041"/>
      <c r="J1041"/>
      <c r="K1041"/>
      <c r="L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</row>
    <row r="1042" spans="1:63">
      <c r="A1042" s="70"/>
      <c r="B1042"/>
      <c r="C1042"/>
      <c r="D1042"/>
      <c r="E1042"/>
      <c r="F1042"/>
      <c r="G1042"/>
      <c r="H1042"/>
      <c r="I1042"/>
      <c r="J1042"/>
      <c r="K1042"/>
      <c r="L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</row>
    <row r="1043" spans="1:63">
      <c r="A1043" s="70"/>
      <c r="B1043"/>
      <c r="C1043"/>
      <c r="D1043"/>
      <c r="E1043"/>
      <c r="F1043"/>
      <c r="G1043"/>
      <c r="H1043"/>
      <c r="I1043"/>
      <c r="J1043"/>
      <c r="K1043"/>
      <c r="L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</row>
    <row r="1044" spans="1:63">
      <c r="A1044" s="70"/>
      <c r="B1044"/>
      <c r="C1044"/>
      <c r="D1044"/>
      <c r="E1044"/>
      <c r="F1044"/>
      <c r="G1044"/>
      <c r="H1044"/>
      <c r="I1044"/>
      <c r="J1044"/>
      <c r="K1044"/>
      <c r="L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</row>
    <row r="1045" spans="1:63">
      <c r="A1045" s="70"/>
      <c r="B1045"/>
      <c r="C1045"/>
      <c r="D1045"/>
      <c r="E1045"/>
      <c r="F1045"/>
      <c r="G1045"/>
      <c r="H1045"/>
      <c r="I1045"/>
      <c r="J1045"/>
      <c r="K1045"/>
      <c r="L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</row>
    <row r="1046" spans="1:63">
      <c r="A1046" s="70"/>
      <c r="B1046"/>
      <c r="C1046"/>
      <c r="D1046"/>
      <c r="E1046"/>
      <c r="F1046"/>
      <c r="G1046"/>
      <c r="H1046"/>
      <c r="I1046"/>
      <c r="J1046"/>
      <c r="K1046"/>
      <c r="L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</row>
    <row r="1047" spans="1:63">
      <c r="A1047" s="70"/>
      <c r="B1047"/>
      <c r="C1047"/>
      <c r="D1047"/>
      <c r="E1047"/>
      <c r="F1047"/>
      <c r="G1047"/>
      <c r="H1047"/>
      <c r="I1047"/>
      <c r="J1047"/>
      <c r="K1047"/>
      <c r="L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</row>
    <row r="1048" spans="1:63">
      <c r="A1048" s="70"/>
      <c r="B1048"/>
      <c r="C1048"/>
      <c r="D1048"/>
      <c r="E1048"/>
      <c r="F1048"/>
      <c r="G1048"/>
      <c r="H1048"/>
      <c r="I1048"/>
      <c r="J1048"/>
      <c r="K1048"/>
      <c r="L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</row>
    <row r="1049" spans="1:63">
      <c r="A1049" s="70"/>
      <c r="B1049"/>
      <c r="C1049"/>
      <c r="D1049"/>
      <c r="E1049"/>
      <c r="F1049"/>
      <c r="G1049"/>
      <c r="H1049"/>
      <c r="I1049"/>
      <c r="J1049"/>
      <c r="K1049"/>
      <c r="L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</row>
    <row r="1050" spans="1:63">
      <c r="A1050" s="70"/>
      <c r="B1050"/>
      <c r="C1050"/>
      <c r="D1050"/>
      <c r="E1050"/>
      <c r="F1050"/>
      <c r="G1050"/>
      <c r="H1050"/>
      <c r="I1050"/>
      <c r="J1050"/>
      <c r="K1050"/>
      <c r="L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</row>
    <row r="1051" spans="1:63">
      <c r="A1051" s="70"/>
      <c r="B1051"/>
      <c r="C1051"/>
      <c r="D1051"/>
      <c r="E1051"/>
      <c r="F1051"/>
      <c r="G1051"/>
      <c r="H1051"/>
      <c r="I1051"/>
      <c r="J1051"/>
      <c r="K1051"/>
      <c r="L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</row>
    <row r="1052" spans="1:63">
      <c r="A1052" s="70"/>
      <c r="B1052"/>
      <c r="C1052"/>
      <c r="D1052"/>
      <c r="E1052"/>
      <c r="F1052"/>
      <c r="G1052"/>
      <c r="H1052"/>
      <c r="I1052"/>
      <c r="J1052"/>
      <c r="K1052"/>
      <c r="L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</row>
    <row r="1053" spans="1:63">
      <c r="A1053" s="70"/>
      <c r="B1053"/>
      <c r="C1053"/>
      <c r="D1053"/>
      <c r="E1053"/>
      <c r="F1053"/>
      <c r="G1053"/>
      <c r="H1053"/>
      <c r="I1053"/>
      <c r="J1053"/>
      <c r="K1053"/>
      <c r="L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</row>
    <row r="1054" spans="1:63">
      <c r="A1054" s="70"/>
      <c r="B1054"/>
      <c r="C1054"/>
      <c r="D1054"/>
      <c r="E1054"/>
      <c r="F1054"/>
      <c r="G1054"/>
      <c r="H1054"/>
      <c r="I1054"/>
      <c r="J1054"/>
      <c r="K1054"/>
      <c r="L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</row>
  </sheetData>
  <mergeCells count="5">
    <mergeCell ref="A1:G1"/>
    <mergeCell ref="H1:U1"/>
    <mergeCell ref="V1:AN1"/>
    <mergeCell ref="AO1:AX1"/>
    <mergeCell ref="AY1:BK1"/>
  </mergeCells>
  <phoneticPr fontId="29" type="noConversion"/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opLeftCell="C1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92" t="s">
        <v>69</v>
      </c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J1" s="87" t="s">
        <v>70</v>
      </c>
      <c r="AK1" s="88"/>
    </row>
    <row r="2" spans="1:37" ht="18" customHeight="1" thickBot="1">
      <c r="A2" s="89" t="s">
        <v>71</v>
      </c>
      <c r="B2" s="90"/>
      <c r="C2" s="90"/>
      <c r="D2" s="90"/>
      <c r="E2" s="90"/>
      <c r="F2" s="90"/>
      <c r="G2" s="90"/>
      <c r="H2" s="90"/>
      <c r="J2" s="91" t="s">
        <v>72</v>
      </c>
      <c r="K2" s="90"/>
      <c r="L2" s="90"/>
      <c r="M2" s="90"/>
      <c r="N2" s="90"/>
      <c r="O2" s="95" t="s">
        <v>73</v>
      </c>
      <c r="P2" s="94"/>
      <c r="Q2" s="88"/>
      <c r="R2" s="94"/>
      <c r="S2" s="94"/>
      <c r="T2" s="94"/>
      <c r="U2" s="96" t="s">
        <v>74</v>
      </c>
      <c r="V2" s="90"/>
      <c r="W2" s="90"/>
      <c r="X2" s="90"/>
      <c r="Y2" s="90"/>
      <c r="Z2" s="90"/>
      <c r="AB2" s="89" t="s">
        <v>75</v>
      </c>
      <c r="AC2" s="90"/>
      <c r="AD2" s="90"/>
      <c r="AE2" s="90"/>
      <c r="AF2" s="90"/>
      <c r="AG2" s="90"/>
      <c r="AH2" s="90"/>
      <c r="AI2" s="90"/>
      <c r="AJ2" s="1" t="s">
        <v>7</v>
      </c>
      <c r="AK2" t="s">
        <v>76</v>
      </c>
    </row>
    <row r="3" spans="1:37" ht="15.75" customHeight="1" thickTop="1">
      <c r="A3" s="6" t="str">
        <f>CONCATENATE("TOTAL: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CONCATENATE("TOTAL: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CONCATENATE("TOTAL: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CONCATENATE("TOTAL: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8"/>
      <c r="AK3" s="88"/>
    </row>
    <row r="4" spans="1:37">
      <c r="A4" t="s">
        <v>77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82</v>
      </c>
      <c r="G4" s="3" t="s">
        <v>83</v>
      </c>
      <c r="H4" s="10" t="s">
        <v>84</v>
      </c>
      <c r="J4" t="s">
        <v>77</v>
      </c>
      <c r="K4" s="3" t="s">
        <v>78</v>
      </c>
      <c r="L4" s="3" t="s">
        <v>79</v>
      </c>
      <c r="M4" s="3" t="s">
        <v>80</v>
      </c>
      <c r="N4" s="3" t="s">
        <v>81</v>
      </c>
      <c r="O4" s="3" t="s">
        <v>82</v>
      </c>
      <c r="P4" s="3" t="s">
        <v>83</v>
      </c>
      <c r="Q4" s="8" t="s">
        <v>84</v>
      </c>
      <c r="S4" t="s">
        <v>77</v>
      </c>
      <c r="T4" s="3" t="s">
        <v>78</v>
      </c>
      <c r="U4" s="3" t="s">
        <v>79</v>
      </c>
      <c r="V4" s="3" t="s">
        <v>80</v>
      </c>
      <c r="W4" s="3" t="s">
        <v>81</v>
      </c>
      <c r="X4" s="3" t="s">
        <v>82</v>
      </c>
      <c r="Y4" s="3" t="s">
        <v>83</v>
      </c>
      <c r="Z4" s="8" t="s">
        <v>84</v>
      </c>
      <c r="AB4" t="s">
        <v>77</v>
      </c>
      <c r="AC4" s="3" t="s">
        <v>78</v>
      </c>
      <c r="AD4" s="3" t="s">
        <v>79</v>
      </c>
      <c r="AE4" s="3" t="s">
        <v>80</v>
      </c>
      <c r="AF4" s="3" t="s">
        <v>81</v>
      </c>
      <c r="AG4" s="3" t="s">
        <v>82</v>
      </c>
      <c r="AH4" s="3" t="s">
        <v>83</v>
      </c>
      <c r="AI4" s="8" t="s">
        <v>84</v>
      </c>
    </row>
    <row r="5" spans="1:37">
      <c r="A5" s="4" t="s">
        <v>85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86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86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289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87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88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88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290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89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90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90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291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91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68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68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92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93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94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94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95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96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97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97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98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99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100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100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101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102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102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103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104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105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106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107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108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9" t="s">
        <v>109</v>
      </c>
      <c r="B17" s="90"/>
      <c r="C17" s="90"/>
      <c r="D17" s="90"/>
      <c r="E17" s="90"/>
      <c r="F17" s="90"/>
      <c r="G17" s="90"/>
      <c r="H17" s="90"/>
      <c r="J17" s="89" t="s">
        <v>110</v>
      </c>
      <c r="K17" s="90"/>
      <c r="L17" s="90"/>
      <c r="M17" s="90"/>
      <c r="N17" s="90"/>
      <c r="O17" s="90"/>
      <c r="P17" s="90"/>
      <c r="Q17" s="90"/>
      <c r="S17" s="89" t="s">
        <v>111</v>
      </c>
      <c r="T17" s="90"/>
      <c r="U17" s="90"/>
      <c r="V17" s="90"/>
      <c r="W17" s="90"/>
      <c r="X17" s="90"/>
      <c r="Y17" s="90"/>
      <c r="Z17" s="90"/>
      <c r="AB17" s="89" t="s">
        <v>112</v>
      </c>
      <c r="AC17" s="90"/>
      <c r="AD17" s="90"/>
      <c r="AE17" s="90"/>
      <c r="AF17" s="90"/>
      <c r="AG17" s="90"/>
      <c r="AH17" s="90"/>
      <c r="AI17" s="90"/>
    </row>
    <row r="18" spans="1:35" ht="15.75" customHeight="1" thickTop="1">
      <c r="A18" s="6" t="str">
        <f>CONCATENATE("TOTAL: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CONCATENATE("TOTAL: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CONCATENATE("TOTAL: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CONCATENATE("TOTAL: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77</v>
      </c>
      <c r="B19" s="3" t="s">
        <v>78</v>
      </c>
      <c r="C19" s="3" t="s">
        <v>79</v>
      </c>
      <c r="D19" s="3" t="s">
        <v>80</v>
      </c>
      <c r="E19" s="3" t="s">
        <v>81</v>
      </c>
      <c r="F19" s="3" t="s">
        <v>82</v>
      </c>
      <c r="G19" s="3" t="s">
        <v>83</v>
      </c>
      <c r="H19" s="8" t="s">
        <v>84</v>
      </c>
      <c r="J19" t="s">
        <v>77</v>
      </c>
      <c r="K19" s="3" t="s">
        <v>78</v>
      </c>
      <c r="L19" s="3" t="s">
        <v>79</v>
      </c>
      <c r="M19" s="3" t="s">
        <v>80</v>
      </c>
      <c r="N19" s="3" t="s">
        <v>81</v>
      </c>
      <c r="O19" s="3" t="s">
        <v>82</v>
      </c>
      <c r="P19" s="3" t="s">
        <v>83</v>
      </c>
      <c r="Q19" s="8" t="s">
        <v>84</v>
      </c>
      <c r="S19" t="s">
        <v>77</v>
      </c>
      <c r="T19" s="3" t="s">
        <v>78</v>
      </c>
      <c r="U19" s="3" t="s">
        <v>79</v>
      </c>
      <c r="V19" s="3" t="s">
        <v>80</v>
      </c>
      <c r="W19" s="3" t="s">
        <v>81</v>
      </c>
      <c r="X19" s="3" t="s">
        <v>82</v>
      </c>
      <c r="Y19" s="3" t="s">
        <v>83</v>
      </c>
      <c r="Z19" s="8" t="s">
        <v>84</v>
      </c>
      <c r="AB19" t="s">
        <v>77</v>
      </c>
      <c r="AC19" s="3" t="s">
        <v>78</v>
      </c>
      <c r="AD19" s="3" t="s">
        <v>79</v>
      </c>
      <c r="AE19" s="3" t="s">
        <v>80</v>
      </c>
      <c r="AF19" s="3" t="s">
        <v>81</v>
      </c>
      <c r="AG19" s="3" t="s">
        <v>82</v>
      </c>
      <c r="AH19" s="3" t="s">
        <v>83</v>
      </c>
      <c r="AI19" s="8" t="s">
        <v>84</v>
      </c>
    </row>
    <row r="20" spans="1:35">
      <c r="A20" s="4" t="s">
        <v>113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1" t="s">
        <v>114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115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116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117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1" t="s">
        <v>118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119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120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1" t="s">
        <v>121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122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1" t="s">
        <v>123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1" t="s">
        <v>124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1" t="s">
        <v>125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93" t="s">
        <v>126</v>
      </c>
      <c r="T25" s="94"/>
      <c r="U25" s="94"/>
      <c r="V25" s="94"/>
      <c r="W25" s="94"/>
      <c r="X25" s="94"/>
      <c r="Y25" s="94"/>
      <c r="Z25" s="88"/>
      <c r="AA25" s="94"/>
      <c r="AB25" s="94"/>
      <c r="AC25" s="94"/>
      <c r="AD25" s="94"/>
      <c r="AE25" s="94"/>
      <c r="AF25" s="94"/>
      <c r="AG25" s="94"/>
      <c r="AH25" s="94"/>
      <c r="AI25" s="88"/>
    </row>
    <row r="26" spans="1:35" s="2" customFormat="1">
      <c r="J26" s="4" t="s">
        <v>127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</row>
    <row r="27" spans="1:35">
      <c r="S27" s="94"/>
      <c r="T27" s="94"/>
      <c r="U27" s="94"/>
      <c r="V27" s="94"/>
      <c r="W27" s="94"/>
      <c r="X27" s="94"/>
      <c r="Y27" s="94"/>
      <c r="Z27" s="88"/>
      <c r="AA27" s="94"/>
      <c r="AB27" s="94"/>
      <c r="AC27" s="94"/>
      <c r="AD27" s="94"/>
      <c r="AE27" s="94"/>
      <c r="AF27" s="94"/>
      <c r="AG27" s="94"/>
      <c r="AH27" s="94"/>
      <c r="AI27" s="88"/>
    </row>
    <row r="28" spans="1:35" ht="18" customHeight="1" thickBot="1">
      <c r="A28" s="89" t="s">
        <v>128</v>
      </c>
      <c r="B28" s="90"/>
      <c r="C28" s="90"/>
      <c r="D28" s="90"/>
      <c r="E28" s="90"/>
      <c r="F28" s="90"/>
      <c r="G28" s="90"/>
      <c r="H28" s="90"/>
      <c r="J28" s="89" t="s">
        <v>129</v>
      </c>
      <c r="K28" s="90"/>
      <c r="L28" s="90"/>
      <c r="M28" s="90"/>
      <c r="N28" s="90"/>
      <c r="O28" s="90"/>
      <c r="P28" s="90"/>
      <c r="Q28" s="90"/>
      <c r="S28" s="94"/>
      <c r="T28" s="94"/>
      <c r="U28" s="94"/>
      <c r="V28" s="94"/>
      <c r="W28" s="94"/>
      <c r="X28" s="94"/>
      <c r="Y28" s="94"/>
      <c r="Z28" s="88"/>
      <c r="AA28" s="94"/>
      <c r="AB28" s="94"/>
      <c r="AC28" s="94"/>
      <c r="AD28" s="94"/>
      <c r="AE28" s="94"/>
      <c r="AF28" s="94"/>
      <c r="AG28" s="94"/>
      <c r="AH28" s="94"/>
      <c r="AI28" s="88"/>
    </row>
    <row r="29" spans="1:35" ht="15.75" customHeight="1" thickTop="1">
      <c r="A29" s="6" t="str">
        <f>CONCATENATE("TOTAL: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CONCATENATE("TOTAL: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94"/>
      <c r="T29" s="94"/>
      <c r="U29" s="94"/>
      <c r="V29" s="94"/>
      <c r="W29" s="94"/>
      <c r="X29" s="94"/>
      <c r="Y29" s="94"/>
      <c r="Z29" s="88"/>
      <c r="AA29" s="94"/>
      <c r="AB29" s="94"/>
      <c r="AC29" s="94"/>
      <c r="AD29" s="94"/>
      <c r="AE29" s="94"/>
      <c r="AF29" s="94"/>
      <c r="AG29" s="94"/>
      <c r="AH29" s="94"/>
      <c r="AI29" s="88"/>
    </row>
    <row r="30" spans="1:35">
      <c r="A30" t="s">
        <v>77</v>
      </c>
      <c r="B30" s="3" t="s">
        <v>78</v>
      </c>
      <c r="C30" s="3" t="s">
        <v>79</v>
      </c>
      <c r="D30" s="3" t="s">
        <v>80</v>
      </c>
      <c r="E30" s="3" t="s">
        <v>81</v>
      </c>
      <c r="F30" s="3" t="s">
        <v>82</v>
      </c>
      <c r="G30" s="3" t="s">
        <v>83</v>
      </c>
      <c r="H30" s="8" t="s">
        <v>84</v>
      </c>
      <c r="J30" t="s">
        <v>77</v>
      </c>
      <c r="K30" s="3" t="s">
        <v>78</v>
      </c>
      <c r="L30" s="3" t="s">
        <v>79</v>
      </c>
      <c r="M30" s="3" t="s">
        <v>80</v>
      </c>
      <c r="N30" s="3" t="s">
        <v>81</v>
      </c>
      <c r="O30" s="3" t="s">
        <v>82</v>
      </c>
      <c r="P30" s="3" t="s">
        <v>83</v>
      </c>
      <c r="Q30" s="8" t="s">
        <v>84</v>
      </c>
      <c r="S30" s="94"/>
      <c r="T30" s="94"/>
      <c r="U30" s="94"/>
      <c r="V30" s="94"/>
      <c r="W30" s="94"/>
      <c r="X30" s="94"/>
      <c r="Y30" s="94"/>
      <c r="Z30" s="88"/>
      <c r="AA30" s="94"/>
      <c r="AB30" s="94"/>
      <c r="AC30" s="94"/>
      <c r="AD30" s="94"/>
      <c r="AE30" s="94"/>
      <c r="AF30" s="94"/>
      <c r="AG30" s="94"/>
      <c r="AH30" s="94"/>
      <c r="AI30" s="88"/>
    </row>
    <row r="31" spans="1:35">
      <c r="A31" s="4" t="s">
        <v>130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312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597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132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1" t="s">
        <v>131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133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134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135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136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137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N4" sqref="N4:O4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92" t="s">
        <v>138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100" t="s">
        <v>139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7" t="s">
        <v>70</v>
      </c>
      <c r="O2" s="94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142" t="s">
        <v>140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1" t="s">
        <v>7</v>
      </c>
      <c r="O3" t="s">
        <v>76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1" t="s">
        <v>141</v>
      </c>
      <c r="C4" s="12"/>
      <c r="D4" s="12" t="s">
        <v>67</v>
      </c>
      <c r="E4" s="12"/>
      <c r="F4" s="13" t="s">
        <v>142</v>
      </c>
      <c r="G4" s="13"/>
      <c r="H4" s="14"/>
      <c r="I4" s="15">
        <v>2025</v>
      </c>
      <c r="J4" s="16"/>
      <c r="K4" s="17"/>
      <c r="N4" s="88"/>
      <c r="O4" s="88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1" t="str">
        <f>CONCATENATE("Establecimiento: ",$O$3)</f>
        <v>Establecimiento: (Todas)</v>
      </c>
      <c r="C5" s="12"/>
      <c r="D5" s="12"/>
      <c r="E5" s="12"/>
      <c r="F5" s="16"/>
      <c r="G5" s="16"/>
      <c r="H5" s="18" t="str">
        <f>CONCATENATE("N° total de consultas NUEVOS: ",IF($O$3="(Todas)",COUNT(BASE[Fecha]),COUNTIFS(BASE[Cod.Establecimiento],$O$3))," (Ambulatorios: ",IF($O$3="(Todas)",COUNTIFS(BASE[Se interna],"NO"),COUNTIFS(BASE[Cod.Establecimiento],$O$3,BASE[Se interna],"NO")),", Internados: ",IF($O$3="(Todas)",COUNTIFS(BASE[Se interna],"SI"),COUNTIFS(BASE[Cod.Establecimiento],$O$3,BASE[Se interna],"SI")),")")</f>
        <v>N° total de consultas NUEVOS: 0 (Ambulatorios: 0, Internados: 0)</v>
      </c>
      <c r="I5" s="19"/>
      <c r="J5" s="16"/>
      <c r="K5" s="20"/>
      <c r="L5" s="2"/>
      <c r="M5" s="21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129" t="s">
        <v>143</v>
      </c>
      <c r="C6" s="130"/>
      <c r="D6" s="130"/>
      <c r="E6" s="130"/>
      <c r="F6" s="130"/>
      <c r="G6" s="131"/>
      <c r="H6" s="129" t="s">
        <v>144</v>
      </c>
      <c r="I6" s="130"/>
      <c r="J6" s="130"/>
      <c r="K6" s="130"/>
      <c r="L6" s="130"/>
      <c r="M6" s="131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133" t="s">
        <v>145</v>
      </c>
      <c r="C7" s="109"/>
      <c r="D7" s="22" t="s">
        <v>146</v>
      </c>
      <c r="E7" s="23" t="s">
        <v>147</v>
      </c>
      <c r="F7" s="23" t="s">
        <v>148</v>
      </c>
      <c r="G7" s="24" t="s">
        <v>149</v>
      </c>
      <c r="H7" s="133" t="s">
        <v>150</v>
      </c>
      <c r="I7" s="109"/>
      <c r="J7" s="132" t="s">
        <v>146</v>
      </c>
      <c r="K7" s="116"/>
      <c r="L7" s="25" t="s">
        <v>147</v>
      </c>
      <c r="M7" s="26" t="s">
        <v>151</v>
      </c>
      <c r="N7" s="2"/>
      <c r="O7" s="2"/>
    </row>
    <row r="8" spans="1:32" ht="15.75" customHeight="1">
      <c r="A8" s="2"/>
      <c r="B8" s="108"/>
      <c r="C8" s="109"/>
      <c r="D8" s="27" t="s">
        <v>152</v>
      </c>
      <c r="E8" s="28" t="s">
        <v>153</v>
      </c>
      <c r="F8" s="29">
        <f>SUM(ENOS_G1_COLERA[TOT])</f>
        <v>0</v>
      </c>
      <c r="G8" s="29">
        <v>0</v>
      </c>
      <c r="H8" s="108"/>
      <c r="I8" s="109"/>
      <c r="J8" s="101" t="s">
        <v>154</v>
      </c>
      <c r="K8" s="102"/>
      <c r="L8" s="28" t="s">
        <v>155</v>
      </c>
      <c r="M8" s="30">
        <f>SUM(ENOS_G2_PAROTIDITIS_INFECCIOSA_PAPERAS[TOT])</f>
        <v>0</v>
      </c>
      <c r="N8" s="2"/>
      <c r="O8" s="2"/>
    </row>
    <row r="9" spans="1:32">
      <c r="A9" s="2"/>
      <c r="B9" s="108"/>
      <c r="C9" s="109"/>
      <c r="D9" s="27" t="s">
        <v>156</v>
      </c>
      <c r="E9" s="28" t="s">
        <v>157</v>
      </c>
      <c r="F9" s="29">
        <f>SUM(ENOS_G1_FIEBRE_AMARILLA[TOT])</f>
        <v>0</v>
      </c>
      <c r="G9" s="29">
        <v>0</v>
      </c>
      <c r="H9" s="108"/>
      <c r="I9" s="109"/>
      <c r="J9" s="101" t="s">
        <v>158</v>
      </c>
      <c r="K9" s="102"/>
      <c r="L9" s="28" t="s">
        <v>159</v>
      </c>
      <c r="M9" s="30">
        <f>SUM(ENOS_G2_VARICELA[TOT])</f>
        <v>0</v>
      </c>
      <c r="N9" s="2"/>
      <c r="O9" s="2"/>
    </row>
    <row r="10" spans="1:32">
      <c r="A10" s="2"/>
      <c r="B10" s="108"/>
      <c r="C10" s="109"/>
      <c r="D10" s="32" t="s">
        <v>160</v>
      </c>
      <c r="E10" s="28" t="s">
        <v>161</v>
      </c>
      <c r="F10" s="33">
        <f>SUM(ENOS_G1_PESTE[TOT])</f>
        <v>0</v>
      </c>
      <c r="G10" s="33">
        <v>0</v>
      </c>
      <c r="H10" s="108"/>
      <c r="I10" s="109"/>
      <c r="J10" s="101" t="s">
        <v>162</v>
      </c>
      <c r="K10" s="102"/>
      <c r="L10" s="28" t="s">
        <v>163</v>
      </c>
      <c r="M10" s="30">
        <f>SUM(ENOS_G2_HEPATITIS_A[TOT])</f>
        <v>0</v>
      </c>
      <c r="N10" s="2"/>
      <c r="O10" s="2"/>
    </row>
    <row r="11" spans="1:32" ht="18" customHeight="1">
      <c r="A11" s="2"/>
      <c r="B11" s="108"/>
      <c r="C11" s="109"/>
      <c r="D11" s="101" t="s">
        <v>164</v>
      </c>
      <c r="E11" s="123" t="s">
        <v>165</v>
      </c>
      <c r="F11" s="98">
        <f>SUM(ENOS_G1_POLIOMIELITIS_AGUDA[TOT])</f>
        <v>0</v>
      </c>
      <c r="G11" s="98">
        <v>0</v>
      </c>
      <c r="H11" s="108"/>
      <c r="I11" s="109"/>
      <c r="J11" s="124" t="s">
        <v>166</v>
      </c>
      <c r="K11" s="107"/>
      <c r="L11" s="123" t="s">
        <v>167</v>
      </c>
      <c r="M11" s="121">
        <f>SUM(ENOS_G2_HEPATITIS_VIRAL_SIN_OTRA_ESPECIFIACION[TOT])</f>
        <v>0</v>
      </c>
      <c r="N11" s="2"/>
      <c r="O11" s="2"/>
    </row>
    <row r="12" spans="1:32" ht="15.75" customHeight="1">
      <c r="A12" s="2"/>
      <c r="B12" s="134"/>
      <c r="C12" s="116"/>
      <c r="D12" s="99"/>
      <c r="E12" s="99"/>
      <c r="F12" s="99"/>
      <c r="G12" s="99"/>
      <c r="H12" s="108"/>
      <c r="I12" s="109"/>
      <c r="J12" s="115"/>
      <c r="K12" s="116"/>
      <c r="L12" s="99"/>
      <c r="M12" s="119"/>
      <c r="N12" s="2"/>
      <c r="O12" s="2"/>
    </row>
    <row r="13" spans="1:32" ht="22.5" customHeight="1" thickBot="1">
      <c r="A13" s="2"/>
      <c r="B13" s="106" t="s">
        <v>168</v>
      </c>
      <c r="C13" s="107"/>
      <c r="D13" s="34" t="s">
        <v>169</v>
      </c>
      <c r="E13" s="35" t="s">
        <v>170</v>
      </c>
      <c r="F13" s="36">
        <f>SUM(ENOS_G1_RUBEOLA[TOT])</f>
        <v>0</v>
      </c>
      <c r="G13" s="36">
        <v>0</v>
      </c>
      <c r="H13" s="108"/>
      <c r="I13" s="109"/>
      <c r="J13" s="101" t="s">
        <v>171</v>
      </c>
      <c r="K13" s="102"/>
      <c r="L13" s="37" t="s">
        <v>172</v>
      </c>
      <c r="M13" s="38">
        <f>SUM(ENOS_G2_ETA[TOT])</f>
        <v>0</v>
      </c>
      <c r="N13" s="2"/>
      <c r="O13" s="2"/>
    </row>
    <row r="14" spans="1:32">
      <c r="A14" s="2"/>
      <c r="B14" s="108"/>
      <c r="C14" s="109"/>
      <c r="D14" s="101" t="s">
        <v>173</v>
      </c>
      <c r="E14" s="123" t="s">
        <v>108</v>
      </c>
      <c r="F14" s="98">
        <f>SUM(ENOS_G1_SINDROME_DE_RUBEOLA_CONGENITA[TOT])</f>
        <v>0</v>
      </c>
      <c r="G14" s="98">
        <v>0</v>
      </c>
      <c r="H14" s="108"/>
      <c r="I14" s="109"/>
      <c r="J14" s="101" t="s">
        <v>174</v>
      </c>
      <c r="K14" s="107"/>
      <c r="L14" s="104" t="s">
        <v>175</v>
      </c>
      <c r="M14" s="121">
        <f>SUM(ENOS_G2_CONJUNTIVITIS_VIRAL[TOT])</f>
        <v>0</v>
      </c>
      <c r="N14" s="2"/>
      <c r="O14" s="2"/>
    </row>
    <row r="15" spans="1:32" ht="18" customHeight="1">
      <c r="A15" s="2"/>
      <c r="B15" s="108"/>
      <c r="C15" s="109"/>
      <c r="D15" s="99"/>
      <c r="E15" s="99"/>
      <c r="F15" s="99"/>
      <c r="G15" s="99"/>
      <c r="H15" s="108"/>
      <c r="I15" s="109"/>
      <c r="J15" s="115"/>
      <c r="K15" s="116"/>
      <c r="L15" s="99"/>
      <c r="M15" s="119"/>
      <c r="N15" s="2"/>
      <c r="O15" s="2"/>
    </row>
    <row r="16" spans="1:32" ht="15.75" customHeight="1">
      <c r="A16" s="2"/>
      <c r="B16" s="108"/>
      <c r="C16" s="109"/>
      <c r="D16" s="103" t="s">
        <v>176</v>
      </c>
      <c r="E16" s="123" t="s">
        <v>177</v>
      </c>
      <c r="F16" s="98">
        <f>SUM(ENOS_G1_SARAMPION[TOT])</f>
        <v>0</v>
      </c>
      <c r="G16" s="98">
        <v>0</v>
      </c>
      <c r="H16" s="108"/>
      <c r="I16" s="109"/>
      <c r="J16" s="124" t="s">
        <v>178</v>
      </c>
      <c r="K16" s="107"/>
      <c r="L16" s="104" t="s">
        <v>179</v>
      </c>
      <c r="M16" s="121">
        <f>SUM(ENOS_G2_ENF_VIRICAS_LESIONES_PIEL_Y_MEMB_MUCOSAS[TOT])</f>
        <v>0</v>
      </c>
      <c r="N16" s="2"/>
      <c r="O16" s="2"/>
    </row>
    <row r="17" spans="1:32">
      <c r="A17" s="2"/>
      <c r="B17" s="108"/>
      <c r="C17" s="109"/>
      <c r="D17" s="99"/>
      <c r="E17" s="99"/>
      <c r="F17" s="99"/>
      <c r="G17" s="99"/>
      <c r="H17" s="108"/>
      <c r="I17" s="109"/>
      <c r="J17" s="125"/>
      <c r="K17" s="109"/>
      <c r="L17" s="127"/>
      <c r="M17" s="122"/>
      <c r="N17" s="2"/>
      <c r="O17" s="2"/>
    </row>
    <row r="18" spans="1:32">
      <c r="A18" s="2"/>
      <c r="B18" s="108"/>
      <c r="C18" s="109"/>
      <c r="D18" s="101" t="s">
        <v>180</v>
      </c>
      <c r="E18" s="123" t="s">
        <v>181</v>
      </c>
      <c r="F18" s="98">
        <f>SUM(ENOS_G1_TETANOS_NEONATAL[TOT])</f>
        <v>0</v>
      </c>
      <c r="G18" s="98">
        <v>0</v>
      </c>
      <c r="H18" s="134"/>
      <c r="I18" s="116"/>
      <c r="J18" s="115"/>
      <c r="K18" s="116"/>
      <c r="L18" s="99"/>
      <c r="M18" s="119"/>
      <c r="N18" s="2"/>
      <c r="O18" s="2"/>
    </row>
    <row r="19" spans="1:32" ht="18" customHeight="1" thickBot="1">
      <c r="A19" s="2"/>
      <c r="B19" s="108"/>
      <c r="C19" s="109"/>
      <c r="D19" s="127"/>
      <c r="E19" s="127"/>
      <c r="F19" s="127"/>
      <c r="G19" s="127"/>
      <c r="H19" s="106" t="s">
        <v>182</v>
      </c>
      <c r="I19" s="107"/>
      <c r="J19" s="103" t="s">
        <v>183</v>
      </c>
      <c r="K19" s="107"/>
      <c r="L19" s="123" t="s">
        <v>184</v>
      </c>
      <c r="M19" s="121">
        <f>SUM(ENOS_G2_SIFILIS_CONGENITA[TOT])</f>
        <v>0</v>
      </c>
      <c r="N19" s="2"/>
      <c r="O19" s="2"/>
    </row>
    <row r="20" spans="1:32">
      <c r="A20" s="2"/>
      <c r="B20" s="108"/>
      <c r="C20" s="109"/>
      <c r="D20" s="99"/>
      <c r="E20" s="99"/>
      <c r="F20" s="99"/>
      <c r="G20" s="99"/>
      <c r="H20" s="108"/>
      <c r="I20" s="109"/>
      <c r="J20" s="115"/>
      <c r="K20" s="116"/>
      <c r="L20" s="99"/>
      <c r="M20" s="119"/>
      <c r="N20" s="2"/>
      <c r="O20" s="2"/>
    </row>
    <row r="21" spans="1:32">
      <c r="A21" s="2"/>
      <c r="B21" s="108"/>
      <c r="C21" s="109"/>
      <c r="D21" s="103" t="s">
        <v>185</v>
      </c>
      <c r="E21" s="104" t="s">
        <v>186</v>
      </c>
      <c r="F21" s="139">
        <f>SUM(ENOS_G1_PALUDISMO[TOT])</f>
        <v>0</v>
      </c>
      <c r="G21" s="139">
        <v>0</v>
      </c>
      <c r="H21" s="108"/>
      <c r="I21" s="109"/>
      <c r="J21" s="101" t="s">
        <v>187</v>
      </c>
      <c r="K21" s="102"/>
      <c r="L21" s="28" t="s">
        <v>188</v>
      </c>
      <c r="M21" s="30">
        <f>SUM(ENOS_G2_SIFILIS_EMBARAZADA[TOT])</f>
        <v>0</v>
      </c>
      <c r="N21" s="2"/>
      <c r="O21" s="2"/>
    </row>
    <row r="22" spans="1:32" ht="15.75" customHeight="1" thickBot="1">
      <c r="A22" s="2"/>
      <c r="B22" s="110"/>
      <c r="C22" s="111"/>
      <c r="D22" s="99"/>
      <c r="E22" s="99"/>
      <c r="F22" s="99"/>
      <c r="G22" s="99"/>
      <c r="H22" s="110"/>
      <c r="I22" s="111"/>
      <c r="J22" s="148" t="s">
        <v>189</v>
      </c>
      <c r="K22" s="149"/>
      <c r="L22" s="40" t="s">
        <v>190</v>
      </c>
      <c r="M22" s="41">
        <f>SUM(ENOS_G2_SIFILIS_TODOS_LOS_CASOS[TOT])</f>
        <v>0</v>
      </c>
      <c r="N22" s="2"/>
      <c r="O22" s="2"/>
    </row>
    <row r="23" spans="1:32" ht="18" customHeight="1" thickBot="1">
      <c r="A23" s="2"/>
      <c r="B23" s="135" t="s">
        <v>191</v>
      </c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1"/>
      <c r="N23" s="2"/>
      <c r="O23" s="2"/>
    </row>
    <row r="24" spans="1:32">
      <c r="A24" s="2"/>
      <c r="B24" s="136" t="s">
        <v>192</v>
      </c>
      <c r="C24" s="109"/>
      <c r="D24" s="143" t="s">
        <v>147</v>
      </c>
      <c r="E24" s="94"/>
      <c r="F24" s="144"/>
      <c r="G24" s="140" t="s">
        <v>193</v>
      </c>
      <c r="H24" s="141"/>
      <c r="I24" s="141"/>
      <c r="J24" s="141"/>
      <c r="K24" s="141"/>
      <c r="L24" s="116"/>
      <c r="M24" s="118" t="s">
        <v>194</v>
      </c>
      <c r="N24" s="2"/>
      <c r="O24" s="2"/>
    </row>
    <row r="25" spans="1:32" ht="22.5" customHeight="1">
      <c r="A25" s="2"/>
      <c r="B25" s="137"/>
      <c r="C25" s="138"/>
      <c r="D25" s="145"/>
      <c r="E25" s="146"/>
      <c r="F25" s="147"/>
      <c r="G25" s="42" t="s">
        <v>195</v>
      </c>
      <c r="H25" s="43" t="s">
        <v>196</v>
      </c>
      <c r="I25" s="44" t="s">
        <v>197</v>
      </c>
      <c r="J25" s="28" t="s">
        <v>198</v>
      </c>
      <c r="K25" s="39" t="s">
        <v>199</v>
      </c>
      <c r="L25" s="28" t="s">
        <v>200</v>
      </c>
      <c r="M25" s="119"/>
      <c r="N25" s="2"/>
      <c r="O25" s="2"/>
    </row>
    <row r="26" spans="1:32">
      <c r="A26" s="2"/>
      <c r="B26" s="117" t="s">
        <v>201</v>
      </c>
      <c r="C26" s="86"/>
      <c r="D26" s="128" t="s">
        <v>202</v>
      </c>
      <c r="E26" s="85"/>
      <c r="F26" s="86"/>
      <c r="G26" s="45">
        <f>SUM(ENOS_G3_ETI_MENOR_QUE_1_AÑO[TOT])</f>
        <v>0</v>
      </c>
      <c r="H26" s="45">
        <f>SUM(ENOS_G3_ETI_1_4_AÑOS[TOT])</f>
        <v>0</v>
      </c>
      <c r="I26" s="45">
        <f>SUM(ENOS_G3_ETI_5_19_AÑOS[TOT])</f>
        <v>0</v>
      </c>
      <c r="J26" s="45">
        <f>SUM(ENOS_G3_ETI_20_59_AÑOS[TOT])</f>
        <v>0</v>
      </c>
      <c r="K26" s="45">
        <f>SUM(ENOS_G3_ETI_60_MAS_AÑOS[TOT])</f>
        <v>0</v>
      </c>
      <c r="L26" s="45">
        <f>SUM(ENOS_G3_ETI_SD_AÑOS[TOT])</f>
        <v>0</v>
      </c>
      <c r="M26" s="45">
        <f>SUM(G26:L26)</f>
        <v>0</v>
      </c>
      <c r="N26" s="2"/>
      <c r="O26" s="2"/>
    </row>
    <row r="27" spans="1:32">
      <c r="A27" s="2"/>
      <c r="B27" s="117" t="s">
        <v>203</v>
      </c>
      <c r="C27" s="86"/>
      <c r="D27" s="105" t="s">
        <v>204</v>
      </c>
      <c r="E27" s="85"/>
      <c r="F27" s="86"/>
      <c r="G27" s="45">
        <f>SUM(ENOS_G3_IRANN_MENOR_QUE_1_AÑO[TOT])</f>
        <v>0</v>
      </c>
      <c r="H27" s="45">
        <f>SUM(ENOS_G3_IRANN_1_4_AÑOS[TOT])</f>
        <v>0</v>
      </c>
      <c r="I27" s="45">
        <f>SUM(ENOS_G3_IRANN_5_19_AÑOS[TOT])</f>
        <v>0</v>
      </c>
      <c r="J27" s="45">
        <f>SUM(ENOS_G3_IRANN_20_59_AÑOS[TOT])</f>
        <v>0</v>
      </c>
      <c r="K27" s="45">
        <f>SUM(ENOS_G3_IRANN_60_MAS_AÑOS[TOT])</f>
        <v>0</v>
      </c>
      <c r="L27" s="45">
        <f>SUM(ENOS_G3_IRANN_SD_AÑOS[TOT])</f>
        <v>0</v>
      </c>
      <c r="M27" s="45">
        <f>SUM(G27:L27)</f>
        <v>0</v>
      </c>
      <c r="N27" s="2"/>
      <c r="O27" s="2"/>
    </row>
    <row r="28" spans="1:32">
      <c r="A28" s="2"/>
      <c r="B28" s="117" t="s">
        <v>205</v>
      </c>
      <c r="C28" s="86"/>
      <c r="D28" s="105" t="s">
        <v>206</v>
      </c>
      <c r="E28" s="85"/>
      <c r="F28" s="86"/>
      <c r="G28" s="45">
        <f>SUM(ENOS_G3_NEU_MENOR_QUE_1_AÑO[TOT])</f>
        <v>0</v>
      </c>
      <c r="H28" s="45">
        <f>SUM(ENOS_G3_NEU_1_4_AÑOS[TOT])</f>
        <v>0</v>
      </c>
      <c r="I28" s="45">
        <f>SUM(ENOS_G3_NEU_5_19_AÑOS[TOT])</f>
        <v>0</v>
      </c>
      <c r="J28" s="45">
        <f>SUM(ENOS_G3_NEU_20_59_AÑOS[TOT])</f>
        <v>0</v>
      </c>
      <c r="K28" s="45">
        <f>SUM(ENOS_G3_NEU_60_MAS_AÑOS[TOT])</f>
        <v>0</v>
      </c>
      <c r="L28" s="45">
        <f>SUM(ENOS_G3_NEU_SD_AÑOS[TOT])</f>
        <v>0</v>
      </c>
      <c r="M28" s="45">
        <f>SUM(G28:L28)</f>
        <v>0</v>
      </c>
      <c r="N28" s="2"/>
      <c r="O28" s="2"/>
    </row>
    <row r="29" spans="1:32">
      <c r="A29" s="2"/>
      <c r="B29" s="117" t="s">
        <v>207</v>
      </c>
      <c r="C29" s="86"/>
      <c r="D29" s="128" t="s">
        <v>208</v>
      </c>
      <c r="E29" s="85"/>
      <c r="F29" s="86"/>
      <c r="G29" s="45">
        <f>SUM(ENOS_G3_IRAGNG_MENOR_QUE_1_AÑO[TOT])</f>
        <v>0</v>
      </c>
      <c r="H29" s="45">
        <f>SUM(ENOS_G3_IRAGNG_1_4_AÑOS[TOT])</f>
        <v>0</v>
      </c>
      <c r="I29" s="45">
        <f>SUM(ENOS_G3_IRAGNG_5_19_AÑOS[TOT])</f>
        <v>0</v>
      </c>
      <c r="J29" s="45">
        <f>SUM(ENOS_G3_IRAGNG_20_59_AÑOS[TOT])</f>
        <v>0</v>
      </c>
      <c r="K29" s="45">
        <f>SUM(ENOS_G3_IRAGNG_60_MAS_AÑOS[TOT])</f>
        <v>0</v>
      </c>
      <c r="L29" s="45">
        <f>SUM(ENOS_G3_IRAGNG_SD_AÑOS[TOT])</f>
        <v>0</v>
      </c>
      <c r="M29" s="45">
        <f>SUM(G29:L29)</f>
        <v>0</v>
      </c>
      <c r="N29" s="2"/>
      <c r="O29" s="2"/>
      <c r="P29" s="93" t="s">
        <v>126</v>
      </c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</row>
    <row r="30" spans="1:32" ht="15.75" customHeight="1" thickBot="1">
      <c r="A30" s="2"/>
      <c r="B30" s="126" t="s">
        <v>209</v>
      </c>
      <c r="C30" s="114"/>
      <c r="D30" s="112" t="s">
        <v>210</v>
      </c>
      <c r="E30" s="113"/>
      <c r="F30" s="114"/>
      <c r="G30" s="46">
        <f>SUM(ENOS_G3_DA_MENOR_QUE_1_AÑO[TOT])</f>
        <v>0</v>
      </c>
      <c r="H30" s="46">
        <f>SUM(ENOS_G3_DA_1_4_AÑOS[TOT])</f>
        <v>0</v>
      </c>
      <c r="I30" s="46">
        <f>SUM(ENOS_G3_DA_5_19_AÑOS[TOT])</f>
        <v>0</v>
      </c>
      <c r="J30" s="46">
        <f>SUM(ENOS_G3_DA_20_59_AÑOS[TOT])</f>
        <v>0</v>
      </c>
      <c r="K30" s="46">
        <f>SUM(ENOS_G3_DA_60_MAS_AÑOS[TOT])</f>
        <v>0</v>
      </c>
      <c r="L30" s="46">
        <f>SUM(ENOS_G3_DA_SD_AÑOS[TOT])</f>
        <v>0</v>
      </c>
      <c r="M30" s="45">
        <f>SUM(G30:L30)</f>
        <v>0</v>
      </c>
      <c r="N30" s="2"/>
      <c r="O30" s="2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</row>
    <row r="31" spans="1:32" ht="18" customHeight="1">
      <c r="A31" s="2"/>
      <c r="B31" s="47" t="s">
        <v>211</v>
      </c>
      <c r="C31" s="48"/>
      <c r="D31" s="48"/>
      <c r="E31" s="48"/>
      <c r="F31" s="47" t="s">
        <v>212</v>
      </c>
      <c r="G31" s="49"/>
      <c r="H31" s="50"/>
      <c r="I31" s="50"/>
      <c r="J31" s="50"/>
      <c r="K31" s="50"/>
      <c r="L31" s="50"/>
      <c r="M31" s="49"/>
      <c r="N31" s="2"/>
      <c r="O31" s="2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</row>
    <row r="32" spans="1:32" ht="15.75" customHeight="1">
      <c r="A32" s="2"/>
      <c r="B32" s="47" t="s">
        <v>213</v>
      </c>
      <c r="C32" s="51"/>
      <c r="D32" s="51"/>
      <c r="E32" s="51"/>
      <c r="F32" s="51"/>
      <c r="G32" s="51"/>
      <c r="H32" s="49"/>
      <c r="I32" s="49"/>
      <c r="J32" s="52"/>
      <c r="K32" s="49"/>
      <c r="L32" s="49"/>
      <c r="M32" s="49"/>
      <c r="N32" s="2"/>
      <c r="O32" s="2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</row>
    <row r="33" spans="1:32" ht="15.75" customHeight="1">
      <c r="A33" s="2"/>
      <c r="B33" s="49" t="s">
        <v>214</v>
      </c>
      <c r="C33" s="48"/>
      <c r="D33" s="48"/>
      <c r="E33" s="48"/>
      <c r="F33" s="53"/>
      <c r="G33" s="16"/>
      <c r="H33" s="49"/>
      <c r="I33" s="49"/>
      <c r="J33" s="120" t="s">
        <v>215</v>
      </c>
      <c r="K33" s="94"/>
      <c r="L33" s="94"/>
      <c r="M33" s="54"/>
      <c r="N33" s="2"/>
      <c r="O33" s="2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</row>
    <row r="34" spans="1:32">
      <c r="A34" s="2"/>
      <c r="B34" s="16" t="s">
        <v>216</v>
      </c>
      <c r="C34" s="55"/>
      <c r="D34" s="55"/>
      <c r="E34" s="56"/>
      <c r="F34" s="47" t="s">
        <v>217</v>
      </c>
      <c r="G34" s="49"/>
      <c r="H34" s="49"/>
      <c r="I34" s="49"/>
      <c r="J34" s="49"/>
      <c r="K34" s="57"/>
      <c r="L34" s="16"/>
      <c r="M34" s="58"/>
      <c r="N34" s="2"/>
      <c r="O34" s="2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</row>
    <row r="35" spans="1:32" ht="18" customHeight="1" thickBot="1">
      <c r="A35" s="2"/>
      <c r="B35" s="49"/>
      <c r="C35" s="59"/>
      <c r="D35" s="49"/>
      <c r="E35" s="49"/>
      <c r="F35" s="2"/>
      <c r="G35" s="51"/>
      <c r="H35" s="60"/>
      <c r="I35" s="60"/>
      <c r="J35" s="49"/>
      <c r="K35" s="61"/>
      <c r="L35" s="62"/>
      <c r="M35" s="63"/>
      <c r="N35" s="2"/>
      <c r="O35" s="2"/>
      <c r="P35" s="89" t="s">
        <v>218</v>
      </c>
      <c r="Q35" s="90"/>
      <c r="R35" s="90"/>
      <c r="S35" s="90"/>
      <c r="T35" s="90"/>
      <c r="U35" s="90"/>
      <c r="V35" s="90"/>
      <c r="W35" s="90"/>
      <c r="X35" s="2"/>
      <c r="Y35" s="89" t="s">
        <v>219</v>
      </c>
      <c r="Z35" s="90"/>
      <c r="AA35" s="90"/>
      <c r="AB35" s="90"/>
      <c r="AC35" s="90"/>
      <c r="AD35" s="90"/>
      <c r="AE35" s="90"/>
      <c r="AF35" s="90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77</v>
      </c>
      <c r="Q36" s="8" t="s">
        <v>78</v>
      </c>
      <c r="R36" s="8" t="s">
        <v>79</v>
      </c>
      <c r="S36" s="8" t="s">
        <v>80</v>
      </c>
      <c r="T36" s="8" t="s">
        <v>81</v>
      </c>
      <c r="U36" s="8" t="s">
        <v>82</v>
      </c>
      <c r="V36" s="8" t="s">
        <v>83</v>
      </c>
      <c r="W36" s="10" t="s">
        <v>84</v>
      </c>
      <c r="X36" s="2"/>
      <c r="Y36" s="2" t="s">
        <v>77</v>
      </c>
      <c r="Z36" s="8" t="s">
        <v>78</v>
      </c>
      <c r="AA36" s="8" t="s">
        <v>79</v>
      </c>
      <c r="AB36" s="8" t="s">
        <v>80</v>
      </c>
      <c r="AC36" s="8" t="s">
        <v>81</v>
      </c>
      <c r="AD36" s="8" t="s">
        <v>82</v>
      </c>
      <c r="AE36" s="8" t="s">
        <v>83</v>
      </c>
      <c r="AF36" s="10" t="s">
        <v>84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1" t="s">
        <v>220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1" t="s">
        <v>221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9" t="s">
        <v>222</v>
      </c>
      <c r="Q39" s="90"/>
      <c r="R39" s="90"/>
      <c r="S39" s="90"/>
      <c r="T39" s="90"/>
      <c r="U39" s="90"/>
      <c r="V39" s="90"/>
      <c r="W39" s="90"/>
      <c r="Y39" s="89" t="s">
        <v>223</v>
      </c>
      <c r="Z39" s="90"/>
      <c r="AA39" s="90"/>
      <c r="AB39" s="90"/>
      <c r="AC39" s="90"/>
      <c r="AD39" s="90"/>
      <c r="AE39" s="90"/>
      <c r="AF39" s="90"/>
    </row>
    <row r="40" spans="1:32" s="2" customFormat="1" ht="15.75" customHeight="1" thickTop="1">
      <c r="P40" s="2" t="s">
        <v>77</v>
      </c>
      <c r="Q40" s="8" t="s">
        <v>78</v>
      </c>
      <c r="R40" s="8" t="s">
        <v>79</v>
      </c>
      <c r="S40" s="8" t="s">
        <v>80</v>
      </c>
      <c r="T40" s="8" t="s">
        <v>81</v>
      </c>
      <c r="U40" s="8" t="s">
        <v>82</v>
      </c>
      <c r="V40" s="8" t="s">
        <v>83</v>
      </c>
      <c r="W40" s="10" t="s">
        <v>84</v>
      </c>
      <c r="Y40" s="2" t="s">
        <v>77</v>
      </c>
      <c r="Z40" s="8" t="s">
        <v>78</v>
      </c>
      <c r="AA40" s="8" t="s">
        <v>79</v>
      </c>
      <c r="AB40" s="8" t="s">
        <v>80</v>
      </c>
      <c r="AC40" s="8" t="s">
        <v>81</v>
      </c>
      <c r="AD40" s="8" t="s">
        <v>82</v>
      </c>
      <c r="AE40" s="8" t="s">
        <v>83</v>
      </c>
      <c r="AF40" s="10" t="s">
        <v>84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1" t="s">
        <v>224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1" t="s">
        <v>99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4"/>
      <c r="Z42" s="8"/>
      <c r="AA42" s="8"/>
      <c r="AB42" s="8"/>
      <c r="AC42" s="8"/>
      <c r="AD42" s="8"/>
      <c r="AE42" s="8"/>
      <c r="AF42" s="65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9" t="s">
        <v>225</v>
      </c>
      <c r="Q43" s="90"/>
      <c r="R43" s="90"/>
      <c r="S43" s="90"/>
      <c r="T43" s="90"/>
      <c r="U43" s="90"/>
      <c r="V43" s="90"/>
      <c r="W43" s="90"/>
      <c r="X43" s="2"/>
      <c r="Y43" s="89" t="s">
        <v>226</v>
      </c>
      <c r="Z43" s="90"/>
      <c r="AA43" s="90"/>
      <c r="AB43" s="90"/>
      <c r="AC43" s="90"/>
      <c r="AD43" s="90"/>
      <c r="AE43" s="90"/>
      <c r="AF43" s="90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77</v>
      </c>
      <c r="Q44" s="8" t="s">
        <v>78</v>
      </c>
      <c r="R44" s="8" t="s">
        <v>79</v>
      </c>
      <c r="S44" s="8" t="s">
        <v>80</v>
      </c>
      <c r="T44" s="8" t="s">
        <v>81</v>
      </c>
      <c r="U44" s="8" t="s">
        <v>82</v>
      </c>
      <c r="V44" s="8" t="s">
        <v>83</v>
      </c>
      <c r="W44" s="10" t="s">
        <v>84</v>
      </c>
      <c r="X44" s="2"/>
      <c r="Y44" s="2" t="s">
        <v>77</v>
      </c>
      <c r="Z44" s="8" t="s">
        <v>78</v>
      </c>
      <c r="AA44" s="8" t="s">
        <v>79</v>
      </c>
      <c r="AB44" s="8" t="s">
        <v>80</v>
      </c>
      <c r="AC44" s="8" t="s">
        <v>81</v>
      </c>
      <c r="AD44" s="8" t="s">
        <v>82</v>
      </c>
      <c r="AE44" s="8" t="s">
        <v>83</v>
      </c>
      <c r="AF44" s="10" t="s">
        <v>84</v>
      </c>
    </row>
    <row r="45" spans="1:32" s="2" customFormat="1">
      <c r="P45" s="31" t="s">
        <v>104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1" t="s">
        <v>105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4"/>
      <c r="Q46" s="8"/>
      <c r="R46" s="8"/>
      <c r="S46" s="8"/>
      <c r="T46" s="8"/>
      <c r="U46" s="8"/>
      <c r="V46" s="8"/>
      <c r="W46" s="65"/>
    </row>
    <row r="47" spans="1:32" s="2" customFormat="1" ht="18" customHeight="1" thickBot="1">
      <c r="P47" s="89" t="s">
        <v>227</v>
      </c>
      <c r="Q47" s="90"/>
      <c r="R47" s="90"/>
      <c r="S47" s="90"/>
      <c r="T47" s="90"/>
      <c r="U47" s="90"/>
      <c r="V47" s="90"/>
      <c r="W47" s="90"/>
      <c r="Y47" s="89" t="s">
        <v>228</v>
      </c>
      <c r="Z47" s="90"/>
      <c r="AA47" s="90"/>
      <c r="AB47" s="90"/>
      <c r="AC47" s="90"/>
      <c r="AD47" s="90"/>
      <c r="AE47" s="90"/>
      <c r="AF47" s="90"/>
    </row>
    <row r="48" spans="1:32" s="2" customFormat="1" ht="15.75" customHeight="1" thickTop="1">
      <c r="P48" s="2" t="s">
        <v>77</v>
      </c>
      <c r="Q48" s="8" t="s">
        <v>78</v>
      </c>
      <c r="R48" s="8" t="s">
        <v>79</v>
      </c>
      <c r="S48" s="8" t="s">
        <v>80</v>
      </c>
      <c r="T48" s="8" t="s">
        <v>81</v>
      </c>
      <c r="U48" s="8" t="s">
        <v>82</v>
      </c>
      <c r="V48" s="8" t="s">
        <v>83</v>
      </c>
      <c r="W48" s="10" t="s">
        <v>84</v>
      </c>
      <c r="Y48" s="2" t="s">
        <v>77</v>
      </c>
      <c r="Z48" s="8" t="s">
        <v>78</v>
      </c>
      <c r="AA48" s="8" t="s">
        <v>79</v>
      </c>
      <c r="AB48" s="8" t="s">
        <v>80</v>
      </c>
      <c r="AC48" s="8" t="s">
        <v>81</v>
      </c>
      <c r="AD48" s="8" t="s">
        <v>82</v>
      </c>
      <c r="AE48" s="8" t="s">
        <v>83</v>
      </c>
      <c r="AF48" s="10" t="s">
        <v>84</v>
      </c>
    </row>
    <row r="49" spans="1:32" s="2" customFormat="1">
      <c r="P49" s="31" t="s">
        <v>108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1" t="s">
        <v>115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9" t="s">
        <v>229</v>
      </c>
      <c r="Q51" s="90"/>
      <c r="R51" s="90"/>
      <c r="S51" s="90"/>
      <c r="T51" s="90"/>
      <c r="U51" s="90"/>
      <c r="V51" s="90"/>
      <c r="W51" s="90"/>
      <c r="X51" s="2"/>
      <c r="Y51" s="89" t="s">
        <v>230</v>
      </c>
      <c r="Z51" s="90"/>
      <c r="AA51" s="90"/>
      <c r="AB51" s="90"/>
      <c r="AC51" s="90"/>
      <c r="AD51" s="90"/>
      <c r="AE51" s="90"/>
      <c r="AF51" s="90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77</v>
      </c>
      <c r="Q52" s="8" t="s">
        <v>78</v>
      </c>
      <c r="R52" s="8" t="s">
        <v>79</v>
      </c>
      <c r="S52" s="8" t="s">
        <v>80</v>
      </c>
      <c r="T52" s="8" t="s">
        <v>81</v>
      </c>
      <c r="U52" s="8" t="s">
        <v>82</v>
      </c>
      <c r="V52" s="8" t="s">
        <v>83</v>
      </c>
      <c r="W52" s="10" t="s">
        <v>84</v>
      </c>
      <c r="X52" s="2"/>
      <c r="Y52" s="2" t="s">
        <v>77</v>
      </c>
      <c r="Z52" s="8" t="s">
        <v>78</v>
      </c>
      <c r="AA52" s="8" t="s">
        <v>79</v>
      </c>
      <c r="AB52" s="8" t="s">
        <v>80</v>
      </c>
      <c r="AC52" s="8" t="s">
        <v>81</v>
      </c>
      <c r="AD52" s="8" t="s">
        <v>82</v>
      </c>
      <c r="AE52" s="8" t="s">
        <v>83</v>
      </c>
      <c r="AF52" s="10" t="s">
        <v>84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1" t="s">
        <v>231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1" t="s">
        <v>232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1" t="s">
        <v>233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1" t="s">
        <v>234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1" t="s">
        <v>235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1" t="s">
        <v>236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9" t="s">
        <v>237</v>
      </c>
      <c r="Q59" s="90"/>
      <c r="R59" s="90"/>
      <c r="S59" s="90"/>
      <c r="T59" s="90"/>
      <c r="U59" s="90"/>
      <c r="V59" s="90"/>
      <c r="W59" s="90"/>
      <c r="X59" s="2"/>
      <c r="Y59" s="89" t="s">
        <v>238</v>
      </c>
      <c r="Z59" s="90"/>
      <c r="AA59" s="90"/>
      <c r="AB59" s="90"/>
      <c r="AC59" s="90"/>
      <c r="AD59" s="90"/>
      <c r="AE59" s="90"/>
      <c r="AF59" s="90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77</v>
      </c>
      <c r="Q60" s="8" t="s">
        <v>78</v>
      </c>
      <c r="R60" s="8" t="s">
        <v>79</v>
      </c>
      <c r="S60" s="8" t="s">
        <v>80</v>
      </c>
      <c r="T60" s="8" t="s">
        <v>81</v>
      </c>
      <c r="U60" s="8" t="s">
        <v>82</v>
      </c>
      <c r="V60" s="8" t="s">
        <v>83</v>
      </c>
      <c r="W60" s="10" t="s">
        <v>84</v>
      </c>
      <c r="X60" s="2"/>
      <c r="Y60" s="2" t="s">
        <v>77</v>
      </c>
      <c r="Z60" s="8" t="s">
        <v>78</v>
      </c>
      <c r="AA60" s="8" t="s">
        <v>79</v>
      </c>
      <c r="AB60" s="8" t="s">
        <v>80</v>
      </c>
      <c r="AC60" s="8" t="s">
        <v>81</v>
      </c>
      <c r="AD60" s="8" t="s">
        <v>82</v>
      </c>
      <c r="AE60" s="8" t="s">
        <v>83</v>
      </c>
      <c r="AF60" s="10" t="s">
        <v>84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1" t="s">
        <v>114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1" t="s">
        <v>131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9" t="s">
        <v>239</v>
      </c>
      <c r="Q63" s="90"/>
      <c r="R63" s="90"/>
      <c r="S63" s="90"/>
      <c r="T63" s="90"/>
      <c r="U63" s="90"/>
      <c r="V63" s="90"/>
      <c r="W63" s="90"/>
      <c r="X63" s="2"/>
      <c r="Y63" s="89" t="s">
        <v>240</v>
      </c>
      <c r="Z63" s="90"/>
      <c r="AA63" s="90"/>
      <c r="AB63" s="90"/>
      <c r="AC63" s="90"/>
      <c r="AD63" s="90"/>
      <c r="AE63" s="90"/>
      <c r="AF63" s="90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77</v>
      </c>
      <c r="Q64" s="8" t="s">
        <v>78</v>
      </c>
      <c r="R64" s="8" t="s">
        <v>79</v>
      </c>
      <c r="S64" s="8" t="s">
        <v>80</v>
      </c>
      <c r="T64" s="8" t="s">
        <v>81</v>
      </c>
      <c r="U64" s="8" t="s">
        <v>82</v>
      </c>
      <c r="V64" s="8" t="s">
        <v>83</v>
      </c>
      <c r="W64" s="10" t="s">
        <v>84</v>
      </c>
      <c r="X64" s="2"/>
      <c r="Y64" s="2" t="s">
        <v>77</v>
      </c>
      <c r="Z64" s="8" t="s">
        <v>78</v>
      </c>
      <c r="AA64" s="8" t="s">
        <v>79</v>
      </c>
      <c r="AB64" s="8" t="s">
        <v>80</v>
      </c>
      <c r="AC64" s="8" t="s">
        <v>81</v>
      </c>
      <c r="AD64" s="8" t="s">
        <v>82</v>
      </c>
      <c r="AE64" s="8" t="s">
        <v>83</v>
      </c>
      <c r="AF64" s="10" t="s">
        <v>84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1" t="s">
        <v>241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1" t="s">
        <v>242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9" t="s">
        <v>243</v>
      </c>
      <c r="Q67" s="90"/>
      <c r="R67" s="90"/>
      <c r="S67" s="90"/>
      <c r="T67" s="90"/>
      <c r="U67" s="90"/>
      <c r="V67" s="90"/>
      <c r="W67" s="90"/>
      <c r="X67" s="2"/>
      <c r="Y67" s="89" t="s">
        <v>244</v>
      </c>
      <c r="Z67" s="90"/>
      <c r="AA67" s="90"/>
      <c r="AB67" s="90"/>
      <c r="AC67" s="90"/>
      <c r="AD67" s="90"/>
      <c r="AE67" s="90"/>
      <c r="AF67" s="90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77</v>
      </c>
      <c r="Q68" s="8" t="s">
        <v>78</v>
      </c>
      <c r="R68" s="8" t="s">
        <v>79</v>
      </c>
      <c r="S68" s="8" t="s">
        <v>80</v>
      </c>
      <c r="T68" s="8" t="s">
        <v>81</v>
      </c>
      <c r="U68" s="8" t="s">
        <v>82</v>
      </c>
      <c r="V68" s="8" t="s">
        <v>83</v>
      </c>
      <c r="W68" s="10" t="s">
        <v>84</v>
      </c>
      <c r="X68" s="2"/>
      <c r="Y68" s="2" t="s">
        <v>77</v>
      </c>
      <c r="Z68" s="8" t="s">
        <v>78</v>
      </c>
      <c r="AA68" s="8" t="s">
        <v>79</v>
      </c>
      <c r="AB68" s="8" t="s">
        <v>80</v>
      </c>
      <c r="AC68" s="8" t="s">
        <v>81</v>
      </c>
      <c r="AD68" s="8" t="s">
        <v>82</v>
      </c>
      <c r="AE68" s="8" t="s">
        <v>83</v>
      </c>
      <c r="AF68" s="10" t="s">
        <v>84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1" t="s">
        <v>245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1" t="s">
        <v>246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9" t="s">
        <v>247</v>
      </c>
      <c r="Q71" s="90"/>
      <c r="R71" s="90"/>
      <c r="S71" s="90"/>
      <c r="T71" s="90"/>
      <c r="U71" s="90"/>
      <c r="V71" s="90"/>
      <c r="W71" s="90"/>
      <c r="Y71" s="89" t="s">
        <v>248</v>
      </c>
      <c r="Z71" s="90"/>
      <c r="AA71" s="90"/>
      <c r="AB71" s="90"/>
      <c r="AC71" s="90"/>
      <c r="AD71" s="90"/>
      <c r="AE71" s="90"/>
      <c r="AF71" s="90"/>
    </row>
    <row r="72" spans="1:32" s="2" customFormat="1" ht="15.75" customHeight="1" thickTop="1">
      <c r="P72" s="2" t="s">
        <v>77</v>
      </c>
      <c r="Q72" s="8" t="s">
        <v>78</v>
      </c>
      <c r="R72" s="8" t="s">
        <v>79</v>
      </c>
      <c r="S72" s="8" t="s">
        <v>80</v>
      </c>
      <c r="T72" s="8" t="s">
        <v>81</v>
      </c>
      <c r="U72" s="8" t="s">
        <v>82</v>
      </c>
      <c r="V72" s="8" t="s">
        <v>83</v>
      </c>
      <c r="W72" s="10" t="s">
        <v>84</v>
      </c>
      <c r="Y72" s="2" t="s">
        <v>77</v>
      </c>
      <c r="Z72" s="8" t="s">
        <v>78</v>
      </c>
      <c r="AA72" s="8" t="s">
        <v>79</v>
      </c>
      <c r="AB72" s="8" t="s">
        <v>80</v>
      </c>
      <c r="AC72" s="8" t="s">
        <v>81</v>
      </c>
      <c r="AD72" s="8" t="s">
        <v>82</v>
      </c>
      <c r="AE72" s="8" t="s">
        <v>83</v>
      </c>
      <c r="AF72" s="10" t="s">
        <v>84</v>
      </c>
    </row>
    <row r="73" spans="1:32" s="2" customFormat="1" ht="15.75" customHeight="1">
      <c r="P73" s="31" t="s">
        <v>188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1" t="s">
        <v>249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1" t="s">
        <v>250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1" t="s">
        <v>251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9" t="s">
        <v>252</v>
      </c>
      <c r="Q77" s="90"/>
      <c r="R77" s="90"/>
      <c r="S77" s="90"/>
      <c r="T77" s="90"/>
      <c r="U77" s="90"/>
      <c r="V77" s="90"/>
      <c r="W77" s="90"/>
    </row>
    <row r="78" spans="1:32" s="2" customFormat="1" ht="15.75" customHeight="1" thickTop="1">
      <c r="P78" s="2" t="s">
        <v>77</v>
      </c>
      <c r="Q78" s="8" t="s">
        <v>78</v>
      </c>
      <c r="R78" s="8" t="s">
        <v>79</v>
      </c>
      <c r="S78" s="8" t="s">
        <v>80</v>
      </c>
      <c r="T78" s="8" t="s">
        <v>81</v>
      </c>
      <c r="U78" s="8" t="s">
        <v>82</v>
      </c>
      <c r="V78" s="8" t="s">
        <v>83</v>
      </c>
      <c r="W78" s="10" t="s">
        <v>84</v>
      </c>
    </row>
    <row r="79" spans="1:32" s="2" customFormat="1" ht="15.75" customHeight="1">
      <c r="P79" s="31" t="s">
        <v>88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1" t="s">
        <v>90</v>
      </c>
      <c r="Q80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1" t="s">
        <v>764</v>
      </c>
      <c r="Q81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9" t="s">
        <v>253</v>
      </c>
      <c r="Q83" s="90"/>
      <c r="R83" s="90"/>
      <c r="S83" s="90"/>
      <c r="T83" s="90"/>
      <c r="U83" s="90"/>
      <c r="V83" s="90"/>
      <c r="W83" s="90"/>
      <c r="X83" s="2"/>
      <c r="Y83" s="89" t="s">
        <v>254</v>
      </c>
      <c r="Z83" s="90"/>
      <c r="AA83" s="90"/>
      <c r="AB83" s="90"/>
      <c r="AC83" s="90"/>
      <c r="AD83" s="90"/>
      <c r="AE83" s="90"/>
      <c r="AF83" s="90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77</v>
      </c>
      <c r="Q84" s="8" t="s">
        <v>78</v>
      </c>
      <c r="R84" s="8" t="s">
        <v>79</v>
      </c>
      <c r="S84" s="8" t="s">
        <v>80</v>
      </c>
      <c r="T84" s="8" t="s">
        <v>81</v>
      </c>
      <c r="U84" s="8" t="s">
        <v>82</v>
      </c>
      <c r="V84" s="8" t="s">
        <v>83</v>
      </c>
      <c r="W84" s="10" t="s">
        <v>84</v>
      </c>
      <c r="X84" s="2"/>
      <c r="Y84" s="2" t="s">
        <v>77</v>
      </c>
      <c r="Z84" s="8" t="s">
        <v>78</v>
      </c>
      <c r="AA84" s="8" t="s">
        <v>79</v>
      </c>
      <c r="AB84" s="8" t="s">
        <v>80</v>
      </c>
      <c r="AC84" s="8" t="s">
        <v>81</v>
      </c>
      <c r="AD84" s="8" t="s">
        <v>82</v>
      </c>
      <c r="AE84" s="8" t="s">
        <v>83</v>
      </c>
      <c r="AF84" s="10" t="s">
        <v>84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1" t="s">
        <v>255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1" t="s">
        <v>255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1" t="s">
        <v>256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1" t="s">
        <v>256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1" t="s">
        <v>257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1" t="s">
        <v>257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9" t="s">
        <v>258</v>
      </c>
      <c r="Q89" s="90"/>
      <c r="R89" s="90"/>
      <c r="S89" s="90"/>
      <c r="T89" s="90"/>
      <c r="U89" s="90"/>
      <c r="V89" s="90"/>
      <c r="W89" s="90"/>
      <c r="X89" s="2"/>
      <c r="Y89" s="89" t="s">
        <v>259</v>
      </c>
      <c r="Z89" s="90"/>
      <c r="AA89" s="90"/>
      <c r="AB89" s="90"/>
      <c r="AC89" s="90"/>
      <c r="AD89" s="90"/>
      <c r="AE89" s="90"/>
      <c r="AF89" s="90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77</v>
      </c>
      <c r="Q90" s="8" t="s">
        <v>78</v>
      </c>
      <c r="R90" s="8" t="s">
        <v>79</v>
      </c>
      <c r="S90" s="8" t="s">
        <v>80</v>
      </c>
      <c r="T90" s="8" t="s">
        <v>81</v>
      </c>
      <c r="U90" s="8" t="s">
        <v>82</v>
      </c>
      <c r="V90" s="8" t="s">
        <v>83</v>
      </c>
      <c r="W90" s="10" t="s">
        <v>84</v>
      </c>
      <c r="X90" s="2"/>
      <c r="Y90" s="2" t="s">
        <v>77</v>
      </c>
      <c r="Z90" s="8" t="s">
        <v>78</v>
      </c>
      <c r="AA90" s="8" t="s">
        <v>79</v>
      </c>
      <c r="AB90" s="8" t="s">
        <v>80</v>
      </c>
      <c r="AC90" s="8" t="s">
        <v>81</v>
      </c>
      <c r="AD90" s="8" t="s">
        <v>82</v>
      </c>
      <c r="AE90" s="8" t="s">
        <v>83</v>
      </c>
      <c r="AF90" s="10" t="s">
        <v>84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1" t="s">
        <v>255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1" t="s">
        <v>255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1" t="s">
        <v>256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1" t="s">
        <v>256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1" t="s">
        <v>257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1" t="s">
        <v>257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9" t="s">
        <v>260</v>
      </c>
      <c r="Q95" s="90"/>
      <c r="R95" s="90"/>
      <c r="S95" s="90"/>
      <c r="T95" s="90"/>
      <c r="U95" s="90"/>
      <c r="V95" s="90"/>
      <c r="W95" s="90"/>
      <c r="X95" s="2"/>
      <c r="Y95" s="89" t="s">
        <v>261</v>
      </c>
      <c r="Z95" s="90"/>
      <c r="AA95" s="90"/>
      <c r="AB95" s="90"/>
      <c r="AC95" s="90"/>
      <c r="AD95" s="90"/>
      <c r="AE95" s="90"/>
      <c r="AF95" s="90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77</v>
      </c>
      <c r="Q96" s="8" t="s">
        <v>78</v>
      </c>
      <c r="R96" s="8" t="s">
        <v>79</v>
      </c>
      <c r="S96" s="8" t="s">
        <v>80</v>
      </c>
      <c r="T96" s="8" t="s">
        <v>81</v>
      </c>
      <c r="U96" s="8" t="s">
        <v>82</v>
      </c>
      <c r="V96" s="8" t="s">
        <v>83</v>
      </c>
      <c r="W96" s="10" t="s">
        <v>84</v>
      </c>
      <c r="X96" s="2"/>
      <c r="Y96" s="2" t="s">
        <v>77</v>
      </c>
      <c r="Z96" s="8" t="s">
        <v>78</v>
      </c>
      <c r="AA96" s="8" t="s">
        <v>79</v>
      </c>
      <c r="AB96" s="8" t="s">
        <v>80</v>
      </c>
      <c r="AC96" s="8" t="s">
        <v>81</v>
      </c>
      <c r="AD96" s="8" t="s">
        <v>82</v>
      </c>
      <c r="AE96" s="8" t="s">
        <v>83</v>
      </c>
      <c r="AF96" s="10" t="s">
        <v>84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1" t="s">
        <v>255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1" t="s">
        <v>255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1" t="s">
        <v>256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1" t="s">
        <v>256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1" t="s">
        <v>257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1" t="s">
        <v>257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9" t="s">
        <v>262</v>
      </c>
      <c r="Q101" s="90"/>
      <c r="R101" s="90"/>
      <c r="S101" s="90"/>
      <c r="T101" s="90"/>
      <c r="U101" s="90"/>
      <c r="V101" s="90"/>
      <c r="W101" s="90"/>
      <c r="X101" s="2"/>
      <c r="Y101" s="89" t="s">
        <v>263</v>
      </c>
      <c r="Z101" s="90"/>
      <c r="AA101" s="90"/>
      <c r="AB101" s="90"/>
      <c r="AC101" s="90"/>
      <c r="AD101" s="90"/>
      <c r="AE101" s="90"/>
      <c r="AF101" s="90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77</v>
      </c>
      <c r="Q102" s="8" t="s">
        <v>78</v>
      </c>
      <c r="R102" s="8" t="s">
        <v>79</v>
      </c>
      <c r="S102" s="8" t="s">
        <v>80</v>
      </c>
      <c r="T102" s="8" t="s">
        <v>81</v>
      </c>
      <c r="U102" s="8" t="s">
        <v>82</v>
      </c>
      <c r="V102" s="8" t="s">
        <v>83</v>
      </c>
      <c r="W102" s="10" t="s">
        <v>84</v>
      </c>
      <c r="X102" s="2"/>
      <c r="Y102" s="2" t="s">
        <v>77</v>
      </c>
      <c r="Z102" s="8" t="s">
        <v>78</v>
      </c>
      <c r="AA102" s="8" t="s">
        <v>79</v>
      </c>
      <c r="AB102" s="8" t="s">
        <v>80</v>
      </c>
      <c r="AC102" s="8" t="s">
        <v>81</v>
      </c>
      <c r="AD102" s="8" t="s">
        <v>82</v>
      </c>
      <c r="AE102" s="8" t="s">
        <v>83</v>
      </c>
      <c r="AF102" s="10" t="s">
        <v>84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1" t="s">
        <v>288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1" t="s">
        <v>288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1" t="s">
        <v>289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1" t="s">
        <v>289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1" t="s">
        <v>290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1" t="s">
        <v>290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1" t="s">
        <v>291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1" t="s">
        <v>291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1" t="s">
        <v>292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1" t="s">
        <v>292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1" t="s">
        <v>293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1" t="s">
        <v>293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1" t="s">
        <v>294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1" t="s">
        <v>294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1" t="s">
        <v>295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1" t="s">
        <v>295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1" t="s">
        <v>296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1" t="s">
        <v>296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9" t="s">
        <v>264</v>
      </c>
      <c r="Q113" s="90"/>
      <c r="R113" s="90"/>
      <c r="S113" s="90"/>
      <c r="T113" s="90"/>
      <c r="U113" s="90"/>
      <c r="V113" s="90"/>
      <c r="W113" s="90"/>
      <c r="X113" s="2"/>
      <c r="Y113" s="89" t="s">
        <v>265</v>
      </c>
      <c r="Z113" s="90"/>
      <c r="AA113" s="90"/>
      <c r="AB113" s="90"/>
      <c r="AC113" s="90"/>
      <c r="AD113" s="90"/>
      <c r="AE113" s="90"/>
      <c r="AF113" s="90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77</v>
      </c>
      <c r="Q114" s="8" t="s">
        <v>78</v>
      </c>
      <c r="R114" s="8" t="s">
        <v>79</v>
      </c>
      <c r="S114" s="8" t="s">
        <v>80</v>
      </c>
      <c r="T114" s="8" t="s">
        <v>81</v>
      </c>
      <c r="U114" s="8" t="s">
        <v>82</v>
      </c>
      <c r="V114" s="8" t="s">
        <v>83</v>
      </c>
      <c r="W114" s="10" t="s">
        <v>84</v>
      </c>
      <c r="X114" s="2"/>
      <c r="Y114" s="2" t="s">
        <v>77</v>
      </c>
      <c r="Z114" s="8" t="s">
        <v>78</v>
      </c>
      <c r="AA114" s="8" t="s">
        <v>79</v>
      </c>
      <c r="AB114" s="8" t="s">
        <v>80</v>
      </c>
      <c r="AC114" s="8" t="s">
        <v>81</v>
      </c>
      <c r="AD114" s="8" t="s">
        <v>82</v>
      </c>
      <c r="AE114" s="8" t="s">
        <v>83</v>
      </c>
      <c r="AF114" s="10" t="s">
        <v>84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1" t="s">
        <v>288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1" t="s">
        <v>288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1" t="s">
        <v>289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1" t="s">
        <v>289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1" t="s">
        <v>290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1" t="s">
        <v>290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1" t="s">
        <v>291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1" t="s">
        <v>291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1" t="s">
        <v>292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1" t="s">
        <v>292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1" t="s">
        <v>293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1" t="s">
        <v>293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1" t="s">
        <v>294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1" t="s">
        <v>294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1" t="s">
        <v>295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1" t="s">
        <v>295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1" t="s">
        <v>296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1" t="s">
        <v>296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9" t="s">
        <v>266</v>
      </c>
      <c r="Q125" s="90"/>
      <c r="R125" s="90"/>
      <c r="S125" s="90"/>
      <c r="T125" s="90"/>
      <c r="U125" s="90"/>
      <c r="V125" s="90"/>
      <c r="W125" s="90"/>
      <c r="X125" s="2"/>
      <c r="Y125" s="89" t="s">
        <v>267</v>
      </c>
      <c r="Z125" s="90"/>
      <c r="AA125" s="90"/>
      <c r="AB125" s="90"/>
      <c r="AC125" s="90"/>
      <c r="AD125" s="90"/>
      <c r="AE125" s="90"/>
      <c r="AF125" s="90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77</v>
      </c>
      <c r="Q126" s="8" t="s">
        <v>78</v>
      </c>
      <c r="R126" s="8" t="s">
        <v>79</v>
      </c>
      <c r="S126" s="8" t="s">
        <v>80</v>
      </c>
      <c r="T126" s="8" t="s">
        <v>81</v>
      </c>
      <c r="U126" s="8" t="s">
        <v>82</v>
      </c>
      <c r="V126" s="8" t="s">
        <v>83</v>
      </c>
      <c r="W126" s="10" t="s">
        <v>84</v>
      </c>
      <c r="X126" s="2"/>
      <c r="Y126" s="2" t="s">
        <v>77</v>
      </c>
      <c r="Z126" s="8" t="s">
        <v>78</v>
      </c>
      <c r="AA126" s="8" t="s">
        <v>79</v>
      </c>
      <c r="AB126" s="8" t="s">
        <v>80</v>
      </c>
      <c r="AC126" s="8" t="s">
        <v>81</v>
      </c>
      <c r="AD126" s="8" t="s">
        <v>82</v>
      </c>
      <c r="AE126" s="8" t="s">
        <v>83</v>
      </c>
      <c r="AF126" s="10" t="s">
        <v>84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1" t="s">
        <v>288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1" t="s">
        <v>288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1" t="s">
        <v>289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1" t="s">
        <v>289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1" t="s">
        <v>290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1" t="s">
        <v>290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1" t="s">
        <v>291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1" t="s">
        <v>291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1" t="s">
        <v>292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1" t="s">
        <v>292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1" t="s">
        <v>293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1" t="s">
        <v>293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1" t="s">
        <v>294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1" t="s">
        <v>294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1" t="s">
        <v>295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1" t="s">
        <v>295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1" t="s">
        <v>296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1" t="s">
        <v>296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9" t="s">
        <v>268</v>
      </c>
      <c r="Q137" s="90"/>
      <c r="R137" s="90"/>
      <c r="S137" s="90"/>
      <c r="T137" s="90"/>
      <c r="U137" s="90"/>
      <c r="V137" s="90"/>
      <c r="W137" s="90"/>
      <c r="X137" s="2"/>
      <c r="Y137" s="89" t="s">
        <v>269</v>
      </c>
      <c r="Z137" s="90"/>
      <c r="AA137" s="90"/>
      <c r="AB137" s="90"/>
      <c r="AC137" s="90"/>
      <c r="AD137" s="90"/>
      <c r="AE137" s="90"/>
      <c r="AF137" s="90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77</v>
      </c>
      <c r="Q138" s="8" t="s">
        <v>78</v>
      </c>
      <c r="R138" s="8" t="s">
        <v>79</v>
      </c>
      <c r="S138" s="8" t="s">
        <v>80</v>
      </c>
      <c r="T138" s="8" t="s">
        <v>81</v>
      </c>
      <c r="U138" s="8" t="s">
        <v>82</v>
      </c>
      <c r="V138" s="8" t="s">
        <v>83</v>
      </c>
      <c r="W138" s="10" t="s">
        <v>84</v>
      </c>
      <c r="X138" s="2"/>
      <c r="Y138" s="2" t="s">
        <v>77</v>
      </c>
      <c r="Z138" s="8" t="s">
        <v>78</v>
      </c>
      <c r="AA138" s="8" t="s">
        <v>79</v>
      </c>
      <c r="AB138" s="8" t="s">
        <v>80</v>
      </c>
      <c r="AC138" s="8" t="s">
        <v>81</v>
      </c>
      <c r="AD138" s="8" t="s">
        <v>82</v>
      </c>
      <c r="AE138" s="8" t="s">
        <v>83</v>
      </c>
      <c r="AF138" s="10" t="s">
        <v>84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1" t="s">
        <v>297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1" t="s">
        <v>297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1" t="s">
        <v>298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1" t="s">
        <v>298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1" t="s">
        <v>299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1" t="s">
        <v>299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1" t="s">
        <v>300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1" t="s">
        <v>300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1" t="s">
        <v>301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1" t="s">
        <v>301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1" t="s">
        <v>302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1" t="s">
        <v>302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1" t="s">
        <v>303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1" t="s">
        <v>303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9" t="s">
        <v>270</v>
      </c>
      <c r="Q147" s="90"/>
      <c r="R147" s="90"/>
      <c r="S147" s="90"/>
      <c r="T147" s="90"/>
      <c r="U147" s="90"/>
      <c r="V147" s="90"/>
      <c r="W147" s="90"/>
      <c r="X147" s="2"/>
      <c r="Y147" s="89" t="s">
        <v>271</v>
      </c>
      <c r="Z147" s="90"/>
      <c r="AA147" s="90"/>
      <c r="AB147" s="90"/>
      <c r="AC147" s="90"/>
      <c r="AD147" s="90"/>
      <c r="AE147" s="90"/>
      <c r="AF147" s="90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77</v>
      </c>
      <c r="Q148" s="8" t="s">
        <v>78</v>
      </c>
      <c r="R148" s="8" t="s">
        <v>79</v>
      </c>
      <c r="S148" s="8" t="s">
        <v>80</v>
      </c>
      <c r="T148" s="8" t="s">
        <v>81</v>
      </c>
      <c r="U148" s="8" t="s">
        <v>82</v>
      </c>
      <c r="V148" s="8" t="s">
        <v>83</v>
      </c>
      <c r="W148" s="10" t="s">
        <v>84</v>
      </c>
      <c r="X148" s="2"/>
      <c r="Y148" s="2" t="s">
        <v>77</v>
      </c>
      <c r="Z148" s="8" t="s">
        <v>78</v>
      </c>
      <c r="AA148" s="8" t="s">
        <v>79</v>
      </c>
      <c r="AB148" s="8" t="s">
        <v>80</v>
      </c>
      <c r="AC148" s="8" t="s">
        <v>81</v>
      </c>
      <c r="AD148" s="8" t="s">
        <v>82</v>
      </c>
      <c r="AE148" s="8" t="s">
        <v>83</v>
      </c>
      <c r="AF148" s="10" t="s">
        <v>84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1" t="s">
        <v>297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1" t="s">
        <v>297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1" t="s">
        <v>298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1" t="s">
        <v>298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1" t="s">
        <v>299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1" t="s">
        <v>299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1" t="s">
        <v>300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1" t="s">
        <v>300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1" t="s">
        <v>301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1" t="s">
        <v>301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1" t="s">
        <v>302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1" t="s">
        <v>302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1" t="s">
        <v>303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1" t="s">
        <v>303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9" t="s">
        <v>272</v>
      </c>
      <c r="Q157" s="90"/>
      <c r="R157" s="90"/>
      <c r="S157" s="90"/>
      <c r="T157" s="90"/>
      <c r="U157" s="90"/>
      <c r="V157" s="90"/>
      <c r="W157" s="90"/>
      <c r="X157" s="2"/>
      <c r="Y157" s="89" t="s">
        <v>273</v>
      </c>
      <c r="Z157" s="90"/>
      <c r="AA157" s="90"/>
      <c r="AB157" s="90"/>
      <c r="AC157" s="90"/>
      <c r="AD157" s="90"/>
      <c r="AE157" s="90"/>
      <c r="AF157" s="90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77</v>
      </c>
      <c r="Q158" s="8" t="s">
        <v>78</v>
      </c>
      <c r="R158" s="8" t="s">
        <v>79</v>
      </c>
      <c r="S158" s="8" t="s">
        <v>80</v>
      </c>
      <c r="T158" s="8" t="s">
        <v>81</v>
      </c>
      <c r="U158" s="8" t="s">
        <v>82</v>
      </c>
      <c r="V158" s="8" t="s">
        <v>83</v>
      </c>
      <c r="W158" s="10" t="s">
        <v>84</v>
      </c>
      <c r="X158" s="2"/>
      <c r="Y158" s="2" t="s">
        <v>77</v>
      </c>
      <c r="Z158" s="8" t="s">
        <v>78</v>
      </c>
      <c r="AA158" s="8" t="s">
        <v>79</v>
      </c>
      <c r="AB158" s="8" t="s">
        <v>80</v>
      </c>
      <c r="AC158" s="8" t="s">
        <v>81</v>
      </c>
      <c r="AD158" s="8" t="s">
        <v>82</v>
      </c>
      <c r="AE158" s="8" t="s">
        <v>83</v>
      </c>
      <c r="AF158" s="10" t="s">
        <v>84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1" t="s">
        <v>297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1" t="s">
        <v>297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1" t="s">
        <v>298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1" t="s">
        <v>298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1" t="s">
        <v>299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1" t="s">
        <v>299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1" t="s">
        <v>300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1" t="s">
        <v>300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1" t="s">
        <v>301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1" t="s">
        <v>301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1" t="s">
        <v>302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1" t="s">
        <v>302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1" t="s">
        <v>303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1" t="s">
        <v>303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88"/>
      <c r="K167" s="94"/>
      <c r="L167" s="88"/>
      <c r="M167" s="94"/>
      <c r="N167" s="94"/>
      <c r="O167" s="2"/>
      <c r="P167" s="89" t="s">
        <v>274</v>
      </c>
      <c r="Q167" s="90"/>
      <c r="R167" s="90"/>
      <c r="S167" s="90"/>
      <c r="T167" s="90"/>
      <c r="U167" s="90"/>
      <c r="V167" s="90"/>
      <c r="W167" s="90"/>
      <c r="X167" s="2"/>
      <c r="Y167" s="89" t="s">
        <v>275</v>
      </c>
      <c r="Z167" s="90"/>
      <c r="AA167" s="90"/>
      <c r="AB167" s="90"/>
      <c r="AC167" s="90"/>
      <c r="AD167" s="90"/>
      <c r="AE167" s="90"/>
      <c r="AF167" s="90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77</v>
      </c>
      <c r="Q168" s="8" t="s">
        <v>78</v>
      </c>
      <c r="R168" s="8" t="s">
        <v>79</v>
      </c>
      <c r="S168" s="8" t="s">
        <v>80</v>
      </c>
      <c r="T168" s="8" t="s">
        <v>81</v>
      </c>
      <c r="U168" s="8" t="s">
        <v>82</v>
      </c>
      <c r="V168" s="8" t="s">
        <v>83</v>
      </c>
      <c r="W168" s="10" t="s">
        <v>84</v>
      </c>
      <c r="X168" s="2"/>
      <c r="Y168" s="2" t="s">
        <v>77</v>
      </c>
      <c r="Z168" s="8" t="s">
        <v>78</v>
      </c>
      <c r="AA168" s="8" t="s">
        <v>79</v>
      </c>
      <c r="AB168" s="8" t="s">
        <v>80</v>
      </c>
      <c r="AC168" s="8" t="s">
        <v>81</v>
      </c>
      <c r="AD168" s="8" t="s">
        <v>82</v>
      </c>
      <c r="AE168" s="8" t="s">
        <v>83</v>
      </c>
      <c r="AF168" s="10" t="s">
        <v>84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1" t="s">
        <v>304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1" t="s">
        <v>304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1" t="s">
        <v>305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1" t="s">
        <v>305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1" t="s">
        <v>306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1" t="s">
        <v>306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9" t="s">
        <v>276</v>
      </c>
      <c r="Q173" s="90"/>
      <c r="R173" s="90"/>
      <c r="S173" s="90"/>
      <c r="T173" s="90"/>
      <c r="U173" s="90"/>
      <c r="V173" s="90"/>
      <c r="W173" s="90"/>
      <c r="X173" s="2"/>
      <c r="Y173" s="89" t="s">
        <v>277</v>
      </c>
      <c r="Z173" s="90"/>
      <c r="AA173" s="90"/>
      <c r="AB173" s="90"/>
      <c r="AC173" s="90"/>
      <c r="AD173" s="90"/>
      <c r="AE173" s="90"/>
      <c r="AF173" s="90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77</v>
      </c>
      <c r="Q174" s="8" t="s">
        <v>78</v>
      </c>
      <c r="R174" s="8" t="s">
        <v>79</v>
      </c>
      <c r="S174" s="8" t="s">
        <v>80</v>
      </c>
      <c r="T174" s="8" t="s">
        <v>81</v>
      </c>
      <c r="U174" s="8" t="s">
        <v>82</v>
      </c>
      <c r="V174" s="8" t="s">
        <v>83</v>
      </c>
      <c r="W174" s="10" t="s">
        <v>84</v>
      </c>
      <c r="X174" s="2"/>
      <c r="Y174" s="2" t="s">
        <v>77</v>
      </c>
      <c r="Z174" s="8" t="s">
        <v>78</v>
      </c>
      <c r="AA174" s="8" t="s">
        <v>79</v>
      </c>
      <c r="AB174" s="8" t="s">
        <v>80</v>
      </c>
      <c r="AC174" s="8" t="s">
        <v>81</v>
      </c>
      <c r="AD174" s="8" t="s">
        <v>82</v>
      </c>
      <c r="AE174" s="8" t="s">
        <v>83</v>
      </c>
      <c r="AF174" s="10" t="s">
        <v>84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1" t="s">
        <v>304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1" t="s">
        <v>304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1" t="s">
        <v>305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1" t="s">
        <v>305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1" t="s">
        <v>306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1" t="s">
        <v>306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9" t="s">
        <v>278</v>
      </c>
      <c r="Q179" s="90"/>
      <c r="R179" s="90"/>
      <c r="S179" s="90"/>
      <c r="T179" s="90"/>
      <c r="U179" s="90"/>
      <c r="V179" s="90"/>
      <c r="W179" s="90"/>
      <c r="X179" s="2"/>
      <c r="Y179" s="89" t="s">
        <v>279</v>
      </c>
      <c r="Z179" s="90"/>
      <c r="AA179" s="90"/>
      <c r="AB179" s="90"/>
      <c r="AC179" s="90"/>
      <c r="AD179" s="90"/>
      <c r="AE179" s="90"/>
      <c r="AF179" s="90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77</v>
      </c>
      <c r="Q180" s="8" t="s">
        <v>78</v>
      </c>
      <c r="R180" s="8" t="s">
        <v>79</v>
      </c>
      <c r="S180" s="8" t="s">
        <v>80</v>
      </c>
      <c r="T180" s="8" t="s">
        <v>81</v>
      </c>
      <c r="U180" s="8" t="s">
        <v>82</v>
      </c>
      <c r="V180" s="8" t="s">
        <v>83</v>
      </c>
      <c r="W180" s="10" t="s">
        <v>84</v>
      </c>
      <c r="X180" s="2"/>
      <c r="Y180" s="2" t="s">
        <v>77</v>
      </c>
      <c r="Z180" s="8" t="s">
        <v>78</v>
      </c>
      <c r="AA180" s="8" t="s">
        <v>79</v>
      </c>
      <c r="AB180" s="8" t="s">
        <v>80</v>
      </c>
      <c r="AC180" s="8" t="s">
        <v>81</v>
      </c>
      <c r="AD180" s="8" t="s">
        <v>82</v>
      </c>
      <c r="AE180" s="8" t="s">
        <v>83</v>
      </c>
      <c r="AF180" s="10" t="s">
        <v>84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1" t="s">
        <v>304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1" t="s">
        <v>304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1" t="s">
        <v>305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1" t="s">
        <v>305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1" t="s">
        <v>306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1" t="s">
        <v>306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9" t="s">
        <v>280</v>
      </c>
      <c r="Q185" s="90"/>
      <c r="R185" s="90"/>
      <c r="S185" s="90"/>
      <c r="T185" s="90"/>
      <c r="U185" s="90"/>
      <c r="V185" s="90"/>
      <c r="W185" s="90"/>
      <c r="X185" s="2"/>
      <c r="Y185" s="89" t="s">
        <v>281</v>
      </c>
      <c r="Z185" s="90"/>
      <c r="AA185" s="90"/>
      <c r="AB185" s="90"/>
      <c r="AC185" s="90"/>
      <c r="AD185" s="90"/>
      <c r="AE185" s="90"/>
      <c r="AF185" s="90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77</v>
      </c>
      <c r="Q186" s="8" t="s">
        <v>78</v>
      </c>
      <c r="R186" s="8" t="s">
        <v>79</v>
      </c>
      <c r="S186" s="8" t="s">
        <v>80</v>
      </c>
      <c r="T186" s="8" t="s">
        <v>81</v>
      </c>
      <c r="U186" s="8" t="s">
        <v>82</v>
      </c>
      <c r="V186" s="8" t="s">
        <v>83</v>
      </c>
      <c r="W186" s="10" t="s">
        <v>84</v>
      </c>
      <c r="X186" s="2"/>
      <c r="Y186" s="2" t="s">
        <v>77</v>
      </c>
      <c r="Z186" s="8" t="s">
        <v>78</v>
      </c>
      <c r="AA186" s="8" t="s">
        <v>79</v>
      </c>
      <c r="AB186" s="8" t="s">
        <v>80</v>
      </c>
      <c r="AC186" s="8" t="s">
        <v>81</v>
      </c>
      <c r="AD186" s="8" t="s">
        <v>82</v>
      </c>
      <c r="AE186" s="8" t="s">
        <v>83</v>
      </c>
      <c r="AF186" s="10" t="s">
        <v>84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1" t="s">
        <v>282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1" t="s">
        <v>282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1" t="s">
        <v>307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1" t="s">
        <v>307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1" t="s">
        <v>308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1" t="s">
        <v>308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1" t="s">
        <v>245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1" t="s">
        <v>245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1" t="s">
        <v>283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1" t="s">
        <v>283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1" t="s">
        <v>309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1" t="s">
        <v>309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1" t="s">
        <v>310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1" t="s">
        <v>310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1" t="s">
        <v>311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1" t="s">
        <v>311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9" t="s">
        <v>284</v>
      </c>
      <c r="Q196" s="90"/>
      <c r="R196" s="90"/>
      <c r="S196" s="90"/>
      <c r="T196" s="90"/>
      <c r="U196" s="90"/>
      <c r="V196" s="90"/>
      <c r="W196" s="90"/>
      <c r="X196" s="2"/>
      <c r="Y196" s="89" t="s">
        <v>285</v>
      </c>
      <c r="Z196" s="90"/>
      <c r="AA196" s="90"/>
      <c r="AB196" s="90"/>
      <c r="AC196" s="90"/>
      <c r="AD196" s="90"/>
      <c r="AE196" s="90"/>
      <c r="AF196" s="90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77</v>
      </c>
      <c r="Q197" s="8" t="s">
        <v>78</v>
      </c>
      <c r="R197" s="8" t="s">
        <v>79</v>
      </c>
      <c r="S197" s="8" t="s">
        <v>80</v>
      </c>
      <c r="T197" s="8" t="s">
        <v>81</v>
      </c>
      <c r="U197" s="8" t="s">
        <v>82</v>
      </c>
      <c r="V197" s="8" t="s">
        <v>83</v>
      </c>
      <c r="W197" s="10" t="s">
        <v>84</v>
      </c>
      <c r="X197" s="2"/>
      <c r="Y197" s="2" t="s">
        <v>77</v>
      </c>
      <c r="Z197" s="8" t="s">
        <v>78</v>
      </c>
      <c r="AA197" s="8" t="s">
        <v>79</v>
      </c>
      <c r="AB197" s="8" t="s">
        <v>80</v>
      </c>
      <c r="AC197" s="8" t="s">
        <v>81</v>
      </c>
      <c r="AD197" s="8" t="s">
        <v>82</v>
      </c>
      <c r="AE197" s="8" t="s">
        <v>83</v>
      </c>
      <c r="AF197" s="10" t="s">
        <v>84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1" t="s">
        <v>282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1" t="s">
        <v>282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1" t="s">
        <v>307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1" t="s">
        <v>307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1" t="s">
        <v>308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1" t="s">
        <v>308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1" t="s">
        <v>245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1" t="s">
        <v>245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1" t="s">
        <v>283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1" t="s">
        <v>283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1" t="s">
        <v>309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1" t="s">
        <v>309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1" t="s">
        <v>310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1" t="s">
        <v>310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1" t="s">
        <v>311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1" t="s">
        <v>311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9" t="s">
        <v>286</v>
      </c>
      <c r="Q207" s="90"/>
      <c r="R207" s="90"/>
      <c r="S207" s="90"/>
      <c r="T207" s="90"/>
      <c r="U207" s="90"/>
      <c r="V207" s="90"/>
      <c r="W207" s="90"/>
      <c r="X207" s="2"/>
      <c r="Y207" s="89" t="s">
        <v>287</v>
      </c>
      <c r="Z207" s="90"/>
      <c r="AA207" s="90"/>
      <c r="AB207" s="90"/>
      <c r="AC207" s="90"/>
      <c r="AD207" s="90"/>
      <c r="AE207" s="90"/>
      <c r="AF207" s="90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77</v>
      </c>
      <c r="Q208" s="8" t="s">
        <v>78</v>
      </c>
      <c r="R208" s="8" t="s">
        <v>79</v>
      </c>
      <c r="S208" s="8" t="s">
        <v>80</v>
      </c>
      <c r="T208" s="8" t="s">
        <v>81</v>
      </c>
      <c r="U208" s="8" t="s">
        <v>82</v>
      </c>
      <c r="V208" s="8" t="s">
        <v>83</v>
      </c>
      <c r="W208" s="10" t="s">
        <v>84</v>
      </c>
      <c r="X208" s="2"/>
      <c r="Y208" s="2" t="s">
        <v>77</v>
      </c>
      <c r="Z208" s="8" t="s">
        <v>78</v>
      </c>
      <c r="AA208" s="8" t="s">
        <v>79</v>
      </c>
      <c r="AB208" s="8" t="s">
        <v>80</v>
      </c>
      <c r="AC208" s="8" t="s">
        <v>81</v>
      </c>
      <c r="AD208" s="8" t="s">
        <v>82</v>
      </c>
      <c r="AE208" s="8" t="s">
        <v>83</v>
      </c>
      <c r="AF208" s="10" t="s">
        <v>84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1" t="s">
        <v>282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1" t="s">
        <v>282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1" t="s">
        <v>307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1" t="s">
        <v>307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1" t="s">
        <v>308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1" t="s">
        <v>308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1" t="s">
        <v>245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1" t="s">
        <v>245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1" t="s">
        <v>283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1" t="s">
        <v>283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1" t="s">
        <v>309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1" t="s">
        <v>309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1" t="s">
        <v>310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1" t="s">
        <v>310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88"/>
      <c r="K216" s="94"/>
      <c r="L216" s="88"/>
      <c r="M216" s="94"/>
      <c r="N216" s="94"/>
      <c r="O216" s="2"/>
      <c r="P216" s="31" t="s">
        <v>311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1" t="s">
        <v>311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50" t="s">
        <v>330</v>
      </c>
      <c r="G1" s="150"/>
      <c r="H1" s="150"/>
      <c r="I1" s="150"/>
      <c r="J1" s="150"/>
      <c r="K1" s="150"/>
      <c r="M1" s="68" t="s">
        <v>345</v>
      </c>
      <c r="AJ1" s="87" t="s">
        <v>70</v>
      </c>
      <c r="AK1" s="88"/>
    </row>
    <row r="2" spans="1:41" ht="18" customHeight="1" thickBot="1">
      <c r="A2" s="89" t="s">
        <v>313</v>
      </c>
      <c r="B2" s="90"/>
      <c r="C2" s="90"/>
      <c r="D2" s="90"/>
      <c r="E2" s="90"/>
      <c r="F2" s="90"/>
      <c r="G2" s="90"/>
      <c r="H2" s="90"/>
      <c r="J2" s="89" t="s">
        <v>314</v>
      </c>
      <c r="K2" s="89"/>
      <c r="L2" s="89"/>
      <c r="M2" s="89"/>
      <c r="N2" s="89"/>
      <c r="O2" s="89"/>
      <c r="P2" s="89"/>
      <c r="Q2" s="89"/>
      <c r="R2" s="2"/>
      <c r="S2" s="89" t="s">
        <v>331</v>
      </c>
      <c r="T2" s="89"/>
      <c r="U2" s="89"/>
      <c r="V2" s="89"/>
      <c r="W2" s="89"/>
      <c r="X2" s="89"/>
      <c r="Y2" s="89"/>
      <c r="Z2" s="89"/>
      <c r="AB2" s="89" t="s">
        <v>333</v>
      </c>
      <c r="AC2" s="90"/>
      <c r="AD2" s="90"/>
      <c r="AE2" s="90"/>
      <c r="AF2" s="90"/>
      <c r="AG2" s="90"/>
      <c r="AH2" s="90"/>
      <c r="AI2" s="90"/>
      <c r="AJ2" s="1" t="s">
        <v>7</v>
      </c>
      <c r="AK2" t="s">
        <v>76</v>
      </c>
    </row>
    <row r="3" spans="1:41" ht="15.75" customHeight="1" thickTop="1">
      <c r="A3" s="6" t="str">
        <f>CONCATENATE("TOTAL: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CONCATENATE("TOTAL: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CONCATENATE("TOTAL: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CONCATENATE("TOTAL: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88"/>
      <c r="AK3" s="88"/>
    </row>
    <row r="4" spans="1:41">
      <c r="A4" t="s">
        <v>77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82</v>
      </c>
      <c r="G4" s="3" t="s">
        <v>83</v>
      </c>
      <c r="H4" s="10" t="s">
        <v>84</v>
      </c>
      <c r="J4" t="s">
        <v>77</v>
      </c>
      <c r="K4" s="3" t="s">
        <v>78</v>
      </c>
      <c r="L4" s="3" t="s">
        <v>79</v>
      </c>
      <c r="M4" s="3" t="s">
        <v>80</v>
      </c>
      <c r="N4" s="3" t="s">
        <v>81</v>
      </c>
      <c r="O4" s="3" t="s">
        <v>82</v>
      </c>
      <c r="P4" s="3" t="s">
        <v>83</v>
      </c>
      <c r="Q4" s="8" t="s">
        <v>84</v>
      </c>
      <c r="S4" t="s">
        <v>77</v>
      </c>
      <c r="T4" s="3" t="s">
        <v>78</v>
      </c>
      <c r="U4" s="3" t="s">
        <v>79</v>
      </c>
      <c r="V4" s="3" t="s">
        <v>80</v>
      </c>
      <c r="W4" s="3" t="s">
        <v>81</v>
      </c>
      <c r="X4" s="3" t="s">
        <v>82</v>
      </c>
      <c r="Y4" s="3" t="s">
        <v>83</v>
      </c>
      <c r="Z4" s="8" t="s">
        <v>84</v>
      </c>
      <c r="AB4" t="s">
        <v>77</v>
      </c>
      <c r="AC4" s="3" t="s">
        <v>78</v>
      </c>
      <c r="AD4" s="3" t="s">
        <v>79</v>
      </c>
      <c r="AE4" s="3" t="s">
        <v>80</v>
      </c>
      <c r="AF4" s="3" t="s">
        <v>81</v>
      </c>
      <c r="AG4" s="3" t="s">
        <v>82</v>
      </c>
      <c r="AH4" s="3" t="s">
        <v>83</v>
      </c>
      <c r="AI4" s="8" t="s">
        <v>84</v>
      </c>
    </row>
    <row r="5" spans="1:41">
      <c r="A5" s="4" t="s">
        <v>315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245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332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319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53" t="s">
        <v>126</v>
      </c>
      <c r="AK5" s="153"/>
    </row>
    <row r="6" spans="1:41">
      <c r="A6" s="4" t="s">
        <v>316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328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53"/>
      <c r="AK6" s="153"/>
    </row>
    <row r="7" spans="1:41" ht="18" customHeight="1" thickBot="1">
      <c r="A7" s="4" t="s">
        <v>307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329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9" t="s">
        <v>334</v>
      </c>
      <c r="T7" s="89"/>
      <c r="U7" s="89"/>
      <c r="V7" s="89"/>
      <c r="W7" s="89"/>
      <c r="X7" s="89"/>
      <c r="Y7" s="89"/>
      <c r="Z7" s="89"/>
      <c r="AB7" s="89" t="s">
        <v>335</v>
      </c>
      <c r="AC7" s="89"/>
      <c r="AD7" s="89"/>
      <c r="AE7" s="89"/>
      <c r="AF7" s="89"/>
      <c r="AG7" s="89"/>
      <c r="AH7" s="89"/>
      <c r="AI7" s="89"/>
      <c r="AJ7" s="153"/>
      <c r="AK7" s="153"/>
      <c r="AL7" s="69"/>
      <c r="AM7" s="69"/>
      <c r="AN7" s="69"/>
      <c r="AO7" s="69"/>
    </row>
    <row r="8" spans="1:41" ht="15.75" customHeight="1" thickTop="1">
      <c r="A8" s="4" t="s">
        <v>308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96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CONCATENATE("TOTAL: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CONCATENATE("TOTAL: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53"/>
      <c r="AK8" s="153"/>
      <c r="AL8" s="69"/>
      <c r="AM8" s="69"/>
      <c r="AN8" s="69"/>
      <c r="AO8" s="69"/>
    </row>
    <row r="9" spans="1:41" ht="15" customHeight="1">
      <c r="A9" s="4" t="s">
        <v>245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77</v>
      </c>
      <c r="T9" s="3" t="s">
        <v>78</v>
      </c>
      <c r="U9" s="3" t="s">
        <v>79</v>
      </c>
      <c r="V9" s="3" t="s">
        <v>80</v>
      </c>
      <c r="W9" s="3" t="s">
        <v>81</v>
      </c>
      <c r="X9" s="3" t="s">
        <v>82</v>
      </c>
      <c r="Y9" s="3" t="s">
        <v>83</v>
      </c>
      <c r="Z9" s="8" t="s">
        <v>84</v>
      </c>
      <c r="AB9" t="s">
        <v>77</v>
      </c>
      <c r="AC9" s="3" t="s">
        <v>78</v>
      </c>
      <c r="AD9" s="3" t="s">
        <v>79</v>
      </c>
      <c r="AE9" s="3" t="s">
        <v>80</v>
      </c>
      <c r="AF9" s="3" t="s">
        <v>81</v>
      </c>
      <c r="AG9" s="3" t="s">
        <v>82</v>
      </c>
      <c r="AH9" s="3" t="s">
        <v>83</v>
      </c>
      <c r="AI9" s="8" t="s">
        <v>84</v>
      </c>
      <c r="AJ9" s="153"/>
      <c r="AK9" s="153"/>
      <c r="AL9" s="69"/>
      <c r="AM9" s="69"/>
      <c r="AN9" s="69"/>
      <c r="AO9" s="69"/>
    </row>
    <row r="10" spans="1:41" ht="15" customHeight="1">
      <c r="A10" s="4" t="s">
        <v>317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318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336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53"/>
      <c r="AK10" s="153"/>
      <c r="AL10" s="69"/>
      <c r="AM10" s="69"/>
      <c r="AN10" s="69"/>
      <c r="AO10" s="69"/>
    </row>
    <row r="11" spans="1:41" ht="15" customHeight="1">
      <c r="A11" s="4" t="s">
        <v>309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53"/>
      <c r="AK11" s="153"/>
      <c r="AL11" s="69"/>
      <c r="AM11" s="69"/>
      <c r="AN11" s="69"/>
      <c r="AO11" s="69"/>
    </row>
    <row r="12" spans="1:41" ht="18" customHeight="1" thickBot="1">
      <c r="A12" s="31" t="s">
        <v>310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6">
        <f>SUM(EPV_PARALISIS_FLACIDA_AGUDA62[[#This Row],[D1]:[D6]])</f>
        <v>0</v>
      </c>
      <c r="J12" s="89" t="s">
        <v>337</v>
      </c>
      <c r="K12" s="89"/>
      <c r="L12" s="89"/>
      <c r="M12" s="89"/>
      <c r="N12" s="89"/>
      <c r="O12" s="89"/>
      <c r="P12" s="89"/>
      <c r="Q12" s="89"/>
      <c r="S12" s="89" t="s">
        <v>339</v>
      </c>
      <c r="T12" s="89"/>
      <c r="U12" s="89"/>
      <c r="V12" s="89"/>
      <c r="W12" s="89"/>
      <c r="X12" s="89"/>
      <c r="Y12" s="89"/>
      <c r="Z12" s="89"/>
      <c r="AB12" s="89" t="s">
        <v>340</v>
      </c>
      <c r="AC12" s="89"/>
      <c r="AD12" s="89"/>
      <c r="AE12" s="89"/>
      <c r="AF12" s="89"/>
      <c r="AG12" s="89"/>
      <c r="AH12" s="89"/>
      <c r="AI12" s="89"/>
      <c r="AJ12" s="153"/>
      <c r="AK12" s="153"/>
      <c r="AL12" s="69"/>
      <c r="AM12" s="69"/>
      <c r="AN12" s="69"/>
      <c r="AO12" s="69"/>
    </row>
    <row r="13" spans="1:41" ht="15.75" customHeight="1" thickTop="1">
      <c r="A13" s="31" t="s">
        <v>311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6">
        <f>SUM(EPV_PARALISIS_FLACIDA_AGUDA62[[#This Row],[D1]:[D6]])</f>
        <v>0</v>
      </c>
      <c r="J13" s="6" t="str">
        <f>CONCATENATE("TOTAL: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CONCATENATE("TOTAL: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CONCATENATE("TOTAL: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53"/>
      <c r="AK13" s="153"/>
      <c r="AL13" s="69"/>
      <c r="AM13" s="69"/>
      <c r="AN13" s="69"/>
      <c r="AO13" s="69"/>
    </row>
    <row r="14" spans="1:41" ht="15" customHeight="1">
      <c r="A14" s="31" t="s">
        <v>318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6">
        <f>SUM(EPV_PARALISIS_FLACIDA_AGUDA62[[#This Row],[D1]:[D6]])</f>
        <v>0</v>
      </c>
      <c r="J14" t="s">
        <v>77</v>
      </c>
      <c r="K14" s="3" t="s">
        <v>78</v>
      </c>
      <c r="L14" s="3" t="s">
        <v>79</v>
      </c>
      <c r="M14" s="3" t="s">
        <v>80</v>
      </c>
      <c r="N14" s="3" t="s">
        <v>81</v>
      </c>
      <c r="O14" s="3" t="s">
        <v>82</v>
      </c>
      <c r="P14" s="3" t="s">
        <v>83</v>
      </c>
      <c r="Q14" s="8" t="s">
        <v>84</v>
      </c>
      <c r="S14" t="s">
        <v>77</v>
      </c>
      <c r="T14" s="3" t="s">
        <v>78</v>
      </c>
      <c r="U14" s="3" t="s">
        <v>79</v>
      </c>
      <c r="V14" s="3" t="s">
        <v>80</v>
      </c>
      <c r="W14" s="3" t="s">
        <v>81</v>
      </c>
      <c r="X14" s="3" t="s">
        <v>82</v>
      </c>
      <c r="Y14" s="3" t="s">
        <v>83</v>
      </c>
      <c r="Z14" s="8" t="s">
        <v>84</v>
      </c>
      <c r="AB14" t="s">
        <v>77</v>
      </c>
      <c r="AC14" s="3" t="s">
        <v>78</v>
      </c>
      <c r="AD14" s="3" t="s">
        <v>79</v>
      </c>
      <c r="AE14" s="3" t="s">
        <v>80</v>
      </c>
      <c r="AF14" s="3" t="s">
        <v>81</v>
      </c>
      <c r="AG14" s="3" t="s">
        <v>82</v>
      </c>
      <c r="AH14" s="3" t="s">
        <v>83</v>
      </c>
      <c r="AI14" s="8" t="s">
        <v>84</v>
      </c>
      <c r="AJ14" s="153"/>
      <c r="AK14" s="153"/>
      <c r="AL14" s="69"/>
      <c r="AM14" s="69"/>
      <c r="AN14" s="69"/>
      <c r="AO14" s="69"/>
    </row>
    <row r="15" spans="1:41" ht="15" customHeight="1">
      <c r="A15" s="31" t="s">
        <v>319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6">
        <f>SUM(EPV_PARALISIS_FLACIDA_AGUDA62[[#This Row],[D1]:[D6]])</f>
        <v>0</v>
      </c>
      <c r="J15" s="4" t="s">
        <v>338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220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117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53"/>
      <c r="AK15" s="153"/>
      <c r="AL15" s="69"/>
      <c r="AM15" s="69"/>
      <c r="AN15" s="69"/>
      <c r="AO15" s="69"/>
    </row>
    <row r="16" spans="1:41" ht="15" customHeight="1">
      <c r="A16" s="31" t="s">
        <v>320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6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53"/>
      <c r="AK16" s="153"/>
      <c r="AL16" s="69"/>
      <c r="AM16" s="69"/>
      <c r="AN16" s="69"/>
      <c r="AO16" s="69"/>
    </row>
    <row r="17" spans="1:41" s="2" customFormat="1" ht="18" customHeight="1" thickBot="1">
      <c r="A17" s="31" t="s">
        <v>241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6">
        <f>SUM(EPV_PARALISIS_FLACIDA_AGUDA62[[#This Row],[D1]:[D6]])</f>
        <v>0</v>
      </c>
      <c r="J17" s="89" t="s">
        <v>341</v>
      </c>
      <c r="K17" s="89"/>
      <c r="L17" s="89"/>
      <c r="M17" s="89"/>
      <c r="N17" s="89"/>
      <c r="O17" s="89"/>
      <c r="P17" s="89"/>
      <c r="Q17" s="89"/>
      <c r="S17" s="89" t="s">
        <v>75</v>
      </c>
      <c r="T17" s="89"/>
      <c r="U17" s="89"/>
      <c r="V17" s="89"/>
      <c r="W17" s="89"/>
      <c r="X17" s="89"/>
      <c r="Y17" s="89"/>
      <c r="Z17" s="89"/>
      <c r="AB17" s="89" t="s">
        <v>347</v>
      </c>
      <c r="AC17" s="89"/>
      <c r="AD17" s="89"/>
      <c r="AE17" s="89"/>
      <c r="AF17" s="89"/>
      <c r="AG17" s="89"/>
      <c r="AH17" s="89"/>
      <c r="AI17" s="89"/>
      <c r="AJ17" s="153"/>
      <c r="AK17" s="153"/>
      <c r="AL17" s="69"/>
      <c r="AM17" s="69"/>
      <c r="AN17" s="69"/>
      <c r="AO17" s="69"/>
    </row>
    <row r="18" spans="1:41" s="2" customFormat="1" ht="15.75" customHeight="1" thickTop="1">
      <c r="A18" s="31" t="s">
        <v>321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6">
        <f>SUM(EPV_PARALISIS_FLACIDA_AGUDA62[[#This Row],[D1]:[D6]])</f>
        <v>0</v>
      </c>
      <c r="J18" s="6" t="str">
        <f>CONCATENATE("TOTAL: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CONCATENATE("TOTAL: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CONCATENATE("TOTAL: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53"/>
      <c r="AK18" s="153"/>
      <c r="AL18" s="69"/>
      <c r="AM18" s="69"/>
      <c r="AN18" s="69"/>
      <c r="AO18" s="69"/>
    </row>
    <row r="19" spans="1:41" s="2" customFormat="1" ht="15" customHeight="1">
      <c r="A19" s="31" t="s">
        <v>322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6">
        <f>SUM(EPV_PARALISIS_FLACIDA_AGUDA62[[#This Row],[D1]:[D6]])</f>
        <v>0</v>
      </c>
      <c r="J19" t="s">
        <v>77</v>
      </c>
      <c r="K19" s="3" t="s">
        <v>78</v>
      </c>
      <c r="L19" s="3" t="s">
        <v>79</v>
      </c>
      <c r="M19" s="3" t="s">
        <v>80</v>
      </c>
      <c r="N19" s="3" t="s">
        <v>81</v>
      </c>
      <c r="O19" s="3" t="s">
        <v>82</v>
      </c>
      <c r="P19" s="3" t="s">
        <v>83</v>
      </c>
      <c r="Q19" s="8" t="s">
        <v>84</v>
      </c>
      <c r="S19" t="s">
        <v>77</v>
      </c>
      <c r="T19" s="3" t="s">
        <v>78</v>
      </c>
      <c r="U19" s="3" t="s">
        <v>79</v>
      </c>
      <c r="V19" s="3" t="s">
        <v>80</v>
      </c>
      <c r="W19" s="3" t="s">
        <v>81</v>
      </c>
      <c r="X19" s="3" t="s">
        <v>82</v>
      </c>
      <c r="Y19" s="3" t="s">
        <v>83</v>
      </c>
      <c r="Z19" s="8" t="s">
        <v>84</v>
      </c>
      <c r="AB19" t="s">
        <v>77</v>
      </c>
      <c r="AC19" s="3" t="s">
        <v>78</v>
      </c>
      <c r="AD19" s="3" t="s">
        <v>79</v>
      </c>
      <c r="AE19" s="3" t="s">
        <v>80</v>
      </c>
      <c r="AF19" s="3" t="s">
        <v>81</v>
      </c>
      <c r="AG19" s="3" t="s">
        <v>82</v>
      </c>
      <c r="AH19" s="3" t="s">
        <v>83</v>
      </c>
      <c r="AI19" s="8" t="s">
        <v>84</v>
      </c>
      <c r="AJ19" s="153"/>
      <c r="AK19" s="153"/>
      <c r="AL19" s="69"/>
      <c r="AM19" s="69"/>
      <c r="AN19" s="69"/>
      <c r="AO19" s="69"/>
    </row>
    <row r="20" spans="1:41" s="2" customFormat="1" ht="15" customHeight="1">
      <c r="A20" s="31" t="s">
        <v>323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6">
        <f>SUM(EPV_PARALISIS_FLACIDA_AGUDA62[[#This Row],[D1]:[D6]])</f>
        <v>0</v>
      </c>
      <c r="J20" s="4" t="s">
        <v>342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346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348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53"/>
      <c r="AK20" s="153"/>
      <c r="AL20" s="69"/>
      <c r="AM20" s="69"/>
      <c r="AN20" s="69"/>
      <c r="AO20" s="69"/>
    </row>
    <row r="21" spans="1:41" s="2" customFormat="1" ht="15" customHeight="1">
      <c r="A21" s="31" t="s">
        <v>324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6">
        <f>SUM(EPV_PARALISIS_FLACIDA_AGUDA62[[#This Row],[D1]:[D6]])</f>
        <v>0</v>
      </c>
      <c r="J21"/>
      <c r="K21"/>
      <c r="L21"/>
      <c r="M21"/>
      <c r="N21"/>
      <c r="O21"/>
      <c r="P21"/>
      <c r="AJ21" s="153"/>
      <c r="AK21" s="153"/>
      <c r="AL21" s="69"/>
      <c r="AM21" s="69"/>
      <c r="AN21" s="69"/>
      <c r="AO21" s="69"/>
    </row>
    <row r="22" spans="1:41" s="2" customFormat="1" ht="18" customHeight="1" thickBot="1">
      <c r="A22" s="31" t="s">
        <v>325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6">
        <f>SUM(EPV_PARALISIS_FLACIDA_AGUDA62[[#This Row],[D1]:[D6]])</f>
        <v>0</v>
      </c>
      <c r="J22" s="89" t="s">
        <v>344</v>
      </c>
      <c r="K22" s="89"/>
      <c r="L22" s="89"/>
      <c r="M22" s="89"/>
      <c r="N22" s="89"/>
      <c r="O22" s="89"/>
      <c r="P22" s="89"/>
      <c r="Q22" s="89"/>
      <c r="S22" s="89" t="s">
        <v>349</v>
      </c>
      <c r="T22" s="89"/>
      <c r="U22" s="89"/>
      <c r="V22" s="89"/>
      <c r="W22" s="89"/>
      <c r="X22" s="89"/>
      <c r="Y22" s="89"/>
      <c r="Z22" s="89"/>
      <c r="AB22" s="89" t="s">
        <v>353</v>
      </c>
      <c r="AC22" s="89"/>
      <c r="AD22" s="89"/>
      <c r="AE22" s="89"/>
      <c r="AF22" s="89"/>
      <c r="AG22" s="89"/>
      <c r="AH22" s="89"/>
      <c r="AI22" s="89"/>
      <c r="AJ22" s="153"/>
      <c r="AK22" s="153"/>
      <c r="AL22" s="69"/>
      <c r="AM22" s="69"/>
      <c r="AN22" s="69"/>
      <c r="AO22" s="69"/>
    </row>
    <row r="23" spans="1:41" s="2" customFormat="1" ht="15.75" customHeight="1" thickTop="1">
      <c r="A23" s="31" t="s">
        <v>326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6">
        <f>SUM(EPV_PARALISIS_FLACIDA_AGUDA62[[#This Row],[D1]:[D6]])</f>
        <v>0</v>
      </c>
      <c r="J23" s="6" t="str">
        <f>CONCATENATE("TOTAL: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CONCATENATE("TOTAL: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CONCATENATE("TOTAL: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53"/>
      <c r="AK23" s="153"/>
      <c r="AL23" s="69"/>
      <c r="AM23" s="69"/>
      <c r="AN23" s="69"/>
      <c r="AO23" s="69"/>
    </row>
    <row r="24" spans="1:41" s="2" customFormat="1" ht="15" customHeight="1">
      <c r="A24" s="31" t="s">
        <v>327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6">
        <f>SUM(EPV_PARALISIS_FLACIDA_AGUDA62[[#This Row],[D1]:[D6]])</f>
        <v>0</v>
      </c>
      <c r="J24" t="s">
        <v>77</v>
      </c>
      <c r="K24" s="3" t="s">
        <v>78</v>
      </c>
      <c r="L24" s="3" t="s">
        <v>79</v>
      </c>
      <c r="M24" s="3" t="s">
        <v>80</v>
      </c>
      <c r="N24" s="3" t="s">
        <v>81</v>
      </c>
      <c r="O24" s="3" t="s">
        <v>82</v>
      </c>
      <c r="P24" s="3" t="s">
        <v>83</v>
      </c>
      <c r="Q24" s="8" t="s">
        <v>84</v>
      </c>
      <c r="S24" t="s">
        <v>77</v>
      </c>
      <c r="T24" s="3" t="s">
        <v>78</v>
      </c>
      <c r="U24" s="3" t="s">
        <v>79</v>
      </c>
      <c r="V24" s="3" t="s">
        <v>80</v>
      </c>
      <c r="W24" s="3" t="s">
        <v>81</v>
      </c>
      <c r="X24" s="3" t="s">
        <v>82</v>
      </c>
      <c r="Y24" s="3" t="s">
        <v>83</v>
      </c>
      <c r="Z24" s="8" t="s">
        <v>84</v>
      </c>
      <c r="AB24" t="s">
        <v>77</v>
      </c>
      <c r="AC24" s="3" t="s">
        <v>78</v>
      </c>
      <c r="AD24" s="3" t="s">
        <v>79</v>
      </c>
      <c r="AE24" s="3" t="s">
        <v>80</v>
      </c>
      <c r="AF24" s="3" t="s">
        <v>81</v>
      </c>
      <c r="AG24" s="3" t="s">
        <v>82</v>
      </c>
      <c r="AH24" s="3" t="s">
        <v>83</v>
      </c>
      <c r="AI24" s="8" t="s">
        <v>84</v>
      </c>
      <c r="AJ24" s="153"/>
      <c r="AK24" s="153"/>
      <c r="AL24" s="69"/>
      <c r="AM24" s="69"/>
      <c r="AN24" s="69"/>
      <c r="AO24" s="69"/>
    </row>
    <row r="25" spans="1:41" ht="15" customHeight="1">
      <c r="J25" s="4" t="s">
        <v>343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350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354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53"/>
      <c r="AK25" s="153"/>
      <c r="AL25" s="69"/>
      <c r="AM25" s="69"/>
      <c r="AN25" s="69"/>
      <c r="AO25" s="69"/>
    </row>
    <row r="26" spans="1:41" ht="15" customHeight="1">
      <c r="S26" s="31" t="s">
        <v>351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1" t="s">
        <v>355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53"/>
      <c r="AK26" s="153"/>
      <c r="AL26" s="69"/>
      <c r="AM26" s="69"/>
      <c r="AN26" s="69"/>
      <c r="AO26" s="69"/>
    </row>
    <row r="27" spans="1:41" ht="15" customHeight="1" thickBot="1">
      <c r="A27" s="89" t="s">
        <v>361</v>
      </c>
      <c r="B27" s="89"/>
      <c r="C27" s="89"/>
      <c r="D27" s="89"/>
      <c r="E27" s="89"/>
      <c r="F27" s="89"/>
      <c r="G27" s="89"/>
      <c r="H27" s="89"/>
      <c r="J27" s="89" t="s">
        <v>360</v>
      </c>
      <c r="K27" s="89"/>
      <c r="L27" s="89"/>
      <c r="M27" s="89"/>
      <c r="N27" s="89"/>
      <c r="O27" s="89"/>
      <c r="P27" s="89"/>
      <c r="Q27" s="89"/>
      <c r="S27" s="31" t="s">
        <v>352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1" t="s">
        <v>356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54" t="s">
        <v>763</v>
      </c>
      <c r="AK27" s="154"/>
      <c r="AL27" s="69"/>
      <c r="AM27" s="69"/>
      <c r="AN27" s="69"/>
      <c r="AO27" s="69"/>
    </row>
    <row r="28" spans="1:41" ht="15.75" customHeight="1" thickTop="1">
      <c r="A28" s="6" t="str">
        <f>CONCATENATE("TOTAL: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CONCATENATE("TOTAL: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1" t="s">
        <v>357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54"/>
      <c r="AK28" s="154"/>
    </row>
    <row r="29" spans="1:41" ht="15" customHeight="1">
      <c r="A29" t="s">
        <v>77</v>
      </c>
      <c r="B29" s="3" t="s">
        <v>78</v>
      </c>
      <c r="C29" s="3" t="s">
        <v>79</v>
      </c>
      <c r="D29" s="3" t="s">
        <v>80</v>
      </c>
      <c r="E29" s="3" t="s">
        <v>81</v>
      </c>
      <c r="F29" s="3" t="s">
        <v>82</v>
      </c>
      <c r="G29" s="3" t="s">
        <v>83</v>
      </c>
      <c r="H29" s="8" t="s">
        <v>84</v>
      </c>
      <c r="J29" t="s">
        <v>77</v>
      </c>
      <c r="K29" s="3" t="s">
        <v>78</v>
      </c>
      <c r="L29" s="3" t="s">
        <v>79</v>
      </c>
      <c r="M29" s="3" t="s">
        <v>80</v>
      </c>
      <c r="N29" s="3" t="s">
        <v>81</v>
      </c>
      <c r="O29" s="3" t="s">
        <v>82</v>
      </c>
      <c r="P29" s="3" t="s">
        <v>83</v>
      </c>
      <c r="Q29" s="8" t="s">
        <v>84</v>
      </c>
      <c r="AB29" s="31" t="s">
        <v>358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54"/>
      <c r="AK29" s="154"/>
    </row>
    <row r="30" spans="1:41" ht="15" customHeight="1">
      <c r="A30" s="4" t="s">
        <v>241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359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54"/>
      <c r="AK30" s="154"/>
    </row>
    <row r="31" spans="1:41" ht="18" customHeight="1" thickBot="1">
      <c r="S31" s="89" t="s">
        <v>367</v>
      </c>
      <c r="T31" s="89"/>
      <c r="U31" s="89"/>
      <c r="V31" s="89"/>
      <c r="W31" s="89"/>
      <c r="X31" s="89"/>
      <c r="Y31" s="89"/>
      <c r="Z31" s="89"/>
      <c r="AJ31" s="154"/>
      <c r="AK31" s="154"/>
    </row>
    <row r="32" spans="1:41" ht="18.75" customHeight="1" thickTop="1" thickBot="1">
      <c r="A32" s="89" t="s">
        <v>362</v>
      </c>
      <c r="B32" s="89"/>
      <c r="C32" s="89"/>
      <c r="D32" s="89"/>
      <c r="E32" s="89"/>
      <c r="F32" s="89"/>
      <c r="G32" s="89"/>
      <c r="H32" s="89"/>
      <c r="J32" s="89" t="s">
        <v>364</v>
      </c>
      <c r="K32" s="89"/>
      <c r="L32" s="89"/>
      <c r="M32" s="89"/>
      <c r="N32" s="89"/>
      <c r="O32" s="89"/>
      <c r="P32" s="89"/>
      <c r="Q32" s="89"/>
      <c r="S32" s="6" t="str">
        <f>CONCATENATE("TOTAL: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9" t="s">
        <v>369</v>
      </c>
      <c r="AC32" s="89"/>
      <c r="AD32" s="89"/>
      <c r="AE32" s="89"/>
      <c r="AF32" s="89"/>
      <c r="AG32" s="89"/>
      <c r="AH32" s="89"/>
      <c r="AI32" s="89"/>
      <c r="AJ32" s="154"/>
      <c r="AK32" s="154"/>
    </row>
    <row r="33" spans="1:37" ht="15.75" customHeight="1" thickTop="1">
      <c r="A33" s="6" t="str">
        <f>CONCATENATE("TOTAL: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CONCATENATE("TOTAL: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77</v>
      </c>
      <c r="T33" s="3" t="s">
        <v>78</v>
      </c>
      <c r="U33" s="3" t="s">
        <v>79</v>
      </c>
      <c r="V33" s="3" t="s">
        <v>80</v>
      </c>
      <c r="W33" s="3" t="s">
        <v>81</v>
      </c>
      <c r="X33" s="3" t="s">
        <v>82</v>
      </c>
      <c r="Y33" s="3" t="s">
        <v>83</v>
      </c>
      <c r="Z33" s="8" t="s">
        <v>84</v>
      </c>
      <c r="AB33" s="6" t="str">
        <f>CONCATENATE("TOTAL: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54"/>
      <c r="AK33" s="154"/>
    </row>
    <row r="34" spans="1:37" ht="15" customHeight="1">
      <c r="A34" t="s">
        <v>77</v>
      </c>
      <c r="B34" s="3" t="s">
        <v>78</v>
      </c>
      <c r="C34" s="3" t="s">
        <v>79</v>
      </c>
      <c r="D34" s="3" t="s">
        <v>80</v>
      </c>
      <c r="E34" s="3" t="s">
        <v>81</v>
      </c>
      <c r="F34" s="3" t="s">
        <v>82</v>
      </c>
      <c r="G34" s="3" t="s">
        <v>83</v>
      </c>
      <c r="H34" s="8" t="s">
        <v>84</v>
      </c>
      <c r="J34" t="s">
        <v>77</v>
      </c>
      <c r="K34" s="3" t="s">
        <v>78</v>
      </c>
      <c r="L34" s="3" t="s">
        <v>79</v>
      </c>
      <c r="M34" s="3" t="s">
        <v>80</v>
      </c>
      <c r="N34" s="3" t="s">
        <v>81</v>
      </c>
      <c r="O34" s="3" t="s">
        <v>82</v>
      </c>
      <c r="P34" s="3" t="s">
        <v>83</v>
      </c>
      <c r="Q34" s="8" t="s">
        <v>84</v>
      </c>
      <c r="S34" s="4" t="s">
        <v>366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77</v>
      </c>
      <c r="AC34" s="3" t="s">
        <v>78</v>
      </c>
      <c r="AD34" s="3" t="s">
        <v>79</v>
      </c>
      <c r="AE34" s="3" t="s">
        <v>80</v>
      </c>
      <c r="AF34" s="3" t="s">
        <v>81</v>
      </c>
      <c r="AG34" s="3" t="s">
        <v>82</v>
      </c>
      <c r="AH34" s="3" t="s">
        <v>83</v>
      </c>
      <c r="AI34" s="8" t="s">
        <v>84</v>
      </c>
      <c r="AJ34" s="152" t="s">
        <v>599</v>
      </c>
      <c r="AK34" s="153"/>
    </row>
    <row r="35" spans="1:37" ht="15" customHeight="1">
      <c r="A35" s="4" t="s">
        <v>363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365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1" t="s">
        <v>368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370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53"/>
      <c r="AK35" s="153"/>
    </row>
    <row r="36" spans="1:37" ht="15" customHeight="1">
      <c r="AJ36" s="153"/>
      <c r="AK36" s="153"/>
    </row>
    <row r="37" spans="1:37" ht="18" customHeight="1" thickBot="1">
      <c r="A37" s="89" t="s">
        <v>371</v>
      </c>
      <c r="B37" s="89"/>
      <c r="C37" s="89"/>
      <c r="D37" s="89"/>
      <c r="E37" s="89"/>
      <c r="F37" s="89"/>
      <c r="G37" s="89"/>
      <c r="H37" s="89"/>
      <c r="J37" s="89" t="s">
        <v>373</v>
      </c>
      <c r="K37" s="89"/>
      <c r="L37" s="89"/>
      <c r="M37" s="89"/>
      <c r="N37" s="89"/>
      <c r="O37" s="89"/>
      <c r="P37" s="89"/>
      <c r="Q37" s="89"/>
      <c r="S37" s="151" t="s">
        <v>380</v>
      </c>
      <c r="T37" s="151"/>
      <c r="U37" s="151"/>
      <c r="V37" s="151"/>
      <c r="W37" s="151"/>
      <c r="X37" s="151"/>
      <c r="Y37" s="151"/>
      <c r="Z37" s="151"/>
      <c r="AB37" s="89" t="s">
        <v>377</v>
      </c>
      <c r="AC37" s="89"/>
      <c r="AD37" s="89"/>
      <c r="AE37" s="89"/>
      <c r="AF37" s="89"/>
      <c r="AG37" s="89"/>
      <c r="AH37" s="89"/>
      <c r="AI37" s="89"/>
    </row>
    <row r="38" spans="1:37" ht="15.75" customHeight="1" thickTop="1">
      <c r="A38" s="6" t="str">
        <f>CONCATENATE("TOTAL: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CONCATENATE("TOTAL: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CONCATENATE("TOTAL: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CONCATENATE("TOTAL: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77</v>
      </c>
      <c r="B39" s="3" t="s">
        <v>78</v>
      </c>
      <c r="C39" s="3" t="s">
        <v>79</v>
      </c>
      <c r="D39" s="3" t="s">
        <v>80</v>
      </c>
      <c r="E39" s="3" t="s">
        <v>81</v>
      </c>
      <c r="F39" s="3" t="s">
        <v>82</v>
      </c>
      <c r="G39" s="3" t="s">
        <v>83</v>
      </c>
      <c r="H39" s="8" t="s">
        <v>84</v>
      </c>
      <c r="J39" t="s">
        <v>77</v>
      </c>
      <c r="K39" s="3" t="s">
        <v>78</v>
      </c>
      <c r="L39" s="3" t="s">
        <v>79</v>
      </c>
      <c r="M39" s="3" t="s">
        <v>80</v>
      </c>
      <c r="N39" s="3" t="s">
        <v>81</v>
      </c>
      <c r="O39" s="3" t="s">
        <v>82</v>
      </c>
      <c r="P39" s="3" t="s">
        <v>83</v>
      </c>
      <c r="Q39" s="8" t="s">
        <v>84</v>
      </c>
      <c r="S39" t="s">
        <v>77</v>
      </c>
      <c r="T39" s="3" t="s">
        <v>78</v>
      </c>
      <c r="U39" s="3" t="s">
        <v>79</v>
      </c>
      <c r="V39" s="3" t="s">
        <v>80</v>
      </c>
      <c r="W39" s="3" t="s">
        <v>81</v>
      </c>
      <c r="X39" s="3" t="s">
        <v>82</v>
      </c>
      <c r="Y39" s="3" t="s">
        <v>83</v>
      </c>
      <c r="Z39" s="8" t="s">
        <v>84</v>
      </c>
      <c r="AB39" t="s">
        <v>77</v>
      </c>
      <c r="AC39" s="3" t="s">
        <v>78</v>
      </c>
      <c r="AD39" s="3" t="s">
        <v>79</v>
      </c>
      <c r="AE39" s="3" t="s">
        <v>80</v>
      </c>
      <c r="AF39" s="3" t="s">
        <v>81</v>
      </c>
      <c r="AG39" s="3" t="s">
        <v>82</v>
      </c>
      <c r="AH39" s="3" t="s">
        <v>83</v>
      </c>
      <c r="AI39" s="8" t="s">
        <v>84</v>
      </c>
    </row>
    <row r="40" spans="1:37" ht="19.5" customHeight="1">
      <c r="A40" s="4" t="s">
        <v>372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374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375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378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376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7"/>
      <c r="AB41" s="4" t="s">
        <v>379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</row>
    <row r="43" spans="1:37" ht="15" customHeight="1" thickBot="1">
      <c r="A43" s="89" t="s">
        <v>381</v>
      </c>
      <c r="B43" s="89"/>
      <c r="C43" s="89"/>
      <c r="D43" s="89"/>
      <c r="E43" s="89"/>
      <c r="F43" s="89"/>
      <c r="G43" s="89"/>
      <c r="H43" s="89"/>
      <c r="J43" s="89" t="s">
        <v>110</v>
      </c>
      <c r="K43" s="89"/>
      <c r="L43" s="89"/>
      <c r="M43" s="89"/>
      <c r="N43" s="89"/>
      <c r="O43" s="89"/>
      <c r="P43" s="89"/>
      <c r="Q43" s="89"/>
      <c r="S43" s="89" t="s">
        <v>382</v>
      </c>
      <c r="T43" s="89"/>
      <c r="U43" s="89"/>
      <c r="V43" s="89"/>
      <c r="W43" s="89"/>
      <c r="X43" s="89"/>
      <c r="Y43" s="89"/>
      <c r="Z43" s="89"/>
      <c r="AA43" s="67"/>
      <c r="AB43" s="89" t="s">
        <v>383</v>
      </c>
      <c r="AC43" s="89"/>
      <c r="AD43" s="89"/>
      <c r="AE43" s="89"/>
      <c r="AF43" s="89"/>
      <c r="AG43" s="89"/>
      <c r="AH43" s="89"/>
      <c r="AI43" s="89"/>
    </row>
    <row r="44" spans="1:37" ht="15" customHeight="1" thickTop="1">
      <c r="A44" s="6" t="str">
        <f>CONCATENATE("TOTAL: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CONCATENATE("TOTAL: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CONCATENATE("TOTAL: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7"/>
      <c r="AB44" s="6" t="str">
        <f>CONCATENATE("TOTAL: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77</v>
      </c>
      <c r="B45" s="3" t="s">
        <v>78</v>
      </c>
      <c r="C45" s="3" t="s">
        <v>79</v>
      </c>
      <c r="D45" s="3" t="s">
        <v>80</v>
      </c>
      <c r="E45" s="3" t="s">
        <v>81</v>
      </c>
      <c r="F45" s="3" t="s">
        <v>82</v>
      </c>
      <c r="G45" s="3" t="s">
        <v>83</v>
      </c>
      <c r="H45" s="8" t="s">
        <v>84</v>
      </c>
      <c r="J45" t="s">
        <v>77</v>
      </c>
      <c r="K45" s="3" t="s">
        <v>78</v>
      </c>
      <c r="L45" s="3" t="s">
        <v>79</v>
      </c>
      <c r="M45" s="3" t="s">
        <v>80</v>
      </c>
      <c r="N45" s="3" t="s">
        <v>81</v>
      </c>
      <c r="O45" s="3" t="s">
        <v>82</v>
      </c>
      <c r="P45" s="3" t="s">
        <v>83</v>
      </c>
      <c r="Q45" s="8" t="s">
        <v>84</v>
      </c>
      <c r="S45" t="s">
        <v>77</v>
      </c>
      <c r="T45" s="3" t="s">
        <v>78</v>
      </c>
      <c r="U45" s="3" t="s">
        <v>79</v>
      </c>
      <c r="V45" s="3" t="s">
        <v>80</v>
      </c>
      <c r="W45" s="3" t="s">
        <v>81</v>
      </c>
      <c r="X45" s="3" t="s">
        <v>82</v>
      </c>
      <c r="Y45" s="3" t="s">
        <v>83</v>
      </c>
      <c r="Z45" s="8" t="s">
        <v>84</v>
      </c>
      <c r="AA45" s="67"/>
      <c r="AB45" t="s">
        <v>77</v>
      </c>
      <c r="AC45" s="3" t="s">
        <v>78</v>
      </c>
      <c r="AD45" s="3" t="s">
        <v>79</v>
      </c>
      <c r="AE45" s="3" t="s">
        <v>80</v>
      </c>
      <c r="AF45" s="3" t="s">
        <v>81</v>
      </c>
      <c r="AG45" s="3" t="s">
        <v>82</v>
      </c>
      <c r="AH45" s="3" t="s">
        <v>83</v>
      </c>
      <c r="AI45" s="8" t="s">
        <v>84</v>
      </c>
      <c r="AJ45" s="72"/>
      <c r="AK45" s="72"/>
    </row>
    <row r="46" spans="1:37" ht="15" customHeight="1">
      <c r="A46" s="4" t="s">
        <v>231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114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224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7"/>
      <c r="AB46" s="4" t="s">
        <v>99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2"/>
      <c r="AK46" s="72"/>
    </row>
    <row r="47" spans="1:37" ht="15" customHeight="1">
      <c r="A47" s="31" t="s">
        <v>233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1" t="s">
        <v>234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9" t="s">
        <v>384</v>
      </c>
      <c r="K48" s="89"/>
      <c r="L48" s="89"/>
      <c r="M48" s="89"/>
      <c r="N48" s="89"/>
      <c r="O48" s="89"/>
      <c r="P48" s="89"/>
      <c r="Q48" s="89"/>
      <c r="S48" s="89" t="s">
        <v>386</v>
      </c>
      <c r="T48" s="89"/>
      <c r="U48" s="89"/>
      <c r="V48" s="89"/>
      <c r="W48" s="89"/>
      <c r="X48" s="89"/>
      <c r="Y48" s="89"/>
      <c r="Z48" s="89"/>
      <c r="AB48" s="89" t="s">
        <v>388</v>
      </c>
      <c r="AC48" s="89"/>
      <c r="AD48" s="89"/>
      <c r="AE48" s="89"/>
      <c r="AF48" s="89"/>
      <c r="AG48" s="89"/>
      <c r="AH48" s="89"/>
      <c r="AI48" s="89"/>
    </row>
    <row r="49" spans="1:35" ht="15" customHeight="1" thickTop="1">
      <c r="A49" s="31" t="s">
        <v>235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CONCATENATE("TOTAL: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CONCATENATE("TOTAL: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CONCATENATE("TOTAL: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1" t="s">
        <v>236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77</v>
      </c>
      <c r="K50" s="3" t="s">
        <v>78</v>
      </c>
      <c r="L50" s="3" t="s">
        <v>79</v>
      </c>
      <c r="M50" s="3" t="s">
        <v>80</v>
      </c>
      <c r="N50" s="3" t="s">
        <v>81</v>
      </c>
      <c r="O50" s="3" t="s">
        <v>82</v>
      </c>
      <c r="P50" s="3" t="s">
        <v>83</v>
      </c>
      <c r="Q50" s="8" t="s">
        <v>84</v>
      </c>
      <c r="S50" t="s">
        <v>77</v>
      </c>
      <c r="T50" s="3" t="s">
        <v>78</v>
      </c>
      <c r="U50" s="3" t="s">
        <v>79</v>
      </c>
      <c r="V50" s="3" t="s">
        <v>80</v>
      </c>
      <c r="W50" s="3" t="s">
        <v>81</v>
      </c>
      <c r="X50" s="3" t="s">
        <v>82</v>
      </c>
      <c r="Y50" s="3" t="s">
        <v>83</v>
      </c>
      <c r="Z50" s="8" t="s">
        <v>84</v>
      </c>
      <c r="AB50" t="s">
        <v>77</v>
      </c>
      <c r="AC50" s="3" t="s">
        <v>78</v>
      </c>
      <c r="AD50" s="3" t="s">
        <v>79</v>
      </c>
      <c r="AE50" s="3" t="s">
        <v>80</v>
      </c>
      <c r="AF50" s="3" t="s">
        <v>81</v>
      </c>
      <c r="AG50" s="3" t="s">
        <v>82</v>
      </c>
      <c r="AH50" s="3" t="s">
        <v>83</v>
      </c>
      <c r="AI50" s="8" t="s">
        <v>84</v>
      </c>
    </row>
    <row r="51" spans="1:35" ht="15" customHeight="1">
      <c r="J51" s="4" t="s">
        <v>385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387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389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9" t="s">
        <v>72</v>
      </c>
      <c r="B53" s="89"/>
      <c r="C53" s="89"/>
      <c r="D53" s="89"/>
      <c r="E53" s="89"/>
      <c r="F53" s="89"/>
      <c r="G53" s="89"/>
      <c r="H53" s="89"/>
      <c r="J53" s="89" t="s">
        <v>390</v>
      </c>
      <c r="K53" s="89"/>
      <c r="L53" s="89"/>
      <c r="M53" s="89"/>
      <c r="N53" s="89"/>
      <c r="O53" s="89"/>
      <c r="P53" s="89"/>
      <c r="Q53" s="89"/>
      <c r="S53" s="89" t="s">
        <v>74</v>
      </c>
      <c r="T53" s="89"/>
      <c r="U53" s="89"/>
      <c r="V53" s="89"/>
      <c r="W53" s="89"/>
      <c r="X53" s="89"/>
      <c r="Y53" s="89"/>
      <c r="Z53" s="89"/>
      <c r="AB53" s="89" t="s">
        <v>395</v>
      </c>
      <c r="AC53" s="89"/>
      <c r="AD53" s="89"/>
      <c r="AE53" s="89"/>
      <c r="AF53" s="89"/>
      <c r="AG53" s="89"/>
      <c r="AH53" s="89"/>
      <c r="AI53" s="89"/>
    </row>
    <row r="54" spans="1:35" ht="15" customHeight="1" thickTop="1">
      <c r="A54" s="6" t="str">
        <f>CONCATENATE("TOTAL: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CONCATENATE("TOTAL: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CONCATENATE("TOTAL: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CONCATENATE("TOTAL: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77</v>
      </c>
      <c r="B55" s="3" t="s">
        <v>78</v>
      </c>
      <c r="C55" s="3" t="s">
        <v>79</v>
      </c>
      <c r="D55" s="3" t="s">
        <v>80</v>
      </c>
      <c r="E55" s="3" t="s">
        <v>81</v>
      </c>
      <c r="F55" s="3" t="s">
        <v>82</v>
      </c>
      <c r="G55" s="3" t="s">
        <v>83</v>
      </c>
      <c r="H55" s="8" t="s">
        <v>84</v>
      </c>
      <c r="J55" t="s">
        <v>77</v>
      </c>
      <c r="K55" s="3" t="s">
        <v>78</v>
      </c>
      <c r="L55" s="3" t="s">
        <v>79</v>
      </c>
      <c r="M55" s="3" t="s">
        <v>80</v>
      </c>
      <c r="N55" s="3" t="s">
        <v>81</v>
      </c>
      <c r="O55" s="3" t="s">
        <v>82</v>
      </c>
      <c r="P55" s="3" t="s">
        <v>83</v>
      </c>
      <c r="Q55" s="8" t="s">
        <v>84</v>
      </c>
      <c r="S55" t="s">
        <v>77</v>
      </c>
      <c r="T55" s="3" t="s">
        <v>78</v>
      </c>
      <c r="U55" s="3" t="s">
        <v>79</v>
      </c>
      <c r="V55" s="3" t="s">
        <v>80</v>
      </c>
      <c r="W55" s="3" t="s">
        <v>81</v>
      </c>
      <c r="X55" s="3" t="s">
        <v>82</v>
      </c>
      <c r="Y55" s="3" t="s">
        <v>83</v>
      </c>
      <c r="Z55" s="8" t="s">
        <v>84</v>
      </c>
      <c r="AB55" t="s">
        <v>77</v>
      </c>
      <c r="AC55" s="3" t="s">
        <v>78</v>
      </c>
      <c r="AD55" s="3" t="s">
        <v>79</v>
      </c>
      <c r="AE55" s="3" t="s">
        <v>80</v>
      </c>
      <c r="AF55" s="3" t="s">
        <v>81</v>
      </c>
      <c r="AG55" s="3" t="s">
        <v>82</v>
      </c>
      <c r="AH55" s="3" t="s">
        <v>83</v>
      </c>
      <c r="AI55" s="8" t="s">
        <v>84</v>
      </c>
    </row>
    <row r="56" spans="1:35" ht="15" customHeight="1">
      <c r="A56" s="4" t="s">
        <v>104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108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105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396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9" t="s">
        <v>391</v>
      </c>
      <c r="B58" s="89"/>
      <c r="C58" s="89"/>
      <c r="D58" s="89"/>
      <c r="E58" s="89"/>
      <c r="F58" s="89"/>
      <c r="G58" s="89"/>
      <c r="H58" s="89"/>
      <c r="J58" s="89" t="s">
        <v>392</v>
      </c>
      <c r="K58" s="89"/>
      <c r="L58" s="89"/>
      <c r="M58" s="89"/>
      <c r="N58" s="89"/>
      <c r="O58" s="89"/>
      <c r="P58" s="89"/>
      <c r="Q58" s="89"/>
      <c r="S58" s="89" t="s">
        <v>112</v>
      </c>
      <c r="T58" s="89"/>
      <c r="U58" s="89"/>
      <c r="V58" s="89"/>
      <c r="W58" s="89"/>
      <c r="X58" s="89"/>
      <c r="Y58" s="89"/>
      <c r="Z58" s="89"/>
      <c r="AB58" s="89" t="s">
        <v>397</v>
      </c>
      <c r="AC58" s="89"/>
      <c r="AD58" s="89"/>
      <c r="AE58" s="89"/>
      <c r="AF58" s="89"/>
      <c r="AG58" s="89"/>
      <c r="AH58" s="89"/>
      <c r="AI58" s="89"/>
    </row>
    <row r="59" spans="1:35" ht="15" customHeight="1" thickTop="1">
      <c r="A59" s="6" t="str">
        <f>CONCATENATE("TOTAL: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CONCATENATE("TOTAL: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CONCATENATE("TOTAL: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CONCATENATE("TOTAL: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77</v>
      </c>
      <c r="B60" s="3" t="s">
        <v>78</v>
      </c>
      <c r="C60" s="3" t="s">
        <v>79</v>
      </c>
      <c r="D60" s="3" t="s">
        <v>80</v>
      </c>
      <c r="E60" s="3" t="s">
        <v>81</v>
      </c>
      <c r="F60" s="3" t="s">
        <v>82</v>
      </c>
      <c r="G60" s="3" t="s">
        <v>83</v>
      </c>
      <c r="H60" s="8" t="s">
        <v>84</v>
      </c>
      <c r="J60" t="s">
        <v>77</v>
      </c>
      <c r="K60" s="3" t="s">
        <v>78</v>
      </c>
      <c r="L60" s="3" t="s">
        <v>79</v>
      </c>
      <c r="M60" s="3" t="s">
        <v>80</v>
      </c>
      <c r="N60" s="3" t="s">
        <v>81</v>
      </c>
      <c r="O60" s="3" t="s">
        <v>82</v>
      </c>
      <c r="P60" s="3" t="s">
        <v>83</v>
      </c>
      <c r="Q60" s="8" t="s">
        <v>84</v>
      </c>
      <c r="S60" t="s">
        <v>77</v>
      </c>
      <c r="T60" s="3" t="s">
        <v>78</v>
      </c>
      <c r="U60" s="3" t="s">
        <v>79</v>
      </c>
      <c r="V60" s="3" t="s">
        <v>80</v>
      </c>
      <c r="W60" s="3" t="s">
        <v>81</v>
      </c>
      <c r="X60" s="3" t="s">
        <v>82</v>
      </c>
      <c r="Y60" s="3" t="s">
        <v>83</v>
      </c>
      <c r="Z60" s="8" t="s">
        <v>84</v>
      </c>
      <c r="AB60" t="s">
        <v>77</v>
      </c>
      <c r="AC60" s="3" t="s">
        <v>78</v>
      </c>
      <c r="AD60" s="3" t="s">
        <v>79</v>
      </c>
      <c r="AE60" s="3" t="s">
        <v>80</v>
      </c>
      <c r="AF60" s="3" t="s">
        <v>81</v>
      </c>
      <c r="AG60" s="3" t="s">
        <v>82</v>
      </c>
      <c r="AH60" s="3" t="s">
        <v>83</v>
      </c>
      <c r="AI60" s="8" t="s">
        <v>84</v>
      </c>
    </row>
    <row r="61" spans="1:35" ht="15" customHeight="1">
      <c r="A61" s="4" t="s">
        <v>246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394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116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399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1" t="s">
        <v>249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1" t="s">
        <v>393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1" t="s">
        <v>400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1" t="s">
        <v>250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1" t="s">
        <v>398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1" t="s">
        <v>401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1" t="s">
        <v>402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9" t="s">
        <v>128</v>
      </c>
      <c r="B65" s="89"/>
      <c r="C65" s="89"/>
      <c r="D65" s="89"/>
      <c r="E65" s="89"/>
      <c r="F65" s="89"/>
      <c r="G65" s="89"/>
      <c r="H65" s="89"/>
      <c r="J65" s="89" t="s">
        <v>404</v>
      </c>
      <c r="K65" s="89"/>
      <c r="L65" s="89"/>
      <c r="M65" s="89"/>
      <c r="N65" s="89"/>
      <c r="O65" s="89"/>
      <c r="P65" s="89"/>
      <c r="Q65" s="89"/>
      <c r="AB65" s="31" t="s">
        <v>403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CONCATENATE("TOTAL: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CONCATENATE("TOTAL: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77</v>
      </c>
      <c r="B67" s="3" t="s">
        <v>78</v>
      </c>
      <c r="C67" s="3" t="s">
        <v>79</v>
      </c>
      <c r="D67" s="3" t="s">
        <v>80</v>
      </c>
      <c r="E67" s="3" t="s">
        <v>81</v>
      </c>
      <c r="F67" s="3" t="s">
        <v>82</v>
      </c>
      <c r="G67" s="3" t="s">
        <v>83</v>
      </c>
      <c r="H67" s="8" t="s">
        <v>84</v>
      </c>
      <c r="J67" t="s">
        <v>77</v>
      </c>
      <c r="K67" s="3" t="s">
        <v>78</v>
      </c>
      <c r="L67" s="3" t="s">
        <v>79</v>
      </c>
      <c r="M67" s="3" t="s">
        <v>80</v>
      </c>
      <c r="N67" s="3" t="s">
        <v>81</v>
      </c>
      <c r="O67" s="3" t="s">
        <v>82</v>
      </c>
      <c r="P67" s="3" t="s">
        <v>83</v>
      </c>
      <c r="Q67" s="8" t="s">
        <v>84</v>
      </c>
    </row>
    <row r="68" spans="1:35">
      <c r="A68" s="4" t="s">
        <v>131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405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1" t="s">
        <v>406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1" t="s">
        <v>407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1" t="s">
        <v>408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1" t="s">
        <v>409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  <mergeCell ref="J48:Q48"/>
    <mergeCell ref="S43:Z43"/>
    <mergeCell ref="J53:Q53"/>
    <mergeCell ref="S53:Z53"/>
    <mergeCell ref="S37:Z37"/>
    <mergeCell ref="AB37:AI37"/>
    <mergeCell ref="S31:Z31"/>
    <mergeCell ref="AB32:AI32"/>
    <mergeCell ref="J22:Q22"/>
    <mergeCell ref="S22:Z22"/>
    <mergeCell ref="AB22:AI22"/>
    <mergeCell ref="A37:H37"/>
    <mergeCell ref="J27:Q27"/>
    <mergeCell ref="A27:H27"/>
    <mergeCell ref="A32:H32"/>
    <mergeCell ref="J32:Q32"/>
    <mergeCell ref="J37:Q37"/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85" zoomScaleNormal="85" workbookViewId="0">
      <selection activeCell="A3" sqref="A3:B3"/>
    </sheetView>
  </sheetViews>
  <sheetFormatPr baseColWidth="10" defaultRowHeight="15"/>
  <cols>
    <col min="1" max="1" width="20.140625" bestFit="1" customWidth="1"/>
    <col min="2" max="2" width="10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87" t="s">
        <v>70</v>
      </c>
      <c r="B1" s="88"/>
      <c r="D1" s="155" t="s">
        <v>410</v>
      </c>
      <c r="E1" s="155"/>
      <c r="F1" s="155"/>
      <c r="G1" s="155"/>
      <c r="H1" s="155"/>
      <c r="I1" s="155"/>
      <c r="J1" s="155"/>
      <c r="K1" s="155"/>
      <c r="M1" s="155" t="s">
        <v>451</v>
      </c>
      <c r="N1" s="155"/>
      <c r="O1" s="155"/>
      <c r="P1" s="155"/>
      <c r="Q1" s="155"/>
      <c r="R1" s="155"/>
      <c r="S1" s="155"/>
      <c r="T1" s="155"/>
      <c r="V1" s="155" t="s">
        <v>453</v>
      </c>
      <c r="W1" s="155"/>
      <c r="X1" s="155"/>
      <c r="Y1" s="155"/>
      <c r="Z1" s="155"/>
      <c r="AA1" s="155"/>
      <c r="AB1" s="155"/>
      <c r="AC1" s="155"/>
      <c r="AE1" s="155" t="s">
        <v>456</v>
      </c>
      <c r="AF1" s="155"/>
      <c r="AG1" s="155"/>
      <c r="AH1" s="155"/>
      <c r="AI1" s="155"/>
      <c r="AJ1" s="155"/>
      <c r="AK1" s="155"/>
      <c r="AL1" s="155"/>
      <c r="AN1" s="155" t="s">
        <v>460</v>
      </c>
      <c r="AO1" s="155"/>
      <c r="AP1" s="155"/>
      <c r="AQ1" s="155"/>
      <c r="AR1" s="155"/>
      <c r="AS1" s="155"/>
      <c r="AT1" s="155"/>
      <c r="AU1" s="155"/>
      <c r="AW1" s="155" t="s">
        <v>463</v>
      </c>
      <c r="AX1" s="155"/>
      <c r="AY1" s="155"/>
      <c r="AZ1" s="155"/>
      <c r="BA1" s="155"/>
      <c r="BB1" s="155"/>
      <c r="BC1" s="155"/>
      <c r="BD1" s="155"/>
      <c r="BF1" s="155" t="s">
        <v>469</v>
      </c>
      <c r="BG1" s="155"/>
      <c r="BH1" s="155"/>
      <c r="BI1" s="155"/>
      <c r="BJ1" s="155"/>
      <c r="BK1" s="155"/>
      <c r="BL1" s="155"/>
      <c r="BM1" s="155"/>
      <c r="BO1" s="155" t="s">
        <v>473</v>
      </c>
      <c r="BP1" s="155"/>
      <c r="BQ1" s="155"/>
      <c r="BR1" s="155"/>
      <c r="BS1" s="155"/>
      <c r="BT1" s="155"/>
      <c r="BU1" s="155"/>
      <c r="BV1" s="155"/>
      <c r="BX1" s="155" t="s">
        <v>477</v>
      </c>
      <c r="BY1" s="155"/>
      <c r="BZ1" s="155"/>
      <c r="CA1" s="155"/>
      <c r="CB1" s="155"/>
      <c r="CC1" s="155"/>
      <c r="CD1" s="155"/>
      <c r="CE1" s="155"/>
      <c r="CG1" s="155" t="s">
        <v>481</v>
      </c>
      <c r="CH1" s="155"/>
      <c r="CI1" s="155"/>
      <c r="CJ1" s="155"/>
      <c r="CK1" s="155"/>
      <c r="CL1" s="155"/>
      <c r="CM1" s="155"/>
      <c r="CN1" s="155"/>
      <c r="CP1" s="155" t="s">
        <v>484</v>
      </c>
      <c r="CQ1" s="155"/>
      <c r="CR1" s="155"/>
      <c r="CS1" s="155"/>
      <c r="CT1" s="155"/>
      <c r="CU1" s="155"/>
      <c r="CV1" s="155"/>
      <c r="CW1" s="155"/>
      <c r="CY1" s="155" t="s">
        <v>488</v>
      </c>
      <c r="CZ1" s="155"/>
      <c r="DA1" s="155"/>
      <c r="DB1" s="155"/>
      <c r="DC1" s="155"/>
      <c r="DD1" s="155"/>
      <c r="DE1" s="155"/>
      <c r="DF1" s="155"/>
      <c r="DH1" s="155" t="s">
        <v>490</v>
      </c>
      <c r="DI1" s="155"/>
      <c r="DJ1" s="155"/>
      <c r="DK1" s="155"/>
      <c r="DL1" s="155"/>
      <c r="DM1" s="155"/>
      <c r="DN1" s="155"/>
      <c r="DO1" s="155"/>
      <c r="DQ1" s="155" t="s">
        <v>493</v>
      </c>
      <c r="DR1" s="155"/>
      <c r="DS1" s="155"/>
      <c r="DT1" s="155"/>
      <c r="DU1" s="155"/>
      <c r="DV1" s="155"/>
      <c r="DW1" s="155"/>
      <c r="DX1" s="155"/>
      <c r="DZ1" s="155" t="s">
        <v>496</v>
      </c>
      <c r="EA1" s="155"/>
      <c r="EB1" s="155"/>
      <c r="EC1" s="155"/>
      <c r="ED1" s="155"/>
      <c r="EE1" s="155"/>
      <c r="EF1" s="155"/>
      <c r="EG1" s="155"/>
    </row>
    <row r="2" spans="1:137" ht="15.75" thickTop="1">
      <c r="A2" s="1" t="s">
        <v>7</v>
      </c>
      <c r="B2" t="s">
        <v>76</v>
      </c>
      <c r="D2" s="162" t="s">
        <v>411</v>
      </c>
      <c r="E2" s="162"/>
      <c r="F2" s="162"/>
      <c r="G2" s="162"/>
      <c r="H2" s="162"/>
      <c r="I2" s="162"/>
      <c r="J2" s="162"/>
      <c r="K2" s="162"/>
      <c r="M2" s="162" t="s">
        <v>452</v>
      </c>
      <c r="N2" s="162"/>
      <c r="O2" s="162"/>
      <c r="P2" s="162"/>
      <c r="Q2" s="162"/>
      <c r="R2" s="162"/>
      <c r="S2" s="162"/>
      <c r="T2" s="162"/>
      <c r="V2" s="162" t="s">
        <v>454</v>
      </c>
      <c r="W2" s="162"/>
      <c r="X2" s="162"/>
      <c r="Y2" s="162"/>
      <c r="Z2" s="162"/>
      <c r="AA2" s="162"/>
      <c r="AB2" s="162"/>
      <c r="AC2" s="162"/>
      <c r="AE2" s="162" t="s">
        <v>457</v>
      </c>
      <c r="AF2" s="162"/>
      <c r="AG2" s="162"/>
      <c r="AH2" s="162"/>
      <c r="AI2" s="162"/>
      <c r="AJ2" s="162"/>
      <c r="AK2" s="162"/>
      <c r="AL2" s="162"/>
      <c r="AN2" s="162" t="s">
        <v>461</v>
      </c>
      <c r="AO2" s="162"/>
      <c r="AP2" s="162"/>
      <c r="AQ2" s="162"/>
      <c r="AR2" s="162"/>
      <c r="AS2" s="162"/>
      <c r="AT2" s="162"/>
      <c r="AU2" s="162"/>
      <c r="AW2" s="162" t="s">
        <v>464</v>
      </c>
      <c r="AX2" s="162"/>
      <c r="AY2" s="162"/>
      <c r="AZ2" s="162"/>
      <c r="BA2" s="162"/>
      <c r="BB2" s="162"/>
      <c r="BC2" s="162"/>
      <c r="BD2" s="162"/>
      <c r="BF2" s="162" t="s">
        <v>470</v>
      </c>
      <c r="BG2" s="162"/>
      <c r="BH2" s="162"/>
      <c r="BI2" s="162"/>
      <c r="BJ2" s="162"/>
      <c r="BK2" s="162"/>
      <c r="BL2" s="162"/>
      <c r="BM2" s="162"/>
      <c r="BO2" s="162" t="s">
        <v>474</v>
      </c>
      <c r="BP2" s="162"/>
      <c r="BQ2" s="162"/>
      <c r="BR2" s="162"/>
      <c r="BS2" s="162"/>
      <c r="BT2" s="162"/>
      <c r="BU2" s="162"/>
      <c r="BV2" s="162"/>
      <c r="BX2" s="156" t="s">
        <v>478</v>
      </c>
      <c r="BY2" s="157"/>
      <c r="BZ2" s="157"/>
      <c r="CA2" s="157"/>
      <c r="CB2" s="157"/>
      <c r="CC2" s="157"/>
      <c r="CD2" s="157"/>
      <c r="CE2" s="158"/>
      <c r="CG2" s="156" t="s">
        <v>482</v>
      </c>
      <c r="CH2" s="157"/>
      <c r="CI2" s="157"/>
      <c r="CJ2" s="157"/>
      <c r="CK2" s="157"/>
      <c r="CL2" s="157"/>
      <c r="CM2" s="157"/>
      <c r="CN2" s="158"/>
      <c r="CP2" s="156" t="s">
        <v>485</v>
      </c>
      <c r="CQ2" s="157"/>
      <c r="CR2" s="157"/>
      <c r="CS2" s="157"/>
      <c r="CT2" s="157"/>
      <c r="CU2" s="157"/>
      <c r="CV2" s="157"/>
      <c r="CW2" s="158"/>
      <c r="CY2" s="156" t="s">
        <v>489</v>
      </c>
      <c r="CZ2" s="157"/>
      <c r="DA2" s="157"/>
      <c r="DB2" s="157"/>
      <c r="DC2" s="157"/>
      <c r="DD2" s="157"/>
      <c r="DE2" s="157"/>
      <c r="DF2" s="158"/>
      <c r="DH2" s="156" t="s">
        <v>491</v>
      </c>
      <c r="DI2" s="157"/>
      <c r="DJ2" s="157"/>
      <c r="DK2" s="157"/>
      <c r="DL2" s="157"/>
      <c r="DM2" s="157"/>
      <c r="DN2" s="157"/>
      <c r="DO2" s="158"/>
      <c r="DQ2" s="156" t="s">
        <v>494</v>
      </c>
      <c r="DR2" s="157"/>
      <c r="DS2" s="157"/>
      <c r="DT2" s="157"/>
      <c r="DU2" s="157"/>
      <c r="DV2" s="157"/>
      <c r="DW2" s="157"/>
      <c r="DX2" s="158"/>
      <c r="DZ2" s="156" t="s">
        <v>497</v>
      </c>
      <c r="EA2" s="157"/>
      <c r="EB2" s="157"/>
      <c r="EC2" s="157"/>
      <c r="ED2" s="157"/>
      <c r="EE2" s="157"/>
      <c r="EF2" s="157"/>
      <c r="EG2" s="158"/>
    </row>
    <row r="3" spans="1:137">
      <c r="A3" s="88"/>
      <c r="B3" s="88"/>
      <c r="D3" s="163" t="s">
        <v>412</v>
      </c>
      <c r="E3" s="163"/>
      <c r="F3" s="163"/>
      <c r="G3" s="163"/>
      <c r="H3" s="163"/>
      <c r="I3" s="163"/>
      <c r="J3" s="163"/>
      <c r="K3" s="163"/>
      <c r="M3" s="163" t="s">
        <v>447</v>
      </c>
      <c r="N3" s="163"/>
      <c r="O3" s="163"/>
      <c r="P3" s="163"/>
      <c r="Q3" s="163"/>
      <c r="R3" s="163"/>
      <c r="S3" s="163"/>
      <c r="T3" s="163"/>
      <c r="V3" s="163" t="s">
        <v>455</v>
      </c>
      <c r="W3" s="163"/>
      <c r="X3" s="163"/>
      <c r="Y3" s="163"/>
      <c r="Z3" s="163"/>
      <c r="AA3" s="163"/>
      <c r="AB3" s="163"/>
      <c r="AC3" s="163"/>
      <c r="AE3" s="163" t="s">
        <v>458</v>
      </c>
      <c r="AF3" s="163"/>
      <c r="AG3" s="163"/>
      <c r="AH3" s="163"/>
      <c r="AI3" s="163"/>
      <c r="AJ3" s="163"/>
      <c r="AK3" s="163"/>
      <c r="AL3" s="163"/>
      <c r="AN3" s="163" t="s">
        <v>462</v>
      </c>
      <c r="AO3" s="163"/>
      <c r="AP3" s="163"/>
      <c r="AQ3" s="163"/>
      <c r="AR3" s="163"/>
      <c r="AS3" s="163"/>
      <c r="AT3" s="163"/>
      <c r="AU3" s="163"/>
      <c r="AW3" s="163" t="s">
        <v>465</v>
      </c>
      <c r="AX3" s="163"/>
      <c r="AY3" s="163"/>
      <c r="AZ3" s="163"/>
      <c r="BA3" s="163"/>
      <c r="BB3" s="163"/>
      <c r="BC3" s="163"/>
      <c r="BD3" s="163"/>
      <c r="BF3" s="163" t="s">
        <v>471</v>
      </c>
      <c r="BG3" s="163"/>
      <c r="BH3" s="163"/>
      <c r="BI3" s="163"/>
      <c r="BJ3" s="163"/>
      <c r="BK3" s="163"/>
      <c r="BL3" s="163"/>
      <c r="BM3" s="163"/>
      <c r="BO3" s="163" t="s">
        <v>475</v>
      </c>
      <c r="BP3" s="163"/>
      <c r="BQ3" s="163"/>
      <c r="BR3" s="163"/>
      <c r="BS3" s="163"/>
      <c r="BT3" s="163"/>
      <c r="BU3" s="163"/>
      <c r="BV3" s="163"/>
      <c r="BX3" s="159" t="s">
        <v>479</v>
      </c>
      <c r="BY3" s="160"/>
      <c r="BZ3" s="160"/>
      <c r="CA3" s="160"/>
      <c r="CB3" s="160"/>
      <c r="CC3" s="160"/>
      <c r="CD3" s="160"/>
      <c r="CE3" s="161"/>
      <c r="CG3" s="159" t="s">
        <v>483</v>
      </c>
      <c r="CH3" s="160"/>
      <c r="CI3" s="160"/>
      <c r="CJ3" s="160"/>
      <c r="CK3" s="160"/>
      <c r="CL3" s="160"/>
      <c r="CM3" s="160"/>
      <c r="CN3" s="161"/>
      <c r="CP3" s="159" t="s">
        <v>486</v>
      </c>
      <c r="CQ3" s="160"/>
      <c r="CR3" s="160"/>
      <c r="CS3" s="160"/>
      <c r="CT3" s="160"/>
      <c r="CU3" s="160"/>
      <c r="CV3" s="160"/>
      <c r="CW3" s="161"/>
      <c r="CY3" s="159" t="s">
        <v>489</v>
      </c>
      <c r="CZ3" s="160"/>
      <c r="DA3" s="160"/>
      <c r="DB3" s="160"/>
      <c r="DC3" s="160"/>
      <c r="DD3" s="160"/>
      <c r="DE3" s="160"/>
      <c r="DF3" s="161"/>
      <c r="DH3" s="159" t="s">
        <v>492</v>
      </c>
      <c r="DI3" s="160"/>
      <c r="DJ3" s="160"/>
      <c r="DK3" s="160"/>
      <c r="DL3" s="160"/>
      <c r="DM3" s="160"/>
      <c r="DN3" s="160"/>
      <c r="DO3" s="161"/>
      <c r="DQ3" s="159" t="s">
        <v>495</v>
      </c>
      <c r="DR3" s="160"/>
      <c r="DS3" s="160"/>
      <c r="DT3" s="160"/>
      <c r="DU3" s="160"/>
      <c r="DV3" s="160"/>
      <c r="DW3" s="160"/>
      <c r="DX3" s="161"/>
      <c r="DZ3" s="159" t="s">
        <v>129</v>
      </c>
      <c r="EA3" s="160"/>
      <c r="EB3" s="160"/>
      <c r="EC3" s="160"/>
      <c r="ED3" s="160"/>
      <c r="EE3" s="160"/>
      <c r="EF3" s="160"/>
      <c r="EG3" s="161"/>
    </row>
    <row r="4" spans="1:137">
      <c r="D4" t="s">
        <v>77</v>
      </c>
      <c r="E4" s="3" t="s">
        <v>78</v>
      </c>
      <c r="F4" s="3" t="s">
        <v>79</v>
      </c>
      <c r="G4" s="3" t="s">
        <v>80</v>
      </c>
      <c r="H4" s="3" t="s">
        <v>81</v>
      </c>
      <c r="I4" s="3" t="s">
        <v>82</v>
      </c>
      <c r="J4" s="3" t="s">
        <v>83</v>
      </c>
      <c r="K4" s="8" t="s">
        <v>84</v>
      </c>
      <c r="M4" t="s">
        <v>77</v>
      </c>
      <c r="N4" s="3" t="s">
        <v>78</v>
      </c>
      <c r="O4" s="3" t="s">
        <v>79</v>
      </c>
      <c r="P4" s="3" t="s">
        <v>80</v>
      </c>
      <c r="Q4" s="3" t="s">
        <v>81</v>
      </c>
      <c r="R4" s="3" t="s">
        <v>82</v>
      </c>
      <c r="S4" s="3" t="s">
        <v>83</v>
      </c>
      <c r="T4" s="8" t="s">
        <v>84</v>
      </c>
      <c r="V4" t="s">
        <v>77</v>
      </c>
      <c r="W4" s="3" t="s">
        <v>78</v>
      </c>
      <c r="X4" s="3" t="s">
        <v>79</v>
      </c>
      <c r="Y4" s="3" t="s">
        <v>80</v>
      </c>
      <c r="Z4" s="3" t="s">
        <v>81</v>
      </c>
      <c r="AA4" s="3" t="s">
        <v>82</v>
      </c>
      <c r="AB4" s="3" t="s">
        <v>83</v>
      </c>
      <c r="AC4" s="8" t="s">
        <v>84</v>
      </c>
      <c r="AE4" t="s">
        <v>77</v>
      </c>
      <c r="AF4" s="3" t="s">
        <v>78</v>
      </c>
      <c r="AG4" s="3" t="s">
        <v>79</v>
      </c>
      <c r="AH4" s="3" t="s">
        <v>80</v>
      </c>
      <c r="AI4" s="3" t="s">
        <v>81</v>
      </c>
      <c r="AJ4" s="3" t="s">
        <v>82</v>
      </c>
      <c r="AK4" s="3" t="s">
        <v>83</v>
      </c>
      <c r="AL4" s="8" t="s">
        <v>84</v>
      </c>
      <c r="AN4" t="s">
        <v>77</v>
      </c>
      <c r="AO4" s="3" t="s">
        <v>78</v>
      </c>
      <c r="AP4" s="3" t="s">
        <v>79</v>
      </c>
      <c r="AQ4" s="3" t="s">
        <v>80</v>
      </c>
      <c r="AR4" s="3" t="s">
        <v>81</v>
      </c>
      <c r="AS4" s="3" t="s">
        <v>82</v>
      </c>
      <c r="AT4" s="3" t="s">
        <v>83</v>
      </c>
      <c r="AU4" s="8" t="s">
        <v>84</v>
      </c>
      <c r="AW4" t="s">
        <v>77</v>
      </c>
      <c r="AX4" s="3" t="s">
        <v>78</v>
      </c>
      <c r="AY4" s="3" t="s">
        <v>79</v>
      </c>
      <c r="AZ4" s="3" t="s">
        <v>80</v>
      </c>
      <c r="BA4" s="3" t="s">
        <v>81</v>
      </c>
      <c r="BB4" s="3" t="s">
        <v>82</v>
      </c>
      <c r="BC4" s="3" t="s">
        <v>83</v>
      </c>
      <c r="BD4" s="8" t="s">
        <v>84</v>
      </c>
      <c r="BF4" t="s">
        <v>77</v>
      </c>
      <c r="BG4" s="3" t="s">
        <v>78</v>
      </c>
      <c r="BH4" s="3" t="s">
        <v>79</v>
      </c>
      <c r="BI4" s="3" t="s">
        <v>80</v>
      </c>
      <c r="BJ4" s="3" t="s">
        <v>81</v>
      </c>
      <c r="BK4" s="3" t="s">
        <v>82</v>
      </c>
      <c r="BL4" s="3" t="s">
        <v>83</v>
      </c>
      <c r="BM4" s="8" t="s">
        <v>84</v>
      </c>
      <c r="BO4" t="s">
        <v>77</v>
      </c>
      <c r="BP4" s="3" t="s">
        <v>78</v>
      </c>
      <c r="BQ4" s="3" t="s">
        <v>79</v>
      </c>
      <c r="BR4" s="3" t="s">
        <v>80</v>
      </c>
      <c r="BS4" s="3" t="s">
        <v>81</v>
      </c>
      <c r="BT4" s="3" t="s">
        <v>82</v>
      </c>
      <c r="BU4" s="3" t="s">
        <v>83</v>
      </c>
      <c r="BV4" s="8" t="s">
        <v>84</v>
      </c>
      <c r="BX4" t="s">
        <v>77</v>
      </c>
      <c r="BY4" s="3" t="s">
        <v>78</v>
      </c>
      <c r="BZ4" s="3" t="s">
        <v>79</v>
      </c>
      <c r="CA4" s="3" t="s">
        <v>80</v>
      </c>
      <c r="CB4" s="3" t="s">
        <v>81</v>
      </c>
      <c r="CC4" s="3" t="s">
        <v>82</v>
      </c>
      <c r="CD4" s="3" t="s">
        <v>83</v>
      </c>
      <c r="CE4" s="8" t="s">
        <v>84</v>
      </c>
      <c r="CG4" t="s">
        <v>77</v>
      </c>
      <c r="CH4" s="3" t="s">
        <v>78</v>
      </c>
      <c r="CI4" s="3" t="s">
        <v>79</v>
      </c>
      <c r="CJ4" s="3" t="s">
        <v>80</v>
      </c>
      <c r="CK4" s="3" t="s">
        <v>81</v>
      </c>
      <c r="CL4" s="3" t="s">
        <v>82</v>
      </c>
      <c r="CM4" s="3" t="s">
        <v>83</v>
      </c>
      <c r="CN4" s="8" t="s">
        <v>84</v>
      </c>
      <c r="CP4" t="s">
        <v>77</v>
      </c>
      <c r="CQ4" s="3" t="s">
        <v>78</v>
      </c>
      <c r="CR4" s="3" t="s">
        <v>79</v>
      </c>
      <c r="CS4" s="3" t="s">
        <v>80</v>
      </c>
      <c r="CT4" s="3" t="s">
        <v>81</v>
      </c>
      <c r="CU4" s="3" t="s">
        <v>82</v>
      </c>
      <c r="CV4" s="3" t="s">
        <v>83</v>
      </c>
      <c r="CW4" s="8" t="s">
        <v>84</v>
      </c>
      <c r="CY4" t="s">
        <v>77</v>
      </c>
      <c r="CZ4" s="3" t="s">
        <v>78</v>
      </c>
      <c r="DA4" s="3" t="s">
        <v>79</v>
      </c>
      <c r="DB4" s="3" t="s">
        <v>80</v>
      </c>
      <c r="DC4" s="3" t="s">
        <v>81</v>
      </c>
      <c r="DD4" s="3" t="s">
        <v>82</v>
      </c>
      <c r="DE4" s="3" t="s">
        <v>83</v>
      </c>
      <c r="DF4" s="8" t="s">
        <v>84</v>
      </c>
      <c r="DH4" t="s">
        <v>77</v>
      </c>
      <c r="DI4" s="3" t="s">
        <v>78</v>
      </c>
      <c r="DJ4" s="3" t="s">
        <v>79</v>
      </c>
      <c r="DK4" s="3" t="s">
        <v>80</v>
      </c>
      <c r="DL4" s="3" t="s">
        <v>81</v>
      </c>
      <c r="DM4" s="3" t="s">
        <v>82</v>
      </c>
      <c r="DN4" s="3" t="s">
        <v>83</v>
      </c>
      <c r="DO4" s="8" t="s">
        <v>84</v>
      </c>
      <c r="DQ4" t="s">
        <v>77</v>
      </c>
      <c r="DR4" s="3" t="s">
        <v>78</v>
      </c>
      <c r="DS4" s="3" t="s">
        <v>79</v>
      </c>
      <c r="DT4" s="3" t="s">
        <v>80</v>
      </c>
      <c r="DU4" s="3" t="s">
        <v>81</v>
      </c>
      <c r="DV4" s="3" t="s">
        <v>82</v>
      </c>
      <c r="DW4" s="3" t="s">
        <v>83</v>
      </c>
      <c r="DX4" s="8" t="s">
        <v>84</v>
      </c>
      <c r="DZ4" t="s">
        <v>77</v>
      </c>
      <c r="EA4" s="3" t="s">
        <v>78</v>
      </c>
      <c r="EB4" s="3" t="s">
        <v>79</v>
      </c>
      <c r="EC4" s="3" t="s">
        <v>80</v>
      </c>
      <c r="ED4" s="3" t="s">
        <v>81</v>
      </c>
      <c r="EE4" s="3" t="s">
        <v>82</v>
      </c>
      <c r="EF4" s="3" t="s">
        <v>83</v>
      </c>
      <c r="EG4" s="8" t="s">
        <v>84</v>
      </c>
    </row>
    <row r="5" spans="1:137">
      <c r="A5" s="153" t="s">
        <v>126</v>
      </c>
      <c r="B5" s="153"/>
      <c r="D5" s="4" t="s">
        <v>255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448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113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459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319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466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472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476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480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699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487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348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53"/>
      <c r="B6" s="153"/>
      <c r="D6" s="31" t="s">
        <v>413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1" t="s">
        <v>378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63" t="s">
        <v>514</v>
      </c>
      <c r="W6" s="163"/>
      <c r="X6" s="163"/>
      <c r="Y6" s="163"/>
      <c r="Z6" s="163"/>
      <c r="AA6" s="163"/>
      <c r="AB6" s="163"/>
      <c r="AC6" s="163"/>
      <c r="AE6" s="163" t="s">
        <v>540</v>
      </c>
      <c r="AF6" s="163"/>
      <c r="AG6" s="163"/>
      <c r="AH6" s="163"/>
      <c r="AI6" s="163"/>
      <c r="AJ6" s="163"/>
      <c r="AK6" s="163"/>
      <c r="AL6" s="163"/>
      <c r="AN6" s="162" t="s">
        <v>600</v>
      </c>
      <c r="AO6" s="162"/>
      <c r="AP6" s="162"/>
      <c r="AQ6" s="162"/>
      <c r="AR6" s="162"/>
      <c r="AS6" s="162"/>
      <c r="AT6" s="162"/>
      <c r="AU6" s="162"/>
      <c r="AW6" s="31" t="s">
        <v>467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64" t="s">
        <v>632</v>
      </c>
      <c r="BG6" s="163"/>
      <c r="BH6" s="163"/>
      <c r="BI6" s="163"/>
      <c r="BJ6" s="163"/>
      <c r="BK6" s="163"/>
      <c r="BL6" s="163"/>
      <c r="BM6" s="163"/>
      <c r="BO6" s="164" t="s">
        <v>673</v>
      </c>
      <c r="BP6" s="163"/>
      <c r="BQ6" s="163"/>
      <c r="BR6" s="163"/>
      <c r="BS6" s="163"/>
      <c r="BT6" s="163"/>
      <c r="BU6" s="163"/>
      <c r="BV6" s="163"/>
      <c r="BX6" s="159" t="s">
        <v>695</v>
      </c>
      <c r="BY6" s="160"/>
      <c r="BZ6" s="160"/>
      <c r="CA6" s="160"/>
      <c r="CB6" s="160"/>
      <c r="CC6" s="160"/>
      <c r="CD6" s="160"/>
      <c r="CE6" s="161"/>
      <c r="CG6" s="4" t="s">
        <v>700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59" t="s">
        <v>743</v>
      </c>
      <c r="CQ6" s="160"/>
      <c r="CR6" s="160"/>
      <c r="CS6" s="160"/>
      <c r="CT6" s="160"/>
      <c r="CU6" s="160"/>
      <c r="CV6" s="160"/>
      <c r="CW6" s="161"/>
      <c r="DH6" s="159" t="s">
        <v>747</v>
      </c>
      <c r="DI6" s="160"/>
      <c r="DJ6" s="160"/>
      <c r="DK6" s="160"/>
      <c r="DL6" s="160"/>
      <c r="DM6" s="160"/>
      <c r="DN6" s="160"/>
      <c r="DO6" s="161"/>
    </row>
    <row r="7" spans="1:137" ht="15" customHeight="1">
      <c r="A7" s="153"/>
      <c r="B7" s="153"/>
      <c r="D7" s="31" t="s">
        <v>291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63" t="s">
        <v>450</v>
      </c>
      <c r="N7" s="163"/>
      <c r="O7" s="163"/>
      <c r="P7" s="163"/>
      <c r="Q7" s="163"/>
      <c r="R7" s="163"/>
      <c r="S7" s="163"/>
      <c r="T7" s="163"/>
      <c r="V7" t="s">
        <v>77</v>
      </c>
      <c r="W7" s="3" t="s">
        <v>78</v>
      </c>
      <c r="X7" s="3" t="s">
        <v>79</v>
      </c>
      <c r="Y7" s="3" t="s">
        <v>80</v>
      </c>
      <c r="Z7" s="3" t="s">
        <v>81</v>
      </c>
      <c r="AA7" s="3" t="s">
        <v>82</v>
      </c>
      <c r="AB7" s="3" t="s">
        <v>83</v>
      </c>
      <c r="AC7" s="8" t="s">
        <v>84</v>
      </c>
      <c r="AE7" t="s">
        <v>77</v>
      </c>
      <c r="AF7" s="3" t="s">
        <v>78</v>
      </c>
      <c r="AG7" s="3" t="s">
        <v>79</v>
      </c>
      <c r="AH7" s="3" t="s">
        <v>80</v>
      </c>
      <c r="AI7" s="3" t="s">
        <v>81</v>
      </c>
      <c r="AJ7" s="3" t="s">
        <v>82</v>
      </c>
      <c r="AK7" s="3" t="s">
        <v>83</v>
      </c>
      <c r="AL7" s="8" t="s">
        <v>84</v>
      </c>
      <c r="AN7" s="163" t="s">
        <v>601</v>
      </c>
      <c r="AO7" s="163"/>
      <c r="AP7" s="163"/>
      <c r="AQ7" s="163"/>
      <c r="AR7" s="163"/>
      <c r="AS7" s="163"/>
      <c r="AT7" s="163"/>
      <c r="AU7" s="163"/>
      <c r="AW7" s="31" t="s">
        <v>468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77</v>
      </c>
      <c r="BG7" s="3" t="s">
        <v>78</v>
      </c>
      <c r="BH7" s="3" t="s">
        <v>79</v>
      </c>
      <c r="BI7" s="3" t="s">
        <v>80</v>
      </c>
      <c r="BJ7" s="3" t="s">
        <v>81</v>
      </c>
      <c r="BK7" s="3" t="s">
        <v>82</v>
      </c>
      <c r="BL7" s="3" t="s">
        <v>83</v>
      </c>
      <c r="BM7" s="8" t="s">
        <v>84</v>
      </c>
      <c r="BO7" t="s">
        <v>77</v>
      </c>
      <c r="BP7" s="3" t="s">
        <v>78</v>
      </c>
      <c r="BQ7" s="3" t="s">
        <v>79</v>
      </c>
      <c r="BR7" s="3" t="s">
        <v>80</v>
      </c>
      <c r="BS7" s="3" t="s">
        <v>81</v>
      </c>
      <c r="BT7" s="3" t="s">
        <v>82</v>
      </c>
      <c r="BU7" s="3" t="s">
        <v>83</v>
      </c>
      <c r="BV7" s="8" t="s">
        <v>84</v>
      </c>
      <c r="BX7" t="s">
        <v>77</v>
      </c>
      <c r="BY7" s="3" t="s">
        <v>78</v>
      </c>
      <c r="BZ7" s="3" t="s">
        <v>79</v>
      </c>
      <c r="CA7" s="3" t="s">
        <v>80</v>
      </c>
      <c r="CB7" s="3" t="s">
        <v>81</v>
      </c>
      <c r="CC7" s="3" t="s">
        <v>82</v>
      </c>
      <c r="CD7" s="3" t="s">
        <v>83</v>
      </c>
      <c r="CE7" s="8" t="s">
        <v>84</v>
      </c>
      <c r="CG7" s="4" t="s">
        <v>701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77</v>
      </c>
      <c r="CQ7" s="3" t="s">
        <v>78</v>
      </c>
      <c r="CR7" s="3" t="s">
        <v>79</v>
      </c>
      <c r="CS7" s="3" t="s">
        <v>80</v>
      </c>
      <c r="CT7" s="3" t="s">
        <v>81</v>
      </c>
      <c r="CU7" s="3" t="s">
        <v>82</v>
      </c>
      <c r="CV7" s="3" t="s">
        <v>83</v>
      </c>
      <c r="CW7" s="8" t="s">
        <v>84</v>
      </c>
      <c r="DH7" t="s">
        <v>77</v>
      </c>
      <c r="DI7" s="3" t="s">
        <v>78</v>
      </c>
      <c r="DJ7" s="3" t="s">
        <v>79</v>
      </c>
      <c r="DK7" s="3" t="s">
        <v>80</v>
      </c>
      <c r="DL7" s="3" t="s">
        <v>81</v>
      </c>
      <c r="DM7" s="3" t="s">
        <v>82</v>
      </c>
      <c r="DN7" s="3" t="s">
        <v>83</v>
      </c>
      <c r="DO7" s="8" t="s">
        <v>84</v>
      </c>
    </row>
    <row r="8" spans="1:137" ht="15" customHeight="1">
      <c r="A8" s="153"/>
      <c r="B8" s="153"/>
      <c r="D8" s="31" t="s">
        <v>293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77</v>
      </c>
      <c r="N8" s="3" t="s">
        <v>78</v>
      </c>
      <c r="O8" s="3" t="s">
        <v>79</v>
      </c>
      <c r="P8" s="3" t="s">
        <v>80</v>
      </c>
      <c r="Q8" s="3" t="s">
        <v>81</v>
      </c>
      <c r="R8" s="3" t="s">
        <v>82</v>
      </c>
      <c r="S8" s="3" t="s">
        <v>83</v>
      </c>
      <c r="T8" s="8" t="s">
        <v>84</v>
      </c>
      <c r="V8" s="4" t="s">
        <v>113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541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77</v>
      </c>
      <c r="AO8" s="3" t="s">
        <v>78</v>
      </c>
      <c r="AP8" s="3" t="s">
        <v>79</v>
      </c>
      <c r="AQ8" s="3" t="s">
        <v>80</v>
      </c>
      <c r="AR8" s="3" t="s">
        <v>81</v>
      </c>
      <c r="AS8" s="3" t="s">
        <v>82</v>
      </c>
      <c r="AT8" s="3" t="s">
        <v>83</v>
      </c>
      <c r="AU8" s="8" t="s">
        <v>84</v>
      </c>
      <c r="AW8" s="163" t="s">
        <v>621</v>
      </c>
      <c r="AX8" s="163"/>
      <c r="AY8" s="163"/>
      <c r="AZ8" s="163"/>
      <c r="BA8" s="163"/>
      <c r="BB8" s="163"/>
      <c r="BC8" s="163"/>
      <c r="BD8" s="163"/>
      <c r="BF8" s="4" t="s">
        <v>363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674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696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702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744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224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53"/>
      <c r="B9" s="153"/>
      <c r="D9" s="31" t="s">
        <v>414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448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63" t="s">
        <v>515</v>
      </c>
      <c r="W9" s="163"/>
      <c r="X9" s="163"/>
      <c r="Y9" s="163"/>
      <c r="Z9" s="163"/>
      <c r="AA9" s="163"/>
      <c r="AB9" s="163"/>
      <c r="AC9" s="163"/>
      <c r="AE9" s="31" t="s">
        <v>542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602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77</v>
      </c>
      <c r="AX9" s="3" t="s">
        <v>78</v>
      </c>
      <c r="AY9" s="3" t="s">
        <v>79</v>
      </c>
      <c r="AZ9" s="3" t="s">
        <v>80</v>
      </c>
      <c r="BA9" s="3" t="s">
        <v>81</v>
      </c>
      <c r="BB9" s="3" t="s">
        <v>82</v>
      </c>
      <c r="BC9" s="3" t="s">
        <v>83</v>
      </c>
      <c r="BD9" s="8" t="s">
        <v>84</v>
      </c>
      <c r="BF9" s="164" t="s">
        <v>633</v>
      </c>
      <c r="BG9" s="163"/>
      <c r="BH9" s="163"/>
      <c r="BI9" s="163"/>
      <c r="BJ9" s="163"/>
      <c r="BK9" s="163"/>
      <c r="BL9" s="163"/>
      <c r="BM9" s="163"/>
      <c r="BO9" s="164" t="s">
        <v>675</v>
      </c>
      <c r="BP9" s="163"/>
      <c r="BQ9" s="163"/>
      <c r="BR9" s="163"/>
      <c r="BS9" s="163"/>
      <c r="BT9" s="163"/>
      <c r="BU9" s="163"/>
      <c r="BV9" s="163"/>
      <c r="BX9" s="159" t="s">
        <v>697</v>
      </c>
      <c r="BY9" s="160"/>
      <c r="BZ9" s="160"/>
      <c r="CA9" s="160"/>
      <c r="CB9" s="160"/>
      <c r="CC9" s="160"/>
      <c r="CD9" s="160"/>
      <c r="CE9" s="161"/>
      <c r="CG9" s="4" t="s">
        <v>703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59" t="s">
        <v>745</v>
      </c>
      <c r="CQ9" s="160"/>
      <c r="CR9" s="160"/>
      <c r="CS9" s="160"/>
      <c r="CT9" s="160"/>
      <c r="CU9" s="160"/>
      <c r="CV9" s="160"/>
      <c r="CW9" s="161"/>
      <c r="DH9" s="31" t="s">
        <v>748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53"/>
      <c r="B10" s="153"/>
      <c r="D10" s="31" t="s">
        <v>415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1" t="s">
        <v>449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77</v>
      </c>
      <c r="W10" s="3" t="s">
        <v>78</v>
      </c>
      <c r="X10" s="3" t="s">
        <v>79</v>
      </c>
      <c r="Y10" s="3" t="s">
        <v>80</v>
      </c>
      <c r="Z10" s="3" t="s">
        <v>81</v>
      </c>
      <c r="AA10" s="3" t="s">
        <v>82</v>
      </c>
      <c r="AB10" s="3" t="s">
        <v>83</v>
      </c>
      <c r="AC10" s="8" t="s">
        <v>84</v>
      </c>
      <c r="AE10" s="162" t="s">
        <v>543</v>
      </c>
      <c r="AF10" s="162"/>
      <c r="AG10" s="162"/>
      <c r="AH10" s="162"/>
      <c r="AI10" s="162"/>
      <c r="AJ10" s="162"/>
      <c r="AK10" s="162"/>
      <c r="AL10" s="162"/>
      <c r="AN10" s="163" t="s">
        <v>603</v>
      </c>
      <c r="AO10" s="163"/>
      <c r="AP10" s="163"/>
      <c r="AQ10" s="163"/>
      <c r="AR10" s="163"/>
      <c r="AS10" s="163"/>
      <c r="AT10" s="163"/>
      <c r="AU10" s="163"/>
      <c r="AW10" s="4" t="s">
        <v>622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77</v>
      </c>
      <c r="BG10" s="3" t="s">
        <v>78</v>
      </c>
      <c r="BH10" s="3" t="s">
        <v>79</v>
      </c>
      <c r="BI10" s="3" t="s">
        <v>80</v>
      </c>
      <c r="BJ10" s="3" t="s">
        <v>81</v>
      </c>
      <c r="BK10" s="3" t="s">
        <v>82</v>
      </c>
      <c r="BL10" s="3" t="s">
        <v>83</v>
      </c>
      <c r="BM10" s="8" t="s">
        <v>84</v>
      </c>
      <c r="BO10" t="s">
        <v>77</v>
      </c>
      <c r="BP10" s="3" t="s">
        <v>78</v>
      </c>
      <c r="BQ10" s="3" t="s">
        <v>79</v>
      </c>
      <c r="BR10" s="3" t="s">
        <v>80</v>
      </c>
      <c r="BS10" s="3" t="s">
        <v>81</v>
      </c>
      <c r="BT10" s="3" t="s">
        <v>82</v>
      </c>
      <c r="BU10" s="3" t="s">
        <v>83</v>
      </c>
      <c r="BV10" s="8" t="s">
        <v>84</v>
      </c>
      <c r="BX10" t="s">
        <v>77</v>
      </c>
      <c r="BY10" s="3" t="s">
        <v>78</v>
      </c>
      <c r="BZ10" s="3" t="s">
        <v>79</v>
      </c>
      <c r="CA10" s="3" t="s">
        <v>80</v>
      </c>
      <c r="CB10" s="3" t="s">
        <v>81</v>
      </c>
      <c r="CC10" s="3" t="s">
        <v>82</v>
      </c>
      <c r="CD10" s="3" t="s">
        <v>83</v>
      </c>
      <c r="CE10" s="8" t="s">
        <v>84</v>
      </c>
      <c r="CG10" s="4" t="s">
        <v>704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77</v>
      </c>
      <c r="CQ10" s="3" t="s">
        <v>78</v>
      </c>
      <c r="CR10" s="3" t="s">
        <v>79</v>
      </c>
      <c r="CS10" s="3" t="s">
        <v>80</v>
      </c>
      <c r="CT10" s="3" t="s">
        <v>81</v>
      </c>
      <c r="CU10" s="3" t="s">
        <v>82</v>
      </c>
      <c r="CV10" s="3" t="s">
        <v>83</v>
      </c>
      <c r="CW10" s="8" t="s">
        <v>84</v>
      </c>
      <c r="DH10" s="31" t="s">
        <v>749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53"/>
      <c r="B11" s="153"/>
      <c r="D11" s="163" t="s">
        <v>422</v>
      </c>
      <c r="E11" s="163"/>
      <c r="F11" s="163"/>
      <c r="G11" s="163"/>
      <c r="H11" s="163"/>
      <c r="I11" s="163"/>
      <c r="J11" s="163"/>
      <c r="K11" s="163"/>
      <c r="M11" s="164" t="s">
        <v>499</v>
      </c>
      <c r="N11" s="163"/>
      <c r="O11" s="163"/>
      <c r="P11" s="163"/>
      <c r="Q11" s="163"/>
      <c r="R11" s="163"/>
      <c r="S11" s="163"/>
      <c r="T11" s="163"/>
      <c r="V11" s="4" t="s">
        <v>117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63" t="s">
        <v>544</v>
      </c>
      <c r="AF11" s="163"/>
      <c r="AG11" s="163"/>
      <c r="AH11" s="163"/>
      <c r="AI11" s="163"/>
      <c r="AJ11" s="163"/>
      <c r="AK11" s="163"/>
      <c r="AL11" s="163"/>
      <c r="AN11" t="s">
        <v>77</v>
      </c>
      <c r="AO11" s="3" t="s">
        <v>78</v>
      </c>
      <c r="AP11" s="3" t="s">
        <v>79</v>
      </c>
      <c r="AQ11" s="3" t="s">
        <v>80</v>
      </c>
      <c r="AR11" s="3" t="s">
        <v>81</v>
      </c>
      <c r="AS11" s="3" t="s">
        <v>82</v>
      </c>
      <c r="AT11" s="3" t="s">
        <v>83</v>
      </c>
      <c r="AU11" s="8" t="s">
        <v>84</v>
      </c>
      <c r="AW11" s="163" t="s">
        <v>623</v>
      </c>
      <c r="AX11" s="163"/>
      <c r="AY11" s="163"/>
      <c r="AZ11" s="163"/>
      <c r="BA11" s="163"/>
      <c r="BB11" s="163"/>
      <c r="BC11" s="163"/>
      <c r="BD11" s="163"/>
      <c r="BF11" s="4" t="s">
        <v>634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676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698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705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746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1" t="s">
        <v>750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53"/>
      <c r="B12" s="153"/>
      <c r="D12" t="s">
        <v>77</v>
      </c>
      <c r="E12" s="3" t="s">
        <v>78</v>
      </c>
      <c r="F12" s="3" t="s">
        <v>79</v>
      </c>
      <c r="G12" s="3" t="s">
        <v>80</v>
      </c>
      <c r="H12" s="3" t="s">
        <v>81</v>
      </c>
      <c r="I12" s="3" t="s">
        <v>82</v>
      </c>
      <c r="J12" s="3" t="s">
        <v>83</v>
      </c>
      <c r="K12" s="8" t="s">
        <v>84</v>
      </c>
      <c r="M12" t="s">
        <v>77</v>
      </c>
      <c r="N12" s="3" t="s">
        <v>78</v>
      </c>
      <c r="O12" s="3" t="s">
        <v>79</v>
      </c>
      <c r="P12" s="3" t="s">
        <v>80</v>
      </c>
      <c r="Q12" s="3" t="s">
        <v>81</v>
      </c>
      <c r="R12" s="3" t="s">
        <v>82</v>
      </c>
      <c r="S12" s="3" t="s">
        <v>83</v>
      </c>
      <c r="T12" s="8" t="s">
        <v>84</v>
      </c>
      <c r="V12" s="31" t="s">
        <v>120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77</v>
      </c>
      <c r="AF12" s="3" t="s">
        <v>78</v>
      </c>
      <c r="AG12" s="3" t="s">
        <v>79</v>
      </c>
      <c r="AH12" s="3" t="s">
        <v>80</v>
      </c>
      <c r="AI12" s="3" t="s">
        <v>81</v>
      </c>
      <c r="AJ12" s="3" t="s">
        <v>82</v>
      </c>
      <c r="AK12" s="3" t="s">
        <v>83</v>
      </c>
      <c r="AL12" s="8" t="s">
        <v>84</v>
      </c>
      <c r="AN12" s="4" t="s">
        <v>604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77</v>
      </c>
      <c r="AX12" s="3" t="s">
        <v>78</v>
      </c>
      <c r="AY12" s="3" t="s">
        <v>79</v>
      </c>
      <c r="AZ12" s="3" t="s">
        <v>80</v>
      </c>
      <c r="BA12" s="3" t="s">
        <v>81</v>
      </c>
      <c r="BB12" s="3" t="s">
        <v>82</v>
      </c>
      <c r="BC12" s="3" t="s">
        <v>83</v>
      </c>
      <c r="BD12" s="8" t="s">
        <v>84</v>
      </c>
      <c r="BF12" s="164" t="s">
        <v>635</v>
      </c>
      <c r="BG12" s="163"/>
      <c r="BH12" s="163"/>
      <c r="BI12" s="163"/>
      <c r="BJ12" s="163"/>
      <c r="BK12" s="163"/>
      <c r="BL12" s="163"/>
      <c r="BM12" s="163"/>
      <c r="BO12" s="162" t="s">
        <v>677</v>
      </c>
      <c r="BP12" s="162"/>
      <c r="BQ12" s="162"/>
      <c r="BR12" s="162"/>
      <c r="BS12" s="162"/>
      <c r="BT12" s="162"/>
      <c r="BU12" s="162"/>
      <c r="BV12" s="162"/>
      <c r="CG12" s="4" t="s">
        <v>706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1" t="s">
        <v>751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53"/>
      <c r="B13" s="153"/>
      <c r="D13" s="4" t="s">
        <v>416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498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1" t="s">
        <v>122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338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63" t="s">
        <v>607</v>
      </c>
      <c r="AO13" s="163"/>
      <c r="AP13" s="163"/>
      <c r="AQ13" s="163"/>
      <c r="AR13" s="163"/>
      <c r="AS13" s="163"/>
      <c r="AT13" s="163"/>
      <c r="AU13" s="163"/>
      <c r="AW13" s="4" t="s">
        <v>624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77</v>
      </c>
      <c r="BG13" s="3" t="s">
        <v>78</v>
      </c>
      <c r="BH13" s="3" t="s">
        <v>79</v>
      </c>
      <c r="BI13" s="3" t="s">
        <v>80</v>
      </c>
      <c r="BJ13" s="3" t="s">
        <v>81</v>
      </c>
      <c r="BK13" s="3" t="s">
        <v>82</v>
      </c>
      <c r="BL13" s="3" t="s">
        <v>83</v>
      </c>
      <c r="BM13" s="8" t="s">
        <v>84</v>
      </c>
      <c r="BO13" s="164" t="s">
        <v>678</v>
      </c>
      <c r="BP13" s="163"/>
      <c r="BQ13" s="163"/>
      <c r="BR13" s="163"/>
      <c r="BS13" s="163"/>
      <c r="BT13" s="163"/>
      <c r="BU13" s="163"/>
      <c r="BV13" s="163"/>
      <c r="CG13" s="4" t="s">
        <v>707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1" t="s">
        <v>752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53"/>
      <c r="B14" s="153"/>
      <c r="D14" s="31" t="s">
        <v>417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64" t="s">
        <v>500</v>
      </c>
      <c r="N14" s="163"/>
      <c r="O14" s="163"/>
      <c r="P14" s="163"/>
      <c r="Q14" s="163"/>
      <c r="R14" s="163"/>
      <c r="S14" s="163"/>
      <c r="T14" s="163"/>
      <c r="V14" s="162" t="s">
        <v>517</v>
      </c>
      <c r="W14" s="162"/>
      <c r="X14" s="162"/>
      <c r="Y14" s="162"/>
      <c r="Z14" s="162"/>
      <c r="AA14" s="162"/>
      <c r="AB14" s="162"/>
      <c r="AC14" s="162"/>
      <c r="AE14" s="162" t="s">
        <v>545</v>
      </c>
      <c r="AF14" s="162"/>
      <c r="AG14" s="162"/>
      <c r="AH14" s="162"/>
      <c r="AI14" s="162"/>
      <c r="AJ14" s="162"/>
      <c r="AK14" s="162"/>
      <c r="AL14" s="162"/>
      <c r="AN14" t="s">
        <v>77</v>
      </c>
      <c r="AO14" s="3" t="s">
        <v>78</v>
      </c>
      <c r="AP14" s="3" t="s">
        <v>79</v>
      </c>
      <c r="AQ14" s="3" t="s">
        <v>80</v>
      </c>
      <c r="AR14" s="3" t="s">
        <v>81</v>
      </c>
      <c r="AS14" s="3" t="s">
        <v>82</v>
      </c>
      <c r="AT14" s="3" t="s">
        <v>83</v>
      </c>
      <c r="AU14" s="8" t="s">
        <v>84</v>
      </c>
      <c r="AW14" s="4" t="s">
        <v>625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636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77</v>
      </c>
      <c r="BP14" s="3" t="s">
        <v>78</v>
      </c>
      <c r="BQ14" s="3" t="s">
        <v>79</v>
      </c>
      <c r="BR14" s="3" t="s">
        <v>80</v>
      </c>
      <c r="BS14" s="3" t="s">
        <v>81</v>
      </c>
      <c r="BT14" s="3" t="s">
        <v>82</v>
      </c>
      <c r="BU14" s="3" t="s">
        <v>83</v>
      </c>
      <c r="BV14" s="8" t="s">
        <v>84</v>
      </c>
      <c r="CG14" s="4" t="s">
        <v>708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1" t="s">
        <v>753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53"/>
      <c r="B15" s="153"/>
      <c r="D15" s="31" t="s">
        <v>418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77</v>
      </c>
      <c r="N15" s="3" t="s">
        <v>78</v>
      </c>
      <c r="O15" s="3" t="s">
        <v>79</v>
      </c>
      <c r="P15" s="3" t="s">
        <v>80</v>
      </c>
      <c r="Q15" s="3" t="s">
        <v>81</v>
      </c>
      <c r="R15" s="3" t="s">
        <v>82</v>
      </c>
      <c r="S15" s="3" t="s">
        <v>83</v>
      </c>
      <c r="T15" s="8" t="s">
        <v>84</v>
      </c>
      <c r="V15" s="164" t="s">
        <v>516</v>
      </c>
      <c r="W15" s="163"/>
      <c r="X15" s="163"/>
      <c r="Y15" s="163"/>
      <c r="Z15" s="163"/>
      <c r="AA15" s="163"/>
      <c r="AB15" s="163"/>
      <c r="AC15" s="163"/>
      <c r="AE15" s="163" t="s">
        <v>546</v>
      </c>
      <c r="AF15" s="163"/>
      <c r="AG15" s="163"/>
      <c r="AH15" s="163"/>
      <c r="AI15" s="163"/>
      <c r="AJ15" s="163"/>
      <c r="AK15" s="163"/>
      <c r="AL15" s="163"/>
      <c r="AN15" s="4" t="s">
        <v>605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626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62" t="s">
        <v>637</v>
      </c>
      <c r="BG15" s="162"/>
      <c r="BH15" s="162"/>
      <c r="BI15" s="162"/>
      <c r="BJ15" s="162"/>
      <c r="BK15" s="162"/>
      <c r="BL15" s="162"/>
      <c r="BM15" s="162"/>
      <c r="BO15" s="4" t="s">
        <v>220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709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1" t="s">
        <v>754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53"/>
      <c r="B16" s="153"/>
      <c r="D16" s="31" t="s">
        <v>297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501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77</v>
      </c>
      <c r="W16" s="3" t="s">
        <v>78</v>
      </c>
      <c r="X16" s="3" t="s">
        <v>79</v>
      </c>
      <c r="Y16" s="3" t="s">
        <v>80</v>
      </c>
      <c r="Z16" s="3" t="s">
        <v>81</v>
      </c>
      <c r="AA16" s="3" t="s">
        <v>82</v>
      </c>
      <c r="AB16" s="3" t="s">
        <v>83</v>
      </c>
      <c r="AC16" s="8" t="s">
        <v>84</v>
      </c>
      <c r="AE16" t="s">
        <v>77</v>
      </c>
      <c r="AF16" s="3" t="s">
        <v>78</v>
      </c>
      <c r="AG16" s="3" t="s">
        <v>79</v>
      </c>
      <c r="AH16" s="3" t="s">
        <v>80</v>
      </c>
      <c r="AI16" s="3" t="s">
        <v>81</v>
      </c>
      <c r="AJ16" s="3" t="s">
        <v>82</v>
      </c>
      <c r="AK16" s="3" t="s">
        <v>83</v>
      </c>
      <c r="AL16" s="8" t="s">
        <v>84</v>
      </c>
      <c r="AN16" s="31" t="s">
        <v>606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627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63" t="s">
        <v>638</v>
      </c>
      <c r="BG16" s="163"/>
      <c r="BH16" s="163"/>
      <c r="BI16" s="163"/>
      <c r="BJ16" s="163"/>
      <c r="BK16" s="163"/>
      <c r="BL16" s="163"/>
      <c r="BM16" s="163"/>
      <c r="BO16" s="4" t="s">
        <v>315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710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1" t="s">
        <v>755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53"/>
      <c r="B17" s="153"/>
      <c r="D17" s="31" t="s">
        <v>298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64" t="s">
        <v>502</v>
      </c>
      <c r="N17" s="163"/>
      <c r="O17" s="163"/>
      <c r="P17" s="163"/>
      <c r="Q17" s="163"/>
      <c r="R17" s="163"/>
      <c r="S17" s="163"/>
      <c r="T17" s="163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547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1" t="s">
        <v>602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628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77</v>
      </c>
      <c r="BG17" s="3" t="s">
        <v>78</v>
      </c>
      <c r="BH17" s="3" t="s">
        <v>79</v>
      </c>
      <c r="BI17" s="3" t="s">
        <v>80</v>
      </c>
      <c r="BJ17" s="3" t="s">
        <v>81</v>
      </c>
      <c r="BK17" s="3" t="s">
        <v>82</v>
      </c>
      <c r="BL17" s="3" t="s">
        <v>83</v>
      </c>
      <c r="BM17" s="8" t="s">
        <v>84</v>
      </c>
      <c r="BO17" s="4" t="s">
        <v>316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711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1" t="s">
        <v>756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53"/>
      <c r="B18" s="153"/>
      <c r="D18" s="31" t="s">
        <v>299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77</v>
      </c>
      <c r="N18" s="3" t="s">
        <v>78</v>
      </c>
      <c r="O18" s="3" t="s">
        <v>79</v>
      </c>
      <c r="P18" s="3" t="s">
        <v>80</v>
      </c>
      <c r="Q18" s="3" t="s">
        <v>81</v>
      </c>
      <c r="R18" s="3" t="s">
        <v>82</v>
      </c>
      <c r="S18" s="3" t="s">
        <v>83</v>
      </c>
      <c r="T18" s="8" t="s">
        <v>84</v>
      </c>
      <c r="V18" s="164" t="s">
        <v>518</v>
      </c>
      <c r="W18" s="163"/>
      <c r="X18" s="163"/>
      <c r="Y18" s="163"/>
      <c r="Z18" s="163"/>
      <c r="AA18" s="163"/>
      <c r="AB18" s="163"/>
      <c r="AC18" s="163"/>
      <c r="AE18" s="163" t="s">
        <v>548</v>
      </c>
      <c r="AF18" s="163"/>
      <c r="AG18" s="163"/>
      <c r="AH18" s="163"/>
      <c r="AI18" s="163"/>
      <c r="AJ18" s="163"/>
      <c r="AK18" s="163"/>
      <c r="AL18" s="163"/>
      <c r="AN18" s="162" t="s">
        <v>608</v>
      </c>
      <c r="AO18" s="162"/>
      <c r="AP18" s="162"/>
      <c r="AQ18" s="162"/>
      <c r="AR18" s="162"/>
      <c r="AS18" s="162"/>
      <c r="AT18" s="162"/>
      <c r="AU18" s="162"/>
      <c r="AW18" s="4" t="s">
        <v>629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365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307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713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1" t="s">
        <v>757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53"/>
      <c r="B19" s="153"/>
      <c r="D19" s="31" t="s">
        <v>300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375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77</v>
      </c>
      <c r="W19" s="3" t="s">
        <v>78</v>
      </c>
      <c r="X19" s="3" t="s">
        <v>79</v>
      </c>
      <c r="Y19" s="3" t="s">
        <v>80</v>
      </c>
      <c r="Z19" s="3" t="s">
        <v>81</v>
      </c>
      <c r="AA19" s="3" t="s">
        <v>82</v>
      </c>
      <c r="AB19" s="3" t="s">
        <v>83</v>
      </c>
      <c r="AC19" s="8" t="s">
        <v>84</v>
      </c>
      <c r="AE19" t="s">
        <v>77</v>
      </c>
      <c r="AF19" s="3" t="s">
        <v>78</v>
      </c>
      <c r="AG19" s="3" t="s">
        <v>79</v>
      </c>
      <c r="AH19" s="3" t="s">
        <v>80</v>
      </c>
      <c r="AI19" s="3" t="s">
        <v>81</v>
      </c>
      <c r="AJ19" s="3" t="s">
        <v>82</v>
      </c>
      <c r="AK19" s="3" t="s">
        <v>83</v>
      </c>
      <c r="AL19" s="8" t="s">
        <v>84</v>
      </c>
      <c r="AN19" s="163" t="s">
        <v>540</v>
      </c>
      <c r="AO19" s="163"/>
      <c r="AP19" s="163"/>
      <c r="AQ19" s="163"/>
      <c r="AR19" s="163"/>
      <c r="AS19" s="163"/>
      <c r="AT19" s="163"/>
      <c r="AU19" s="163"/>
      <c r="AW19" s="163" t="s">
        <v>630</v>
      </c>
      <c r="AX19" s="163"/>
      <c r="AY19" s="163"/>
      <c r="AZ19" s="163"/>
      <c r="BA19" s="163"/>
      <c r="BB19" s="163"/>
      <c r="BC19" s="163"/>
      <c r="BD19" s="163"/>
      <c r="BF19" s="163" t="s">
        <v>639</v>
      </c>
      <c r="BG19" s="163"/>
      <c r="BH19" s="163"/>
      <c r="BI19" s="163"/>
      <c r="BJ19" s="163"/>
      <c r="BK19" s="163"/>
      <c r="BL19" s="163"/>
      <c r="BM19" s="163"/>
      <c r="BO19" s="4" t="s">
        <v>308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712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64" t="s">
        <v>758</v>
      </c>
      <c r="DI19" s="163"/>
      <c r="DJ19" s="163"/>
      <c r="DK19" s="163"/>
      <c r="DL19" s="163"/>
      <c r="DM19" s="163"/>
      <c r="DN19" s="163"/>
      <c r="DO19" s="163"/>
    </row>
    <row r="20" spans="1:119" ht="15" customHeight="1">
      <c r="A20" s="153"/>
      <c r="B20" s="153"/>
      <c r="D20" s="31" t="s">
        <v>301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64" t="s">
        <v>503</v>
      </c>
      <c r="N20" s="163"/>
      <c r="O20" s="163"/>
      <c r="P20" s="163"/>
      <c r="Q20" s="163"/>
      <c r="R20" s="163"/>
      <c r="S20" s="163"/>
      <c r="T20" s="163"/>
      <c r="V20" s="4" t="s">
        <v>289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549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77</v>
      </c>
      <c r="AO20" s="3" t="s">
        <v>78</v>
      </c>
      <c r="AP20" s="3" t="s">
        <v>79</v>
      </c>
      <c r="AQ20" s="3" t="s">
        <v>80</v>
      </c>
      <c r="AR20" s="3" t="s">
        <v>81</v>
      </c>
      <c r="AS20" s="3" t="s">
        <v>82</v>
      </c>
      <c r="AT20" s="3" t="s">
        <v>83</v>
      </c>
      <c r="AU20" s="8" t="s">
        <v>84</v>
      </c>
      <c r="AW20" t="s">
        <v>77</v>
      </c>
      <c r="AX20" s="3" t="s">
        <v>78</v>
      </c>
      <c r="AY20" s="3" t="s">
        <v>79</v>
      </c>
      <c r="AZ20" s="3" t="s">
        <v>80</v>
      </c>
      <c r="BA20" s="3" t="s">
        <v>81</v>
      </c>
      <c r="BB20" s="3" t="s">
        <v>82</v>
      </c>
      <c r="BC20" s="3" t="s">
        <v>83</v>
      </c>
      <c r="BD20" s="8" t="s">
        <v>84</v>
      </c>
      <c r="BF20" t="s">
        <v>77</v>
      </c>
      <c r="BG20" s="3" t="s">
        <v>78</v>
      </c>
      <c r="BH20" s="3" t="s">
        <v>79</v>
      </c>
      <c r="BI20" s="3" t="s">
        <v>80</v>
      </c>
      <c r="BJ20" s="3" t="s">
        <v>81</v>
      </c>
      <c r="BK20" s="3" t="s">
        <v>82</v>
      </c>
      <c r="BL20" s="3" t="s">
        <v>83</v>
      </c>
      <c r="BM20" s="8" t="s">
        <v>84</v>
      </c>
      <c r="BO20" s="4" t="s">
        <v>245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59" t="s">
        <v>714</v>
      </c>
      <c r="CH20" s="160"/>
      <c r="CI20" s="160"/>
      <c r="CJ20" s="160"/>
      <c r="CK20" s="160"/>
      <c r="CL20" s="160"/>
      <c r="CM20" s="160"/>
      <c r="CN20" s="161"/>
      <c r="DH20" t="s">
        <v>77</v>
      </c>
      <c r="DI20" s="3" t="s">
        <v>78</v>
      </c>
      <c r="DJ20" s="3" t="s">
        <v>79</v>
      </c>
      <c r="DK20" s="3" t="s">
        <v>80</v>
      </c>
      <c r="DL20" s="3" t="s">
        <v>81</v>
      </c>
      <c r="DM20" s="3" t="s">
        <v>82</v>
      </c>
      <c r="DN20" s="3" t="s">
        <v>83</v>
      </c>
      <c r="DO20" s="8" t="s">
        <v>84</v>
      </c>
    </row>
    <row r="21" spans="1:119" ht="15" customHeight="1">
      <c r="A21" s="153"/>
      <c r="B21" s="153"/>
      <c r="D21" s="31" t="s">
        <v>302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77</v>
      </c>
      <c r="N21" s="3" t="s">
        <v>78</v>
      </c>
      <c r="O21" s="3" t="s">
        <v>79</v>
      </c>
      <c r="P21" s="3" t="s">
        <v>80</v>
      </c>
      <c r="Q21" s="3" t="s">
        <v>81</v>
      </c>
      <c r="R21" s="3" t="s">
        <v>82</v>
      </c>
      <c r="S21" s="3" t="s">
        <v>83</v>
      </c>
      <c r="T21" s="8" t="s">
        <v>84</v>
      </c>
      <c r="V21" s="31" t="s">
        <v>290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63" t="s">
        <v>550</v>
      </c>
      <c r="AF21" s="163"/>
      <c r="AG21" s="163"/>
      <c r="AH21" s="163"/>
      <c r="AI21" s="163"/>
      <c r="AJ21" s="163"/>
      <c r="AK21" s="163"/>
      <c r="AL21" s="163"/>
      <c r="AN21" s="4" t="s">
        <v>541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631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640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317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77</v>
      </c>
      <c r="CH21" s="3" t="s">
        <v>78</v>
      </c>
      <c r="CI21" s="3" t="s">
        <v>79</v>
      </c>
      <c r="CJ21" s="3" t="s">
        <v>80</v>
      </c>
      <c r="CK21" s="3" t="s">
        <v>81</v>
      </c>
      <c r="CL21" s="3" t="s">
        <v>82</v>
      </c>
      <c r="CM21" s="3" t="s">
        <v>83</v>
      </c>
      <c r="CN21" s="8" t="s">
        <v>84</v>
      </c>
      <c r="DH21" s="4" t="s">
        <v>759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53"/>
      <c r="B22" s="153"/>
      <c r="D22" s="31" t="s">
        <v>303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504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1" t="s">
        <v>291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77</v>
      </c>
      <c r="AF22" s="3" t="s">
        <v>78</v>
      </c>
      <c r="AG22" s="3" t="s">
        <v>79</v>
      </c>
      <c r="AH22" s="3" t="s">
        <v>80</v>
      </c>
      <c r="AI22" s="3" t="s">
        <v>81</v>
      </c>
      <c r="AJ22" s="3" t="s">
        <v>82</v>
      </c>
      <c r="AK22" s="3" t="s">
        <v>83</v>
      </c>
      <c r="AL22" s="8" t="s">
        <v>84</v>
      </c>
      <c r="AN22" s="31" t="s">
        <v>542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62" t="s">
        <v>641</v>
      </c>
      <c r="BG22" s="162"/>
      <c r="BH22" s="162"/>
      <c r="BI22" s="162"/>
      <c r="BJ22" s="162"/>
      <c r="BK22" s="162"/>
      <c r="BL22" s="162"/>
      <c r="BM22" s="162"/>
      <c r="BO22" s="4" t="s">
        <v>309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328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59" t="s">
        <v>760</v>
      </c>
      <c r="DI22" s="160"/>
      <c r="DJ22" s="160"/>
      <c r="DK22" s="160"/>
      <c r="DL22" s="160"/>
      <c r="DM22" s="160"/>
      <c r="DN22" s="160"/>
      <c r="DO22" s="161"/>
    </row>
    <row r="23" spans="1:119" ht="15" customHeight="1">
      <c r="A23" s="153"/>
      <c r="B23" s="153"/>
      <c r="D23" s="31" t="s">
        <v>419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64" t="s">
        <v>507</v>
      </c>
      <c r="N23" s="163"/>
      <c r="O23" s="163"/>
      <c r="P23" s="163"/>
      <c r="Q23" s="163"/>
      <c r="R23" s="163"/>
      <c r="S23" s="163"/>
      <c r="T23" s="163"/>
      <c r="V23" s="164" t="s">
        <v>519</v>
      </c>
      <c r="W23" s="163"/>
      <c r="X23" s="163"/>
      <c r="Y23" s="163"/>
      <c r="Z23" s="163"/>
      <c r="AA23" s="163"/>
      <c r="AB23" s="163"/>
      <c r="AC23" s="163"/>
      <c r="AE23" s="4" t="s">
        <v>551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63" t="s">
        <v>609</v>
      </c>
      <c r="AO23" s="163"/>
      <c r="AP23" s="163"/>
      <c r="AQ23" s="163"/>
      <c r="AR23" s="163"/>
      <c r="AS23" s="163"/>
      <c r="AT23" s="163"/>
      <c r="AU23" s="163"/>
      <c r="BF23" s="163" t="s">
        <v>644</v>
      </c>
      <c r="BG23" s="163"/>
      <c r="BH23" s="163"/>
      <c r="BI23" s="163"/>
      <c r="BJ23" s="163"/>
      <c r="BK23" s="163"/>
      <c r="BL23" s="163"/>
      <c r="BM23" s="163"/>
      <c r="BO23" s="4" t="s">
        <v>310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717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77</v>
      </c>
      <c r="DI23" s="3" t="s">
        <v>78</v>
      </c>
      <c r="DJ23" s="3" t="s">
        <v>79</v>
      </c>
      <c r="DK23" s="3" t="s">
        <v>80</v>
      </c>
      <c r="DL23" s="3" t="s">
        <v>81</v>
      </c>
      <c r="DM23" s="3" t="s">
        <v>82</v>
      </c>
      <c r="DN23" s="3" t="s">
        <v>83</v>
      </c>
      <c r="DO23" s="8" t="s">
        <v>84</v>
      </c>
    </row>
    <row r="24" spans="1:119" ht="15" customHeight="1">
      <c r="A24" s="153"/>
      <c r="B24" s="153"/>
      <c r="D24" s="31" t="s">
        <v>294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77</v>
      </c>
      <c r="N24" s="3" t="s">
        <v>78</v>
      </c>
      <c r="O24" s="3" t="s">
        <v>79</v>
      </c>
      <c r="P24" s="3" t="s">
        <v>80</v>
      </c>
      <c r="Q24" s="3" t="s">
        <v>81</v>
      </c>
      <c r="R24" s="3" t="s">
        <v>82</v>
      </c>
      <c r="S24" s="3" t="s">
        <v>83</v>
      </c>
      <c r="T24" s="8" t="s">
        <v>84</v>
      </c>
      <c r="V24" t="s">
        <v>77</v>
      </c>
      <c r="W24" s="3" t="s">
        <v>78</v>
      </c>
      <c r="X24" s="3" t="s">
        <v>79</v>
      </c>
      <c r="Y24" s="3" t="s">
        <v>80</v>
      </c>
      <c r="Z24" s="3" t="s">
        <v>81</v>
      </c>
      <c r="AA24" s="3" t="s">
        <v>82</v>
      </c>
      <c r="AB24" s="3" t="s">
        <v>83</v>
      </c>
      <c r="AC24" s="8" t="s">
        <v>84</v>
      </c>
      <c r="AE24" s="163" t="s">
        <v>553</v>
      </c>
      <c r="AF24" s="163"/>
      <c r="AG24" s="163"/>
      <c r="AH24" s="163"/>
      <c r="AI24" s="163"/>
      <c r="AJ24" s="163"/>
      <c r="AK24" s="163"/>
      <c r="AL24" s="163"/>
      <c r="AN24" t="s">
        <v>77</v>
      </c>
      <c r="AO24" s="3" t="s">
        <v>78</v>
      </c>
      <c r="AP24" s="3" t="s">
        <v>79</v>
      </c>
      <c r="AQ24" s="3" t="s">
        <v>80</v>
      </c>
      <c r="AR24" s="3" t="s">
        <v>81</v>
      </c>
      <c r="AS24" s="3" t="s">
        <v>82</v>
      </c>
      <c r="AT24" s="3" t="s">
        <v>83</v>
      </c>
      <c r="AU24" s="8" t="s">
        <v>84</v>
      </c>
      <c r="BF24" t="s">
        <v>77</v>
      </c>
      <c r="BG24" s="3" t="s">
        <v>78</v>
      </c>
      <c r="BH24" s="3" t="s">
        <v>79</v>
      </c>
      <c r="BI24" s="3" t="s">
        <v>80</v>
      </c>
      <c r="BJ24" s="3" t="s">
        <v>81</v>
      </c>
      <c r="BK24" s="3" t="s">
        <v>82</v>
      </c>
      <c r="BL24" s="3" t="s">
        <v>83</v>
      </c>
      <c r="BM24" s="8" t="s">
        <v>84</v>
      </c>
      <c r="BO24" s="4" t="s">
        <v>311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718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761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53"/>
      <c r="B25" s="153"/>
      <c r="D25" s="31" t="s">
        <v>295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505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92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77</v>
      </c>
      <c r="AF25" s="3" t="s">
        <v>78</v>
      </c>
      <c r="AG25" s="3" t="s">
        <v>79</v>
      </c>
      <c r="AH25" s="3" t="s">
        <v>80</v>
      </c>
      <c r="AI25" s="3" t="s">
        <v>81</v>
      </c>
      <c r="AJ25" s="3" t="s">
        <v>82</v>
      </c>
      <c r="AK25" s="3" t="s">
        <v>83</v>
      </c>
      <c r="AL25" s="8" t="s">
        <v>84</v>
      </c>
      <c r="AN25" s="4" t="s">
        <v>359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642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64" t="s">
        <v>679</v>
      </c>
      <c r="BP25" s="163"/>
      <c r="BQ25" s="163"/>
      <c r="BR25" s="163"/>
      <c r="BS25" s="163"/>
      <c r="BT25" s="163"/>
      <c r="BU25" s="163"/>
      <c r="BV25" s="163"/>
      <c r="CG25" s="4" t="s">
        <v>719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53"/>
      <c r="B26" s="153"/>
      <c r="D26" s="31" t="s">
        <v>296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1" t="s">
        <v>506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1" t="s">
        <v>95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552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62" t="s">
        <v>610</v>
      </c>
      <c r="AO26" s="162"/>
      <c r="AP26" s="162"/>
      <c r="AQ26" s="162"/>
      <c r="AR26" s="162"/>
      <c r="AS26" s="162"/>
      <c r="AT26" s="162"/>
      <c r="AU26" s="162"/>
      <c r="BF26" s="163" t="s">
        <v>643</v>
      </c>
      <c r="BG26" s="163"/>
      <c r="BH26" s="163"/>
      <c r="BI26" s="163"/>
      <c r="BJ26" s="163"/>
      <c r="BK26" s="163"/>
      <c r="BL26" s="163"/>
      <c r="BM26" s="163"/>
      <c r="BO26" t="s">
        <v>77</v>
      </c>
      <c r="BP26" s="3" t="s">
        <v>78</v>
      </c>
      <c r="BQ26" s="3" t="s">
        <v>79</v>
      </c>
      <c r="BR26" s="3" t="s">
        <v>80</v>
      </c>
      <c r="BS26" s="3" t="s">
        <v>81</v>
      </c>
      <c r="BT26" s="3" t="s">
        <v>82</v>
      </c>
      <c r="BU26" s="3" t="s">
        <v>83</v>
      </c>
      <c r="BV26" s="8" t="s">
        <v>84</v>
      </c>
      <c r="CG26" s="4" t="s">
        <v>720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69"/>
      <c r="B27" s="69"/>
      <c r="D27" s="31" t="s">
        <v>420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1" t="s">
        <v>378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1" t="s">
        <v>98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62" t="s">
        <v>156</v>
      </c>
      <c r="AF27" s="162"/>
      <c r="AG27" s="162"/>
      <c r="AH27" s="162"/>
      <c r="AI27" s="162"/>
      <c r="AJ27" s="162"/>
      <c r="AK27" s="162"/>
      <c r="AL27" s="162"/>
      <c r="AN27" s="163" t="s">
        <v>540</v>
      </c>
      <c r="AO27" s="163"/>
      <c r="AP27" s="163"/>
      <c r="AQ27" s="163"/>
      <c r="AR27" s="163"/>
      <c r="AS27" s="163"/>
      <c r="AT27" s="163"/>
      <c r="AU27" s="163"/>
      <c r="BF27" t="s">
        <v>77</v>
      </c>
      <c r="BG27" s="3" t="s">
        <v>78</v>
      </c>
      <c r="BH27" s="3" t="s">
        <v>79</v>
      </c>
      <c r="BI27" s="3" t="s">
        <v>80</v>
      </c>
      <c r="BJ27" s="3" t="s">
        <v>81</v>
      </c>
      <c r="BK27" s="3" t="s">
        <v>82</v>
      </c>
      <c r="BL27" s="3" t="s">
        <v>83</v>
      </c>
      <c r="BM27" s="8" t="s">
        <v>84</v>
      </c>
      <c r="BO27" s="4" t="s">
        <v>389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329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53" t="s">
        <v>762</v>
      </c>
      <c r="B28" s="153"/>
      <c r="D28" s="163" t="s">
        <v>421</v>
      </c>
      <c r="E28" s="163"/>
      <c r="F28" s="163"/>
      <c r="G28" s="163"/>
      <c r="H28" s="163"/>
      <c r="I28" s="163"/>
      <c r="J28" s="163"/>
      <c r="K28" s="163"/>
      <c r="M28" s="164" t="s">
        <v>508</v>
      </c>
      <c r="N28" s="163"/>
      <c r="O28" s="163"/>
      <c r="P28" s="163"/>
      <c r="Q28" s="163"/>
      <c r="R28" s="163"/>
      <c r="S28" s="163"/>
      <c r="T28" s="163"/>
      <c r="V28" s="31" t="s">
        <v>101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64" t="s">
        <v>555</v>
      </c>
      <c r="AF28" s="163"/>
      <c r="AG28" s="163"/>
      <c r="AH28" s="163"/>
      <c r="AI28" s="163"/>
      <c r="AJ28" s="163"/>
      <c r="AK28" s="163"/>
      <c r="AL28" s="163"/>
      <c r="AN28" t="s">
        <v>77</v>
      </c>
      <c r="AO28" s="3" t="s">
        <v>78</v>
      </c>
      <c r="AP28" s="3" t="s">
        <v>79</v>
      </c>
      <c r="AQ28" s="3" t="s">
        <v>80</v>
      </c>
      <c r="AR28" s="3" t="s">
        <v>81</v>
      </c>
      <c r="AS28" s="3" t="s">
        <v>82</v>
      </c>
      <c r="AT28" s="3" t="s">
        <v>83</v>
      </c>
      <c r="AU28" s="8" t="s">
        <v>84</v>
      </c>
      <c r="BF28" s="4" t="s">
        <v>645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220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721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53"/>
      <c r="B29" s="153"/>
      <c r="D29" t="s">
        <v>77</v>
      </c>
      <c r="E29" s="3" t="s">
        <v>78</v>
      </c>
      <c r="F29" s="3" t="s">
        <v>79</v>
      </c>
      <c r="G29" s="3" t="s">
        <v>80</v>
      </c>
      <c r="H29" s="3" t="s">
        <v>81</v>
      </c>
      <c r="I29" s="3" t="s">
        <v>82</v>
      </c>
      <c r="J29" s="3" t="s">
        <v>83</v>
      </c>
      <c r="K29" s="8" t="s">
        <v>84</v>
      </c>
      <c r="M29" t="s">
        <v>77</v>
      </c>
      <c r="N29" s="3" t="s">
        <v>78</v>
      </c>
      <c r="O29" s="3" t="s">
        <v>79</v>
      </c>
      <c r="P29" s="3" t="s">
        <v>80</v>
      </c>
      <c r="Q29" s="3" t="s">
        <v>81</v>
      </c>
      <c r="R29" s="3" t="s">
        <v>82</v>
      </c>
      <c r="S29" s="3" t="s">
        <v>83</v>
      </c>
      <c r="T29" s="8" t="s">
        <v>84</v>
      </c>
      <c r="V29" s="31" t="s">
        <v>103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77</v>
      </c>
      <c r="AF29" s="3" t="s">
        <v>78</v>
      </c>
      <c r="AG29" s="3" t="s">
        <v>79</v>
      </c>
      <c r="AH29" s="3" t="s">
        <v>80</v>
      </c>
      <c r="AI29" s="3" t="s">
        <v>81</v>
      </c>
      <c r="AJ29" s="3" t="s">
        <v>82</v>
      </c>
      <c r="AK29" s="3" t="s">
        <v>83</v>
      </c>
      <c r="AL29" s="8" t="s">
        <v>84</v>
      </c>
      <c r="AN29" s="4" t="s">
        <v>541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63" t="s">
        <v>649</v>
      </c>
      <c r="BG29" s="163"/>
      <c r="BH29" s="163"/>
      <c r="BI29" s="163"/>
      <c r="BJ29" s="163"/>
      <c r="BK29" s="163"/>
      <c r="BL29" s="163"/>
      <c r="BM29" s="163"/>
      <c r="BO29" s="4" t="s">
        <v>315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59" t="s">
        <v>715</v>
      </c>
      <c r="CH29" s="160"/>
      <c r="CI29" s="160"/>
      <c r="CJ29" s="160"/>
      <c r="CK29" s="160"/>
      <c r="CL29" s="160"/>
      <c r="CM29" s="160"/>
      <c r="CN29" s="161"/>
    </row>
    <row r="30" spans="1:119" ht="15" customHeight="1">
      <c r="A30" s="153"/>
      <c r="B30" s="153"/>
      <c r="D30" s="4" t="s">
        <v>255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509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64" t="s">
        <v>520</v>
      </c>
      <c r="W30" s="163"/>
      <c r="X30" s="163"/>
      <c r="Y30" s="163"/>
      <c r="Z30" s="163"/>
      <c r="AA30" s="163"/>
      <c r="AB30" s="163"/>
      <c r="AC30" s="163"/>
      <c r="AE30" s="4" t="s">
        <v>554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1" t="s">
        <v>542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77</v>
      </c>
      <c r="BG30" s="3" t="s">
        <v>78</v>
      </c>
      <c r="BH30" s="3" t="s">
        <v>79</v>
      </c>
      <c r="BI30" s="3" t="s">
        <v>80</v>
      </c>
      <c r="BJ30" s="3" t="s">
        <v>81</v>
      </c>
      <c r="BK30" s="3" t="s">
        <v>82</v>
      </c>
      <c r="BL30" s="3" t="s">
        <v>83</v>
      </c>
      <c r="BM30" s="8" t="s">
        <v>84</v>
      </c>
      <c r="BO30" s="4" t="s">
        <v>316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77</v>
      </c>
      <c r="CH30" s="3" t="s">
        <v>78</v>
      </c>
      <c r="CI30" s="3" t="s">
        <v>79</v>
      </c>
      <c r="CJ30" s="3" t="s">
        <v>80</v>
      </c>
      <c r="CK30" s="3" t="s">
        <v>81</v>
      </c>
      <c r="CL30" s="3" t="s">
        <v>82</v>
      </c>
      <c r="CM30" s="3" t="s">
        <v>83</v>
      </c>
      <c r="CN30" s="8" t="s">
        <v>84</v>
      </c>
    </row>
    <row r="31" spans="1:119" ht="15" customHeight="1">
      <c r="A31" s="153"/>
      <c r="B31" s="153"/>
      <c r="D31" s="31" t="s">
        <v>413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1" t="s">
        <v>510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77</v>
      </c>
      <c r="W31" s="3" t="s">
        <v>78</v>
      </c>
      <c r="X31" s="3" t="s">
        <v>79</v>
      </c>
      <c r="Y31" s="3" t="s">
        <v>80</v>
      </c>
      <c r="Z31" s="3" t="s">
        <v>81</v>
      </c>
      <c r="AA31" s="3" t="s">
        <v>82</v>
      </c>
      <c r="AB31" s="3" t="s">
        <v>83</v>
      </c>
      <c r="AC31" s="8" t="s">
        <v>84</v>
      </c>
      <c r="AE31" s="163" t="s">
        <v>556</v>
      </c>
      <c r="AF31" s="163"/>
      <c r="AG31" s="163"/>
      <c r="AH31" s="163"/>
      <c r="AI31" s="163"/>
      <c r="AJ31" s="163"/>
      <c r="AK31" s="163"/>
      <c r="AL31" s="163"/>
      <c r="AN31" s="163" t="s">
        <v>611</v>
      </c>
      <c r="AO31" s="163"/>
      <c r="AP31" s="163"/>
      <c r="AQ31" s="163"/>
      <c r="AR31" s="163"/>
      <c r="AS31" s="163"/>
      <c r="AT31" s="163"/>
      <c r="AU31" s="163"/>
      <c r="BF31" s="4" t="s">
        <v>646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307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716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53"/>
      <c r="B32" s="153"/>
      <c r="D32" s="31" t="s">
        <v>291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1" t="s">
        <v>511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106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77</v>
      </c>
      <c r="AF32" s="3" t="s">
        <v>78</v>
      </c>
      <c r="AG32" s="3" t="s">
        <v>79</v>
      </c>
      <c r="AH32" s="3" t="s">
        <v>80</v>
      </c>
      <c r="AI32" s="3" t="s">
        <v>81</v>
      </c>
      <c r="AJ32" s="3" t="s">
        <v>82</v>
      </c>
      <c r="AK32" s="3" t="s">
        <v>83</v>
      </c>
      <c r="AL32" s="8" t="s">
        <v>84</v>
      </c>
      <c r="AN32" t="s">
        <v>77</v>
      </c>
      <c r="AO32" s="3" t="s">
        <v>78</v>
      </c>
      <c r="AP32" s="3" t="s">
        <v>79</v>
      </c>
      <c r="AQ32" s="3" t="s">
        <v>80</v>
      </c>
      <c r="AR32" s="3" t="s">
        <v>81</v>
      </c>
      <c r="AS32" s="3" t="s">
        <v>82</v>
      </c>
      <c r="AT32" s="3" t="s">
        <v>83</v>
      </c>
      <c r="AU32" s="8" t="s">
        <v>84</v>
      </c>
      <c r="BF32" s="4" t="s">
        <v>647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308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59" t="s">
        <v>722</v>
      </c>
      <c r="CH32" s="160"/>
      <c r="CI32" s="160"/>
      <c r="CJ32" s="160"/>
      <c r="CK32" s="160"/>
      <c r="CL32" s="160"/>
      <c r="CM32" s="160"/>
      <c r="CN32" s="161"/>
    </row>
    <row r="33" spans="1:92" ht="15" customHeight="1">
      <c r="A33" s="153"/>
      <c r="B33" s="153"/>
      <c r="D33" s="31" t="s">
        <v>293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1" t="s">
        <v>379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62" t="s">
        <v>521</v>
      </c>
      <c r="W33" s="162"/>
      <c r="X33" s="162"/>
      <c r="Y33" s="162"/>
      <c r="Z33" s="162"/>
      <c r="AA33" s="162"/>
      <c r="AB33" s="162"/>
      <c r="AC33" s="162"/>
      <c r="AE33" s="4" t="s">
        <v>350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554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648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245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77</v>
      </c>
      <c r="CH33" s="3" t="s">
        <v>78</v>
      </c>
      <c r="CI33" s="3" t="s">
        <v>79</v>
      </c>
      <c r="CJ33" s="3" t="s">
        <v>80</v>
      </c>
      <c r="CK33" s="3" t="s">
        <v>81</v>
      </c>
      <c r="CL33" s="3" t="s">
        <v>82</v>
      </c>
      <c r="CM33" s="3" t="s">
        <v>83</v>
      </c>
      <c r="CN33" s="8" t="s">
        <v>84</v>
      </c>
    </row>
    <row r="34" spans="1:92" ht="15" customHeight="1">
      <c r="A34" s="153"/>
      <c r="B34" s="153"/>
      <c r="D34" s="31" t="s">
        <v>414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64" t="s">
        <v>512</v>
      </c>
      <c r="N34" s="163"/>
      <c r="O34" s="163"/>
      <c r="P34" s="163"/>
      <c r="Q34" s="163"/>
      <c r="R34" s="163"/>
      <c r="S34" s="163"/>
      <c r="T34" s="163"/>
      <c r="V34" s="164" t="s">
        <v>522</v>
      </c>
      <c r="W34" s="163"/>
      <c r="X34" s="163"/>
      <c r="Y34" s="163"/>
      <c r="Z34" s="163"/>
      <c r="AA34" s="163"/>
      <c r="AB34" s="163"/>
      <c r="AC34" s="163"/>
      <c r="AE34" s="31" t="s">
        <v>351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63" t="s">
        <v>609</v>
      </c>
      <c r="AO34" s="163"/>
      <c r="AP34" s="163"/>
      <c r="AQ34" s="163"/>
      <c r="AR34" s="163"/>
      <c r="AS34" s="163"/>
      <c r="AT34" s="163"/>
      <c r="AU34" s="163"/>
      <c r="BF34" s="164" t="s">
        <v>650</v>
      </c>
      <c r="BG34" s="163"/>
      <c r="BH34" s="163"/>
      <c r="BI34" s="163"/>
      <c r="BJ34" s="163"/>
      <c r="BK34" s="163"/>
      <c r="BL34" s="163"/>
      <c r="BM34" s="163"/>
      <c r="BO34" s="4" t="s">
        <v>317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723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52" t="s">
        <v>598</v>
      </c>
      <c r="B35" s="153"/>
      <c r="D35" s="31" t="s">
        <v>415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77</v>
      </c>
      <c r="N35" s="3" t="s">
        <v>78</v>
      </c>
      <c r="O35" s="3" t="s">
        <v>79</v>
      </c>
      <c r="P35" s="3" t="s">
        <v>80</v>
      </c>
      <c r="Q35" s="3" t="s">
        <v>81</v>
      </c>
      <c r="R35" s="3" t="s">
        <v>82</v>
      </c>
      <c r="S35" s="3" t="s">
        <v>83</v>
      </c>
      <c r="T35" s="8" t="s">
        <v>84</v>
      </c>
      <c r="V35" t="s">
        <v>77</v>
      </c>
      <c r="W35" s="3" t="s">
        <v>78</v>
      </c>
      <c r="X35" s="3" t="s">
        <v>79</v>
      </c>
      <c r="Y35" s="3" t="s">
        <v>80</v>
      </c>
      <c r="Z35" s="3" t="s">
        <v>81</v>
      </c>
      <c r="AA35" s="3" t="s">
        <v>82</v>
      </c>
      <c r="AB35" s="3" t="s">
        <v>83</v>
      </c>
      <c r="AC35" s="8" t="s">
        <v>84</v>
      </c>
      <c r="AE35" s="31" t="s">
        <v>352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77</v>
      </c>
      <c r="AO35" s="3" t="s">
        <v>78</v>
      </c>
      <c r="AP35" s="3" t="s">
        <v>79</v>
      </c>
      <c r="AQ35" s="3" t="s">
        <v>80</v>
      </c>
      <c r="AR35" s="3" t="s">
        <v>81</v>
      </c>
      <c r="AS35" s="3" t="s">
        <v>82</v>
      </c>
      <c r="AT35" s="3" t="s">
        <v>83</v>
      </c>
      <c r="AU35" s="8" t="s">
        <v>84</v>
      </c>
      <c r="BF35" t="s">
        <v>77</v>
      </c>
      <c r="BG35" s="3" t="s">
        <v>78</v>
      </c>
      <c r="BH35" s="3" t="s">
        <v>79</v>
      </c>
      <c r="BI35" s="3" t="s">
        <v>80</v>
      </c>
      <c r="BJ35" s="3" t="s">
        <v>81</v>
      </c>
      <c r="BK35" s="3" t="s">
        <v>82</v>
      </c>
      <c r="BL35" s="3" t="s">
        <v>83</v>
      </c>
      <c r="BM35" s="8" t="s">
        <v>84</v>
      </c>
      <c r="BO35" s="4" t="s">
        <v>309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724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53"/>
      <c r="B36" s="153"/>
      <c r="D36" s="163" t="s">
        <v>423</v>
      </c>
      <c r="E36" s="163"/>
      <c r="F36" s="163"/>
      <c r="G36" s="163"/>
      <c r="H36" s="163"/>
      <c r="I36" s="163"/>
      <c r="J36" s="163"/>
      <c r="K36" s="163"/>
      <c r="M36" s="4" t="s">
        <v>513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118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62" t="s">
        <v>557</v>
      </c>
      <c r="AF36" s="162"/>
      <c r="AG36" s="162"/>
      <c r="AH36" s="162"/>
      <c r="AI36" s="162"/>
      <c r="AJ36" s="162"/>
      <c r="AK36" s="162"/>
      <c r="AL36" s="162"/>
      <c r="AN36" s="4" t="s">
        <v>374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651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310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725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53"/>
      <c r="B37" s="153"/>
      <c r="D37" t="s">
        <v>77</v>
      </c>
      <c r="E37" s="3" t="s">
        <v>78</v>
      </c>
      <c r="F37" s="3" t="s">
        <v>79</v>
      </c>
      <c r="G37" s="3" t="s">
        <v>80</v>
      </c>
      <c r="H37" s="3" t="s">
        <v>81</v>
      </c>
      <c r="I37" s="3" t="s">
        <v>82</v>
      </c>
      <c r="J37" s="3" t="s">
        <v>83</v>
      </c>
      <c r="K37" s="8" t="s">
        <v>84</v>
      </c>
      <c r="V37" s="164" t="s">
        <v>523</v>
      </c>
      <c r="W37" s="163"/>
      <c r="X37" s="163"/>
      <c r="Y37" s="163"/>
      <c r="Z37" s="163"/>
      <c r="AA37" s="163"/>
      <c r="AB37" s="163"/>
      <c r="AC37" s="163"/>
      <c r="AE37" s="163" t="s">
        <v>558</v>
      </c>
      <c r="AF37" s="163"/>
      <c r="AG37" s="163"/>
      <c r="AH37" s="163"/>
      <c r="AI37" s="163"/>
      <c r="AJ37" s="163"/>
      <c r="AK37" s="163"/>
      <c r="AL37" s="163"/>
      <c r="AN37" s="162" t="s">
        <v>612</v>
      </c>
      <c r="AO37" s="162"/>
      <c r="AP37" s="162"/>
      <c r="AQ37" s="162"/>
      <c r="AR37" s="162"/>
      <c r="AS37" s="162"/>
      <c r="AT37" s="162"/>
      <c r="AU37" s="162"/>
      <c r="BF37" s="4" t="s">
        <v>652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311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726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53"/>
      <c r="B38" s="153"/>
      <c r="D38" s="4" t="s">
        <v>393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77</v>
      </c>
      <c r="W38" s="3" t="s">
        <v>78</v>
      </c>
      <c r="X38" s="3" t="s">
        <v>79</v>
      </c>
      <c r="Y38" s="3" t="s">
        <v>80</v>
      </c>
      <c r="Z38" s="3" t="s">
        <v>81</v>
      </c>
      <c r="AA38" s="3" t="s">
        <v>82</v>
      </c>
      <c r="AB38" s="3" t="s">
        <v>83</v>
      </c>
      <c r="AC38" s="8" t="s">
        <v>84</v>
      </c>
      <c r="AE38" t="s">
        <v>77</v>
      </c>
      <c r="AF38" s="3" t="s">
        <v>78</v>
      </c>
      <c r="AG38" s="3" t="s">
        <v>79</v>
      </c>
      <c r="AH38" s="3" t="s">
        <v>80</v>
      </c>
      <c r="AI38" s="3" t="s">
        <v>81</v>
      </c>
      <c r="AJ38" s="3" t="s">
        <v>82</v>
      </c>
      <c r="AK38" s="3" t="s">
        <v>83</v>
      </c>
      <c r="AL38" s="8" t="s">
        <v>84</v>
      </c>
      <c r="AN38" s="163" t="s">
        <v>613</v>
      </c>
      <c r="AO38" s="163"/>
      <c r="AP38" s="163"/>
      <c r="AQ38" s="163"/>
      <c r="AR38" s="163"/>
      <c r="AS38" s="163"/>
      <c r="AT38" s="163"/>
      <c r="AU38" s="163"/>
      <c r="BF38" s="164" t="s">
        <v>653</v>
      </c>
      <c r="BG38" s="163"/>
      <c r="BH38" s="163"/>
      <c r="BI38" s="163"/>
      <c r="BJ38" s="163"/>
      <c r="BK38" s="163"/>
      <c r="BL38" s="163"/>
      <c r="BM38" s="163"/>
      <c r="BO38" s="162" t="s">
        <v>162</v>
      </c>
      <c r="BP38" s="162"/>
      <c r="BQ38" s="162"/>
      <c r="BR38" s="162"/>
      <c r="BS38" s="162"/>
      <c r="BT38" s="162"/>
      <c r="BU38" s="162"/>
      <c r="BV38" s="162"/>
      <c r="CG38" s="4" t="s">
        <v>727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63" t="s">
        <v>424</v>
      </c>
      <c r="E39" s="163"/>
      <c r="F39" s="163"/>
      <c r="G39" s="163"/>
      <c r="H39" s="163"/>
      <c r="I39" s="163"/>
      <c r="J39" s="163"/>
      <c r="K39" s="163"/>
      <c r="V39" s="4" t="s">
        <v>121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559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77</v>
      </c>
      <c r="AO39" s="3" t="s">
        <v>78</v>
      </c>
      <c r="AP39" s="3" t="s">
        <v>79</v>
      </c>
      <c r="AQ39" s="3" t="s">
        <v>80</v>
      </c>
      <c r="AR39" s="3" t="s">
        <v>81</v>
      </c>
      <c r="AS39" s="3" t="s">
        <v>82</v>
      </c>
      <c r="AT39" s="3" t="s">
        <v>83</v>
      </c>
      <c r="AU39" s="8" t="s">
        <v>84</v>
      </c>
      <c r="BF39" t="s">
        <v>77</v>
      </c>
      <c r="BG39" s="3" t="s">
        <v>78</v>
      </c>
      <c r="BH39" s="3" t="s">
        <v>79</v>
      </c>
      <c r="BI39" s="3" t="s">
        <v>80</v>
      </c>
      <c r="BJ39" s="3" t="s">
        <v>81</v>
      </c>
      <c r="BK39" s="3" t="s">
        <v>82</v>
      </c>
      <c r="BL39" s="3" t="s">
        <v>83</v>
      </c>
      <c r="BM39" s="8" t="s">
        <v>84</v>
      </c>
      <c r="BO39" s="163" t="s">
        <v>680</v>
      </c>
      <c r="BP39" s="163"/>
      <c r="BQ39" s="163"/>
      <c r="BR39" s="163"/>
      <c r="BS39" s="163"/>
      <c r="BT39" s="163"/>
      <c r="BU39" s="163"/>
      <c r="BV39" s="163"/>
      <c r="CG39" s="4" t="s">
        <v>728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77</v>
      </c>
      <c r="E40" s="3" t="s">
        <v>78</v>
      </c>
      <c r="F40" s="3" t="s">
        <v>79</v>
      </c>
      <c r="G40" s="3" t="s">
        <v>80</v>
      </c>
      <c r="H40" s="3" t="s">
        <v>81</v>
      </c>
      <c r="I40" s="3" t="s">
        <v>82</v>
      </c>
      <c r="J40" s="3" t="s">
        <v>83</v>
      </c>
      <c r="K40" s="8" t="s">
        <v>84</v>
      </c>
      <c r="V40" s="31" t="s">
        <v>123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1" t="s">
        <v>560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614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654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77</v>
      </c>
      <c r="BP40" s="3" t="s">
        <v>78</v>
      </c>
      <c r="BQ40" s="3" t="s">
        <v>79</v>
      </c>
      <c r="BR40" s="3" t="s">
        <v>80</v>
      </c>
      <c r="BS40" s="3" t="s">
        <v>81</v>
      </c>
      <c r="BT40" s="3" t="s">
        <v>82</v>
      </c>
      <c r="BU40" s="3" t="s">
        <v>83</v>
      </c>
      <c r="BV40" s="8" t="s">
        <v>84</v>
      </c>
      <c r="CG40" s="4" t="s">
        <v>729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425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1" t="s">
        <v>124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63" t="s">
        <v>561</v>
      </c>
      <c r="AF41" s="163"/>
      <c r="AG41" s="163"/>
      <c r="AH41" s="163"/>
      <c r="AI41" s="163"/>
      <c r="AJ41" s="163"/>
      <c r="AK41" s="163"/>
      <c r="AL41" s="163"/>
      <c r="AN41" s="163" t="s">
        <v>615</v>
      </c>
      <c r="AO41" s="163"/>
      <c r="AP41" s="163"/>
      <c r="AQ41" s="163"/>
      <c r="AR41" s="163"/>
      <c r="AS41" s="163"/>
      <c r="AT41" s="163"/>
      <c r="AU41" s="163"/>
      <c r="BF41" s="4" t="s">
        <v>655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241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730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63" t="s">
        <v>426</v>
      </c>
      <c r="E42" s="163"/>
      <c r="F42" s="163"/>
      <c r="G42" s="163"/>
      <c r="H42" s="163"/>
      <c r="I42" s="163"/>
      <c r="J42" s="163"/>
      <c r="K42" s="163"/>
      <c r="V42" s="31" t="s">
        <v>125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77</v>
      </c>
      <c r="AF42" s="3" t="s">
        <v>78</v>
      </c>
      <c r="AG42" s="3" t="s">
        <v>79</v>
      </c>
      <c r="AH42" s="3" t="s">
        <v>80</v>
      </c>
      <c r="AI42" s="3" t="s">
        <v>81</v>
      </c>
      <c r="AJ42" s="3" t="s">
        <v>82</v>
      </c>
      <c r="AK42" s="3" t="s">
        <v>83</v>
      </c>
      <c r="AL42" s="8" t="s">
        <v>84</v>
      </c>
      <c r="AN42" t="s">
        <v>77</v>
      </c>
      <c r="AO42" s="3" t="s">
        <v>78</v>
      </c>
      <c r="AP42" s="3" t="s">
        <v>79</v>
      </c>
      <c r="AQ42" s="3" t="s">
        <v>80</v>
      </c>
      <c r="AR42" s="3" t="s">
        <v>81</v>
      </c>
      <c r="AS42" s="3" t="s">
        <v>82</v>
      </c>
      <c r="AT42" s="3" t="s">
        <v>83</v>
      </c>
      <c r="AU42" s="8" t="s">
        <v>84</v>
      </c>
      <c r="BF42" s="163" t="s">
        <v>656</v>
      </c>
      <c r="BG42" s="163"/>
      <c r="BH42" s="163"/>
      <c r="BI42" s="163"/>
      <c r="BJ42" s="163"/>
      <c r="BK42" s="163"/>
      <c r="BL42" s="163"/>
      <c r="BM42" s="163"/>
      <c r="BO42" s="162" t="s">
        <v>681</v>
      </c>
      <c r="BP42" s="162"/>
      <c r="BQ42" s="162"/>
      <c r="BR42" s="162"/>
      <c r="BS42" s="162"/>
      <c r="BT42" s="162"/>
      <c r="BU42" s="162"/>
      <c r="BV42" s="162"/>
      <c r="CG42" s="4" t="s">
        <v>731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77</v>
      </c>
      <c r="E43" s="3" t="s">
        <v>78</v>
      </c>
      <c r="F43" s="3" t="s">
        <v>79</v>
      </c>
      <c r="G43" s="3" t="s">
        <v>80</v>
      </c>
      <c r="H43" s="3" t="s">
        <v>81</v>
      </c>
      <c r="I43" s="3" t="s">
        <v>82</v>
      </c>
      <c r="J43" s="3" t="s">
        <v>83</v>
      </c>
      <c r="K43" s="8" t="s">
        <v>84</v>
      </c>
      <c r="V43" s="31" t="s">
        <v>127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87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616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77</v>
      </c>
      <c r="BG43" s="3" t="s">
        <v>78</v>
      </c>
      <c r="BH43" s="3" t="s">
        <v>79</v>
      </c>
      <c r="BI43" s="3" t="s">
        <v>80</v>
      </c>
      <c r="BJ43" s="3" t="s">
        <v>81</v>
      </c>
      <c r="BK43" s="3" t="s">
        <v>82</v>
      </c>
      <c r="BL43" s="3" t="s">
        <v>83</v>
      </c>
      <c r="BM43" s="8" t="s">
        <v>84</v>
      </c>
      <c r="BO43" s="163" t="s">
        <v>682</v>
      </c>
      <c r="BP43" s="163"/>
      <c r="BQ43" s="163"/>
      <c r="BR43" s="163"/>
      <c r="BS43" s="163"/>
      <c r="BT43" s="163"/>
      <c r="BU43" s="163"/>
      <c r="BV43" s="163"/>
      <c r="CG43" s="4" t="s">
        <v>732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427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62" t="s">
        <v>524</v>
      </c>
      <c r="W44" s="162"/>
      <c r="X44" s="162"/>
      <c r="Y44" s="162"/>
      <c r="Z44" s="162"/>
      <c r="AA44" s="162"/>
      <c r="AB44" s="162"/>
      <c r="AC44" s="162"/>
      <c r="AE44" s="31" t="s">
        <v>562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63" t="s">
        <v>617</v>
      </c>
      <c r="AO44" s="163"/>
      <c r="AP44" s="163"/>
      <c r="AQ44" s="163"/>
      <c r="AR44" s="163"/>
      <c r="AS44" s="163"/>
      <c r="AT44" s="163"/>
      <c r="AU44" s="163"/>
      <c r="BF44" s="4" t="s">
        <v>250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77</v>
      </c>
      <c r="BP44" s="3" t="s">
        <v>78</v>
      </c>
      <c r="BQ44" s="3" t="s">
        <v>79</v>
      </c>
      <c r="BR44" s="3" t="s">
        <v>80</v>
      </c>
      <c r="BS44" s="3" t="s">
        <v>81</v>
      </c>
      <c r="BT44" s="3" t="s">
        <v>82</v>
      </c>
      <c r="BU44" s="3" t="s">
        <v>83</v>
      </c>
      <c r="BV44" s="8" t="s">
        <v>84</v>
      </c>
      <c r="CG44" s="159" t="s">
        <v>733</v>
      </c>
      <c r="CH44" s="160"/>
      <c r="CI44" s="160"/>
      <c r="CJ44" s="160"/>
      <c r="CK44" s="160"/>
      <c r="CL44" s="160"/>
      <c r="CM44" s="160"/>
      <c r="CN44" s="161"/>
    </row>
    <row r="45" spans="1:92" ht="15" customHeight="1">
      <c r="D45" s="31" t="s">
        <v>428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64" t="s">
        <v>525</v>
      </c>
      <c r="W45" s="163"/>
      <c r="X45" s="163"/>
      <c r="Y45" s="163"/>
      <c r="Z45" s="163"/>
      <c r="AA45" s="163"/>
      <c r="AB45" s="163"/>
      <c r="AC45" s="163"/>
      <c r="AE45" s="31" t="s">
        <v>564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77</v>
      </c>
      <c r="AO45" s="3" t="s">
        <v>78</v>
      </c>
      <c r="AP45" s="3" t="s">
        <v>79</v>
      </c>
      <c r="AQ45" s="3" t="s">
        <v>80</v>
      </c>
      <c r="AR45" s="3" t="s">
        <v>81</v>
      </c>
      <c r="AS45" s="3" t="s">
        <v>82</v>
      </c>
      <c r="AT45" s="3" t="s">
        <v>83</v>
      </c>
      <c r="AU45" s="8" t="s">
        <v>84</v>
      </c>
      <c r="BF45" s="163" t="s">
        <v>657</v>
      </c>
      <c r="BG45" s="163"/>
      <c r="BH45" s="163"/>
      <c r="BI45" s="163"/>
      <c r="BJ45" s="163"/>
      <c r="BK45" s="163"/>
      <c r="BL45" s="163"/>
      <c r="BM45" s="163"/>
      <c r="BO45" s="4" t="s">
        <v>683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77</v>
      </c>
      <c r="CH45" s="3" t="s">
        <v>78</v>
      </c>
      <c r="CI45" s="3" t="s">
        <v>79</v>
      </c>
      <c r="CJ45" s="3" t="s">
        <v>80</v>
      </c>
      <c r="CK45" s="3" t="s">
        <v>81</v>
      </c>
      <c r="CL45" s="3" t="s">
        <v>82</v>
      </c>
      <c r="CM45" s="3" t="s">
        <v>83</v>
      </c>
      <c r="CN45" s="8" t="s">
        <v>84</v>
      </c>
    </row>
    <row r="46" spans="1:92" ht="15" customHeight="1">
      <c r="D46" s="165" t="s">
        <v>429</v>
      </c>
      <c r="E46" s="165"/>
      <c r="F46" s="165"/>
      <c r="G46" s="165"/>
      <c r="H46" s="165"/>
      <c r="I46" s="165"/>
      <c r="J46" s="165"/>
      <c r="K46" s="165"/>
      <c r="V46" t="s">
        <v>77</v>
      </c>
      <c r="W46" s="3" t="s">
        <v>78</v>
      </c>
      <c r="X46" s="3" t="s">
        <v>79</v>
      </c>
      <c r="Y46" s="3" t="s">
        <v>80</v>
      </c>
      <c r="Z46" s="3" t="s">
        <v>81</v>
      </c>
      <c r="AA46" s="3" t="s">
        <v>82</v>
      </c>
      <c r="AB46" s="3" t="s">
        <v>83</v>
      </c>
      <c r="AC46" s="8" t="s">
        <v>84</v>
      </c>
      <c r="AE46" s="31" t="s">
        <v>563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618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77</v>
      </c>
      <c r="BG46" s="3" t="s">
        <v>78</v>
      </c>
      <c r="BH46" s="3" t="s">
        <v>79</v>
      </c>
      <c r="BI46" s="3" t="s">
        <v>80</v>
      </c>
      <c r="BJ46" s="3" t="s">
        <v>81</v>
      </c>
      <c r="BK46" s="3" t="s">
        <v>82</v>
      </c>
      <c r="BL46" s="3" t="s">
        <v>83</v>
      </c>
      <c r="BM46" s="8" t="s">
        <v>84</v>
      </c>
      <c r="BO46" s="163" t="s">
        <v>684</v>
      </c>
      <c r="BP46" s="163"/>
      <c r="BQ46" s="163"/>
      <c r="BR46" s="163"/>
      <c r="BS46" s="163"/>
      <c r="BT46" s="163"/>
      <c r="BU46" s="163"/>
      <c r="BV46" s="163"/>
      <c r="CG46" s="4" t="s">
        <v>96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2"/>
      <c r="B47" s="72"/>
      <c r="D47" s="163" t="s">
        <v>430</v>
      </c>
      <c r="E47" s="163"/>
      <c r="F47" s="163"/>
      <c r="G47" s="163"/>
      <c r="H47" s="163"/>
      <c r="I47" s="163"/>
      <c r="J47" s="163"/>
      <c r="K47" s="163"/>
      <c r="V47" s="4" t="s">
        <v>85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1" t="s">
        <v>565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63" t="s">
        <v>619</v>
      </c>
      <c r="AO47" s="163"/>
      <c r="AP47" s="163"/>
      <c r="AQ47" s="163"/>
      <c r="AR47" s="163"/>
      <c r="AS47" s="163"/>
      <c r="AT47" s="163"/>
      <c r="AU47" s="163"/>
      <c r="BF47" s="4" t="s">
        <v>658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77</v>
      </c>
      <c r="BP47" s="3" t="s">
        <v>78</v>
      </c>
      <c r="BQ47" s="3" t="s">
        <v>79</v>
      </c>
      <c r="BR47" s="3" t="s">
        <v>80</v>
      </c>
      <c r="BS47" s="3" t="s">
        <v>81</v>
      </c>
      <c r="BT47" s="3" t="s">
        <v>82</v>
      </c>
      <c r="BU47" s="3" t="s">
        <v>83</v>
      </c>
      <c r="BV47" s="8" t="s">
        <v>84</v>
      </c>
      <c r="CG47" s="4" t="s">
        <v>734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2"/>
      <c r="B48" s="72"/>
      <c r="D48" t="s">
        <v>77</v>
      </c>
      <c r="E48" s="3" t="s">
        <v>78</v>
      </c>
      <c r="F48" s="3" t="s">
        <v>79</v>
      </c>
      <c r="G48" s="3" t="s">
        <v>80</v>
      </c>
      <c r="H48" s="3" t="s">
        <v>81</v>
      </c>
      <c r="I48" s="3" t="s">
        <v>82</v>
      </c>
      <c r="J48" s="3" t="s">
        <v>83</v>
      </c>
      <c r="K48" s="8" t="s">
        <v>84</v>
      </c>
      <c r="V48" s="31" t="s">
        <v>87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1" t="s">
        <v>566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77</v>
      </c>
      <c r="AO48" s="3" t="s">
        <v>78</v>
      </c>
      <c r="AP48" s="3" t="s">
        <v>79</v>
      </c>
      <c r="AQ48" s="3" t="s">
        <v>80</v>
      </c>
      <c r="AR48" s="3" t="s">
        <v>81</v>
      </c>
      <c r="AS48" s="3" t="s">
        <v>82</v>
      </c>
      <c r="AT48" s="3" t="s">
        <v>83</v>
      </c>
      <c r="AU48" s="8" t="s">
        <v>84</v>
      </c>
      <c r="BF48" s="163" t="s">
        <v>659</v>
      </c>
      <c r="BG48" s="163"/>
      <c r="BH48" s="163"/>
      <c r="BI48" s="163"/>
      <c r="BJ48" s="163"/>
      <c r="BK48" s="163"/>
      <c r="BL48" s="163"/>
      <c r="BM48" s="163"/>
      <c r="BO48" s="4" t="s">
        <v>683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735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2"/>
      <c r="B49" s="72"/>
      <c r="D49" s="4" t="s">
        <v>431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1" t="s">
        <v>89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63" t="s">
        <v>567</v>
      </c>
      <c r="AF49" s="163"/>
      <c r="AG49" s="163"/>
      <c r="AH49" s="163"/>
      <c r="AI49" s="163"/>
      <c r="AJ49" s="163"/>
      <c r="AK49" s="163"/>
      <c r="AL49" s="163"/>
      <c r="AN49" s="4" t="s">
        <v>620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77</v>
      </c>
      <c r="BG49" s="3" t="s">
        <v>78</v>
      </c>
      <c r="BH49" s="3" t="s">
        <v>79</v>
      </c>
      <c r="BI49" s="3" t="s">
        <v>80</v>
      </c>
      <c r="BJ49" s="3" t="s">
        <v>81</v>
      </c>
      <c r="BK49" s="3" t="s">
        <v>82</v>
      </c>
      <c r="BL49" s="3" t="s">
        <v>83</v>
      </c>
      <c r="BM49" s="8" t="s">
        <v>84</v>
      </c>
      <c r="BO49" s="162" t="s">
        <v>685</v>
      </c>
      <c r="BP49" s="162"/>
      <c r="BQ49" s="162"/>
      <c r="BR49" s="162"/>
      <c r="BS49" s="162"/>
      <c r="BT49" s="162"/>
      <c r="BU49" s="162"/>
      <c r="BV49" s="162"/>
      <c r="CG49" s="4" t="s">
        <v>736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2"/>
      <c r="B50" s="72"/>
      <c r="D50" s="163" t="s">
        <v>432</v>
      </c>
      <c r="E50" s="163"/>
      <c r="F50" s="163"/>
      <c r="G50" s="163"/>
      <c r="H50" s="163"/>
      <c r="I50" s="163"/>
      <c r="J50" s="163"/>
      <c r="K50" s="163"/>
      <c r="V50" s="31" t="s">
        <v>91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77</v>
      </c>
      <c r="AF50" s="3" t="s">
        <v>78</v>
      </c>
      <c r="AG50" s="3" t="s">
        <v>79</v>
      </c>
      <c r="AH50" s="3" t="s">
        <v>80</v>
      </c>
      <c r="AI50" s="3" t="s">
        <v>81</v>
      </c>
      <c r="AJ50" s="3" t="s">
        <v>82</v>
      </c>
      <c r="AK50" s="3" t="s">
        <v>83</v>
      </c>
      <c r="AL50" s="8" t="s">
        <v>84</v>
      </c>
      <c r="BF50" s="4" t="s">
        <v>660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63" t="s">
        <v>691</v>
      </c>
      <c r="BP50" s="163"/>
      <c r="BQ50" s="163"/>
      <c r="BR50" s="163"/>
      <c r="BS50" s="163"/>
      <c r="BT50" s="163"/>
      <c r="BU50" s="163"/>
      <c r="BV50" s="163"/>
      <c r="CG50" s="4" t="s">
        <v>737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2"/>
      <c r="B51" s="72"/>
      <c r="D51" t="s">
        <v>77</v>
      </c>
      <c r="E51" s="3" t="s">
        <v>78</v>
      </c>
      <c r="F51" s="3" t="s">
        <v>79</v>
      </c>
      <c r="G51" s="3" t="s">
        <v>80</v>
      </c>
      <c r="H51" s="3" t="s">
        <v>81</v>
      </c>
      <c r="I51" s="3" t="s">
        <v>82</v>
      </c>
      <c r="J51" s="3" t="s">
        <v>83</v>
      </c>
      <c r="K51" s="8" t="s">
        <v>84</v>
      </c>
      <c r="V51" s="31" t="s">
        <v>93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568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63" t="s">
        <v>661</v>
      </c>
      <c r="BG51" s="163"/>
      <c r="BH51" s="163"/>
      <c r="BI51" s="163"/>
      <c r="BJ51" s="163"/>
      <c r="BK51" s="163"/>
      <c r="BL51" s="163"/>
      <c r="BM51" s="163"/>
      <c r="BO51" t="s">
        <v>77</v>
      </c>
      <c r="BP51" s="3" t="s">
        <v>78</v>
      </c>
      <c r="BQ51" s="3" t="s">
        <v>79</v>
      </c>
      <c r="BR51" s="3" t="s">
        <v>80</v>
      </c>
      <c r="BS51" s="3" t="s">
        <v>81</v>
      </c>
      <c r="BT51" s="3" t="s">
        <v>82</v>
      </c>
      <c r="BU51" s="3" t="s">
        <v>83</v>
      </c>
      <c r="BV51" s="8" t="s">
        <v>84</v>
      </c>
      <c r="CG51" s="4" t="s">
        <v>738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2"/>
      <c r="B52" s="72"/>
      <c r="D52" s="4" t="s">
        <v>433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1" t="s">
        <v>96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63" t="s">
        <v>569</v>
      </c>
      <c r="AF52" s="163"/>
      <c r="AG52" s="163"/>
      <c r="AH52" s="163"/>
      <c r="AI52" s="163"/>
      <c r="AJ52" s="163"/>
      <c r="AK52" s="163"/>
      <c r="AL52" s="163"/>
      <c r="BF52" t="s">
        <v>77</v>
      </c>
      <c r="BG52" s="3" t="s">
        <v>78</v>
      </c>
      <c r="BH52" s="3" t="s">
        <v>79</v>
      </c>
      <c r="BI52" s="3" t="s">
        <v>80</v>
      </c>
      <c r="BJ52" s="3" t="s">
        <v>81</v>
      </c>
      <c r="BK52" s="3" t="s">
        <v>82</v>
      </c>
      <c r="BL52" s="3" t="s">
        <v>83</v>
      </c>
      <c r="BM52" s="8" t="s">
        <v>84</v>
      </c>
      <c r="BO52" s="4" t="s">
        <v>332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739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2"/>
      <c r="B53" s="72"/>
      <c r="D53" s="163" t="s">
        <v>434</v>
      </c>
      <c r="E53" s="163"/>
      <c r="F53" s="163"/>
      <c r="G53" s="163"/>
      <c r="H53" s="163"/>
      <c r="I53" s="163"/>
      <c r="J53" s="163"/>
      <c r="K53" s="163"/>
      <c r="V53" s="164" t="s">
        <v>526</v>
      </c>
      <c r="W53" s="163"/>
      <c r="X53" s="163"/>
      <c r="Y53" s="163"/>
      <c r="Z53" s="163"/>
      <c r="AA53" s="163"/>
      <c r="AB53" s="163"/>
      <c r="AC53" s="163"/>
      <c r="AE53" t="s">
        <v>77</v>
      </c>
      <c r="AF53" s="3" t="s">
        <v>78</v>
      </c>
      <c r="AG53" s="3" t="s">
        <v>79</v>
      </c>
      <c r="AH53" s="3" t="s">
        <v>80</v>
      </c>
      <c r="AI53" s="3" t="s">
        <v>81</v>
      </c>
      <c r="AJ53" s="3" t="s">
        <v>82</v>
      </c>
      <c r="AK53" s="3" t="s">
        <v>83</v>
      </c>
      <c r="AL53" s="8" t="s">
        <v>84</v>
      </c>
      <c r="BF53" s="4" t="s">
        <v>246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63" t="s">
        <v>690</v>
      </c>
      <c r="BP53" s="163"/>
      <c r="BQ53" s="163"/>
      <c r="BR53" s="163"/>
      <c r="BS53" s="163"/>
      <c r="BT53" s="163"/>
      <c r="BU53" s="163"/>
      <c r="BV53" s="163"/>
      <c r="CG53" s="4" t="s">
        <v>740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2"/>
      <c r="B54" s="72"/>
      <c r="D54" t="s">
        <v>77</v>
      </c>
      <c r="E54" s="3" t="s">
        <v>78</v>
      </c>
      <c r="F54" s="3" t="s">
        <v>79</v>
      </c>
      <c r="G54" s="3" t="s">
        <v>80</v>
      </c>
      <c r="H54" s="3" t="s">
        <v>81</v>
      </c>
      <c r="I54" s="3" t="s">
        <v>82</v>
      </c>
      <c r="J54" s="3" t="s">
        <v>83</v>
      </c>
      <c r="K54" s="8" t="s">
        <v>84</v>
      </c>
      <c r="V54" t="s">
        <v>77</v>
      </c>
      <c r="W54" s="3" t="s">
        <v>78</v>
      </c>
      <c r="X54" s="3" t="s">
        <v>79</v>
      </c>
      <c r="Y54" s="3" t="s">
        <v>80</v>
      </c>
      <c r="Z54" s="3" t="s">
        <v>81</v>
      </c>
      <c r="AA54" s="3" t="s">
        <v>82</v>
      </c>
      <c r="AB54" s="3" t="s">
        <v>83</v>
      </c>
      <c r="AC54" s="8" t="s">
        <v>84</v>
      </c>
      <c r="AE54" s="4" t="s">
        <v>570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62" t="s">
        <v>404</v>
      </c>
      <c r="BG54" s="162"/>
      <c r="BH54" s="162"/>
      <c r="BI54" s="162"/>
      <c r="BJ54" s="162"/>
      <c r="BK54" s="162"/>
      <c r="BL54" s="162"/>
      <c r="BM54" s="162"/>
      <c r="BO54" t="s">
        <v>77</v>
      </c>
      <c r="BP54" s="3" t="s">
        <v>78</v>
      </c>
      <c r="BQ54" s="3" t="s">
        <v>79</v>
      </c>
      <c r="BR54" s="3" t="s">
        <v>80</v>
      </c>
      <c r="BS54" s="3" t="s">
        <v>81</v>
      </c>
      <c r="BT54" s="3" t="s">
        <v>82</v>
      </c>
      <c r="BU54" s="3" t="s">
        <v>83</v>
      </c>
      <c r="BV54" s="8" t="s">
        <v>84</v>
      </c>
      <c r="CG54" s="4" t="s">
        <v>741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2"/>
      <c r="B55" s="72"/>
      <c r="D55" s="4" t="s">
        <v>399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99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63" t="s">
        <v>572</v>
      </c>
      <c r="AF55" s="163"/>
      <c r="AG55" s="163"/>
      <c r="AH55" s="163"/>
      <c r="AI55" s="163"/>
      <c r="AJ55" s="163"/>
      <c r="AK55" s="163"/>
      <c r="AL55" s="163"/>
      <c r="BF55" s="163" t="s">
        <v>662</v>
      </c>
      <c r="BG55" s="163"/>
      <c r="BH55" s="163"/>
      <c r="BI55" s="163"/>
      <c r="BJ55" s="163"/>
      <c r="BK55" s="163"/>
      <c r="BL55" s="163"/>
      <c r="BM55" s="163"/>
      <c r="BO55" s="4" t="s">
        <v>315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742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2"/>
      <c r="B56" s="72"/>
      <c r="D56" s="163" t="s">
        <v>435</v>
      </c>
      <c r="E56" s="163"/>
      <c r="F56" s="163"/>
      <c r="G56" s="163"/>
      <c r="H56" s="163"/>
      <c r="I56" s="163"/>
      <c r="J56" s="163"/>
      <c r="K56" s="163"/>
      <c r="V56" s="162" t="s">
        <v>527</v>
      </c>
      <c r="W56" s="162"/>
      <c r="X56" s="162"/>
      <c r="Y56" s="162"/>
      <c r="Z56" s="162"/>
      <c r="AA56" s="162"/>
      <c r="AB56" s="162"/>
      <c r="AC56" s="162"/>
      <c r="AE56" t="s">
        <v>77</v>
      </c>
      <c r="AF56" s="3" t="s">
        <v>78</v>
      </c>
      <c r="AG56" s="3" t="s">
        <v>79</v>
      </c>
      <c r="AH56" s="3" t="s">
        <v>80</v>
      </c>
      <c r="AI56" s="3" t="s">
        <v>81</v>
      </c>
      <c r="AJ56" s="3" t="s">
        <v>82</v>
      </c>
      <c r="AK56" s="3" t="s">
        <v>83</v>
      </c>
      <c r="AL56" s="8" t="s">
        <v>84</v>
      </c>
      <c r="BF56" t="s">
        <v>77</v>
      </c>
      <c r="BG56" s="3" t="s">
        <v>78</v>
      </c>
      <c r="BH56" s="3" t="s">
        <v>79</v>
      </c>
      <c r="BI56" s="3" t="s">
        <v>80</v>
      </c>
      <c r="BJ56" s="3" t="s">
        <v>81</v>
      </c>
      <c r="BK56" s="3" t="s">
        <v>82</v>
      </c>
      <c r="BL56" s="3" t="s">
        <v>83</v>
      </c>
      <c r="BM56" s="8" t="s">
        <v>84</v>
      </c>
      <c r="BO56" s="163" t="s">
        <v>689</v>
      </c>
      <c r="BP56" s="163"/>
      <c r="BQ56" s="163"/>
      <c r="BR56" s="163"/>
      <c r="BS56" s="163"/>
      <c r="BT56" s="163"/>
      <c r="BU56" s="163"/>
      <c r="BV56" s="163"/>
    </row>
    <row r="57" spans="1:92" ht="15" customHeight="1">
      <c r="A57" s="72"/>
      <c r="B57" s="72"/>
      <c r="D57" t="s">
        <v>77</v>
      </c>
      <c r="E57" s="3" t="s">
        <v>78</v>
      </c>
      <c r="F57" s="3" t="s">
        <v>79</v>
      </c>
      <c r="G57" s="3" t="s">
        <v>80</v>
      </c>
      <c r="H57" s="3" t="s">
        <v>81</v>
      </c>
      <c r="I57" s="3" t="s">
        <v>82</v>
      </c>
      <c r="J57" s="3" t="s">
        <v>83</v>
      </c>
      <c r="K57" s="8" t="s">
        <v>84</v>
      </c>
      <c r="V57" s="164" t="s">
        <v>528</v>
      </c>
      <c r="W57" s="163"/>
      <c r="X57" s="163"/>
      <c r="Y57" s="163"/>
      <c r="Z57" s="163"/>
      <c r="AA57" s="163"/>
      <c r="AB57" s="163"/>
      <c r="AC57" s="163"/>
      <c r="AE57" s="4" t="s">
        <v>571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663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77</v>
      </c>
      <c r="BP57" s="3" t="s">
        <v>78</v>
      </c>
      <c r="BQ57" s="3" t="s">
        <v>79</v>
      </c>
      <c r="BR57" s="3" t="s">
        <v>80</v>
      </c>
      <c r="BS57" s="3" t="s">
        <v>81</v>
      </c>
      <c r="BT57" s="3" t="s">
        <v>82</v>
      </c>
      <c r="BU57" s="3" t="s">
        <v>83</v>
      </c>
      <c r="BV57" s="8" t="s">
        <v>84</v>
      </c>
    </row>
    <row r="58" spans="1:92" ht="15" customHeight="1">
      <c r="A58" s="72"/>
      <c r="B58" s="72"/>
      <c r="D58" s="4" t="s">
        <v>400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77</v>
      </c>
      <c r="W58" s="3" t="s">
        <v>78</v>
      </c>
      <c r="X58" s="3" t="s">
        <v>79</v>
      </c>
      <c r="Y58" s="3" t="s">
        <v>80</v>
      </c>
      <c r="Z58" s="3" t="s">
        <v>81</v>
      </c>
      <c r="AA58" s="3" t="s">
        <v>82</v>
      </c>
      <c r="AB58" s="3" t="s">
        <v>83</v>
      </c>
      <c r="AC58" s="8" t="s">
        <v>84</v>
      </c>
      <c r="AE58" s="162" t="s">
        <v>573</v>
      </c>
      <c r="AF58" s="162"/>
      <c r="AG58" s="162"/>
      <c r="AH58" s="162"/>
      <c r="AI58" s="162"/>
      <c r="AJ58" s="162"/>
      <c r="AK58" s="162"/>
      <c r="AL58" s="162"/>
      <c r="BF58" s="163" t="s">
        <v>664</v>
      </c>
      <c r="BG58" s="163"/>
      <c r="BH58" s="163"/>
      <c r="BI58" s="163"/>
      <c r="BJ58" s="163"/>
      <c r="BK58" s="163"/>
      <c r="BL58" s="163"/>
      <c r="BM58" s="163"/>
      <c r="BO58" s="4" t="s">
        <v>326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2"/>
      <c r="B59" s="72"/>
      <c r="D59" s="163" t="s">
        <v>436</v>
      </c>
      <c r="E59" s="163"/>
      <c r="F59" s="163"/>
      <c r="G59" s="163"/>
      <c r="H59" s="163"/>
      <c r="I59" s="163"/>
      <c r="J59" s="163"/>
      <c r="K59" s="163"/>
      <c r="V59" s="4" t="s">
        <v>86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63" t="s">
        <v>574</v>
      </c>
      <c r="AF59" s="163"/>
      <c r="AG59" s="163"/>
      <c r="AH59" s="163"/>
      <c r="AI59" s="163"/>
      <c r="AJ59" s="163"/>
      <c r="AK59" s="163"/>
      <c r="AL59" s="163"/>
      <c r="BF59" t="s">
        <v>77</v>
      </c>
      <c r="BG59" s="3" t="s">
        <v>78</v>
      </c>
      <c r="BH59" s="3" t="s">
        <v>79</v>
      </c>
      <c r="BI59" s="3" t="s">
        <v>80</v>
      </c>
      <c r="BJ59" s="3" t="s">
        <v>81</v>
      </c>
      <c r="BK59" s="3" t="s">
        <v>82</v>
      </c>
      <c r="BL59" s="3" t="s">
        <v>83</v>
      </c>
      <c r="BM59" s="8" t="s">
        <v>84</v>
      </c>
      <c r="BO59" s="163" t="s">
        <v>688</v>
      </c>
      <c r="BP59" s="163"/>
      <c r="BQ59" s="163"/>
      <c r="BR59" s="163"/>
      <c r="BS59" s="163"/>
      <c r="BT59" s="163"/>
      <c r="BU59" s="163"/>
      <c r="BV59" s="163"/>
    </row>
    <row r="60" spans="1:92" ht="15" customHeight="1">
      <c r="A60" s="72"/>
      <c r="B60" s="72"/>
      <c r="D60" t="s">
        <v>77</v>
      </c>
      <c r="E60" s="3" t="s">
        <v>78</v>
      </c>
      <c r="F60" s="3" t="s">
        <v>79</v>
      </c>
      <c r="G60" s="3" t="s">
        <v>80</v>
      </c>
      <c r="H60" s="3" t="s">
        <v>81</v>
      </c>
      <c r="I60" s="3" t="s">
        <v>82</v>
      </c>
      <c r="J60" s="3" t="s">
        <v>83</v>
      </c>
      <c r="K60" s="8" t="s">
        <v>84</v>
      </c>
      <c r="V60" s="31" t="s">
        <v>88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77</v>
      </c>
      <c r="AF60" s="3" t="s">
        <v>78</v>
      </c>
      <c r="AG60" s="3" t="s">
        <v>79</v>
      </c>
      <c r="AH60" s="3" t="s">
        <v>80</v>
      </c>
      <c r="AI60" s="3" t="s">
        <v>81</v>
      </c>
      <c r="AJ60" s="3" t="s">
        <v>82</v>
      </c>
      <c r="AK60" s="3" t="s">
        <v>83</v>
      </c>
      <c r="AL60" s="8" t="s">
        <v>84</v>
      </c>
      <c r="BF60" s="4" t="s">
        <v>665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77</v>
      </c>
      <c r="BP60" s="3" t="s">
        <v>78</v>
      </c>
      <c r="BQ60" s="3" t="s">
        <v>79</v>
      </c>
      <c r="BR60" s="3" t="s">
        <v>80</v>
      </c>
      <c r="BS60" s="3" t="s">
        <v>81</v>
      </c>
      <c r="BT60" s="3" t="s">
        <v>82</v>
      </c>
      <c r="BU60" s="3" t="s">
        <v>83</v>
      </c>
      <c r="BV60" s="8" t="s">
        <v>84</v>
      </c>
    </row>
    <row r="61" spans="1:92" ht="15" customHeight="1">
      <c r="A61" s="72"/>
      <c r="B61" s="72"/>
      <c r="D61" s="4" t="s">
        <v>401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1" t="s">
        <v>90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575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63" t="s">
        <v>666</v>
      </c>
      <c r="BG61" s="163"/>
      <c r="BH61" s="163"/>
      <c r="BI61" s="163"/>
      <c r="BJ61" s="163"/>
      <c r="BK61" s="163"/>
      <c r="BL61" s="163"/>
      <c r="BM61" s="163"/>
      <c r="BO61" s="4" t="s">
        <v>316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2"/>
      <c r="B62" s="72"/>
      <c r="D62" s="163" t="s">
        <v>437</v>
      </c>
      <c r="E62" s="163"/>
      <c r="F62" s="163"/>
      <c r="G62" s="163"/>
      <c r="H62" s="163"/>
      <c r="I62" s="163"/>
      <c r="J62" s="163"/>
      <c r="K62" s="163"/>
      <c r="V62" s="31" t="s">
        <v>68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63" t="s">
        <v>576</v>
      </c>
      <c r="AF62" s="163"/>
      <c r="AG62" s="163"/>
      <c r="AH62" s="163"/>
      <c r="AI62" s="163"/>
      <c r="AJ62" s="163"/>
      <c r="AK62" s="163"/>
      <c r="AL62" s="163"/>
      <c r="BF62" t="s">
        <v>77</v>
      </c>
      <c r="BG62" s="3" t="s">
        <v>78</v>
      </c>
      <c r="BH62" s="3" t="s">
        <v>79</v>
      </c>
      <c r="BI62" s="3" t="s">
        <v>80</v>
      </c>
      <c r="BJ62" s="3" t="s">
        <v>81</v>
      </c>
      <c r="BK62" s="3" t="s">
        <v>82</v>
      </c>
      <c r="BL62" s="3" t="s">
        <v>83</v>
      </c>
      <c r="BM62" s="8" t="s">
        <v>84</v>
      </c>
      <c r="BO62" s="31" t="s">
        <v>307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77</v>
      </c>
      <c r="E63" s="3" t="s">
        <v>78</v>
      </c>
      <c r="F63" s="3" t="s">
        <v>79</v>
      </c>
      <c r="G63" s="3" t="s">
        <v>80</v>
      </c>
      <c r="H63" s="3" t="s">
        <v>81</v>
      </c>
      <c r="I63" s="3" t="s">
        <v>82</v>
      </c>
      <c r="J63" s="3" t="s">
        <v>83</v>
      </c>
      <c r="K63" s="8" t="s">
        <v>84</v>
      </c>
      <c r="V63" s="31" t="s">
        <v>94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77</v>
      </c>
      <c r="AF63" s="3" t="s">
        <v>78</v>
      </c>
      <c r="AG63" s="3" t="s">
        <v>79</v>
      </c>
      <c r="AH63" s="3" t="s">
        <v>80</v>
      </c>
      <c r="AI63" s="3" t="s">
        <v>81</v>
      </c>
      <c r="AJ63" s="3" t="s">
        <v>82</v>
      </c>
      <c r="AK63" s="3" t="s">
        <v>83</v>
      </c>
      <c r="AL63" s="8" t="s">
        <v>84</v>
      </c>
      <c r="BF63" s="4" t="s">
        <v>405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1" t="s">
        <v>308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402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1" t="s">
        <v>97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568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406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1" t="s">
        <v>310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63" t="s">
        <v>438</v>
      </c>
      <c r="E65" s="163"/>
      <c r="F65" s="163"/>
      <c r="G65" s="163"/>
      <c r="H65" s="163"/>
      <c r="I65" s="163"/>
      <c r="J65" s="163"/>
      <c r="K65" s="163"/>
      <c r="V65" s="31" t="s">
        <v>100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63" t="s">
        <v>577</v>
      </c>
      <c r="AF65" s="163"/>
      <c r="AG65" s="163"/>
      <c r="AH65" s="163"/>
      <c r="AI65" s="163"/>
      <c r="AJ65" s="163"/>
      <c r="AK65" s="163"/>
      <c r="AL65" s="163"/>
      <c r="BF65" s="4" t="s">
        <v>407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1" t="s">
        <v>319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77</v>
      </c>
      <c r="E66" s="3" t="s">
        <v>78</v>
      </c>
      <c r="F66" s="3" t="s">
        <v>79</v>
      </c>
      <c r="G66" s="3" t="s">
        <v>80</v>
      </c>
      <c r="H66" s="3" t="s">
        <v>81</v>
      </c>
      <c r="I66" s="3" t="s">
        <v>82</v>
      </c>
      <c r="J66" s="3" t="s">
        <v>83</v>
      </c>
      <c r="K66" s="8" t="s">
        <v>84</v>
      </c>
      <c r="V66" s="31" t="s">
        <v>102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77</v>
      </c>
      <c r="AF66" s="3" t="s">
        <v>78</v>
      </c>
      <c r="AG66" s="3" t="s">
        <v>79</v>
      </c>
      <c r="AH66" s="3" t="s">
        <v>80</v>
      </c>
      <c r="AI66" s="3" t="s">
        <v>81</v>
      </c>
      <c r="AJ66" s="3" t="s">
        <v>82</v>
      </c>
      <c r="AK66" s="3" t="s">
        <v>83</v>
      </c>
      <c r="AL66" s="8" t="s">
        <v>84</v>
      </c>
      <c r="BF66" s="4" t="s">
        <v>408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1" t="s">
        <v>320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403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64" t="s">
        <v>529</v>
      </c>
      <c r="W67" s="163"/>
      <c r="X67" s="163"/>
      <c r="Y67" s="163"/>
      <c r="Z67" s="163"/>
      <c r="AA67" s="163"/>
      <c r="AB67" s="163"/>
      <c r="AC67" s="163"/>
      <c r="AE67" s="4" t="s">
        <v>578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667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1" t="s">
        <v>241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63" t="s">
        <v>439</v>
      </c>
      <c r="E68" s="163"/>
      <c r="F68" s="163"/>
      <c r="G68" s="163"/>
      <c r="H68" s="163"/>
      <c r="I68" s="163"/>
      <c r="J68" s="163"/>
      <c r="K68" s="163"/>
      <c r="V68" t="s">
        <v>77</v>
      </c>
      <c r="W68" s="3" t="s">
        <v>78</v>
      </c>
      <c r="X68" s="3" t="s">
        <v>79</v>
      </c>
      <c r="Y68" s="3" t="s">
        <v>80</v>
      </c>
      <c r="Z68" s="3" t="s">
        <v>81</v>
      </c>
      <c r="AA68" s="3" t="s">
        <v>82</v>
      </c>
      <c r="AB68" s="3" t="s">
        <v>83</v>
      </c>
      <c r="AC68" s="8" t="s">
        <v>84</v>
      </c>
      <c r="AE68" s="31" t="s">
        <v>579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63" t="s">
        <v>668</v>
      </c>
      <c r="BG68" s="163"/>
      <c r="BH68" s="163"/>
      <c r="BI68" s="163"/>
      <c r="BJ68" s="163"/>
      <c r="BK68" s="163"/>
      <c r="BL68" s="163"/>
      <c r="BM68" s="163"/>
      <c r="BO68" s="31" t="s">
        <v>326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77</v>
      </c>
      <c r="E69" s="3" t="s">
        <v>78</v>
      </c>
      <c r="F69" s="3" t="s">
        <v>79</v>
      </c>
      <c r="G69" s="3" t="s">
        <v>80</v>
      </c>
      <c r="H69" s="3" t="s">
        <v>81</v>
      </c>
      <c r="I69" s="3" t="s">
        <v>82</v>
      </c>
      <c r="J69" s="3" t="s">
        <v>83</v>
      </c>
      <c r="K69" s="8" t="s">
        <v>84</v>
      </c>
      <c r="V69" s="4" t="s">
        <v>104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63" t="s">
        <v>580</v>
      </c>
      <c r="AF69" s="163"/>
      <c r="AG69" s="163"/>
      <c r="AH69" s="163"/>
      <c r="AI69" s="163"/>
      <c r="AJ69" s="163"/>
      <c r="AK69" s="163"/>
      <c r="AL69" s="163"/>
      <c r="BF69" t="s">
        <v>77</v>
      </c>
      <c r="BG69" s="3" t="s">
        <v>78</v>
      </c>
      <c r="BH69" s="3" t="s">
        <v>79</v>
      </c>
      <c r="BI69" s="3" t="s">
        <v>80</v>
      </c>
      <c r="BJ69" s="3" t="s">
        <v>81</v>
      </c>
      <c r="BK69" s="3" t="s">
        <v>82</v>
      </c>
      <c r="BL69" s="3" t="s">
        <v>83</v>
      </c>
      <c r="BM69" s="8" t="s">
        <v>84</v>
      </c>
      <c r="BO69" s="31" t="s">
        <v>686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440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64" t="s">
        <v>530</v>
      </c>
      <c r="W70" s="163"/>
      <c r="X70" s="163"/>
      <c r="Y70" s="163"/>
      <c r="Z70" s="163"/>
      <c r="AA70" s="163"/>
      <c r="AB70" s="163"/>
      <c r="AC70" s="163"/>
      <c r="AE70" t="s">
        <v>77</v>
      </c>
      <c r="AF70" s="3" t="s">
        <v>78</v>
      </c>
      <c r="AG70" s="3" t="s">
        <v>79</v>
      </c>
      <c r="AH70" s="3" t="s">
        <v>80</v>
      </c>
      <c r="AI70" s="3" t="s">
        <v>81</v>
      </c>
      <c r="AJ70" s="3" t="s">
        <v>82</v>
      </c>
      <c r="AK70" s="3" t="s">
        <v>83</v>
      </c>
      <c r="AL70" s="8" t="s">
        <v>84</v>
      </c>
      <c r="BF70" s="4" t="s">
        <v>669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63" t="s">
        <v>687</v>
      </c>
      <c r="BP70" s="163"/>
      <c r="BQ70" s="163"/>
      <c r="BR70" s="163"/>
      <c r="BS70" s="163"/>
      <c r="BT70" s="163"/>
      <c r="BU70" s="163"/>
      <c r="BV70" s="163"/>
    </row>
    <row r="71" spans="4:74">
      <c r="D71" s="163" t="s">
        <v>441</v>
      </c>
      <c r="E71" s="163"/>
      <c r="F71" s="163"/>
      <c r="G71" s="163"/>
      <c r="H71" s="163"/>
      <c r="I71" s="163"/>
      <c r="J71" s="163"/>
      <c r="K71" s="163"/>
      <c r="V71" t="s">
        <v>77</v>
      </c>
      <c r="W71" s="3" t="s">
        <v>78</v>
      </c>
      <c r="X71" s="3" t="s">
        <v>79</v>
      </c>
      <c r="Y71" s="3" t="s">
        <v>80</v>
      </c>
      <c r="Z71" s="3" t="s">
        <v>81</v>
      </c>
      <c r="AA71" s="3" t="s">
        <v>82</v>
      </c>
      <c r="AB71" s="3" t="s">
        <v>83</v>
      </c>
      <c r="AC71" s="8" t="s">
        <v>84</v>
      </c>
      <c r="AE71" s="4" t="s">
        <v>578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63" t="s">
        <v>670</v>
      </c>
      <c r="BG71" s="163"/>
      <c r="BH71" s="163"/>
      <c r="BI71" s="163"/>
      <c r="BJ71" s="163"/>
      <c r="BK71" s="163"/>
      <c r="BL71" s="163"/>
      <c r="BM71" s="163"/>
      <c r="BO71" t="s">
        <v>77</v>
      </c>
      <c r="BP71" s="3" t="s">
        <v>78</v>
      </c>
      <c r="BQ71" s="3" t="s">
        <v>79</v>
      </c>
      <c r="BR71" s="3" t="s">
        <v>80</v>
      </c>
      <c r="BS71" s="3" t="s">
        <v>81</v>
      </c>
      <c r="BT71" s="3" t="s">
        <v>82</v>
      </c>
      <c r="BU71" s="3" t="s">
        <v>83</v>
      </c>
      <c r="BV71" s="8" t="s">
        <v>84</v>
      </c>
    </row>
    <row r="72" spans="4:74">
      <c r="D72" t="s">
        <v>77</v>
      </c>
      <c r="E72" s="3" t="s">
        <v>78</v>
      </c>
      <c r="F72" s="3" t="s">
        <v>79</v>
      </c>
      <c r="G72" s="3" t="s">
        <v>80</v>
      </c>
      <c r="H72" s="3" t="s">
        <v>81</v>
      </c>
      <c r="I72" s="3" t="s">
        <v>82</v>
      </c>
      <c r="J72" s="3" t="s">
        <v>83</v>
      </c>
      <c r="K72" s="8" t="s">
        <v>84</v>
      </c>
      <c r="V72" s="4" t="s">
        <v>104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1" t="s">
        <v>579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77</v>
      </c>
      <c r="BG72" s="3" t="s">
        <v>78</v>
      </c>
      <c r="BH72" s="3" t="s">
        <v>79</v>
      </c>
      <c r="BI72" s="3" t="s">
        <v>80</v>
      </c>
      <c r="BJ72" s="3" t="s">
        <v>81</v>
      </c>
      <c r="BK72" s="3" t="s">
        <v>82</v>
      </c>
      <c r="BL72" s="3" t="s">
        <v>83</v>
      </c>
      <c r="BM72" s="8" t="s">
        <v>84</v>
      </c>
      <c r="BO72" s="4" t="s">
        <v>245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442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64" t="s">
        <v>531</v>
      </c>
      <c r="W73" s="163"/>
      <c r="X73" s="163"/>
      <c r="Y73" s="163"/>
      <c r="Z73" s="163"/>
      <c r="AA73" s="163"/>
      <c r="AB73" s="163"/>
      <c r="AC73" s="163"/>
      <c r="AE73" s="163" t="s">
        <v>581</v>
      </c>
      <c r="AF73" s="163"/>
      <c r="AG73" s="163"/>
      <c r="AH73" s="163"/>
      <c r="AI73" s="163"/>
      <c r="AJ73" s="163"/>
      <c r="AK73" s="163"/>
      <c r="AL73" s="163"/>
      <c r="BF73" s="4" t="s">
        <v>671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1" t="s">
        <v>328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63" t="s">
        <v>443</v>
      </c>
      <c r="E74" s="163"/>
      <c r="F74" s="163"/>
      <c r="G74" s="163"/>
      <c r="H74" s="163"/>
      <c r="I74" s="163"/>
      <c r="J74" s="163"/>
      <c r="K74" s="163"/>
      <c r="V74" t="s">
        <v>77</v>
      </c>
      <c r="W74" s="3" t="s">
        <v>78</v>
      </c>
      <c r="X74" s="3" t="s">
        <v>79</v>
      </c>
      <c r="Y74" s="3" t="s">
        <v>80</v>
      </c>
      <c r="Z74" s="3" t="s">
        <v>81</v>
      </c>
      <c r="AA74" s="3" t="s">
        <v>82</v>
      </c>
      <c r="AB74" s="3" t="s">
        <v>83</v>
      </c>
      <c r="AC74" s="8" t="s">
        <v>84</v>
      </c>
      <c r="AE74" t="s">
        <v>77</v>
      </c>
      <c r="AF74" s="3" t="s">
        <v>78</v>
      </c>
      <c r="AG74" s="3" t="s">
        <v>79</v>
      </c>
      <c r="AH74" s="3" t="s">
        <v>80</v>
      </c>
      <c r="AI74" s="3" t="s">
        <v>81</v>
      </c>
      <c r="AJ74" s="3" t="s">
        <v>82</v>
      </c>
      <c r="AK74" s="3" t="s">
        <v>83</v>
      </c>
      <c r="AL74" s="8" t="s">
        <v>84</v>
      </c>
      <c r="BF74" s="163" t="s">
        <v>672</v>
      </c>
      <c r="BG74" s="163"/>
      <c r="BH74" s="163"/>
      <c r="BI74" s="163"/>
      <c r="BJ74" s="163"/>
      <c r="BK74" s="163"/>
      <c r="BL74" s="163"/>
      <c r="BM74" s="163"/>
      <c r="BO74" s="31" t="s">
        <v>329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77</v>
      </c>
      <c r="E75" s="3" t="s">
        <v>78</v>
      </c>
      <c r="F75" s="3" t="s">
        <v>79</v>
      </c>
      <c r="G75" s="3" t="s">
        <v>80</v>
      </c>
      <c r="H75" s="3" t="s">
        <v>81</v>
      </c>
      <c r="I75" s="3" t="s">
        <v>82</v>
      </c>
      <c r="J75" s="3" t="s">
        <v>83</v>
      </c>
      <c r="K75" s="8" t="s">
        <v>84</v>
      </c>
      <c r="V75" s="4" t="s">
        <v>107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578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77</v>
      </c>
      <c r="BG75" s="3" t="s">
        <v>78</v>
      </c>
      <c r="BH75" s="3" t="s">
        <v>79</v>
      </c>
      <c r="BI75" s="3" t="s">
        <v>80</v>
      </c>
      <c r="BJ75" s="3" t="s">
        <v>81</v>
      </c>
      <c r="BK75" s="3" t="s">
        <v>82</v>
      </c>
      <c r="BL75" s="3" t="s">
        <v>83</v>
      </c>
      <c r="BM75" s="8" t="s">
        <v>84</v>
      </c>
      <c r="BO75" s="31" t="s">
        <v>692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444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64" t="s">
        <v>532</v>
      </c>
      <c r="W76" s="163"/>
      <c r="X76" s="163"/>
      <c r="Y76" s="163"/>
      <c r="Z76" s="163"/>
      <c r="AA76" s="163"/>
      <c r="AB76" s="163"/>
      <c r="AC76" s="163"/>
      <c r="AE76" s="31" t="s">
        <v>579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671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1" t="s">
        <v>693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63" t="s">
        <v>445</v>
      </c>
      <c r="E77" s="163"/>
      <c r="F77" s="163"/>
      <c r="G77" s="163"/>
      <c r="H77" s="163"/>
      <c r="I77" s="163"/>
      <c r="J77" s="163"/>
      <c r="K77" s="163"/>
      <c r="V77" t="s">
        <v>77</v>
      </c>
      <c r="W77" s="3" t="s">
        <v>78</v>
      </c>
      <c r="X77" s="3" t="s">
        <v>79</v>
      </c>
      <c r="Y77" s="3" t="s">
        <v>80</v>
      </c>
      <c r="Z77" s="3" t="s">
        <v>81</v>
      </c>
      <c r="AA77" s="3" t="s">
        <v>82</v>
      </c>
      <c r="AB77" s="3" t="s">
        <v>83</v>
      </c>
      <c r="AC77" s="8" t="s">
        <v>84</v>
      </c>
      <c r="AE77" s="163" t="s">
        <v>582</v>
      </c>
      <c r="AF77" s="163"/>
      <c r="AG77" s="163"/>
      <c r="AH77" s="163"/>
      <c r="AI77" s="163"/>
      <c r="AJ77" s="163"/>
      <c r="AK77" s="163"/>
      <c r="AL77" s="163"/>
      <c r="BO77" s="31" t="s">
        <v>694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77</v>
      </c>
      <c r="E78" s="3" t="s">
        <v>78</v>
      </c>
      <c r="F78" s="3" t="s">
        <v>79</v>
      </c>
      <c r="G78" s="3" t="s">
        <v>80</v>
      </c>
      <c r="H78" s="3" t="s">
        <v>81</v>
      </c>
      <c r="I78" s="3" t="s">
        <v>82</v>
      </c>
      <c r="J78" s="3" t="s">
        <v>83</v>
      </c>
      <c r="K78" s="8" t="s">
        <v>84</v>
      </c>
      <c r="V78" s="4" t="s">
        <v>107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77</v>
      </c>
      <c r="AF78" s="3" t="s">
        <v>78</v>
      </c>
      <c r="AG78" s="3" t="s">
        <v>79</v>
      </c>
      <c r="AH78" s="3" t="s">
        <v>80</v>
      </c>
      <c r="AI78" s="3" t="s">
        <v>81</v>
      </c>
      <c r="AJ78" s="3" t="s">
        <v>82</v>
      </c>
      <c r="AK78" s="3" t="s">
        <v>83</v>
      </c>
      <c r="AL78" s="8" t="s">
        <v>84</v>
      </c>
    </row>
    <row r="79" spans="4:74">
      <c r="D79" s="4" t="s">
        <v>446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64" t="s">
        <v>530</v>
      </c>
      <c r="W79" s="163"/>
      <c r="X79" s="163"/>
      <c r="Y79" s="163"/>
      <c r="Z79" s="163"/>
      <c r="AA79" s="163"/>
      <c r="AB79" s="163"/>
      <c r="AC79" s="163"/>
      <c r="AE79" s="4" t="s">
        <v>578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77</v>
      </c>
      <c r="W80" s="3" t="s">
        <v>78</v>
      </c>
      <c r="X80" s="3" t="s">
        <v>79</v>
      </c>
      <c r="Y80" s="3" t="s">
        <v>80</v>
      </c>
      <c r="Z80" s="3" t="s">
        <v>81</v>
      </c>
      <c r="AA80" s="3" t="s">
        <v>82</v>
      </c>
      <c r="AB80" s="3" t="s">
        <v>83</v>
      </c>
      <c r="AC80" s="8" t="s">
        <v>84</v>
      </c>
      <c r="AE80" s="31" t="s">
        <v>579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108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63" t="s">
        <v>582</v>
      </c>
      <c r="AF81" s="163"/>
      <c r="AG81" s="163"/>
      <c r="AH81" s="163"/>
      <c r="AI81" s="163"/>
      <c r="AJ81" s="163"/>
      <c r="AK81" s="163"/>
      <c r="AL81" s="163"/>
    </row>
    <row r="82" spans="22:38">
      <c r="V82" s="162" t="s">
        <v>176</v>
      </c>
      <c r="W82" s="162"/>
      <c r="X82" s="162"/>
      <c r="Y82" s="162"/>
      <c r="Z82" s="162"/>
      <c r="AA82" s="162"/>
      <c r="AB82" s="162"/>
      <c r="AC82" s="162"/>
      <c r="AE82" t="s">
        <v>77</v>
      </c>
      <c r="AF82" s="3" t="s">
        <v>78</v>
      </c>
      <c r="AG82" s="3" t="s">
        <v>79</v>
      </c>
      <c r="AH82" s="3" t="s">
        <v>80</v>
      </c>
      <c r="AI82" s="3" t="s">
        <v>81</v>
      </c>
      <c r="AJ82" s="3" t="s">
        <v>82</v>
      </c>
      <c r="AK82" s="3" t="s">
        <v>83</v>
      </c>
      <c r="AL82" s="8" t="s">
        <v>84</v>
      </c>
    </row>
    <row r="83" spans="22:38">
      <c r="V83" s="164" t="s">
        <v>528</v>
      </c>
      <c r="W83" s="163"/>
      <c r="X83" s="163"/>
      <c r="Y83" s="163"/>
      <c r="Z83" s="163"/>
      <c r="AA83" s="163"/>
      <c r="AB83" s="163"/>
      <c r="AC83" s="163"/>
      <c r="AE83" s="4" t="s">
        <v>583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77</v>
      </c>
      <c r="W84" s="3" t="s">
        <v>78</v>
      </c>
      <c r="X84" s="3" t="s">
        <v>79</v>
      </c>
      <c r="Y84" s="3" t="s">
        <v>80</v>
      </c>
      <c r="Z84" s="3" t="s">
        <v>81</v>
      </c>
      <c r="AA84" s="3" t="s">
        <v>82</v>
      </c>
      <c r="AB84" s="3" t="s">
        <v>83</v>
      </c>
      <c r="AC84" s="8" t="s">
        <v>84</v>
      </c>
      <c r="AE84" s="31" t="s">
        <v>584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86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1" t="s">
        <v>585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1" t="s">
        <v>88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1" t="s">
        <v>586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1" t="s">
        <v>90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62" t="s">
        <v>587</v>
      </c>
      <c r="AF87" s="162"/>
      <c r="AG87" s="162"/>
      <c r="AH87" s="162"/>
      <c r="AI87" s="162"/>
      <c r="AJ87" s="162"/>
      <c r="AK87" s="162"/>
      <c r="AL87" s="162"/>
    </row>
    <row r="88" spans="22:38">
      <c r="V88" s="31" t="s">
        <v>68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63" t="s">
        <v>588</v>
      </c>
      <c r="AF88" s="163"/>
      <c r="AG88" s="163"/>
      <c r="AH88" s="163"/>
      <c r="AI88" s="163"/>
      <c r="AJ88" s="163"/>
      <c r="AK88" s="163"/>
      <c r="AL88" s="163"/>
    </row>
    <row r="89" spans="22:38">
      <c r="V89" s="31" t="s">
        <v>94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77</v>
      </c>
      <c r="AF89" s="3" t="s">
        <v>78</v>
      </c>
      <c r="AG89" s="3" t="s">
        <v>79</v>
      </c>
      <c r="AH89" s="3" t="s">
        <v>80</v>
      </c>
      <c r="AI89" s="3" t="s">
        <v>81</v>
      </c>
      <c r="AJ89" s="3" t="s">
        <v>82</v>
      </c>
      <c r="AK89" s="3" t="s">
        <v>83</v>
      </c>
      <c r="AL89" s="8" t="s">
        <v>84</v>
      </c>
    </row>
    <row r="90" spans="22:38">
      <c r="V90" s="31" t="s">
        <v>97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366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1" t="s">
        <v>100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63" t="s">
        <v>589</v>
      </c>
      <c r="AF91" s="163"/>
      <c r="AG91" s="163"/>
      <c r="AH91" s="163"/>
      <c r="AI91" s="163"/>
      <c r="AJ91" s="163"/>
      <c r="AK91" s="163"/>
      <c r="AL91" s="163"/>
    </row>
    <row r="92" spans="22:38">
      <c r="V92" s="31" t="s">
        <v>102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77</v>
      </c>
      <c r="AF92" s="3" t="s">
        <v>78</v>
      </c>
      <c r="AG92" s="3" t="s">
        <v>79</v>
      </c>
      <c r="AH92" s="3" t="s">
        <v>80</v>
      </c>
      <c r="AI92" s="3" t="s">
        <v>81</v>
      </c>
      <c r="AJ92" s="3" t="s">
        <v>82</v>
      </c>
      <c r="AK92" s="3" t="s">
        <v>83</v>
      </c>
      <c r="AL92" s="8" t="s">
        <v>84</v>
      </c>
    </row>
    <row r="93" spans="22:38">
      <c r="V93" s="164" t="s">
        <v>533</v>
      </c>
      <c r="W93" s="163"/>
      <c r="X93" s="163"/>
      <c r="Y93" s="163"/>
      <c r="Z93" s="163"/>
      <c r="AA93" s="163"/>
      <c r="AB93" s="163"/>
      <c r="AC93" s="163"/>
      <c r="AE93" s="4" t="s">
        <v>368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77</v>
      </c>
      <c r="W94" s="3" t="s">
        <v>78</v>
      </c>
      <c r="X94" s="3" t="s">
        <v>79</v>
      </c>
      <c r="Y94" s="3" t="s">
        <v>80</v>
      </c>
      <c r="Z94" s="3" t="s">
        <v>81</v>
      </c>
      <c r="AA94" s="3" t="s">
        <v>82</v>
      </c>
      <c r="AB94" s="3" t="s">
        <v>83</v>
      </c>
      <c r="AC94" s="8" t="s">
        <v>84</v>
      </c>
      <c r="AE94" s="163" t="s">
        <v>590</v>
      </c>
      <c r="AF94" s="163"/>
      <c r="AG94" s="163"/>
      <c r="AH94" s="163"/>
      <c r="AI94" s="163"/>
      <c r="AJ94" s="163"/>
      <c r="AK94" s="163"/>
      <c r="AL94" s="163"/>
    </row>
    <row r="95" spans="22:38">
      <c r="V95" s="4" t="s">
        <v>105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77</v>
      </c>
      <c r="AF95" s="3" t="s">
        <v>78</v>
      </c>
      <c r="AG95" s="3" t="s">
        <v>79</v>
      </c>
      <c r="AH95" s="3" t="s">
        <v>80</v>
      </c>
      <c r="AI95" s="3" t="s">
        <v>81</v>
      </c>
      <c r="AJ95" s="3" t="s">
        <v>82</v>
      </c>
      <c r="AK95" s="3" t="s">
        <v>83</v>
      </c>
      <c r="AL95" s="8" t="s">
        <v>84</v>
      </c>
    </row>
    <row r="96" spans="22:38">
      <c r="V96" s="164" t="s">
        <v>534</v>
      </c>
      <c r="W96" s="163"/>
      <c r="X96" s="163"/>
      <c r="Y96" s="163"/>
      <c r="Z96" s="163"/>
      <c r="AA96" s="163"/>
      <c r="AB96" s="163"/>
      <c r="AC96" s="163"/>
      <c r="AE96" s="4" t="s">
        <v>370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77</v>
      </c>
      <c r="W97" s="3" t="s">
        <v>78</v>
      </c>
      <c r="X97" s="3" t="s">
        <v>79</v>
      </c>
      <c r="Y97" s="3" t="s">
        <v>80</v>
      </c>
      <c r="Z97" s="3" t="s">
        <v>81</v>
      </c>
      <c r="AA97" s="3" t="s">
        <v>82</v>
      </c>
      <c r="AB97" s="3" t="s">
        <v>83</v>
      </c>
      <c r="AC97" s="8" t="s">
        <v>84</v>
      </c>
      <c r="AE97" s="163" t="s">
        <v>592</v>
      </c>
      <c r="AF97" s="163"/>
      <c r="AG97" s="163"/>
      <c r="AH97" s="163"/>
      <c r="AI97" s="163"/>
      <c r="AJ97" s="163"/>
      <c r="AK97" s="163"/>
      <c r="AL97" s="163"/>
    </row>
    <row r="98" spans="22:38">
      <c r="V98" s="4" t="s">
        <v>105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77</v>
      </c>
      <c r="AF98" s="3" t="s">
        <v>78</v>
      </c>
      <c r="AG98" s="3" t="s">
        <v>79</v>
      </c>
      <c r="AH98" s="3" t="s">
        <v>80</v>
      </c>
      <c r="AI98" s="3" t="s">
        <v>81</v>
      </c>
      <c r="AJ98" s="3" t="s">
        <v>82</v>
      </c>
      <c r="AK98" s="3" t="s">
        <v>83</v>
      </c>
      <c r="AL98" s="8" t="s">
        <v>84</v>
      </c>
    </row>
    <row r="99" spans="22:38">
      <c r="V99" s="162" t="s">
        <v>535</v>
      </c>
      <c r="W99" s="162"/>
      <c r="X99" s="162"/>
      <c r="Y99" s="162"/>
      <c r="Z99" s="162"/>
      <c r="AA99" s="162"/>
      <c r="AB99" s="162"/>
      <c r="AC99" s="162"/>
      <c r="AE99" s="4" t="s">
        <v>591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64" t="s">
        <v>536</v>
      </c>
      <c r="W100" s="163"/>
      <c r="X100" s="163"/>
      <c r="Y100" s="163"/>
      <c r="Z100" s="163"/>
      <c r="AA100" s="163"/>
      <c r="AB100" s="163"/>
      <c r="AC100" s="163"/>
      <c r="AE100" s="162" t="s">
        <v>593</v>
      </c>
      <c r="AF100" s="162"/>
      <c r="AG100" s="162"/>
      <c r="AH100" s="162"/>
      <c r="AI100" s="162"/>
      <c r="AJ100" s="162"/>
      <c r="AK100" s="162"/>
      <c r="AL100" s="162"/>
    </row>
    <row r="101" spans="22:38">
      <c r="V101" t="s">
        <v>77</v>
      </c>
      <c r="W101" s="3" t="s">
        <v>78</v>
      </c>
      <c r="X101" s="3" t="s">
        <v>79</v>
      </c>
      <c r="Y101" s="3" t="s">
        <v>80</v>
      </c>
      <c r="Z101" s="3" t="s">
        <v>81</v>
      </c>
      <c r="AA101" s="3" t="s">
        <v>82</v>
      </c>
      <c r="AB101" s="3" t="s">
        <v>83</v>
      </c>
      <c r="AC101" s="8" t="s">
        <v>84</v>
      </c>
      <c r="AE101" s="163" t="s">
        <v>594</v>
      </c>
      <c r="AF101" s="163"/>
      <c r="AG101" s="163"/>
      <c r="AH101" s="163"/>
      <c r="AI101" s="163"/>
      <c r="AJ101" s="163"/>
      <c r="AK101" s="163"/>
      <c r="AL101" s="163"/>
    </row>
    <row r="102" spans="22:38">
      <c r="V102" s="4" t="s">
        <v>115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77</v>
      </c>
      <c r="AF102" s="3" t="s">
        <v>78</v>
      </c>
      <c r="AG102" s="3" t="s">
        <v>79</v>
      </c>
      <c r="AH102" s="3" t="s">
        <v>80</v>
      </c>
      <c r="AI102" s="3" t="s">
        <v>81</v>
      </c>
      <c r="AJ102" s="3" t="s">
        <v>82</v>
      </c>
      <c r="AK102" s="3" t="s">
        <v>83</v>
      </c>
      <c r="AL102" s="8" t="s">
        <v>84</v>
      </c>
    </row>
    <row r="103" spans="22:38">
      <c r="V103" s="31" t="s">
        <v>119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541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64" t="s">
        <v>537</v>
      </c>
      <c r="W104" s="163"/>
      <c r="X104" s="163"/>
      <c r="Y104" s="163"/>
      <c r="Z104" s="163"/>
      <c r="AA104" s="163"/>
      <c r="AB104" s="163"/>
      <c r="AC104" s="163"/>
      <c r="AE104" s="31" t="s">
        <v>542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77</v>
      </c>
      <c r="W105" s="3" t="s">
        <v>78</v>
      </c>
      <c r="X105" s="3" t="s">
        <v>79</v>
      </c>
      <c r="Y105" s="3" t="s">
        <v>80</v>
      </c>
      <c r="Z105" s="3" t="s">
        <v>81</v>
      </c>
      <c r="AA105" s="3" t="s">
        <v>82</v>
      </c>
      <c r="AB105" s="3" t="s">
        <v>83</v>
      </c>
      <c r="AC105" s="8" t="s">
        <v>84</v>
      </c>
      <c r="AE105" s="163" t="s">
        <v>540</v>
      </c>
      <c r="AF105" s="163"/>
      <c r="AG105" s="163"/>
      <c r="AH105" s="163"/>
      <c r="AI105" s="163"/>
      <c r="AJ105" s="163"/>
      <c r="AK105" s="163"/>
      <c r="AL105" s="163"/>
    </row>
    <row r="106" spans="22:38">
      <c r="V106" s="4" t="s">
        <v>116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77</v>
      </c>
      <c r="AF106" s="3" t="s">
        <v>78</v>
      </c>
      <c r="AG106" s="3" t="s">
        <v>79</v>
      </c>
      <c r="AH106" s="3" t="s">
        <v>80</v>
      </c>
      <c r="AI106" s="3" t="s">
        <v>81</v>
      </c>
      <c r="AJ106" s="3" t="s">
        <v>82</v>
      </c>
      <c r="AK106" s="3" t="s">
        <v>83</v>
      </c>
      <c r="AL106" s="8" t="s">
        <v>84</v>
      </c>
    </row>
    <row r="107" spans="22:38">
      <c r="V107" s="162" t="s">
        <v>158</v>
      </c>
      <c r="W107" s="162"/>
      <c r="X107" s="162"/>
      <c r="Y107" s="162"/>
      <c r="Z107" s="162"/>
      <c r="AA107" s="162"/>
      <c r="AB107" s="162"/>
      <c r="AC107" s="162"/>
      <c r="AE107" s="4" t="s">
        <v>541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64" t="s">
        <v>539</v>
      </c>
      <c r="W108" s="163"/>
      <c r="X108" s="163"/>
      <c r="Y108" s="163"/>
      <c r="Z108" s="163"/>
      <c r="AA108" s="163"/>
      <c r="AB108" s="163"/>
      <c r="AC108" s="163"/>
      <c r="AE108" s="31" t="s">
        <v>542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77</v>
      </c>
      <c r="W109" s="3" t="s">
        <v>78</v>
      </c>
      <c r="X109" s="3" t="s">
        <v>79</v>
      </c>
      <c r="Y109" s="3" t="s">
        <v>80</v>
      </c>
      <c r="Z109" s="3" t="s">
        <v>81</v>
      </c>
      <c r="AA109" s="3" t="s">
        <v>82</v>
      </c>
      <c r="AB109" s="3" t="s">
        <v>83</v>
      </c>
      <c r="AC109" s="8" t="s">
        <v>84</v>
      </c>
      <c r="AE109" s="163" t="s">
        <v>595</v>
      </c>
      <c r="AF109" s="163"/>
      <c r="AG109" s="163"/>
      <c r="AH109" s="163"/>
      <c r="AI109" s="163"/>
      <c r="AJ109" s="163"/>
      <c r="AK109" s="163"/>
      <c r="AL109" s="163"/>
    </row>
    <row r="110" spans="22:38">
      <c r="V110" s="4" t="s">
        <v>130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77</v>
      </c>
      <c r="AF110" s="3" t="s">
        <v>78</v>
      </c>
      <c r="AG110" s="3" t="s">
        <v>79</v>
      </c>
      <c r="AH110" s="3" t="s">
        <v>80</v>
      </c>
      <c r="AI110" s="3" t="s">
        <v>81</v>
      </c>
      <c r="AJ110" s="3" t="s">
        <v>82</v>
      </c>
      <c r="AK110" s="3" t="s">
        <v>83</v>
      </c>
      <c r="AL110" s="8" t="s">
        <v>84</v>
      </c>
    </row>
    <row r="111" spans="22:38">
      <c r="V111" s="164" t="s">
        <v>538</v>
      </c>
      <c r="W111" s="163"/>
      <c r="X111" s="163"/>
      <c r="Y111" s="163"/>
      <c r="Z111" s="163"/>
      <c r="AA111" s="163"/>
      <c r="AB111" s="163"/>
      <c r="AC111" s="163"/>
      <c r="AE111" s="4" t="s">
        <v>231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77</v>
      </c>
      <c r="W112" s="3" t="s">
        <v>78</v>
      </c>
      <c r="X112" s="3" t="s">
        <v>79</v>
      </c>
      <c r="Y112" s="3" t="s">
        <v>80</v>
      </c>
      <c r="Z112" s="3" t="s">
        <v>81</v>
      </c>
      <c r="AA112" s="3" t="s">
        <v>82</v>
      </c>
      <c r="AB112" s="3" t="s">
        <v>83</v>
      </c>
      <c r="AC112" s="8" t="s">
        <v>84</v>
      </c>
      <c r="AE112" s="31" t="s">
        <v>233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131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1" t="s">
        <v>234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1" t="s">
        <v>235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63" t="s">
        <v>596</v>
      </c>
      <c r="AF115" s="163"/>
      <c r="AG115" s="163"/>
      <c r="AH115" s="163"/>
      <c r="AI115" s="163"/>
      <c r="AJ115" s="163"/>
      <c r="AK115" s="163"/>
      <c r="AL115" s="163"/>
    </row>
    <row r="116" spans="22:38">
      <c r="AE116" t="s">
        <v>77</v>
      </c>
      <c r="AF116" s="3" t="s">
        <v>78</v>
      </c>
      <c r="AG116" s="3" t="s">
        <v>79</v>
      </c>
      <c r="AH116" s="3" t="s">
        <v>80</v>
      </c>
      <c r="AI116" s="3" t="s">
        <v>81</v>
      </c>
      <c r="AJ116" s="3" t="s">
        <v>82</v>
      </c>
      <c r="AK116" s="3" t="s">
        <v>83</v>
      </c>
      <c r="AL116" s="8" t="s">
        <v>84</v>
      </c>
    </row>
    <row r="117" spans="22:38">
      <c r="AE117" s="4" t="s">
        <v>236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AN31:AU31"/>
    <mergeCell ref="AN34:AU34"/>
    <mergeCell ref="AN37:AU37"/>
    <mergeCell ref="AN38:AU38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35:B38"/>
    <mergeCell ref="A28:B34"/>
    <mergeCell ref="A5:B26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UER Guairá</cp:lastModifiedBy>
  <dcterms:created xsi:type="dcterms:W3CDTF">2024-02-09T13:22:46Z</dcterms:created>
  <dcterms:modified xsi:type="dcterms:W3CDTF">2025-06-23T18:56:37Z</dcterms:modified>
</cp:coreProperties>
</file>