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4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IS-Downloader\"/>
    </mc:Choice>
  </mc:AlternateContent>
  <xr:revisionPtr revIDLastSave="0" documentId="13_ncr:1_{148803DE-925D-4057-AFAB-DADC17C7E6E7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B5" i="3"/>
  <c r="Q81" i="3"/>
  <c r="R81" i="3"/>
  <c r="S81" i="3"/>
  <c r="T81" i="3"/>
  <c r="U81" i="3"/>
  <c r="V81" i="3"/>
  <c r="Q80" i="3"/>
  <c r="R80" i="3"/>
  <c r="S80" i="3"/>
  <c r="T80" i="3"/>
  <c r="U80" i="3"/>
  <c r="V80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AE216" i="3"/>
  <c r="AD216" i="3"/>
  <c r="AC216" i="3"/>
  <c r="AB216" i="3"/>
  <c r="AA216" i="3"/>
  <c r="Z216" i="3"/>
  <c r="V216" i="3"/>
  <c r="U216" i="3"/>
  <c r="T216" i="3"/>
  <c r="S216" i="3"/>
  <c r="R216" i="3"/>
  <c r="Q216" i="3"/>
  <c r="AE215" i="3"/>
  <c r="AD215" i="3"/>
  <c r="AC215" i="3"/>
  <c r="AB215" i="3"/>
  <c r="AA215" i="3"/>
  <c r="Z215" i="3"/>
  <c r="V215" i="3"/>
  <c r="U215" i="3"/>
  <c r="T215" i="3"/>
  <c r="S215" i="3"/>
  <c r="R215" i="3"/>
  <c r="Q215" i="3"/>
  <c r="AE214" i="3"/>
  <c r="AD214" i="3"/>
  <c r="AC214" i="3"/>
  <c r="AB214" i="3"/>
  <c r="AA214" i="3"/>
  <c r="Z214" i="3"/>
  <c r="V214" i="3"/>
  <c r="U214" i="3"/>
  <c r="T214" i="3"/>
  <c r="S214" i="3"/>
  <c r="R214" i="3"/>
  <c r="Q214" i="3"/>
  <c r="AE213" i="3"/>
  <c r="AD213" i="3"/>
  <c r="AC213" i="3"/>
  <c r="AB213" i="3"/>
  <c r="AA213" i="3"/>
  <c r="Z213" i="3"/>
  <c r="V213" i="3"/>
  <c r="U213" i="3"/>
  <c r="T213" i="3"/>
  <c r="S213" i="3"/>
  <c r="R213" i="3"/>
  <c r="Q213" i="3"/>
  <c r="AE212" i="3"/>
  <c r="AD212" i="3"/>
  <c r="AC212" i="3"/>
  <c r="AB212" i="3"/>
  <c r="AA212" i="3"/>
  <c r="Z212" i="3"/>
  <c r="V212" i="3"/>
  <c r="U212" i="3"/>
  <c r="T212" i="3"/>
  <c r="S212" i="3"/>
  <c r="R212" i="3"/>
  <c r="Q212" i="3"/>
  <c r="AE211" i="3"/>
  <c r="AD211" i="3"/>
  <c r="AC211" i="3"/>
  <c r="AB211" i="3"/>
  <c r="AA211" i="3"/>
  <c r="Z211" i="3"/>
  <c r="V211" i="3"/>
  <c r="U211" i="3"/>
  <c r="T211" i="3"/>
  <c r="S211" i="3"/>
  <c r="R211" i="3"/>
  <c r="Q211" i="3"/>
  <c r="AE210" i="3"/>
  <c r="AD210" i="3"/>
  <c r="AC210" i="3"/>
  <c r="AB210" i="3"/>
  <c r="AA210" i="3"/>
  <c r="Z210" i="3"/>
  <c r="V210" i="3"/>
  <c r="U210" i="3"/>
  <c r="T210" i="3"/>
  <c r="S210" i="3"/>
  <c r="R210" i="3"/>
  <c r="Q210" i="3"/>
  <c r="AE209" i="3"/>
  <c r="AD209" i="3"/>
  <c r="AC209" i="3"/>
  <c r="AB209" i="3"/>
  <c r="AA209" i="3"/>
  <c r="Z209" i="3"/>
  <c r="V209" i="3"/>
  <c r="U209" i="3"/>
  <c r="T209" i="3"/>
  <c r="S209" i="3"/>
  <c r="R209" i="3"/>
  <c r="Q209" i="3"/>
  <c r="AE205" i="3"/>
  <c r="AD205" i="3"/>
  <c r="AC205" i="3"/>
  <c r="AB205" i="3"/>
  <c r="AA205" i="3"/>
  <c r="Z205" i="3"/>
  <c r="V205" i="3"/>
  <c r="U205" i="3"/>
  <c r="T205" i="3"/>
  <c r="S205" i="3"/>
  <c r="R205" i="3"/>
  <c r="Q205" i="3"/>
  <c r="AE204" i="3"/>
  <c r="AD204" i="3"/>
  <c r="AC204" i="3"/>
  <c r="AB204" i="3"/>
  <c r="AA204" i="3"/>
  <c r="Z204" i="3"/>
  <c r="V204" i="3"/>
  <c r="U204" i="3"/>
  <c r="T204" i="3"/>
  <c r="S204" i="3"/>
  <c r="R204" i="3"/>
  <c r="Q204" i="3"/>
  <c r="AE203" i="3"/>
  <c r="AD203" i="3"/>
  <c r="AC203" i="3"/>
  <c r="AB203" i="3"/>
  <c r="AA203" i="3"/>
  <c r="Z203" i="3"/>
  <c r="V203" i="3"/>
  <c r="U203" i="3"/>
  <c r="T203" i="3"/>
  <c r="S203" i="3"/>
  <c r="R203" i="3"/>
  <c r="Q203" i="3"/>
  <c r="AE202" i="3"/>
  <c r="AD202" i="3"/>
  <c r="AC202" i="3"/>
  <c r="AB202" i="3"/>
  <c r="AA202" i="3"/>
  <c r="Z202" i="3"/>
  <c r="V202" i="3"/>
  <c r="U202" i="3"/>
  <c r="T202" i="3"/>
  <c r="S202" i="3"/>
  <c r="R202" i="3"/>
  <c r="Q202" i="3"/>
  <c r="AE201" i="3"/>
  <c r="AD201" i="3"/>
  <c r="AC201" i="3"/>
  <c r="AB201" i="3"/>
  <c r="AA201" i="3"/>
  <c r="Z201" i="3"/>
  <c r="V201" i="3"/>
  <c r="U201" i="3"/>
  <c r="T201" i="3"/>
  <c r="S201" i="3"/>
  <c r="R201" i="3"/>
  <c r="Q201" i="3"/>
  <c r="AE200" i="3"/>
  <c r="AD200" i="3"/>
  <c r="AC200" i="3"/>
  <c r="AB200" i="3"/>
  <c r="AA200" i="3"/>
  <c r="Z200" i="3"/>
  <c r="V200" i="3"/>
  <c r="U200" i="3"/>
  <c r="T200" i="3"/>
  <c r="S200" i="3"/>
  <c r="R200" i="3"/>
  <c r="Q200" i="3"/>
  <c r="AE199" i="3"/>
  <c r="AD199" i="3"/>
  <c r="AC199" i="3"/>
  <c r="AB199" i="3"/>
  <c r="AA199" i="3"/>
  <c r="Z199" i="3"/>
  <c r="V199" i="3"/>
  <c r="U199" i="3"/>
  <c r="T199" i="3"/>
  <c r="S199" i="3"/>
  <c r="R199" i="3"/>
  <c r="Q199" i="3"/>
  <c r="AE198" i="3"/>
  <c r="AD198" i="3"/>
  <c r="AC198" i="3"/>
  <c r="AB198" i="3"/>
  <c r="AA198" i="3"/>
  <c r="Z198" i="3"/>
  <c r="V198" i="3"/>
  <c r="U198" i="3"/>
  <c r="T198" i="3"/>
  <c r="S198" i="3"/>
  <c r="R198" i="3"/>
  <c r="Q198" i="3"/>
  <c r="AE194" i="3"/>
  <c r="AD194" i="3"/>
  <c r="AC194" i="3"/>
  <c r="AB194" i="3"/>
  <c r="AA194" i="3"/>
  <c r="Z194" i="3"/>
  <c r="V194" i="3"/>
  <c r="U194" i="3"/>
  <c r="T194" i="3"/>
  <c r="S194" i="3"/>
  <c r="R194" i="3"/>
  <c r="Q194" i="3"/>
  <c r="AE193" i="3"/>
  <c r="AD193" i="3"/>
  <c r="AC193" i="3"/>
  <c r="AB193" i="3"/>
  <c r="AA193" i="3"/>
  <c r="Z193" i="3"/>
  <c r="V193" i="3"/>
  <c r="U193" i="3"/>
  <c r="T193" i="3"/>
  <c r="S193" i="3"/>
  <c r="R193" i="3"/>
  <c r="Q193" i="3"/>
  <c r="AE192" i="3"/>
  <c r="AD192" i="3"/>
  <c r="AC192" i="3"/>
  <c r="AB192" i="3"/>
  <c r="AA192" i="3"/>
  <c r="Z192" i="3"/>
  <c r="V192" i="3"/>
  <c r="U192" i="3"/>
  <c r="T192" i="3"/>
  <c r="S192" i="3"/>
  <c r="R192" i="3"/>
  <c r="Q192" i="3"/>
  <c r="AE191" i="3"/>
  <c r="AD191" i="3"/>
  <c r="AC191" i="3"/>
  <c r="AB191" i="3"/>
  <c r="AA191" i="3"/>
  <c r="Z191" i="3"/>
  <c r="V191" i="3"/>
  <c r="U191" i="3"/>
  <c r="T191" i="3"/>
  <c r="S191" i="3"/>
  <c r="R191" i="3"/>
  <c r="Q191" i="3"/>
  <c r="AE190" i="3"/>
  <c r="AD190" i="3"/>
  <c r="AC190" i="3"/>
  <c r="AB190" i="3"/>
  <c r="AA190" i="3"/>
  <c r="Z190" i="3"/>
  <c r="V190" i="3"/>
  <c r="U190" i="3"/>
  <c r="T190" i="3"/>
  <c r="S190" i="3"/>
  <c r="R190" i="3"/>
  <c r="Q190" i="3"/>
  <c r="AE189" i="3"/>
  <c r="AD189" i="3"/>
  <c r="AC189" i="3"/>
  <c r="AB189" i="3"/>
  <c r="AA189" i="3"/>
  <c r="Z189" i="3"/>
  <c r="V189" i="3"/>
  <c r="U189" i="3"/>
  <c r="T189" i="3"/>
  <c r="S189" i="3"/>
  <c r="R189" i="3"/>
  <c r="Q189" i="3"/>
  <c r="AE188" i="3"/>
  <c r="AD188" i="3"/>
  <c r="AC188" i="3"/>
  <c r="AB188" i="3"/>
  <c r="AA188" i="3"/>
  <c r="Z188" i="3"/>
  <c r="V188" i="3"/>
  <c r="U188" i="3"/>
  <c r="T188" i="3"/>
  <c r="S188" i="3"/>
  <c r="R188" i="3"/>
  <c r="Q188" i="3"/>
  <c r="AE187" i="3"/>
  <c r="AD187" i="3"/>
  <c r="AC187" i="3"/>
  <c r="AB187" i="3"/>
  <c r="AA187" i="3"/>
  <c r="Z187" i="3"/>
  <c r="V187" i="3"/>
  <c r="U187" i="3"/>
  <c r="T187" i="3"/>
  <c r="S187" i="3"/>
  <c r="R187" i="3"/>
  <c r="Q187" i="3"/>
  <c r="AE183" i="3"/>
  <c r="AD183" i="3"/>
  <c r="AC183" i="3"/>
  <c r="AB183" i="3"/>
  <c r="AA183" i="3"/>
  <c r="Z183" i="3"/>
  <c r="V183" i="3"/>
  <c r="U183" i="3"/>
  <c r="T183" i="3"/>
  <c r="S183" i="3"/>
  <c r="R183" i="3"/>
  <c r="Q183" i="3"/>
  <c r="AE182" i="3"/>
  <c r="AD182" i="3"/>
  <c r="AC182" i="3"/>
  <c r="AB182" i="3"/>
  <c r="AA182" i="3"/>
  <c r="Z182" i="3"/>
  <c r="V182" i="3"/>
  <c r="U182" i="3"/>
  <c r="T182" i="3"/>
  <c r="S182" i="3"/>
  <c r="R182" i="3"/>
  <c r="Q182" i="3"/>
  <c r="AE181" i="3"/>
  <c r="AD181" i="3"/>
  <c r="AC181" i="3"/>
  <c r="AB181" i="3"/>
  <c r="AA181" i="3"/>
  <c r="Z181" i="3"/>
  <c r="V181" i="3"/>
  <c r="U181" i="3"/>
  <c r="T181" i="3"/>
  <c r="S181" i="3"/>
  <c r="R181" i="3"/>
  <c r="Q181" i="3"/>
  <c r="AE177" i="3"/>
  <c r="AD177" i="3"/>
  <c r="AC177" i="3"/>
  <c r="AB177" i="3"/>
  <c r="AA177" i="3"/>
  <c r="Z177" i="3"/>
  <c r="V177" i="3"/>
  <c r="U177" i="3"/>
  <c r="T177" i="3"/>
  <c r="S177" i="3"/>
  <c r="R177" i="3"/>
  <c r="Q177" i="3"/>
  <c r="AE176" i="3"/>
  <c r="AD176" i="3"/>
  <c r="AC176" i="3"/>
  <c r="AB176" i="3"/>
  <c r="AA176" i="3"/>
  <c r="Z176" i="3"/>
  <c r="V176" i="3"/>
  <c r="U176" i="3"/>
  <c r="T176" i="3"/>
  <c r="S176" i="3"/>
  <c r="R176" i="3"/>
  <c r="Q176" i="3"/>
  <c r="AE175" i="3"/>
  <c r="AD175" i="3"/>
  <c r="AC175" i="3"/>
  <c r="AB175" i="3"/>
  <c r="AA175" i="3"/>
  <c r="Z175" i="3"/>
  <c r="V175" i="3"/>
  <c r="U175" i="3"/>
  <c r="T175" i="3"/>
  <c r="S175" i="3"/>
  <c r="R175" i="3"/>
  <c r="Q175" i="3"/>
  <c r="AE171" i="3"/>
  <c r="AD171" i="3"/>
  <c r="AC171" i="3"/>
  <c r="AB171" i="3"/>
  <c r="AA171" i="3"/>
  <c r="Z171" i="3"/>
  <c r="V171" i="3"/>
  <c r="U171" i="3"/>
  <c r="T171" i="3"/>
  <c r="S171" i="3"/>
  <c r="R171" i="3"/>
  <c r="Q171" i="3"/>
  <c r="AE170" i="3"/>
  <c r="AD170" i="3"/>
  <c r="AC170" i="3"/>
  <c r="AB170" i="3"/>
  <c r="AA170" i="3"/>
  <c r="Z170" i="3"/>
  <c r="V170" i="3"/>
  <c r="U170" i="3"/>
  <c r="T170" i="3"/>
  <c r="S170" i="3"/>
  <c r="R170" i="3"/>
  <c r="Q170" i="3"/>
  <c r="AE169" i="3"/>
  <c r="AD169" i="3"/>
  <c r="AC169" i="3"/>
  <c r="AB169" i="3"/>
  <c r="AA169" i="3"/>
  <c r="Z169" i="3"/>
  <c r="V169" i="3"/>
  <c r="U169" i="3"/>
  <c r="T169" i="3"/>
  <c r="S169" i="3"/>
  <c r="R169" i="3"/>
  <c r="Q169" i="3"/>
  <c r="AE165" i="3"/>
  <c r="AD165" i="3"/>
  <c r="AC165" i="3"/>
  <c r="AB165" i="3"/>
  <c r="AA165" i="3"/>
  <c r="Z165" i="3"/>
  <c r="V165" i="3"/>
  <c r="U165" i="3"/>
  <c r="T165" i="3"/>
  <c r="S165" i="3"/>
  <c r="R165" i="3"/>
  <c r="Q165" i="3"/>
  <c r="AE164" i="3"/>
  <c r="AD164" i="3"/>
  <c r="AC164" i="3"/>
  <c r="AB164" i="3"/>
  <c r="AA164" i="3"/>
  <c r="Z164" i="3"/>
  <c r="V164" i="3"/>
  <c r="U164" i="3"/>
  <c r="T164" i="3"/>
  <c r="S164" i="3"/>
  <c r="R164" i="3"/>
  <c r="Q164" i="3"/>
  <c r="AE163" i="3"/>
  <c r="AD163" i="3"/>
  <c r="AC163" i="3"/>
  <c r="AB163" i="3"/>
  <c r="AA163" i="3"/>
  <c r="Z163" i="3"/>
  <c r="V163" i="3"/>
  <c r="U163" i="3"/>
  <c r="T163" i="3"/>
  <c r="S163" i="3"/>
  <c r="R163" i="3"/>
  <c r="Q163" i="3"/>
  <c r="AE162" i="3"/>
  <c r="AD162" i="3"/>
  <c r="AC162" i="3"/>
  <c r="AB162" i="3"/>
  <c r="AA162" i="3"/>
  <c r="Z162" i="3"/>
  <c r="V162" i="3"/>
  <c r="U162" i="3"/>
  <c r="T162" i="3"/>
  <c r="S162" i="3"/>
  <c r="R162" i="3"/>
  <c r="Q162" i="3"/>
  <c r="AE161" i="3"/>
  <c r="AD161" i="3"/>
  <c r="AC161" i="3"/>
  <c r="AB161" i="3"/>
  <c r="AA161" i="3"/>
  <c r="Z161" i="3"/>
  <c r="V161" i="3"/>
  <c r="U161" i="3"/>
  <c r="T161" i="3"/>
  <c r="S161" i="3"/>
  <c r="R161" i="3"/>
  <c r="Q161" i="3"/>
  <c r="AE160" i="3"/>
  <c r="AD160" i="3"/>
  <c r="AC160" i="3"/>
  <c r="AB160" i="3"/>
  <c r="AA160" i="3"/>
  <c r="Z160" i="3"/>
  <c r="V160" i="3"/>
  <c r="U160" i="3"/>
  <c r="T160" i="3"/>
  <c r="S160" i="3"/>
  <c r="R160" i="3"/>
  <c r="Q160" i="3"/>
  <c r="AE159" i="3"/>
  <c r="AD159" i="3"/>
  <c r="AC159" i="3"/>
  <c r="AB159" i="3"/>
  <c r="AA159" i="3"/>
  <c r="Z159" i="3"/>
  <c r="V159" i="3"/>
  <c r="U159" i="3"/>
  <c r="T159" i="3"/>
  <c r="S159" i="3"/>
  <c r="R159" i="3"/>
  <c r="Q159" i="3"/>
  <c r="AE155" i="3"/>
  <c r="AD155" i="3"/>
  <c r="AC155" i="3"/>
  <c r="AB155" i="3"/>
  <c r="AA155" i="3"/>
  <c r="Z155" i="3"/>
  <c r="V155" i="3"/>
  <c r="U155" i="3"/>
  <c r="T155" i="3"/>
  <c r="S155" i="3"/>
  <c r="R155" i="3"/>
  <c r="Q155" i="3"/>
  <c r="AE154" i="3"/>
  <c r="AD154" i="3"/>
  <c r="AC154" i="3"/>
  <c r="AB154" i="3"/>
  <c r="AA154" i="3"/>
  <c r="Z154" i="3"/>
  <c r="V154" i="3"/>
  <c r="U154" i="3"/>
  <c r="T154" i="3"/>
  <c r="S154" i="3"/>
  <c r="R154" i="3"/>
  <c r="Q154" i="3"/>
  <c r="AE153" i="3"/>
  <c r="AD153" i="3"/>
  <c r="AC153" i="3"/>
  <c r="AB153" i="3"/>
  <c r="AA153" i="3"/>
  <c r="Z153" i="3"/>
  <c r="V153" i="3"/>
  <c r="U153" i="3"/>
  <c r="T153" i="3"/>
  <c r="S153" i="3"/>
  <c r="R153" i="3"/>
  <c r="Q153" i="3"/>
  <c r="AE152" i="3"/>
  <c r="AD152" i="3"/>
  <c r="AC152" i="3"/>
  <c r="AB152" i="3"/>
  <c r="AA152" i="3"/>
  <c r="Z152" i="3"/>
  <c r="V152" i="3"/>
  <c r="U152" i="3"/>
  <c r="T152" i="3"/>
  <c r="S152" i="3"/>
  <c r="R152" i="3"/>
  <c r="Q152" i="3"/>
  <c r="AE151" i="3"/>
  <c r="AD151" i="3"/>
  <c r="AC151" i="3"/>
  <c r="AB151" i="3"/>
  <c r="AA151" i="3"/>
  <c r="Z151" i="3"/>
  <c r="V151" i="3"/>
  <c r="U151" i="3"/>
  <c r="T151" i="3"/>
  <c r="S151" i="3"/>
  <c r="R151" i="3"/>
  <c r="Q151" i="3"/>
  <c r="AE150" i="3"/>
  <c r="AD150" i="3"/>
  <c r="AC150" i="3"/>
  <c r="AB150" i="3"/>
  <c r="AA150" i="3"/>
  <c r="Z150" i="3"/>
  <c r="V150" i="3"/>
  <c r="U150" i="3"/>
  <c r="T150" i="3"/>
  <c r="S150" i="3"/>
  <c r="R150" i="3"/>
  <c r="Q150" i="3"/>
  <c r="AE149" i="3"/>
  <c r="AD149" i="3"/>
  <c r="AC149" i="3"/>
  <c r="AB149" i="3"/>
  <c r="AA149" i="3"/>
  <c r="Z149" i="3"/>
  <c r="V149" i="3"/>
  <c r="U149" i="3"/>
  <c r="T149" i="3"/>
  <c r="S149" i="3"/>
  <c r="R149" i="3"/>
  <c r="Q149" i="3"/>
  <c r="AE145" i="3"/>
  <c r="AD145" i="3"/>
  <c r="AC145" i="3"/>
  <c r="AB145" i="3"/>
  <c r="AA145" i="3"/>
  <c r="Z145" i="3"/>
  <c r="V145" i="3"/>
  <c r="U145" i="3"/>
  <c r="T145" i="3"/>
  <c r="S145" i="3"/>
  <c r="R145" i="3"/>
  <c r="Q145" i="3"/>
  <c r="AE144" i="3"/>
  <c r="AD144" i="3"/>
  <c r="AC144" i="3"/>
  <c r="AB144" i="3"/>
  <c r="AA144" i="3"/>
  <c r="Z144" i="3"/>
  <c r="V144" i="3"/>
  <c r="U144" i="3"/>
  <c r="T144" i="3"/>
  <c r="S144" i="3"/>
  <c r="R144" i="3"/>
  <c r="Q144" i="3"/>
  <c r="AE143" i="3"/>
  <c r="AD143" i="3"/>
  <c r="AC143" i="3"/>
  <c r="AB143" i="3"/>
  <c r="AA143" i="3"/>
  <c r="Z143" i="3"/>
  <c r="V143" i="3"/>
  <c r="U143" i="3"/>
  <c r="T143" i="3"/>
  <c r="S143" i="3"/>
  <c r="R143" i="3"/>
  <c r="Q143" i="3"/>
  <c r="AE142" i="3"/>
  <c r="AD142" i="3"/>
  <c r="AC142" i="3"/>
  <c r="AB142" i="3"/>
  <c r="AA142" i="3"/>
  <c r="Z142" i="3"/>
  <c r="V142" i="3"/>
  <c r="U142" i="3"/>
  <c r="T142" i="3"/>
  <c r="S142" i="3"/>
  <c r="R142" i="3"/>
  <c r="Q142" i="3"/>
  <c r="AE141" i="3"/>
  <c r="AD141" i="3"/>
  <c r="AC141" i="3"/>
  <c r="AB141" i="3"/>
  <c r="AA141" i="3"/>
  <c r="Z141" i="3"/>
  <c r="V141" i="3"/>
  <c r="U141" i="3"/>
  <c r="T141" i="3"/>
  <c r="S141" i="3"/>
  <c r="R141" i="3"/>
  <c r="Q141" i="3"/>
  <c r="AE140" i="3"/>
  <c r="AD140" i="3"/>
  <c r="AC140" i="3"/>
  <c r="AB140" i="3"/>
  <c r="AA140" i="3"/>
  <c r="Z140" i="3"/>
  <c r="V140" i="3"/>
  <c r="U140" i="3"/>
  <c r="T140" i="3"/>
  <c r="S140" i="3"/>
  <c r="R140" i="3"/>
  <c r="Q140" i="3"/>
  <c r="AE139" i="3"/>
  <c r="AD139" i="3"/>
  <c r="AC139" i="3"/>
  <c r="AB139" i="3"/>
  <c r="AA139" i="3"/>
  <c r="Z139" i="3"/>
  <c r="V139" i="3"/>
  <c r="U139" i="3"/>
  <c r="T139" i="3"/>
  <c r="S139" i="3"/>
  <c r="R139" i="3"/>
  <c r="Q139" i="3"/>
  <c r="AE135" i="3"/>
  <c r="AD135" i="3"/>
  <c r="AC135" i="3"/>
  <c r="AB135" i="3"/>
  <c r="AA135" i="3"/>
  <c r="Z135" i="3"/>
  <c r="V135" i="3"/>
  <c r="U135" i="3"/>
  <c r="T135" i="3"/>
  <c r="S135" i="3"/>
  <c r="R135" i="3"/>
  <c r="Q135" i="3"/>
  <c r="AE134" i="3"/>
  <c r="AD134" i="3"/>
  <c r="AC134" i="3"/>
  <c r="AB134" i="3"/>
  <c r="AA134" i="3"/>
  <c r="Z134" i="3"/>
  <c r="V134" i="3"/>
  <c r="U134" i="3"/>
  <c r="T134" i="3"/>
  <c r="S134" i="3"/>
  <c r="R134" i="3"/>
  <c r="Q134" i="3"/>
  <c r="AE133" i="3"/>
  <c r="AD133" i="3"/>
  <c r="AC133" i="3"/>
  <c r="AB133" i="3"/>
  <c r="AA133" i="3"/>
  <c r="Z133" i="3"/>
  <c r="V133" i="3"/>
  <c r="U133" i="3"/>
  <c r="T133" i="3"/>
  <c r="S133" i="3"/>
  <c r="R133" i="3"/>
  <c r="Q133" i="3"/>
  <c r="AE132" i="3"/>
  <c r="AD132" i="3"/>
  <c r="AC132" i="3"/>
  <c r="AB132" i="3"/>
  <c r="AA132" i="3"/>
  <c r="Z132" i="3"/>
  <c r="V132" i="3"/>
  <c r="U132" i="3"/>
  <c r="T132" i="3"/>
  <c r="S132" i="3"/>
  <c r="R132" i="3"/>
  <c r="Q132" i="3"/>
  <c r="AE131" i="3"/>
  <c r="AD131" i="3"/>
  <c r="AC131" i="3"/>
  <c r="AB131" i="3"/>
  <c r="AA131" i="3"/>
  <c r="Z131" i="3"/>
  <c r="V131" i="3"/>
  <c r="U131" i="3"/>
  <c r="T131" i="3"/>
  <c r="S131" i="3"/>
  <c r="R131" i="3"/>
  <c r="Q131" i="3"/>
  <c r="AE130" i="3"/>
  <c r="AD130" i="3"/>
  <c r="AC130" i="3"/>
  <c r="AB130" i="3"/>
  <c r="AA130" i="3"/>
  <c r="Z130" i="3"/>
  <c r="V130" i="3"/>
  <c r="U130" i="3"/>
  <c r="T130" i="3"/>
  <c r="S130" i="3"/>
  <c r="R130" i="3"/>
  <c r="Q130" i="3"/>
  <c r="AE129" i="3"/>
  <c r="AD129" i="3"/>
  <c r="AC129" i="3"/>
  <c r="AB129" i="3"/>
  <c r="AA129" i="3"/>
  <c r="Z129" i="3"/>
  <c r="V129" i="3"/>
  <c r="U129" i="3"/>
  <c r="T129" i="3"/>
  <c r="S129" i="3"/>
  <c r="R129" i="3"/>
  <c r="Q129" i="3"/>
  <c r="AE128" i="3"/>
  <c r="AD128" i="3"/>
  <c r="AC128" i="3"/>
  <c r="AB128" i="3"/>
  <c r="AA128" i="3"/>
  <c r="Z128" i="3"/>
  <c r="V128" i="3"/>
  <c r="U128" i="3"/>
  <c r="T128" i="3"/>
  <c r="S128" i="3"/>
  <c r="R128" i="3"/>
  <c r="Q128" i="3"/>
  <c r="AE127" i="3"/>
  <c r="AD127" i="3"/>
  <c r="AC127" i="3"/>
  <c r="AB127" i="3"/>
  <c r="AA127" i="3"/>
  <c r="Z127" i="3"/>
  <c r="V127" i="3"/>
  <c r="U127" i="3"/>
  <c r="T127" i="3"/>
  <c r="S127" i="3"/>
  <c r="R127" i="3"/>
  <c r="Q127" i="3"/>
  <c r="AE123" i="3"/>
  <c r="AD123" i="3"/>
  <c r="AC123" i="3"/>
  <c r="AB123" i="3"/>
  <c r="AA123" i="3"/>
  <c r="Z123" i="3"/>
  <c r="V123" i="3"/>
  <c r="U123" i="3"/>
  <c r="T123" i="3"/>
  <c r="S123" i="3"/>
  <c r="R123" i="3"/>
  <c r="Q123" i="3"/>
  <c r="AE122" i="3"/>
  <c r="AD122" i="3"/>
  <c r="AC122" i="3"/>
  <c r="AB122" i="3"/>
  <c r="AA122" i="3"/>
  <c r="Z122" i="3"/>
  <c r="V122" i="3"/>
  <c r="U122" i="3"/>
  <c r="T122" i="3"/>
  <c r="S122" i="3"/>
  <c r="R122" i="3"/>
  <c r="Q122" i="3"/>
  <c r="AE121" i="3"/>
  <c r="AD121" i="3"/>
  <c r="AC121" i="3"/>
  <c r="AB121" i="3"/>
  <c r="AA121" i="3"/>
  <c r="Z121" i="3"/>
  <c r="V121" i="3"/>
  <c r="U121" i="3"/>
  <c r="T121" i="3"/>
  <c r="S121" i="3"/>
  <c r="R121" i="3"/>
  <c r="Q121" i="3"/>
  <c r="AE120" i="3"/>
  <c r="AD120" i="3"/>
  <c r="AC120" i="3"/>
  <c r="AB120" i="3"/>
  <c r="AA120" i="3"/>
  <c r="Z120" i="3"/>
  <c r="V120" i="3"/>
  <c r="U120" i="3"/>
  <c r="T120" i="3"/>
  <c r="S120" i="3"/>
  <c r="R120" i="3"/>
  <c r="Q120" i="3"/>
  <c r="AE119" i="3"/>
  <c r="AD119" i="3"/>
  <c r="AC119" i="3"/>
  <c r="AB119" i="3"/>
  <c r="AA119" i="3"/>
  <c r="Z119" i="3"/>
  <c r="V119" i="3"/>
  <c r="U119" i="3"/>
  <c r="T119" i="3"/>
  <c r="S119" i="3"/>
  <c r="R119" i="3"/>
  <c r="Q119" i="3"/>
  <c r="AE118" i="3"/>
  <c r="AD118" i="3"/>
  <c r="AC118" i="3"/>
  <c r="AB118" i="3"/>
  <c r="AA118" i="3"/>
  <c r="Z118" i="3"/>
  <c r="V118" i="3"/>
  <c r="U118" i="3"/>
  <c r="T118" i="3"/>
  <c r="S118" i="3"/>
  <c r="R118" i="3"/>
  <c r="Q118" i="3"/>
  <c r="AE117" i="3"/>
  <c r="AD117" i="3"/>
  <c r="AC117" i="3"/>
  <c r="AB117" i="3"/>
  <c r="AA117" i="3"/>
  <c r="Z117" i="3"/>
  <c r="V117" i="3"/>
  <c r="U117" i="3"/>
  <c r="T117" i="3"/>
  <c r="S117" i="3"/>
  <c r="R117" i="3"/>
  <c r="Q117" i="3"/>
  <c r="AE116" i="3"/>
  <c r="AD116" i="3"/>
  <c r="AC116" i="3"/>
  <c r="AB116" i="3"/>
  <c r="AA116" i="3"/>
  <c r="Z116" i="3"/>
  <c r="V116" i="3"/>
  <c r="U116" i="3"/>
  <c r="T116" i="3"/>
  <c r="S116" i="3"/>
  <c r="R116" i="3"/>
  <c r="Q116" i="3"/>
  <c r="AE115" i="3"/>
  <c r="AD115" i="3"/>
  <c r="AC115" i="3"/>
  <c r="AB115" i="3"/>
  <c r="AA115" i="3"/>
  <c r="Z115" i="3"/>
  <c r="V115" i="3"/>
  <c r="U115" i="3"/>
  <c r="T115" i="3"/>
  <c r="S115" i="3"/>
  <c r="R115" i="3"/>
  <c r="Q115" i="3"/>
  <c r="AE111" i="3"/>
  <c r="AD111" i="3"/>
  <c r="AC111" i="3"/>
  <c r="AB111" i="3"/>
  <c r="AA111" i="3"/>
  <c r="Z111" i="3"/>
  <c r="V111" i="3"/>
  <c r="U111" i="3"/>
  <c r="T111" i="3"/>
  <c r="S111" i="3"/>
  <c r="R111" i="3"/>
  <c r="Q111" i="3"/>
  <c r="AE110" i="3"/>
  <c r="AD110" i="3"/>
  <c r="AC110" i="3"/>
  <c r="AB110" i="3"/>
  <c r="AA110" i="3"/>
  <c r="Z110" i="3"/>
  <c r="V110" i="3"/>
  <c r="U110" i="3"/>
  <c r="T110" i="3"/>
  <c r="S110" i="3"/>
  <c r="R110" i="3"/>
  <c r="Q110" i="3"/>
  <c r="AE109" i="3"/>
  <c r="AD109" i="3"/>
  <c r="AC109" i="3"/>
  <c r="AB109" i="3"/>
  <c r="AA109" i="3"/>
  <c r="Z109" i="3"/>
  <c r="V109" i="3"/>
  <c r="U109" i="3"/>
  <c r="T109" i="3"/>
  <c r="S109" i="3"/>
  <c r="R109" i="3"/>
  <c r="Q109" i="3"/>
  <c r="AE108" i="3"/>
  <c r="AD108" i="3"/>
  <c r="AC108" i="3"/>
  <c r="AB108" i="3"/>
  <c r="AA108" i="3"/>
  <c r="Z108" i="3"/>
  <c r="V108" i="3"/>
  <c r="U108" i="3"/>
  <c r="T108" i="3"/>
  <c r="S108" i="3"/>
  <c r="R108" i="3"/>
  <c r="Q108" i="3"/>
  <c r="AE107" i="3"/>
  <c r="AD107" i="3"/>
  <c r="AC107" i="3"/>
  <c r="AB107" i="3"/>
  <c r="AA107" i="3"/>
  <c r="Z107" i="3"/>
  <c r="V107" i="3"/>
  <c r="U107" i="3"/>
  <c r="T107" i="3"/>
  <c r="S107" i="3"/>
  <c r="R107" i="3"/>
  <c r="Q107" i="3"/>
  <c r="AE106" i="3"/>
  <c r="AD106" i="3"/>
  <c r="AC106" i="3"/>
  <c r="AB106" i="3"/>
  <c r="AA106" i="3"/>
  <c r="Z106" i="3"/>
  <c r="V106" i="3"/>
  <c r="U106" i="3"/>
  <c r="T106" i="3"/>
  <c r="S106" i="3"/>
  <c r="R106" i="3"/>
  <c r="Q106" i="3"/>
  <c r="AE105" i="3"/>
  <c r="AD105" i="3"/>
  <c r="AC105" i="3"/>
  <c r="AB105" i="3"/>
  <c r="AA105" i="3"/>
  <c r="Z105" i="3"/>
  <c r="V105" i="3"/>
  <c r="U105" i="3"/>
  <c r="T105" i="3"/>
  <c r="S105" i="3"/>
  <c r="R105" i="3"/>
  <c r="Q105" i="3"/>
  <c r="AE104" i="3"/>
  <c r="AD104" i="3"/>
  <c r="AC104" i="3"/>
  <c r="AB104" i="3"/>
  <c r="AA104" i="3"/>
  <c r="Z104" i="3"/>
  <c r="V104" i="3"/>
  <c r="U104" i="3"/>
  <c r="T104" i="3"/>
  <c r="S104" i="3"/>
  <c r="R104" i="3"/>
  <c r="Q104" i="3"/>
  <c r="AE103" i="3"/>
  <c r="AD103" i="3"/>
  <c r="AC103" i="3"/>
  <c r="AB103" i="3"/>
  <c r="AA103" i="3"/>
  <c r="Z103" i="3"/>
  <c r="V103" i="3"/>
  <c r="U103" i="3"/>
  <c r="T103" i="3"/>
  <c r="S103" i="3"/>
  <c r="R103" i="3"/>
  <c r="Q103" i="3"/>
  <c r="AE99" i="3"/>
  <c r="AD99" i="3"/>
  <c r="AC99" i="3"/>
  <c r="AB99" i="3"/>
  <c r="AA99" i="3"/>
  <c r="Z99" i="3"/>
  <c r="V99" i="3"/>
  <c r="U99" i="3"/>
  <c r="T99" i="3"/>
  <c r="S99" i="3"/>
  <c r="R99" i="3"/>
  <c r="Q99" i="3"/>
  <c r="AE98" i="3"/>
  <c r="AD98" i="3"/>
  <c r="AC98" i="3"/>
  <c r="AB98" i="3"/>
  <c r="AA98" i="3"/>
  <c r="Z98" i="3"/>
  <c r="V98" i="3"/>
  <c r="U98" i="3"/>
  <c r="T98" i="3"/>
  <c r="S98" i="3"/>
  <c r="R98" i="3"/>
  <c r="Q98" i="3"/>
  <c r="AE97" i="3"/>
  <c r="AD97" i="3"/>
  <c r="AC97" i="3"/>
  <c r="AB97" i="3"/>
  <c r="AA97" i="3"/>
  <c r="Z97" i="3"/>
  <c r="V97" i="3"/>
  <c r="U97" i="3"/>
  <c r="T97" i="3"/>
  <c r="S97" i="3"/>
  <c r="R97" i="3"/>
  <c r="Q97" i="3"/>
  <c r="AE93" i="3"/>
  <c r="AD93" i="3"/>
  <c r="AC93" i="3"/>
  <c r="AB93" i="3"/>
  <c r="AA93" i="3"/>
  <c r="Z93" i="3"/>
  <c r="V93" i="3"/>
  <c r="U93" i="3"/>
  <c r="T93" i="3"/>
  <c r="S93" i="3"/>
  <c r="R93" i="3"/>
  <c r="Q93" i="3"/>
  <c r="AE92" i="3"/>
  <c r="AD92" i="3"/>
  <c r="AC92" i="3"/>
  <c r="AB92" i="3"/>
  <c r="AA92" i="3"/>
  <c r="Z92" i="3"/>
  <c r="V92" i="3"/>
  <c r="U92" i="3"/>
  <c r="T92" i="3"/>
  <c r="S92" i="3"/>
  <c r="R92" i="3"/>
  <c r="Q92" i="3"/>
  <c r="AE91" i="3"/>
  <c r="AD91" i="3"/>
  <c r="AC91" i="3"/>
  <c r="AB91" i="3"/>
  <c r="AA91" i="3"/>
  <c r="Z91" i="3"/>
  <c r="V91" i="3"/>
  <c r="U91" i="3"/>
  <c r="T91" i="3"/>
  <c r="S91" i="3"/>
  <c r="R91" i="3"/>
  <c r="Q91" i="3"/>
  <c r="AE87" i="3"/>
  <c r="AD87" i="3"/>
  <c r="AC87" i="3"/>
  <c r="AB87" i="3"/>
  <c r="AA87" i="3"/>
  <c r="Z87" i="3"/>
  <c r="V87" i="3"/>
  <c r="U87" i="3"/>
  <c r="T87" i="3"/>
  <c r="S87" i="3"/>
  <c r="R87" i="3"/>
  <c r="Q87" i="3"/>
  <c r="AE86" i="3"/>
  <c r="AD86" i="3"/>
  <c r="AC86" i="3"/>
  <c r="AB86" i="3"/>
  <c r="AA86" i="3"/>
  <c r="Z86" i="3"/>
  <c r="V86" i="3"/>
  <c r="U86" i="3"/>
  <c r="T86" i="3"/>
  <c r="S86" i="3"/>
  <c r="R86" i="3"/>
  <c r="Q86" i="3"/>
  <c r="AE85" i="3"/>
  <c r="AD85" i="3"/>
  <c r="AC85" i="3"/>
  <c r="AB85" i="3"/>
  <c r="AA85" i="3"/>
  <c r="Z85" i="3"/>
  <c r="V85" i="3"/>
  <c r="U85" i="3"/>
  <c r="T85" i="3"/>
  <c r="S85" i="3"/>
  <c r="R85" i="3"/>
  <c r="Q85" i="3"/>
  <c r="V79" i="3"/>
  <c r="U79" i="3"/>
  <c r="T79" i="3"/>
  <c r="S79" i="3"/>
  <c r="R79" i="3"/>
  <c r="Q79" i="3"/>
  <c r="AE75" i="3"/>
  <c r="AD75" i="3"/>
  <c r="AC75" i="3"/>
  <c r="AB75" i="3"/>
  <c r="AA75" i="3"/>
  <c r="Z75" i="3"/>
  <c r="AE74" i="3"/>
  <c r="AD74" i="3"/>
  <c r="AC74" i="3"/>
  <c r="AB74" i="3"/>
  <c r="AA74" i="3"/>
  <c r="Z74" i="3"/>
  <c r="AE73" i="3"/>
  <c r="AD73" i="3"/>
  <c r="AC73" i="3"/>
  <c r="AB73" i="3"/>
  <c r="AA73" i="3"/>
  <c r="Z73" i="3"/>
  <c r="V73" i="3"/>
  <c r="U73" i="3"/>
  <c r="T73" i="3"/>
  <c r="S73" i="3"/>
  <c r="R73" i="3"/>
  <c r="Q73" i="3"/>
  <c r="AE69" i="3"/>
  <c r="AD69" i="3"/>
  <c r="AC69" i="3"/>
  <c r="AB69" i="3"/>
  <c r="AA69" i="3"/>
  <c r="Z69" i="3"/>
  <c r="V69" i="3"/>
  <c r="U69" i="3"/>
  <c r="T69" i="3"/>
  <c r="S69" i="3"/>
  <c r="R69" i="3"/>
  <c r="Q69" i="3"/>
  <c r="AE65" i="3"/>
  <c r="AD65" i="3"/>
  <c r="AC65" i="3"/>
  <c r="AB65" i="3"/>
  <c r="AA65" i="3"/>
  <c r="Z65" i="3"/>
  <c r="V65" i="3"/>
  <c r="U65" i="3"/>
  <c r="T65" i="3"/>
  <c r="S65" i="3"/>
  <c r="R65" i="3"/>
  <c r="Q65" i="3"/>
  <c r="AE61" i="3"/>
  <c r="AD61" i="3"/>
  <c r="AC61" i="3"/>
  <c r="AB61" i="3"/>
  <c r="AA61" i="3"/>
  <c r="Z61" i="3"/>
  <c r="V61" i="3"/>
  <c r="U61" i="3"/>
  <c r="T61" i="3"/>
  <c r="S61" i="3"/>
  <c r="R61" i="3"/>
  <c r="Q61" i="3"/>
  <c r="V57" i="3"/>
  <c r="U57" i="3"/>
  <c r="T57" i="3"/>
  <c r="S57" i="3"/>
  <c r="R57" i="3"/>
  <c r="Q57" i="3"/>
  <c r="V56" i="3"/>
  <c r="U56" i="3"/>
  <c r="T56" i="3"/>
  <c r="S56" i="3"/>
  <c r="R56" i="3"/>
  <c r="Q56" i="3"/>
  <c r="V55" i="3"/>
  <c r="U55" i="3"/>
  <c r="T55" i="3"/>
  <c r="S55" i="3"/>
  <c r="R55" i="3"/>
  <c r="Q55" i="3"/>
  <c r="V54" i="3"/>
  <c r="U54" i="3"/>
  <c r="T54" i="3"/>
  <c r="S54" i="3"/>
  <c r="R54" i="3"/>
  <c r="Q54" i="3"/>
  <c r="AE53" i="3"/>
  <c r="AD53" i="3"/>
  <c r="AC53" i="3"/>
  <c r="AB53" i="3"/>
  <c r="AA53" i="3"/>
  <c r="Z53" i="3"/>
  <c r="V53" i="3"/>
  <c r="U53" i="3"/>
  <c r="T53" i="3"/>
  <c r="S53" i="3"/>
  <c r="R53" i="3"/>
  <c r="Q53" i="3"/>
  <c r="AE49" i="3"/>
  <c r="AD49" i="3"/>
  <c r="AC49" i="3"/>
  <c r="AB49" i="3"/>
  <c r="AA49" i="3"/>
  <c r="Z49" i="3"/>
  <c r="V49" i="3"/>
  <c r="U49" i="3"/>
  <c r="T49" i="3"/>
  <c r="S49" i="3"/>
  <c r="R49" i="3"/>
  <c r="Q49" i="3"/>
  <c r="AE45" i="3"/>
  <c r="AD45" i="3"/>
  <c r="AC45" i="3"/>
  <c r="AB45" i="3"/>
  <c r="AA45" i="3"/>
  <c r="Z45" i="3"/>
  <c r="V45" i="3"/>
  <c r="U45" i="3"/>
  <c r="T45" i="3"/>
  <c r="S45" i="3"/>
  <c r="R45" i="3"/>
  <c r="Q45" i="3"/>
  <c r="AE41" i="3"/>
  <c r="AD41" i="3"/>
  <c r="AC41" i="3"/>
  <c r="AB41" i="3"/>
  <c r="AA41" i="3"/>
  <c r="Z41" i="3"/>
  <c r="V41" i="3"/>
  <c r="U41" i="3"/>
  <c r="T41" i="3"/>
  <c r="S41" i="3"/>
  <c r="R41" i="3"/>
  <c r="Q41" i="3"/>
  <c r="AE37" i="3"/>
  <c r="AD37" i="3"/>
  <c r="AC37" i="3"/>
  <c r="AB37" i="3"/>
  <c r="AA37" i="3"/>
  <c r="Z37" i="3"/>
  <c r="V37" i="3"/>
  <c r="U37" i="3"/>
  <c r="T37" i="3"/>
  <c r="S37" i="3"/>
  <c r="R37" i="3"/>
  <c r="Q37" i="3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</commentList>
</comments>
</file>

<file path=xl/sharedStrings.xml><?xml version="1.0" encoding="utf-8"?>
<sst xmlns="http://schemas.openxmlformats.org/spreadsheetml/2006/main" count="3158" uniqueCount="766">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</sst>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C0A]General"/>
    <numFmt numFmtId="165" formatCode="dd/mm/yyyy;@"/>
  </numFmts>
  <fonts count="35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7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</cellStyleXfs>
  <cellXfs count="166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5" fontId="11" fillId="8" borderId="1" xfId="8" applyNumberFormat="1" applyFont="1" applyFill="1" applyAlignment="1">
      <alignment horizontal="right"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164" fontId="14" fillId="0" borderId="9" xfId="8" applyFont="1" applyBorder="1" applyAlignment="1">
      <alignment horizontal="left" vertical="center" wrapText="1"/>
    </xf>
    <xf numFmtId="0" fontId="0" fillId="0" borderId="10" xfId="0" applyBorder="1"/>
    <xf numFmtId="0" fontId="0" fillId="0" borderId="14" xfId="0" applyBorder="1"/>
    <xf numFmtId="0" fontId="0" fillId="0" borderId="19" xfId="0" applyBorder="1"/>
    <xf numFmtId="0" fontId="0" fillId="0" borderId="13" xfId="0" applyBorder="1"/>
    <xf numFmtId="164" fontId="10" fillId="7" borderId="1" xfId="8" applyFont="1" applyFill="1" applyAlignment="1">
      <alignment horizontal="center" vertical="center"/>
    </xf>
    <xf numFmtId="164" fontId="17" fillId="0" borderId="17" xfId="8" applyFont="1" applyBorder="1" applyAlignment="1">
      <alignment horizontal="center" vertical="center"/>
    </xf>
    <xf numFmtId="0" fontId="0" fillId="0" borderId="12" xfId="0" applyBorder="1"/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4" fillId="0" borderId="15" xfId="8" applyFont="1" applyBorder="1" applyAlignment="1">
      <alignment horizontal="center" vertical="center"/>
    </xf>
    <xf numFmtId="0" fontId="0" fillId="0" borderId="11" xfId="0" applyBorder="1"/>
    <xf numFmtId="164" fontId="14" fillId="0" borderId="41" xfId="8" applyFont="1" applyBorder="1" applyAlignment="1">
      <alignment horizontal="left" vertical="center" wrapText="1"/>
    </xf>
    <xf numFmtId="0" fontId="0" fillId="0" borderId="4" xfId="0" applyBorder="1"/>
    <xf numFmtId="164" fontId="14" fillId="0" borderId="15" xfId="8" applyFont="1" applyBorder="1" applyAlignment="1">
      <alignment horizontal="center" vertical="center" wrapText="1"/>
    </xf>
    <xf numFmtId="0" fontId="0" fillId="0" borderId="25" xfId="0" applyBorder="1"/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7" fillId="0" borderId="15" xfId="9" applyBorder="1" applyAlignment="1">
      <alignment horizontal="center" vertical="center"/>
    </xf>
    <xf numFmtId="164" fontId="17" fillId="0" borderId="15" xfId="8" applyFont="1" applyBorder="1" applyAlignment="1">
      <alignment horizontal="center" vertical="center"/>
    </xf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164" fontId="14" fillId="0" borderId="42" xfId="8" applyFont="1" applyBorder="1" applyAlignment="1">
      <alignment horizontal="center" vertical="center" wrapText="1"/>
    </xf>
    <xf numFmtId="0" fontId="0" fillId="0" borderId="3" xfId="0" applyBorder="1"/>
    <xf numFmtId="164" fontId="15" fillId="0" borderId="11" xfId="8" applyFont="1" applyBorder="1" applyAlignment="1">
      <alignment horizontal="center" vertical="center"/>
    </xf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4" fillId="0" borderId="15" xfId="8" applyFont="1" applyBorder="1" applyAlignment="1">
      <alignment horizontal="left" vertical="center"/>
    </xf>
    <xf numFmtId="0" fontId="0" fillId="0" borderId="18" xfId="0" applyBorder="1"/>
    <xf numFmtId="0" fontId="0" fillId="0" borderId="20" xfId="0" applyBorder="1"/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164" fontId="14" fillId="0" borderId="43" xfId="8" applyFont="1" applyBorder="1" applyAlignment="1">
      <alignment horizontal="left" vertical="center" wrapText="1"/>
    </xf>
    <xf numFmtId="0" fontId="0" fillId="0" borderId="44" xfId="0" applyBorder="1"/>
    <xf numFmtId="164" fontId="14" fillId="0" borderId="42" xfId="8" applyFont="1" applyBorder="1" applyAlignment="1">
      <alignment horizontal="center" vertical="center"/>
    </xf>
    <xf numFmtId="164" fontId="14" fillId="0" borderId="21" xfId="8" applyFont="1" applyBorder="1" applyAlignment="1">
      <alignment horizontal="left" vertical="center" wrapText="1"/>
    </xf>
    <xf numFmtId="0" fontId="0" fillId="0" borderId="27" xfId="0" applyBorder="1"/>
    <xf numFmtId="0" fontId="0" fillId="0" borderId="28" xfId="0" applyBorder="1"/>
    <xf numFmtId="164" fontId="15" fillId="0" borderId="12" xfId="8" applyFont="1" applyBorder="1" applyAlignment="1">
      <alignment horizontal="center" vertical="center"/>
    </xf>
    <xf numFmtId="0" fontId="18" fillId="8" borderId="1" xfId="9" applyFont="1" applyFill="1" applyAlignment="1">
      <alignment horizontal="right" wrapText="1"/>
    </xf>
    <xf numFmtId="0" fontId="0" fillId="0" borderId="26" xfId="0" applyBorder="1"/>
    <xf numFmtId="0" fontId="22" fillId="2" borderId="1" xfId="1" applyFont="1" applyAlignment="1">
      <alignment horizontal="center" vertical="center"/>
    </xf>
    <xf numFmtId="164" fontId="9" fillId="7" borderId="1" xfId="8" applyFont="1" applyFill="1" applyAlignment="1">
      <alignment horizontal="center" vertical="center"/>
    </xf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28" fillId="0" borderId="2" xfId="3" applyFont="1" applyAlignment="1">
      <alignment horizontal="center"/>
    </xf>
    <xf numFmtId="0" fontId="27" fillId="0" borderId="1" xfId="11" applyBorder="1" applyAlignment="1">
      <alignment horizontal="center" wrapText="1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2" fillId="10" borderId="48" xfId="14" applyAlignment="1">
      <alignment horizontal="center" wrapText="1"/>
    </xf>
    <xf numFmtId="0" fontId="32" fillId="10" borderId="48" xfId="14" applyAlignment="1">
      <alignment horizontal="center"/>
    </xf>
    <xf numFmtId="0" fontId="31" fillId="10" borderId="49" xfId="13" applyAlignment="1">
      <alignment horizontal="center"/>
    </xf>
    <xf numFmtId="0" fontId="30" fillId="0" borderId="47" xfId="12" applyAlignment="1">
      <alignment horizontal="center"/>
    </xf>
    <xf numFmtId="0" fontId="31" fillId="10" borderId="49" xfId="13" applyAlignment="1">
      <alignment horizontal="center" wrapText="1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</cellXfs>
  <cellStyles count="17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8"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5845.33536597222" createdVersion="8" refreshedVersion="8" minRefreshableVersion="3" recordCount="299997" xr:uid="{00000000-000A-0000-FFFF-FFFF04000000}">
  <cacheSource type="worksheet">
    <worksheetSource name="BASE"/>
  </cacheSource>
  <cacheFields count="63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NonDate="0" containsString="0" containsBlank="1"/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NonDate="0" containsString="0" containsBlank="1"/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NonDate="0" containsString="0" containsBlank="1"/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NonDate="0" containsString="0" containsBlank="1"/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NonDate="0" containsString="0" containsBlank="1"/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NonDate="0" containsString="0" containsBlank="1"/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K299999" totalsRowShown="0" headerRowDxfId="2077">
  <autoFilter ref="A2:BK299999" xr:uid="{00000000-0009-0000-0100-000001000000}"/>
  <tableColumns count="63">
    <tableColumn id="1" xr3:uid="{00000000-0010-0000-0000-000001000000}" name="Fecha" dataDxfId="2076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1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0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69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68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67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66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5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4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3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2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1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0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59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58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57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56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5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4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3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2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1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0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49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48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47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46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5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4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3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2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1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0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39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38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37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36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5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4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3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2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1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0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29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28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27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26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5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4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3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2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1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0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19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18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17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16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5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4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3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2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1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0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09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08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07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06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5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4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3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2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1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0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1999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1998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1997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1996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5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4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3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2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88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87">
      <calculatedColumnFormula>IF($O$3="(Todas)",COUNTIF(BASE[CODCIE10],ENOS_G1_COLERA[[#This Row],[CIE-10]]),COUNTIFS(BASE[Cod.Establecimiento],$O$3,BASE[CODCIE10],ENOS_G1_COLERA[[#This Row],[CIE-10]]))</calculatedColumnFormula>
    </tableColumn>
    <tableColumn id="3" xr3:uid="{00000000-0010-0000-0B00-000003000000}" name="D2" dataDxfId="1986">
      <calculatedColumnFormula>IF($O$3="(Todas)",COUNTIF(BASE[CODCIE102],ENOS_G1_COLERA[[#This Row],[CIE-10]]),COUNTIFS(BASE[Cod.Establecimiento],$O$3,BASE[CODCIE102],ENOS_G1_COLERA[[#This Row],[CIE-10]]))</calculatedColumnFormula>
    </tableColumn>
    <tableColumn id="4" xr3:uid="{00000000-0010-0000-0B00-000004000000}" name="D3" dataDxfId="1985">
      <calculatedColumnFormula>IF($O$3="(Todas)",COUNTIF(BASE[CODCIE104],ENOS_G1_COLERA[[#This Row],[CIE-10]]),COUNTIFS(BASE[Cod.Establecimiento],$O$3,BASE[CODCIE104],ENOS_G1_COLERA[[#This Row],[CIE-10]]))</calculatedColumnFormula>
    </tableColumn>
    <tableColumn id="5" xr3:uid="{00000000-0010-0000-0B00-000005000000}" name="D4" dataDxfId="1984">
      <calculatedColumnFormula>IF($O$3="(Todas)",COUNTIF(BASE[CODCIE106],ENOS_G1_COLERA[[#This Row],[CIE-10]]),COUNTIFS(BASE[Cod.Establecimiento],$O$3,BASE[CODCIE106],ENOS_G1_COLERA[[#This Row],[CIE-10]]))</calculatedColumnFormula>
    </tableColumn>
    <tableColumn id="6" xr3:uid="{00000000-0010-0000-0B00-000006000000}" name="D5" dataDxfId="1983">
      <calculatedColumnFormula>IF($O$3="(Todas)",COUNTIF(BASE[CODCIE108],ENOS_G1_COLERA[[#This Row],[CIE-10]]),COUNTIFS(BASE[Cod.Establecimiento],$O$3,BASE[CODCIE108],ENOS_G1_COLERA[[#This Row],[CIE-10]]))</calculatedColumnFormula>
    </tableColumn>
    <tableColumn id="7" xr3:uid="{00000000-0010-0000-0B00-000007000000}" name="D6" dataDxfId="1982">
      <calculatedColumnFormula>IF($O$3="(Todas)",COUNTIF(BASE[CODCIE1010],ENOS_G1_COLERA[[#This Row],[CIE-10]]),COUNTIFS(BASE[Cod.Establecimiento],$O$3,BASE[CODCIE1010],ENOS_G1_COLERA[[#This Row],[CIE-10]]))</calculatedColumnFormula>
    </tableColumn>
    <tableColumn id="8" xr3:uid="{00000000-0010-0000-0B00-000008000000}" name="TOT" dataDxfId="1981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0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79">
      <calculatedColumnFormula>IF($O$3="(Todas)",COUNTIF(BASE[CODCIE10],ENOS_G1_FIEBRE_AMARILLA[[#This Row],[CIE-10]]),COUNTIFS(BASE[Cod.Establecimiento],$O$3,BASE[CODCIE10],ENOS_G1_FIEBRE_AMARILLA[[#This Row],[CIE-10]]))</calculatedColumnFormula>
    </tableColumn>
    <tableColumn id="3" xr3:uid="{00000000-0010-0000-0C00-000003000000}" name="D2" dataDxfId="1978">
      <calculatedColumnFormula>IF($O$3="(Todas)",COUNTIF(BASE[CODCIE102],ENOS_G1_FIEBRE_AMARILLA[[#This Row],[CIE-10]]),COUNTIFS(BASE[Cod.Establecimiento],$O$3,BASE[CODCIE102],ENOS_G1_FIEBRE_AMARILLA[[#This Row],[CIE-10]]))</calculatedColumnFormula>
    </tableColumn>
    <tableColumn id="4" xr3:uid="{00000000-0010-0000-0C00-000004000000}" name="D3" dataDxfId="1977">
      <calculatedColumnFormula>IF($O$3="(Todas)",COUNTIF(BASE[CODCIE104],ENOS_G1_FIEBRE_AMARILLA[[#This Row],[CIE-10]]),COUNTIFS(BASE[Cod.Establecimiento],$O$3,BASE[CODCIE104],ENOS_G1_FIEBRE_AMARILLA[[#This Row],[CIE-10]]))</calculatedColumnFormula>
    </tableColumn>
    <tableColumn id="5" xr3:uid="{00000000-0010-0000-0C00-000005000000}" name="D4" dataDxfId="1976">
      <calculatedColumnFormula>IF($O$3="(Todas)",COUNTIF(BASE[CODCIE106],ENOS_G1_FIEBRE_AMARILLA[[#This Row],[CIE-10]]),COUNTIFS(BASE[Cod.Establecimiento],$O$3,BASE[CODCIE106],ENOS_G1_FIEBRE_AMARILLA[[#This Row],[CIE-10]]))</calculatedColumnFormula>
    </tableColumn>
    <tableColumn id="6" xr3:uid="{00000000-0010-0000-0C00-000006000000}" name="D5" dataDxfId="1975">
      <calculatedColumnFormula>IF($O$3="(Todas)",COUNTIF(BASE[CODCIE108],ENOS_G1_FIEBRE_AMARILLA[[#This Row],[CIE-10]]),COUNTIFS(BASE[Cod.Establecimiento],$O$3,BASE[CODCIE108],ENOS_G1_FIEBRE_AMARILLA[[#This Row],[CIE-10]]))</calculatedColumnFormula>
    </tableColumn>
    <tableColumn id="7" xr3:uid="{00000000-0010-0000-0C00-000007000000}" name="D6" dataDxfId="1974">
      <calculatedColumnFormula>IF($O$3="(Todas)",COUNTIF(BASE[CODCIE1010],ENOS_G1_FIEBRE_AMARILLA[[#This Row],[CIE-10]]),COUNTIFS(BASE[Cod.Establecimiento],$O$3,BASE[CODCIE1010],ENOS_G1_FIEBRE_AMARILLA[[#This Row],[CIE-10]]))</calculatedColumnFormula>
    </tableColumn>
    <tableColumn id="8" xr3:uid="{00000000-0010-0000-0C00-000008000000}" name="TOT" dataDxfId="1973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2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1">
      <calculatedColumnFormula>IF($O$3="(Todas)",COUNTIF(BASE[CODCIE10],ENOS_G1_PESTE[[#This Row],[CIE-10]]),COUNTIFS(BASE[Cod.Establecimiento],$O$3,BASE[CODCIE10],ENOS_G1_PESTE[[#This Row],[CIE-10]]))</calculatedColumnFormula>
    </tableColumn>
    <tableColumn id="3" xr3:uid="{00000000-0010-0000-0D00-000003000000}" name="D2" dataDxfId="1970">
      <calculatedColumnFormula>IF($O$3="(Todas)",COUNTIF(BASE[CODCIE102],ENOS_G1_PESTE[[#This Row],[CIE-10]]),COUNTIFS(BASE[Cod.Establecimiento],$O$3,BASE[CODCIE102],ENOS_G1_PESTE[[#This Row],[CIE-10]]))</calculatedColumnFormula>
    </tableColumn>
    <tableColumn id="4" xr3:uid="{00000000-0010-0000-0D00-000004000000}" name="D3" dataDxfId="1969">
      <calculatedColumnFormula>IF($O$3="(Todas)",COUNTIF(BASE[CODCIE104],ENOS_G1_PESTE[[#This Row],[CIE-10]]),COUNTIFS(BASE[Cod.Establecimiento],$O$3,BASE[CODCIE104],ENOS_G1_PESTE[[#This Row],[CIE-10]]))</calculatedColumnFormula>
    </tableColumn>
    <tableColumn id="5" xr3:uid="{00000000-0010-0000-0D00-000005000000}" name="D4" dataDxfId="1968">
      <calculatedColumnFormula>IF($O$3="(Todas)",COUNTIF(BASE[CODCIE106],ENOS_G1_PESTE[[#This Row],[CIE-10]]),COUNTIFS(BASE[Cod.Establecimiento],$O$3,BASE[CODCIE106],ENOS_G1_PESTE[[#This Row],[CIE-10]]))</calculatedColumnFormula>
    </tableColumn>
    <tableColumn id="6" xr3:uid="{00000000-0010-0000-0D00-000006000000}" name="D5" dataDxfId="1967">
      <calculatedColumnFormula>IF($O$3="(Todas)",COUNTIF(BASE[CODCIE108],ENOS_G1_PESTE[[#This Row],[CIE-10]]),COUNTIFS(BASE[Cod.Establecimiento],$O$3,BASE[CODCIE108],ENOS_G1_PESTE[[#This Row],[CIE-10]]))</calculatedColumnFormula>
    </tableColumn>
    <tableColumn id="7" xr3:uid="{00000000-0010-0000-0D00-000007000000}" name="D6" dataDxfId="1966">
      <calculatedColumnFormula>IF($O$3="(Todas)",COUNTIF(BASE[CODCIE1010],ENOS_G1_PESTE[[#This Row],[CIE-10]]),COUNTIFS(BASE[Cod.Establecimiento],$O$3,BASE[CODCIE1010],ENOS_G1_PESTE[[#This Row],[CIE-10]]))</calculatedColumnFormula>
    </tableColumn>
    <tableColumn id="8" xr3:uid="{00000000-0010-0000-0D00-000008000000}" name="TOT" dataDxfId="1965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64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63">
      <calculatedColumnFormula>IF($O$3="(Todas)",COUNTIF(BASE[CODCIE10],ENOS_G1_POLIOMIELITIS_AGUDA[[#This Row],[CIE-10]]),COUNTIFS(BASE[Cod.Establecimiento],$O$3,BASE[CODCIE10],ENOS_G1_POLIOMIELITIS_AGUDA[[#This Row],[CIE-10]]))</calculatedColumnFormula>
    </tableColumn>
    <tableColumn id="3" xr3:uid="{00000000-0010-0000-0E00-000003000000}" name="D2" dataDxfId="1962">
      <calculatedColumnFormula>IF($O$3="(Todas)",COUNTIF(BASE[CODCIE102],ENOS_G1_POLIOMIELITIS_AGUDA[[#This Row],[CIE-10]]),COUNTIFS(BASE[Cod.Establecimiento],$O$3,BASE[CODCIE102],ENOS_G1_POLIOMIELITIS_AGUDA[[#This Row],[CIE-10]]))</calculatedColumnFormula>
    </tableColumn>
    <tableColumn id="4" xr3:uid="{00000000-0010-0000-0E00-000004000000}" name="D3" dataDxfId="1961">
      <calculatedColumnFormula>IF($O$3="(Todas)",COUNTIF(BASE[CODCIE104],ENOS_G1_POLIOMIELITIS_AGUDA[[#This Row],[CIE-10]]),COUNTIFS(BASE[Cod.Establecimiento],$O$3,BASE[CODCIE104],ENOS_G1_POLIOMIELITIS_AGUDA[[#This Row],[CIE-10]]))</calculatedColumnFormula>
    </tableColumn>
    <tableColumn id="5" xr3:uid="{00000000-0010-0000-0E00-000005000000}" name="D4" dataDxfId="1960">
      <calculatedColumnFormula>IF($O$3="(Todas)",COUNTIF(BASE[CODCIE106],ENOS_G1_POLIOMIELITIS_AGUDA[[#This Row],[CIE-10]]),COUNTIFS(BASE[Cod.Establecimiento],$O$3,BASE[CODCIE106],ENOS_G1_POLIOMIELITIS_AGUDA[[#This Row],[CIE-10]]))</calculatedColumnFormula>
    </tableColumn>
    <tableColumn id="6" xr3:uid="{00000000-0010-0000-0E00-000006000000}" name="D5" dataDxfId="1959">
      <calculatedColumnFormula>IF($O$3="(Todas)",COUNTIF(BASE[CODCIE108],ENOS_G1_POLIOMIELITIS_AGUDA[[#This Row],[CIE-10]]),COUNTIFS(BASE[Cod.Establecimiento],$O$3,BASE[CODCIE108],ENOS_G1_POLIOMIELITIS_AGUDA[[#This Row],[CIE-10]]))</calculatedColumnFormula>
    </tableColumn>
    <tableColumn id="7" xr3:uid="{00000000-0010-0000-0E00-000007000000}" name="D6" dataDxfId="1958">
      <calculatedColumnFormula>IF($O$3="(Todas)",COUNTIF(BASE[CODCIE1010],ENOS_G1_POLIOMIELITIS_AGUDA[[#This Row],[CIE-10]]),COUNTIFS(BASE[Cod.Establecimiento],$O$3,BASE[CODCIE1010],ENOS_G1_POLIOMIELITIS_AGUDA[[#This Row],[CIE-10]]))</calculatedColumnFormula>
    </tableColumn>
    <tableColumn id="8" xr3:uid="{00000000-0010-0000-0E00-000008000000}" name="TOT" dataDxfId="1957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56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55">
      <calculatedColumnFormula>IF($O$3="(Todas)",COUNTIF(BASE[CODCIE10],ENOS_G1_RUBEOLA[[#This Row],[CIE-10]]),COUNTIFS(BASE[Cod.Establecimiento],$O$3,BASE[CODCIE10],ENOS_G1_RUBEOLA[[#This Row],[CIE-10]]))</calculatedColumnFormula>
    </tableColumn>
    <tableColumn id="3" xr3:uid="{00000000-0010-0000-0F00-000003000000}" name="D2" dataDxfId="1954">
      <calculatedColumnFormula>IF($O$3="(Todas)",COUNTIF(BASE[CODCIE102],ENOS_G1_RUBEOLA[[#This Row],[CIE-10]]),COUNTIFS(BASE[Cod.Establecimiento],$O$3,BASE[CODCIE102],ENOS_G1_RUBEOLA[[#This Row],[CIE-10]]))</calculatedColumnFormula>
    </tableColumn>
    <tableColumn id="4" xr3:uid="{00000000-0010-0000-0F00-000004000000}" name="D3" dataDxfId="1953">
      <calculatedColumnFormula>IF($O$3="(Todas)",COUNTIF(BASE[CODCIE104],ENOS_G1_RUBEOLA[[#This Row],[CIE-10]]),COUNTIFS(BASE[Cod.Establecimiento],$O$3,BASE[CODCIE104],ENOS_G1_RUBEOLA[[#This Row],[CIE-10]]))</calculatedColumnFormula>
    </tableColumn>
    <tableColumn id="5" xr3:uid="{00000000-0010-0000-0F00-000005000000}" name="D4" dataDxfId="1952">
      <calculatedColumnFormula>IF($O$3="(Todas)",COUNTIF(BASE[CODCIE106],ENOS_G1_RUBEOLA[[#This Row],[CIE-10]]),COUNTIFS(BASE[Cod.Establecimiento],$O$3,BASE[CODCIE106],ENOS_G1_RUBEOLA[[#This Row],[CIE-10]]))</calculatedColumnFormula>
    </tableColumn>
    <tableColumn id="6" xr3:uid="{00000000-0010-0000-0F00-000006000000}" name="D5" dataDxfId="1951">
      <calculatedColumnFormula>IF($O$3="(Todas)",COUNTIF(BASE[CODCIE108],ENOS_G1_RUBEOLA[[#This Row],[CIE-10]]),COUNTIFS(BASE[Cod.Establecimiento],$O$3,BASE[CODCIE108],ENOS_G1_RUBEOLA[[#This Row],[CIE-10]]))</calculatedColumnFormula>
    </tableColumn>
    <tableColumn id="7" xr3:uid="{00000000-0010-0000-0F00-000007000000}" name="D6" dataDxfId="1950">
      <calculatedColumnFormula>IF($O$3="(Todas)",COUNTIF(BASE[CODCIE1010],ENOS_G1_RUBEOLA[[#This Row],[CIE-10]]),COUNTIFS(BASE[Cod.Establecimiento],$O$3,BASE[CODCIE1010],ENOS_G1_RUBEOLA[[#This Row],[CIE-10]]))</calculatedColumnFormula>
    </tableColumn>
    <tableColumn id="8" xr3:uid="{00000000-0010-0000-0F00-000008000000}" name="TOT" dataDxfId="1949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48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47">
      <calculatedColumnFormula>IF($O$3="(Todas)",COUNTIF(BASE[CODCIE10],ENOS_G1_SINDROME_DE_RUBEOLA_CONGENITA[[#This Row],[CIE-10]]),COUNTIFS(BASE[Cod.Establecimiento],$O$3,BASE[CODCIE10],ENOS_G1_SINDROME_DE_RUBEOLA_CONGENITA[[#This Row],[CIE-10]]))</calculatedColumnFormula>
    </tableColumn>
    <tableColumn id="3" xr3:uid="{00000000-0010-0000-1000-000003000000}" name="D2" dataDxfId="1946">
      <calculatedColumnFormula>IF($O$3="(Todas)",COUNTIF(BASE[CODCIE102],ENOS_G1_SINDROME_DE_RUBEOLA_CONGENITA[[#This Row],[CIE-10]]),COUNTIFS(BASE[Cod.Establecimiento],$O$3,BASE[CODCIE102],ENOS_G1_SINDROME_DE_RUBEOLA_CONGENITA[[#This Row],[CIE-10]]))</calculatedColumnFormula>
    </tableColumn>
    <tableColumn id="4" xr3:uid="{00000000-0010-0000-1000-000004000000}" name="D3" dataDxfId="1945">
      <calculatedColumnFormula>IF($O$3="(Todas)",COUNTIF(BASE[CODCIE104],ENOS_G1_SINDROME_DE_RUBEOLA_CONGENITA[[#This Row],[CIE-10]]),COUNTIFS(BASE[Cod.Establecimiento],$O$3,BASE[CODCIE104],ENOS_G1_SINDROME_DE_RUBEOLA_CONGENITA[[#This Row],[CIE-10]]))</calculatedColumnFormula>
    </tableColumn>
    <tableColumn id="5" xr3:uid="{00000000-0010-0000-1000-000005000000}" name="D4" dataDxfId="1944">
      <calculatedColumnFormula>IF($O$3="(Todas)",COUNTIF(BASE[CODCIE106],ENOS_G1_SINDROME_DE_RUBEOLA_CONGENITA[[#This Row],[CIE-10]]),COUNTIFS(BASE[Cod.Establecimiento],$O$3,BASE[CODCIE106],ENOS_G1_SINDROME_DE_RUBEOLA_CONGENITA[[#This Row],[CIE-10]]))</calculatedColumnFormula>
    </tableColumn>
    <tableColumn id="6" xr3:uid="{00000000-0010-0000-1000-000006000000}" name="D5" dataDxfId="1943">
      <calculatedColumnFormula>IF($O$3="(Todas)",COUNTIF(BASE[CODCIE108],ENOS_G1_SINDROME_DE_RUBEOLA_CONGENITA[[#This Row],[CIE-10]]),COUNTIFS(BASE[Cod.Establecimiento],$O$3,BASE[CODCIE108],ENOS_G1_SINDROME_DE_RUBEOLA_CONGENITA[[#This Row],[CIE-10]]))</calculatedColumnFormula>
    </tableColumn>
    <tableColumn id="7" xr3:uid="{00000000-0010-0000-1000-000007000000}" name="D6" dataDxfId="1942">
      <calculatedColumnFormula>IF($O$3="(Todas)",COUNTIF(BASE[CODCIE1010],ENOS_G1_SINDROME_DE_RUBEOLA_CONGENITA[[#This Row],[CIE-10]]),COUNTIFS(BASE[Cod.Establecimiento],$O$3,BASE[CODCIE1010],ENOS_G1_SINDROME_DE_RUBEOLA_CONGENITA[[#This Row],[CIE-10]]))</calculatedColumnFormula>
    </tableColumn>
    <tableColumn id="8" xr3:uid="{00000000-0010-0000-1000-000008000000}" name="TOT" dataDxfId="1941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0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39">
      <calculatedColumnFormula>IF($O$3="(Todas)",COUNTIF(BASE[CODCIE10],ENOS_G1_SARAMPION[[#This Row],[CIE-10]]),COUNTIFS(BASE[Cod.Establecimiento],$O$3,BASE[CODCIE10],ENOS_G1_SARAMPION[[#This Row],[CIE-10]]))</calculatedColumnFormula>
    </tableColumn>
    <tableColumn id="3" xr3:uid="{00000000-0010-0000-1100-000003000000}" name="D2" dataDxfId="1938">
      <calculatedColumnFormula>IF($O$3="(Todas)",COUNTIF(BASE[CODCIE102],ENOS_G1_SARAMPION[[#This Row],[CIE-10]]),COUNTIFS(BASE[Cod.Establecimiento],$O$3,BASE[CODCIE102],ENOS_G1_SARAMPION[[#This Row],[CIE-10]]))</calculatedColumnFormula>
    </tableColumn>
    <tableColumn id="4" xr3:uid="{00000000-0010-0000-1100-000004000000}" name="D3" dataDxfId="1937">
      <calculatedColumnFormula>IF($O$3="(Todas)",COUNTIF(BASE[CODCIE104],ENOS_G1_SARAMPION[[#This Row],[CIE-10]]),COUNTIFS(BASE[Cod.Establecimiento],$O$3,BASE[CODCIE104],ENOS_G1_SARAMPION[[#This Row],[CIE-10]]))</calculatedColumnFormula>
    </tableColumn>
    <tableColumn id="5" xr3:uid="{00000000-0010-0000-1100-000005000000}" name="D4" dataDxfId="1936">
      <calculatedColumnFormula>IF($O$3="(Todas)",COUNTIF(BASE[CODCIE106],ENOS_G1_SARAMPION[[#This Row],[CIE-10]]),COUNTIFS(BASE[Cod.Establecimiento],$O$3,BASE[CODCIE106],ENOS_G1_SARAMPION[[#This Row],[CIE-10]]))</calculatedColumnFormula>
    </tableColumn>
    <tableColumn id="6" xr3:uid="{00000000-0010-0000-1100-000006000000}" name="D5" dataDxfId="1935">
      <calculatedColumnFormula>IF($O$3="(Todas)",COUNTIF(BASE[CODCIE108],ENOS_G1_SARAMPION[[#This Row],[CIE-10]]),COUNTIFS(BASE[Cod.Establecimiento],$O$3,BASE[CODCIE108],ENOS_G1_SARAMPION[[#This Row],[CIE-10]]))</calculatedColumnFormula>
    </tableColumn>
    <tableColumn id="7" xr3:uid="{00000000-0010-0000-1100-000007000000}" name="D6" dataDxfId="1934">
      <calculatedColumnFormula>IF($O$3="(Todas)",COUNTIF(BASE[CODCIE1010],ENOS_G1_SARAMPION[[#This Row],[CIE-10]]),COUNTIFS(BASE[Cod.Establecimiento],$O$3,BASE[CODCIE1010],ENOS_G1_SARAMPION[[#This Row],[CIE-10]]))</calculatedColumnFormula>
    </tableColumn>
    <tableColumn id="8" xr3:uid="{00000000-0010-0000-1100-000008000000}" name="TOT" dataDxfId="1933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2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1">
      <calculatedColumnFormula>IF($O$3="(Todas)",COUNTIF(BASE[CODCIE10],ENOS_G1_TETANOS_NEONATAL[[#This Row],[CIE-10]]),COUNTIFS(BASE[Cod.Establecimiento],$O$3,BASE[CODCIE10],ENOS_G1_TETANOS_NEONATAL[[#This Row],[CIE-10]]))</calculatedColumnFormula>
    </tableColumn>
    <tableColumn id="3" xr3:uid="{00000000-0010-0000-1200-000003000000}" name="D2" dataDxfId="1930">
      <calculatedColumnFormula>IF($O$3="(Todas)",COUNTIF(BASE[CODCIE102],ENOS_G1_TETANOS_NEONATAL[[#This Row],[CIE-10]]),COUNTIFS(BASE[Cod.Establecimiento],$O$3,BASE[CODCIE102],ENOS_G1_TETANOS_NEONATAL[[#This Row],[CIE-10]]))</calculatedColumnFormula>
    </tableColumn>
    <tableColumn id="4" xr3:uid="{00000000-0010-0000-1200-000004000000}" name="D3" dataDxfId="1929">
      <calculatedColumnFormula>IF($O$3="(Todas)",COUNTIF(BASE[CODCIE104],ENOS_G1_TETANOS_NEONATAL[[#This Row],[CIE-10]]),COUNTIFS(BASE[Cod.Establecimiento],$O$3,BASE[CODCIE104],ENOS_G1_TETANOS_NEONATAL[[#This Row],[CIE-10]]))</calculatedColumnFormula>
    </tableColumn>
    <tableColumn id="5" xr3:uid="{00000000-0010-0000-1200-000005000000}" name="D4" dataDxfId="1928">
      <calculatedColumnFormula>IF($O$3="(Todas)",COUNTIF(BASE[CODCIE106],ENOS_G1_TETANOS_NEONATAL[[#This Row],[CIE-10]]),COUNTIFS(BASE[Cod.Establecimiento],$O$3,BASE[CODCIE106],ENOS_G1_TETANOS_NEONATAL[[#This Row],[CIE-10]]))</calculatedColumnFormula>
    </tableColumn>
    <tableColumn id="6" xr3:uid="{00000000-0010-0000-1200-000006000000}" name="D5" dataDxfId="1927">
      <calculatedColumnFormula>IF($O$3="(Todas)",COUNTIF(BASE[CODCIE108],ENOS_G1_TETANOS_NEONATAL[[#This Row],[CIE-10]]),COUNTIFS(BASE[Cod.Establecimiento],$O$3,BASE[CODCIE108],ENOS_G1_TETANOS_NEONATAL[[#This Row],[CIE-10]]))</calculatedColumnFormula>
    </tableColumn>
    <tableColumn id="7" xr3:uid="{00000000-0010-0000-1200-000007000000}" name="D6" dataDxfId="1926">
      <calculatedColumnFormula>IF($O$3="(Todas)",COUNTIF(BASE[CODCIE1010],ENOS_G1_TETANOS_NEONATAL[[#This Row],[CIE-10]]),COUNTIFS(BASE[Cod.Establecimiento],$O$3,BASE[CODCIE1010],ENOS_G1_TETANOS_NEONATAL[[#This Row],[CIE-10]]))</calculatedColumnFormula>
    </tableColumn>
    <tableColumn id="8" xr3:uid="{00000000-0010-0000-1200-000008000000}" name="TOT" dataDxfId="1925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24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23">
      <calculatedColumnFormula>IF($O$3="(Todas)",COUNTIF(BASE[CODCIE10],ENOS_G1_PALUDISMO[[#This Row],[CIE-10]]),COUNTIFS(BASE[Cod.Establecimiento],$O$3,BASE[CODCIE10],ENOS_G1_PALUDISMO[[#This Row],[CIE-10]]))</calculatedColumnFormula>
    </tableColumn>
    <tableColumn id="3" xr3:uid="{00000000-0010-0000-1300-000003000000}" name="D2" dataDxfId="1922">
      <calculatedColumnFormula>IF($O$3="(Todas)",COUNTIF(BASE[CODCIE102],ENOS_G1_PALUDISMO[[#This Row],[CIE-10]]),COUNTIFS(BASE[Cod.Establecimiento],$O$3,BASE[CODCIE102],ENOS_G1_PALUDISMO[[#This Row],[CIE-10]]))</calculatedColumnFormula>
    </tableColumn>
    <tableColumn id="4" xr3:uid="{00000000-0010-0000-1300-000004000000}" name="D3" dataDxfId="1921">
      <calculatedColumnFormula>IF($O$3="(Todas)",COUNTIF(BASE[CODCIE104],ENOS_G1_PALUDISMO[[#This Row],[CIE-10]]),COUNTIFS(BASE[Cod.Establecimiento],$O$3,BASE[CODCIE104],ENOS_G1_PALUDISMO[[#This Row],[CIE-10]]))</calculatedColumnFormula>
    </tableColumn>
    <tableColumn id="5" xr3:uid="{00000000-0010-0000-1300-000005000000}" name="D4" dataDxfId="1920">
      <calculatedColumnFormula>IF($O$3="(Todas)",COUNTIF(BASE[CODCIE106],ENOS_G1_PALUDISMO[[#This Row],[CIE-10]]),COUNTIFS(BASE[Cod.Establecimiento],$O$3,BASE[CODCIE106],ENOS_G1_PALUDISMO[[#This Row],[CIE-10]]))</calculatedColumnFormula>
    </tableColumn>
    <tableColumn id="6" xr3:uid="{00000000-0010-0000-1300-000006000000}" name="D5" dataDxfId="1919">
      <calculatedColumnFormula>IF($O$3="(Todas)",COUNTIF(BASE[CODCIE108],ENOS_G1_PALUDISMO[[#This Row],[CIE-10]]),COUNTIFS(BASE[Cod.Establecimiento],$O$3,BASE[CODCIE108],ENOS_G1_PALUDISMO[[#This Row],[CIE-10]]))</calculatedColumnFormula>
    </tableColumn>
    <tableColumn id="7" xr3:uid="{00000000-0010-0000-1300-000007000000}" name="D6" dataDxfId="1918">
      <calculatedColumnFormula>IF($O$3="(Todas)",COUNTIF(BASE[CODCIE1010],ENOS_G1_PALUDISMO[[#This Row],[CIE-10]]),COUNTIFS(BASE[Cod.Establecimiento],$O$3,BASE[CODCIE1010],ENOS_G1_PALUDISMO[[#This Row],[CIE-10]]))</calculatedColumnFormula>
    </tableColumn>
    <tableColumn id="8" xr3:uid="{00000000-0010-0000-1300-000008000000}" name="TOT" dataDxfId="1917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16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15">
      <calculatedColumnFormula>IF($O$3="(Todas)",COUNTIF(BASE[CODCIE10],ENOS_G2_CONJUNTIVITIS_VIRAL[[#This Row],[CIE-10]]),COUNTIFS(BASE[Cod.Establecimiento],$O$3,BASE[CODCIE10],ENOS_G2_CONJUNTIVITIS_VIRAL[[#This Row],[CIE-10]]))</calculatedColumnFormula>
    </tableColumn>
    <tableColumn id="3" xr3:uid="{00000000-0010-0000-1400-000003000000}" name="D2" dataDxfId="1914">
      <calculatedColumnFormula>IF($O$3="(Todas)",COUNTIF(BASE[CODCIE102],ENOS_G2_CONJUNTIVITIS_VIRAL[[#This Row],[CIE-10]]),COUNTIFS(BASE[Cod.Establecimiento],$O$3,BASE[CODCIE102],ENOS_G2_CONJUNTIVITIS_VIRAL[[#This Row],[CIE-10]]))</calculatedColumnFormula>
    </tableColumn>
    <tableColumn id="4" xr3:uid="{00000000-0010-0000-1400-000004000000}" name="D3" dataDxfId="1913">
      <calculatedColumnFormula>IF($O$3="(Todas)",COUNTIF(BASE[CODCIE104],ENOS_G2_CONJUNTIVITIS_VIRAL[[#This Row],[CIE-10]]),COUNTIFS(BASE[Cod.Establecimiento],$O$3,BASE[CODCIE104],ENOS_G2_CONJUNTIVITIS_VIRAL[[#This Row],[CIE-10]]))</calculatedColumnFormula>
    </tableColumn>
    <tableColumn id="5" xr3:uid="{00000000-0010-0000-1400-000005000000}" name="D4" dataDxfId="1912">
      <calculatedColumnFormula>IF($O$3="(Todas)",COUNTIF(BASE[CODCIE106],ENOS_G2_CONJUNTIVITIS_VIRAL[[#This Row],[CIE-10]]),COUNTIFS(BASE[Cod.Establecimiento],$O$3,BASE[CODCIE106],ENOS_G2_CONJUNTIVITIS_VIRAL[[#This Row],[CIE-10]]))</calculatedColumnFormula>
    </tableColumn>
    <tableColumn id="6" xr3:uid="{00000000-0010-0000-1400-000006000000}" name="D5" dataDxfId="1911">
      <calculatedColumnFormula>IF($O$3="(Todas)",COUNTIF(BASE[CODCIE108],ENOS_G2_CONJUNTIVITIS_VIRAL[[#This Row],[CIE-10]]),COUNTIFS(BASE[Cod.Establecimiento],$O$3,BASE[CODCIE108],ENOS_G2_CONJUNTIVITIS_VIRAL[[#This Row],[CIE-10]]))</calculatedColumnFormula>
    </tableColumn>
    <tableColumn id="7" xr3:uid="{00000000-0010-0000-1400-000007000000}" name="D6" dataDxfId="1910">
      <calculatedColumnFormula>IF($O$3="(Todas)",COUNTIF(BASE[CODCIE1010],ENOS_G2_CONJUNTIVITIS_VIRAL[[#This Row],[CIE-10]]),COUNTIFS(BASE[Cod.Establecimiento],$O$3,BASE[CODCIE1010],ENOS_G2_CONJUNTIVITIS_VIRAL[[#This Row],[CIE-10]]))</calculatedColumnFormula>
    </tableColumn>
    <tableColumn id="8" xr3:uid="{00000000-0010-0000-1400-000008000000}" name="TOT" dataDxfId="1909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08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07">
      <calculatedColumnFormula>IF($O$3="(Todas)",COUNTIF(BASE[CODCIE10],ENOS_G2_PAROTIDITIS_INFECCIOSA_PAPERAS[[#This Row],[CIE-10]]),COUNTIFS(BASE[Cod.Establecimiento],$O$3,BASE[CODCIE10],ENOS_G2_PAROTIDITIS_INFECCIOSA_PAPERAS[[#This Row],[CIE-10]]))</calculatedColumnFormula>
    </tableColumn>
    <tableColumn id="3" xr3:uid="{00000000-0010-0000-1500-000003000000}" name="D2" dataDxfId="1906">
      <calculatedColumnFormula>IF($O$3="(Todas)",COUNTIF(BASE[CODCIE102],ENOS_G2_PAROTIDITIS_INFECCIOSA_PAPERAS[[#This Row],[CIE-10]]),COUNTIFS(BASE[Cod.Establecimiento],$O$3,BASE[CODCIE102],ENOS_G2_PAROTIDITIS_INFECCIOSA_PAPERAS[[#This Row],[CIE-10]]))</calculatedColumnFormula>
    </tableColumn>
    <tableColumn id="4" xr3:uid="{00000000-0010-0000-1500-000004000000}" name="D3" dataDxfId="1905">
      <calculatedColumnFormula>IF($O$3="(Todas)",COUNTIF(BASE[CODCIE104],ENOS_G2_PAROTIDITIS_INFECCIOSA_PAPERAS[[#This Row],[CIE-10]]),COUNTIFS(BASE[Cod.Establecimiento],$O$3,BASE[CODCIE104],ENOS_G2_PAROTIDITIS_INFECCIOSA_PAPERAS[[#This Row],[CIE-10]]))</calculatedColumnFormula>
    </tableColumn>
    <tableColumn id="5" xr3:uid="{00000000-0010-0000-1500-000005000000}" name="D4" dataDxfId="1904">
      <calculatedColumnFormula>IF($O$3="(Todas)",COUNTIF(BASE[CODCIE106],ENOS_G2_PAROTIDITIS_INFECCIOSA_PAPERAS[[#This Row],[CIE-10]]),COUNTIFS(BASE[Cod.Establecimiento],$O$3,BASE[CODCIE106],ENOS_G2_PAROTIDITIS_INFECCIOSA_PAPERAS[[#This Row],[CIE-10]]))</calculatedColumnFormula>
    </tableColumn>
    <tableColumn id="6" xr3:uid="{00000000-0010-0000-1500-000006000000}" name="D5" dataDxfId="1903">
      <calculatedColumnFormula>IF($O$3="(Todas)",COUNTIF(BASE[CODCIE108],ENOS_G2_PAROTIDITIS_INFECCIOSA_PAPERAS[[#This Row],[CIE-10]]),COUNTIFS(BASE[Cod.Establecimiento],$O$3,BASE[CODCIE108],ENOS_G2_PAROTIDITIS_INFECCIOSA_PAPERAS[[#This Row],[CIE-10]]))</calculatedColumnFormula>
    </tableColumn>
    <tableColumn id="7" xr3:uid="{00000000-0010-0000-1500-000007000000}" name="D6" dataDxfId="1902">
      <calculatedColumnFormula>IF($O$3="(Todas)",COUNTIF(BASE[CODCIE1010],ENOS_G2_PAROTIDITIS_INFECCIOSA_PAPERAS[[#This Row],[CIE-10]]),COUNTIFS(BASE[Cod.Establecimiento],$O$3,BASE[CODCIE1010],ENOS_G2_PAROTIDITIS_INFECCIOSA_PAPERAS[[#This Row],[CIE-10]]))</calculatedColumnFormula>
    </tableColumn>
    <tableColumn id="8" xr3:uid="{00000000-0010-0000-1500-000008000000}" name="TOT" dataDxfId="1901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00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899">
      <calculatedColumnFormula>IF($O$3="(Todas)",COUNTIF(BASE[CODCIE10],ENOS_G2_VARICELA[[#This Row],[CIE-10]]),COUNTIFS(BASE[Cod.Establecimiento],$O$3,BASE[CODCIE10],ENOS_G2_VARICELA[[#This Row],[CIE-10]]))</calculatedColumnFormula>
    </tableColumn>
    <tableColumn id="3" xr3:uid="{00000000-0010-0000-1600-000003000000}" name="D2" dataDxfId="1898">
      <calculatedColumnFormula>IF($O$3="(Todas)",COUNTIF(BASE[CODCIE102],ENOS_G2_VARICELA[[#This Row],[CIE-10]]),COUNTIFS(BASE[Cod.Establecimiento],$O$3,BASE[CODCIE102],ENOS_G2_VARICELA[[#This Row],[CIE-10]]))</calculatedColumnFormula>
    </tableColumn>
    <tableColumn id="4" xr3:uid="{00000000-0010-0000-1600-000004000000}" name="D3" dataDxfId="1897">
      <calculatedColumnFormula>IF($O$3="(Todas)",COUNTIF(BASE[CODCIE104],ENOS_G2_VARICELA[[#This Row],[CIE-10]]),COUNTIFS(BASE[Cod.Establecimiento],$O$3,BASE[CODCIE104],ENOS_G2_VARICELA[[#This Row],[CIE-10]]))</calculatedColumnFormula>
    </tableColumn>
    <tableColumn id="5" xr3:uid="{00000000-0010-0000-1600-000005000000}" name="D4" dataDxfId="1896">
      <calculatedColumnFormula>IF($O$3="(Todas)",COUNTIF(BASE[CODCIE106],ENOS_G2_VARICELA[[#This Row],[CIE-10]]),COUNTIFS(BASE[Cod.Establecimiento],$O$3,BASE[CODCIE106],ENOS_G2_VARICELA[[#This Row],[CIE-10]]))</calculatedColumnFormula>
    </tableColumn>
    <tableColumn id="6" xr3:uid="{00000000-0010-0000-1600-000006000000}" name="D5" dataDxfId="1895">
      <calculatedColumnFormula>IF($O$3="(Todas)",COUNTIF(BASE[CODCIE108],ENOS_G2_VARICELA[[#This Row],[CIE-10]]),COUNTIFS(BASE[Cod.Establecimiento],$O$3,BASE[CODCIE108],ENOS_G2_VARICELA[[#This Row],[CIE-10]]))</calculatedColumnFormula>
    </tableColumn>
    <tableColumn id="7" xr3:uid="{00000000-0010-0000-1600-000007000000}" name="D6" dataDxfId="1894">
      <calculatedColumnFormula>IF($O$3="(Todas)",COUNTIF(BASE[CODCIE1010],ENOS_G2_VARICELA[[#This Row],[CIE-10]]),COUNTIFS(BASE[Cod.Establecimiento],$O$3,BASE[CODCIE1010],ENOS_G2_VARICELA[[#This Row],[CIE-10]]))</calculatedColumnFormula>
    </tableColumn>
    <tableColumn id="8" xr3:uid="{00000000-0010-0000-1600-000008000000}" name="TOT" dataDxfId="1893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892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891">
      <calculatedColumnFormula>IF($O$3="(Todas)",COUNTIF(BASE[CODCIE10],ENOS_G2_HEPATITIS_A[[#This Row],[CIE-10]]),COUNTIFS(BASE[Cod.Establecimiento],$O$3,BASE[CODCIE10],ENOS_G2_HEPATITIS_A[[#This Row],[CIE-10]]))</calculatedColumnFormula>
    </tableColumn>
    <tableColumn id="3" xr3:uid="{00000000-0010-0000-1700-000003000000}" name="D2" dataDxfId="1890">
      <calculatedColumnFormula>IF($O$3="(Todas)",COUNTIF(BASE[CODCIE102],ENOS_G2_HEPATITIS_A[[#This Row],[CIE-10]]),COUNTIFS(BASE[Cod.Establecimiento],$O$3,BASE[CODCIE102],ENOS_G2_HEPATITIS_A[[#This Row],[CIE-10]]))</calculatedColumnFormula>
    </tableColumn>
    <tableColumn id="4" xr3:uid="{00000000-0010-0000-1700-000004000000}" name="D3" dataDxfId="1889">
      <calculatedColumnFormula>IF($O$3="(Todas)",COUNTIF(BASE[CODCIE104],ENOS_G2_HEPATITIS_A[[#This Row],[CIE-10]]),COUNTIFS(BASE[Cod.Establecimiento],$O$3,BASE[CODCIE104],ENOS_G2_HEPATITIS_A[[#This Row],[CIE-10]]))</calculatedColumnFormula>
    </tableColumn>
    <tableColumn id="5" xr3:uid="{00000000-0010-0000-1700-000005000000}" name="D4" dataDxfId="1888">
      <calculatedColumnFormula>IF($O$3="(Todas)",COUNTIF(BASE[CODCIE106],ENOS_G2_HEPATITIS_A[[#This Row],[CIE-10]]),COUNTIFS(BASE[Cod.Establecimiento],$O$3,BASE[CODCIE106],ENOS_G2_HEPATITIS_A[[#This Row],[CIE-10]]))</calculatedColumnFormula>
    </tableColumn>
    <tableColumn id="6" xr3:uid="{00000000-0010-0000-1700-000006000000}" name="D5" dataDxfId="1887">
      <calculatedColumnFormula>IF($O$3="(Todas)",COUNTIF(BASE[CODCIE108],ENOS_G2_HEPATITIS_A[[#This Row],[CIE-10]]),COUNTIFS(BASE[Cod.Establecimiento],$O$3,BASE[CODCIE108],ENOS_G2_HEPATITIS_A[[#This Row],[CIE-10]]))</calculatedColumnFormula>
    </tableColumn>
    <tableColumn id="7" xr3:uid="{00000000-0010-0000-1700-000007000000}" name="D6" dataDxfId="1886">
      <calculatedColumnFormula>IF($O$3="(Todas)",COUNTIF(BASE[CODCIE1010],ENOS_G2_HEPATITIS_A[[#This Row],[CIE-10]]),COUNTIFS(BASE[Cod.Establecimiento],$O$3,BASE[CODCIE1010],ENOS_G2_HEPATITIS_A[[#This Row],[CIE-10]]))</calculatedColumnFormula>
    </tableColumn>
    <tableColumn id="8" xr3:uid="{00000000-0010-0000-1700-000008000000}" name="TOT" dataDxfId="1885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84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83">
      <calculatedColumnFormula>IF($O$3="(Todas)",COUNTIF(BASE[CODCIE10],ENOS_G2_HEPATITIS_VIRAL_SIN_OTRA_ESPECIFIACION[[#This Row],[CIE-10]]),COUNTIFS(BASE[Cod.Establecimiento],$O$3,BASE[CODCIE10],ENOS_G2_HEPATITIS_VIRAL_SIN_OTRA_ESPECIFIACION[[#This Row],[CIE-10]]))</calculatedColumnFormula>
    </tableColumn>
    <tableColumn id="3" xr3:uid="{00000000-0010-0000-1800-000003000000}" name="D2" dataDxfId="1882">
      <calculatedColumnFormula>IF($O$3="(Todas)",COUNTIF(BASE[CODCIE102],ENOS_G2_HEPATITIS_VIRAL_SIN_OTRA_ESPECIFIACION[[#This Row],[CIE-10]]),COUNTIFS(BASE[Cod.Establecimiento],$O$3,BASE[CODCIE102],ENOS_G2_HEPATITIS_VIRAL_SIN_OTRA_ESPECIFIACION[[#This Row],[CIE-10]]))</calculatedColumnFormula>
    </tableColumn>
    <tableColumn id="4" xr3:uid="{00000000-0010-0000-1800-000004000000}" name="D3" dataDxfId="1881">
      <calculatedColumnFormula>IF($O$3="(Todas)",COUNTIF(BASE[CODCIE104],ENOS_G2_HEPATITIS_VIRAL_SIN_OTRA_ESPECIFIACION[[#This Row],[CIE-10]]),COUNTIFS(BASE[Cod.Establecimiento],$O$3,BASE[CODCIE104],ENOS_G2_HEPATITIS_VIRAL_SIN_OTRA_ESPECIFIACION[[#This Row],[CIE-10]]))</calculatedColumnFormula>
    </tableColumn>
    <tableColumn id="5" xr3:uid="{00000000-0010-0000-1800-000005000000}" name="D4" dataDxfId="1880">
      <calculatedColumnFormula>IF($O$3="(Todas)",COUNTIF(BASE[CODCIE106],ENOS_G2_HEPATITIS_VIRAL_SIN_OTRA_ESPECIFIACION[[#This Row],[CIE-10]]),COUNTIFS(BASE[Cod.Establecimiento],$O$3,BASE[CODCIE106],ENOS_G2_HEPATITIS_VIRAL_SIN_OTRA_ESPECIFIACION[[#This Row],[CIE-10]]))</calculatedColumnFormula>
    </tableColumn>
    <tableColumn id="6" xr3:uid="{00000000-0010-0000-1800-000006000000}" name="D5" dataDxfId="1879">
      <calculatedColumnFormula>IF($O$3="(Todas)",COUNTIF(BASE[CODCIE108],ENOS_G2_HEPATITIS_VIRAL_SIN_OTRA_ESPECIFIACION[[#This Row],[CIE-10]]),COUNTIFS(BASE[Cod.Establecimiento],$O$3,BASE[CODCIE108],ENOS_G2_HEPATITIS_VIRAL_SIN_OTRA_ESPECIFIACION[[#This Row],[CIE-10]]))</calculatedColumnFormula>
    </tableColumn>
    <tableColumn id="7" xr3:uid="{00000000-0010-0000-1800-000007000000}" name="D6" dataDxfId="1878">
      <calculatedColumnFormula>IF($O$3="(Todas)",COUNTIF(BASE[CODCIE1010],ENOS_G2_HEPATITIS_VIRAL_SIN_OTRA_ESPECIFIACION[[#This Row],[CIE-10]]),COUNTIFS(BASE[Cod.Establecimiento],$O$3,BASE[CODCIE1010],ENOS_G2_HEPATITIS_VIRAL_SIN_OTRA_ESPECIFIACION[[#This Row],[CIE-10]]))</calculatedColumnFormula>
    </tableColumn>
    <tableColumn id="8" xr3:uid="{00000000-0010-0000-1800-000008000000}" name="TOT" dataDxfId="1877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76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75">
      <calculatedColumnFormula>IF($O$3="(Todas)",COUNTIF(BASE[CODCIE10],ENOS_G2_ETA[[#This Row],[CIE-10]]),COUNTIFS(BASE[Cod.Establecimiento],$O$3,BASE[CODCIE10],ENOS_G2_ETA[[#This Row],[CIE-10]]))</calculatedColumnFormula>
    </tableColumn>
    <tableColumn id="3" xr3:uid="{00000000-0010-0000-1900-000003000000}" name="D2" dataDxfId="1874">
      <calculatedColumnFormula>IF($O$3="(Todas)",COUNTIF(BASE[CODCIE102],ENOS_G2_ETA[[#This Row],[CIE-10]]),COUNTIFS(BASE[Cod.Establecimiento],$O$3,BASE[CODCIE102],ENOS_G2_ETA[[#This Row],[CIE-10]]))</calculatedColumnFormula>
    </tableColumn>
    <tableColumn id="4" xr3:uid="{00000000-0010-0000-1900-000004000000}" name="D3" dataDxfId="1873">
      <calculatedColumnFormula>IF($O$3="(Todas)",COUNTIF(BASE[CODCIE104],ENOS_G2_ETA[[#This Row],[CIE-10]]),COUNTIFS(BASE[Cod.Establecimiento],$O$3,BASE[CODCIE104],ENOS_G2_ETA[[#This Row],[CIE-10]]))</calculatedColumnFormula>
    </tableColumn>
    <tableColumn id="5" xr3:uid="{00000000-0010-0000-1900-000005000000}" name="D4" dataDxfId="1872">
      <calculatedColumnFormula>IF($O$3="(Todas)",COUNTIF(BASE[CODCIE106],ENOS_G2_ETA[[#This Row],[CIE-10]]),COUNTIFS(BASE[Cod.Establecimiento],$O$3,BASE[CODCIE106],ENOS_G2_ETA[[#This Row],[CIE-10]]))</calculatedColumnFormula>
    </tableColumn>
    <tableColumn id="6" xr3:uid="{00000000-0010-0000-1900-000006000000}" name="D5" dataDxfId="1871">
      <calculatedColumnFormula>IF($O$3="(Todas)",COUNTIF(BASE[CODCIE108],ENOS_G2_ETA[[#This Row],[CIE-10]]),COUNTIFS(BASE[Cod.Establecimiento],$O$3,BASE[CODCIE108],ENOS_G2_ETA[[#This Row],[CIE-10]]))</calculatedColumnFormula>
    </tableColumn>
    <tableColumn id="7" xr3:uid="{00000000-0010-0000-1900-000007000000}" name="D6" dataDxfId="1870">
      <calculatedColumnFormula>IF($O$3="(Todas)",COUNTIF(BASE[CODCIE1010],ENOS_G2_ETA[[#This Row],[CIE-10]]),COUNTIFS(BASE[Cod.Establecimiento],$O$3,BASE[CODCIE1010],ENOS_G2_ETA[[#This Row],[CIE-10]]))</calculatedColumnFormula>
    </tableColumn>
    <tableColumn id="8" xr3:uid="{00000000-0010-0000-1900-000008000000}" name="TOT" dataDxfId="1869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68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67">
      <calculatedColumnFormula>IF($O$3="(Todas)",COUNTIF(BASE[CODCIE10],ENOS_G2_SIFILIS_CONGENITA[[#This Row],[CIE-10]]),COUNTIFS(BASE[Cod.Establecimiento],$O$3,BASE[CODCIE10],ENOS_G2_SIFILIS_CONGENITA[[#This Row],[CIE-10]]))</calculatedColumnFormula>
    </tableColumn>
    <tableColumn id="3" xr3:uid="{00000000-0010-0000-1A00-000003000000}" name="D2" dataDxfId="1866">
      <calculatedColumnFormula>IF($O$3="(Todas)",COUNTIF(BASE[CODCIE102],ENOS_G2_SIFILIS_CONGENITA[[#This Row],[CIE-10]]),COUNTIFS(BASE[Cod.Establecimiento],$O$3,BASE[CODCIE102],ENOS_G2_SIFILIS_CONGENITA[[#This Row],[CIE-10]]))</calculatedColumnFormula>
    </tableColumn>
    <tableColumn id="4" xr3:uid="{00000000-0010-0000-1A00-000004000000}" name="D3" dataDxfId="1865">
      <calculatedColumnFormula>IF($O$3="(Todas)",COUNTIF(BASE[CODCIE104],ENOS_G2_SIFILIS_CONGENITA[[#This Row],[CIE-10]]),COUNTIFS(BASE[Cod.Establecimiento],$O$3,BASE[CODCIE104],ENOS_G2_SIFILIS_CONGENITA[[#This Row],[CIE-10]]))</calculatedColumnFormula>
    </tableColumn>
    <tableColumn id="5" xr3:uid="{00000000-0010-0000-1A00-000005000000}" name="D4" dataDxfId="1864">
      <calculatedColumnFormula>IF($O$3="(Todas)",COUNTIF(BASE[CODCIE106],ENOS_G2_SIFILIS_CONGENITA[[#This Row],[CIE-10]]),COUNTIFS(BASE[Cod.Establecimiento],$O$3,BASE[CODCIE106],ENOS_G2_SIFILIS_CONGENITA[[#This Row],[CIE-10]]))</calculatedColumnFormula>
    </tableColumn>
    <tableColumn id="6" xr3:uid="{00000000-0010-0000-1A00-000006000000}" name="D5" dataDxfId="1863">
      <calculatedColumnFormula>IF($O$3="(Todas)",COUNTIF(BASE[CODCIE108],ENOS_G2_SIFILIS_CONGENITA[[#This Row],[CIE-10]]),COUNTIFS(BASE[Cod.Establecimiento],$O$3,BASE[CODCIE108],ENOS_G2_SIFILIS_CONGENITA[[#This Row],[CIE-10]]))</calculatedColumnFormula>
    </tableColumn>
    <tableColumn id="7" xr3:uid="{00000000-0010-0000-1A00-000007000000}" name="D6" dataDxfId="1862">
      <calculatedColumnFormula>IF($O$3="(Todas)",COUNTIF(BASE[CODCIE1010],ENOS_G2_SIFILIS_CONGENITA[[#This Row],[CIE-10]]),COUNTIFS(BASE[Cod.Establecimiento],$O$3,BASE[CODCIE1010],ENOS_G2_SIFILIS_CONGENITA[[#This Row],[CIE-10]]))</calculatedColumnFormula>
    </tableColumn>
    <tableColumn id="8" xr3:uid="{00000000-0010-0000-1A00-000008000000}" name="TOT" dataDxfId="1861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60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59">
      <calculatedColumnFormula>IF($O$3="(Todas)",COUNTIF(BASE[CODCIE10],ENOS_G2_SIFILIS_EMBARAZADA[[#This Row],[CIE-10]]),COUNTIFS(BASE[Cod.Establecimiento],$O$3,BASE[CODCIE10],ENOS_G2_SIFILIS_EMBARAZADA[[#This Row],[CIE-10]]))</calculatedColumnFormula>
    </tableColumn>
    <tableColumn id="3" xr3:uid="{00000000-0010-0000-1B00-000003000000}" name="D2" dataDxfId="1858">
      <calculatedColumnFormula>IF($O$3="(Todas)",COUNTIF(BASE[CODCIE102],ENOS_G2_SIFILIS_EMBARAZADA[[#This Row],[CIE-10]]),COUNTIFS(BASE[Cod.Establecimiento],$O$3,BASE[CODCIE102],ENOS_G2_SIFILIS_EMBARAZADA[[#This Row],[CIE-10]]))</calculatedColumnFormula>
    </tableColumn>
    <tableColumn id="4" xr3:uid="{00000000-0010-0000-1B00-000004000000}" name="D3" dataDxfId="1857">
      <calculatedColumnFormula>IF($O$3="(Todas)",COUNTIF(BASE[CODCIE104],ENOS_G2_SIFILIS_EMBARAZADA[[#This Row],[CIE-10]]),COUNTIFS(BASE[Cod.Establecimiento],$O$3,BASE[CODCIE104],ENOS_G2_SIFILIS_EMBARAZADA[[#This Row],[CIE-10]]))</calculatedColumnFormula>
    </tableColumn>
    <tableColumn id="5" xr3:uid="{00000000-0010-0000-1B00-000005000000}" name="D4" dataDxfId="1856">
      <calculatedColumnFormula>IF($O$3="(Todas)",COUNTIF(BASE[CODCIE106],ENOS_G2_SIFILIS_EMBARAZADA[[#This Row],[CIE-10]]),COUNTIFS(BASE[Cod.Establecimiento],$O$3,BASE[CODCIE106],ENOS_G2_SIFILIS_EMBARAZADA[[#This Row],[CIE-10]]))</calculatedColumnFormula>
    </tableColumn>
    <tableColumn id="6" xr3:uid="{00000000-0010-0000-1B00-000006000000}" name="D5" dataDxfId="1855">
      <calculatedColumnFormula>IF($O$3="(Todas)",COUNTIF(BASE[CODCIE108],ENOS_G2_SIFILIS_EMBARAZADA[[#This Row],[CIE-10]]),COUNTIFS(BASE[Cod.Establecimiento],$O$3,BASE[CODCIE108],ENOS_G2_SIFILIS_EMBARAZADA[[#This Row],[CIE-10]]))</calculatedColumnFormula>
    </tableColumn>
    <tableColumn id="7" xr3:uid="{00000000-0010-0000-1B00-000007000000}" name="D6" dataDxfId="1854">
      <calculatedColumnFormula>IF($O$3="(Todas)",COUNTIF(BASE[CODCIE1010],ENOS_G2_SIFILIS_EMBARAZADA[[#This Row],[CIE-10]]),COUNTIFS(BASE[Cod.Establecimiento],$O$3,BASE[CODCIE1010],ENOS_G2_SIFILIS_EMBARAZADA[[#This Row],[CIE-10]]))</calculatedColumnFormula>
    </tableColumn>
    <tableColumn id="8" xr3:uid="{00000000-0010-0000-1B00-000008000000}" name="TOT" dataDxfId="1853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52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51">
      <calculatedColumnFormula>IF($O$3="(Todas)",COUNTIF(BASE[CODCIE10],ENOS_G2_SIFILIS_TODOS_LOS_CASOS[[#This Row],[CIE-10]]),COUNTIFS(BASE[Cod.Establecimiento],$O$3,BASE[CODCIE10],ENOS_G2_SIFILIS_TODOS_LOS_CASOS[[#This Row],[CIE-10]]))</calculatedColumnFormula>
    </tableColumn>
    <tableColumn id="3" xr3:uid="{00000000-0010-0000-1C00-000003000000}" name="D2" dataDxfId="1850">
      <calculatedColumnFormula>IF($O$3="(Todas)",COUNTIF(BASE[CODCIE102],ENOS_G2_SIFILIS_TODOS_LOS_CASOS[[#This Row],[CIE-10]]),COUNTIFS(BASE[Cod.Establecimiento],$O$3,BASE[CODCIE102],ENOS_G2_SIFILIS_TODOS_LOS_CASOS[[#This Row],[CIE-10]]))</calculatedColumnFormula>
    </tableColumn>
    <tableColumn id="4" xr3:uid="{00000000-0010-0000-1C00-000004000000}" name="D3" dataDxfId="1849">
      <calculatedColumnFormula>IF($O$3="(Todas)",COUNTIF(BASE[CODCIE104],ENOS_G2_SIFILIS_TODOS_LOS_CASOS[[#This Row],[CIE-10]]),COUNTIFS(BASE[Cod.Establecimiento],$O$3,BASE[CODCIE104],ENOS_G2_SIFILIS_TODOS_LOS_CASOS[[#This Row],[CIE-10]]))</calculatedColumnFormula>
    </tableColumn>
    <tableColumn id="5" xr3:uid="{00000000-0010-0000-1C00-000005000000}" name="D4" dataDxfId="1848">
      <calculatedColumnFormula>IF($O$3="(Todas)",COUNTIF(BASE[CODCIE106],ENOS_G2_SIFILIS_TODOS_LOS_CASOS[[#This Row],[CIE-10]]),COUNTIFS(BASE[Cod.Establecimiento],$O$3,BASE[CODCIE106],ENOS_G2_SIFILIS_TODOS_LOS_CASOS[[#This Row],[CIE-10]]))</calculatedColumnFormula>
    </tableColumn>
    <tableColumn id="6" xr3:uid="{00000000-0010-0000-1C00-000006000000}" name="D5" dataDxfId="1847">
      <calculatedColumnFormula>IF($O$3="(Todas)",COUNTIF(BASE[CODCIE108],ENOS_G2_SIFILIS_TODOS_LOS_CASOS[[#This Row],[CIE-10]]),COUNTIFS(BASE[Cod.Establecimiento],$O$3,BASE[CODCIE108],ENOS_G2_SIFILIS_TODOS_LOS_CASOS[[#This Row],[CIE-10]]))</calculatedColumnFormula>
    </tableColumn>
    <tableColumn id="7" xr3:uid="{00000000-0010-0000-1C00-000007000000}" name="D6" dataDxfId="1846">
      <calculatedColumnFormula>IF($O$3="(Todas)",COUNTIF(BASE[CODCIE1010],ENOS_G2_SIFILIS_TODOS_LOS_CASOS[[#This Row],[CIE-10]]),COUNTIFS(BASE[Cod.Establecimiento],$O$3,BASE[CODCIE1010],ENOS_G2_SIFILIS_TODOS_LOS_CASOS[[#This Row],[CIE-10]]))</calculatedColumnFormula>
    </tableColumn>
    <tableColumn id="8" xr3:uid="{00000000-0010-0000-1C00-000008000000}" name="TOT" dataDxfId="1845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44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43">
      <calculatedColumnFormula>IF($O$3="(Todas)",COUNTIF(BASE[CODCIE10],ENOS_G2_ENF_VIRICAS_LESIONES_PIEL_Y_MEMB_MUCOSAS[[#This Row],[CIE-10]]),COUNTIFS(BASE[Cod.Establecimiento],$O$3,BASE[CODCIE10],ENOS_G2_ENF_VIRICAS_LESIONES_PIEL_Y_MEMB_MUCOSAS[[#This Row],[CIE-10]]))</calculatedColumnFormula>
    </tableColumn>
    <tableColumn id="3" xr3:uid="{00000000-0010-0000-1D00-000003000000}" name="D2" dataDxfId="1842">
      <calculatedColumnFormula>IF($O$3="(Todas)",COUNTIF(BASE[CODCIE102],ENOS_G2_ENF_VIRICAS_LESIONES_PIEL_Y_MEMB_MUCOSAS[[#This Row],[CIE-10]]),COUNTIFS(BASE[Cod.Establecimiento],$O$3,BASE[CODCIE102],ENOS_G2_ENF_VIRICAS_LESIONES_PIEL_Y_MEMB_MUCOSAS[[#This Row],[CIE-10]]))</calculatedColumnFormula>
    </tableColumn>
    <tableColumn id="4" xr3:uid="{00000000-0010-0000-1D00-000004000000}" name="D3" dataDxfId="1841">
      <calculatedColumnFormula>IF($O$3="(Todas)",COUNTIF(BASE[CODCIE104],ENOS_G2_ENF_VIRICAS_LESIONES_PIEL_Y_MEMB_MUCOSAS[[#This Row],[CIE-10]]),COUNTIFS(BASE[Cod.Establecimiento],$O$3,BASE[CODCIE104],ENOS_G2_ENF_VIRICAS_LESIONES_PIEL_Y_MEMB_MUCOSAS[[#This Row],[CIE-10]]))</calculatedColumnFormula>
    </tableColumn>
    <tableColumn id="5" xr3:uid="{00000000-0010-0000-1D00-000005000000}" name="D4" dataDxfId="1840">
      <calculatedColumnFormula>IF($O$3="(Todas)",COUNTIF(BASE[CODCIE106],ENOS_G2_ENF_VIRICAS_LESIONES_PIEL_Y_MEMB_MUCOSAS[[#This Row],[CIE-10]]),COUNTIFS(BASE[Cod.Establecimiento],$O$3,BASE[CODCIE106],ENOS_G2_ENF_VIRICAS_LESIONES_PIEL_Y_MEMB_MUCOSAS[[#This Row],[CIE-10]]))</calculatedColumnFormula>
    </tableColumn>
    <tableColumn id="6" xr3:uid="{00000000-0010-0000-1D00-000006000000}" name="D5" dataDxfId="1839">
      <calculatedColumnFormula>IF($O$3="(Todas)",COUNTIF(BASE[CODCIE108],ENOS_G2_ENF_VIRICAS_LESIONES_PIEL_Y_MEMB_MUCOSAS[[#This Row],[CIE-10]]),COUNTIFS(BASE[Cod.Establecimiento],$O$3,BASE[CODCIE108],ENOS_G2_ENF_VIRICAS_LESIONES_PIEL_Y_MEMB_MUCOSAS[[#This Row],[CIE-10]]))</calculatedColumnFormula>
    </tableColumn>
    <tableColumn id="7" xr3:uid="{00000000-0010-0000-1D00-000007000000}" name="D6" dataDxfId="1838">
      <calculatedColumnFormula>IF($O$3="(Todas)",COUNTIF(BASE[CODCIE1010],ENOS_G2_ENF_VIRICAS_LESIONES_PIEL_Y_MEMB_MUCOSAS[[#This Row],[CIE-10]]),COUNTIFS(BASE[Cod.Establecimiento],$O$3,BASE[CODCIE1010],ENOS_G2_ENF_VIRICAS_LESIONES_PIEL_Y_MEMB_MUCOSAS[[#This Row],[CIE-10]]))</calculatedColumnFormula>
    </tableColumn>
    <tableColumn id="8" xr3:uid="{00000000-0010-0000-1D00-000008000000}" name="TOT" dataDxfId="1837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36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35">
      <calculatedColumnFormula>IF($O$3="(Todas)",COUNTIFS(BASE[CODCIE10],ENOS_G3_ETI_MENOR_QUE_1_AÑO[[#This Row],[CIE-10]],BASE[Edad],"&lt;1"),COUNTIFS(BASE[Cod.Establecimiento],$O$3,BASE[CODCIE10],ENOS_G3_ETI_MENOR_QUE_1_AÑO[[#This Row],[CIE-10]],BASE[Edad],"&lt;1"))</calculatedColumnFormula>
    </tableColumn>
    <tableColumn id="3" xr3:uid="{00000000-0010-0000-1E00-000003000000}" name="D2" dataDxfId="1834">
      <calculatedColumnFormula>IF($O$3="(Todas)",COUNTIFS(BASE[CODCIE102],ENOS_G3_ETI_MENOR_QUE_1_AÑO[[#This Row],[CIE-10]],BASE[Edad],"&lt;1"),COUNTIFS(BASE[Cod.Establecimiento],$O$3,BASE[CODCIE102],ENOS_G3_ETI_MENOR_QUE_1_AÑO[[#This Row],[CIE-10]],BASE[Edad],"&lt;1"))</calculatedColumnFormula>
    </tableColumn>
    <tableColumn id="4" xr3:uid="{00000000-0010-0000-1E00-000004000000}" name="D3" dataDxfId="1833">
      <calculatedColumnFormula>IF($O$3="(Todas)",COUNTIFS(BASE[CODCIE104],ENOS_G3_ETI_MENOR_QUE_1_AÑO[[#This Row],[CIE-10]],BASE[Edad],"&lt;1"),COUNTIFS(BASE[Cod.Establecimiento],$O$3,BASE[CODCIE104],ENOS_G3_ETI_MENOR_QUE_1_AÑO[[#This Row],[CIE-10]],BASE[Edad],"&lt;1"))</calculatedColumnFormula>
    </tableColumn>
    <tableColumn id="5" xr3:uid="{00000000-0010-0000-1E00-000005000000}" name="D4" dataDxfId="1832">
      <calculatedColumnFormula>IF($O$3="(Todas)",COUNTIFS(BASE[CODCIE106],ENOS_G3_ETI_MENOR_QUE_1_AÑO[[#This Row],[CIE-10]],BASE[Edad],"&lt;1"),COUNTIFS(BASE[Cod.Establecimiento],$O$3,BASE[CODCIE106],ENOS_G3_ETI_MENOR_QUE_1_AÑO[[#This Row],[CIE-10]],BASE[Edad],"&lt;1"))</calculatedColumnFormula>
    </tableColumn>
    <tableColumn id="6" xr3:uid="{00000000-0010-0000-1E00-000006000000}" name="D5" dataDxfId="1831">
      <calculatedColumnFormula>IF($O$3="(Todas)",COUNTIFS(BASE[CODCIE108],ENOS_G3_ETI_MENOR_QUE_1_AÑO[[#This Row],[CIE-10]],BASE[Edad],"&lt;1"),COUNTIFS(BASE[Cod.Establecimiento],$O$3,BASE[CODCIE108],ENOS_G3_ETI_MENOR_QUE_1_AÑO[[#This Row],[CIE-10]],BASE[Edad],"&lt;1"))</calculatedColumnFormula>
    </tableColumn>
    <tableColumn id="7" xr3:uid="{00000000-0010-0000-1E00-000007000000}" name="D6" dataDxfId="1830">
      <calculatedColumnFormula>IF($O$3="(Todas)",COUNTIFS(BASE[CODCIE1010],ENOS_G3_ETI_MENOR_QUE_1_AÑO[[#This Row],[CIE-10]],BASE[Edad],"&lt;1"),COUNTIFS(BASE[Cod.Establecimiento],$O$3,BASE[CODCIE1010],ENOS_G3_ETI_MENOR_QUE_1_AÑO[[#This Row],[CIE-10]],BASE[Edad],"&lt;1"))</calculatedColumnFormula>
    </tableColumn>
    <tableColumn id="8" xr3:uid="{00000000-0010-0000-1E00-000008000000}" name="TOT" dataDxfId="1829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28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27">
      <calculatedColumnFormula>IF($O$3="(Todas)",COUNTIFS(BASE[CODCIE10],ENOS_G3_ETI_1_4_AÑOS[[#This Row],[CIE-10]],BASE[Edad],"&gt;=1",BASE[Edad],"&lt;=4"),COUNTIFS(BASE[Cod.Establecimiento],$O$3,BASE[CODCIE10],ENOS_G3_ETI_1_4_AÑOS[[#This Row],[CIE-10]],BASE[Edad],"&gt;=1",BASE[Edad],"&lt;=4"))</calculatedColumnFormula>
    </tableColumn>
    <tableColumn id="3" xr3:uid="{00000000-0010-0000-1F00-000003000000}" name="D2" dataDxfId="1826">
      <calculatedColumnFormula>IF($O$3="(Todas)",COUNTIFS(BASE[CODCIE102],ENOS_G3_ETI_1_4_AÑOS[[#This Row],[CIE-10]],BASE[Edad],"&gt;=1",BASE[Edad],"&lt;=4"),COUNTIFS(BASE[Cod.Establecimiento],$O$3,BASE[CODCIE102],ENOS_G3_ETI_1_4_AÑOS[[#This Row],[CIE-10]],BASE[Edad],"&gt;=1",BASE[Edad],"&lt;=4"))</calculatedColumnFormula>
    </tableColumn>
    <tableColumn id="4" xr3:uid="{00000000-0010-0000-1F00-000004000000}" name="D3" dataDxfId="1825">
      <calculatedColumnFormula>IF($O$3="(Todas)",COUNTIFS(BASE[CODCIE104],ENOS_G3_ETI_1_4_AÑOS[[#This Row],[CIE-10]],BASE[Edad],"&gt;=1",BASE[Edad],"&lt;=4"),COUNTIFS(BASE[Cod.Establecimiento],$O$3,BASE[CODCIE104],ENOS_G3_ETI_1_4_AÑOS[[#This Row],[CIE-10]],BASE[Edad],"&gt;=1",BASE[Edad],"&lt;=4"))</calculatedColumnFormula>
    </tableColumn>
    <tableColumn id="5" xr3:uid="{00000000-0010-0000-1F00-000005000000}" name="D4" dataDxfId="1824">
      <calculatedColumnFormula>IF($O$3="(Todas)",COUNTIFS(BASE[CODCIE106],ENOS_G3_ETI_1_4_AÑOS[[#This Row],[CIE-10]],BASE[Edad],"&gt;=1",BASE[Edad],"&lt;=4"),COUNTIFS(BASE[Cod.Establecimiento],$O$3,BASE[CODCIE106],ENOS_G3_ETI_1_4_AÑOS[[#This Row],[CIE-10]],BASE[Edad],"&gt;=1",BASE[Edad],"&lt;=4"))</calculatedColumnFormula>
    </tableColumn>
    <tableColumn id="6" xr3:uid="{00000000-0010-0000-1F00-000006000000}" name="D5" dataDxfId="1823">
      <calculatedColumnFormula>IF($O$3="(Todas)",COUNTIFS(BASE[CODCIE108],ENOS_G3_ETI_1_4_AÑOS[[#This Row],[CIE-10]],BASE[Edad],"&gt;=1",BASE[Edad],"&lt;=4"),COUNTIFS(BASE[Cod.Establecimiento],$O$3,BASE[CODCIE108],ENOS_G3_ETI_1_4_AÑOS[[#This Row],[CIE-10]],BASE[Edad],"&gt;=1",BASE[Edad],"&lt;=4"))</calculatedColumnFormula>
    </tableColumn>
    <tableColumn id="7" xr3:uid="{00000000-0010-0000-1F00-000007000000}" name="D6" dataDxfId="1822">
      <calculatedColumnFormula>IF($O$3="(Todas)",COUNTIFS(BASE[CODCIE1010],ENOS_G3_ETI_1_4_AÑOS[[#This Row],[CIE-10]],BASE[Edad],"&gt;=1",BASE[Edad],"&lt;=4"),COUNTIFS(BASE[Cod.Establecimiento],$O$3,BASE[CODCIE1010],ENOS_G3_ETI_1_4_AÑOS[[#This Row],[CIE-10]],BASE[Edad],"&gt;=1",BASE[Edad],"&lt;=4"))</calculatedColumnFormula>
    </tableColumn>
    <tableColumn id="8" xr3:uid="{00000000-0010-0000-1F00-000008000000}" name="TOT" dataDxfId="1821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20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19">
      <calculatedColumnFormula>IF($O$3="(Todas)",COUNTIFS(BASE[CODCIE10],ENOS_G3_ETI_5_19_AÑOS[[#This Row],[CIE-10]],BASE[Edad],"&gt;=5",BASE[Edad],"&lt;=19"),COUNTIFS(BASE[Cod.Establecimiento],$O$3,BASE[CODCIE10],ENOS_G3_ETI_5_19_AÑOS[[#This Row],[CIE-10]],BASE[Edad],"&gt;=5",BASE[Edad],"&lt;=19"))</calculatedColumnFormula>
    </tableColumn>
    <tableColumn id="3" xr3:uid="{00000000-0010-0000-2000-000003000000}" name="D2" dataDxfId="1818">
      <calculatedColumnFormula>IF($O$3="(Todas)",COUNTIFS(BASE[CODCIE102],ENOS_G3_ETI_5_19_AÑOS[[#This Row],[CIE-10]],BASE[Edad],"&gt;=5",BASE[Edad],"&lt;=19"),COUNTIFS(BASE[Cod.Establecimiento],$O$3,BASE[CODCIE102],ENOS_G3_ETI_5_19_AÑOS[[#This Row],[CIE-10]],BASE[Edad],"&gt;=5",BASE[Edad],"&lt;=19"))</calculatedColumnFormula>
    </tableColumn>
    <tableColumn id="4" xr3:uid="{00000000-0010-0000-2000-000004000000}" name="D3" dataDxfId="1817">
      <calculatedColumnFormula>IF($O$3="(Todas)",COUNTIFS(BASE[CODCIE104],ENOS_G3_ETI_5_19_AÑOS[[#This Row],[CIE-10]],BASE[Edad],"&gt;=5",BASE[Edad],"&lt;=19"),COUNTIFS(BASE[Cod.Establecimiento],$O$3,BASE[CODCIE104],ENOS_G3_ETI_5_19_AÑOS[[#This Row],[CIE-10]],BASE[Edad],"&gt;=5",BASE[Edad],"&lt;=19"))</calculatedColumnFormula>
    </tableColumn>
    <tableColumn id="5" xr3:uid="{00000000-0010-0000-2000-000005000000}" name="D4" dataDxfId="1816">
      <calculatedColumnFormula>IF($O$3="(Todas)",COUNTIFS(BASE[CODCIE106],ENOS_G3_ETI_5_19_AÑOS[[#This Row],[CIE-10]],BASE[Edad],"&gt;=5",BASE[Edad],"&lt;=19"),COUNTIFS(BASE[Cod.Establecimiento],$O$3,BASE[CODCIE106],ENOS_G3_ETI_5_19_AÑOS[[#This Row],[CIE-10]],BASE[Edad],"&gt;=5",BASE[Edad],"&lt;=19"))</calculatedColumnFormula>
    </tableColumn>
    <tableColumn id="6" xr3:uid="{00000000-0010-0000-2000-000006000000}" name="D5" dataDxfId="1815">
      <calculatedColumnFormula>IF($O$3="(Todas)",COUNTIFS(BASE[CODCIE108],ENOS_G3_ETI_5_19_AÑOS[[#This Row],[CIE-10]],BASE[Edad],"&gt;=5",BASE[Edad],"&lt;=19"),COUNTIFS(BASE[Cod.Establecimiento],$O$3,BASE[CODCIE108],ENOS_G3_ETI_5_19_AÑOS[[#This Row],[CIE-10]],BASE[Edad],"&gt;=5",BASE[Edad],"&lt;=19"))</calculatedColumnFormula>
    </tableColumn>
    <tableColumn id="7" xr3:uid="{00000000-0010-0000-2000-000007000000}" name="D6" dataDxfId="1814">
      <calculatedColumnFormula>IF($O$3="(Todas)",COUNTIFS(BASE[CODCIE1010],ENOS_G3_ETI_5_19_AÑOS[[#This Row],[CIE-10]],BASE[Edad],"&gt;=5",BASE[Edad],"&lt;=19"),COUNTIFS(BASE[Cod.Establecimiento],$O$3,BASE[CODCIE1010],ENOS_G3_ETI_5_19_AÑOS[[#This Row],[CIE-10]],BASE[Edad],"&gt;=5",BASE[Edad],"&lt;=19"))</calculatedColumnFormula>
    </tableColumn>
    <tableColumn id="8" xr3:uid="{00000000-0010-0000-2000-000008000000}" name="TOT" dataDxfId="1813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12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11">
      <calculatedColumnFormula>IF($O$3="(Todas)",COUNTIFS(BASE[CODCIE10],ENOS_G3_ETI_20_59_AÑOS[[#This Row],[CIE-10]],BASE[Edad],"&gt;=20",BASE[Edad],"&lt;=59"),COUNTIFS(BASE[Cod.Establecimiento],$O$3,BASE[CODCIE10],ENOS_G3_ETI_20_59_AÑOS[[#This Row],[CIE-10]],BASE[Edad],"&gt;=20",BASE[Edad],"&lt;=59"))</calculatedColumnFormula>
    </tableColumn>
    <tableColumn id="3" xr3:uid="{00000000-0010-0000-2100-000003000000}" name="D2" dataDxfId="1810">
      <calculatedColumnFormula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calculatedColumnFormula>
    </tableColumn>
    <tableColumn id="4" xr3:uid="{00000000-0010-0000-2100-000004000000}" name="D3" dataDxfId="1809">
      <calculatedColumnFormula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calculatedColumnFormula>
    </tableColumn>
    <tableColumn id="5" xr3:uid="{00000000-0010-0000-2100-000005000000}" name="D4" dataDxfId="1808">
      <calculatedColumnFormula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calculatedColumnFormula>
    </tableColumn>
    <tableColumn id="6" xr3:uid="{00000000-0010-0000-2100-000006000000}" name="D5" dataDxfId="1807">
      <calculatedColumnFormula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calculatedColumnFormula>
    </tableColumn>
    <tableColumn id="7" xr3:uid="{00000000-0010-0000-2100-000007000000}" name="D6" dataDxfId="1806">
      <calculatedColumnFormula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calculatedColumnFormula>
    </tableColumn>
    <tableColumn id="8" xr3:uid="{00000000-0010-0000-2100-000008000000}" name="TOT" dataDxfId="1805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04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03">
      <calculatedColumnFormula>IF($O$3="(Todas)",COUNTIFS(BASE[CODCIE10],ENOS_G3_ETI_60_MAS_AÑOS[[#This Row],[CIE-10]],BASE[Edad],"&gt;=60"),COUNTIFS(BASE[Cod.Establecimiento],$O$3,BASE[CODCIE10],ENOS_G3_ETI_60_MAS_AÑOS[[#This Row],[CIE-10]],BASE[Edad],"&gt;=60"))</calculatedColumnFormula>
    </tableColumn>
    <tableColumn id="3" xr3:uid="{00000000-0010-0000-2200-000003000000}" name="D2" dataDxfId="1802">
      <calculatedColumnFormula>IF($O$3="(Todas)",COUNTIFS(BASE[CODCIE102],ENOS_G3_ETI_60_MAS_AÑOS[[#This Row],[CIE-10]],BASE[Edad],"&gt;=60"),COUNTIFS(BASE[Cod.Establecimiento],$O$3,BASE[CODCIE102],ENOS_G3_ETI_60_MAS_AÑOS[[#This Row],[CIE-10]],BASE[Edad],"&gt;=60"))</calculatedColumnFormula>
    </tableColumn>
    <tableColumn id="4" xr3:uid="{00000000-0010-0000-2200-000004000000}" name="D3" dataDxfId="1801">
      <calculatedColumnFormula>IF($O$3="(Todas)",COUNTIFS(BASE[CODCIE104],ENOS_G3_ETI_60_MAS_AÑOS[[#This Row],[CIE-10]],BASE[Edad],"&gt;=60"),COUNTIFS(BASE[Cod.Establecimiento],$O$3,BASE[CODCIE104],ENOS_G3_ETI_60_MAS_AÑOS[[#This Row],[CIE-10]],BASE[Edad],"&gt;=60"))</calculatedColumnFormula>
    </tableColumn>
    <tableColumn id="5" xr3:uid="{00000000-0010-0000-2200-000005000000}" name="D4" dataDxfId="1800">
      <calculatedColumnFormula>IF($O$3="(Todas)",COUNTIFS(BASE[CODCIE106],ENOS_G3_ETI_60_MAS_AÑOS[[#This Row],[CIE-10]],BASE[Edad],"&gt;=60"),COUNTIFS(BASE[Cod.Establecimiento],$O$3,BASE[CODCIE106],ENOS_G3_ETI_60_MAS_AÑOS[[#This Row],[CIE-10]],BASE[Edad],"&gt;=60"))</calculatedColumnFormula>
    </tableColumn>
    <tableColumn id="6" xr3:uid="{00000000-0010-0000-2200-000006000000}" name="D5" dataDxfId="1799">
      <calculatedColumnFormula>IF($O$3="(Todas)",COUNTIFS(BASE[CODCIE108],ENOS_G3_ETI_60_MAS_AÑOS[[#This Row],[CIE-10]],BASE[Edad],"&gt;=60"),COUNTIFS(BASE[Cod.Establecimiento],$O$3,BASE[CODCIE108],ENOS_G3_ETI_60_MAS_AÑOS[[#This Row],[CIE-10]],BASE[Edad],"&gt;=60"))</calculatedColumnFormula>
    </tableColumn>
    <tableColumn id="7" xr3:uid="{00000000-0010-0000-2200-000007000000}" name="D6" dataDxfId="1798">
      <calculatedColumnFormula>IF($O$3="(Todas)",COUNTIFS(BASE[CODCIE1010],ENOS_G3_ETI_60_MAS_AÑOS[[#This Row],[CIE-10]],BASE[Edad],"&gt;=60"),COUNTIFS(BASE[Cod.Establecimiento],$O$3,BASE[CODCIE1010],ENOS_G3_ETI_60_MAS_AÑOS[[#This Row],[CIE-10]],BASE[Edad],"&gt;=60"))</calculatedColumnFormula>
    </tableColumn>
    <tableColumn id="8" xr3:uid="{00000000-0010-0000-2200-000008000000}" name="TOT" dataDxfId="1797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796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795">
      <calculatedColumnFormula>IF($O$3="(Todas)",COUNTIFS(BASE[CODCIE10],ENOS_G3_ETI_SD_AÑOS[[#This Row],[CIE-10]],BASE[Edad],""),COUNTIFS(BASE[Cod.Establecimiento],$O$3,BASE[CODCIE10],ENOS_G3_ETI_SD_AÑOS[[#This Row],[CIE-10]],BASE[Edad],""))</calculatedColumnFormula>
    </tableColumn>
    <tableColumn id="3" xr3:uid="{00000000-0010-0000-2300-000003000000}" name="D2" dataDxfId="1794">
      <calculatedColumnFormula>IF($O$3="(Todas)",COUNTIFS(BASE[CODCIE102],ENOS_G3_ETI_SD_AÑOS[[#This Row],[CIE-10]],BASE[Edad],""),COUNTIFS(BASE[Cod.Establecimiento],$O$3,BASE[CODCIE102],ENOS_G3_ETI_SD_AÑOS[[#This Row],[CIE-10]],BASE[Edad],""))</calculatedColumnFormula>
    </tableColumn>
    <tableColumn id="4" xr3:uid="{00000000-0010-0000-2300-000004000000}" name="D3" dataDxfId="1793">
      <calculatedColumnFormula>IF($O$3="(Todas)",COUNTIFS(BASE[CODCIE104],ENOS_G3_ETI_SD_AÑOS[[#This Row],[CIE-10]],BASE[Edad],""),COUNTIFS(BASE[Cod.Establecimiento],$O$3,BASE[CODCIE104],ENOS_G3_ETI_SD_AÑOS[[#This Row],[CIE-10]],BASE[Edad],""))</calculatedColumnFormula>
    </tableColumn>
    <tableColumn id="5" xr3:uid="{00000000-0010-0000-2300-000005000000}" name="D4" dataDxfId="1792">
      <calculatedColumnFormula>IF($O$3="(Todas)",COUNTIFS(BASE[CODCIE106],ENOS_G3_ETI_SD_AÑOS[[#This Row],[CIE-10]],BASE[Edad],""),COUNTIFS(BASE[Cod.Establecimiento],$O$3,BASE[CODCIE106],ENOS_G3_ETI_SD_AÑOS[[#This Row],[CIE-10]],BASE[Edad],""))</calculatedColumnFormula>
    </tableColumn>
    <tableColumn id="6" xr3:uid="{00000000-0010-0000-2300-000006000000}" name="D5" dataDxfId="1791">
      <calculatedColumnFormula>IF($O$3="(Todas)",COUNTIFS(BASE[CODCIE108],ENOS_G3_ETI_SD_AÑOS[[#This Row],[CIE-10]],BASE[Edad],""),COUNTIFS(BASE[Cod.Establecimiento],$O$3,BASE[CODCIE108],ENOS_G3_ETI_SD_AÑOS[[#This Row],[CIE-10]],BASE[Edad],""))</calculatedColumnFormula>
    </tableColumn>
    <tableColumn id="7" xr3:uid="{00000000-0010-0000-2300-000007000000}" name="D6" dataDxfId="1790">
      <calculatedColumnFormula>IF($O$3="(Todas)",COUNTIFS(BASE[CODCIE1010],ENOS_G3_ETI_SD_AÑOS[[#This Row],[CIE-10]],BASE[Edad],""),COUNTIFS(BASE[Cod.Establecimiento],$O$3,BASE[CODCIE1010],ENOS_G3_ETI_SD_AÑOS[[#This Row],[CIE-10]],BASE[Edad],""))</calculatedColumnFormula>
    </tableColumn>
    <tableColumn id="8" xr3:uid="{00000000-0010-0000-2300-000008000000}" name="TOT" dataDxfId="1789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788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787">
      <calculatedColumnFormula>IF($O$3="(Todas)",COUNTIFS(BASE[CODCIE10],ENOS_G3_IRANN_MENOR_QUE_1_AÑO[[#This Row],[CIE-10]],BASE[Edad],"&lt;1"),COUNTIFS(BASE[Cod.Establecimiento],$O$3,BASE[CODCIE10],ENOS_G3_IRANN_MENOR_QUE_1_AÑO[[#This Row],[CIE-10]],BASE[Edad],"&lt;1"))</calculatedColumnFormula>
    </tableColumn>
    <tableColumn id="3" xr3:uid="{00000000-0010-0000-2400-000003000000}" name="D2" dataDxfId="1786">
      <calculatedColumnFormula>IF($O$3="(Todas)",COUNTIFS(BASE[CODCIE102],ENOS_G3_IRANN_MENOR_QUE_1_AÑO[[#This Row],[CIE-10]],BASE[Edad],"&lt;1"),COUNTIFS(BASE[Cod.Establecimiento],$O$3,BASE[CODCIE102],ENOS_G3_IRANN_MENOR_QUE_1_AÑO[[#This Row],[CIE-10]],BASE[Edad],"&lt;1"))</calculatedColumnFormula>
    </tableColumn>
    <tableColumn id="4" xr3:uid="{00000000-0010-0000-2400-000004000000}" name="D3" dataDxfId="1785">
      <calculatedColumnFormula>IF($O$3="(Todas)",COUNTIFS(BASE[CODCIE104],ENOS_G3_IRANN_MENOR_QUE_1_AÑO[[#This Row],[CIE-10]],BASE[Edad],"&lt;1"),COUNTIFS(BASE[Cod.Establecimiento],$O$3,BASE[CODCIE104],ENOS_G3_IRANN_MENOR_QUE_1_AÑO[[#This Row],[CIE-10]],BASE[Edad],"&lt;1"))</calculatedColumnFormula>
    </tableColumn>
    <tableColumn id="5" xr3:uid="{00000000-0010-0000-2400-000005000000}" name="D4" dataDxfId="1784">
      <calculatedColumnFormula>IF($O$3="(Todas)",COUNTIFS(BASE[CODCIE106],ENOS_G3_IRANN_MENOR_QUE_1_AÑO[[#This Row],[CIE-10]],BASE[Edad],"&lt;1"),COUNTIFS(BASE[Cod.Establecimiento],$O$3,BASE[CODCIE106],ENOS_G3_IRANN_MENOR_QUE_1_AÑO[[#This Row],[CIE-10]],BASE[Edad],"&lt;1"))</calculatedColumnFormula>
    </tableColumn>
    <tableColumn id="6" xr3:uid="{00000000-0010-0000-2400-000006000000}" name="D5" dataDxfId="1783">
      <calculatedColumnFormula>IF($O$3="(Todas)",COUNTIFS(BASE[CODCIE108],ENOS_G3_IRANN_MENOR_QUE_1_AÑO[[#This Row],[CIE-10]],BASE[Edad],"&lt;1"),COUNTIFS(BASE[Cod.Establecimiento],$O$3,BASE[CODCIE108],ENOS_G3_IRANN_MENOR_QUE_1_AÑO[[#This Row],[CIE-10]],BASE[Edad],"&lt;1"))</calculatedColumnFormula>
    </tableColumn>
    <tableColumn id="7" xr3:uid="{00000000-0010-0000-2400-000007000000}" name="D6" dataDxfId="1782">
      <calculatedColumnFormula>IF($O$3="(Todas)",COUNTIFS(BASE[CODCIE1010],ENOS_G3_IRANN_MENOR_QUE_1_AÑO[[#This Row],[CIE-10]],BASE[Edad],"&lt;1"),COUNTIFS(BASE[Cod.Establecimiento],$O$3,BASE[CODCIE1010],ENOS_G3_IRANN_MENOR_QUE_1_AÑO[[#This Row],[CIE-10]],BASE[Edad],"&lt;1"))</calculatedColumnFormula>
    </tableColumn>
    <tableColumn id="8" xr3:uid="{00000000-0010-0000-2400-000008000000}" name="TOT" dataDxfId="1781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780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779">
      <calculatedColumnFormula>IF($O$3="(Todas)",COUNTIFS(BASE[CODCIE10],ENOS_G3_IRANN_1_4_AÑOS[[#This Row],[CIE-10]],BASE[Edad],"&gt;=1",BASE[Edad],"&lt;=4"),COUNTIFS(BASE[Cod.Establecimiento],$O$3,BASE[CODCIE10],ENOS_G3_IRANN_1_4_AÑOS[[#This Row],[CIE-10]],BASE[Edad],"&gt;=1",BASE[Edad],"&lt;=4"))</calculatedColumnFormula>
    </tableColumn>
    <tableColumn id="3" xr3:uid="{00000000-0010-0000-2500-000003000000}" name="D2" dataDxfId="1778">
      <calculatedColumnFormula>IF($O$3="(Todas)",COUNTIFS(BASE[CODCIE102],ENOS_G3_IRANN_1_4_AÑOS[[#This Row],[CIE-10]],BASE[Edad],"&gt;=1",BASE[Edad],"&lt;=4"),COUNTIFS(BASE[Cod.Establecimiento],$O$3,BASE[CODCIE102],ENOS_G3_IRANN_1_4_AÑOS[[#This Row],[CIE-10]],BASE[Edad],"&gt;=1",BASE[Edad],"&lt;=4"))</calculatedColumnFormula>
    </tableColumn>
    <tableColumn id="4" xr3:uid="{00000000-0010-0000-2500-000004000000}" name="D3" dataDxfId="1777">
      <calculatedColumnFormula>IF($O$3="(Todas)",COUNTIFS(BASE[CODCIE104],ENOS_G3_IRANN_1_4_AÑOS[[#This Row],[CIE-10]],BASE[Edad],"&gt;=1",BASE[Edad],"&lt;=4"),COUNTIFS(BASE[Cod.Establecimiento],$O$3,BASE[CODCIE104],ENOS_G3_IRANN_1_4_AÑOS[[#This Row],[CIE-10]],BASE[Edad],"&gt;=1",BASE[Edad],"&lt;=4"))</calculatedColumnFormula>
    </tableColumn>
    <tableColumn id="5" xr3:uid="{00000000-0010-0000-2500-000005000000}" name="D4" dataDxfId="1776">
      <calculatedColumnFormula>IF($O$3="(Todas)",COUNTIFS(BASE[CODCIE106],ENOS_G3_IRANN_1_4_AÑOS[[#This Row],[CIE-10]],BASE[Edad],"&gt;=1",BASE[Edad],"&lt;=4"),COUNTIFS(BASE[Cod.Establecimiento],$O$3,BASE[CODCIE106],ENOS_G3_IRANN_1_4_AÑOS[[#This Row],[CIE-10]],BASE[Edad],"&gt;=1",BASE[Edad],"&lt;=4"))</calculatedColumnFormula>
    </tableColumn>
    <tableColumn id="6" xr3:uid="{00000000-0010-0000-2500-000006000000}" name="D5" dataDxfId="1775">
      <calculatedColumnFormula>IF($O$3="(Todas)",COUNTIFS(BASE[CODCIE108],ENOS_G3_IRANN_1_4_AÑOS[[#This Row],[CIE-10]],BASE[Edad],"&gt;=1",BASE[Edad],"&lt;=4"),COUNTIFS(BASE[Cod.Establecimiento],$O$3,BASE[CODCIE108],ENOS_G3_IRANN_1_4_AÑOS[[#This Row],[CIE-10]],BASE[Edad],"&gt;=1",BASE[Edad],"&lt;=4"))</calculatedColumnFormula>
    </tableColumn>
    <tableColumn id="7" xr3:uid="{00000000-0010-0000-2500-000007000000}" name="D6" dataDxfId="1774">
      <calculatedColumnFormula>IF($O$3="(Todas)",COUNTIFS(BASE[CODCIE1010],ENOS_G3_IRANN_1_4_AÑOS[[#This Row],[CIE-10]],BASE[Edad],"&gt;=1",BASE[Edad],"&lt;=4"),COUNTIFS(BASE[Cod.Establecimiento],$O$3,BASE[CODCIE1010],ENOS_G3_IRANN_1_4_AÑOS[[#This Row],[CIE-10]],BASE[Edad],"&gt;=1",BASE[Edad],"&lt;=4"))</calculatedColumnFormula>
    </tableColumn>
    <tableColumn id="8" xr3:uid="{00000000-0010-0000-2500-000008000000}" name="TOT" dataDxfId="1773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772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771">
      <calculatedColumnFormula>IF($O$3="(Todas)",COUNTIFS(BASE[CODCIE10],ENOS_G3_IRANN_5_19_AÑOS[[#This Row],[CIE-10]],BASE[Edad],"&gt;=5",BASE[Edad],"&lt;=19"),COUNTIFS(BASE[Cod.Establecimiento],$O$3,BASE[CODCIE10],ENOS_G3_IRANN_5_19_AÑOS[[#This Row],[CIE-10]],BASE[Edad],"&gt;=5",BASE[Edad],"&lt;=19"))</calculatedColumnFormula>
    </tableColumn>
    <tableColumn id="3" xr3:uid="{00000000-0010-0000-2600-000003000000}" name="D2" dataDxfId="1770">
      <calculatedColumnFormula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calculatedColumnFormula>
    </tableColumn>
    <tableColumn id="4" xr3:uid="{00000000-0010-0000-2600-000004000000}" name="D3" dataDxfId="1769">
      <calculatedColumnFormula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calculatedColumnFormula>
    </tableColumn>
    <tableColumn id="5" xr3:uid="{00000000-0010-0000-2600-000005000000}" name="D4" dataDxfId="1768">
      <calculatedColumnFormula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calculatedColumnFormula>
    </tableColumn>
    <tableColumn id="6" xr3:uid="{00000000-0010-0000-2600-000006000000}" name="D5" dataDxfId="1767">
      <calculatedColumnFormula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calculatedColumnFormula>
    </tableColumn>
    <tableColumn id="7" xr3:uid="{00000000-0010-0000-2600-000007000000}" name="D6" dataDxfId="1766">
      <calculatedColumnFormula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calculatedColumnFormula>
    </tableColumn>
    <tableColumn id="8" xr3:uid="{00000000-0010-0000-2600-000008000000}" name="TOT" dataDxfId="1765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764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763">
      <calculatedColumnFormula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calculatedColumnFormula>
    </tableColumn>
    <tableColumn id="3" xr3:uid="{00000000-0010-0000-2700-000003000000}" name="D2" dataDxfId="1762">
      <calculatedColumnFormula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calculatedColumnFormula>
    </tableColumn>
    <tableColumn id="4" xr3:uid="{00000000-0010-0000-2700-000004000000}" name="D3" dataDxfId="1761">
      <calculatedColumnFormula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calculatedColumnFormula>
    </tableColumn>
    <tableColumn id="5" xr3:uid="{00000000-0010-0000-2700-000005000000}" name="D4" dataDxfId="1760">
      <calculatedColumnFormula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calculatedColumnFormula>
    </tableColumn>
    <tableColumn id="6" xr3:uid="{00000000-0010-0000-2700-000006000000}" name="D5" dataDxfId="1759">
      <calculatedColumnFormula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calculatedColumnFormula>
    </tableColumn>
    <tableColumn id="7" xr3:uid="{00000000-0010-0000-2700-000007000000}" name="D6" dataDxfId="1758">
      <calculatedColumnFormula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calculatedColumnFormula>
    </tableColumn>
    <tableColumn id="8" xr3:uid="{00000000-0010-0000-2700-000008000000}" name="TOT" dataDxfId="1757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756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755">
      <calculatedColumnFormula>IF($O$3="(Todas)",COUNTIFS(BASE[CODCIE10],ENOS_G3_IRANN_60_MAS_AÑOS[[#This Row],[CIE-10]],BASE[Edad],"&gt;=60"),COUNTIFS(BASE[Cod.Establecimiento],$O$3,BASE[CODCIE10],ENOS_G3_IRANN_60_MAS_AÑOS[[#This Row],[CIE-10]],BASE[Edad],"&gt;=60"))</calculatedColumnFormula>
    </tableColumn>
    <tableColumn id="3" xr3:uid="{00000000-0010-0000-2800-000003000000}" name="D2" dataDxfId="1754">
      <calculatedColumnFormula>IF($O$3="(Todas)",COUNTIFS(BASE[CODCIE102],ENOS_G3_IRANN_60_MAS_AÑOS[[#This Row],[CIE-10]],BASE[Edad],"&gt;=60"),COUNTIFS(BASE[Cod.Establecimiento],$O$3,BASE[CODCIE102],ENOS_G3_IRANN_60_MAS_AÑOS[[#This Row],[CIE-10]],BASE[Edad],"&gt;=60"))</calculatedColumnFormula>
    </tableColumn>
    <tableColumn id="4" xr3:uid="{00000000-0010-0000-2800-000004000000}" name="D3" dataDxfId="1753">
      <calculatedColumnFormula>IF($O$3="(Todas)",COUNTIFS(BASE[CODCIE104],ENOS_G3_IRANN_60_MAS_AÑOS[[#This Row],[CIE-10]],BASE[Edad],"&gt;=60"),COUNTIFS(BASE[Cod.Establecimiento],$O$3,BASE[CODCIE104],ENOS_G3_IRANN_60_MAS_AÑOS[[#This Row],[CIE-10]],BASE[Edad],"&gt;=60"))</calculatedColumnFormula>
    </tableColumn>
    <tableColumn id="5" xr3:uid="{00000000-0010-0000-2800-000005000000}" name="D4" dataDxfId="1752">
      <calculatedColumnFormula>IF($O$3="(Todas)",COUNTIFS(BASE[CODCIE106],ENOS_G3_IRANN_60_MAS_AÑOS[[#This Row],[CIE-10]],BASE[Edad],"&gt;=60"),COUNTIFS(BASE[Cod.Establecimiento],$O$3,BASE[CODCIE106],ENOS_G3_IRANN_60_MAS_AÑOS[[#This Row],[CIE-10]],BASE[Edad],"&gt;=60"))</calculatedColumnFormula>
    </tableColumn>
    <tableColumn id="6" xr3:uid="{00000000-0010-0000-2800-000006000000}" name="D5" dataDxfId="1751">
      <calculatedColumnFormula>IF($O$3="(Todas)",COUNTIFS(BASE[CODCIE108],ENOS_G3_IRANN_60_MAS_AÑOS[[#This Row],[CIE-10]],BASE[Edad],"&gt;=60"),COUNTIFS(BASE[Cod.Establecimiento],$O$3,BASE[CODCIE108],ENOS_G3_IRANN_60_MAS_AÑOS[[#This Row],[CIE-10]],BASE[Edad],"&gt;=60"))</calculatedColumnFormula>
    </tableColumn>
    <tableColumn id="7" xr3:uid="{00000000-0010-0000-2800-000007000000}" name="D6" dataDxfId="1750">
      <calculatedColumnFormula>IF($O$3="(Todas)",COUNTIFS(BASE[CODCIE1010],ENOS_G3_IRANN_60_MAS_AÑOS[[#This Row],[CIE-10]],BASE[Edad],"&gt;=60"),COUNTIFS(BASE[Cod.Establecimiento],$O$3,BASE[CODCIE1010],ENOS_G3_IRANN_60_MAS_AÑOS[[#This Row],[CIE-10]],BASE[Edad],"&gt;=60"))</calculatedColumnFormula>
    </tableColumn>
    <tableColumn id="8" xr3:uid="{00000000-0010-0000-2800-000008000000}" name="TOT" dataDxfId="1749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748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747">
      <calculatedColumnFormula>IF($O$3="(Todas)",COUNTIFS(BASE[CODCIE10],ENOS_G3_IRANN_SD_AÑOS[[#This Row],[CIE-10]],BASE[Edad],""),COUNTIFS(BASE[Cod.Establecimiento],$O$3,BASE[CODCIE10],ENOS_G3_IRANN_SD_AÑOS[[#This Row],[CIE-10]],BASE[Edad],""))</calculatedColumnFormula>
    </tableColumn>
    <tableColumn id="3" xr3:uid="{00000000-0010-0000-2900-000003000000}" name="D2" dataDxfId="1746">
      <calculatedColumnFormula>IF($O$3="(Todas)",COUNTIFS(BASE[CODCIE102],ENOS_G3_IRANN_SD_AÑOS[[#This Row],[CIE-10]],BASE[Edad],""),COUNTIFS(BASE[Cod.Establecimiento],$O$3,BASE[CODCIE102],ENOS_G3_IRANN_SD_AÑOS[[#This Row],[CIE-10]],BASE[Edad],""))</calculatedColumnFormula>
    </tableColumn>
    <tableColumn id="4" xr3:uid="{00000000-0010-0000-2900-000004000000}" name="D3" dataDxfId="1745">
      <calculatedColumnFormula>IF($O$3="(Todas)",COUNTIFS(BASE[CODCIE104],ENOS_G3_IRANN_SD_AÑOS[[#This Row],[CIE-10]],BASE[Edad],""),COUNTIFS(BASE[Cod.Establecimiento],$O$3,BASE[CODCIE104],ENOS_G3_IRANN_SD_AÑOS[[#This Row],[CIE-10]],BASE[Edad],""))</calculatedColumnFormula>
    </tableColumn>
    <tableColumn id="5" xr3:uid="{00000000-0010-0000-2900-000005000000}" name="D4" dataDxfId="1744">
      <calculatedColumnFormula>IF($O$3="(Todas)",COUNTIFS(BASE[CODCIE106],ENOS_G3_IRANN_SD_AÑOS[[#This Row],[CIE-10]],BASE[Edad],""),COUNTIFS(BASE[Cod.Establecimiento],$O$3,BASE[CODCIE106],ENOS_G3_IRANN_SD_AÑOS[[#This Row],[CIE-10]],BASE[Edad],""))</calculatedColumnFormula>
    </tableColumn>
    <tableColumn id="6" xr3:uid="{00000000-0010-0000-2900-000006000000}" name="D5" dataDxfId="1743">
      <calculatedColumnFormula>IF($O$3="(Todas)",COUNTIFS(BASE[CODCIE108],ENOS_G3_IRANN_SD_AÑOS[[#This Row],[CIE-10]],BASE[Edad],""),COUNTIFS(BASE[Cod.Establecimiento],$O$3,BASE[CODCIE108],ENOS_G3_IRANN_SD_AÑOS[[#This Row],[CIE-10]],BASE[Edad],""))</calculatedColumnFormula>
    </tableColumn>
    <tableColumn id="7" xr3:uid="{00000000-0010-0000-2900-000007000000}" name="D6" dataDxfId="1742">
      <calculatedColumnFormula>IF($O$3="(Todas)",COUNTIFS(BASE[CODCIE1010],ENOS_G3_IRANN_SD_AÑOS[[#This Row],[CIE-10]],BASE[Edad],""),COUNTIFS(BASE[Cod.Establecimiento],$O$3,BASE[CODCIE1010],ENOS_G3_IRANN_SD_AÑOS[[#This Row],[CIE-10]],BASE[Edad],""))</calculatedColumnFormula>
    </tableColumn>
    <tableColumn id="8" xr3:uid="{00000000-0010-0000-2900-000008000000}" name="TOT" dataDxfId="1741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740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739">
      <calculatedColumnFormula>IF($O$3="(Todas)",COUNTIFS(BASE[CODCIE10],ENOS_G3_NEU_MENOR_QUE_1_AÑO[[#This Row],[CIE-10]],BASE[Edad],"&lt;1"),COUNTIFS(BASE[Cod.Establecimiento],$O$3,BASE[CODCIE10],ENOS_G3_NEU_MENOR_QUE_1_AÑO[[#This Row],[CIE-10]],BASE[Edad],"&lt;1"))</calculatedColumnFormula>
    </tableColumn>
    <tableColumn id="3" xr3:uid="{00000000-0010-0000-2A00-000003000000}" name="D2" dataDxfId="1738">
      <calculatedColumnFormula>IF($O$3="(Todas)",COUNTIFS(BASE[CODCIE102],ENOS_G3_NEU_MENOR_QUE_1_AÑO[[#This Row],[CIE-10]],BASE[Edad],"&lt;1"),COUNTIFS(BASE[Cod.Establecimiento],$O$3,BASE[CODCIE102],ENOS_G3_NEU_MENOR_QUE_1_AÑO[[#This Row],[CIE-10]],BASE[Edad],"&lt;1"))</calculatedColumnFormula>
    </tableColumn>
    <tableColumn id="4" xr3:uid="{00000000-0010-0000-2A00-000004000000}" name="D3" dataDxfId="1737">
      <calculatedColumnFormula>IF($O$3="(Todas)",COUNTIFS(BASE[CODCIE104],ENOS_G3_NEU_MENOR_QUE_1_AÑO[[#This Row],[CIE-10]],BASE[Edad],"&lt;1"),COUNTIFS(BASE[Cod.Establecimiento],$O$3,BASE[CODCIE104],ENOS_G3_NEU_MENOR_QUE_1_AÑO[[#This Row],[CIE-10]],BASE[Edad],"&lt;1"))</calculatedColumnFormula>
    </tableColumn>
    <tableColumn id="5" xr3:uid="{00000000-0010-0000-2A00-000005000000}" name="D4" dataDxfId="1736">
      <calculatedColumnFormula>IF($O$3="(Todas)",COUNTIFS(BASE[CODCIE106],ENOS_G3_NEU_MENOR_QUE_1_AÑO[[#This Row],[CIE-10]],BASE[Edad],"&lt;1"),COUNTIFS(BASE[Cod.Establecimiento],$O$3,BASE[CODCIE106],ENOS_G3_NEU_MENOR_QUE_1_AÑO[[#This Row],[CIE-10]],BASE[Edad],"&lt;1"))</calculatedColumnFormula>
    </tableColumn>
    <tableColumn id="6" xr3:uid="{00000000-0010-0000-2A00-000006000000}" name="D5" dataDxfId="1735">
      <calculatedColumnFormula>IF($O$3="(Todas)",COUNTIFS(BASE[CODCIE108],ENOS_G3_NEU_MENOR_QUE_1_AÑO[[#This Row],[CIE-10]],BASE[Edad],"&lt;1"),COUNTIFS(BASE[Cod.Establecimiento],$O$3,BASE[CODCIE108],ENOS_G3_NEU_MENOR_QUE_1_AÑO[[#This Row],[CIE-10]],BASE[Edad],"&lt;1"))</calculatedColumnFormula>
    </tableColumn>
    <tableColumn id="7" xr3:uid="{00000000-0010-0000-2A00-000007000000}" name="D6" dataDxfId="1734">
      <calculatedColumnFormula>IF($O$3="(Todas)",COUNTIFS(BASE[CODCIE1010],ENOS_G3_NEU_MENOR_QUE_1_AÑO[[#This Row],[CIE-10]],BASE[Edad],"&lt;1"),COUNTIFS(BASE[Cod.Establecimiento],$O$3,BASE[CODCIE1010],ENOS_G3_NEU_MENOR_QUE_1_AÑO[[#This Row],[CIE-10]],BASE[Edad],"&lt;1"))</calculatedColumnFormula>
    </tableColumn>
    <tableColumn id="8" xr3:uid="{00000000-0010-0000-2A00-000008000000}" name="TOT" dataDxfId="1733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732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731">
      <calculatedColumnFormula>IF($O$3="(Todas)",COUNTIFS(BASE[CODCIE10],ENOS_G3_NEU_1_4_AÑOS[[#This Row],[CIE-10]],BASE[Edad],"&gt;=1",BASE[Edad],"&lt;=4"),COUNTIFS(BASE[Cod.Establecimiento],$O$3,BASE[CODCIE10],ENOS_G3_NEU_1_4_AÑOS[[#This Row],[CIE-10]],BASE[Edad],"&gt;=1",BASE[Edad],"&lt;=4"))</calculatedColumnFormula>
    </tableColumn>
    <tableColumn id="3" xr3:uid="{00000000-0010-0000-2B00-000003000000}" name="D2" dataDxfId="1730">
      <calculatedColumnFormula>IF($O$3="(Todas)",COUNTIFS(BASE[CODCIE102],ENOS_G3_NEU_1_4_AÑOS[[#This Row],[CIE-10]],BASE[Edad],"&gt;=1",BASE[Edad],"&lt;=4"),COUNTIFS(BASE[Cod.Establecimiento],$O$3,BASE[CODCIE102],ENOS_G3_NEU_1_4_AÑOS[[#This Row],[CIE-10]],BASE[Edad],"&gt;=1",BASE[Edad],"&lt;=4"))</calculatedColumnFormula>
    </tableColumn>
    <tableColumn id="4" xr3:uid="{00000000-0010-0000-2B00-000004000000}" name="D3" dataDxfId="1729">
      <calculatedColumnFormula>IF($O$3="(Todas)",COUNTIFS(BASE[CODCIE104],ENOS_G3_NEU_1_4_AÑOS[[#This Row],[CIE-10]],BASE[Edad],"&gt;=1",BASE[Edad],"&lt;=4"),COUNTIFS(BASE[Cod.Establecimiento],$O$3,BASE[CODCIE104],ENOS_G3_NEU_1_4_AÑOS[[#This Row],[CIE-10]],BASE[Edad],"&gt;=1",BASE[Edad],"&lt;=4"))</calculatedColumnFormula>
    </tableColumn>
    <tableColumn id="5" xr3:uid="{00000000-0010-0000-2B00-000005000000}" name="D4" dataDxfId="1728">
      <calculatedColumnFormula>IF($O$3="(Todas)",COUNTIFS(BASE[CODCIE106],ENOS_G3_NEU_1_4_AÑOS[[#This Row],[CIE-10]],BASE[Edad],"&gt;=1",BASE[Edad],"&lt;=4"),COUNTIFS(BASE[Cod.Establecimiento],$O$3,BASE[CODCIE106],ENOS_G3_NEU_1_4_AÑOS[[#This Row],[CIE-10]],BASE[Edad],"&gt;=1",BASE[Edad],"&lt;=4"))</calculatedColumnFormula>
    </tableColumn>
    <tableColumn id="6" xr3:uid="{00000000-0010-0000-2B00-000006000000}" name="D5" dataDxfId="1727">
      <calculatedColumnFormula>IF($O$3="(Todas)",COUNTIFS(BASE[CODCIE108],ENOS_G3_NEU_1_4_AÑOS[[#This Row],[CIE-10]],BASE[Edad],"&gt;=1",BASE[Edad],"&lt;=4"),COUNTIFS(BASE[Cod.Establecimiento],$O$3,BASE[CODCIE108],ENOS_G3_NEU_1_4_AÑOS[[#This Row],[CIE-10]],BASE[Edad],"&gt;=1",BASE[Edad],"&lt;=4"))</calculatedColumnFormula>
    </tableColumn>
    <tableColumn id="7" xr3:uid="{00000000-0010-0000-2B00-000007000000}" name="D6" dataDxfId="1726">
      <calculatedColumnFormula>IF($O$3="(Todas)",COUNTIFS(BASE[CODCIE1010],ENOS_G3_NEU_1_4_AÑOS[[#This Row],[CIE-10]],BASE[Edad],"&gt;=1",BASE[Edad],"&lt;=4"),COUNTIFS(BASE[Cod.Establecimiento],$O$3,BASE[CODCIE1010],ENOS_G3_NEU_1_4_AÑOS[[#This Row],[CIE-10]],BASE[Edad],"&gt;=1",BASE[Edad],"&lt;=4"))</calculatedColumnFormula>
    </tableColumn>
    <tableColumn id="8" xr3:uid="{00000000-0010-0000-2B00-000008000000}" name="TOT" dataDxfId="1725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24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23">
      <calculatedColumnFormula>IF($O$3="(Todas)",COUNTIFS(BASE[CODCIE10],ENOS_G3_NEU_5_19_AÑOS[[#This Row],[CIE-10]],BASE[Edad],"&gt;=5",BASE[Edad],"&lt;=19"),COUNTIFS(BASE[Cod.Establecimiento],$O$3,BASE[CODCIE10],ENOS_G3_NEU_5_19_AÑOS[[#This Row],[CIE-10]],BASE[Edad],"&gt;=5",BASE[Edad],"&lt;=19"))</calculatedColumnFormula>
    </tableColumn>
    <tableColumn id="3" xr3:uid="{00000000-0010-0000-2C00-000003000000}" name="D2" dataDxfId="1722">
      <calculatedColumnFormula>IF($O$3="(Todas)",COUNTIFS(BASE[CODCIE102],ENOS_G3_NEU_5_19_AÑOS[[#This Row],[CIE-10]],BASE[Edad],"&gt;=5",BASE[Edad],"&lt;=19"),COUNTIFS(BASE[Cod.Establecimiento],$O$3,BASE[CODCIE102],ENOS_G3_NEU_5_19_AÑOS[[#This Row],[CIE-10]],BASE[Edad],"&gt;=5",BASE[Edad],"&lt;=19"))</calculatedColumnFormula>
    </tableColumn>
    <tableColumn id="4" xr3:uid="{00000000-0010-0000-2C00-000004000000}" name="D3" dataDxfId="1721">
      <calculatedColumnFormula>IF($O$3="(Todas)",COUNTIFS(BASE[CODCIE104],ENOS_G3_NEU_5_19_AÑOS[[#This Row],[CIE-10]],BASE[Edad],"&gt;=5",BASE[Edad],"&lt;=19"),COUNTIFS(BASE[Cod.Establecimiento],$O$3,BASE[CODCIE104],ENOS_G3_NEU_5_19_AÑOS[[#This Row],[CIE-10]],BASE[Edad],"&gt;=5",BASE[Edad],"&lt;=19"))</calculatedColumnFormula>
    </tableColumn>
    <tableColumn id="5" xr3:uid="{00000000-0010-0000-2C00-000005000000}" name="D4" dataDxfId="1720">
      <calculatedColumnFormula>IF($O$3="(Todas)",COUNTIFS(BASE[CODCIE106],ENOS_G3_NEU_5_19_AÑOS[[#This Row],[CIE-10]],BASE[Edad],"&gt;=5",BASE[Edad],"&lt;=19"),COUNTIFS(BASE[Cod.Establecimiento],$O$3,BASE[CODCIE106],ENOS_G3_NEU_5_19_AÑOS[[#This Row],[CIE-10]],BASE[Edad],"&gt;=5",BASE[Edad],"&lt;=19"))</calculatedColumnFormula>
    </tableColumn>
    <tableColumn id="6" xr3:uid="{00000000-0010-0000-2C00-000006000000}" name="D5" dataDxfId="1719">
      <calculatedColumnFormula>IF($O$3="(Todas)",COUNTIFS(BASE[CODCIE108],ENOS_G3_NEU_5_19_AÑOS[[#This Row],[CIE-10]],BASE[Edad],"&gt;=5",BASE[Edad],"&lt;=19"),COUNTIFS(BASE[Cod.Establecimiento],$O$3,BASE[CODCIE108],ENOS_G3_NEU_5_19_AÑOS[[#This Row],[CIE-10]],BASE[Edad],"&gt;=5",BASE[Edad],"&lt;=19"))</calculatedColumnFormula>
    </tableColumn>
    <tableColumn id="7" xr3:uid="{00000000-0010-0000-2C00-000007000000}" name="D6" dataDxfId="1718">
      <calculatedColumnFormula>IF($O$3="(Todas)",COUNTIFS(BASE[CODCIE1010],ENOS_G3_NEU_5_19_AÑOS[[#This Row],[CIE-10]],BASE[Edad],"&gt;=5",BASE[Edad],"&lt;=19"),COUNTIFS(BASE[Cod.Establecimiento],$O$3,BASE[CODCIE1010],ENOS_G3_NEU_5_19_AÑOS[[#This Row],[CIE-10]],BASE[Edad],"&gt;=5",BASE[Edad],"&lt;=19"))</calculatedColumnFormula>
    </tableColumn>
    <tableColumn id="8" xr3:uid="{00000000-0010-0000-2C00-000008000000}" name="TOT" dataDxfId="1717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16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15">
      <calculatedColumnFormula>IF($O$3="(Todas)",COUNTIFS(BASE[CODCIE10],ENOS_G3_NEU_20_59_AÑOS[[#This Row],[CIE-10]],BASE[Edad],"&gt;=20",BASE[Edad],"&lt;=59"),COUNTIFS(BASE[Cod.Establecimiento],$O$3,BASE[CODCIE10],ENOS_G3_NEU_20_59_AÑOS[[#This Row],[CIE-10]],BASE[Edad],"&gt;=20",BASE[Edad],"&lt;=59"))</calculatedColumnFormula>
    </tableColumn>
    <tableColumn id="3" xr3:uid="{00000000-0010-0000-2D00-000003000000}" name="D2" dataDxfId="1714">
      <calculatedColumnFormula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calculatedColumnFormula>
    </tableColumn>
    <tableColumn id="4" xr3:uid="{00000000-0010-0000-2D00-000004000000}" name="D3" dataDxfId="1713">
      <calculatedColumnFormula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calculatedColumnFormula>
    </tableColumn>
    <tableColumn id="5" xr3:uid="{00000000-0010-0000-2D00-000005000000}" name="D4" dataDxfId="1712">
      <calculatedColumnFormula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calculatedColumnFormula>
    </tableColumn>
    <tableColumn id="6" xr3:uid="{00000000-0010-0000-2D00-000006000000}" name="D5" dataDxfId="1711">
      <calculatedColumnFormula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calculatedColumnFormula>
    </tableColumn>
    <tableColumn id="7" xr3:uid="{00000000-0010-0000-2D00-000007000000}" name="D6" dataDxfId="1710">
      <calculatedColumnFormula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calculatedColumnFormula>
    </tableColumn>
    <tableColumn id="8" xr3:uid="{00000000-0010-0000-2D00-000008000000}" name="TOT" dataDxfId="1709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08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07">
      <calculatedColumnFormula>IF($O$3="(Todas)",COUNTIFS(BASE[CODCIE10],ENOS_G3_NEU_60_MAS_AÑOS[[#This Row],[CIE-10]],BASE[Edad],"&gt;=60"),COUNTIFS(BASE[Cod.Establecimiento],$O$3,BASE[CODCIE10],ENOS_G3_NEU_60_MAS_AÑOS[[#This Row],[CIE-10]],BASE[Edad],"&gt;=60"))</calculatedColumnFormula>
    </tableColumn>
    <tableColumn id="3" xr3:uid="{00000000-0010-0000-2E00-000003000000}" name="D2" dataDxfId="1706">
      <calculatedColumnFormula>IF($O$3="(Todas)",COUNTIFS(BASE[CODCIE102],ENOS_G3_NEU_60_MAS_AÑOS[[#This Row],[CIE-10]],BASE[Edad],"&gt;=60"),COUNTIFS(BASE[Cod.Establecimiento],$O$3,BASE[CODCIE102],ENOS_G3_NEU_60_MAS_AÑOS[[#This Row],[CIE-10]],BASE[Edad],"&gt;=60"))</calculatedColumnFormula>
    </tableColumn>
    <tableColumn id="4" xr3:uid="{00000000-0010-0000-2E00-000004000000}" name="D3" dataDxfId="1705">
      <calculatedColumnFormula>IF($O$3="(Todas)",COUNTIFS(BASE[CODCIE104],ENOS_G3_NEU_60_MAS_AÑOS[[#This Row],[CIE-10]],BASE[Edad],"&gt;=60"),COUNTIFS(BASE[Cod.Establecimiento],$O$3,BASE[CODCIE104],ENOS_G3_NEU_60_MAS_AÑOS[[#This Row],[CIE-10]],BASE[Edad],"&gt;=60"))</calculatedColumnFormula>
    </tableColumn>
    <tableColumn id="5" xr3:uid="{00000000-0010-0000-2E00-000005000000}" name="D4" dataDxfId="1704">
      <calculatedColumnFormula>IF($O$3="(Todas)",COUNTIFS(BASE[CODCIE106],ENOS_G3_NEU_60_MAS_AÑOS[[#This Row],[CIE-10]],BASE[Edad],"&gt;=60"),COUNTIFS(BASE[Cod.Establecimiento],$O$3,BASE[CODCIE106],ENOS_G3_NEU_60_MAS_AÑOS[[#This Row],[CIE-10]],BASE[Edad],"&gt;=60"))</calculatedColumnFormula>
    </tableColumn>
    <tableColumn id="6" xr3:uid="{00000000-0010-0000-2E00-000006000000}" name="D5" dataDxfId="1703">
      <calculatedColumnFormula>IF($O$3="(Todas)",COUNTIFS(BASE[CODCIE108],ENOS_G3_NEU_60_MAS_AÑOS[[#This Row],[CIE-10]],BASE[Edad],"&gt;=60"),COUNTIFS(BASE[Cod.Establecimiento],$O$3,BASE[CODCIE108],ENOS_G3_NEU_60_MAS_AÑOS[[#This Row],[CIE-10]],BASE[Edad],"&gt;=60"))</calculatedColumnFormula>
    </tableColumn>
    <tableColumn id="7" xr3:uid="{00000000-0010-0000-2E00-000007000000}" name="D6" dataDxfId="1702">
      <calculatedColumnFormula>IF($O$3="(Todas)",COUNTIFS(BASE[CODCIE1010],ENOS_G3_NEU_60_MAS_AÑOS[[#This Row],[CIE-10]],BASE[Edad],"&gt;=60"),COUNTIFS(BASE[Cod.Establecimiento],$O$3,BASE[CODCIE1010],ENOS_G3_NEU_60_MAS_AÑOS[[#This Row],[CIE-10]],BASE[Edad],"&gt;=60"))</calculatedColumnFormula>
    </tableColumn>
    <tableColumn id="8" xr3:uid="{00000000-0010-0000-2E00-000008000000}" name="TOT" dataDxfId="1701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00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699">
      <calculatedColumnFormula>IF($O$3="(Todas)",COUNTIFS(BASE[CODCIE10],ENOS_G3_NEU_SD_AÑOS[[#This Row],[CIE-10]],BASE[Edad],""),COUNTIFS(BASE[Cod.Establecimiento],$O$3,BASE[CODCIE10],ENOS_G3_NEU_SD_AÑOS[[#This Row],[CIE-10]],BASE[Edad],""))</calculatedColumnFormula>
    </tableColumn>
    <tableColumn id="3" xr3:uid="{00000000-0010-0000-2F00-000003000000}" name="D2" dataDxfId="1698">
      <calculatedColumnFormula>IF($O$3="(Todas)",COUNTIFS(BASE[CODCIE102],ENOS_G3_NEU_SD_AÑOS[[#This Row],[CIE-10]],BASE[Edad],""),COUNTIFS(BASE[Cod.Establecimiento],$O$3,BASE[CODCIE102],ENOS_G3_NEU_SD_AÑOS[[#This Row],[CIE-10]],BASE[Edad],""))</calculatedColumnFormula>
    </tableColumn>
    <tableColumn id="4" xr3:uid="{00000000-0010-0000-2F00-000004000000}" name="D3" dataDxfId="1697">
      <calculatedColumnFormula>IF($O$3="(Todas)",COUNTIFS(BASE[CODCIE104],ENOS_G3_NEU_SD_AÑOS[[#This Row],[CIE-10]],BASE[Edad],""),COUNTIFS(BASE[Cod.Establecimiento],$O$3,BASE[CODCIE104],ENOS_G3_NEU_SD_AÑOS[[#This Row],[CIE-10]],BASE[Edad],""))</calculatedColumnFormula>
    </tableColumn>
    <tableColumn id="5" xr3:uid="{00000000-0010-0000-2F00-000005000000}" name="D4" dataDxfId="1696">
      <calculatedColumnFormula>IF($O$3="(Todas)",COUNTIFS(BASE[CODCIE106],ENOS_G3_NEU_SD_AÑOS[[#This Row],[CIE-10]],BASE[Edad],""),COUNTIFS(BASE[Cod.Establecimiento],$O$3,BASE[CODCIE106],ENOS_G3_NEU_SD_AÑOS[[#This Row],[CIE-10]],BASE[Edad],""))</calculatedColumnFormula>
    </tableColumn>
    <tableColumn id="6" xr3:uid="{00000000-0010-0000-2F00-000006000000}" name="D5" dataDxfId="1695">
      <calculatedColumnFormula>IF($O$3="(Todas)",COUNTIFS(BASE[CODCIE108],ENOS_G3_NEU_SD_AÑOS[[#This Row],[CIE-10]],BASE[Edad],""),COUNTIFS(BASE[Cod.Establecimiento],$O$3,BASE[CODCIE108],ENOS_G3_NEU_SD_AÑOS[[#This Row],[CIE-10]],BASE[Edad],""))</calculatedColumnFormula>
    </tableColumn>
    <tableColumn id="7" xr3:uid="{00000000-0010-0000-2F00-000007000000}" name="D6" dataDxfId="1694">
      <calculatedColumnFormula>IF($O$3="(Todas)",COUNTIFS(BASE[CODCIE1010],ENOS_G3_NEU_SD_AÑOS[[#This Row],[CIE-10]],BASE[Edad],""),COUNTIFS(BASE[Cod.Establecimiento],$O$3,BASE[CODCIE1010],ENOS_G3_NEU_SD_AÑOS[[#This Row],[CIE-10]],BASE[Edad],""))</calculatedColumnFormula>
    </tableColumn>
    <tableColumn id="8" xr3:uid="{00000000-0010-0000-2F00-000008000000}" name="TOT" dataDxfId="1693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692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691">
      <calculatedColumnFormula>IF($O$3="(Todas)",COUNTIFS(BASE[CODCIE10],ENOS_G3_IRAGNG_MENOR_QUE_1_AÑO[[#This Row],[CIE-10]],BASE[Edad],"&lt;1"),COUNTIFS(BASE[Cod.Establecimiento],$O$3,BASE[CODCIE10],ENOS_G3_IRAGNG_MENOR_QUE_1_AÑO[[#This Row],[CIE-10]],BASE[Edad],"&lt;1"))</calculatedColumnFormula>
    </tableColumn>
    <tableColumn id="3" xr3:uid="{00000000-0010-0000-3000-000003000000}" name="D2" dataDxfId="1690">
      <calculatedColumnFormula>IF($O$3="(Todas)",COUNTIFS(BASE[CODCIE102],ENOS_G3_IRAGNG_MENOR_QUE_1_AÑO[[#This Row],[CIE-10]],BASE[Edad],"&lt;1"),COUNTIFS(BASE[Cod.Establecimiento],$O$3,BASE[CODCIE102],ENOS_G3_IRAGNG_MENOR_QUE_1_AÑO[[#This Row],[CIE-10]],BASE[Edad],"&lt;1"))</calculatedColumnFormula>
    </tableColumn>
    <tableColumn id="4" xr3:uid="{00000000-0010-0000-3000-000004000000}" name="D3" dataDxfId="1689">
      <calculatedColumnFormula>IF($O$3="(Todas)",COUNTIFS(BASE[CODCIE104],ENOS_G3_IRAGNG_MENOR_QUE_1_AÑO[[#This Row],[CIE-10]],BASE[Edad],"&lt;1"),COUNTIFS(BASE[Cod.Establecimiento],$O$3,BASE[CODCIE104],ENOS_G3_IRAGNG_MENOR_QUE_1_AÑO[[#This Row],[CIE-10]],BASE[Edad],"&lt;1"))</calculatedColumnFormula>
    </tableColumn>
    <tableColumn id="5" xr3:uid="{00000000-0010-0000-3000-000005000000}" name="D4" dataDxfId="1688">
      <calculatedColumnFormula>IF($O$3="(Todas)",COUNTIFS(BASE[CODCIE106],ENOS_G3_IRAGNG_MENOR_QUE_1_AÑO[[#This Row],[CIE-10]],BASE[Edad],"&lt;1"),COUNTIFS(BASE[Cod.Establecimiento],$O$3,BASE[CODCIE106],ENOS_G3_IRAGNG_MENOR_QUE_1_AÑO[[#This Row],[CIE-10]],BASE[Edad],"&lt;1"))</calculatedColumnFormula>
    </tableColumn>
    <tableColumn id="6" xr3:uid="{00000000-0010-0000-3000-000006000000}" name="D5" dataDxfId="1687">
      <calculatedColumnFormula>IF($O$3="(Todas)",COUNTIFS(BASE[CODCIE108],ENOS_G3_IRAGNG_MENOR_QUE_1_AÑO[[#This Row],[CIE-10]],BASE[Edad],"&lt;1"),COUNTIFS(BASE[Cod.Establecimiento],$O$3,BASE[CODCIE108],ENOS_G3_IRAGNG_MENOR_QUE_1_AÑO[[#This Row],[CIE-10]],BASE[Edad],"&lt;1"))</calculatedColumnFormula>
    </tableColumn>
    <tableColumn id="7" xr3:uid="{00000000-0010-0000-3000-000007000000}" name="D6" dataDxfId="1686">
      <calculatedColumnFormula>IF($O$3="(Todas)",COUNTIFS(BASE[CODCIE1010],ENOS_G3_IRAGNG_MENOR_QUE_1_AÑO[[#This Row],[CIE-10]],BASE[Edad],"&lt;1"),COUNTIFS(BASE[Cod.Establecimiento],$O$3,BASE[CODCIE1010],ENOS_G3_IRAGNG_MENOR_QUE_1_AÑO[[#This Row],[CIE-10]],BASE[Edad],"&lt;1"))</calculatedColumnFormula>
    </tableColumn>
    <tableColumn id="8" xr3:uid="{00000000-0010-0000-3000-000008000000}" name="TOT" dataDxfId="1685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684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683">
      <calculatedColumnFormula>IF($O$3="(Todas)",COUNTIFS(BASE[CODCIE10],ENOS_G3_IRAGNG_1_4_AÑOS[[#This Row],[CIE-10]],BASE[Edad],"&gt;=1",BASE[Edad],"&lt;=4"),COUNTIFS(BASE[Cod.Establecimiento],$O$3,BASE[CODCIE10],ENOS_G3_IRAGNG_1_4_AÑOS[[#This Row],[CIE-10]],BASE[Edad],"&gt;=1",BASE[Edad],"&lt;=4"))</calculatedColumnFormula>
    </tableColumn>
    <tableColumn id="3" xr3:uid="{00000000-0010-0000-3100-000003000000}" name="D2" dataDxfId="1682">
      <calculatedColumnFormula>IF($O$3="(Todas)",COUNTIFS(BASE[CODCIE102],ENOS_G3_IRAGNG_1_4_AÑOS[[#This Row],[CIE-10]],BASE[Edad],"&gt;=1",BASE[Edad],"&lt;=4"),COUNTIFS(BASE[Cod.Establecimiento],$O$3,BASE[CODCIE102],ENOS_G3_IRAGNG_1_4_AÑOS[[#This Row],[CIE-10]],BASE[Edad],"&gt;=1",BASE[Edad],"&lt;=4"))</calculatedColumnFormula>
    </tableColumn>
    <tableColumn id="4" xr3:uid="{00000000-0010-0000-3100-000004000000}" name="D3" dataDxfId="1681">
      <calculatedColumnFormula>IF($O$3="(Todas)",COUNTIFS(BASE[CODCIE104],ENOS_G3_IRAGNG_1_4_AÑOS[[#This Row],[CIE-10]],BASE[Edad],"&gt;=1",BASE[Edad],"&lt;=4"),COUNTIFS(BASE[Cod.Establecimiento],$O$3,BASE[CODCIE104],ENOS_G3_IRAGNG_1_4_AÑOS[[#This Row],[CIE-10]],BASE[Edad],"&gt;=1",BASE[Edad],"&lt;=4"))</calculatedColumnFormula>
    </tableColumn>
    <tableColumn id="5" xr3:uid="{00000000-0010-0000-3100-000005000000}" name="D4" dataDxfId="1680">
      <calculatedColumnFormula>IF($O$3="(Todas)",COUNTIFS(BASE[CODCIE106],ENOS_G3_IRAGNG_1_4_AÑOS[[#This Row],[CIE-10]],BASE[Edad],"&gt;=1",BASE[Edad],"&lt;=4"),COUNTIFS(BASE[Cod.Establecimiento],$O$3,BASE[CODCIE106],ENOS_G3_IRAGNG_1_4_AÑOS[[#This Row],[CIE-10]],BASE[Edad],"&gt;=1",BASE[Edad],"&lt;=4"))</calculatedColumnFormula>
    </tableColumn>
    <tableColumn id="6" xr3:uid="{00000000-0010-0000-3100-000006000000}" name="D5" dataDxfId="1679">
      <calculatedColumnFormula>IF($O$3="(Todas)",COUNTIFS(BASE[CODCIE108],ENOS_G3_IRAGNG_1_4_AÑOS[[#This Row],[CIE-10]],BASE[Edad],"&gt;=1",BASE[Edad],"&lt;=4"),COUNTIFS(BASE[Cod.Establecimiento],$O$3,BASE[CODCIE108],ENOS_G3_IRAGNG_1_4_AÑOS[[#This Row],[CIE-10]],BASE[Edad],"&gt;=1",BASE[Edad],"&lt;=4"))</calculatedColumnFormula>
    </tableColumn>
    <tableColumn id="7" xr3:uid="{00000000-0010-0000-3100-000007000000}" name="D6" dataDxfId="1678">
      <calculatedColumnFormula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calculatedColumnFormula>
    </tableColumn>
    <tableColumn id="8" xr3:uid="{00000000-0010-0000-3100-000008000000}" name="TOT" dataDxfId="1677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676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675">
      <calculatedColumnFormula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calculatedColumnFormula>
    </tableColumn>
    <tableColumn id="3" xr3:uid="{00000000-0010-0000-3200-000003000000}" name="D2" dataDxfId="1674">
      <calculatedColumnFormula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calculatedColumnFormula>
    </tableColumn>
    <tableColumn id="4" xr3:uid="{00000000-0010-0000-3200-000004000000}" name="D3" dataDxfId="1673">
      <calculatedColumnFormula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calculatedColumnFormula>
    </tableColumn>
    <tableColumn id="5" xr3:uid="{00000000-0010-0000-3200-000005000000}" name="D4" dataDxfId="1672">
      <calculatedColumnFormula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calculatedColumnFormula>
    </tableColumn>
    <tableColumn id="6" xr3:uid="{00000000-0010-0000-3200-000006000000}" name="D5" dataDxfId="1671">
      <calculatedColumnFormula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calculatedColumnFormula>
    </tableColumn>
    <tableColumn id="7" xr3:uid="{00000000-0010-0000-3200-000007000000}" name="D6" dataDxfId="1670">
      <calculatedColumnFormula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calculatedColumnFormula>
    </tableColumn>
    <tableColumn id="8" xr3:uid="{00000000-0010-0000-3200-000008000000}" name="TOT" dataDxfId="1669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668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667">
      <calculatedColumnFormula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calculatedColumnFormula>
    </tableColumn>
    <tableColumn id="3" xr3:uid="{00000000-0010-0000-3300-000003000000}" name="D2" dataDxfId="1666">
      <calculatedColumnFormula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calculatedColumnFormula>
    </tableColumn>
    <tableColumn id="4" xr3:uid="{00000000-0010-0000-3300-000004000000}" name="D3" dataDxfId="1665">
      <calculatedColumnFormula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calculatedColumnFormula>
    </tableColumn>
    <tableColumn id="5" xr3:uid="{00000000-0010-0000-3300-000005000000}" name="D4" dataDxfId="1664">
      <calculatedColumnFormula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calculatedColumnFormula>
    </tableColumn>
    <tableColumn id="6" xr3:uid="{00000000-0010-0000-3300-000006000000}" name="D5" dataDxfId="1663">
      <calculatedColumnFormula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calculatedColumnFormula>
    </tableColumn>
    <tableColumn id="7" xr3:uid="{00000000-0010-0000-3300-000007000000}" name="D6" dataDxfId="1662">
      <calculatedColumnFormula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calculatedColumnFormula>
    </tableColumn>
    <tableColumn id="8" xr3:uid="{00000000-0010-0000-3300-000008000000}" name="TOT" dataDxfId="1661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660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659">
      <calculatedColumnFormula>IF($O$3="(Todas)",COUNTIFS(BASE[CODCIE10],ENOS_G3_IRAGNG_60_MAS_AÑOS[[#This Row],[CIE-10]],BASE[Edad],"&gt;=60"),COUNTIFS(BASE[Cod.Establecimiento],$O$3,BASE[CODCIE10],ENOS_G3_IRAGNG_60_MAS_AÑOS[[#This Row],[CIE-10]],BASE[Edad],"&gt;=60"))</calculatedColumnFormula>
    </tableColumn>
    <tableColumn id="3" xr3:uid="{00000000-0010-0000-3400-000003000000}" name="D2" dataDxfId="1658">
      <calculatedColumnFormula>IF($O$3="(Todas)",COUNTIFS(BASE[CODCIE102],ENOS_G3_IRAGNG_60_MAS_AÑOS[[#This Row],[CIE-10]],BASE[Edad],"&gt;=60"),COUNTIFS(BASE[Cod.Establecimiento],$O$3,BASE[CODCIE102],ENOS_G3_IRAGNG_60_MAS_AÑOS[[#This Row],[CIE-10]],BASE[Edad],"&gt;=60"))</calculatedColumnFormula>
    </tableColumn>
    <tableColumn id="4" xr3:uid="{00000000-0010-0000-3400-000004000000}" name="D3" dataDxfId="1657">
      <calculatedColumnFormula>IF($O$3="(Todas)",COUNTIFS(BASE[CODCIE104],ENOS_G3_IRAGNG_60_MAS_AÑOS[[#This Row],[CIE-10]],BASE[Edad],"&gt;=60"),COUNTIFS(BASE[Cod.Establecimiento],$O$3,BASE[CODCIE104],ENOS_G3_IRAGNG_60_MAS_AÑOS[[#This Row],[CIE-10]],BASE[Edad],"&gt;=60"))</calculatedColumnFormula>
    </tableColumn>
    <tableColumn id="5" xr3:uid="{00000000-0010-0000-3400-000005000000}" name="D4" dataDxfId="1656">
      <calculatedColumnFormula>IF($O$3="(Todas)",COUNTIFS(BASE[CODCIE106],ENOS_G3_IRAGNG_60_MAS_AÑOS[[#This Row],[CIE-10]],BASE[Edad],"&gt;=60"),COUNTIFS(BASE[Cod.Establecimiento],$O$3,BASE[CODCIE106],ENOS_G3_IRAGNG_60_MAS_AÑOS[[#This Row],[CIE-10]],BASE[Edad],"&gt;=60"))</calculatedColumnFormula>
    </tableColumn>
    <tableColumn id="6" xr3:uid="{00000000-0010-0000-3400-000006000000}" name="D5" dataDxfId="1655">
      <calculatedColumnFormula>IF($O$3="(Todas)",COUNTIFS(BASE[CODCIE108],ENOS_G3_IRAGNG_60_MAS_AÑOS[[#This Row],[CIE-10]],BASE[Edad],"&gt;=60"),COUNTIFS(BASE[Cod.Establecimiento],$O$3,BASE[CODCIE108],ENOS_G3_IRAGNG_60_MAS_AÑOS[[#This Row],[CIE-10]],BASE[Edad],"&gt;=60"))</calculatedColumnFormula>
    </tableColumn>
    <tableColumn id="7" xr3:uid="{00000000-0010-0000-3400-000007000000}" name="D6" dataDxfId="1654">
      <calculatedColumnFormula>IF($O$3="(Todas)",COUNTIFS(BASE[CODCIE1010],ENOS_G3_IRAGNG_60_MAS_AÑOS[[#This Row],[CIE-10]],BASE[Edad],"&gt;=60"),COUNTIFS(BASE[Cod.Establecimiento],$O$3,BASE[CODCIE1010],ENOS_G3_IRAGNG_60_MAS_AÑOS[[#This Row],[CIE-10]],BASE[Edad],"&gt;=60"))</calculatedColumnFormula>
    </tableColumn>
    <tableColumn id="8" xr3:uid="{00000000-0010-0000-3400-000008000000}" name="TOT" dataDxfId="1653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652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651">
      <calculatedColumnFormula>IF($O$3="(Todas)",COUNTIFS(BASE[CODCIE10],ENOS_G3_IRAGNG_SD_AÑOS[[#This Row],[CIE-10]],BASE[Edad],""),COUNTIFS(BASE[Cod.Establecimiento],$O$3,BASE[CODCIE10],ENOS_G3_IRAGNG_SD_AÑOS[[#This Row],[CIE-10]],BASE[Edad],""))</calculatedColumnFormula>
    </tableColumn>
    <tableColumn id="3" xr3:uid="{00000000-0010-0000-3500-000003000000}" name="D2" dataDxfId="1650">
      <calculatedColumnFormula>IF($O$3="(Todas)",COUNTIFS(BASE[CODCIE102],ENOS_G3_IRAGNG_SD_AÑOS[[#This Row],[CIE-10]],BASE[Edad],""),COUNTIFS(BASE[Cod.Establecimiento],$O$3,BASE[CODCIE102],ENOS_G3_IRAGNG_SD_AÑOS[[#This Row],[CIE-10]],BASE[Edad],""))</calculatedColumnFormula>
    </tableColumn>
    <tableColumn id="4" xr3:uid="{00000000-0010-0000-3500-000004000000}" name="D3" dataDxfId="1649">
      <calculatedColumnFormula>IF($O$3="(Todas)",COUNTIFS(BASE[CODCIE104],ENOS_G3_IRAGNG_SD_AÑOS[[#This Row],[CIE-10]],BASE[Edad],""),COUNTIFS(BASE[Cod.Establecimiento],$O$3,BASE[CODCIE104],ENOS_G3_IRAGNG_SD_AÑOS[[#This Row],[CIE-10]],BASE[Edad],""))</calculatedColumnFormula>
    </tableColumn>
    <tableColumn id="5" xr3:uid="{00000000-0010-0000-3500-000005000000}" name="D4" dataDxfId="1648">
      <calculatedColumnFormula>IF($O$3="(Todas)",COUNTIFS(BASE[CODCIE106],ENOS_G3_IRAGNG_SD_AÑOS[[#This Row],[CIE-10]],BASE[Edad],""),COUNTIFS(BASE[Cod.Establecimiento],$O$3,BASE[CODCIE106],ENOS_G3_IRAGNG_SD_AÑOS[[#This Row],[CIE-10]],BASE[Edad],""))</calculatedColumnFormula>
    </tableColumn>
    <tableColumn id="6" xr3:uid="{00000000-0010-0000-3500-000006000000}" name="D5" dataDxfId="1647">
      <calculatedColumnFormula>IF($O$3="(Todas)",COUNTIFS(BASE[CODCIE108],ENOS_G3_IRAGNG_SD_AÑOS[[#This Row],[CIE-10]],BASE[Edad],""),COUNTIFS(BASE[Cod.Establecimiento],$O$3,BASE[CODCIE108],ENOS_G3_IRAGNG_SD_AÑOS[[#This Row],[CIE-10]],BASE[Edad],""))</calculatedColumnFormula>
    </tableColumn>
    <tableColumn id="7" xr3:uid="{00000000-0010-0000-3500-000007000000}" name="D6" dataDxfId="1646">
      <calculatedColumnFormula>IF($O$3="(Todas)",COUNTIFS(BASE[CODCIE1010],ENOS_G3_IRAGNG_SD_AÑOS[[#This Row],[CIE-10]],BASE[Edad],""),COUNTIFS(BASE[Cod.Establecimiento],$O$3,BASE[CODCIE1010],ENOS_G3_IRAGNG_SD_AÑOS[[#This Row],[CIE-10]],BASE[Edad],""))</calculatedColumnFormula>
    </tableColumn>
    <tableColumn id="8" xr3:uid="{00000000-0010-0000-3500-000008000000}" name="TOT" dataDxfId="1645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644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643">
      <calculatedColumnFormula>IF($O$3="(Todas)",COUNTIFS(BASE[CODCIE10],ENOS_G3_DA_MENOR_QUE_1_AÑO[[#This Row],[CIE-10]],BASE[Edad],"&lt;1"),COUNTIFS(BASE[Cod.Establecimiento],$O$3,BASE[CODCIE10],ENOS_G3_DA_MENOR_QUE_1_AÑO[[#This Row],[CIE-10]],BASE[Edad],"&lt;1"))</calculatedColumnFormula>
    </tableColumn>
    <tableColumn id="3" xr3:uid="{00000000-0010-0000-3600-000003000000}" name="D2" dataDxfId="1642">
      <calculatedColumnFormula>IF($O$3="(Todas)",COUNTIFS(BASE[CODCIE102],ENOS_G3_DA_MENOR_QUE_1_AÑO[[#This Row],[CIE-10]],BASE[Edad],"&lt;1"),COUNTIFS(BASE[Cod.Establecimiento],$O$3,BASE[CODCIE102],ENOS_G3_DA_MENOR_QUE_1_AÑO[[#This Row],[CIE-10]],BASE[Edad],"&lt;1"))</calculatedColumnFormula>
    </tableColumn>
    <tableColumn id="4" xr3:uid="{00000000-0010-0000-3600-000004000000}" name="D3" dataDxfId="1641">
      <calculatedColumnFormula>IF($O$3="(Todas)",COUNTIFS(BASE[CODCIE104],ENOS_G3_DA_MENOR_QUE_1_AÑO[[#This Row],[CIE-10]],BASE[Edad],"&lt;1"),COUNTIFS(BASE[Cod.Establecimiento],$O$3,BASE[CODCIE104],ENOS_G3_DA_MENOR_QUE_1_AÑO[[#This Row],[CIE-10]],BASE[Edad],"&lt;1"))</calculatedColumnFormula>
    </tableColumn>
    <tableColumn id="5" xr3:uid="{00000000-0010-0000-3600-000005000000}" name="D4" dataDxfId="1640">
      <calculatedColumnFormula>IF($O$3="(Todas)",COUNTIFS(BASE[CODCIE106],ENOS_G3_DA_MENOR_QUE_1_AÑO[[#This Row],[CIE-10]],BASE[Edad],"&lt;1"),COUNTIFS(BASE[Cod.Establecimiento],$O$3,BASE[CODCIE106],ENOS_G3_DA_MENOR_QUE_1_AÑO[[#This Row],[CIE-10]],BASE[Edad],"&lt;1"))</calculatedColumnFormula>
    </tableColumn>
    <tableColumn id="6" xr3:uid="{00000000-0010-0000-3600-000006000000}" name="D5" dataDxfId="1639">
      <calculatedColumnFormula>IF($O$3="(Todas)",COUNTIFS(BASE[CODCIE108],ENOS_G3_DA_MENOR_QUE_1_AÑO[[#This Row],[CIE-10]],BASE[Edad],"&lt;1"),COUNTIFS(BASE[Cod.Establecimiento],$O$3,BASE[CODCIE108],ENOS_G3_DA_MENOR_QUE_1_AÑO[[#This Row],[CIE-10]],BASE[Edad],"&lt;1"))</calculatedColumnFormula>
    </tableColumn>
    <tableColumn id="7" xr3:uid="{00000000-0010-0000-3600-000007000000}" name="D6" dataDxfId="1638">
      <calculatedColumnFormula>IF($O$3="(Todas)",COUNTIFS(BASE[CODCIE1010],ENOS_G3_DA_MENOR_QUE_1_AÑO[[#This Row],[CIE-10]],BASE[Edad],"&lt;1"),COUNTIFS(BASE[Cod.Establecimiento],$O$3,BASE[CODCIE1010],ENOS_G3_DA_MENOR_QUE_1_AÑO[[#This Row],[CIE-10]],BASE[Edad],"&lt;1"))</calculatedColumnFormula>
    </tableColumn>
    <tableColumn id="8" xr3:uid="{00000000-0010-0000-3600-000008000000}" name="TOT" dataDxfId="1637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636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635">
      <calculatedColumnFormula>IF($O$3="(Todas)",COUNTIFS(BASE[CODCIE10],ENOS_G3_DA_1_4_AÑOS[[#This Row],[CIE-10]],BASE[Edad],"&gt;=1",BASE[Edad],"&lt;=4"),COUNTIFS(BASE[Cod.Establecimiento],$O$3,BASE[CODCIE10],ENOS_G3_DA_1_4_AÑOS[[#This Row],[CIE-10]],BASE[Edad],"&gt;=1",BASE[Edad],"&lt;=4"))</calculatedColumnFormula>
    </tableColumn>
    <tableColumn id="3" xr3:uid="{00000000-0010-0000-3700-000003000000}" name="D2" dataDxfId="1634">
      <calculatedColumnFormula>IF($O$3="(Todas)",COUNTIFS(BASE[CODCIE102],ENOS_G3_DA_1_4_AÑOS[[#This Row],[CIE-10]],BASE[Edad],"&gt;=1",BASE[Edad],"&lt;=4"),COUNTIFS(BASE[Cod.Establecimiento],$O$3,BASE[CODCIE102],ENOS_G3_DA_1_4_AÑOS[[#This Row],[CIE-10]],BASE[Edad],"&gt;=1",BASE[Edad],"&lt;=4"))</calculatedColumnFormula>
    </tableColumn>
    <tableColumn id="4" xr3:uid="{00000000-0010-0000-3700-000004000000}" name="D3" dataDxfId="1633">
      <calculatedColumnFormula>IF($O$3="(Todas)",COUNTIFS(BASE[CODCIE104],ENOS_G3_DA_1_4_AÑOS[[#This Row],[CIE-10]],BASE[Edad],"&gt;=1",BASE[Edad],"&lt;=4"),COUNTIFS(BASE[Cod.Establecimiento],$O$3,BASE[CODCIE104],ENOS_G3_DA_1_4_AÑOS[[#This Row],[CIE-10]],BASE[Edad],"&gt;=1",BASE[Edad],"&lt;=4"))</calculatedColumnFormula>
    </tableColumn>
    <tableColumn id="5" xr3:uid="{00000000-0010-0000-3700-000005000000}" name="D4" dataDxfId="1632">
      <calculatedColumnFormula>IF($O$3="(Todas)",COUNTIFS(BASE[CODCIE106],ENOS_G3_DA_1_4_AÑOS[[#This Row],[CIE-10]],BASE[Edad],"&gt;=1",BASE[Edad],"&lt;=4"),COUNTIFS(BASE[Cod.Establecimiento],$O$3,BASE[CODCIE106],ENOS_G3_DA_1_4_AÑOS[[#This Row],[CIE-10]],BASE[Edad],"&gt;=1",BASE[Edad],"&lt;=4"))</calculatedColumnFormula>
    </tableColumn>
    <tableColumn id="6" xr3:uid="{00000000-0010-0000-3700-000006000000}" name="D5" dataDxfId="1631">
      <calculatedColumnFormula>IF($O$3="(Todas)",COUNTIFS(BASE[CODCIE108],ENOS_G3_DA_1_4_AÑOS[[#This Row],[CIE-10]],BASE[Edad],"&gt;=1",BASE[Edad],"&lt;=4"),COUNTIFS(BASE[Cod.Establecimiento],$O$3,BASE[CODCIE108],ENOS_G3_DA_1_4_AÑOS[[#This Row],[CIE-10]],BASE[Edad],"&gt;=1",BASE[Edad],"&lt;=4"))</calculatedColumnFormula>
    </tableColumn>
    <tableColumn id="7" xr3:uid="{00000000-0010-0000-3700-000007000000}" name="D6" dataDxfId="1630">
      <calculatedColumnFormula>IF($O$3="(Todas)",COUNTIFS(BASE[CODCIE1010],ENOS_G3_DA_1_4_AÑOS[[#This Row],[CIE-10]],BASE[Edad],"&gt;=1",BASE[Edad],"&lt;=4"),COUNTIFS(BASE[Cod.Establecimiento],$O$3,BASE[CODCIE1010],ENOS_G3_DA_1_4_AÑOS[[#This Row],[CIE-10]],BASE[Edad],"&gt;=1",BASE[Edad],"&lt;=4"))</calculatedColumnFormula>
    </tableColumn>
    <tableColumn id="8" xr3:uid="{00000000-0010-0000-3700-000008000000}" name="TOT" dataDxfId="1629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628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627">
      <calculatedColumnFormula>IF($O$3="(Todas)",COUNTIFS(BASE[CODCIE10],ENOS_G3_DA_5_19_AÑOS[[#This Row],[CIE-10]],BASE[Edad],"&gt;=5",BASE[Edad],"&lt;=19"),COUNTIFS(BASE[Cod.Establecimiento],$O$3,BASE[CODCIE10],ENOS_G3_DA_5_19_AÑOS[[#This Row],[CIE-10]],BASE[Edad],"&gt;=5",BASE[Edad],"&lt;=19"))</calculatedColumnFormula>
    </tableColumn>
    <tableColumn id="3" xr3:uid="{00000000-0010-0000-3800-000003000000}" name="D2" dataDxfId="1626">
      <calculatedColumnFormula>IF($O$3="(Todas)",COUNTIFS(BASE[CODCIE102],ENOS_G3_DA_5_19_AÑOS[[#This Row],[CIE-10]],BASE[Edad],"&gt;=5",BASE[Edad],"&lt;=19"),COUNTIFS(BASE[Cod.Establecimiento],$O$3,BASE[CODCIE102],ENOS_G3_DA_5_19_AÑOS[[#This Row],[CIE-10]],BASE[Edad],"&gt;=5",BASE[Edad],"&lt;=19"))</calculatedColumnFormula>
    </tableColumn>
    <tableColumn id="4" xr3:uid="{00000000-0010-0000-3800-000004000000}" name="D3" dataDxfId="1625">
      <calculatedColumnFormula>IF($O$3="(Todas)",COUNTIFS(BASE[CODCIE104],ENOS_G3_DA_5_19_AÑOS[[#This Row],[CIE-10]],BASE[Edad],"&gt;=5",BASE[Edad],"&lt;=19"),COUNTIFS(BASE[Cod.Establecimiento],$O$3,BASE[CODCIE104],ENOS_G3_DA_5_19_AÑOS[[#This Row],[CIE-10]],BASE[Edad],"&gt;=5",BASE[Edad],"&lt;=19"))</calculatedColumnFormula>
    </tableColumn>
    <tableColumn id="5" xr3:uid="{00000000-0010-0000-3800-000005000000}" name="D4" dataDxfId="1624">
      <calculatedColumnFormula>IF($O$3="(Todas)",COUNTIFS(BASE[CODCIE106],ENOS_G3_DA_5_19_AÑOS[[#This Row],[CIE-10]],BASE[Edad],"&gt;=5",BASE[Edad],"&lt;=19"),COUNTIFS(BASE[Cod.Establecimiento],$O$3,BASE[CODCIE106],ENOS_G3_DA_5_19_AÑOS[[#This Row],[CIE-10]],BASE[Edad],"&gt;=5",BASE[Edad],"&lt;=19"))</calculatedColumnFormula>
    </tableColumn>
    <tableColumn id="6" xr3:uid="{00000000-0010-0000-3800-000006000000}" name="D5" dataDxfId="1623">
      <calculatedColumnFormula>IF($O$3="(Todas)",COUNTIFS(BASE[CODCIE108],ENOS_G3_DA_5_19_AÑOS[[#This Row],[CIE-10]],BASE[Edad],"&gt;=5",BASE[Edad],"&lt;=19"),COUNTIFS(BASE[Cod.Establecimiento],$O$3,BASE[CODCIE108],ENOS_G3_DA_5_19_AÑOS[[#This Row],[CIE-10]],BASE[Edad],"&gt;=5",BASE[Edad],"&lt;=19"))</calculatedColumnFormula>
    </tableColumn>
    <tableColumn id="7" xr3:uid="{00000000-0010-0000-3800-000007000000}" name="D6" dataDxfId="1622">
      <calculatedColumnFormula>IF($O$3="(Todas)",COUNTIFS(BASE[CODCIE1010],ENOS_G3_DA_5_19_AÑOS[[#This Row],[CIE-10]],BASE[Edad],"&gt;=5",BASE[Edad],"&lt;=19"),COUNTIFS(BASE[Cod.Establecimiento],$O$3,BASE[CODCIE1010],ENOS_G3_DA_5_19_AÑOS[[#This Row],[CIE-10]],BASE[Edad],"&gt;=5",BASE[Edad],"&lt;=19"))</calculatedColumnFormula>
    </tableColumn>
    <tableColumn id="8" xr3:uid="{00000000-0010-0000-3800-000008000000}" name="TOT" dataDxfId="1621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620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619">
      <calculatedColumnFormula>IF($O$3="(Todas)",COUNTIFS(BASE[CODCIE10],ENOS_G3_DA_20_59_AÑOS[[#This Row],[CIE-10]],BASE[Edad],"&gt;=20",BASE[Edad],"&lt;=59"),COUNTIFS(BASE[Cod.Establecimiento],$O$3,BASE[CODCIE10],ENOS_G3_DA_20_59_AÑOS[[#This Row],[CIE-10]],BASE[Edad],"&gt;=20",BASE[Edad],"&lt;=59"))</calculatedColumnFormula>
    </tableColumn>
    <tableColumn id="3" xr3:uid="{00000000-0010-0000-3900-000003000000}" name="D2" dataDxfId="1618">
      <calculatedColumnFormula>IF($O$3="(Todas)",COUNTIFS(BASE[CODCIE102],ENOS_G3_DA_20_59_AÑOS[[#This Row],[CIE-10]],BASE[Edad],"&gt;=20",BASE[Edad],"&lt;=59"),COUNTIFS(BASE[Cod.Establecimiento],$O$3,BASE[CODCIE102],ENOS_G3_DA_20_59_AÑOS[[#This Row],[CIE-10]],BASE[Edad],"&gt;=20",BASE[Edad],"&lt;=59"))</calculatedColumnFormula>
    </tableColumn>
    <tableColumn id="4" xr3:uid="{00000000-0010-0000-3900-000004000000}" name="D3" dataDxfId="1617">
      <calculatedColumnFormula>IF($O$3="(Todas)",COUNTIFS(BASE[CODCIE104],ENOS_G3_DA_20_59_AÑOS[[#This Row],[CIE-10]],BASE[Edad],"&gt;=20",BASE[Edad],"&lt;=59"),COUNTIFS(BASE[Cod.Establecimiento],$O$3,BASE[CODCIE104],ENOS_G3_DA_20_59_AÑOS[[#This Row],[CIE-10]],BASE[Edad],"&gt;=20",BASE[Edad],"&lt;=59"))</calculatedColumnFormula>
    </tableColumn>
    <tableColumn id="5" xr3:uid="{00000000-0010-0000-3900-000005000000}" name="D4" dataDxfId="1616">
      <calculatedColumnFormula>IF($O$3="(Todas)",COUNTIFS(BASE[CODCIE106],ENOS_G3_DA_20_59_AÑOS[[#This Row],[CIE-10]],BASE[Edad],"&gt;=20",BASE[Edad],"&lt;=59"),COUNTIFS(BASE[Cod.Establecimiento],$O$3,BASE[CODCIE106],ENOS_G3_DA_20_59_AÑOS[[#This Row],[CIE-10]],BASE[Edad],"&gt;=20",BASE[Edad],"&lt;=59"))</calculatedColumnFormula>
    </tableColumn>
    <tableColumn id="6" xr3:uid="{00000000-0010-0000-3900-000006000000}" name="D5" dataDxfId="1615">
      <calculatedColumnFormula>IF($O$3="(Todas)",COUNTIFS(BASE[CODCIE108],ENOS_G3_DA_20_59_AÑOS[[#This Row],[CIE-10]],BASE[Edad],"&gt;=20",BASE[Edad],"&lt;=59"),COUNTIFS(BASE[Cod.Establecimiento],$O$3,BASE[CODCIE108],ENOS_G3_DA_20_59_AÑOS[[#This Row],[CIE-10]],BASE[Edad],"&gt;=20",BASE[Edad],"&lt;=59"))</calculatedColumnFormula>
    </tableColumn>
    <tableColumn id="7" xr3:uid="{00000000-0010-0000-3900-000007000000}" name="D6" dataDxfId="1614">
      <calculatedColumnFormula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calculatedColumnFormula>
    </tableColumn>
    <tableColumn id="8" xr3:uid="{00000000-0010-0000-3900-000008000000}" name="TOT" dataDxfId="1613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612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611">
      <calculatedColumnFormula>IF($O$3="(Todas)",COUNTIFS(BASE[CODCIE10],ENOS_G3_DA_60_MAS_AÑOS[[#This Row],[CIE-10]],BASE[Edad],"&gt;=60"),COUNTIFS(BASE[Cod.Establecimiento],$O$3,BASE[CODCIE10],ENOS_G3_DA_60_MAS_AÑOS[[#This Row],[CIE-10]],BASE[Edad],"&gt;=60"))</calculatedColumnFormula>
    </tableColumn>
    <tableColumn id="3" xr3:uid="{00000000-0010-0000-3A00-000003000000}" name="D2" dataDxfId="1610">
      <calculatedColumnFormula>IF($O$3="(Todas)",COUNTIFS(BASE[CODCIE102],ENOS_G3_DA_60_MAS_AÑOS[[#This Row],[CIE-10]],BASE[Edad],"&gt;=60"),COUNTIFS(BASE[Cod.Establecimiento],$O$3,BASE[CODCIE102],ENOS_G3_DA_60_MAS_AÑOS[[#This Row],[CIE-10]],BASE[Edad],"&gt;=60"))</calculatedColumnFormula>
    </tableColumn>
    <tableColumn id="4" xr3:uid="{00000000-0010-0000-3A00-000004000000}" name="D3" dataDxfId="1609">
      <calculatedColumnFormula>IF($O$3="(Todas)",COUNTIFS(BASE[CODCIE104],ENOS_G3_DA_60_MAS_AÑOS[[#This Row],[CIE-10]],BASE[Edad],"&gt;=60"),COUNTIFS(BASE[Cod.Establecimiento],$O$3,BASE[CODCIE104],ENOS_G3_DA_60_MAS_AÑOS[[#This Row],[CIE-10]],BASE[Edad],"&gt;=60"))</calculatedColumnFormula>
    </tableColumn>
    <tableColumn id="5" xr3:uid="{00000000-0010-0000-3A00-000005000000}" name="D4" dataDxfId="1608">
      <calculatedColumnFormula>IF($O$3="(Todas)",COUNTIFS(BASE[CODCIE106],ENOS_G3_DA_60_MAS_AÑOS[[#This Row],[CIE-10]],BASE[Edad],"&gt;=60"),COUNTIFS(BASE[Cod.Establecimiento],$O$3,BASE[CODCIE106],ENOS_G3_DA_60_MAS_AÑOS[[#This Row],[CIE-10]],BASE[Edad],"&gt;=60"))</calculatedColumnFormula>
    </tableColumn>
    <tableColumn id="6" xr3:uid="{00000000-0010-0000-3A00-000006000000}" name="D5" dataDxfId="1607">
      <calculatedColumnFormula>IF($O$3="(Todas)",COUNTIFS(BASE[CODCIE108],ENOS_G3_DA_60_MAS_AÑOS[[#This Row],[CIE-10]],BASE[Edad],"&gt;=60"),COUNTIFS(BASE[Cod.Establecimiento],$O$3,BASE[CODCIE108],ENOS_G3_DA_60_MAS_AÑOS[[#This Row],[CIE-10]],BASE[Edad],"&gt;=60"))</calculatedColumnFormula>
    </tableColumn>
    <tableColumn id="7" xr3:uid="{00000000-0010-0000-3A00-000007000000}" name="D6" dataDxfId="1606">
      <calculatedColumnFormula>IF($O$3="(Todas)",COUNTIFS(BASE[CODCIE1010],ENOS_G3_DA_60_MAS_AÑOS[[#This Row],[CIE-10]],BASE[Edad],"&gt;=60"),COUNTIFS(BASE[Cod.Establecimiento],$O$3,BASE[CODCIE1010],ENOS_G3_DA_60_MAS_AÑOS[[#This Row],[CIE-10]],BASE[Edad],"&gt;=60"))</calculatedColumnFormula>
    </tableColumn>
    <tableColumn id="8" xr3:uid="{00000000-0010-0000-3A00-000008000000}" name="TOT" dataDxfId="1605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604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603">
      <calculatedColumnFormula>IF($O$3="(Todas)",COUNTIFS(BASE[CODCIE10],ENOS_G3_DA_SD_AÑOS[[#This Row],[CIE-10]],BASE[Edad],""),COUNTIFS(BASE[Cod.Establecimiento],$O$3,BASE[CODCIE10],ENOS_G3_DA_SD_AÑOS[[#This Row],[CIE-10]],BASE[Edad],""))</calculatedColumnFormula>
    </tableColumn>
    <tableColumn id="3" xr3:uid="{00000000-0010-0000-3B00-000003000000}" name="D2" dataDxfId="1602">
      <calculatedColumnFormula>IF($O$3="(Todas)",COUNTIFS(BASE[CODCIE102],ENOS_G3_DA_SD_AÑOS[[#This Row],[CIE-10]],BASE[Edad],""),COUNTIFS(BASE[Cod.Establecimiento],$O$3,BASE[CODCIE102],ENOS_G3_DA_SD_AÑOS[[#This Row],[CIE-10]],BASE[Edad],""))</calculatedColumnFormula>
    </tableColumn>
    <tableColumn id="4" xr3:uid="{00000000-0010-0000-3B00-000004000000}" name="D3" dataDxfId="1601">
      <calculatedColumnFormula>IF($O$3="(Todas)",COUNTIFS(BASE[CODCIE104],ENOS_G3_DA_SD_AÑOS[[#This Row],[CIE-10]],BASE[Edad],""),COUNTIFS(BASE[Cod.Establecimiento],$O$3,BASE[CODCIE104],ENOS_G3_DA_SD_AÑOS[[#This Row],[CIE-10]],BASE[Edad],""))</calculatedColumnFormula>
    </tableColumn>
    <tableColumn id="5" xr3:uid="{00000000-0010-0000-3B00-000005000000}" name="D4" dataDxfId="1600">
      <calculatedColumnFormula>IF($O$3="(Todas)",COUNTIFS(BASE[CODCIE106],ENOS_G3_DA_SD_AÑOS[[#This Row],[CIE-10]],BASE[Edad],""),COUNTIFS(BASE[Cod.Establecimiento],$O$3,BASE[CODCIE106],ENOS_G3_DA_SD_AÑOS[[#This Row],[CIE-10]],BASE[Edad],""))</calculatedColumnFormula>
    </tableColumn>
    <tableColumn id="6" xr3:uid="{00000000-0010-0000-3B00-000006000000}" name="D5" dataDxfId="1599">
      <calculatedColumnFormula>IF($O$3="(Todas)",COUNTIFS(BASE[CODCIE108],ENOS_G3_DA_SD_AÑOS[[#This Row],[CIE-10]],BASE[Edad],""),COUNTIFS(BASE[Cod.Establecimiento],$O$3,BASE[CODCIE108],ENOS_G3_DA_SD_AÑOS[[#This Row],[CIE-10]],BASE[Edad],""))</calculatedColumnFormula>
    </tableColumn>
    <tableColumn id="7" xr3:uid="{00000000-0010-0000-3B00-000007000000}" name="D6" dataDxfId="1598">
      <calculatedColumnFormula>IF($O$3="(Todas)",COUNTIFS(BASE[CODCIE1010],ENOS_G3_DA_SD_AÑOS[[#This Row],[CIE-10]],BASE[Edad],""),COUNTIFS(BASE[Cod.Establecimiento],$O$3,BASE[CODCIE1010],ENOS_G3_DA_SD_AÑOS[[#This Row],[CIE-10]],BASE[Edad],""))</calculatedColumnFormula>
    </tableColumn>
    <tableColumn id="8" xr3:uid="{00000000-0010-0000-3B00-000008000000}" name="TOT" dataDxfId="1597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592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591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590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589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588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587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586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585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584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583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582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581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580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579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578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577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576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575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574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573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572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571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570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569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568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567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566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565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564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563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562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561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560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559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558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557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556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555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554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553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552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551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550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549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548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547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546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545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544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543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542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541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540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539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538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537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536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535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534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533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532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531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530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529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528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527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526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525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524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523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522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521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520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519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518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517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516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515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514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513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512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511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510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509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508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507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506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505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504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503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502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501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500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499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498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497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496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495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494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493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492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491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490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489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488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487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486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485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484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483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482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481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480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479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478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477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476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475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474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473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472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471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470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469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468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467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466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465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464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463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462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461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460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459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458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457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456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455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454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453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452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451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450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449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448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447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446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445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444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443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442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441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440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439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438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437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436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435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434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433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432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431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430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429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428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427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426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425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424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423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422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421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420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419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418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417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416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415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414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413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412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411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410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409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408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407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406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405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404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403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402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401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400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399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398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397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396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395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394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393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392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391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390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389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388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387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386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385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384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383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382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381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380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379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378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377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376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375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374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373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372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371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370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369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368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367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366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365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364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363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362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361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360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359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358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357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356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355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354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353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352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351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350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349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348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347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346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345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344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343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342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341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340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339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338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337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336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335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334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333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332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331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330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329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328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327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326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325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324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323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322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321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320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319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318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317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316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315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314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313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312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311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310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309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308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307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306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305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304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303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302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301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300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299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298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297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296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295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294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293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292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291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290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289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288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287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286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285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284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283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282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281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280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279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278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277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276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275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274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273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272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271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270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269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268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267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266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265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264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263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262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261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260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259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258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257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183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182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181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180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179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178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177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176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175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174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173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172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171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170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169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168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167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166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165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164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163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162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161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160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159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158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157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156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155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154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153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152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151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150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149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148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147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146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145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144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143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142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141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140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139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138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137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136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135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134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133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132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131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130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129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128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127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126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125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124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123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122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121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120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119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118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117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116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115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114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113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112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111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110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109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108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107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106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105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104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103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102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101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100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099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098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097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096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095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094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093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092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091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090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089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088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087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086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085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084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083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082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081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080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079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078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077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076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075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074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073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072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071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070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069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068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067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066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065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064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063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062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061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060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059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058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057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056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055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054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053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052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051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050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049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048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047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046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045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044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043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042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041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040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039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038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037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036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035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034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033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032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031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030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029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028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027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026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025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024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023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022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021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020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019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018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017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016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015">
  <tableColumns count="8">
    <tableColumn id="1" xr3:uid="{6C000DDB-1222-4878-9DEC-AFE57A380D8F}" name="CIE-10" dataCellStyle="20% - Énfasis4"/>
    <tableColumn id="2" xr3:uid="{11BFF063-84CD-4C06-B884-CF42FBC10B3E}" name="D1" dataDxfId="1014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013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012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011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010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009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008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007">
  <tableColumns count="8">
    <tableColumn id="1" xr3:uid="{6EA4F35A-E808-408B-859E-1FDCFB690D57}" name="CIE-10" dataCellStyle="20% - Énfasis4"/>
    <tableColumn id="2" xr3:uid="{77EC5C26-0D73-46F5-BDA1-822594DFFADB}" name="D1" dataDxfId="1006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005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004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003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002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001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000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999">
  <tableColumns count="8">
    <tableColumn id="1" xr3:uid="{2809381C-CFE0-4FA3-9100-0AA10CEEB457}" name="CIE-10" dataCellStyle="20% - Énfasis4"/>
    <tableColumn id="2" xr3:uid="{284C0F9B-B43D-452F-813C-2FE19A8E16BF}" name="D1" dataDxfId="998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997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996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995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994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993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992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991">
  <tableColumns count="8">
    <tableColumn id="1" xr3:uid="{6743B90F-E67E-4EDD-861F-DBE7821435FF}" name="CIE-10" dataCellStyle="20% - Énfasis4"/>
    <tableColumn id="2" xr3:uid="{7A1FD372-E9B2-44EB-8C0D-8B6ACE7D772E}" name="D1" dataDxfId="990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989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988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987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986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985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984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983">
  <tableColumns count="8">
    <tableColumn id="1" xr3:uid="{3B90A657-A3FD-4334-A8BD-67CFBADE17CF}" name="CIE-10" dataCellStyle="20% - Énfasis4"/>
    <tableColumn id="2" xr3:uid="{49C6E7F2-A2EB-48DA-BB48-34D39EF589A7}" name="D1" dataDxfId="982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981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980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979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978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977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976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975">
  <tableColumns count="8">
    <tableColumn id="1" xr3:uid="{F5F29B47-2361-4C95-8215-40408148D3AC}" name="CIE-10" dataCellStyle="20% - Énfasis4"/>
    <tableColumn id="2" xr3:uid="{D64F5C68-7319-40F7-9267-AE4FAB43A1B3}" name="D1" dataDxfId="974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973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972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971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970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969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968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967">
  <tableColumns count="8">
    <tableColumn id="1" xr3:uid="{0978FF8D-467C-49EB-8BE3-211E0D49D649}" name="CIE-10" dataCellStyle="20% - Énfasis4"/>
    <tableColumn id="2" xr3:uid="{BAB19BA6-4B71-47EE-9247-2AC0972406E1}" name="D1" dataDxfId="966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965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964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963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962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961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960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959">
  <tableColumns count="8">
    <tableColumn id="1" xr3:uid="{262F80D6-0F30-4DC1-B0C6-354B77B7971D}" name="CIE-10" dataCellStyle="20% - Énfasis4"/>
    <tableColumn id="2" xr3:uid="{0F97F99E-F506-47FA-9579-FE92A09CDC88}" name="D1" dataDxfId="958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957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956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955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954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953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952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951">
  <tableColumns count="8">
    <tableColumn id="1" xr3:uid="{7BA20F6D-9B73-4C8D-8652-031522A38EF0}" name="CIE-10" dataCellStyle="20% - Énfasis4"/>
    <tableColumn id="2" xr3:uid="{6901F791-6018-4A02-A5EF-C9A5001633B6}" name="D1" dataDxfId="950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949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948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947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946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945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944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943">
  <tableColumns count="8">
    <tableColumn id="1" xr3:uid="{A03F71A6-8A29-4F52-B084-27FBD5FDA933}" name="CIE-10" dataCellStyle="20% - Énfasis4"/>
    <tableColumn id="2" xr3:uid="{30ED9D73-5B62-4966-BEDD-5CE62ABD885D}" name="D1" dataDxfId="942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941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940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939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938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937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936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935">
  <tableColumns count="8">
    <tableColumn id="1" xr3:uid="{2836B450-0267-4263-B314-35AF11D46D4B}" name="CIE-10" dataCellStyle="20% - Énfasis4"/>
    <tableColumn id="2" xr3:uid="{A14D9CD1-A028-4CCE-9F26-04652A3B200D}" name="D1" dataDxfId="934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933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932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931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930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929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928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927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926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925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924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923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922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921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920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919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918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917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916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915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914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913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912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911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910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909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908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907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906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905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904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903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902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901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900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899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898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897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896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895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894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893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892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891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890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889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888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887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886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885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884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883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882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881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880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879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878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877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876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875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874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873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872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871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870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869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868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867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866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865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864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863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862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861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860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859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858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857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856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855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854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853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852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851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850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849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848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847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846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845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844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843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842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841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840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839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838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837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836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835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834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833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832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831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830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829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828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827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826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825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824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823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822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821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820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819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818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817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816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815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814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813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812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811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810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809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808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807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806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805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804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803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802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801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800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799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798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797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796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795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794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793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792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791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790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789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788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787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786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785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784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783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782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781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780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779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778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777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776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775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774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773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772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771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770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769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768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767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766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765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764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763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762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761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760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759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758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757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756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755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754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753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752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751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750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749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748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747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746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745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744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743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742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741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740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739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738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737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736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735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734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733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732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731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730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729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728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727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726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725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724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723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722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721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720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719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718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717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716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715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714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713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712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711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710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709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708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707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706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705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704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703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702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701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700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699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698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697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696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695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694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693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692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691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690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689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688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687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686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685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684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683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682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681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680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679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678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677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676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675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674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673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672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671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670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669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668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667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666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665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664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663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662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661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660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659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658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657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656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655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654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653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652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651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650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649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648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647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646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645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644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643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642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641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640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639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638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637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636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635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634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633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632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631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630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629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628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627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626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625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624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623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622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621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620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619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618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617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616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615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614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613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612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611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610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609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608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607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606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605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604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603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602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601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600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599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598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597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596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595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594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593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592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591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590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589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588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587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586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585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584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583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582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581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580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579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578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577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576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575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574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573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572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571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570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569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568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567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566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565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564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563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562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561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560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559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558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557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556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555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554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553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552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551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550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549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548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547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546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545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544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543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542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541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540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539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538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537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536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535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534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533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532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531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530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529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528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527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526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525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524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523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522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521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520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519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518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517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516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515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514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513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512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511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510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509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508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507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506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505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504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503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502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501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500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499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498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497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496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495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494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493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492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491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490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489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488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487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486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485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484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483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482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481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480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479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478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477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476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475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474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473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472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471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470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469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468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467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466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465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464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463">
  <tableColumns count="8">
    <tableColumn id="1" xr3:uid="{485F194B-50E7-4EB0-AFA1-A1A8E51CB2CF}" name="CIE-10" dataCellStyle="20% - Énfasis4"/>
    <tableColumn id="2" xr3:uid="{36314886-388C-4F91-96F1-C0758381A961}" name="D1" dataDxfId="462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461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460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459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458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457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456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455">
  <tableColumns count="8">
    <tableColumn id="1" xr3:uid="{FFDA94AE-A371-4F16-9093-5FF9394511DB}" name="CIE-10" dataCellStyle="20% - Énfasis4"/>
    <tableColumn id="2" xr3:uid="{1D68D946-4CCA-4F64-9B48-2E43DDF353AC}" name="D1" dataDxfId="454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453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452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451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450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449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448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447">
  <tableColumns count="8">
    <tableColumn id="1" xr3:uid="{07D5ED23-3A0C-4FBD-A509-98CD7932F04C}" name="CIE-10" dataCellStyle="20% - Énfasis4"/>
    <tableColumn id="2" xr3:uid="{D6E153FA-65E9-4920-9413-7B5A72703DA7}" name="D1" dataDxfId="446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445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444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443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442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441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440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439">
  <tableColumns count="8">
    <tableColumn id="1" xr3:uid="{B7EDA159-4D7A-40F9-9F16-407EECB20701}" name="CIE-10" dataCellStyle="20% - Énfasis4"/>
    <tableColumn id="2" xr3:uid="{62C3A344-E81C-4C9C-9D32-37068148C558}" name="D1" dataDxfId="438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437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436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435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434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433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432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431">
  <tableColumns count="8">
    <tableColumn id="1" xr3:uid="{0A53E7E0-58BB-48FD-9BBE-74C67AEEECDC}" name="CIE-10" dataCellStyle="20% - Énfasis4"/>
    <tableColumn id="2" xr3:uid="{E0E63266-E7E9-43B4-BFD5-669E5DC454B4}" name="D1" dataDxfId="430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429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428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427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426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425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424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423">
  <tableColumns count="8">
    <tableColumn id="1" xr3:uid="{ECC097B9-67AC-4293-B12C-FFE8F8F26A6B}" name="CIE-10" dataCellStyle="20% - Énfasis4"/>
    <tableColumn id="2" xr3:uid="{E32ABAC2-FFDC-465F-8166-06A248A93DED}" name="D1" dataDxfId="422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421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420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419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418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417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416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415">
  <tableColumns count="8">
    <tableColumn id="1" xr3:uid="{0788223D-7D62-46C8-B35C-6AD5D828343D}" name="CIE-10" dataCellStyle="20% - Énfasis4"/>
    <tableColumn id="2" xr3:uid="{09444313-D407-4675-9FE5-B4AC5B5CB06A}" name="D1" dataDxfId="414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413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412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411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410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409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408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407">
  <tableColumns count="8">
    <tableColumn id="1" xr3:uid="{94B4EBA3-4AFA-4367-96D9-B15AC6BB8F02}" name="CIE-10" dataCellStyle="20% - Énfasis4"/>
    <tableColumn id="2" xr3:uid="{3EE32E28-17A4-4924-8CA1-CE334B89BFC2}" name="D1" dataDxfId="406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405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404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403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402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401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400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399">
  <tableColumns count="8">
    <tableColumn id="1" xr3:uid="{F21731D5-B024-4A92-9EAA-5B7E60B386CC}" name="CIE-10" dataCellStyle="20% - Énfasis4"/>
    <tableColumn id="2" xr3:uid="{F5AC9A93-B268-4C06-9B3D-765E78C7D31D}" name="D1" dataDxfId="398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397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396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395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394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393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392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391">
  <tableColumns count="8">
    <tableColumn id="1" xr3:uid="{B23C6EF0-6A7C-4DFA-AAB4-88B958A9D0B8}" name="CIE-10" dataCellStyle="20% - Énfasis4"/>
    <tableColumn id="2" xr3:uid="{BAFFF443-879B-4129-8878-20153FD6CBAF}" name="D1" dataDxfId="390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389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388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387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386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385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384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383">
  <tableColumns count="8">
    <tableColumn id="1" xr3:uid="{4876A47A-3A7B-4100-AC69-9308AFAAA8B3}" name="CIE-10" dataCellStyle="20% - Énfasis4"/>
    <tableColumn id="2" xr3:uid="{82217324-5F8B-430A-A3B2-1D4DED663968}" name="D1" dataDxfId="382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381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380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379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378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377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376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375">
  <tableColumns count="8">
    <tableColumn id="1" xr3:uid="{8A4FAB83-430C-4C83-B8C6-67F894AB0932}" name="CIE-10" dataCellStyle="20% - Énfasis4"/>
    <tableColumn id="2" xr3:uid="{ADE2F350-064D-4BCA-A236-FEC666D0995A}" name="D1" dataDxfId="374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373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372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371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370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369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368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367">
  <tableColumns count="8">
    <tableColumn id="1" xr3:uid="{661B6F5E-5039-4402-A857-1D0D85673CF1}" name="CIE-10" dataCellStyle="20% - Énfasis4"/>
    <tableColumn id="2" xr3:uid="{579F30F0-6206-4C0F-A699-227864E6B1AD}" name="D1" dataDxfId="366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365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364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363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362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361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360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359">
  <tableColumns count="8">
    <tableColumn id="1" xr3:uid="{9B9D0452-848B-48DB-A0C0-042F2014A69D}" name="CIE-10" dataCellStyle="20% - Énfasis4"/>
    <tableColumn id="2" xr3:uid="{D1EE73A2-BB95-4D5B-B245-027DC738A513}" name="D1" dataDxfId="358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357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356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355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354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353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352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351">
  <tableColumns count="8">
    <tableColumn id="1" xr3:uid="{5BCC715D-AC73-4C2D-8E7E-7955668E7CCF}" name="CIE-10" dataCellStyle="20% - Énfasis4"/>
    <tableColumn id="2" xr3:uid="{AC248224-CE59-4C9C-AC30-83E6492BC28D}" name="D1" dataDxfId="350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349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348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347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346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345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344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343">
  <tableColumns count="8">
    <tableColumn id="1" xr3:uid="{7AA3C4BC-6F1A-4715-AB51-FB6A4EB9AE6C}" name="CIE-10" dataCellStyle="20% - Énfasis4"/>
    <tableColumn id="2" xr3:uid="{D84E5A8E-A6CD-47BE-96F8-BEF0805CD000}" name="D1" dataDxfId="342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341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340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339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338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337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336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335">
  <tableColumns count="8">
    <tableColumn id="1" xr3:uid="{594E9755-D854-4433-B7FB-F8CCD2D87A83}" name="CIE-10" dataCellStyle="20% - Énfasis4"/>
    <tableColumn id="2" xr3:uid="{00BBECBD-793C-493C-99D2-280A2119A94A}" name="D1" dataDxfId="334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333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332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331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330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329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328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327">
  <tableColumns count="8">
    <tableColumn id="1" xr3:uid="{FAD4996F-3DBF-43F3-A14A-6B9BA3EA4E0B}" name="CIE-10" dataCellStyle="20% - Énfasis4"/>
    <tableColumn id="2" xr3:uid="{86174468-3825-459C-826E-333C922F74FD}" name="D1" dataDxfId="326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325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324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323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322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321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320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319">
  <tableColumns count="8">
    <tableColumn id="1" xr3:uid="{DF670D0C-4464-4F12-9785-24E14A529F59}" name="CIE-10" dataCellStyle="20% - Énfasis4"/>
    <tableColumn id="2" xr3:uid="{1D8A52CB-C017-4593-B95F-568A53509F27}" name="D1" dataDxfId="318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317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316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315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314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313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312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311">
  <tableColumns count="8">
    <tableColumn id="1" xr3:uid="{F0E5135E-B9DE-4890-91E0-21B3EDCD9248}" name="CIE-10" dataCellStyle="20% - Énfasis4"/>
    <tableColumn id="2" xr3:uid="{D2E58B5A-F4F4-42DB-B678-0ABE50BA4AA6}" name="D1" dataDxfId="310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309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308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307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306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305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304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303">
  <tableColumns count="8">
    <tableColumn id="1" xr3:uid="{28E6AF65-4E98-4E80-A86F-1B9B49A6F108}" name="CIE-10" dataCellStyle="20% - Énfasis4"/>
    <tableColumn id="2" xr3:uid="{337D3BEF-5DE9-49CC-89E7-E0987B9055DE}" name="D1" dataDxfId="302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301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300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299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298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297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296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295">
  <tableColumns count="8">
    <tableColumn id="1" xr3:uid="{DC14A9AF-F8FA-4F85-8C5C-150D54BD65F9}" name="CIE-10" dataCellStyle="20% - Énfasis4"/>
    <tableColumn id="2" xr3:uid="{1831DAF1-C15B-4B6C-B69C-6BA5EF587B3A}" name="D1" dataDxfId="294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293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292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291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290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289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288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287">
  <tableColumns count="8">
    <tableColumn id="1" xr3:uid="{7D65BBE1-5B33-488E-9779-A3A01EA2C8CA}" name="CIE-10" dataCellStyle="20% - Énfasis4"/>
    <tableColumn id="2" xr3:uid="{5B6A21AF-A8C1-47D2-A944-9E4E0C89CB52}" name="D1" dataDxfId="286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285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284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283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282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281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280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279">
  <tableColumns count="8">
    <tableColumn id="1" xr3:uid="{991F1851-EDDA-433A-92FC-06CB7549AB22}" name="CIE-10" dataCellStyle="20% - Énfasis4"/>
    <tableColumn id="2" xr3:uid="{554C24BB-2A25-4698-A896-454D4418C516}" name="D1" dataDxfId="278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277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276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275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274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273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272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271">
  <tableColumns count="8">
    <tableColumn id="1" xr3:uid="{F85589BF-2C94-42E6-9D26-A0981E7610A9}" name="CIE-10" dataCellStyle="20% - Énfasis4"/>
    <tableColumn id="2" xr3:uid="{852D2A7C-F8B2-48C1-9E0F-3F4D7D79E9A5}" name="D1" dataDxfId="270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269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268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267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266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265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264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263">
  <tableColumns count="8">
    <tableColumn id="1" xr3:uid="{A14620F2-FE0B-4932-8A1D-78E1B0FE085E}" name="CIE-10" dataCellStyle="20% - Énfasis4"/>
    <tableColumn id="2" xr3:uid="{170F70CC-B632-4DE5-90B4-A733B5DEF1E3}" name="D1" dataDxfId="262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261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260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259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258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257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256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255">
  <tableColumns count="8">
    <tableColumn id="1" xr3:uid="{4CA884E9-22A7-4EB4-8ABE-B9DDB69817E6}" name="CIE-10" dataCellStyle="20% - Énfasis4"/>
    <tableColumn id="2" xr3:uid="{07FC41BC-9CA0-496C-96C0-1BB34E33B7C4}" name="D1" dataDxfId="254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253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252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251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250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249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248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247">
  <tableColumns count="8">
    <tableColumn id="1" xr3:uid="{EC18A1D7-C07F-46A5-BF3E-5DAC54503B29}" name="CIE-10" dataCellStyle="20% - Énfasis4"/>
    <tableColumn id="2" xr3:uid="{B50E2205-E0D0-4BA8-A055-390A0CB35D11}" name="D1" dataDxfId="246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245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244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243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242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241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240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239">
  <tableColumns count="8">
    <tableColumn id="1" xr3:uid="{D56E0F40-7970-4D19-9C11-9BA97085C37F}" name="CIE-10" dataCellStyle="20% - Énfasis4"/>
    <tableColumn id="2" xr3:uid="{42E778BD-7B47-449E-9AA3-8340859C38E1}" name="D1" dataDxfId="238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237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236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235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234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233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232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231">
  <tableColumns count="8">
    <tableColumn id="1" xr3:uid="{B1AA5655-9F13-4D9F-8811-EC78EFE52700}" name="CIE-10" dataCellStyle="20% - Énfasis4"/>
    <tableColumn id="2" xr3:uid="{B000D996-DC6D-4401-B3FD-24816456560B}" name="D1" dataDxfId="230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229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228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227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226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225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224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223">
  <tableColumns count="8">
    <tableColumn id="1" xr3:uid="{8C8975C2-8AD7-4456-980D-AAAD64347CFB}" name="CIE-10" dataCellStyle="20% - Énfasis4"/>
    <tableColumn id="2" xr3:uid="{88419812-E88B-4905-85A2-32F17895F471}" name="D1" dataDxfId="222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221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220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219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218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217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216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215">
  <tableColumns count="8">
    <tableColumn id="1" xr3:uid="{B2D9A653-61A7-4544-BB0E-133676EBCDDE}" name="CIE-10" dataCellStyle="20% - Énfasis4"/>
    <tableColumn id="2" xr3:uid="{49658863-7264-4FDE-B797-A1ECAF4BF609}" name="D1" dataDxfId="214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213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212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211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210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209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208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207">
  <tableColumns count="8">
    <tableColumn id="1" xr3:uid="{FF0BDB1E-7BA5-4E6C-9836-EF219F19A2CC}" name="CIE-10" dataCellStyle="20% - Énfasis4"/>
    <tableColumn id="2" xr3:uid="{2284D742-F25F-49C9-9CC3-E9CB37A07D61}" name="D1" dataDxfId="206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205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204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203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202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201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200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199">
  <tableColumns count="8">
    <tableColumn id="1" xr3:uid="{7A8A1C5C-B47F-4366-98A0-200B3BC445F4}" name="CIE-10" dataCellStyle="20% - Énfasis4"/>
    <tableColumn id="2" xr3:uid="{3FDD53D7-F4EC-4074-8E7D-05EB20140876}" name="D1" dataDxfId="198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197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196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195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194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193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192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191">
  <tableColumns count="8">
    <tableColumn id="1" xr3:uid="{0C82E2D5-11BD-4A0D-A560-E155A1BE7B69}" name="CIE-10" dataCellStyle="20% - Énfasis4"/>
    <tableColumn id="2" xr3:uid="{49B280B8-9DDF-4F3D-98F1-0EB1EF3E19CA}" name="D1" dataDxfId="190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189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188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187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186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185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184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183">
  <tableColumns count="8">
    <tableColumn id="1" xr3:uid="{066779C6-11AE-47BE-9AD8-17218BA9446B}" name="CIE-10" dataCellStyle="20% - Énfasis4"/>
    <tableColumn id="2" xr3:uid="{7A52FDC6-9BA3-4CE5-B833-29A19C582E97}" name="D1" dataDxfId="182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181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180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179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178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177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176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175">
  <tableColumns count="8">
    <tableColumn id="1" xr3:uid="{7C0659D3-8C52-4928-84E9-E2B209CDE5FE}" name="CIE-10" dataCellStyle="20% - Énfasis4"/>
    <tableColumn id="2" xr3:uid="{269253D5-7E96-48B9-ADE1-89B8B7E78243}" name="D1" dataDxfId="174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173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172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171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170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169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168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167">
  <tableColumns count="8">
    <tableColumn id="1" xr3:uid="{D43E2FCC-83B2-47C0-B20E-BE9F72ABF6CB}" name="CIE-10" dataCellStyle="20% - Énfasis4"/>
    <tableColumn id="2" xr3:uid="{33109BB2-0C0C-4436-A5EC-D69B3A224DE5}" name="D1" dataDxfId="166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165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164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163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162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161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160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159">
  <tableColumns count="8">
    <tableColumn id="1" xr3:uid="{E50E8BCC-1751-479B-8A06-AAAA838AD3A4}" name="CIE-10" dataCellStyle="20% - Énfasis4"/>
    <tableColumn id="2" xr3:uid="{F593A6F5-13F0-4CBD-8E9C-AEA9ED745225}" name="D1" dataDxfId="158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157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156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155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154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153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152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151">
  <tableColumns count="8">
    <tableColumn id="1" xr3:uid="{D31497DD-C1D2-4F46-BFC8-DDF08417D8FF}" name="CIE-10" dataCellStyle="20% - Énfasis4"/>
    <tableColumn id="2" xr3:uid="{D93A934F-23C7-47C1-BB3C-0F38B61859B5}" name="D1" dataDxfId="150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149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148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147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146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145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144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143">
  <tableColumns count="8">
    <tableColumn id="1" xr3:uid="{1AB8B76E-51B4-4C8B-8EE6-84E200FEF3BE}" name="CIE-10" dataCellStyle="20% - Énfasis4"/>
    <tableColumn id="2" xr3:uid="{DAAA6E9E-4C69-44A7-BE74-7AFEC821CE89}" name="D1" dataDxfId="142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141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140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139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138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137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136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135">
  <tableColumns count="8">
    <tableColumn id="1" xr3:uid="{54EE5AEA-623E-4C57-B6A3-06E723A7EAEC}" name="CIE-10" dataCellStyle="20% - Énfasis4"/>
    <tableColumn id="2" xr3:uid="{B138ED00-AE14-462B-A7E5-6C5137B7B4F1}" name="D1" dataDxfId="134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133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132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131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130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129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128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127">
  <tableColumns count="8">
    <tableColumn id="1" xr3:uid="{7429D245-5CA9-4903-BEB5-DA479D08C7C0}" name="CIE-10" dataCellStyle="20% - Énfasis4"/>
    <tableColumn id="2" xr3:uid="{D9774041-46ED-4AE5-9FB1-3FDCD913804F}" name="D1" dataDxfId="126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125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124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123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122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121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120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119">
  <tableColumns count="8">
    <tableColumn id="1" xr3:uid="{5FFDCB52-0E81-450E-B3EF-F510452C9840}" name="CIE-10" dataCellStyle="20% - Énfasis4"/>
    <tableColumn id="2" xr3:uid="{3089415D-B803-44DB-AAF6-CC32949B6005}" name="D1" dataDxfId="118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117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116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115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114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113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112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111">
  <tableColumns count="8">
    <tableColumn id="1" xr3:uid="{15C30AFA-1E70-428C-949F-4633E8B6CE50}" name="CIE-10" dataCellStyle="20% - Énfasis4"/>
    <tableColumn id="2" xr3:uid="{53C6A50A-A9A3-4C7A-ADA1-BE3EF7AA2B17}" name="D1" dataDxfId="110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109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108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107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106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105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104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103">
  <tableColumns count="8">
    <tableColumn id="1" xr3:uid="{F8D1601E-E9F5-4790-8AB4-BD609A048596}" name="CIE-10" dataCellStyle="20% - Énfasis4"/>
    <tableColumn id="2" xr3:uid="{5B15F200-6D7D-46ED-B74A-F434B1F60C2B}" name="D1" dataDxfId="102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101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100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99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98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97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96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95">
  <tableColumns count="8">
    <tableColumn id="1" xr3:uid="{84398776-0BCB-41FF-BCF1-6B03D626C2A9}" name="CIE-10" dataCellStyle="20% - Énfasis4"/>
    <tableColumn id="2" xr3:uid="{4439E683-86E6-4B94-8053-30431DEDD8B9}" name="D1" dataDxfId="94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93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92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91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90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89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88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87">
  <tableColumns count="8">
    <tableColumn id="1" xr3:uid="{6AFDA0B4-8007-41DF-85DB-ACA0EF4A443A}" name="CIE-10" dataCellStyle="20% - Énfasis4"/>
    <tableColumn id="2" xr3:uid="{238736BA-6DBE-42F3-AA97-8F9A546DD393}" name="D1" dataDxfId="86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85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84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83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82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81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80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79">
  <tableColumns count="8">
    <tableColumn id="1" xr3:uid="{4A881AE3-CDF9-4E38-902E-F07FA47FE646}" name="CIE-10" dataCellStyle="20% - Énfasis4"/>
    <tableColumn id="2" xr3:uid="{25F6A45E-7B32-4EE2-954D-0D77A5856265}" name="D1" dataDxfId="78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77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76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75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74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73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72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71">
  <tableColumns count="8">
    <tableColumn id="1" xr3:uid="{33A471A1-152B-4D7B-8C30-3C6307A4273F}" name="CIE-10" dataCellStyle="20% - Énfasis4"/>
    <tableColumn id="2" xr3:uid="{9BCB888C-B90D-4C44-9BEA-7F3E77A6C430}" name="D1" dataDxfId="70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69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68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67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66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65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64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63">
  <tableColumns count="8">
    <tableColumn id="1" xr3:uid="{BC2CD186-0BB6-4392-B3FC-07D185BCC7E9}" name="CIE-10" dataCellStyle="20% - Énfasis4"/>
    <tableColumn id="2" xr3:uid="{6FA63126-D8A6-4C7B-BBA1-1CAFB713A760}" name="D1" dataDxfId="62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61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60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59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58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57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56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55">
  <tableColumns count="8">
    <tableColumn id="1" xr3:uid="{3106C332-43B0-465A-8D62-CCF1073959F6}" name="CIE-10" dataCellStyle="20% - Énfasis4"/>
    <tableColumn id="2" xr3:uid="{55B24048-6433-4616-BB97-7A2123CD1CB6}" name="D1" dataDxfId="54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53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52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51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50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49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48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47">
  <tableColumns count="8">
    <tableColumn id="1" xr3:uid="{9D9791F5-E526-4518-B909-1B86466588F3}" name="CIE-10" dataCellStyle="20% - Énfasis4"/>
    <tableColumn id="2" xr3:uid="{0A8399F0-FE12-49FE-9B81-D150A7340DA2}" name="D1" dataDxfId="46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45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44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43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42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41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40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39">
  <tableColumns count="8">
    <tableColumn id="1" xr3:uid="{C4245619-90C1-42AB-A7AB-3E551B6EDCE0}" name="CIE-10" dataCellStyle="20% - Énfasis4"/>
    <tableColumn id="2" xr3:uid="{5A0AE592-1CD9-488B-B08D-C500B68EAC32}" name="D1" dataDxfId="38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37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36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35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34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33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32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31">
  <tableColumns count="8">
    <tableColumn id="1" xr3:uid="{5D2F212D-C943-45FA-BC31-5CADABF5D27B}" name="CIE-10" dataCellStyle="20% - Énfasis4"/>
    <tableColumn id="2" xr3:uid="{0CE0B35C-9F29-4547-B17B-D1E581ACE9F4}" name="D1" dataDxfId="30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29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28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27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26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25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24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23">
  <tableColumns count="8">
    <tableColumn id="1" xr3:uid="{5C0900A8-BAFE-46A6-BFAA-DD2FE9072A82}" name="CIE-10" dataCellStyle="20% - Énfasis4"/>
    <tableColumn id="2" xr3:uid="{4E00524A-3F9A-4873-A92E-F83525DFA3E9}" name="D1" dataDxfId="22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21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20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19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18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17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16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15">
  <tableColumns count="8">
    <tableColumn id="1" xr3:uid="{A82C0F40-E720-4AE0-8F87-32E2986C5251}" name="CIE-10" dataCellStyle="20% - Énfasis4"/>
    <tableColumn id="2" xr3:uid="{D60A0F84-E64D-4879-8C26-B5195D9B47ED}" name="D1" dataDxfId="14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13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12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11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10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9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8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7">
  <tableColumns count="8">
    <tableColumn id="1" xr3:uid="{C2E43ADD-9952-48ED-883D-308E54072DC4}" name="CIE-10" dataCellStyle="20% - Énfasis4"/>
    <tableColumn id="2" xr3:uid="{9A4A916C-8F95-4938-BC2A-0F8B12197664}" name="D1" dataDxfId="6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5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4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3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2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1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0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26" Type="http://schemas.openxmlformats.org/officeDocument/2006/relationships/table" Target="../tables/table34.xml"/><Relationship Id="rId39" Type="http://schemas.openxmlformats.org/officeDocument/2006/relationships/table" Target="../tables/table47.xml"/><Relationship Id="rId21" Type="http://schemas.openxmlformats.org/officeDocument/2006/relationships/table" Target="../tables/table29.xml"/><Relationship Id="rId34" Type="http://schemas.openxmlformats.org/officeDocument/2006/relationships/table" Target="../tables/table42.xml"/><Relationship Id="rId42" Type="http://schemas.openxmlformats.org/officeDocument/2006/relationships/table" Target="../tables/table50.xml"/><Relationship Id="rId47" Type="http://schemas.openxmlformats.org/officeDocument/2006/relationships/table" Target="../tables/table55.xml"/><Relationship Id="rId50" Type="http://schemas.openxmlformats.org/officeDocument/2006/relationships/table" Target="../tables/table58.xml"/><Relationship Id="rId7" Type="http://schemas.openxmlformats.org/officeDocument/2006/relationships/table" Target="../tables/table15.xml"/><Relationship Id="rId2" Type="http://schemas.openxmlformats.org/officeDocument/2006/relationships/printerSettings" Target="../printerSettings/printerSettings2.bin"/><Relationship Id="rId16" Type="http://schemas.openxmlformats.org/officeDocument/2006/relationships/table" Target="../tables/table24.xml"/><Relationship Id="rId29" Type="http://schemas.openxmlformats.org/officeDocument/2006/relationships/table" Target="../tables/table37.xml"/><Relationship Id="rId11" Type="http://schemas.openxmlformats.org/officeDocument/2006/relationships/table" Target="../tables/table19.xml"/><Relationship Id="rId24" Type="http://schemas.openxmlformats.org/officeDocument/2006/relationships/table" Target="../tables/table32.xml"/><Relationship Id="rId32" Type="http://schemas.openxmlformats.org/officeDocument/2006/relationships/table" Target="../tables/table40.xml"/><Relationship Id="rId37" Type="http://schemas.openxmlformats.org/officeDocument/2006/relationships/table" Target="../tables/table45.xml"/><Relationship Id="rId40" Type="http://schemas.openxmlformats.org/officeDocument/2006/relationships/table" Target="../tables/table48.xml"/><Relationship Id="rId45" Type="http://schemas.openxmlformats.org/officeDocument/2006/relationships/table" Target="../tables/table53.xml"/><Relationship Id="rId53" Type="http://schemas.openxmlformats.org/officeDocument/2006/relationships/comments" Target="../comments2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31" Type="http://schemas.openxmlformats.org/officeDocument/2006/relationships/table" Target="../tables/table39.xml"/><Relationship Id="rId44" Type="http://schemas.openxmlformats.org/officeDocument/2006/relationships/table" Target="../tables/table52.xml"/><Relationship Id="rId52" Type="http://schemas.openxmlformats.org/officeDocument/2006/relationships/table" Target="../tables/table60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Relationship Id="rId22" Type="http://schemas.openxmlformats.org/officeDocument/2006/relationships/table" Target="../tables/table30.xml"/><Relationship Id="rId27" Type="http://schemas.openxmlformats.org/officeDocument/2006/relationships/table" Target="../tables/table35.xml"/><Relationship Id="rId30" Type="http://schemas.openxmlformats.org/officeDocument/2006/relationships/table" Target="../tables/table38.xml"/><Relationship Id="rId35" Type="http://schemas.openxmlformats.org/officeDocument/2006/relationships/table" Target="../tables/table43.xml"/><Relationship Id="rId43" Type="http://schemas.openxmlformats.org/officeDocument/2006/relationships/table" Target="../tables/table51.xml"/><Relationship Id="rId48" Type="http://schemas.openxmlformats.org/officeDocument/2006/relationships/table" Target="../tables/table56.xml"/><Relationship Id="rId8" Type="http://schemas.openxmlformats.org/officeDocument/2006/relationships/table" Target="../tables/table16.xml"/><Relationship Id="rId51" Type="http://schemas.openxmlformats.org/officeDocument/2006/relationships/table" Target="../tables/table59.xml"/><Relationship Id="rId3" Type="http://schemas.openxmlformats.org/officeDocument/2006/relationships/vmlDrawing" Target="../drawings/vmlDrawing2.v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5" Type="http://schemas.openxmlformats.org/officeDocument/2006/relationships/table" Target="../tables/table33.xml"/><Relationship Id="rId33" Type="http://schemas.openxmlformats.org/officeDocument/2006/relationships/table" Target="../tables/table41.xml"/><Relationship Id="rId38" Type="http://schemas.openxmlformats.org/officeDocument/2006/relationships/table" Target="../tables/table46.xml"/><Relationship Id="rId46" Type="http://schemas.openxmlformats.org/officeDocument/2006/relationships/table" Target="../tables/table54.xml"/><Relationship Id="rId20" Type="http://schemas.openxmlformats.org/officeDocument/2006/relationships/table" Target="../tables/table28.xml"/><Relationship Id="rId41" Type="http://schemas.openxmlformats.org/officeDocument/2006/relationships/table" Target="../tables/table49.xm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4.xml"/><Relationship Id="rId15" Type="http://schemas.openxmlformats.org/officeDocument/2006/relationships/table" Target="../tables/table23.xml"/><Relationship Id="rId23" Type="http://schemas.openxmlformats.org/officeDocument/2006/relationships/table" Target="../tables/table31.xml"/><Relationship Id="rId28" Type="http://schemas.openxmlformats.org/officeDocument/2006/relationships/table" Target="../tables/table36.xml"/><Relationship Id="rId36" Type="http://schemas.openxmlformats.org/officeDocument/2006/relationships/table" Target="../tables/table44.xml"/><Relationship Id="rId49" Type="http://schemas.openxmlformats.org/officeDocument/2006/relationships/table" Target="../tables/table5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outlinePr summaryBelow="0"/>
  </sheetPr>
  <dimension ref="A1:BK1054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1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16384" width="9.140625" style="2"/>
  </cols>
  <sheetData>
    <row r="1" spans="1:63" ht="19.5" customHeight="1">
      <c r="A1" s="79" t="s">
        <v>0</v>
      </c>
      <c r="B1" s="80"/>
      <c r="C1" s="80"/>
      <c r="D1" s="80"/>
      <c r="E1" s="80"/>
      <c r="F1" s="80"/>
      <c r="G1" s="81"/>
      <c r="H1" s="79" t="s">
        <v>1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/>
      <c r="V1" s="79" t="s">
        <v>2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3"/>
      <c r="AO1" s="79" t="s">
        <v>3</v>
      </c>
      <c r="AP1" s="82"/>
      <c r="AQ1" s="82"/>
      <c r="AR1" s="82"/>
      <c r="AS1" s="82"/>
      <c r="AT1" s="82"/>
      <c r="AU1" s="82"/>
      <c r="AV1" s="82"/>
      <c r="AW1" s="82"/>
      <c r="AX1" s="83"/>
      <c r="AY1" s="79" t="s">
        <v>4</v>
      </c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4"/>
    </row>
    <row r="2" spans="1:63" ht="18.75" customHeight="1" thickBot="1">
      <c r="A2" s="73" t="s">
        <v>5</v>
      </c>
      <c r="B2" s="74" t="s">
        <v>765</v>
      </c>
      <c r="C2" s="75" t="s">
        <v>6</v>
      </c>
      <c r="D2" s="75" t="s">
        <v>7</v>
      </c>
      <c r="E2" s="75" t="s">
        <v>8</v>
      </c>
      <c r="F2" s="75" t="s">
        <v>9</v>
      </c>
      <c r="G2" s="77" t="s">
        <v>10</v>
      </c>
      <c r="H2" s="78" t="s">
        <v>11</v>
      </c>
      <c r="I2" s="75" t="s">
        <v>12</v>
      </c>
      <c r="J2" s="75" t="s">
        <v>13</v>
      </c>
      <c r="K2" s="75" t="s">
        <v>14</v>
      </c>
      <c r="L2" s="75" t="s">
        <v>15</v>
      </c>
      <c r="M2" s="74" t="s">
        <v>52</v>
      </c>
      <c r="N2" s="75" t="s">
        <v>16</v>
      </c>
      <c r="O2" s="75" t="s">
        <v>17</v>
      </c>
      <c r="P2" s="75" t="s">
        <v>18</v>
      </c>
      <c r="Q2" s="75" t="s">
        <v>19</v>
      </c>
      <c r="R2" s="75" t="s">
        <v>20</v>
      </c>
      <c r="S2" s="75" t="s">
        <v>21</v>
      </c>
      <c r="T2" s="75" t="s">
        <v>22</v>
      </c>
      <c r="U2" s="77" t="s">
        <v>23</v>
      </c>
      <c r="V2" s="78" t="s">
        <v>24</v>
      </c>
      <c r="W2" s="75" t="s">
        <v>25</v>
      </c>
      <c r="X2" s="75" t="s">
        <v>26</v>
      </c>
      <c r="Y2" s="75" t="s">
        <v>27</v>
      </c>
      <c r="Z2" s="75" t="s">
        <v>28</v>
      </c>
      <c r="AA2" s="75" t="s">
        <v>29</v>
      </c>
      <c r="AB2" s="75" t="s">
        <v>30</v>
      </c>
      <c r="AC2" s="75" t="s">
        <v>31</v>
      </c>
      <c r="AD2" s="75" t="s">
        <v>32</v>
      </c>
      <c r="AE2" s="75" t="s">
        <v>33</v>
      </c>
      <c r="AF2" s="75" t="s">
        <v>34</v>
      </c>
      <c r="AG2" s="75" t="s">
        <v>35</v>
      </c>
      <c r="AH2" s="75" t="s">
        <v>36</v>
      </c>
      <c r="AI2" s="75" t="s">
        <v>37</v>
      </c>
      <c r="AJ2" s="75" t="s">
        <v>38</v>
      </c>
      <c r="AK2" s="75" t="s">
        <v>39</v>
      </c>
      <c r="AL2" s="75" t="s">
        <v>40</v>
      </c>
      <c r="AM2" s="75" t="s">
        <v>41</v>
      </c>
      <c r="AN2" s="77" t="s">
        <v>42</v>
      </c>
      <c r="AO2" s="78" t="s">
        <v>43</v>
      </c>
      <c r="AP2" s="75" t="s">
        <v>44</v>
      </c>
      <c r="AQ2" s="75" t="s">
        <v>45</v>
      </c>
      <c r="AR2" s="75" t="s">
        <v>46</v>
      </c>
      <c r="AS2" s="75" t="s">
        <v>47</v>
      </c>
      <c r="AT2" s="75" t="s">
        <v>48</v>
      </c>
      <c r="AU2" s="75" t="s">
        <v>49</v>
      </c>
      <c r="AV2" s="75" t="s">
        <v>50</v>
      </c>
      <c r="AW2" s="75" t="s">
        <v>51</v>
      </c>
      <c r="AX2" s="77" t="s">
        <v>53</v>
      </c>
      <c r="AY2" s="78" t="s">
        <v>54</v>
      </c>
      <c r="AZ2" s="75" t="s">
        <v>55</v>
      </c>
      <c r="BA2" s="75" t="s">
        <v>56</v>
      </c>
      <c r="BB2" s="75" t="s">
        <v>57</v>
      </c>
      <c r="BC2" s="75" t="s">
        <v>58</v>
      </c>
      <c r="BD2" s="75" t="s">
        <v>59</v>
      </c>
      <c r="BE2" s="75" t="s">
        <v>60</v>
      </c>
      <c r="BF2" s="75" t="s">
        <v>61</v>
      </c>
      <c r="BG2" s="75" t="s">
        <v>62</v>
      </c>
      <c r="BH2" s="75" t="s">
        <v>63</v>
      </c>
      <c r="BI2" s="75" t="s">
        <v>64</v>
      </c>
      <c r="BJ2" s="75" t="s">
        <v>65</v>
      </c>
      <c r="BK2" s="76" t="s">
        <v>66</v>
      </c>
    </row>
    <row r="3" spans="1:63">
      <c r="A3" s="70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>
      <c r="A4" s="70"/>
      <c r="B4"/>
      <c r="C4"/>
      <c r="D4"/>
      <c r="E4"/>
      <c r="F4"/>
      <c r="G4"/>
      <c r="H4"/>
      <c r="I4"/>
      <c r="J4"/>
      <c r="K4"/>
      <c r="L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>
      <c r="A5" s="70"/>
      <c r="B5"/>
      <c r="C5"/>
      <c r="D5"/>
      <c r="E5"/>
      <c r="F5"/>
      <c r="G5"/>
      <c r="H5"/>
      <c r="I5"/>
      <c r="J5"/>
      <c r="K5"/>
      <c r="L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>
      <c r="A6" s="70"/>
      <c r="B6"/>
      <c r="C6"/>
      <c r="D6"/>
      <c r="E6"/>
      <c r="F6"/>
      <c r="G6"/>
      <c r="H6"/>
      <c r="I6"/>
      <c r="J6"/>
      <c r="K6"/>
      <c r="L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>
      <c r="A7" s="70"/>
      <c r="B7"/>
      <c r="C7"/>
      <c r="D7"/>
      <c r="E7"/>
      <c r="F7"/>
      <c r="G7"/>
      <c r="H7"/>
      <c r="I7"/>
      <c r="J7"/>
      <c r="K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>
      <c r="A8" s="70"/>
      <c r="B8"/>
      <c r="C8"/>
      <c r="D8"/>
      <c r="E8"/>
      <c r="F8"/>
      <c r="G8"/>
      <c r="H8"/>
      <c r="I8"/>
      <c r="J8"/>
      <c r="K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70"/>
      <c r="B9"/>
      <c r="C9"/>
      <c r="D9"/>
      <c r="E9"/>
      <c r="F9"/>
      <c r="G9"/>
      <c r="H9"/>
      <c r="I9"/>
      <c r="J9"/>
      <c r="K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>
      <c r="A10" s="70"/>
      <c r="B10"/>
      <c r="C10"/>
      <c r="D10"/>
      <c r="E10"/>
      <c r="F10"/>
      <c r="G10"/>
      <c r="H10"/>
      <c r="I10"/>
      <c r="J10"/>
      <c r="K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>
      <c r="A11" s="70"/>
      <c r="B11"/>
      <c r="C11"/>
      <c r="D11"/>
      <c r="E11"/>
      <c r="F11"/>
      <c r="G11"/>
      <c r="H11"/>
      <c r="I11"/>
      <c r="J11"/>
      <c r="K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>
      <c r="A12" s="70"/>
      <c r="B12"/>
      <c r="C12"/>
      <c r="D12"/>
      <c r="E12"/>
      <c r="F12"/>
      <c r="G12"/>
      <c r="H12"/>
      <c r="I12"/>
      <c r="J12"/>
      <c r="K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>
      <c r="A13" s="70"/>
      <c r="B13"/>
      <c r="C13"/>
      <c r="D13"/>
      <c r="E13"/>
      <c r="F13"/>
      <c r="G13"/>
      <c r="H13"/>
      <c r="I13"/>
      <c r="J13"/>
      <c r="K13"/>
      <c r="L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>
      <c r="A14" s="70"/>
      <c r="B14"/>
      <c r="C14"/>
      <c r="D14"/>
      <c r="E14"/>
      <c r="F14"/>
      <c r="G14"/>
      <c r="H14"/>
      <c r="I14"/>
      <c r="J14"/>
      <c r="K14"/>
      <c r="L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>
      <c r="A15" s="70"/>
      <c r="B15"/>
      <c r="C15"/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>
      <c r="A16" s="70"/>
      <c r="B16"/>
      <c r="C16"/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>
      <c r="A17" s="70"/>
      <c r="B17"/>
      <c r="C17"/>
      <c r="D17"/>
      <c r="E17"/>
      <c r="F17"/>
      <c r="G17"/>
      <c r="H17"/>
      <c r="I17"/>
      <c r="J17"/>
      <c r="K17"/>
      <c r="L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>
      <c r="A18" s="70"/>
      <c r="B18"/>
      <c r="C18"/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>
      <c r="A19" s="70"/>
      <c r="B19"/>
      <c r="C19"/>
      <c r="D19"/>
      <c r="E19"/>
      <c r="F19"/>
      <c r="G19"/>
      <c r="H19"/>
      <c r="I19"/>
      <c r="J19"/>
      <c r="K19"/>
      <c r="L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>
      <c r="A20" s="70"/>
      <c r="B20"/>
      <c r="C20"/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>
      <c r="A21" s="70"/>
      <c r="B21"/>
      <c r="C21"/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>
      <c r="A22" s="70"/>
      <c r="B22"/>
      <c r="C22"/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>
      <c r="A23" s="70"/>
      <c r="B23"/>
      <c r="C23"/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>
      <c r="A24" s="70"/>
      <c r="B24"/>
      <c r="C24"/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>
      <c r="A25" s="70"/>
      <c r="B25"/>
      <c r="C25"/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>
      <c r="A26" s="70"/>
      <c r="B26"/>
      <c r="C26"/>
      <c r="D26"/>
      <c r="E26"/>
      <c r="F26"/>
      <c r="G26"/>
      <c r="H26"/>
      <c r="I26"/>
      <c r="J26"/>
      <c r="K26"/>
      <c r="L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>
      <c r="A27" s="70"/>
      <c r="B27"/>
      <c r="C27"/>
      <c r="D27"/>
      <c r="E27"/>
      <c r="F27"/>
      <c r="G27"/>
      <c r="H27"/>
      <c r="I27"/>
      <c r="J27"/>
      <c r="K27"/>
      <c r="L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>
      <c r="A28" s="70"/>
      <c r="B28"/>
      <c r="C28"/>
      <c r="D28"/>
      <c r="E28"/>
      <c r="F28"/>
      <c r="G28"/>
      <c r="H28"/>
      <c r="I28"/>
      <c r="J28"/>
      <c r="K28"/>
      <c r="L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>
      <c r="A29" s="70"/>
      <c r="B29"/>
      <c r="C29"/>
      <c r="D29"/>
      <c r="E29"/>
      <c r="F29"/>
      <c r="G29"/>
      <c r="H29"/>
      <c r="I29"/>
      <c r="J29"/>
      <c r="K29"/>
      <c r="L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>
      <c r="A30" s="70"/>
      <c r="B30"/>
      <c r="C30"/>
      <c r="D30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>
      <c r="A31" s="70"/>
      <c r="B31"/>
      <c r="C31"/>
      <c r="D3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>
      <c r="A32" s="70"/>
      <c r="B32"/>
      <c r="C32"/>
      <c r="D32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>
      <c r="A33" s="70"/>
      <c r="B33"/>
      <c r="C33"/>
      <c r="D33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>
      <c r="A34" s="70"/>
      <c r="B34"/>
      <c r="C34"/>
      <c r="D34"/>
      <c r="E34"/>
      <c r="F34"/>
      <c r="G34"/>
      <c r="H34"/>
      <c r="I34"/>
      <c r="J34"/>
      <c r="K34"/>
      <c r="L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>
      <c r="A35" s="70"/>
      <c r="B35"/>
      <c r="C35"/>
      <c r="D35"/>
      <c r="E35"/>
      <c r="F35"/>
      <c r="G35"/>
      <c r="H35"/>
      <c r="I35"/>
      <c r="J35"/>
      <c r="K35"/>
      <c r="L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>
      <c r="A36" s="70"/>
      <c r="B36"/>
      <c r="C36"/>
      <c r="D36"/>
      <c r="E36"/>
      <c r="F36"/>
      <c r="G36"/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>
      <c r="A37" s="70"/>
      <c r="B37"/>
      <c r="C37"/>
      <c r="D37"/>
      <c r="E37"/>
      <c r="F37"/>
      <c r="G37"/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>
      <c r="A38" s="70"/>
      <c r="B38"/>
      <c r="C38"/>
      <c r="D38"/>
      <c r="E38"/>
      <c r="F38"/>
      <c r="G38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>
      <c r="A39" s="70"/>
      <c r="B39"/>
      <c r="C39"/>
      <c r="D39"/>
      <c r="E39"/>
      <c r="F39"/>
      <c r="G39"/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>
      <c r="A40" s="70"/>
      <c r="B40"/>
      <c r="C40"/>
      <c r="D40"/>
      <c r="E40"/>
      <c r="F40"/>
      <c r="G40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>
      <c r="A41" s="70"/>
      <c r="B41"/>
      <c r="C41"/>
      <c r="D41"/>
      <c r="E41"/>
      <c r="F41"/>
      <c r="G41"/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>
      <c r="A42" s="70"/>
      <c r="B42"/>
      <c r="C42"/>
      <c r="D42"/>
      <c r="E42"/>
      <c r="F42"/>
      <c r="G42"/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>
      <c r="A43" s="70"/>
      <c r="B43"/>
      <c r="C43"/>
      <c r="D43"/>
      <c r="E43"/>
      <c r="F43"/>
      <c r="G43"/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>
      <c r="A44" s="70"/>
      <c r="B44"/>
      <c r="C44"/>
      <c r="D44"/>
      <c r="E44"/>
      <c r="F44"/>
      <c r="G44"/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>
      <c r="A45" s="70"/>
      <c r="B45"/>
      <c r="C45"/>
      <c r="D45"/>
      <c r="E45"/>
      <c r="F45"/>
      <c r="G45"/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>
      <c r="A46" s="70"/>
      <c r="B46"/>
      <c r="C46"/>
      <c r="D46"/>
      <c r="E46"/>
      <c r="F46"/>
      <c r="G46"/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>
      <c r="A47" s="70"/>
      <c r="B47"/>
      <c r="C47"/>
      <c r="D47"/>
      <c r="E47"/>
      <c r="F47"/>
      <c r="G47"/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>
      <c r="A48" s="70"/>
      <c r="B48"/>
      <c r="C48"/>
      <c r="D48"/>
      <c r="E48"/>
      <c r="F48"/>
      <c r="G48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>
      <c r="A49" s="70"/>
      <c r="B49"/>
      <c r="C49"/>
      <c r="D49"/>
      <c r="E49"/>
      <c r="F49"/>
      <c r="G49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>
      <c r="A50" s="70"/>
      <c r="B50"/>
      <c r="C50"/>
      <c r="D50"/>
      <c r="E50"/>
      <c r="F50"/>
      <c r="G50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>
      <c r="A51" s="70"/>
      <c r="B51"/>
      <c r="C51"/>
      <c r="D51"/>
      <c r="E51"/>
      <c r="F51"/>
      <c r="G5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>
      <c r="A52" s="70"/>
      <c r="B52"/>
      <c r="C52"/>
      <c r="D52"/>
      <c r="E52"/>
      <c r="F52"/>
      <c r="G52"/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>
      <c r="A53" s="70"/>
      <c r="B53"/>
      <c r="C53"/>
      <c r="D53"/>
      <c r="E53"/>
      <c r="F53"/>
      <c r="G53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>
      <c r="A54" s="70"/>
      <c r="B54"/>
      <c r="C54"/>
      <c r="D54"/>
      <c r="E54"/>
      <c r="F54"/>
      <c r="G54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>
      <c r="A55" s="70"/>
      <c r="B55"/>
      <c r="C55"/>
      <c r="D55"/>
      <c r="E55"/>
      <c r="F55"/>
      <c r="G55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>
      <c r="A56" s="70"/>
      <c r="B56"/>
      <c r="C56"/>
      <c r="D56"/>
      <c r="E56"/>
      <c r="F56"/>
      <c r="G5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>
      <c r="A57" s="70"/>
      <c r="B57"/>
      <c r="C57"/>
      <c r="D57"/>
      <c r="E57"/>
      <c r="F57"/>
      <c r="G57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>
      <c r="A58" s="70"/>
      <c r="B58"/>
      <c r="C58"/>
      <c r="D58"/>
      <c r="E58"/>
      <c r="F58"/>
      <c r="G58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>
      <c r="A59" s="70"/>
      <c r="B59"/>
      <c r="C59"/>
      <c r="D59"/>
      <c r="E59"/>
      <c r="F59"/>
      <c r="G59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>
      <c r="A60" s="70"/>
      <c r="B60"/>
      <c r="C60"/>
      <c r="D60"/>
      <c r="E60"/>
      <c r="F60"/>
      <c r="G6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>
      <c r="A61" s="70"/>
      <c r="B61"/>
      <c r="C61"/>
      <c r="D61"/>
      <c r="E61"/>
      <c r="F61"/>
      <c r="G61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>
      <c r="A62" s="70"/>
      <c r="B62"/>
      <c r="C62"/>
      <c r="D62"/>
      <c r="E62"/>
      <c r="F62"/>
      <c r="G62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>
      <c r="A63" s="70"/>
      <c r="B63"/>
      <c r="C63"/>
      <c r="D63"/>
      <c r="E63"/>
      <c r="F63"/>
      <c r="G63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>
      <c r="A64" s="70"/>
      <c r="B64"/>
      <c r="C64"/>
      <c r="D64"/>
      <c r="E64"/>
      <c r="F64"/>
      <c r="G6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>
      <c r="A65" s="70"/>
      <c r="B65"/>
      <c r="C65"/>
      <c r="D65"/>
      <c r="E65"/>
      <c r="F65"/>
      <c r="G65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>
      <c r="A66" s="70"/>
      <c r="B66"/>
      <c r="C66"/>
      <c r="D66"/>
      <c r="E66"/>
      <c r="F66"/>
      <c r="G66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>
      <c r="A67" s="70"/>
      <c r="B67"/>
      <c r="C67"/>
      <c r="D67"/>
      <c r="E67"/>
      <c r="F67"/>
      <c r="G6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>
      <c r="A68" s="70"/>
      <c r="B68"/>
      <c r="C68"/>
      <c r="D68"/>
      <c r="E68"/>
      <c r="F68"/>
      <c r="G6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>
      <c r="A69" s="70"/>
      <c r="B69"/>
      <c r="C69"/>
      <c r="D69"/>
      <c r="E69"/>
      <c r="F69"/>
      <c r="G69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>
      <c r="A70" s="70"/>
      <c r="B70"/>
      <c r="C70"/>
      <c r="D70"/>
      <c r="E70"/>
      <c r="F70"/>
      <c r="G70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>
      <c r="A71" s="70"/>
      <c r="B71"/>
      <c r="C71"/>
      <c r="D71"/>
      <c r="E71"/>
      <c r="F71"/>
      <c r="G71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>
      <c r="A72" s="70"/>
      <c r="B72"/>
      <c r="C72"/>
      <c r="D72"/>
      <c r="E72"/>
      <c r="F72"/>
      <c r="G72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>
      <c r="A73" s="70"/>
      <c r="B73"/>
      <c r="C73"/>
      <c r="D73"/>
      <c r="E73"/>
      <c r="F73"/>
      <c r="G73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>
      <c r="A74" s="70"/>
      <c r="B74"/>
      <c r="C74"/>
      <c r="D74"/>
      <c r="E74"/>
      <c r="F74"/>
      <c r="G74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>
      <c r="A75" s="70"/>
      <c r="B75"/>
      <c r="C75"/>
      <c r="D75"/>
      <c r="E75"/>
      <c r="F75"/>
      <c r="G75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>
      <c r="A76" s="70"/>
      <c r="B76"/>
      <c r="C76"/>
      <c r="D76"/>
      <c r="E76"/>
      <c r="F76"/>
      <c r="G76"/>
      <c r="H76"/>
      <c r="I76"/>
      <c r="J76"/>
      <c r="K76"/>
      <c r="L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>
      <c r="A77" s="70"/>
      <c r="B77"/>
      <c r="C77"/>
      <c r="D77"/>
      <c r="E77"/>
      <c r="F77"/>
      <c r="G77"/>
      <c r="H77"/>
      <c r="I77"/>
      <c r="J77"/>
      <c r="K77"/>
      <c r="L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>
      <c r="A78" s="70"/>
      <c r="B78"/>
      <c r="C78"/>
      <c r="D78"/>
      <c r="E78"/>
      <c r="F78"/>
      <c r="G78"/>
      <c r="H78"/>
      <c r="I78"/>
      <c r="J78"/>
      <c r="K78"/>
      <c r="L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>
      <c r="A79" s="70"/>
      <c r="B79"/>
      <c r="C79"/>
      <c r="D79"/>
      <c r="E79"/>
      <c r="F79"/>
      <c r="G79"/>
      <c r="H79"/>
      <c r="I79"/>
      <c r="J79"/>
      <c r="K79"/>
      <c r="L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>
      <c r="A80" s="70"/>
      <c r="B80"/>
      <c r="C80"/>
      <c r="D80"/>
      <c r="E80"/>
      <c r="F80"/>
      <c r="G80"/>
      <c r="H80"/>
      <c r="I80"/>
      <c r="J80"/>
      <c r="K80"/>
      <c r="L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>
      <c r="A81" s="70"/>
      <c r="B81"/>
      <c r="C81"/>
      <c r="D81"/>
      <c r="E81"/>
      <c r="F81"/>
      <c r="G81"/>
      <c r="H81"/>
      <c r="I81"/>
      <c r="J81"/>
      <c r="K81"/>
      <c r="L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>
      <c r="A82" s="70"/>
      <c r="B82"/>
      <c r="C82"/>
      <c r="D82"/>
      <c r="E82"/>
      <c r="F82"/>
      <c r="G82"/>
      <c r="H82"/>
      <c r="I82"/>
      <c r="J82"/>
      <c r="K82"/>
      <c r="L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>
      <c r="A83" s="70"/>
      <c r="B83"/>
      <c r="C83"/>
      <c r="D83"/>
      <c r="E83"/>
      <c r="F83"/>
      <c r="G83"/>
      <c r="H83"/>
      <c r="I83"/>
      <c r="J83"/>
      <c r="K83"/>
      <c r="L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>
      <c r="A84" s="70"/>
      <c r="B84"/>
      <c r="C84"/>
      <c r="D84"/>
      <c r="E84"/>
      <c r="F84"/>
      <c r="G84"/>
      <c r="H84"/>
      <c r="I84"/>
      <c r="J84"/>
      <c r="K84"/>
      <c r="L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>
      <c r="A85" s="70"/>
      <c r="B85"/>
      <c r="C85"/>
      <c r="D85"/>
      <c r="E85"/>
      <c r="F85"/>
      <c r="G85"/>
      <c r="H85"/>
      <c r="I85"/>
      <c r="J85"/>
      <c r="K85"/>
      <c r="L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>
      <c r="A86" s="70"/>
      <c r="B86"/>
      <c r="C86"/>
      <c r="D86"/>
      <c r="E86"/>
      <c r="F86"/>
      <c r="G86"/>
      <c r="H86"/>
      <c r="I86"/>
      <c r="J86"/>
      <c r="K86"/>
      <c r="L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>
      <c r="A87" s="70"/>
      <c r="B87"/>
      <c r="C87"/>
      <c r="D87"/>
      <c r="E87"/>
      <c r="F87"/>
      <c r="G87"/>
      <c r="H87"/>
      <c r="I87"/>
      <c r="J87"/>
      <c r="K87"/>
      <c r="L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>
      <c r="A88" s="70"/>
      <c r="B88"/>
      <c r="C88"/>
      <c r="D88"/>
      <c r="E88"/>
      <c r="F88"/>
      <c r="G88"/>
      <c r="H88"/>
      <c r="I88"/>
      <c r="J88"/>
      <c r="K88"/>
      <c r="L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>
      <c r="A89" s="70"/>
      <c r="B89"/>
      <c r="C89"/>
      <c r="D89"/>
      <c r="E89"/>
      <c r="F89"/>
      <c r="G89"/>
      <c r="H89"/>
      <c r="I89"/>
      <c r="J89"/>
      <c r="K89"/>
      <c r="L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>
      <c r="A90" s="70"/>
      <c r="B90"/>
      <c r="C90"/>
      <c r="D90"/>
      <c r="E90"/>
      <c r="F90"/>
      <c r="G90"/>
      <c r="H90"/>
      <c r="I90"/>
      <c r="J90"/>
      <c r="K90"/>
      <c r="L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>
      <c r="A91" s="70"/>
      <c r="B91"/>
      <c r="C91"/>
      <c r="D91"/>
      <c r="E91"/>
      <c r="F91"/>
      <c r="G91"/>
      <c r="H91"/>
      <c r="I91"/>
      <c r="J91"/>
      <c r="K91"/>
      <c r="L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>
      <c r="A92" s="70"/>
      <c r="B92"/>
      <c r="C92"/>
      <c r="D92"/>
      <c r="E92"/>
      <c r="F92"/>
      <c r="G92"/>
      <c r="H92"/>
      <c r="I92"/>
      <c r="J92"/>
      <c r="K92"/>
      <c r="L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>
      <c r="A93" s="70"/>
      <c r="B93"/>
      <c r="C93"/>
      <c r="D93"/>
      <c r="E93"/>
      <c r="F93"/>
      <c r="G93"/>
      <c r="H93"/>
      <c r="I93"/>
      <c r="J93"/>
      <c r="K93"/>
      <c r="L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>
      <c r="A94" s="70"/>
      <c r="B94"/>
      <c r="C94"/>
      <c r="D94"/>
      <c r="E94"/>
      <c r="F94"/>
      <c r="G94"/>
      <c r="H94"/>
      <c r="I94"/>
      <c r="J94"/>
      <c r="K94"/>
      <c r="L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>
      <c r="A95" s="70"/>
      <c r="B95"/>
      <c r="C95"/>
      <c r="D95"/>
      <c r="E95"/>
      <c r="F95"/>
      <c r="G95"/>
      <c r="H95"/>
      <c r="I95"/>
      <c r="J95"/>
      <c r="K95"/>
      <c r="L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>
      <c r="A96" s="70"/>
      <c r="B96"/>
      <c r="C96"/>
      <c r="D96"/>
      <c r="E96"/>
      <c r="F96"/>
      <c r="G96"/>
      <c r="H96"/>
      <c r="I96"/>
      <c r="J96"/>
      <c r="K96"/>
      <c r="L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>
      <c r="A97" s="70"/>
      <c r="B97"/>
      <c r="C97"/>
      <c r="D97"/>
      <c r="E97"/>
      <c r="F97"/>
      <c r="G97"/>
      <c r="H97"/>
      <c r="I97"/>
      <c r="J97"/>
      <c r="K97"/>
      <c r="L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>
      <c r="A98" s="70"/>
      <c r="B98"/>
      <c r="C98"/>
      <c r="D98"/>
      <c r="E98"/>
      <c r="F98"/>
      <c r="G98"/>
      <c r="H98"/>
      <c r="I98"/>
      <c r="J98"/>
      <c r="K98"/>
      <c r="L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>
      <c r="A99" s="70"/>
      <c r="B99"/>
      <c r="C99"/>
      <c r="D99"/>
      <c r="E99"/>
      <c r="F99"/>
      <c r="G99"/>
      <c r="H99"/>
      <c r="I99"/>
      <c r="J99"/>
      <c r="K99"/>
      <c r="L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>
      <c r="A100" s="70"/>
      <c r="B100"/>
      <c r="C100"/>
      <c r="D100"/>
      <c r="E100"/>
      <c r="F100"/>
      <c r="G100"/>
      <c r="H100"/>
      <c r="I100"/>
      <c r="J100"/>
      <c r="K100"/>
      <c r="L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>
      <c r="A101" s="70"/>
      <c r="B101"/>
      <c r="C101"/>
      <c r="D101"/>
      <c r="E101"/>
      <c r="F101"/>
      <c r="G101"/>
      <c r="H101"/>
      <c r="I101"/>
      <c r="J101"/>
      <c r="K101"/>
      <c r="L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>
      <c r="A102" s="70"/>
      <c r="B102"/>
      <c r="C102"/>
      <c r="D102"/>
      <c r="E102"/>
      <c r="F102"/>
      <c r="G102"/>
      <c r="H102"/>
      <c r="I102"/>
      <c r="J102"/>
      <c r="K102"/>
      <c r="L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>
      <c r="A103" s="70"/>
      <c r="B103"/>
      <c r="C103"/>
      <c r="D103"/>
      <c r="E103"/>
      <c r="F103"/>
      <c r="G103"/>
      <c r="H103"/>
      <c r="I103"/>
      <c r="J103"/>
      <c r="K103"/>
      <c r="L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>
      <c r="A104" s="70"/>
      <c r="B104"/>
      <c r="C104"/>
      <c r="D104"/>
      <c r="E104"/>
      <c r="F104"/>
      <c r="G104"/>
      <c r="H104"/>
      <c r="I104"/>
      <c r="J104"/>
      <c r="K104"/>
      <c r="L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>
      <c r="A105" s="70"/>
      <c r="B105"/>
      <c r="C105"/>
      <c r="D105"/>
      <c r="E105"/>
      <c r="F105"/>
      <c r="G105"/>
      <c r="H105"/>
      <c r="I105"/>
      <c r="J105"/>
      <c r="K105"/>
      <c r="L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>
      <c r="A106" s="70"/>
      <c r="B106"/>
      <c r="C106"/>
      <c r="D106"/>
      <c r="E106"/>
      <c r="F106"/>
      <c r="G106"/>
      <c r="H106"/>
      <c r="I106"/>
      <c r="J106"/>
      <c r="K106"/>
      <c r="L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>
      <c r="A107" s="70"/>
      <c r="B107"/>
      <c r="C107"/>
      <c r="D107"/>
      <c r="E107"/>
      <c r="F107"/>
      <c r="G107"/>
      <c r="H107"/>
      <c r="I107"/>
      <c r="J107"/>
      <c r="K107"/>
      <c r="L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>
      <c r="A108" s="70"/>
      <c r="B108"/>
      <c r="C108"/>
      <c r="D108"/>
      <c r="E108"/>
      <c r="F108"/>
      <c r="G108"/>
      <c r="H108"/>
      <c r="I108"/>
      <c r="J108"/>
      <c r="K108"/>
      <c r="L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>
      <c r="A109" s="70"/>
      <c r="B109"/>
      <c r="C109"/>
      <c r="D109"/>
      <c r="E109"/>
      <c r="F109"/>
      <c r="G109"/>
      <c r="H109"/>
      <c r="I109"/>
      <c r="J109"/>
      <c r="K109"/>
      <c r="L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>
      <c r="A110" s="70"/>
      <c r="B110"/>
      <c r="C110"/>
      <c r="D110"/>
      <c r="E110"/>
      <c r="F110"/>
      <c r="G110"/>
      <c r="H110"/>
      <c r="I110"/>
      <c r="J110"/>
      <c r="K110"/>
      <c r="L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>
      <c r="A111" s="70"/>
      <c r="B111"/>
      <c r="C111"/>
      <c r="D111"/>
      <c r="E111"/>
      <c r="F111"/>
      <c r="G111"/>
      <c r="H111"/>
      <c r="I111"/>
      <c r="J111"/>
      <c r="K111"/>
      <c r="L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>
      <c r="A112" s="70"/>
      <c r="B112"/>
      <c r="C112"/>
      <c r="D112"/>
      <c r="E112"/>
      <c r="F112"/>
      <c r="G112"/>
      <c r="H112"/>
      <c r="I112"/>
      <c r="J112"/>
      <c r="K112"/>
      <c r="L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>
      <c r="A113" s="70"/>
      <c r="B113"/>
      <c r="C113"/>
      <c r="D113"/>
      <c r="E113"/>
      <c r="F113"/>
      <c r="G113"/>
      <c r="H113"/>
      <c r="I113"/>
      <c r="J113"/>
      <c r="K113"/>
      <c r="L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>
      <c r="A114" s="70"/>
      <c r="B114"/>
      <c r="C114"/>
      <c r="D114"/>
      <c r="E114"/>
      <c r="F114"/>
      <c r="G114"/>
      <c r="H114"/>
      <c r="I114"/>
      <c r="J114"/>
      <c r="K114"/>
      <c r="L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>
      <c r="A115" s="70"/>
      <c r="B115"/>
      <c r="C115"/>
      <c r="D115"/>
      <c r="E115"/>
      <c r="F115"/>
      <c r="G115"/>
      <c r="H115"/>
      <c r="I115"/>
      <c r="J115"/>
      <c r="K115"/>
      <c r="L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>
      <c r="A116" s="70"/>
      <c r="B116"/>
      <c r="C116"/>
      <c r="D116"/>
      <c r="E116"/>
      <c r="F116"/>
      <c r="G116"/>
      <c r="H116"/>
      <c r="I116"/>
      <c r="J116"/>
      <c r="K116"/>
      <c r="L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>
      <c r="A117" s="70"/>
      <c r="B117"/>
      <c r="C117"/>
      <c r="D117"/>
      <c r="E117"/>
      <c r="F117"/>
      <c r="G117"/>
      <c r="H117"/>
      <c r="I117"/>
      <c r="J117"/>
      <c r="K117"/>
      <c r="L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>
      <c r="A118" s="70"/>
      <c r="B118"/>
      <c r="C118"/>
      <c r="D118"/>
      <c r="E118"/>
      <c r="F118"/>
      <c r="G118"/>
      <c r="H118"/>
      <c r="I118"/>
      <c r="J118"/>
      <c r="K118"/>
      <c r="L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>
      <c r="A119" s="70"/>
      <c r="B119"/>
      <c r="C119"/>
      <c r="D119"/>
      <c r="E119"/>
      <c r="F119"/>
      <c r="G119"/>
      <c r="H119"/>
      <c r="I119"/>
      <c r="J119"/>
      <c r="K119"/>
      <c r="L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>
      <c r="A120" s="70"/>
      <c r="B120"/>
      <c r="C120"/>
      <c r="D120"/>
      <c r="E120"/>
      <c r="F120"/>
      <c r="G120"/>
      <c r="H120"/>
      <c r="I120"/>
      <c r="J120"/>
      <c r="K120"/>
      <c r="L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>
      <c r="A121" s="70"/>
      <c r="B121"/>
      <c r="C121"/>
      <c r="D121"/>
      <c r="E121"/>
      <c r="F121"/>
      <c r="G121"/>
      <c r="H121"/>
      <c r="I121"/>
      <c r="J121"/>
      <c r="K121"/>
      <c r="L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>
      <c r="A122" s="70"/>
      <c r="B122"/>
      <c r="C122"/>
      <c r="D122"/>
      <c r="E122"/>
      <c r="F122"/>
      <c r="G122"/>
      <c r="H122"/>
      <c r="I122"/>
      <c r="J122"/>
      <c r="K122"/>
      <c r="L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>
      <c r="A123" s="70"/>
      <c r="B123"/>
      <c r="C123"/>
      <c r="D123"/>
      <c r="E123"/>
      <c r="F123"/>
      <c r="G123"/>
      <c r="H123"/>
      <c r="I123"/>
      <c r="J123"/>
      <c r="K123"/>
      <c r="L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>
      <c r="A124" s="70"/>
      <c r="B124"/>
      <c r="C124"/>
      <c r="D124"/>
      <c r="E124"/>
      <c r="F124"/>
      <c r="G124"/>
      <c r="H124"/>
      <c r="I124"/>
      <c r="J124"/>
      <c r="K124"/>
      <c r="L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>
      <c r="A125" s="70"/>
      <c r="B125"/>
      <c r="C125"/>
      <c r="D125"/>
      <c r="E125"/>
      <c r="F125"/>
      <c r="G125"/>
      <c r="H125"/>
      <c r="I125"/>
      <c r="J125"/>
      <c r="K125"/>
      <c r="L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>
      <c r="A126" s="70"/>
      <c r="B126"/>
      <c r="C126"/>
      <c r="D126"/>
      <c r="E126"/>
      <c r="F126"/>
      <c r="G126"/>
      <c r="H126"/>
      <c r="I126"/>
      <c r="J126"/>
      <c r="K126"/>
      <c r="L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>
      <c r="A127" s="70"/>
      <c r="B127"/>
      <c r="C127"/>
      <c r="D127"/>
      <c r="E127"/>
      <c r="F127"/>
      <c r="G127"/>
      <c r="H127"/>
      <c r="I127"/>
      <c r="J127"/>
      <c r="K127"/>
      <c r="L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>
      <c r="A128" s="70"/>
      <c r="B128"/>
      <c r="C128"/>
      <c r="D128"/>
      <c r="E128"/>
      <c r="F128"/>
      <c r="G128"/>
      <c r="H128"/>
      <c r="I128"/>
      <c r="J128"/>
      <c r="K128"/>
      <c r="L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>
      <c r="A129" s="70"/>
      <c r="B129"/>
      <c r="C129"/>
      <c r="D129"/>
      <c r="E129"/>
      <c r="F129"/>
      <c r="G129"/>
      <c r="H129"/>
      <c r="I129"/>
      <c r="J129"/>
      <c r="K129"/>
      <c r="L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>
      <c r="A130" s="70"/>
      <c r="B130"/>
      <c r="C130"/>
      <c r="D130"/>
      <c r="E130"/>
      <c r="F130"/>
      <c r="G130"/>
      <c r="H130"/>
      <c r="I130"/>
      <c r="J130"/>
      <c r="K130"/>
      <c r="L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>
      <c r="A131" s="70"/>
      <c r="B131"/>
      <c r="C131"/>
      <c r="D131"/>
      <c r="E131"/>
      <c r="F131"/>
      <c r="G131"/>
      <c r="H131"/>
      <c r="I131"/>
      <c r="J131"/>
      <c r="K131"/>
      <c r="L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>
      <c r="A132" s="70"/>
      <c r="B132"/>
      <c r="C132"/>
      <c r="D132"/>
      <c r="E132"/>
      <c r="F132"/>
      <c r="G132"/>
      <c r="H132"/>
      <c r="I132"/>
      <c r="J132"/>
      <c r="K132"/>
      <c r="L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>
      <c r="A133" s="70"/>
      <c r="B133"/>
      <c r="C133"/>
      <c r="D133"/>
      <c r="E133"/>
      <c r="F133"/>
      <c r="G133"/>
      <c r="H133"/>
      <c r="I133"/>
      <c r="J133"/>
      <c r="K133"/>
      <c r="L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>
      <c r="A134" s="70"/>
      <c r="B134"/>
      <c r="C134"/>
      <c r="D134"/>
      <c r="E134"/>
      <c r="F134"/>
      <c r="G134"/>
      <c r="H134"/>
      <c r="I134"/>
      <c r="J134"/>
      <c r="K134"/>
      <c r="L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>
      <c r="A135" s="70"/>
      <c r="B135"/>
      <c r="C135"/>
      <c r="D135"/>
      <c r="E135"/>
      <c r="F135"/>
      <c r="G135"/>
      <c r="H135"/>
      <c r="I135"/>
      <c r="J135"/>
      <c r="K135"/>
      <c r="L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>
      <c r="A136" s="70"/>
      <c r="B136"/>
      <c r="C136"/>
      <c r="D136"/>
      <c r="E136"/>
      <c r="F136"/>
      <c r="G136"/>
      <c r="H136"/>
      <c r="I136"/>
      <c r="J136"/>
      <c r="K136"/>
      <c r="L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>
      <c r="A137" s="70"/>
      <c r="B137"/>
      <c r="C137"/>
      <c r="D137"/>
      <c r="E137"/>
      <c r="F137"/>
      <c r="G137"/>
      <c r="H137"/>
      <c r="I137"/>
      <c r="J137"/>
      <c r="K137"/>
      <c r="L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>
      <c r="A138" s="70"/>
      <c r="B138"/>
      <c r="C138"/>
      <c r="D138"/>
      <c r="E138"/>
      <c r="F138"/>
      <c r="G138"/>
      <c r="H138"/>
      <c r="I138"/>
      <c r="J138"/>
      <c r="K138"/>
      <c r="L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>
      <c r="A139" s="70"/>
      <c r="B139"/>
      <c r="C139"/>
      <c r="D139"/>
      <c r="E139"/>
      <c r="F139"/>
      <c r="G139"/>
      <c r="H139"/>
      <c r="I139"/>
      <c r="J139"/>
      <c r="K139"/>
      <c r="L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>
      <c r="A140" s="70"/>
      <c r="B140"/>
      <c r="C140"/>
      <c r="D140"/>
      <c r="E140"/>
      <c r="F140"/>
      <c r="G140"/>
      <c r="H140"/>
      <c r="I140"/>
      <c r="J140"/>
      <c r="K140"/>
      <c r="L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>
      <c r="A141" s="70"/>
      <c r="B141"/>
      <c r="C141"/>
      <c r="D141"/>
      <c r="E141"/>
      <c r="F141"/>
      <c r="G141"/>
      <c r="H141"/>
      <c r="I141"/>
      <c r="J141"/>
      <c r="K141"/>
      <c r="L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>
      <c r="A142" s="70"/>
      <c r="B142"/>
      <c r="C142"/>
      <c r="D142"/>
      <c r="E142"/>
      <c r="F142"/>
      <c r="G142"/>
      <c r="H142"/>
      <c r="I142"/>
      <c r="J142"/>
      <c r="K142"/>
      <c r="L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>
      <c r="A143" s="70"/>
      <c r="B143"/>
      <c r="C143"/>
      <c r="D143"/>
      <c r="E143"/>
      <c r="F143"/>
      <c r="G143"/>
      <c r="H143"/>
      <c r="I143"/>
      <c r="J143"/>
      <c r="K143"/>
      <c r="L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>
      <c r="A144" s="70"/>
      <c r="B144"/>
      <c r="C144"/>
      <c r="D144"/>
      <c r="E144"/>
      <c r="F144"/>
      <c r="G144"/>
      <c r="H144"/>
      <c r="I144"/>
      <c r="J144"/>
      <c r="K144"/>
      <c r="L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>
      <c r="A145" s="70"/>
      <c r="B145"/>
      <c r="C145"/>
      <c r="D145"/>
      <c r="E145"/>
      <c r="F145"/>
      <c r="G145"/>
      <c r="H145"/>
      <c r="I145"/>
      <c r="J145"/>
      <c r="K145"/>
      <c r="L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>
      <c r="A146" s="70"/>
      <c r="B146"/>
      <c r="C146"/>
      <c r="D146"/>
      <c r="E146"/>
      <c r="F146"/>
      <c r="G146"/>
      <c r="H146"/>
      <c r="I146"/>
      <c r="J146"/>
      <c r="K146"/>
      <c r="L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>
      <c r="A147" s="70"/>
      <c r="B147"/>
      <c r="C147"/>
      <c r="D147"/>
      <c r="E147"/>
      <c r="F147"/>
      <c r="G147"/>
      <c r="H147"/>
      <c r="I147"/>
      <c r="J147"/>
      <c r="K147"/>
      <c r="L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>
      <c r="A148" s="70"/>
      <c r="B148"/>
      <c r="C148"/>
      <c r="D148"/>
      <c r="E148"/>
      <c r="F148"/>
      <c r="G148"/>
      <c r="H148"/>
      <c r="I148"/>
      <c r="J148"/>
      <c r="K148"/>
      <c r="L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>
      <c r="A149" s="70"/>
      <c r="B149"/>
      <c r="C149"/>
      <c r="D149"/>
      <c r="E149"/>
      <c r="F149"/>
      <c r="G149"/>
      <c r="H149"/>
      <c r="I149"/>
      <c r="J149"/>
      <c r="K149"/>
      <c r="L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>
      <c r="A150" s="70"/>
      <c r="B150"/>
      <c r="C150"/>
      <c r="D150"/>
      <c r="E150"/>
      <c r="F150"/>
      <c r="G150"/>
      <c r="H150"/>
      <c r="I150"/>
      <c r="J150"/>
      <c r="K150"/>
      <c r="L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>
      <c r="A151" s="70"/>
      <c r="B151"/>
      <c r="C151"/>
      <c r="D151"/>
      <c r="E151"/>
      <c r="F151"/>
      <c r="G151"/>
      <c r="H151"/>
      <c r="I151"/>
      <c r="J151"/>
      <c r="K151"/>
      <c r="L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>
      <c r="A152" s="70"/>
      <c r="B152"/>
      <c r="C152"/>
      <c r="D152"/>
      <c r="E152"/>
      <c r="F152"/>
      <c r="G152"/>
      <c r="H152"/>
      <c r="I152"/>
      <c r="J152"/>
      <c r="K152"/>
      <c r="L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>
      <c r="A153" s="70"/>
      <c r="B153"/>
      <c r="C153"/>
      <c r="D153"/>
      <c r="E153"/>
      <c r="F153"/>
      <c r="G153"/>
      <c r="H153"/>
      <c r="I153"/>
      <c r="J153"/>
      <c r="K153"/>
      <c r="L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>
      <c r="A154" s="70"/>
      <c r="B154"/>
      <c r="C154"/>
      <c r="D154"/>
      <c r="E154"/>
      <c r="F154"/>
      <c r="G154"/>
      <c r="H154"/>
      <c r="I154"/>
      <c r="J154"/>
      <c r="K154"/>
      <c r="L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>
      <c r="A155" s="70"/>
      <c r="B155"/>
      <c r="C155"/>
      <c r="D155"/>
      <c r="E155"/>
      <c r="F155"/>
      <c r="G155"/>
      <c r="H155"/>
      <c r="I155"/>
      <c r="J155"/>
      <c r="K155"/>
      <c r="L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>
      <c r="A156" s="70"/>
      <c r="B156"/>
      <c r="C156"/>
      <c r="D156"/>
      <c r="E156"/>
      <c r="F156"/>
      <c r="G156"/>
      <c r="H156"/>
      <c r="I156"/>
      <c r="J156"/>
      <c r="K156"/>
      <c r="L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>
      <c r="A157" s="70"/>
      <c r="B157"/>
      <c r="C157"/>
      <c r="D157"/>
      <c r="E157"/>
      <c r="F157"/>
      <c r="G157"/>
      <c r="H157"/>
      <c r="I157"/>
      <c r="J157"/>
      <c r="K157"/>
      <c r="L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>
      <c r="A158" s="70"/>
      <c r="B158"/>
      <c r="C158"/>
      <c r="D158"/>
      <c r="E158"/>
      <c r="F158"/>
      <c r="G158"/>
      <c r="H158"/>
      <c r="I158"/>
      <c r="J158"/>
      <c r="K158"/>
      <c r="L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>
      <c r="A159" s="70"/>
      <c r="B159"/>
      <c r="C159"/>
      <c r="D159"/>
      <c r="E159"/>
      <c r="F159"/>
      <c r="G159"/>
      <c r="H159"/>
      <c r="I159"/>
      <c r="J159"/>
      <c r="K159"/>
      <c r="L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>
      <c r="A160" s="70"/>
      <c r="B160"/>
      <c r="C160"/>
      <c r="D160"/>
      <c r="E160"/>
      <c r="F160"/>
      <c r="G160"/>
      <c r="H160"/>
      <c r="I160"/>
      <c r="J160"/>
      <c r="K160"/>
      <c r="L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>
      <c r="A161" s="70"/>
      <c r="B161"/>
      <c r="C161"/>
      <c r="D161"/>
      <c r="E161"/>
      <c r="F161"/>
      <c r="G161"/>
      <c r="H161"/>
      <c r="I161"/>
      <c r="J161"/>
      <c r="K161"/>
      <c r="L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>
      <c r="A162" s="70"/>
      <c r="B162"/>
      <c r="C162"/>
      <c r="D162"/>
      <c r="E162"/>
      <c r="F162"/>
      <c r="G162"/>
      <c r="H162"/>
      <c r="I162"/>
      <c r="J162"/>
      <c r="K162"/>
      <c r="L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>
      <c r="A163" s="70"/>
      <c r="B163"/>
      <c r="C163"/>
      <c r="D163"/>
      <c r="E163"/>
      <c r="F163"/>
      <c r="G163"/>
      <c r="H163"/>
      <c r="I163"/>
      <c r="J163"/>
      <c r="K163"/>
      <c r="L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>
      <c r="A164" s="70"/>
      <c r="B164"/>
      <c r="C164"/>
      <c r="D164"/>
      <c r="E164"/>
      <c r="F164"/>
      <c r="G164"/>
      <c r="H164"/>
      <c r="I164"/>
      <c r="J164"/>
      <c r="K164"/>
      <c r="L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>
      <c r="A165" s="70"/>
      <c r="B165"/>
      <c r="C165"/>
      <c r="D165"/>
      <c r="E165"/>
      <c r="F165"/>
      <c r="G165"/>
      <c r="H165"/>
      <c r="I165"/>
      <c r="J165"/>
      <c r="K165"/>
      <c r="L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>
      <c r="A166" s="70"/>
      <c r="B166"/>
      <c r="C166"/>
      <c r="D166"/>
      <c r="E166"/>
      <c r="F166"/>
      <c r="G166"/>
      <c r="H166"/>
      <c r="I166"/>
      <c r="J166"/>
      <c r="K166"/>
      <c r="L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>
      <c r="A167" s="70"/>
      <c r="B167"/>
      <c r="C167"/>
      <c r="D167"/>
      <c r="E167"/>
      <c r="F167"/>
      <c r="G167"/>
      <c r="H167"/>
      <c r="I167"/>
      <c r="J167"/>
      <c r="K167"/>
      <c r="L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>
      <c r="A168" s="70"/>
      <c r="B168"/>
      <c r="C168"/>
      <c r="D168"/>
      <c r="E168"/>
      <c r="F168"/>
      <c r="G168"/>
      <c r="H168"/>
      <c r="I168"/>
      <c r="J168"/>
      <c r="K168"/>
      <c r="L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>
      <c r="A169" s="70"/>
      <c r="B169"/>
      <c r="C169"/>
      <c r="D169"/>
      <c r="E169"/>
      <c r="F169"/>
      <c r="G169"/>
      <c r="H169"/>
      <c r="I169"/>
      <c r="J169"/>
      <c r="K169"/>
      <c r="L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>
      <c r="A170" s="70"/>
      <c r="B170"/>
      <c r="C170"/>
      <c r="D170"/>
      <c r="E170"/>
      <c r="F170"/>
      <c r="G170"/>
      <c r="H170"/>
      <c r="I170"/>
      <c r="J170"/>
      <c r="K170"/>
      <c r="L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>
      <c r="A171" s="70"/>
      <c r="B171"/>
      <c r="C171"/>
      <c r="D171"/>
      <c r="E171"/>
      <c r="F171"/>
      <c r="G171"/>
      <c r="H171"/>
      <c r="I171"/>
      <c r="J171"/>
      <c r="K171"/>
      <c r="L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>
      <c r="A172" s="70"/>
      <c r="B172"/>
      <c r="C172"/>
      <c r="D172"/>
      <c r="E172"/>
      <c r="F172"/>
      <c r="G172"/>
      <c r="H172"/>
      <c r="I172"/>
      <c r="J172"/>
      <c r="K172"/>
      <c r="L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>
      <c r="A173" s="70"/>
      <c r="B173"/>
      <c r="C173"/>
      <c r="D173"/>
      <c r="E173"/>
      <c r="F173"/>
      <c r="G173"/>
      <c r="H173"/>
      <c r="I173"/>
      <c r="J173"/>
      <c r="K173"/>
      <c r="L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>
      <c r="A174" s="70"/>
      <c r="B174"/>
      <c r="C174"/>
      <c r="D174"/>
      <c r="E174"/>
      <c r="F174"/>
      <c r="G174"/>
      <c r="H174"/>
      <c r="I174"/>
      <c r="J174"/>
      <c r="K174"/>
      <c r="L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>
      <c r="A175" s="70"/>
      <c r="B175"/>
      <c r="C175"/>
      <c r="D175"/>
      <c r="E175"/>
      <c r="F175"/>
      <c r="G175"/>
      <c r="H175"/>
      <c r="I175"/>
      <c r="J175"/>
      <c r="K175"/>
      <c r="L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>
      <c r="A176" s="70"/>
      <c r="B176"/>
      <c r="C176"/>
      <c r="D176"/>
      <c r="E176"/>
      <c r="F176"/>
      <c r="G176"/>
      <c r="H176"/>
      <c r="I176"/>
      <c r="J176"/>
      <c r="K176"/>
      <c r="L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>
      <c r="A177" s="70"/>
      <c r="B177"/>
      <c r="C177"/>
      <c r="D177"/>
      <c r="E177"/>
      <c r="F177"/>
      <c r="G177"/>
      <c r="H177"/>
      <c r="I177"/>
      <c r="J177"/>
      <c r="K177"/>
      <c r="L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>
      <c r="A178" s="70"/>
      <c r="B178"/>
      <c r="C178"/>
      <c r="D178"/>
      <c r="E178"/>
      <c r="F178"/>
      <c r="G178"/>
      <c r="H178"/>
      <c r="I178"/>
      <c r="J178"/>
      <c r="K178"/>
      <c r="L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>
      <c r="A179" s="70"/>
      <c r="B179"/>
      <c r="C179"/>
      <c r="D179"/>
      <c r="E179"/>
      <c r="F179"/>
      <c r="G179"/>
      <c r="H179"/>
      <c r="I179"/>
      <c r="J179"/>
      <c r="K179"/>
      <c r="L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>
      <c r="A180" s="70"/>
      <c r="B180"/>
      <c r="C180"/>
      <c r="D180"/>
      <c r="E180"/>
      <c r="F180"/>
      <c r="G180"/>
      <c r="H180"/>
      <c r="I180"/>
      <c r="J180"/>
      <c r="K180"/>
      <c r="L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>
      <c r="A181" s="70"/>
      <c r="B181"/>
      <c r="C181"/>
      <c r="D181"/>
      <c r="E181"/>
      <c r="F181"/>
      <c r="G181"/>
      <c r="H181"/>
      <c r="I181"/>
      <c r="J181"/>
      <c r="K181"/>
      <c r="L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>
      <c r="A182" s="70"/>
      <c r="B182"/>
      <c r="C182"/>
      <c r="D182"/>
      <c r="E182"/>
      <c r="F182"/>
      <c r="G182"/>
      <c r="H182"/>
      <c r="I182"/>
      <c r="J182"/>
      <c r="K182"/>
      <c r="L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>
      <c r="A183" s="70"/>
      <c r="B183"/>
      <c r="C183"/>
      <c r="D183"/>
      <c r="E183"/>
      <c r="F183"/>
      <c r="G183"/>
      <c r="H183"/>
      <c r="I183"/>
      <c r="J183"/>
      <c r="K183"/>
      <c r="L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>
      <c r="A184" s="70"/>
      <c r="B184"/>
      <c r="C184"/>
      <c r="D184"/>
      <c r="E184"/>
      <c r="F184"/>
      <c r="G184"/>
      <c r="H184"/>
      <c r="I184"/>
      <c r="J184"/>
      <c r="K184"/>
      <c r="L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>
      <c r="A185" s="70"/>
      <c r="B185"/>
      <c r="C185"/>
      <c r="D185"/>
      <c r="E185"/>
      <c r="F185"/>
      <c r="G185"/>
      <c r="H185"/>
      <c r="I185"/>
      <c r="J185"/>
      <c r="K185"/>
      <c r="L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>
      <c r="A186" s="70"/>
      <c r="B186"/>
      <c r="C186"/>
      <c r="D186"/>
      <c r="E186"/>
      <c r="F186"/>
      <c r="G186"/>
      <c r="H186"/>
      <c r="I186"/>
      <c r="J186"/>
      <c r="K186"/>
      <c r="L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>
      <c r="A187" s="70"/>
      <c r="B187"/>
      <c r="C187"/>
      <c r="D187"/>
      <c r="E187"/>
      <c r="F187"/>
      <c r="G187"/>
      <c r="H187"/>
      <c r="I187"/>
      <c r="J187"/>
      <c r="K187"/>
      <c r="L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>
      <c r="A188" s="70"/>
      <c r="B188"/>
      <c r="C188"/>
      <c r="D188"/>
      <c r="E188"/>
      <c r="F188"/>
      <c r="G188"/>
      <c r="H188"/>
      <c r="I188"/>
      <c r="J188"/>
      <c r="K188"/>
      <c r="L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>
      <c r="A189" s="70"/>
      <c r="B189"/>
      <c r="C189"/>
      <c r="D189"/>
      <c r="E189"/>
      <c r="F189"/>
      <c r="G189"/>
      <c r="H189"/>
      <c r="I189"/>
      <c r="J189"/>
      <c r="K189"/>
      <c r="L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>
      <c r="A190" s="70"/>
      <c r="B190"/>
      <c r="C190"/>
      <c r="D190"/>
      <c r="E190"/>
      <c r="F190"/>
      <c r="G190"/>
      <c r="H190"/>
      <c r="I190"/>
      <c r="J190"/>
      <c r="K190"/>
      <c r="L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>
      <c r="A191" s="70"/>
      <c r="B191"/>
      <c r="C191"/>
      <c r="D191"/>
      <c r="E191"/>
      <c r="F191"/>
      <c r="G191"/>
      <c r="H191"/>
      <c r="I191"/>
      <c r="J191"/>
      <c r="K191"/>
      <c r="L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>
      <c r="A192" s="70"/>
      <c r="B192"/>
      <c r="C192"/>
      <c r="D192"/>
      <c r="E192"/>
      <c r="F192"/>
      <c r="G192"/>
      <c r="H192"/>
      <c r="I192"/>
      <c r="J192"/>
      <c r="K192"/>
      <c r="L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>
      <c r="A193" s="70"/>
      <c r="B193"/>
      <c r="C193"/>
      <c r="D193"/>
      <c r="E193"/>
      <c r="F193"/>
      <c r="G193"/>
      <c r="H193"/>
      <c r="I193"/>
      <c r="J193"/>
      <c r="K193"/>
      <c r="L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>
      <c r="A194" s="70"/>
      <c r="B194"/>
      <c r="C194"/>
      <c r="D194"/>
      <c r="E194"/>
      <c r="F194"/>
      <c r="G194"/>
      <c r="H194"/>
      <c r="I194"/>
      <c r="J194"/>
      <c r="K194"/>
      <c r="L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>
      <c r="A195" s="70"/>
      <c r="B195"/>
      <c r="C195"/>
      <c r="D195"/>
      <c r="E195"/>
      <c r="F195"/>
      <c r="G195"/>
      <c r="H195"/>
      <c r="I195"/>
      <c r="J195"/>
      <c r="K195"/>
      <c r="L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>
      <c r="A196" s="70"/>
      <c r="B196"/>
      <c r="C196"/>
      <c r="D196"/>
      <c r="E196"/>
      <c r="F196"/>
      <c r="G196"/>
      <c r="H196"/>
      <c r="I196"/>
      <c r="J196"/>
      <c r="K196"/>
      <c r="L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>
      <c r="A197" s="70"/>
      <c r="B197"/>
      <c r="C197"/>
      <c r="D197"/>
      <c r="E197"/>
      <c r="F197"/>
      <c r="G197"/>
      <c r="H197"/>
      <c r="I197"/>
      <c r="J197"/>
      <c r="K197"/>
      <c r="L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>
      <c r="A198" s="70"/>
      <c r="B198"/>
      <c r="C198"/>
      <c r="D198"/>
      <c r="E198"/>
      <c r="F198"/>
      <c r="G198"/>
      <c r="H198"/>
      <c r="I198"/>
      <c r="J198"/>
      <c r="K198"/>
      <c r="L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>
      <c r="A199" s="70"/>
      <c r="B199"/>
      <c r="C199"/>
      <c r="D199"/>
      <c r="E199"/>
      <c r="F199"/>
      <c r="G199"/>
      <c r="H199"/>
      <c r="I199"/>
      <c r="J199"/>
      <c r="K199"/>
      <c r="L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>
      <c r="A200" s="70"/>
      <c r="B200"/>
      <c r="C200"/>
      <c r="D200"/>
      <c r="E200"/>
      <c r="F200"/>
      <c r="G200"/>
      <c r="H200"/>
      <c r="I200"/>
      <c r="J200"/>
      <c r="K200"/>
      <c r="L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>
      <c r="A201" s="70"/>
      <c r="B201"/>
      <c r="C201"/>
      <c r="D201"/>
      <c r="E201"/>
      <c r="F201"/>
      <c r="G201"/>
      <c r="H201"/>
      <c r="I201"/>
      <c r="J201"/>
      <c r="K201"/>
      <c r="L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>
      <c r="A202" s="70"/>
      <c r="B202"/>
      <c r="C202"/>
      <c r="D202"/>
      <c r="E202"/>
      <c r="F202"/>
      <c r="G202"/>
      <c r="H202"/>
      <c r="I202"/>
      <c r="J202"/>
      <c r="K202"/>
      <c r="L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>
      <c r="A203" s="70"/>
      <c r="B203"/>
      <c r="C203"/>
      <c r="D203"/>
      <c r="E203"/>
      <c r="F203"/>
      <c r="G203"/>
      <c r="H203"/>
      <c r="I203"/>
      <c r="J203"/>
      <c r="K203"/>
      <c r="L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>
      <c r="A204" s="70"/>
      <c r="B204"/>
      <c r="C204"/>
      <c r="D204"/>
      <c r="E204"/>
      <c r="F204"/>
      <c r="G204"/>
      <c r="H204"/>
      <c r="I204"/>
      <c r="J204"/>
      <c r="K204"/>
      <c r="L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>
      <c r="A205" s="70"/>
      <c r="B205"/>
      <c r="C205"/>
      <c r="D205"/>
      <c r="E205"/>
      <c r="F205"/>
      <c r="G205"/>
      <c r="H205"/>
      <c r="I205"/>
      <c r="J205"/>
      <c r="K205"/>
      <c r="L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1:63">
      <c r="A206" s="70"/>
      <c r="B206"/>
      <c r="C206"/>
      <c r="D206"/>
      <c r="E206"/>
      <c r="F206"/>
      <c r="G206"/>
      <c r="H206"/>
      <c r="I206"/>
      <c r="J206"/>
      <c r="K206"/>
      <c r="L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1:63">
      <c r="A207" s="70"/>
      <c r="B207"/>
      <c r="C207"/>
      <c r="D207"/>
      <c r="E207"/>
      <c r="F207"/>
      <c r="G207"/>
      <c r="H207"/>
      <c r="I207"/>
      <c r="J207"/>
      <c r="K207"/>
      <c r="L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1:63">
      <c r="A208" s="70"/>
      <c r="B208"/>
      <c r="C208"/>
      <c r="D208"/>
      <c r="E208"/>
      <c r="F208"/>
      <c r="G208"/>
      <c r="H208"/>
      <c r="I208"/>
      <c r="J208"/>
      <c r="K208"/>
      <c r="L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>
      <c r="A209" s="70"/>
      <c r="B209"/>
      <c r="C209"/>
      <c r="D209"/>
      <c r="E209"/>
      <c r="F209"/>
      <c r="G209"/>
      <c r="H209"/>
      <c r="I209"/>
      <c r="J209"/>
      <c r="K209"/>
      <c r="L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>
      <c r="A210" s="70"/>
      <c r="B210"/>
      <c r="C210"/>
      <c r="D210"/>
      <c r="E210"/>
      <c r="F210"/>
      <c r="G210"/>
      <c r="H210"/>
      <c r="I210"/>
      <c r="J210"/>
      <c r="K210"/>
      <c r="L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>
      <c r="A211" s="70"/>
      <c r="B211"/>
      <c r="C211"/>
      <c r="D211"/>
      <c r="E211"/>
      <c r="F211"/>
      <c r="G211"/>
      <c r="H211"/>
      <c r="I211"/>
      <c r="J211"/>
      <c r="K211"/>
      <c r="L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>
      <c r="A212" s="70"/>
      <c r="B212"/>
      <c r="C212"/>
      <c r="D212"/>
      <c r="E212"/>
      <c r="F212"/>
      <c r="G212"/>
      <c r="H212"/>
      <c r="I212"/>
      <c r="J212"/>
      <c r="K212"/>
      <c r="L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>
      <c r="A213" s="70"/>
      <c r="B213"/>
      <c r="C213"/>
      <c r="D213"/>
      <c r="E213"/>
      <c r="F213"/>
      <c r="G213"/>
      <c r="H213"/>
      <c r="I213"/>
      <c r="J213"/>
      <c r="K213"/>
      <c r="L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>
      <c r="A214" s="70"/>
      <c r="B214"/>
      <c r="C214"/>
      <c r="D214"/>
      <c r="E214"/>
      <c r="F214"/>
      <c r="G214"/>
      <c r="H214"/>
      <c r="I214"/>
      <c r="J214"/>
      <c r="K214"/>
      <c r="L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>
      <c r="A215" s="70"/>
      <c r="B215"/>
      <c r="C215"/>
      <c r="D215"/>
      <c r="E215"/>
      <c r="F215"/>
      <c r="G215"/>
      <c r="H215"/>
      <c r="I215"/>
      <c r="J215"/>
      <c r="K215"/>
      <c r="L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>
      <c r="A216" s="70"/>
      <c r="B216"/>
      <c r="C216"/>
      <c r="D216"/>
      <c r="E216"/>
      <c r="F216"/>
      <c r="G216"/>
      <c r="H216"/>
      <c r="I216"/>
      <c r="J216"/>
      <c r="K216"/>
      <c r="L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>
      <c r="A217" s="70"/>
      <c r="B217"/>
      <c r="C217"/>
      <c r="D217"/>
      <c r="E217"/>
      <c r="F217"/>
      <c r="G217"/>
      <c r="H217"/>
      <c r="I217"/>
      <c r="J217"/>
      <c r="K217"/>
      <c r="L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>
      <c r="A218" s="70"/>
      <c r="B218"/>
      <c r="C218"/>
      <c r="D218"/>
      <c r="E218"/>
      <c r="F218"/>
      <c r="G218"/>
      <c r="H218"/>
      <c r="I218"/>
      <c r="J218"/>
      <c r="K218"/>
      <c r="L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>
      <c r="A219" s="70"/>
      <c r="B219"/>
      <c r="C219"/>
      <c r="D219"/>
      <c r="E219"/>
      <c r="F219"/>
      <c r="G219"/>
      <c r="H219"/>
      <c r="I219"/>
      <c r="J219"/>
      <c r="K219"/>
      <c r="L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>
      <c r="A220" s="70"/>
      <c r="B220"/>
      <c r="C220"/>
      <c r="D220"/>
      <c r="E220"/>
      <c r="F220"/>
      <c r="G220"/>
      <c r="H220"/>
      <c r="I220"/>
      <c r="J220"/>
      <c r="K220"/>
      <c r="L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>
      <c r="A221" s="70"/>
      <c r="B221"/>
      <c r="C221"/>
      <c r="D221"/>
      <c r="E221"/>
      <c r="F221"/>
      <c r="G221"/>
      <c r="H221"/>
      <c r="I221"/>
      <c r="J221"/>
      <c r="K221"/>
      <c r="L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>
      <c r="A222" s="70"/>
      <c r="B222"/>
      <c r="C222"/>
      <c r="D222"/>
      <c r="E222"/>
      <c r="F222"/>
      <c r="G222"/>
      <c r="H222"/>
      <c r="I222"/>
      <c r="J222"/>
      <c r="K222"/>
      <c r="L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>
      <c r="A223" s="70"/>
      <c r="B223"/>
      <c r="C223"/>
      <c r="D223"/>
      <c r="E223"/>
      <c r="F223"/>
      <c r="G223"/>
      <c r="H223"/>
      <c r="I223"/>
      <c r="J223"/>
      <c r="K223"/>
      <c r="L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>
      <c r="A224" s="70"/>
      <c r="B224"/>
      <c r="C224"/>
      <c r="D224"/>
      <c r="E224"/>
      <c r="F224"/>
      <c r="G224"/>
      <c r="H224"/>
      <c r="I224"/>
      <c r="J224"/>
      <c r="K224"/>
      <c r="L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>
      <c r="A225" s="70"/>
      <c r="B225"/>
      <c r="C225"/>
      <c r="D225"/>
      <c r="E225"/>
      <c r="F225"/>
      <c r="G225"/>
      <c r="H225"/>
      <c r="I225"/>
      <c r="J225"/>
      <c r="K225"/>
      <c r="L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>
      <c r="A226" s="70"/>
      <c r="B226"/>
      <c r="C226"/>
      <c r="D226"/>
      <c r="E226"/>
      <c r="F226"/>
      <c r="G226"/>
      <c r="H226"/>
      <c r="I226"/>
      <c r="J226"/>
      <c r="K226"/>
      <c r="L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>
      <c r="A227" s="70"/>
      <c r="B227"/>
      <c r="C227"/>
      <c r="D227"/>
      <c r="E227"/>
      <c r="F227"/>
      <c r="G227"/>
      <c r="H227"/>
      <c r="I227"/>
      <c r="J227"/>
      <c r="K227"/>
      <c r="L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>
      <c r="A228" s="70"/>
      <c r="B228"/>
      <c r="C228"/>
      <c r="D228"/>
      <c r="E228"/>
      <c r="F228"/>
      <c r="G228"/>
      <c r="H228"/>
      <c r="I228"/>
      <c r="J228"/>
      <c r="K228"/>
      <c r="L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>
      <c r="A229" s="70"/>
      <c r="B229"/>
      <c r="C229"/>
      <c r="D229"/>
      <c r="E229"/>
      <c r="F229"/>
      <c r="G229"/>
      <c r="H229"/>
      <c r="I229"/>
      <c r="J229"/>
      <c r="K229"/>
      <c r="L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>
      <c r="A230" s="70"/>
      <c r="B230"/>
      <c r="C230"/>
      <c r="D230"/>
      <c r="E230"/>
      <c r="F230"/>
      <c r="G230"/>
      <c r="H230"/>
      <c r="I230"/>
      <c r="J230"/>
      <c r="K230"/>
      <c r="L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>
      <c r="A231" s="70"/>
      <c r="B231"/>
      <c r="C231"/>
      <c r="D231"/>
      <c r="E231"/>
      <c r="F231"/>
      <c r="G231"/>
      <c r="H231"/>
      <c r="I231"/>
      <c r="J231"/>
      <c r="K231"/>
      <c r="L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>
      <c r="A232" s="70"/>
      <c r="B232"/>
      <c r="C232"/>
      <c r="D232"/>
      <c r="E232"/>
      <c r="F232"/>
      <c r="G232"/>
      <c r="H232"/>
      <c r="I232"/>
      <c r="J232"/>
      <c r="K232"/>
      <c r="L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>
      <c r="A233" s="70"/>
      <c r="B233"/>
      <c r="C233"/>
      <c r="D233"/>
      <c r="E233"/>
      <c r="F233"/>
      <c r="G233"/>
      <c r="H233"/>
      <c r="I233"/>
      <c r="J233"/>
      <c r="K233"/>
      <c r="L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>
      <c r="A234" s="70"/>
      <c r="B234"/>
      <c r="C234"/>
      <c r="D234"/>
      <c r="E234"/>
      <c r="F234"/>
      <c r="G234"/>
      <c r="H234"/>
      <c r="I234"/>
      <c r="J234"/>
      <c r="K234"/>
      <c r="L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>
      <c r="A235" s="70"/>
      <c r="B235"/>
      <c r="C235"/>
      <c r="D235"/>
      <c r="E235"/>
      <c r="F235"/>
      <c r="G235"/>
      <c r="H235"/>
      <c r="I235"/>
      <c r="J235"/>
      <c r="K235"/>
      <c r="L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>
      <c r="A236" s="70"/>
      <c r="B236"/>
      <c r="C236"/>
      <c r="D236"/>
      <c r="E236"/>
      <c r="F236"/>
      <c r="G236"/>
      <c r="H236"/>
      <c r="I236"/>
      <c r="J236"/>
      <c r="K236"/>
      <c r="L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>
      <c r="A237" s="70"/>
      <c r="B237"/>
      <c r="C237"/>
      <c r="D237"/>
      <c r="E237"/>
      <c r="F237"/>
      <c r="G237"/>
      <c r="H237"/>
      <c r="I237"/>
      <c r="J237"/>
      <c r="K237"/>
      <c r="L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>
      <c r="A238" s="70"/>
      <c r="B238"/>
      <c r="C238"/>
      <c r="D238"/>
      <c r="E238"/>
      <c r="F238"/>
      <c r="G238"/>
      <c r="H238"/>
      <c r="I238"/>
      <c r="J238"/>
      <c r="K238"/>
      <c r="L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>
      <c r="A239" s="70"/>
      <c r="B239"/>
      <c r="C239"/>
      <c r="D239"/>
      <c r="E239"/>
      <c r="F239"/>
      <c r="G239"/>
      <c r="H239"/>
      <c r="I239"/>
      <c r="J239"/>
      <c r="K239"/>
      <c r="L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>
      <c r="A240" s="70"/>
      <c r="B240"/>
      <c r="C240"/>
      <c r="D240"/>
      <c r="E240"/>
      <c r="F240"/>
      <c r="G240"/>
      <c r="H240"/>
      <c r="I240"/>
      <c r="J240"/>
      <c r="K240"/>
      <c r="L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>
      <c r="A241" s="70"/>
      <c r="B241"/>
      <c r="C241"/>
      <c r="D241"/>
      <c r="E241"/>
      <c r="F241"/>
      <c r="G241"/>
      <c r="H241"/>
      <c r="I241"/>
      <c r="J241"/>
      <c r="K241"/>
      <c r="L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>
      <c r="A242" s="70"/>
      <c r="B242"/>
      <c r="C242"/>
      <c r="D242"/>
      <c r="E242"/>
      <c r="F242"/>
      <c r="G242"/>
      <c r="H242"/>
      <c r="I242"/>
      <c r="J242"/>
      <c r="K242"/>
      <c r="L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>
      <c r="A243" s="70"/>
      <c r="B243"/>
      <c r="C243"/>
      <c r="D243"/>
      <c r="E243"/>
      <c r="F243"/>
      <c r="G243"/>
      <c r="H243"/>
      <c r="I243"/>
      <c r="J243"/>
      <c r="K243"/>
      <c r="L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1:63">
      <c r="A244" s="70"/>
      <c r="B244"/>
      <c r="C244"/>
      <c r="D244"/>
      <c r="E244"/>
      <c r="F244"/>
      <c r="G244"/>
      <c r="H244"/>
      <c r="I244"/>
      <c r="J244"/>
      <c r="K244"/>
      <c r="L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1:63">
      <c r="A245" s="70"/>
      <c r="B245"/>
      <c r="C245"/>
      <c r="D245"/>
      <c r="E245"/>
      <c r="F245"/>
      <c r="G245"/>
      <c r="H245"/>
      <c r="I245"/>
      <c r="J245"/>
      <c r="K245"/>
      <c r="L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1:63">
      <c r="A246" s="70"/>
      <c r="B246"/>
      <c r="C246"/>
      <c r="D246"/>
      <c r="E246"/>
      <c r="F246"/>
      <c r="G246"/>
      <c r="H246"/>
      <c r="I246"/>
      <c r="J246"/>
      <c r="K246"/>
      <c r="L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1:63">
      <c r="A247" s="70"/>
      <c r="B247"/>
      <c r="C247"/>
      <c r="D247"/>
      <c r="E247"/>
      <c r="F247"/>
      <c r="G247"/>
      <c r="H247"/>
      <c r="I247"/>
      <c r="J247"/>
      <c r="K247"/>
      <c r="L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1:63">
      <c r="A248" s="70"/>
      <c r="B248"/>
      <c r="C248"/>
      <c r="D248"/>
      <c r="E248"/>
      <c r="F248"/>
      <c r="G248"/>
      <c r="H248"/>
      <c r="I248"/>
      <c r="J248"/>
      <c r="K248"/>
      <c r="L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1:63">
      <c r="A249" s="70"/>
      <c r="B249"/>
      <c r="C249"/>
      <c r="D249"/>
      <c r="E249"/>
      <c r="F249"/>
      <c r="G249"/>
      <c r="H249"/>
      <c r="I249"/>
      <c r="J249"/>
      <c r="K249"/>
      <c r="L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1:63">
      <c r="A250" s="70"/>
      <c r="B250"/>
      <c r="C250"/>
      <c r="D250"/>
      <c r="E250"/>
      <c r="F250"/>
      <c r="G250"/>
      <c r="H250"/>
      <c r="I250"/>
      <c r="J250"/>
      <c r="K250"/>
      <c r="L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1:63">
      <c r="A251" s="70"/>
      <c r="B251"/>
      <c r="C251"/>
      <c r="D251"/>
      <c r="E251"/>
      <c r="F251"/>
      <c r="G251"/>
      <c r="H251"/>
      <c r="I251"/>
      <c r="J251"/>
      <c r="K251"/>
      <c r="L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1:63">
      <c r="A252" s="70"/>
      <c r="B252"/>
      <c r="C252"/>
      <c r="D252"/>
      <c r="E252"/>
      <c r="F252"/>
      <c r="G252"/>
      <c r="H252"/>
      <c r="I252"/>
      <c r="J252"/>
      <c r="K252"/>
      <c r="L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1:63">
      <c r="A253" s="70"/>
      <c r="B253"/>
      <c r="C253"/>
      <c r="D253"/>
      <c r="E253"/>
      <c r="F253"/>
      <c r="G253"/>
      <c r="H253"/>
      <c r="I253"/>
      <c r="J253"/>
      <c r="K253"/>
      <c r="L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1:63">
      <c r="A254" s="70"/>
      <c r="B254"/>
      <c r="C254"/>
      <c r="D254"/>
      <c r="E254"/>
      <c r="F254"/>
      <c r="G254"/>
      <c r="H254"/>
      <c r="I254"/>
      <c r="J254"/>
      <c r="K254"/>
      <c r="L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1:63">
      <c r="A255" s="70"/>
      <c r="B255"/>
      <c r="C255"/>
      <c r="D255"/>
      <c r="E255"/>
      <c r="F255"/>
      <c r="G255"/>
      <c r="H255"/>
      <c r="I255"/>
      <c r="J255"/>
      <c r="K255"/>
      <c r="L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1:63">
      <c r="A256" s="70"/>
      <c r="B256"/>
      <c r="C256"/>
      <c r="D256"/>
      <c r="E256"/>
      <c r="F256"/>
      <c r="G256"/>
      <c r="H256"/>
      <c r="I256"/>
      <c r="J256"/>
      <c r="K256"/>
      <c r="L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1:63">
      <c r="A257" s="70"/>
      <c r="B257"/>
      <c r="C257"/>
      <c r="D257"/>
      <c r="E257"/>
      <c r="F257"/>
      <c r="G257"/>
      <c r="H257"/>
      <c r="I257"/>
      <c r="J257"/>
      <c r="K257"/>
      <c r="L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1:63">
      <c r="A258" s="70"/>
      <c r="B258"/>
      <c r="C258"/>
      <c r="D258"/>
      <c r="E258"/>
      <c r="F258"/>
      <c r="G258"/>
      <c r="H258"/>
      <c r="I258"/>
      <c r="J258"/>
      <c r="K258"/>
      <c r="L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1:63">
      <c r="A259" s="70"/>
      <c r="B259"/>
      <c r="C259"/>
      <c r="D259"/>
      <c r="E259"/>
      <c r="F259"/>
      <c r="G259"/>
      <c r="H259"/>
      <c r="I259"/>
      <c r="J259"/>
      <c r="K259"/>
      <c r="L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1:63">
      <c r="A260" s="70"/>
      <c r="B260"/>
      <c r="C260"/>
      <c r="D260"/>
      <c r="E260"/>
      <c r="F260"/>
      <c r="G260"/>
      <c r="H260"/>
      <c r="I260"/>
      <c r="J260"/>
      <c r="K260"/>
      <c r="L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1:63">
      <c r="A261" s="70"/>
      <c r="B261"/>
      <c r="C261"/>
      <c r="D261"/>
      <c r="E261"/>
      <c r="F261"/>
      <c r="G261"/>
      <c r="H261"/>
      <c r="I261"/>
      <c r="J261"/>
      <c r="K261"/>
      <c r="L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1:63">
      <c r="A262" s="70"/>
      <c r="B262"/>
      <c r="C262"/>
      <c r="D262"/>
      <c r="E262"/>
      <c r="F262"/>
      <c r="G262"/>
      <c r="H262"/>
      <c r="I262"/>
      <c r="J262"/>
      <c r="K262"/>
      <c r="L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1:63">
      <c r="A263" s="70"/>
      <c r="B263"/>
      <c r="C263"/>
      <c r="D263"/>
      <c r="E263"/>
      <c r="F263"/>
      <c r="G263"/>
      <c r="H263"/>
      <c r="I263"/>
      <c r="J263"/>
      <c r="K263"/>
      <c r="L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1:63">
      <c r="A264" s="70"/>
      <c r="B264"/>
      <c r="C264"/>
      <c r="D264"/>
      <c r="E264"/>
      <c r="F264"/>
      <c r="G264"/>
      <c r="H264"/>
      <c r="I264"/>
      <c r="J264"/>
      <c r="K264"/>
      <c r="L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1:63">
      <c r="A265" s="70"/>
      <c r="B265"/>
      <c r="C265"/>
      <c r="D265"/>
      <c r="E265"/>
      <c r="F265"/>
      <c r="G265"/>
      <c r="H265"/>
      <c r="I265"/>
      <c r="J265"/>
      <c r="K265"/>
      <c r="L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1:63">
      <c r="A266" s="70"/>
      <c r="B266"/>
      <c r="C266"/>
      <c r="D266"/>
      <c r="E266"/>
      <c r="F266"/>
      <c r="G266"/>
      <c r="H266"/>
      <c r="I266"/>
      <c r="J266"/>
      <c r="K266"/>
      <c r="L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1:63">
      <c r="A267" s="70"/>
      <c r="B267"/>
      <c r="C267"/>
      <c r="D267"/>
      <c r="E267"/>
      <c r="F267"/>
      <c r="G267"/>
      <c r="H267"/>
      <c r="I267"/>
      <c r="J267"/>
      <c r="K267"/>
      <c r="L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1:63">
      <c r="A268" s="70"/>
      <c r="B268"/>
      <c r="C268"/>
      <c r="D268"/>
      <c r="E268"/>
      <c r="F268"/>
      <c r="G268"/>
      <c r="H268"/>
      <c r="I268"/>
      <c r="J268"/>
      <c r="K268"/>
      <c r="L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1:63">
      <c r="A269" s="70"/>
      <c r="B269"/>
      <c r="C269"/>
      <c r="D269"/>
      <c r="E269"/>
      <c r="F269"/>
      <c r="G269"/>
      <c r="H269"/>
      <c r="I269"/>
      <c r="J269"/>
      <c r="K269"/>
      <c r="L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1:63">
      <c r="A270" s="70"/>
      <c r="B270"/>
      <c r="C270"/>
      <c r="D270"/>
      <c r="E270"/>
      <c r="F270"/>
      <c r="G270"/>
      <c r="H270"/>
      <c r="I270"/>
      <c r="J270"/>
      <c r="K270"/>
      <c r="L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1:63">
      <c r="A271" s="70"/>
      <c r="B271"/>
      <c r="C271"/>
      <c r="D271"/>
      <c r="E271"/>
      <c r="F271"/>
      <c r="G271"/>
      <c r="H271"/>
      <c r="I271"/>
      <c r="J271"/>
      <c r="K271"/>
      <c r="L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1:63">
      <c r="A272" s="70"/>
      <c r="B272"/>
      <c r="C272"/>
      <c r="D272"/>
      <c r="E272"/>
      <c r="F272"/>
      <c r="G272"/>
      <c r="H272"/>
      <c r="I272"/>
      <c r="J272"/>
      <c r="K272"/>
      <c r="L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1:63">
      <c r="A273" s="70"/>
      <c r="B273"/>
      <c r="C273"/>
      <c r="D273"/>
      <c r="E273"/>
      <c r="F273"/>
      <c r="G273"/>
      <c r="H273"/>
      <c r="I273"/>
      <c r="J273"/>
      <c r="K273"/>
      <c r="L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1:63">
      <c r="A274" s="70"/>
      <c r="B274"/>
      <c r="C274"/>
      <c r="D274"/>
      <c r="E274"/>
      <c r="F274"/>
      <c r="G274"/>
      <c r="H274"/>
      <c r="I274"/>
      <c r="J274"/>
      <c r="K274"/>
      <c r="L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1:63">
      <c r="A275" s="70"/>
      <c r="B275"/>
      <c r="C275"/>
      <c r="D275"/>
      <c r="E275"/>
      <c r="F275"/>
      <c r="G275"/>
      <c r="H275"/>
      <c r="I275"/>
      <c r="J275"/>
      <c r="K275"/>
      <c r="L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3">
      <c r="A276" s="70"/>
      <c r="B276"/>
      <c r="C276"/>
      <c r="D276"/>
      <c r="E276"/>
      <c r="F276"/>
      <c r="G276"/>
      <c r="H276"/>
      <c r="I276"/>
      <c r="J276"/>
      <c r="K276"/>
      <c r="L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3">
      <c r="A277" s="70"/>
      <c r="B277"/>
      <c r="C277"/>
      <c r="D277"/>
      <c r="E277"/>
      <c r="F277"/>
      <c r="G277"/>
      <c r="H277"/>
      <c r="I277"/>
      <c r="J277"/>
      <c r="K277"/>
      <c r="L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1:63">
      <c r="A278" s="70"/>
      <c r="B278"/>
      <c r="C278"/>
      <c r="D278"/>
      <c r="E278"/>
      <c r="F278"/>
      <c r="G278"/>
      <c r="H278"/>
      <c r="I278"/>
      <c r="J278"/>
      <c r="K278"/>
      <c r="L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3">
      <c r="A279" s="70"/>
      <c r="B279"/>
      <c r="C279"/>
      <c r="D279"/>
      <c r="E279"/>
      <c r="F279"/>
      <c r="G279"/>
      <c r="H279"/>
      <c r="I279"/>
      <c r="J279"/>
      <c r="K279"/>
      <c r="L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3">
      <c r="A280" s="70"/>
      <c r="B280"/>
      <c r="C280"/>
      <c r="D280"/>
      <c r="E280"/>
      <c r="F280"/>
      <c r="G280"/>
      <c r="H280"/>
      <c r="I280"/>
      <c r="J280"/>
      <c r="K280"/>
      <c r="L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3">
      <c r="A281" s="70"/>
      <c r="B281"/>
      <c r="C281"/>
      <c r="D281"/>
      <c r="E281"/>
      <c r="F281"/>
      <c r="G281"/>
      <c r="H281"/>
      <c r="I281"/>
      <c r="J281"/>
      <c r="K281"/>
      <c r="L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1:63">
      <c r="A282" s="70"/>
      <c r="B282"/>
      <c r="C282"/>
      <c r="D282"/>
      <c r="E282"/>
      <c r="F282"/>
      <c r="G282"/>
      <c r="H282"/>
      <c r="I282"/>
      <c r="J282"/>
      <c r="K282"/>
      <c r="L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1:63">
      <c r="A283" s="70"/>
      <c r="B283"/>
      <c r="C283"/>
      <c r="D283"/>
      <c r="E283"/>
      <c r="F283"/>
      <c r="G283"/>
      <c r="H283"/>
      <c r="I283"/>
      <c r="J283"/>
      <c r="K283"/>
      <c r="L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1:63">
      <c r="A284" s="70"/>
      <c r="B284"/>
      <c r="C284"/>
      <c r="D284"/>
      <c r="E284"/>
      <c r="F284"/>
      <c r="G284"/>
      <c r="H284"/>
      <c r="I284"/>
      <c r="J284"/>
      <c r="K284"/>
      <c r="L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1:63">
      <c r="A285" s="70"/>
      <c r="B285"/>
      <c r="C285"/>
      <c r="D285"/>
      <c r="E285"/>
      <c r="F285"/>
      <c r="G285"/>
      <c r="H285"/>
      <c r="I285"/>
      <c r="J285"/>
      <c r="K285"/>
      <c r="L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1:63">
      <c r="A286" s="70"/>
      <c r="B286"/>
      <c r="C286"/>
      <c r="D286"/>
      <c r="E286"/>
      <c r="F286"/>
      <c r="G286"/>
      <c r="H286"/>
      <c r="I286"/>
      <c r="J286"/>
      <c r="K286"/>
      <c r="L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1:63">
      <c r="A287" s="70"/>
      <c r="B287"/>
      <c r="C287"/>
      <c r="D287"/>
      <c r="E287"/>
      <c r="F287"/>
      <c r="G287"/>
      <c r="H287"/>
      <c r="I287"/>
      <c r="J287"/>
      <c r="K287"/>
      <c r="L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1:63">
      <c r="A288" s="70"/>
      <c r="B288"/>
      <c r="C288"/>
      <c r="D288"/>
      <c r="E288"/>
      <c r="F288"/>
      <c r="G288"/>
      <c r="H288"/>
      <c r="I288"/>
      <c r="J288"/>
      <c r="K288"/>
      <c r="L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1:63">
      <c r="A289" s="70"/>
      <c r="B289"/>
      <c r="C289"/>
      <c r="D289"/>
      <c r="E289"/>
      <c r="F289"/>
      <c r="G289"/>
      <c r="H289"/>
      <c r="I289"/>
      <c r="J289"/>
      <c r="K289"/>
      <c r="L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1:63">
      <c r="A290" s="70"/>
      <c r="B290"/>
      <c r="C290"/>
      <c r="D290"/>
      <c r="E290"/>
      <c r="F290"/>
      <c r="G290"/>
      <c r="H290"/>
      <c r="I290"/>
      <c r="J290"/>
      <c r="K290"/>
      <c r="L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1:63">
      <c r="A291" s="70"/>
      <c r="B291"/>
      <c r="C291"/>
      <c r="D291"/>
      <c r="E291"/>
      <c r="F291"/>
      <c r="G291"/>
      <c r="H291"/>
      <c r="I291"/>
      <c r="J291"/>
      <c r="K291"/>
      <c r="L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1:63">
      <c r="A292" s="70"/>
      <c r="B292"/>
      <c r="C292"/>
      <c r="D292"/>
      <c r="E292"/>
      <c r="F292"/>
      <c r="G292"/>
      <c r="H292"/>
      <c r="I292"/>
      <c r="J292"/>
      <c r="K292"/>
      <c r="L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1:63">
      <c r="A293" s="70"/>
      <c r="B293"/>
      <c r="C293"/>
      <c r="D293"/>
      <c r="E293"/>
      <c r="F293"/>
      <c r="G293"/>
      <c r="H293"/>
      <c r="I293"/>
      <c r="J293"/>
      <c r="K293"/>
      <c r="L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1:63">
      <c r="A294" s="70"/>
      <c r="B294"/>
      <c r="C294"/>
      <c r="D294"/>
      <c r="E294"/>
      <c r="F294"/>
      <c r="G294"/>
      <c r="H294"/>
      <c r="I294"/>
      <c r="J294"/>
      <c r="K294"/>
      <c r="L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1:63">
      <c r="A295" s="70"/>
      <c r="B295"/>
      <c r="C295"/>
      <c r="D295"/>
      <c r="E295"/>
      <c r="F295"/>
      <c r="G295"/>
      <c r="H295"/>
      <c r="I295"/>
      <c r="J295"/>
      <c r="K295"/>
      <c r="L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1:63">
      <c r="A296" s="70"/>
      <c r="B296"/>
      <c r="C296"/>
      <c r="D296"/>
      <c r="E296"/>
      <c r="F296"/>
      <c r="G296"/>
      <c r="H296"/>
      <c r="I296"/>
      <c r="J296"/>
      <c r="K296"/>
      <c r="L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</row>
    <row r="297" spans="1:63">
      <c r="A297" s="70"/>
      <c r="B297"/>
      <c r="C297"/>
      <c r="D297"/>
      <c r="E297"/>
      <c r="F297"/>
      <c r="G297"/>
      <c r="H297"/>
      <c r="I297"/>
      <c r="J297"/>
      <c r="K297"/>
      <c r="L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</row>
    <row r="298" spans="1:63">
      <c r="A298" s="70"/>
      <c r="B298"/>
      <c r="C298"/>
      <c r="D298"/>
      <c r="E298"/>
      <c r="F298"/>
      <c r="G298"/>
      <c r="H298"/>
      <c r="I298"/>
      <c r="J298"/>
      <c r="K298"/>
      <c r="L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</row>
    <row r="299" spans="1:63">
      <c r="A299" s="70"/>
      <c r="B299"/>
      <c r="C299"/>
      <c r="D299"/>
      <c r="E299"/>
      <c r="F299"/>
      <c r="G299"/>
      <c r="H299"/>
      <c r="I299"/>
      <c r="J299"/>
      <c r="K299"/>
      <c r="L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</row>
    <row r="300" spans="1:63">
      <c r="A300" s="70"/>
      <c r="B300"/>
      <c r="C300"/>
      <c r="D300"/>
      <c r="E300"/>
      <c r="F300"/>
      <c r="G300"/>
      <c r="H300"/>
      <c r="I300"/>
      <c r="J300"/>
      <c r="K300"/>
      <c r="L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</row>
    <row r="301" spans="1:63">
      <c r="A301" s="70"/>
      <c r="B301"/>
      <c r="C301"/>
      <c r="D301"/>
      <c r="E301"/>
      <c r="F301"/>
      <c r="G301"/>
      <c r="H301"/>
      <c r="I301"/>
      <c r="J301"/>
      <c r="K301"/>
      <c r="L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</row>
    <row r="302" spans="1:63">
      <c r="A302" s="70"/>
      <c r="B302"/>
      <c r="C302"/>
      <c r="D302"/>
      <c r="E302"/>
      <c r="F302"/>
      <c r="G302"/>
      <c r="H302"/>
      <c r="I302"/>
      <c r="J302"/>
      <c r="K302"/>
      <c r="L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</row>
    <row r="303" spans="1:63">
      <c r="A303" s="70"/>
      <c r="B303"/>
      <c r="C303"/>
      <c r="D303"/>
      <c r="E303"/>
      <c r="F303"/>
      <c r="G303"/>
      <c r="H303"/>
      <c r="I303"/>
      <c r="J303"/>
      <c r="K303"/>
      <c r="L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</row>
    <row r="304" spans="1:63">
      <c r="A304" s="70"/>
      <c r="B304"/>
      <c r="C304"/>
      <c r="D304"/>
      <c r="E304"/>
      <c r="F304"/>
      <c r="G304"/>
      <c r="H304"/>
      <c r="I304"/>
      <c r="J304"/>
      <c r="K304"/>
      <c r="L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</row>
    <row r="305" spans="1:63">
      <c r="A305" s="70"/>
      <c r="B305"/>
      <c r="C305"/>
      <c r="D305"/>
      <c r="E305"/>
      <c r="F305"/>
      <c r="G305"/>
      <c r="H305"/>
      <c r="I305"/>
      <c r="J305"/>
      <c r="K305"/>
      <c r="L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1:63">
      <c r="A306" s="70"/>
      <c r="B306"/>
      <c r="C306"/>
      <c r="D306"/>
      <c r="E306"/>
      <c r="F306"/>
      <c r="G306"/>
      <c r="H306"/>
      <c r="I306"/>
      <c r="J306"/>
      <c r="K306"/>
      <c r="L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1:63">
      <c r="A307" s="70"/>
      <c r="B307"/>
      <c r="C307"/>
      <c r="D307"/>
      <c r="E307"/>
      <c r="F307"/>
      <c r="G307"/>
      <c r="H307"/>
      <c r="I307"/>
      <c r="J307"/>
      <c r="K307"/>
      <c r="L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1:63">
      <c r="A308" s="70"/>
      <c r="B308"/>
      <c r="C308"/>
      <c r="D308"/>
      <c r="E308"/>
      <c r="F308"/>
      <c r="G308"/>
      <c r="H308"/>
      <c r="I308"/>
      <c r="J308"/>
      <c r="K308"/>
      <c r="L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1:63">
      <c r="A309" s="70"/>
      <c r="B309"/>
      <c r="C309"/>
      <c r="D309"/>
      <c r="E309"/>
      <c r="F309"/>
      <c r="G309"/>
      <c r="H309"/>
      <c r="I309"/>
      <c r="J309"/>
      <c r="K309"/>
      <c r="L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1:63">
      <c r="A310" s="70"/>
      <c r="B310"/>
      <c r="C310"/>
      <c r="D310"/>
      <c r="E310"/>
      <c r="F310"/>
      <c r="G310"/>
      <c r="H310"/>
      <c r="I310"/>
      <c r="J310"/>
      <c r="K310"/>
      <c r="L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1:63">
      <c r="A311" s="70"/>
      <c r="B311"/>
      <c r="C311"/>
      <c r="D311"/>
      <c r="E311"/>
      <c r="F311"/>
      <c r="G311"/>
      <c r="H311"/>
      <c r="I311"/>
      <c r="J311"/>
      <c r="K311"/>
      <c r="L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1:63">
      <c r="A312" s="70"/>
      <c r="B312"/>
      <c r="C312"/>
      <c r="D312"/>
      <c r="E312"/>
      <c r="F312"/>
      <c r="G312"/>
      <c r="H312"/>
      <c r="I312"/>
      <c r="J312"/>
      <c r="K312"/>
      <c r="L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1:63">
      <c r="A313" s="70"/>
      <c r="B313"/>
      <c r="C313"/>
      <c r="D313"/>
      <c r="E313"/>
      <c r="F313"/>
      <c r="G313"/>
      <c r="H313"/>
      <c r="I313"/>
      <c r="J313"/>
      <c r="K313"/>
      <c r="L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1:63">
      <c r="A314" s="70"/>
      <c r="B314"/>
      <c r="C314"/>
      <c r="D314"/>
      <c r="E314"/>
      <c r="F314"/>
      <c r="G314"/>
      <c r="H314"/>
      <c r="I314"/>
      <c r="J314"/>
      <c r="K314"/>
      <c r="L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1:63">
      <c r="A315" s="70"/>
      <c r="B315"/>
      <c r="C315"/>
      <c r="D315"/>
      <c r="E315"/>
      <c r="F315"/>
      <c r="G315"/>
      <c r="H315"/>
      <c r="I315"/>
      <c r="J315"/>
      <c r="K315"/>
      <c r="L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1:63">
      <c r="A316" s="70"/>
      <c r="B316"/>
      <c r="C316"/>
      <c r="D316"/>
      <c r="E316"/>
      <c r="F316"/>
      <c r="G316"/>
      <c r="H316"/>
      <c r="I316"/>
      <c r="J316"/>
      <c r="K316"/>
      <c r="L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1:63">
      <c r="A317" s="70"/>
      <c r="B317"/>
      <c r="C317"/>
      <c r="D317"/>
      <c r="E317"/>
      <c r="F317"/>
      <c r="G317"/>
      <c r="H317"/>
      <c r="I317"/>
      <c r="J317"/>
      <c r="K317"/>
      <c r="L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1:63">
      <c r="A318" s="70"/>
      <c r="B318"/>
      <c r="C318"/>
      <c r="D318"/>
      <c r="E318"/>
      <c r="F318"/>
      <c r="G318"/>
      <c r="H318"/>
      <c r="I318"/>
      <c r="J318"/>
      <c r="K318"/>
      <c r="L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1:63">
      <c r="A319" s="70"/>
      <c r="B319"/>
      <c r="C319"/>
      <c r="D319"/>
      <c r="E319"/>
      <c r="F319"/>
      <c r="G319"/>
      <c r="H319"/>
      <c r="I319"/>
      <c r="J319"/>
      <c r="K319"/>
      <c r="L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1:63">
      <c r="A320" s="70"/>
      <c r="B320"/>
      <c r="C320"/>
      <c r="D320"/>
      <c r="E320"/>
      <c r="F320"/>
      <c r="G320"/>
      <c r="H320"/>
      <c r="I320"/>
      <c r="J320"/>
      <c r="K320"/>
      <c r="L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1:63">
      <c r="A321" s="70"/>
      <c r="B321"/>
      <c r="C321"/>
      <c r="D321"/>
      <c r="E321"/>
      <c r="F321"/>
      <c r="G321"/>
      <c r="H321"/>
      <c r="I321"/>
      <c r="J321"/>
      <c r="K321"/>
      <c r="L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1:63">
      <c r="A322" s="70"/>
      <c r="B322"/>
      <c r="C322"/>
      <c r="D322"/>
      <c r="E322"/>
      <c r="F322"/>
      <c r="G322"/>
      <c r="H322"/>
      <c r="I322"/>
      <c r="J322"/>
      <c r="K322"/>
      <c r="L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1:63">
      <c r="A323" s="70"/>
      <c r="B323"/>
      <c r="C323"/>
      <c r="D323"/>
      <c r="E323"/>
      <c r="F323"/>
      <c r="G323"/>
      <c r="H323"/>
      <c r="I323"/>
      <c r="J323"/>
      <c r="K323"/>
      <c r="L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1:63">
      <c r="A324" s="70"/>
      <c r="B324"/>
      <c r="C324"/>
      <c r="D324"/>
      <c r="E324"/>
      <c r="F324"/>
      <c r="G324"/>
      <c r="H324"/>
      <c r="I324"/>
      <c r="J324"/>
      <c r="K324"/>
      <c r="L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1:63">
      <c r="A325" s="70"/>
      <c r="B325"/>
      <c r="C325"/>
      <c r="D325"/>
      <c r="E325"/>
      <c r="F325"/>
      <c r="G325"/>
      <c r="H325"/>
      <c r="I325"/>
      <c r="J325"/>
      <c r="K325"/>
      <c r="L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1:63">
      <c r="A326" s="70"/>
      <c r="B326"/>
      <c r="C326"/>
      <c r="D326"/>
      <c r="E326"/>
      <c r="F326"/>
      <c r="G326"/>
      <c r="H326"/>
      <c r="I326"/>
      <c r="J326"/>
      <c r="K326"/>
      <c r="L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1:63">
      <c r="A327" s="70"/>
      <c r="B327"/>
      <c r="C327"/>
      <c r="D327"/>
      <c r="E327"/>
      <c r="F327"/>
      <c r="G327"/>
      <c r="H327"/>
      <c r="I327"/>
      <c r="J327"/>
      <c r="K327"/>
      <c r="L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1:63">
      <c r="A328" s="70"/>
      <c r="B328"/>
      <c r="C328"/>
      <c r="D328"/>
      <c r="E328"/>
      <c r="F328"/>
      <c r="G328"/>
      <c r="H328"/>
      <c r="I328"/>
      <c r="J328"/>
      <c r="K328"/>
      <c r="L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1:63">
      <c r="A329" s="70"/>
      <c r="B329"/>
      <c r="C329"/>
      <c r="D329"/>
      <c r="E329"/>
      <c r="F329"/>
      <c r="G329"/>
      <c r="H329"/>
      <c r="I329"/>
      <c r="J329"/>
      <c r="K329"/>
      <c r="L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1:63">
      <c r="A330" s="70"/>
      <c r="B330"/>
      <c r="C330"/>
      <c r="D330"/>
      <c r="E330"/>
      <c r="F330"/>
      <c r="G330"/>
      <c r="H330"/>
      <c r="I330"/>
      <c r="J330"/>
      <c r="K330"/>
      <c r="L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1:63">
      <c r="A331" s="70"/>
      <c r="B331"/>
      <c r="C331"/>
      <c r="D331"/>
      <c r="E331"/>
      <c r="F331"/>
      <c r="G331"/>
      <c r="H331"/>
      <c r="I331"/>
      <c r="J331"/>
      <c r="K331"/>
      <c r="L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1:63">
      <c r="A332" s="70"/>
      <c r="B332"/>
      <c r="C332"/>
      <c r="D332"/>
      <c r="E332"/>
      <c r="F332"/>
      <c r="G332"/>
      <c r="H332"/>
      <c r="I332"/>
      <c r="J332"/>
      <c r="K332"/>
      <c r="L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1:63">
      <c r="A333" s="70"/>
      <c r="B333"/>
      <c r="C333"/>
      <c r="D333"/>
      <c r="E333"/>
      <c r="F333"/>
      <c r="G333"/>
      <c r="H333"/>
      <c r="I333"/>
      <c r="J333"/>
      <c r="K333"/>
      <c r="L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1:63">
      <c r="A334" s="70"/>
      <c r="B334"/>
      <c r="C334"/>
      <c r="D334"/>
      <c r="E334"/>
      <c r="F334"/>
      <c r="G334"/>
      <c r="H334"/>
      <c r="I334"/>
      <c r="J334"/>
      <c r="K334"/>
      <c r="L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1:63">
      <c r="A335" s="70"/>
      <c r="B335"/>
      <c r="C335"/>
      <c r="D335"/>
      <c r="E335"/>
      <c r="F335"/>
      <c r="G335"/>
      <c r="H335"/>
      <c r="I335"/>
      <c r="J335"/>
      <c r="K335"/>
      <c r="L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1:63">
      <c r="A336" s="70"/>
      <c r="B336"/>
      <c r="C336"/>
      <c r="D336"/>
      <c r="E336"/>
      <c r="F336"/>
      <c r="G336"/>
      <c r="H336"/>
      <c r="I336"/>
      <c r="J336"/>
      <c r="K336"/>
      <c r="L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1:63">
      <c r="A337" s="70"/>
      <c r="B337"/>
      <c r="C337"/>
      <c r="D337"/>
      <c r="E337"/>
      <c r="F337"/>
      <c r="G337"/>
      <c r="H337"/>
      <c r="I337"/>
      <c r="J337"/>
      <c r="K337"/>
      <c r="L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1:63">
      <c r="A338" s="70"/>
      <c r="B338"/>
      <c r="C338"/>
      <c r="D338"/>
      <c r="E338"/>
      <c r="F338"/>
      <c r="G338"/>
      <c r="H338"/>
      <c r="I338"/>
      <c r="J338"/>
      <c r="K338"/>
      <c r="L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1:63">
      <c r="A339" s="70"/>
      <c r="B339"/>
      <c r="C339"/>
      <c r="D339"/>
      <c r="E339"/>
      <c r="F339"/>
      <c r="G339"/>
      <c r="H339"/>
      <c r="I339"/>
      <c r="J339"/>
      <c r="K339"/>
      <c r="L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1:63">
      <c r="A340" s="70"/>
      <c r="B340"/>
      <c r="C340"/>
      <c r="D340"/>
      <c r="E340"/>
      <c r="F340"/>
      <c r="G340"/>
      <c r="H340"/>
      <c r="I340"/>
      <c r="J340"/>
      <c r="K340"/>
      <c r="L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1:63">
      <c r="A341" s="70"/>
      <c r="B341"/>
      <c r="C341"/>
      <c r="D341"/>
      <c r="E341"/>
      <c r="F341"/>
      <c r="G341"/>
      <c r="H341"/>
      <c r="I341"/>
      <c r="J341"/>
      <c r="K341"/>
      <c r="L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1:63">
      <c r="A342" s="70"/>
      <c r="B342"/>
      <c r="C342"/>
      <c r="D342"/>
      <c r="E342"/>
      <c r="F342"/>
      <c r="G342"/>
      <c r="H342"/>
      <c r="I342"/>
      <c r="J342"/>
      <c r="K342"/>
      <c r="L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1:63">
      <c r="A343" s="70"/>
      <c r="B343"/>
      <c r="C343"/>
      <c r="D343"/>
      <c r="E343"/>
      <c r="F343"/>
      <c r="G343"/>
      <c r="H343"/>
      <c r="I343"/>
      <c r="J343"/>
      <c r="K343"/>
      <c r="L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1:63">
      <c r="A344" s="70"/>
      <c r="B344"/>
      <c r="C344"/>
      <c r="D344"/>
      <c r="E344"/>
      <c r="F344"/>
      <c r="G344"/>
      <c r="H344"/>
      <c r="I344"/>
      <c r="J344"/>
      <c r="K344"/>
      <c r="L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1:63">
      <c r="A345" s="70"/>
      <c r="B345"/>
      <c r="C345"/>
      <c r="D345"/>
      <c r="E345"/>
      <c r="F345"/>
      <c r="G345"/>
      <c r="H345"/>
      <c r="I345"/>
      <c r="J345"/>
      <c r="K345"/>
      <c r="L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1:63">
      <c r="A346" s="70"/>
      <c r="B346"/>
      <c r="C346"/>
      <c r="D346"/>
      <c r="E346"/>
      <c r="F346"/>
      <c r="G346"/>
      <c r="H346"/>
      <c r="I346"/>
      <c r="J346"/>
      <c r="K346"/>
      <c r="L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1:63">
      <c r="A347" s="70"/>
      <c r="B347"/>
      <c r="C347"/>
      <c r="D347"/>
      <c r="E347"/>
      <c r="F347"/>
      <c r="G347"/>
      <c r="H347"/>
      <c r="I347"/>
      <c r="J347"/>
      <c r="K347"/>
      <c r="L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1:63">
      <c r="A348" s="70"/>
      <c r="B348"/>
      <c r="C348"/>
      <c r="D348"/>
      <c r="E348"/>
      <c r="F348"/>
      <c r="G348"/>
      <c r="H348"/>
      <c r="I348"/>
      <c r="J348"/>
      <c r="K348"/>
      <c r="L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1:63">
      <c r="A349" s="70"/>
      <c r="B349"/>
      <c r="C349"/>
      <c r="D349"/>
      <c r="E349"/>
      <c r="F349"/>
      <c r="G349"/>
      <c r="H349"/>
      <c r="I349"/>
      <c r="J349"/>
      <c r="K349"/>
      <c r="L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1:63">
      <c r="A350" s="70"/>
      <c r="B350"/>
      <c r="C350"/>
      <c r="D350"/>
      <c r="E350"/>
      <c r="F350"/>
      <c r="G350"/>
      <c r="H350"/>
      <c r="I350"/>
      <c r="J350"/>
      <c r="K350"/>
      <c r="L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1:63">
      <c r="A351" s="70"/>
      <c r="B351"/>
      <c r="C351"/>
      <c r="D351"/>
      <c r="E351"/>
      <c r="F351"/>
      <c r="G351"/>
      <c r="H351"/>
      <c r="I351"/>
      <c r="J351"/>
      <c r="K351"/>
      <c r="L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1:63">
      <c r="A352" s="70"/>
      <c r="B352"/>
      <c r="C352"/>
      <c r="D352"/>
      <c r="E352"/>
      <c r="F352"/>
      <c r="G352"/>
      <c r="H352"/>
      <c r="I352"/>
      <c r="J352"/>
      <c r="K352"/>
      <c r="L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1:63">
      <c r="A353" s="70"/>
      <c r="B353"/>
      <c r="C353"/>
      <c r="D353"/>
      <c r="E353"/>
      <c r="F353"/>
      <c r="G353"/>
      <c r="H353"/>
      <c r="I353"/>
      <c r="J353"/>
      <c r="K353"/>
      <c r="L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1:63">
      <c r="A354" s="70"/>
      <c r="B354"/>
      <c r="C354"/>
      <c r="D354"/>
      <c r="E354"/>
      <c r="F354"/>
      <c r="G354"/>
      <c r="H354"/>
      <c r="I354"/>
      <c r="J354"/>
      <c r="K354"/>
      <c r="L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1:63">
      <c r="A355" s="70"/>
      <c r="B355"/>
      <c r="C355"/>
      <c r="D355"/>
      <c r="E355"/>
      <c r="F355"/>
      <c r="G355"/>
      <c r="H355"/>
      <c r="I355"/>
      <c r="J355"/>
      <c r="K355"/>
      <c r="L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1:63">
      <c r="A356" s="70"/>
      <c r="B356"/>
      <c r="C356"/>
      <c r="D356"/>
      <c r="E356"/>
      <c r="F356"/>
      <c r="G356"/>
      <c r="H356"/>
      <c r="I356"/>
      <c r="J356"/>
      <c r="K356"/>
      <c r="L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1:63">
      <c r="A357" s="70"/>
      <c r="B357"/>
      <c r="C357"/>
      <c r="D357"/>
      <c r="E357"/>
      <c r="F357"/>
      <c r="G357"/>
      <c r="H357"/>
      <c r="I357"/>
      <c r="J357"/>
      <c r="K357"/>
      <c r="L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1:63">
      <c r="A358" s="70"/>
      <c r="B358"/>
      <c r="C358"/>
      <c r="D358"/>
      <c r="E358"/>
      <c r="F358"/>
      <c r="G358"/>
      <c r="H358"/>
      <c r="I358"/>
      <c r="J358"/>
      <c r="K358"/>
      <c r="L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1:63">
      <c r="A359" s="70"/>
      <c r="B359"/>
      <c r="C359"/>
      <c r="D359"/>
      <c r="E359"/>
      <c r="F359"/>
      <c r="G359"/>
      <c r="H359"/>
      <c r="I359"/>
      <c r="J359"/>
      <c r="K359"/>
      <c r="L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1:63">
      <c r="A360" s="70"/>
      <c r="B360"/>
      <c r="C360"/>
      <c r="D360"/>
      <c r="E360"/>
      <c r="F360"/>
      <c r="G360"/>
      <c r="H360"/>
      <c r="I360"/>
      <c r="J360"/>
      <c r="K360"/>
      <c r="L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1:63">
      <c r="A361" s="70"/>
      <c r="B361"/>
      <c r="C361"/>
      <c r="D361"/>
      <c r="E361"/>
      <c r="F361"/>
      <c r="G361"/>
      <c r="H361"/>
      <c r="I361"/>
      <c r="J361"/>
      <c r="K361"/>
      <c r="L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1:63">
      <c r="A362" s="70"/>
      <c r="B362"/>
      <c r="C362"/>
      <c r="D362"/>
      <c r="E362"/>
      <c r="F362"/>
      <c r="G362"/>
      <c r="H362"/>
      <c r="I362"/>
      <c r="J362"/>
      <c r="K362"/>
      <c r="L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1:63">
      <c r="A363" s="70"/>
      <c r="B363"/>
      <c r="C363"/>
      <c r="D363"/>
      <c r="E363"/>
      <c r="F363"/>
      <c r="G363"/>
      <c r="H363"/>
      <c r="I363"/>
      <c r="J363"/>
      <c r="K363"/>
      <c r="L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1:63">
      <c r="A364" s="70"/>
      <c r="B364"/>
      <c r="C364"/>
      <c r="D364"/>
      <c r="E364"/>
      <c r="F364"/>
      <c r="G364"/>
      <c r="H364"/>
      <c r="I364"/>
      <c r="J364"/>
      <c r="K364"/>
      <c r="L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1:63">
      <c r="A365" s="70"/>
      <c r="B365"/>
      <c r="C365"/>
      <c r="D365"/>
      <c r="E365"/>
      <c r="F365"/>
      <c r="G365"/>
      <c r="H365"/>
      <c r="I365"/>
      <c r="J365"/>
      <c r="K365"/>
      <c r="L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1:63">
      <c r="A366" s="70"/>
      <c r="B366"/>
      <c r="C366"/>
      <c r="D366"/>
      <c r="E366"/>
      <c r="F366"/>
      <c r="G366"/>
      <c r="H366"/>
      <c r="I366"/>
      <c r="J366"/>
      <c r="K366"/>
      <c r="L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1:63">
      <c r="A367" s="70"/>
      <c r="B367"/>
      <c r="C367"/>
      <c r="D367"/>
      <c r="E367"/>
      <c r="F367"/>
      <c r="G367"/>
      <c r="H367"/>
      <c r="I367"/>
      <c r="J367"/>
      <c r="K367"/>
      <c r="L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1:63">
      <c r="A368" s="70"/>
      <c r="B368"/>
      <c r="C368"/>
      <c r="D368"/>
      <c r="E368"/>
      <c r="F368"/>
      <c r="G368"/>
      <c r="H368"/>
      <c r="I368"/>
      <c r="J368"/>
      <c r="K368"/>
      <c r="L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1:63">
      <c r="A369" s="70"/>
      <c r="B369"/>
      <c r="C369"/>
      <c r="D369"/>
      <c r="E369"/>
      <c r="F369"/>
      <c r="G369"/>
      <c r="H369"/>
      <c r="I369"/>
      <c r="J369"/>
      <c r="K369"/>
      <c r="L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1:63">
      <c r="A370" s="70"/>
      <c r="B370"/>
      <c r="C370"/>
      <c r="D370"/>
      <c r="E370"/>
      <c r="F370"/>
      <c r="G370"/>
      <c r="H370"/>
      <c r="I370"/>
      <c r="J370"/>
      <c r="K370"/>
      <c r="L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1:63">
      <c r="A371" s="70"/>
      <c r="B371"/>
      <c r="C371"/>
      <c r="D371"/>
      <c r="E371"/>
      <c r="F371"/>
      <c r="G371"/>
      <c r="H371"/>
      <c r="I371"/>
      <c r="J371"/>
      <c r="K371"/>
      <c r="L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1:63">
      <c r="A372" s="70"/>
      <c r="B372"/>
      <c r="C372"/>
      <c r="D372"/>
      <c r="E372"/>
      <c r="F372"/>
      <c r="G372"/>
      <c r="H372"/>
      <c r="I372"/>
      <c r="J372"/>
      <c r="K372"/>
      <c r="L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1:63">
      <c r="A373" s="70"/>
      <c r="B373"/>
      <c r="C373"/>
      <c r="D373"/>
      <c r="E373"/>
      <c r="F373"/>
      <c r="G373"/>
      <c r="H373"/>
      <c r="I373"/>
      <c r="J373"/>
      <c r="K373"/>
      <c r="L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1:63">
      <c r="A374" s="70"/>
      <c r="B374"/>
      <c r="C374"/>
      <c r="D374"/>
      <c r="E374"/>
      <c r="F374"/>
      <c r="G374"/>
      <c r="H374"/>
      <c r="I374"/>
      <c r="J374"/>
      <c r="K374"/>
      <c r="L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1:63">
      <c r="A375" s="70"/>
      <c r="B375"/>
      <c r="C375"/>
      <c r="D375"/>
      <c r="E375"/>
      <c r="F375"/>
      <c r="G375"/>
      <c r="H375"/>
      <c r="I375"/>
      <c r="J375"/>
      <c r="K375"/>
      <c r="L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1:63">
      <c r="A376" s="70"/>
      <c r="B376"/>
      <c r="C376"/>
      <c r="D376"/>
      <c r="E376"/>
      <c r="F376"/>
      <c r="G376"/>
      <c r="H376"/>
      <c r="I376"/>
      <c r="J376"/>
      <c r="K376"/>
      <c r="L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1:63">
      <c r="A377" s="70"/>
      <c r="B377"/>
      <c r="C377"/>
      <c r="D377"/>
      <c r="E377"/>
      <c r="F377"/>
      <c r="G377"/>
      <c r="H377"/>
      <c r="I377"/>
      <c r="J377"/>
      <c r="K377"/>
      <c r="L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1:63">
      <c r="A378" s="70"/>
      <c r="B378"/>
      <c r="C378"/>
      <c r="D378"/>
      <c r="E378"/>
      <c r="F378"/>
      <c r="G378"/>
      <c r="H378"/>
      <c r="I378"/>
      <c r="J378"/>
      <c r="K378"/>
      <c r="L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1:63">
      <c r="A379" s="70"/>
      <c r="B379"/>
      <c r="C379"/>
      <c r="D379"/>
      <c r="E379"/>
      <c r="F379"/>
      <c r="G379"/>
      <c r="H379"/>
      <c r="I379"/>
      <c r="J379"/>
      <c r="K379"/>
      <c r="L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1:63">
      <c r="A380" s="70"/>
      <c r="B380"/>
      <c r="C380"/>
      <c r="D380"/>
      <c r="E380"/>
      <c r="F380"/>
      <c r="G380"/>
      <c r="H380"/>
      <c r="I380"/>
      <c r="J380"/>
      <c r="K380"/>
      <c r="L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1:63">
      <c r="A381" s="70"/>
      <c r="B381"/>
      <c r="C381"/>
      <c r="D381"/>
      <c r="E381"/>
      <c r="F381"/>
      <c r="G381"/>
      <c r="H381"/>
      <c r="I381"/>
      <c r="J381"/>
      <c r="K381"/>
      <c r="L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1:63">
      <c r="A382" s="70"/>
      <c r="B382"/>
      <c r="C382"/>
      <c r="D382"/>
      <c r="E382"/>
      <c r="F382"/>
      <c r="G382"/>
      <c r="H382"/>
      <c r="I382"/>
      <c r="J382"/>
      <c r="K382"/>
      <c r="L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1:63">
      <c r="A383" s="70"/>
      <c r="B383"/>
      <c r="C383"/>
      <c r="D383"/>
      <c r="E383"/>
      <c r="F383"/>
      <c r="G383"/>
      <c r="H383"/>
      <c r="I383"/>
      <c r="J383"/>
      <c r="K383"/>
      <c r="L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1:63">
      <c r="A384" s="70"/>
      <c r="B384"/>
      <c r="C384"/>
      <c r="D384"/>
      <c r="E384"/>
      <c r="F384"/>
      <c r="G384"/>
      <c r="H384"/>
      <c r="I384"/>
      <c r="J384"/>
      <c r="K384"/>
      <c r="L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1:63">
      <c r="A385" s="70"/>
      <c r="B385"/>
      <c r="C385"/>
      <c r="D385"/>
      <c r="E385"/>
      <c r="F385"/>
      <c r="G385"/>
      <c r="H385"/>
      <c r="I385"/>
      <c r="J385"/>
      <c r="K385"/>
      <c r="L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1:63">
      <c r="A386" s="70"/>
      <c r="B386"/>
      <c r="C386"/>
      <c r="D386"/>
      <c r="E386"/>
      <c r="F386"/>
      <c r="G386"/>
      <c r="H386"/>
      <c r="I386"/>
      <c r="J386"/>
      <c r="K386"/>
      <c r="L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1:63">
      <c r="A387" s="70"/>
      <c r="B387"/>
      <c r="C387"/>
      <c r="D387"/>
      <c r="E387"/>
      <c r="F387"/>
      <c r="G387"/>
      <c r="H387"/>
      <c r="I387"/>
      <c r="J387"/>
      <c r="K387"/>
      <c r="L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1:63">
      <c r="A388" s="70"/>
      <c r="B388"/>
      <c r="C388"/>
      <c r="D388"/>
      <c r="E388"/>
      <c r="F388"/>
      <c r="G388"/>
      <c r="H388"/>
      <c r="I388"/>
      <c r="J388"/>
      <c r="K388"/>
      <c r="L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1:63">
      <c r="A389" s="70"/>
      <c r="B389"/>
      <c r="C389"/>
      <c r="D389"/>
      <c r="E389"/>
      <c r="F389"/>
      <c r="G389"/>
      <c r="H389"/>
      <c r="I389"/>
      <c r="J389"/>
      <c r="K389"/>
      <c r="L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1:63">
      <c r="A390" s="70"/>
      <c r="B390"/>
      <c r="C390"/>
      <c r="D390"/>
      <c r="E390"/>
      <c r="F390"/>
      <c r="G390"/>
      <c r="H390"/>
      <c r="I390"/>
      <c r="J390"/>
      <c r="K390"/>
      <c r="L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1:63">
      <c r="A391" s="70"/>
      <c r="B391"/>
      <c r="C391"/>
      <c r="D391"/>
      <c r="E391"/>
      <c r="F391"/>
      <c r="G391"/>
      <c r="H391"/>
      <c r="I391"/>
      <c r="J391"/>
      <c r="K391"/>
      <c r="L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1:63">
      <c r="A392" s="70"/>
      <c r="B392"/>
      <c r="C392"/>
      <c r="D392"/>
      <c r="E392"/>
      <c r="F392"/>
      <c r="G392"/>
      <c r="H392"/>
      <c r="I392"/>
      <c r="J392"/>
      <c r="K392"/>
      <c r="L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1:63">
      <c r="A393" s="70"/>
      <c r="B393"/>
      <c r="C393"/>
      <c r="D393"/>
      <c r="E393"/>
      <c r="F393"/>
      <c r="G393"/>
      <c r="H393"/>
      <c r="I393"/>
      <c r="J393"/>
      <c r="K393"/>
      <c r="L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1:63">
      <c r="A394" s="70"/>
      <c r="B394"/>
      <c r="C394"/>
      <c r="D394"/>
      <c r="E394"/>
      <c r="F394"/>
      <c r="G394"/>
      <c r="H394"/>
      <c r="I394"/>
      <c r="J394"/>
      <c r="K394"/>
      <c r="L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1:63">
      <c r="A395" s="70"/>
      <c r="B395"/>
      <c r="C395"/>
      <c r="D395"/>
      <c r="E395"/>
      <c r="F395"/>
      <c r="G395"/>
      <c r="H395"/>
      <c r="I395"/>
      <c r="J395"/>
      <c r="K395"/>
      <c r="L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1:63">
      <c r="A396" s="70"/>
      <c r="B396"/>
      <c r="C396"/>
      <c r="D396"/>
      <c r="E396"/>
      <c r="F396"/>
      <c r="G396"/>
      <c r="H396"/>
      <c r="I396"/>
      <c r="J396"/>
      <c r="K396"/>
      <c r="L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1:63">
      <c r="A397" s="70"/>
      <c r="B397"/>
      <c r="C397"/>
      <c r="D397"/>
      <c r="E397"/>
      <c r="F397"/>
      <c r="G397"/>
      <c r="H397"/>
      <c r="I397"/>
      <c r="J397"/>
      <c r="K397"/>
      <c r="L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1:63">
      <c r="A398" s="70"/>
      <c r="B398"/>
      <c r="C398"/>
      <c r="D398"/>
      <c r="E398"/>
      <c r="F398"/>
      <c r="G398"/>
      <c r="H398"/>
      <c r="I398"/>
      <c r="J398"/>
      <c r="K398"/>
      <c r="L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1:63">
      <c r="A399" s="70"/>
      <c r="B399"/>
      <c r="C399"/>
      <c r="D399"/>
      <c r="E399"/>
      <c r="F399"/>
      <c r="G399"/>
      <c r="H399"/>
      <c r="I399"/>
      <c r="J399"/>
      <c r="K399"/>
      <c r="L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1:63">
      <c r="A400" s="70"/>
      <c r="B400"/>
      <c r="C400"/>
      <c r="D400"/>
      <c r="E400"/>
      <c r="F400"/>
      <c r="G400"/>
      <c r="H400"/>
      <c r="I400"/>
      <c r="J400"/>
      <c r="K400"/>
      <c r="L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1:63">
      <c r="A401" s="70"/>
      <c r="B401"/>
      <c r="C401"/>
      <c r="D401"/>
      <c r="E401"/>
      <c r="F401"/>
      <c r="G401"/>
      <c r="H401"/>
      <c r="I401"/>
      <c r="J401"/>
      <c r="K401"/>
      <c r="L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1:63">
      <c r="A402" s="70"/>
      <c r="B402"/>
      <c r="C402"/>
      <c r="D402"/>
      <c r="E402"/>
      <c r="F402"/>
      <c r="G402"/>
      <c r="H402"/>
      <c r="I402"/>
      <c r="J402"/>
      <c r="K402"/>
      <c r="L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1:63">
      <c r="A403" s="70"/>
      <c r="B403"/>
      <c r="C403"/>
      <c r="D403"/>
      <c r="E403"/>
      <c r="F403"/>
      <c r="G403"/>
      <c r="H403"/>
      <c r="I403"/>
      <c r="J403"/>
      <c r="K403"/>
      <c r="L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1:63">
      <c r="A404" s="70"/>
      <c r="B404"/>
      <c r="C404"/>
      <c r="D404"/>
      <c r="E404"/>
      <c r="F404"/>
      <c r="G404"/>
      <c r="H404"/>
      <c r="I404"/>
      <c r="J404"/>
      <c r="K404"/>
      <c r="L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1:63">
      <c r="A405" s="70"/>
      <c r="B405"/>
      <c r="C405"/>
      <c r="D405"/>
      <c r="E405"/>
      <c r="F405"/>
      <c r="G405"/>
      <c r="H405"/>
      <c r="I405"/>
      <c r="J405"/>
      <c r="K405"/>
      <c r="L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1:63">
      <c r="A406" s="70"/>
      <c r="B406"/>
      <c r="C406"/>
      <c r="D406"/>
      <c r="E406"/>
      <c r="F406"/>
      <c r="G406"/>
      <c r="H406"/>
      <c r="I406"/>
      <c r="J406"/>
      <c r="K406"/>
      <c r="L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1:63">
      <c r="A407" s="70"/>
      <c r="B407"/>
      <c r="C407"/>
      <c r="D407"/>
      <c r="E407"/>
      <c r="F407"/>
      <c r="G407"/>
      <c r="H407"/>
      <c r="I407"/>
      <c r="J407"/>
      <c r="K407"/>
      <c r="L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1:63">
      <c r="A408" s="70"/>
      <c r="B408"/>
      <c r="C408"/>
      <c r="D408"/>
      <c r="E408"/>
      <c r="F408"/>
      <c r="G408"/>
      <c r="H408"/>
      <c r="I408"/>
      <c r="J408"/>
      <c r="K408"/>
      <c r="L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1:63">
      <c r="A409" s="70"/>
      <c r="B409"/>
      <c r="C409"/>
      <c r="D409"/>
      <c r="E409"/>
      <c r="F409"/>
      <c r="G409"/>
      <c r="H409"/>
      <c r="I409"/>
      <c r="J409"/>
      <c r="K409"/>
      <c r="L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1:63">
      <c r="A410" s="70"/>
      <c r="B410"/>
      <c r="C410"/>
      <c r="D410"/>
      <c r="E410"/>
      <c r="F410"/>
      <c r="G410"/>
      <c r="H410"/>
      <c r="I410"/>
      <c r="J410"/>
      <c r="K410"/>
      <c r="L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1:63">
      <c r="A411" s="70"/>
      <c r="B411"/>
      <c r="C411"/>
      <c r="D411"/>
      <c r="E411"/>
      <c r="F411"/>
      <c r="G411"/>
      <c r="H411"/>
      <c r="I411"/>
      <c r="J411"/>
      <c r="K411"/>
      <c r="L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1:63">
      <c r="A412" s="70"/>
      <c r="B412"/>
      <c r="C412"/>
      <c r="D412"/>
      <c r="E412"/>
      <c r="F412"/>
      <c r="G412"/>
      <c r="H412"/>
      <c r="I412"/>
      <c r="J412"/>
      <c r="K412"/>
      <c r="L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1:63">
      <c r="A413" s="70"/>
      <c r="B413"/>
      <c r="C413"/>
      <c r="D413"/>
      <c r="E413"/>
      <c r="F413"/>
      <c r="G413"/>
      <c r="H413"/>
      <c r="I413"/>
      <c r="J413"/>
      <c r="K413"/>
      <c r="L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1:63">
      <c r="A414" s="70"/>
      <c r="B414"/>
      <c r="C414"/>
      <c r="D414"/>
      <c r="E414"/>
      <c r="F414"/>
      <c r="G414"/>
      <c r="H414"/>
      <c r="I414"/>
      <c r="J414"/>
      <c r="K414"/>
      <c r="L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1:63">
      <c r="A415" s="70"/>
      <c r="B415"/>
      <c r="C415"/>
      <c r="D415"/>
      <c r="E415"/>
      <c r="F415"/>
      <c r="G415"/>
      <c r="H415"/>
      <c r="I415"/>
      <c r="J415"/>
      <c r="K415"/>
      <c r="L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1:63">
      <c r="A416" s="70"/>
      <c r="B416"/>
      <c r="C416"/>
      <c r="D416"/>
      <c r="E416"/>
      <c r="F416"/>
      <c r="G416"/>
      <c r="H416"/>
      <c r="I416"/>
      <c r="J416"/>
      <c r="K416"/>
      <c r="L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1:63">
      <c r="A417" s="70"/>
      <c r="B417"/>
      <c r="C417"/>
      <c r="D417"/>
      <c r="E417"/>
      <c r="F417"/>
      <c r="G417"/>
      <c r="H417"/>
      <c r="I417"/>
      <c r="J417"/>
      <c r="K417"/>
      <c r="L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1:63">
      <c r="A418" s="70"/>
      <c r="B418"/>
      <c r="C418"/>
      <c r="D418"/>
      <c r="E418"/>
      <c r="F418"/>
      <c r="G418"/>
      <c r="H418"/>
      <c r="I418"/>
      <c r="J418"/>
      <c r="K418"/>
      <c r="L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1:63">
      <c r="A419" s="70"/>
      <c r="B419"/>
      <c r="C419"/>
      <c r="D419"/>
      <c r="E419"/>
      <c r="F419"/>
      <c r="G419"/>
      <c r="H419"/>
      <c r="I419"/>
      <c r="J419"/>
      <c r="K419"/>
      <c r="L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1:63">
      <c r="A420" s="70"/>
      <c r="B420"/>
      <c r="C420"/>
      <c r="D420"/>
      <c r="E420"/>
      <c r="F420"/>
      <c r="G420"/>
      <c r="H420"/>
      <c r="I420"/>
      <c r="J420"/>
      <c r="K420"/>
      <c r="L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1:63">
      <c r="A421" s="70"/>
      <c r="B421"/>
      <c r="C421"/>
      <c r="D421"/>
      <c r="E421"/>
      <c r="F421"/>
      <c r="G421"/>
      <c r="H421"/>
      <c r="I421"/>
      <c r="J421"/>
      <c r="K421"/>
      <c r="L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1:63">
      <c r="A422" s="70"/>
      <c r="B422"/>
      <c r="C422"/>
      <c r="D422"/>
      <c r="E422"/>
      <c r="F422"/>
      <c r="G422"/>
      <c r="H422"/>
      <c r="I422"/>
      <c r="J422"/>
      <c r="K422"/>
      <c r="L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1:63">
      <c r="A423" s="70"/>
      <c r="B423"/>
      <c r="C423"/>
      <c r="D423"/>
      <c r="E423"/>
      <c r="F423"/>
      <c r="G423"/>
      <c r="H423"/>
      <c r="I423"/>
      <c r="J423"/>
      <c r="K423"/>
      <c r="L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1:63">
      <c r="A424" s="70"/>
      <c r="B424"/>
      <c r="C424"/>
      <c r="D424"/>
      <c r="E424"/>
      <c r="F424"/>
      <c r="G424"/>
      <c r="H424"/>
      <c r="I424"/>
      <c r="J424"/>
      <c r="K424"/>
      <c r="L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1:63">
      <c r="A425" s="70"/>
      <c r="B425"/>
      <c r="C425"/>
      <c r="D425"/>
      <c r="E425"/>
      <c r="F425"/>
      <c r="G425"/>
      <c r="H425"/>
      <c r="I425"/>
      <c r="J425"/>
      <c r="K425"/>
      <c r="L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1:63">
      <c r="A426" s="70"/>
      <c r="B426"/>
      <c r="C426"/>
      <c r="D426"/>
      <c r="E426"/>
      <c r="F426"/>
      <c r="G426"/>
      <c r="H426"/>
      <c r="I426"/>
      <c r="J426"/>
      <c r="K426"/>
      <c r="L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1:63">
      <c r="A427" s="70"/>
      <c r="B427"/>
      <c r="C427"/>
      <c r="D427"/>
      <c r="E427"/>
      <c r="F427"/>
      <c r="G427"/>
      <c r="H427"/>
      <c r="I427"/>
      <c r="J427"/>
      <c r="K427"/>
      <c r="L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1:63">
      <c r="A428" s="70"/>
      <c r="B428"/>
      <c r="C428"/>
      <c r="D428"/>
      <c r="E428"/>
      <c r="F428"/>
      <c r="G428"/>
      <c r="H428"/>
      <c r="I428"/>
      <c r="J428"/>
      <c r="K428"/>
      <c r="L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1:63">
      <c r="A429" s="70"/>
      <c r="B429"/>
      <c r="C429"/>
      <c r="D429"/>
      <c r="E429"/>
      <c r="F429"/>
      <c r="G429"/>
      <c r="H429"/>
      <c r="I429"/>
      <c r="J429"/>
      <c r="K429"/>
      <c r="L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1:63">
      <c r="A430" s="70"/>
      <c r="B430"/>
      <c r="C430"/>
      <c r="D430"/>
      <c r="E430"/>
      <c r="F430"/>
      <c r="G430"/>
      <c r="H430"/>
      <c r="I430"/>
      <c r="J430"/>
      <c r="K430"/>
      <c r="L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1:63">
      <c r="A431" s="70"/>
      <c r="B431"/>
      <c r="C431"/>
      <c r="D431"/>
      <c r="E431"/>
      <c r="F431"/>
      <c r="G431"/>
      <c r="H431"/>
      <c r="I431"/>
      <c r="J431"/>
      <c r="K431"/>
      <c r="L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1:63">
      <c r="A432" s="70"/>
      <c r="B432"/>
      <c r="C432"/>
      <c r="D432"/>
      <c r="E432"/>
      <c r="F432"/>
      <c r="G432"/>
      <c r="H432"/>
      <c r="I432"/>
      <c r="J432"/>
      <c r="K432"/>
      <c r="L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1:63">
      <c r="A433" s="70"/>
      <c r="B433"/>
      <c r="C433"/>
      <c r="D433"/>
      <c r="E433"/>
      <c r="F433"/>
      <c r="G433"/>
      <c r="H433"/>
      <c r="I433"/>
      <c r="J433"/>
      <c r="K433"/>
      <c r="L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1:63">
      <c r="A434" s="70"/>
      <c r="B434"/>
      <c r="C434"/>
      <c r="D434"/>
      <c r="E434"/>
      <c r="F434"/>
      <c r="G434"/>
      <c r="H434"/>
      <c r="I434"/>
      <c r="J434"/>
      <c r="K434"/>
      <c r="L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1:63">
      <c r="A435" s="70"/>
      <c r="B435"/>
      <c r="C435"/>
      <c r="D435"/>
      <c r="E435"/>
      <c r="F435"/>
      <c r="G435"/>
      <c r="H435"/>
      <c r="I435"/>
      <c r="J435"/>
      <c r="K435"/>
      <c r="L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1:63">
      <c r="A436" s="70"/>
      <c r="B436"/>
      <c r="C436"/>
      <c r="D436"/>
      <c r="E436"/>
      <c r="F436"/>
      <c r="G436"/>
      <c r="H436"/>
      <c r="I436"/>
      <c r="J436"/>
      <c r="K436"/>
      <c r="L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1:63">
      <c r="A437" s="70"/>
      <c r="B437"/>
      <c r="C437"/>
      <c r="D437"/>
      <c r="E437"/>
      <c r="F437"/>
      <c r="G437"/>
      <c r="H437"/>
      <c r="I437"/>
      <c r="J437"/>
      <c r="K437"/>
      <c r="L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1:63">
      <c r="A438" s="70"/>
      <c r="B438"/>
      <c r="C438"/>
      <c r="D438"/>
      <c r="E438"/>
      <c r="F438"/>
      <c r="G438"/>
      <c r="H438"/>
      <c r="I438"/>
      <c r="J438"/>
      <c r="K438"/>
      <c r="L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1:63">
      <c r="A439" s="70"/>
      <c r="B439"/>
      <c r="C439"/>
      <c r="D439"/>
      <c r="E439"/>
      <c r="F439"/>
      <c r="G439"/>
      <c r="H439"/>
      <c r="I439"/>
      <c r="J439"/>
      <c r="K439"/>
      <c r="L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1:63">
      <c r="A440" s="70"/>
      <c r="B440"/>
      <c r="C440"/>
      <c r="D440"/>
      <c r="E440"/>
      <c r="F440"/>
      <c r="G440"/>
      <c r="H440"/>
      <c r="I440"/>
      <c r="J440"/>
      <c r="K440"/>
      <c r="L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1:63">
      <c r="A441" s="70"/>
      <c r="B441"/>
      <c r="C441"/>
      <c r="D441"/>
      <c r="E441"/>
      <c r="F441"/>
      <c r="G441"/>
      <c r="H441"/>
      <c r="I441"/>
      <c r="J441"/>
      <c r="K441"/>
      <c r="L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1:63">
      <c r="A442" s="70"/>
      <c r="B442"/>
      <c r="C442"/>
      <c r="D442"/>
      <c r="E442"/>
      <c r="F442"/>
      <c r="G442"/>
      <c r="H442"/>
      <c r="I442"/>
      <c r="J442"/>
      <c r="K442"/>
      <c r="L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1:63">
      <c r="A443" s="70"/>
      <c r="B443"/>
      <c r="C443"/>
      <c r="D443"/>
      <c r="E443"/>
      <c r="F443"/>
      <c r="G443"/>
      <c r="H443"/>
      <c r="I443"/>
      <c r="J443"/>
      <c r="K443"/>
      <c r="L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1:63">
      <c r="A444" s="70"/>
      <c r="B444"/>
      <c r="C444"/>
      <c r="D444"/>
      <c r="E444"/>
      <c r="F444"/>
      <c r="G444"/>
      <c r="H444"/>
      <c r="I444"/>
      <c r="J444"/>
      <c r="K444"/>
      <c r="L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1:63">
      <c r="A445" s="70"/>
      <c r="B445"/>
      <c r="C445"/>
      <c r="D445"/>
      <c r="E445"/>
      <c r="F445"/>
      <c r="G445"/>
      <c r="H445"/>
      <c r="I445"/>
      <c r="J445"/>
      <c r="K445"/>
      <c r="L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1:63">
      <c r="A446" s="70"/>
      <c r="B446"/>
      <c r="C446"/>
      <c r="D446"/>
      <c r="E446"/>
      <c r="F446"/>
      <c r="G446"/>
      <c r="H446"/>
      <c r="I446"/>
      <c r="J446"/>
      <c r="K446"/>
      <c r="L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1:63">
      <c r="A447" s="70"/>
      <c r="B447"/>
      <c r="C447"/>
      <c r="D447"/>
      <c r="E447"/>
      <c r="F447"/>
      <c r="G447"/>
      <c r="H447"/>
      <c r="I447"/>
      <c r="J447"/>
      <c r="K447"/>
      <c r="L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1:63">
      <c r="A448" s="70"/>
      <c r="B448"/>
      <c r="C448"/>
      <c r="D448"/>
      <c r="E448"/>
      <c r="F448"/>
      <c r="G448"/>
      <c r="H448"/>
      <c r="I448"/>
      <c r="J448"/>
      <c r="K448"/>
      <c r="L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1:63">
      <c r="A449" s="70"/>
      <c r="B449"/>
      <c r="C449"/>
      <c r="D449"/>
      <c r="E449"/>
      <c r="F449"/>
      <c r="G449"/>
      <c r="H449"/>
      <c r="I449"/>
      <c r="J449"/>
      <c r="K449"/>
      <c r="L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1:63">
      <c r="A450" s="70"/>
      <c r="B450"/>
      <c r="C450"/>
      <c r="D450"/>
      <c r="E450"/>
      <c r="F450"/>
      <c r="G450"/>
      <c r="H450"/>
      <c r="I450"/>
      <c r="J450"/>
      <c r="K450"/>
      <c r="L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1:63">
      <c r="A451" s="70"/>
      <c r="B451"/>
      <c r="C451"/>
      <c r="D451"/>
      <c r="E451"/>
      <c r="F451"/>
      <c r="G451"/>
      <c r="H451"/>
      <c r="I451"/>
      <c r="J451"/>
      <c r="K451"/>
      <c r="L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1:63">
      <c r="A452" s="70"/>
      <c r="B452"/>
      <c r="C452"/>
      <c r="D452"/>
      <c r="E452"/>
      <c r="F452"/>
      <c r="G452"/>
      <c r="H452"/>
      <c r="I452"/>
      <c r="J452"/>
      <c r="K452"/>
      <c r="L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1:63">
      <c r="A453" s="70"/>
      <c r="B453"/>
      <c r="C453"/>
      <c r="D453"/>
      <c r="E453"/>
      <c r="F453"/>
      <c r="G453"/>
      <c r="H453"/>
      <c r="I453"/>
      <c r="J453"/>
      <c r="K453"/>
      <c r="L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1:63">
      <c r="A454" s="70"/>
      <c r="B454"/>
      <c r="C454"/>
      <c r="D454"/>
      <c r="E454"/>
      <c r="F454"/>
      <c r="G454"/>
      <c r="H454"/>
      <c r="I454"/>
      <c r="J454"/>
      <c r="K454"/>
      <c r="L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1:63">
      <c r="A455" s="70"/>
      <c r="B455"/>
      <c r="C455"/>
      <c r="D455"/>
      <c r="E455"/>
      <c r="F455"/>
      <c r="G455"/>
      <c r="H455"/>
      <c r="I455"/>
      <c r="J455"/>
      <c r="K455"/>
      <c r="L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1:63">
      <c r="A456" s="70"/>
      <c r="B456"/>
      <c r="C456"/>
      <c r="D456"/>
      <c r="E456"/>
      <c r="F456"/>
      <c r="G456"/>
      <c r="H456"/>
      <c r="I456"/>
      <c r="J456"/>
      <c r="K456"/>
      <c r="L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1:63">
      <c r="A457" s="70"/>
      <c r="B457"/>
      <c r="C457"/>
      <c r="D457"/>
      <c r="E457"/>
      <c r="F457"/>
      <c r="G457"/>
      <c r="H457"/>
      <c r="I457"/>
      <c r="J457"/>
      <c r="K457"/>
      <c r="L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1:63">
      <c r="A458" s="70"/>
      <c r="B458"/>
      <c r="C458"/>
      <c r="D458"/>
      <c r="E458"/>
      <c r="F458"/>
      <c r="G458"/>
      <c r="H458"/>
      <c r="I458"/>
      <c r="J458"/>
      <c r="K458"/>
      <c r="L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1:63">
      <c r="A459" s="70"/>
      <c r="B459"/>
      <c r="C459"/>
      <c r="D459"/>
      <c r="E459"/>
      <c r="F459"/>
      <c r="G459"/>
      <c r="H459"/>
      <c r="I459"/>
      <c r="J459"/>
      <c r="K459"/>
      <c r="L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1:63">
      <c r="A460" s="70"/>
      <c r="B460"/>
      <c r="C460"/>
      <c r="D460"/>
      <c r="E460"/>
      <c r="F460"/>
      <c r="G460"/>
      <c r="H460"/>
      <c r="I460"/>
      <c r="J460"/>
      <c r="K460"/>
      <c r="L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1:63">
      <c r="A461" s="70"/>
      <c r="B461"/>
      <c r="C461"/>
      <c r="D461"/>
      <c r="E461"/>
      <c r="F461"/>
      <c r="G461"/>
      <c r="H461"/>
      <c r="I461"/>
      <c r="J461"/>
      <c r="K461"/>
      <c r="L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1:63">
      <c r="A462" s="70"/>
      <c r="B462"/>
      <c r="C462"/>
      <c r="D462"/>
      <c r="E462"/>
      <c r="F462"/>
      <c r="G462"/>
      <c r="H462"/>
      <c r="I462"/>
      <c r="J462"/>
      <c r="K462"/>
      <c r="L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1:63">
      <c r="A463" s="70"/>
      <c r="B463"/>
      <c r="C463"/>
      <c r="D463"/>
      <c r="E463"/>
      <c r="F463"/>
      <c r="G463"/>
      <c r="H463"/>
      <c r="I463"/>
      <c r="J463"/>
      <c r="K463"/>
      <c r="L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1:63">
      <c r="A464" s="70"/>
      <c r="B464"/>
      <c r="C464"/>
      <c r="D464"/>
      <c r="E464"/>
      <c r="F464"/>
      <c r="G464"/>
      <c r="H464"/>
      <c r="I464"/>
      <c r="J464"/>
      <c r="K464"/>
      <c r="L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1:63">
      <c r="A465" s="70"/>
      <c r="B465"/>
      <c r="C465"/>
      <c r="D465"/>
      <c r="E465"/>
      <c r="F465"/>
      <c r="G465"/>
      <c r="H465"/>
      <c r="I465"/>
      <c r="J465"/>
      <c r="K465"/>
      <c r="L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1:63">
      <c r="A466" s="70"/>
      <c r="B466"/>
      <c r="C466"/>
      <c r="D466"/>
      <c r="E466"/>
      <c r="F466"/>
      <c r="G466"/>
      <c r="H466"/>
      <c r="I466"/>
      <c r="J466"/>
      <c r="K466"/>
      <c r="L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1:63">
      <c r="A467" s="70"/>
      <c r="B467"/>
      <c r="C467"/>
      <c r="D467"/>
      <c r="E467"/>
      <c r="F467"/>
      <c r="G467"/>
      <c r="H467"/>
      <c r="I467"/>
      <c r="J467"/>
      <c r="K467"/>
      <c r="L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1:63">
      <c r="A468" s="70"/>
      <c r="B468"/>
      <c r="C468"/>
      <c r="D468"/>
      <c r="E468"/>
      <c r="F468"/>
      <c r="G468"/>
      <c r="H468"/>
      <c r="I468"/>
      <c r="J468"/>
      <c r="K468"/>
      <c r="L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1:63">
      <c r="A469" s="70"/>
      <c r="B469"/>
      <c r="C469"/>
      <c r="D469"/>
      <c r="E469"/>
      <c r="F469"/>
      <c r="G469"/>
      <c r="H469"/>
      <c r="I469"/>
      <c r="J469"/>
      <c r="K469"/>
      <c r="L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1:63">
      <c r="A470" s="70"/>
      <c r="B470"/>
      <c r="C470"/>
      <c r="D470"/>
      <c r="E470"/>
      <c r="F470"/>
      <c r="G470"/>
      <c r="H470"/>
      <c r="I470"/>
      <c r="J470"/>
      <c r="K470"/>
      <c r="L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1:63">
      <c r="A471" s="70"/>
      <c r="B471"/>
      <c r="C471"/>
      <c r="D471"/>
      <c r="E471"/>
      <c r="F471"/>
      <c r="G471"/>
      <c r="H471"/>
      <c r="I471"/>
      <c r="J471"/>
      <c r="K471"/>
      <c r="L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1:63">
      <c r="A472" s="70"/>
      <c r="B472"/>
      <c r="C472"/>
      <c r="D472"/>
      <c r="E472"/>
      <c r="F472"/>
      <c r="G472"/>
      <c r="H472"/>
      <c r="I472"/>
      <c r="J472"/>
      <c r="K472"/>
      <c r="L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1:63">
      <c r="A473" s="70"/>
      <c r="B473"/>
      <c r="C473"/>
      <c r="D473"/>
      <c r="E473"/>
      <c r="F473"/>
      <c r="G473"/>
      <c r="H473"/>
      <c r="I473"/>
      <c r="J473"/>
      <c r="K473"/>
      <c r="L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1:63">
      <c r="A474" s="70"/>
      <c r="B474"/>
      <c r="C474"/>
      <c r="D474"/>
      <c r="E474"/>
      <c r="F474"/>
      <c r="G474"/>
      <c r="H474"/>
      <c r="I474"/>
      <c r="J474"/>
      <c r="K474"/>
      <c r="L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1:63">
      <c r="A475" s="70"/>
      <c r="B475"/>
      <c r="C475"/>
      <c r="D475"/>
      <c r="E475"/>
      <c r="F475"/>
      <c r="G475"/>
      <c r="H475"/>
      <c r="I475"/>
      <c r="J475"/>
      <c r="K475"/>
      <c r="L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1:63">
      <c r="A476" s="70"/>
      <c r="B476"/>
      <c r="C476"/>
      <c r="D476"/>
      <c r="E476"/>
      <c r="F476"/>
      <c r="G476"/>
      <c r="H476"/>
      <c r="I476"/>
      <c r="J476"/>
      <c r="K476"/>
      <c r="L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1:63">
      <c r="A477" s="70"/>
      <c r="B477"/>
      <c r="C477"/>
      <c r="D477"/>
      <c r="E477"/>
      <c r="F477"/>
      <c r="G477"/>
      <c r="H477"/>
      <c r="I477"/>
      <c r="J477"/>
      <c r="K477"/>
      <c r="L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1:63">
      <c r="A478" s="70"/>
      <c r="B478"/>
      <c r="C478"/>
      <c r="D478"/>
      <c r="E478"/>
      <c r="F478"/>
      <c r="G478"/>
      <c r="H478"/>
      <c r="I478"/>
      <c r="J478"/>
      <c r="K478"/>
      <c r="L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1:63">
      <c r="A479" s="70"/>
      <c r="B479"/>
      <c r="C479"/>
      <c r="D479"/>
      <c r="E479"/>
      <c r="F479"/>
      <c r="G479"/>
      <c r="H479"/>
      <c r="I479"/>
      <c r="J479"/>
      <c r="K479"/>
      <c r="L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1:63">
      <c r="A480" s="70"/>
      <c r="B480"/>
      <c r="C480"/>
      <c r="D480"/>
      <c r="E480"/>
      <c r="F480"/>
      <c r="G480"/>
      <c r="H480"/>
      <c r="I480"/>
      <c r="J480"/>
      <c r="K480"/>
      <c r="L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1:63">
      <c r="A481" s="70"/>
      <c r="B481"/>
      <c r="C481"/>
      <c r="D481"/>
      <c r="E481"/>
      <c r="F481"/>
      <c r="G481"/>
      <c r="H481"/>
      <c r="I481"/>
      <c r="J481"/>
      <c r="K481"/>
      <c r="L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1:63">
      <c r="A482" s="70"/>
      <c r="B482"/>
      <c r="C482"/>
      <c r="D482"/>
      <c r="E482"/>
      <c r="F482"/>
      <c r="G482"/>
      <c r="H482"/>
      <c r="I482"/>
      <c r="J482"/>
      <c r="K482"/>
      <c r="L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1:63">
      <c r="A483" s="70"/>
      <c r="B483"/>
      <c r="C483"/>
      <c r="D483"/>
      <c r="E483"/>
      <c r="F483"/>
      <c r="G483"/>
      <c r="H483"/>
      <c r="I483"/>
      <c r="J483"/>
      <c r="K483"/>
      <c r="L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1:63">
      <c r="A484" s="70"/>
      <c r="B484"/>
      <c r="C484"/>
      <c r="D484"/>
      <c r="E484"/>
      <c r="F484"/>
      <c r="G484"/>
      <c r="H484"/>
      <c r="I484"/>
      <c r="J484"/>
      <c r="K484"/>
      <c r="L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1:63">
      <c r="A485" s="70"/>
      <c r="B485"/>
      <c r="C485"/>
      <c r="D485"/>
      <c r="E485"/>
      <c r="F485"/>
      <c r="G485"/>
      <c r="H485"/>
      <c r="I485"/>
      <c r="J485"/>
      <c r="K485"/>
      <c r="L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1:63">
      <c r="A486" s="70"/>
      <c r="B486"/>
      <c r="C486"/>
      <c r="D486"/>
      <c r="E486"/>
      <c r="F486"/>
      <c r="G486"/>
      <c r="H486"/>
      <c r="I486"/>
      <c r="J486"/>
      <c r="K486"/>
      <c r="L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1:63">
      <c r="A487" s="70"/>
      <c r="B487"/>
      <c r="C487"/>
      <c r="D487"/>
      <c r="E487"/>
      <c r="F487"/>
      <c r="G487"/>
      <c r="H487"/>
      <c r="I487"/>
      <c r="J487"/>
      <c r="K487"/>
      <c r="L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1:63">
      <c r="A488" s="70"/>
      <c r="B488"/>
      <c r="C488"/>
      <c r="D488"/>
      <c r="E488"/>
      <c r="F488"/>
      <c r="G488"/>
      <c r="H488"/>
      <c r="I488"/>
      <c r="J488"/>
      <c r="K488"/>
      <c r="L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1:63">
      <c r="A489" s="70"/>
      <c r="B489"/>
      <c r="C489"/>
      <c r="D489"/>
      <c r="E489"/>
      <c r="F489"/>
      <c r="G489"/>
      <c r="H489"/>
      <c r="I489"/>
      <c r="J489"/>
      <c r="K489"/>
      <c r="L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1:63">
      <c r="A490" s="70"/>
      <c r="B490"/>
      <c r="C490"/>
      <c r="D490"/>
      <c r="E490"/>
      <c r="F490"/>
      <c r="G490"/>
      <c r="H490"/>
      <c r="I490"/>
      <c r="J490"/>
      <c r="K490"/>
      <c r="L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</row>
    <row r="491" spans="1:63">
      <c r="A491" s="70"/>
      <c r="B491"/>
      <c r="C491"/>
      <c r="D491"/>
      <c r="E491"/>
      <c r="F491"/>
      <c r="G491"/>
      <c r="H491"/>
      <c r="I491"/>
      <c r="J491"/>
      <c r="K491"/>
      <c r="L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</row>
    <row r="492" spans="1:63">
      <c r="A492" s="70"/>
      <c r="B492"/>
      <c r="C492"/>
      <c r="D492"/>
      <c r="E492"/>
      <c r="F492"/>
      <c r="G492"/>
      <c r="H492"/>
      <c r="I492"/>
      <c r="J492"/>
      <c r="K492"/>
      <c r="L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</row>
    <row r="493" spans="1:63">
      <c r="A493" s="70"/>
      <c r="B493"/>
      <c r="C493"/>
      <c r="D493"/>
      <c r="E493"/>
      <c r="F493"/>
      <c r="G493"/>
      <c r="H493"/>
      <c r="I493"/>
      <c r="J493"/>
      <c r="K493"/>
      <c r="L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</row>
    <row r="494" spans="1:63">
      <c r="A494" s="70"/>
      <c r="B494"/>
      <c r="C494"/>
      <c r="D494"/>
      <c r="E494"/>
      <c r="F494"/>
      <c r="G494"/>
      <c r="H494"/>
      <c r="I494"/>
      <c r="J494"/>
      <c r="K494"/>
      <c r="L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</row>
    <row r="495" spans="1:63">
      <c r="A495" s="70"/>
      <c r="B495"/>
      <c r="C495"/>
      <c r="D495"/>
      <c r="E495"/>
      <c r="F495"/>
      <c r="G495"/>
      <c r="H495"/>
      <c r="I495"/>
      <c r="J495"/>
      <c r="K495"/>
      <c r="L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</row>
    <row r="496" spans="1:63">
      <c r="A496" s="70"/>
      <c r="B496"/>
      <c r="C496"/>
      <c r="D496"/>
      <c r="E496"/>
      <c r="F496"/>
      <c r="G496"/>
      <c r="H496"/>
      <c r="I496"/>
      <c r="J496"/>
      <c r="K496"/>
      <c r="L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</row>
    <row r="497" spans="1:63">
      <c r="A497" s="70"/>
      <c r="B497"/>
      <c r="C497"/>
      <c r="D497"/>
      <c r="E497"/>
      <c r="F497"/>
      <c r="G497"/>
      <c r="H497"/>
      <c r="I497"/>
      <c r="J497"/>
      <c r="K497"/>
      <c r="L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</row>
    <row r="498" spans="1:63">
      <c r="A498" s="70"/>
      <c r="B498"/>
      <c r="C498"/>
      <c r="D498"/>
      <c r="E498"/>
      <c r="F498"/>
      <c r="G498"/>
      <c r="H498"/>
      <c r="I498"/>
      <c r="J498"/>
      <c r="K498"/>
      <c r="L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</row>
    <row r="499" spans="1:63">
      <c r="A499" s="70"/>
      <c r="B499"/>
      <c r="C499"/>
      <c r="D499"/>
      <c r="E499"/>
      <c r="F499"/>
      <c r="G499"/>
      <c r="H499"/>
      <c r="I499"/>
      <c r="J499"/>
      <c r="K499"/>
      <c r="L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</row>
    <row r="500" spans="1:63">
      <c r="A500" s="70"/>
      <c r="B500"/>
      <c r="C500"/>
      <c r="D500"/>
      <c r="E500"/>
      <c r="F500"/>
      <c r="G500"/>
      <c r="H500"/>
      <c r="I500"/>
      <c r="J500"/>
      <c r="K500"/>
      <c r="L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</row>
    <row r="501" spans="1:63">
      <c r="A501" s="70"/>
      <c r="B501"/>
      <c r="C501"/>
      <c r="D501"/>
      <c r="E501"/>
      <c r="F501"/>
      <c r="G501"/>
      <c r="H501"/>
      <c r="I501"/>
      <c r="J501"/>
      <c r="K501"/>
      <c r="L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</row>
    <row r="502" spans="1:63">
      <c r="A502" s="70"/>
      <c r="B502"/>
      <c r="C502"/>
      <c r="D502"/>
      <c r="E502"/>
      <c r="F502"/>
      <c r="G502"/>
      <c r="H502"/>
      <c r="I502"/>
      <c r="J502"/>
      <c r="K502"/>
      <c r="L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</row>
    <row r="503" spans="1:63">
      <c r="A503" s="70"/>
      <c r="B503"/>
      <c r="C503"/>
      <c r="D503"/>
      <c r="E503"/>
      <c r="F503"/>
      <c r="G503"/>
      <c r="H503"/>
      <c r="I503"/>
      <c r="J503"/>
      <c r="K503"/>
      <c r="L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</row>
    <row r="504" spans="1:63">
      <c r="A504" s="70"/>
      <c r="B504"/>
      <c r="C504"/>
      <c r="D504"/>
      <c r="E504"/>
      <c r="F504"/>
      <c r="G504"/>
      <c r="H504"/>
      <c r="I504"/>
      <c r="J504"/>
      <c r="K504"/>
      <c r="L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</row>
    <row r="505" spans="1:63">
      <c r="A505" s="70"/>
      <c r="B505"/>
      <c r="C505"/>
      <c r="D505"/>
      <c r="E505"/>
      <c r="F505"/>
      <c r="G505"/>
      <c r="H505"/>
      <c r="I505"/>
      <c r="J505"/>
      <c r="K505"/>
      <c r="L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</row>
    <row r="506" spans="1:63">
      <c r="A506" s="70"/>
      <c r="B506"/>
      <c r="C506"/>
      <c r="D506"/>
      <c r="E506"/>
      <c r="F506"/>
      <c r="G506"/>
      <c r="H506"/>
      <c r="I506"/>
      <c r="J506"/>
      <c r="K506"/>
      <c r="L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</row>
    <row r="507" spans="1:63">
      <c r="A507" s="70"/>
      <c r="B507"/>
      <c r="C507"/>
      <c r="D507"/>
      <c r="E507"/>
      <c r="F507"/>
      <c r="G507"/>
      <c r="H507"/>
      <c r="I507"/>
      <c r="J507"/>
      <c r="K507"/>
      <c r="L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</row>
    <row r="508" spans="1:63">
      <c r="A508" s="70"/>
      <c r="B508"/>
      <c r="C508"/>
      <c r="D508"/>
      <c r="E508"/>
      <c r="F508"/>
      <c r="G508"/>
      <c r="H508"/>
      <c r="I508"/>
      <c r="J508"/>
      <c r="K508"/>
      <c r="L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</row>
    <row r="509" spans="1:63">
      <c r="A509" s="70"/>
      <c r="B509"/>
      <c r="C509"/>
      <c r="D509"/>
      <c r="E509"/>
      <c r="F509"/>
      <c r="G509"/>
      <c r="H509"/>
      <c r="I509"/>
      <c r="J509"/>
      <c r="K509"/>
      <c r="L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</row>
    <row r="510" spans="1:63">
      <c r="A510" s="70"/>
      <c r="B510"/>
      <c r="C510"/>
      <c r="D510"/>
      <c r="E510"/>
      <c r="F510"/>
      <c r="G510"/>
      <c r="H510"/>
      <c r="I510"/>
      <c r="J510"/>
      <c r="K510"/>
      <c r="L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</row>
    <row r="511" spans="1:63">
      <c r="A511" s="70"/>
      <c r="B511"/>
      <c r="C511"/>
      <c r="D511"/>
      <c r="E511"/>
      <c r="F511"/>
      <c r="G511"/>
      <c r="H511"/>
      <c r="I511"/>
      <c r="J511"/>
      <c r="K511"/>
      <c r="L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</row>
    <row r="512" spans="1:63">
      <c r="A512" s="70"/>
      <c r="B512"/>
      <c r="C512"/>
      <c r="D512"/>
      <c r="E512"/>
      <c r="F512"/>
      <c r="G512"/>
      <c r="H512"/>
      <c r="I512"/>
      <c r="J512"/>
      <c r="K512"/>
      <c r="L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</row>
    <row r="513" spans="1:63">
      <c r="A513" s="70"/>
      <c r="B513"/>
      <c r="C513"/>
      <c r="D513"/>
      <c r="E513"/>
      <c r="F513"/>
      <c r="G513"/>
      <c r="H513"/>
      <c r="I513"/>
      <c r="J513"/>
      <c r="K513"/>
      <c r="L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</row>
    <row r="514" spans="1:63">
      <c r="A514" s="70"/>
      <c r="B514"/>
      <c r="C514"/>
      <c r="D514"/>
      <c r="E514"/>
      <c r="F514"/>
      <c r="G514"/>
      <c r="H514"/>
      <c r="I514"/>
      <c r="J514"/>
      <c r="K514"/>
      <c r="L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</row>
    <row r="515" spans="1:63">
      <c r="A515" s="70"/>
      <c r="B515"/>
      <c r="C515"/>
      <c r="D515"/>
      <c r="E515"/>
      <c r="F515"/>
      <c r="G515"/>
      <c r="H515"/>
      <c r="I515"/>
      <c r="J515"/>
      <c r="K515"/>
      <c r="L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</row>
    <row r="516" spans="1:63">
      <c r="A516" s="70"/>
      <c r="B516"/>
      <c r="C516"/>
      <c r="D516"/>
      <c r="E516"/>
      <c r="F516"/>
      <c r="G516"/>
      <c r="H516"/>
      <c r="I516"/>
      <c r="J516"/>
      <c r="K516"/>
      <c r="L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</row>
    <row r="517" spans="1:63">
      <c r="A517" s="70"/>
      <c r="B517"/>
      <c r="C517"/>
      <c r="D517"/>
      <c r="E517"/>
      <c r="F517"/>
      <c r="G517"/>
      <c r="H517"/>
      <c r="I517"/>
      <c r="J517"/>
      <c r="K517"/>
      <c r="L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</row>
    <row r="518" spans="1:63">
      <c r="A518" s="70"/>
      <c r="B518"/>
      <c r="C518"/>
      <c r="D518"/>
      <c r="E518"/>
      <c r="F518"/>
      <c r="G518"/>
      <c r="H518"/>
      <c r="I518"/>
      <c r="J518"/>
      <c r="K518"/>
      <c r="L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</row>
    <row r="519" spans="1:63">
      <c r="A519" s="70"/>
      <c r="B519"/>
      <c r="C519"/>
      <c r="D519"/>
      <c r="E519"/>
      <c r="F519"/>
      <c r="G519"/>
      <c r="H519"/>
      <c r="I519"/>
      <c r="J519"/>
      <c r="K519"/>
      <c r="L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</row>
    <row r="520" spans="1:63">
      <c r="A520" s="70"/>
      <c r="B520"/>
      <c r="C520"/>
      <c r="D520"/>
      <c r="E520"/>
      <c r="F520"/>
      <c r="G520"/>
      <c r="H520"/>
      <c r="I520"/>
      <c r="J520"/>
      <c r="K520"/>
      <c r="L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</row>
    <row r="521" spans="1:63">
      <c r="A521" s="70"/>
      <c r="B521"/>
      <c r="C521"/>
      <c r="D521"/>
      <c r="E521"/>
      <c r="F521"/>
      <c r="G521"/>
      <c r="H521"/>
      <c r="I521"/>
      <c r="J521"/>
      <c r="K521"/>
      <c r="L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</row>
    <row r="522" spans="1:63">
      <c r="A522" s="70"/>
      <c r="B522"/>
      <c r="C522"/>
      <c r="D522"/>
      <c r="E522"/>
      <c r="F522"/>
      <c r="G522"/>
      <c r="H522"/>
      <c r="I522"/>
      <c r="J522"/>
      <c r="K522"/>
      <c r="L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</row>
    <row r="523" spans="1:63">
      <c r="A523" s="70"/>
      <c r="B523"/>
      <c r="C523"/>
      <c r="D523"/>
      <c r="E523"/>
      <c r="F523"/>
      <c r="G523"/>
      <c r="H523"/>
      <c r="I523"/>
      <c r="J523"/>
      <c r="K523"/>
      <c r="L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</row>
    <row r="524" spans="1:63">
      <c r="A524" s="70"/>
      <c r="B524"/>
      <c r="C524"/>
      <c r="D524"/>
      <c r="E524"/>
      <c r="F524"/>
      <c r="G524"/>
      <c r="H524"/>
      <c r="I524"/>
      <c r="J524"/>
      <c r="K524"/>
      <c r="L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</row>
    <row r="525" spans="1:63">
      <c r="A525" s="70"/>
      <c r="B525"/>
      <c r="C525"/>
      <c r="D525"/>
      <c r="E525"/>
      <c r="F525"/>
      <c r="G525"/>
      <c r="H525"/>
      <c r="I525"/>
      <c r="J525"/>
      <c r="K525"/>
      <c r="L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</row>
    <row r="526" spans="1:63">
      <c r="A526" s="70"/>
      <c r="B526"/>
      <c r="C526"/>
      <c r="D526"/>
      <c r="E526"/>
      <c r="F526"/>
      <c r="G526"/>
      <c r="H526"/>
      <c r="I526"/>
      <c r="J526"/>
      <c r="K526"/>
      <c r="L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</row>
    <row r="527" spans="1:63">
      <c r="A527" s="70"/>
      <c r="B527"/>
      <c r="C527"/>
      <c r="D527"/>
      <c r="E527"/>
      <c r="F527"/>
      <c r="G527"/>
      <c r="H527"/>
      <c r="I527"/>
      <c r="J527"/>
      <c r="K527"/>
      <c r="L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</row>
    <row r="528" spans="1:63">
      <c r="A528" s="70"/>
      <c r="B528"/>
      <c r="C528"/>
      <c r="D528"/>
      <c r="E528"/>
      <c r="F528"/>
      <c r="G528"/>
      <c r="H528"/>
      <c r="I528"/>
      <c r="J528"/>
      <c r="K528"/>
      <c r="L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</row>
    <row r="529" spans="1:63">
      <c r="A529" s="70"/>
      <c r="B529"/>
      <c r="C529"/>
      <c r="D529"/>
      <c r="E529"/>
      <c r="F529"/>
      <c r="G529"/>
      <c r="H529"/>
      <c r="I529"/>
      <c r="J529"/>
      <c r="K529"/>
      <c r="L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</row>
    <row r="530" spans="1:63">
      <c r="A530" s="70"/>
      <c r="B530"/>
      <c r="C530"/>
      <c r="D530"/>
      <c r="E530"/>
      <c r="F530"/>
      <c r="G530"/>
      <c r="H530"/>
      <c r="I530"/>
      <c r="J530"/>
      <c r="K530"/>
      <c r="L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</row>
    <row r="531" spans="1:63">
      <c r="A531" s="70"/>
      <c r="B531"/>
      <c r="C531"/>
      <c r="D531"/>
      <c r="E531"/>
      <c r="F531"/>
      <c r="G531"/>
      <c r="H531"/>
      <c r="I531"/>
      <c r="J531"/>
      <c r="K531"/>
      <c r="L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</row>
    <row r="532" spans="1:63">
      <c r="A532" s="70"/>
      <c r="B532"/>
      <c r="C532"/>
      <c r="D532"/>
      <c r="E532"/>
      <c r="F532"/>
      <c r="G532"/>
      <c r="H532"/>
      <c r="I532"/>
      <c r="J532"/>
      <c r="K532"/>
      <c r="L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</row>
    <row r="533" spans="1:63">
      <c r="A533" s="70"/>
      <c r="B533"/>
      <c r="C533"/>
      <c r="D533"/>
      <c r="E533"/>
      <c r="F533"/>
      <c r="G533"/>
      <c r="H533"/>
      <c r="I533"/>
      <c r="J533"/>
      <c r="K533"/>
      <c r="L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</row>
    <row r="534" spans="1:63">
      <c r="A534" s="70"/>
      <c r="B534"/>
      <c r="C534"/>
      <c r="D534"/>
      <c r="E534"/>
      <c r="F534"/>
      <c r="G534"/>
      <c r="H534"/>
      <c r="I534"/>
      <c r="J534"/>
      <c r="K534"/>
      <c r="L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</row>
    <row r="535" spans="1:63">
      <c r="A535" s="70"/>
      <c r="B535"/>
      <c r="C535"/>
      <c r="D535"/>
      <c r="E535"/>
      <c r="F535"/>
      <c r="G535"/>
      <c r="H535"/>
      <c r="I535"/>
      <c r="J535"/>
      <c r="K535"/>
      <c r="L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</row>
    <row r="536" spans="1:63">
      <c r="A536" s="70"/>
      <c r="B536"/>
      <c r="C536"/>
      <c r="D536"/>
      <c r="E536"/>
      <c r="F536"/>
      <c r="G536"/>
      <c r="H536"/>
      <c r="I536"/>
      <c r="J536"/>
      <c r="K536"/>
      <c r="L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</row>
    <row r="537" spans="1:63">
      <c r="A537" s="70"/>
      <c r="B537"/>
      <c r="C537"/>
      <c r="D537"/>
      <c r="E537"/>
      <c r="F537"/>
      <c r="G537"/>
      <c r="H537"/>
      <c r="I537"/>
      <c r="J537"/>
      <c r="K537"/>
      <c r="L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</row>
    <row r="538" spans="1:63">
      <c r="A538" s="70"/>
      <c r="B538"/>
      <c r="C538"/>
      <c r="D538"/>
      <c r="E538"/>
      <c r="F538"/>
      <c r="G538"/>
      <c r="H538"/>
      <c r="I538"/>
      <c r="J538"/>
      <c r="K538"/>
      <c r="L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</row>
    <row r="539" spans="1:63">
      <c r="A539" s="70"/>
      <c r="B539"/>
      <c r="C539"/>
      <c r="D539"/>
      <c r="E539"/>
      <c r="F539"/>
      <c r="G539"/>
      <c r="H539"/>
      <c r="I539"/>
      <c r="J539"/>
      <c r="K539"/>
      <c r="L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</row>
    <row r="540" spans="1:63">
      <c r="A540" s="70"/>
      <c r="B540"/>
      <c r="C540"/>
      <c r="D540"/>
      <c r="E540"/>
      <c r="F540"/>
      <c r="G540"/>
      <c r="H540"/>
      <c r="I540"/>
      <c r="J540"/>
      <c r="K540"/>
      <c r="L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</row>
    <row r="541" spans="1:63">
      <c r="A541" s="70"/>
      <c r="B541"/>
      <c r="C541"/>
      <c r="D541"/>
      <c r="E541"/>
      <c r="F541"/>
      <c r="G541"/>
      <c r="H541"/>
      <c r="I541"/>
      <c r="J541"/>
      <c r="K541"/>
      <c r="L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</row>
    <row r="542" spans="1:63">
      <c r="A542" s="70"/>
      <c r="B542"/>
      <c r="C542"/>
      <c r="D542"/>
      <c r="E542"/>
      <c r="F542"/>
      <c r="G542"/>
      <c r="H542"/>
      <c r="I542"/>
      <c r="J542"/>
      <c r="K542"/>
      <c r="L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</row>
    <row r="543" spans="1:63">
      <c r="A543" s="70"/>
      <c r="B543"/>
      <c r="C543"/>
      <c r="D543"/>
      <c r="E543"/>
      <c r="F543"/>
      <c r="G543"/>
      <c r="H543"/>
      <c r="I543"/>
      <c r="J543"/>
      <c r="K543"/>
      <c r="L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</row>
    <row r="544" spans="1:63">
      <c r="A544" s="70"/>
      <c r="B544"/>
      <c r="C544"/>
      <c r="D544"/>
      <c r="E544"/>
      <c r="F544"/>
      <c r="G544"/>
      <c r="H544"/>
      <c r="I544"/>
      <c r="J544"/>
      <c r="K544"/>
      <c r="L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</row>
    <row r="545" spans="1:63">
      <c r="A545" s="70"/>
      <c r="B545"/>
      <c r="C545"/>
      <c r="D545"/>
      <c r="E545"/>
      <c r="F545"/>
      <c r="G545"/>
      <c r="H545"/>
      <c r="I545"/>
      <c r="J545"/>
      <c r="K545"/>
      <c r="L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</row>
    <row r="546" spans="1:63">
      <c r="A546" s="70"/>
      <c r="B546"/>
      <c r="C546"/>
      <c r="D546"/>
      <c r="E546"/>
      <c r="F546"/>
      <c r="G546"/>
      <c r="H546"/>
      <c r="I546"/>
      <c r="J546"/>
      <c r="K546"/>
      <c r="L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</row>
    <row r="547" spans="1:63">
      <c r="A547" s="70"/>
      <c r="B547"/>
      <c r="C547"/>
      <c r="D547"/>
      <c r="E547"/>
      <c r="F547"/>
      <c r="G547"/>
      <c r="H547"/>
      <c r="I547"/>
      <c r="J547"/>
      <c r="K547"/>
      <c r="L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</row>
    <row r="548" spans="1:63">
      <c r="A548" s="70"/>
      <c r="B548"/>
      <c r="C548"/>
      <c r="D548"/>
      <c r="E548"/>
      <c r="F548"/>
      <c r="G548"/>
      <c r="H548"/>
      <c r="I548"/>
      <c r="J548"/>
      <c r="K548"/>
      <c r="L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</row>
    <row r="549" spans="1:63">
      <c r="A549" s="70"/>
      <c r="B549"/>
      <c r="C549"/>
      <c r="D549"/>
      <c r="E549"/>
      <c r="F549"/>
      <c r="G549"/>
      <c r="H549"/>
      <c r="I549"/>
      <c r="J549"/>
      <c r="K549"/>
      <c r="L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</row>
    <row r="550" spans="1:63">
      <c r="A550" s="70"/>
      <c r="B550"/>
      <c r="C550"/>
      <c r="D550"/>
      <c r="E550"/>
      <c r="F550"/>
      <c r="G550"/>
      <c r="H550"/>
      <c r="I550"/>
      <c r="J550"/>
      <c r="K550"/>
      <c r="L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</row>
    <row r="551" spans="1:63">
      <c r="A551" s="70"/>
      <c r="B551"/>
      <c r="C551"/>
      <c r="D551"/>
      <c r="E551"/>
      <c r="F551"/>
      <c r="G551"/>
      <c r="H551"/>
      <c r="I551"/>
      <c r="J551"/>
      <c r="K551"/>
      <c r="L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</row>
    <row r="552" spans="1:63">
      <c r="A552" s="70"/>
      <c r="B552"/>
      <c r="C552"/>
      <c r="D552"/>
      <c r="E552"/>
      <c r="F552"/>
      <c r="G552"/>
      <c r="H552"/>
      <c r="I552"/>
      <c r="J552"/>
      <c r="K552"/>
      <c r="L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</row>
    <row r="553" spans="1:63">
      <c r="A553" s="70"/>
      <c r="B553"/>
      <c r="C553"/>
      <c r="D553"/>
      <c r="E553"/>
      <c r="F553"/>
      <c r="G553"/>
      <c r="H553"/>
      <c r="I553"/>
      <c r="J553"/>
      <c r="K553"/>
      <c r="L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</row>
    <row r="554" spans="1:63">
      <c r="A554" s="70"/>
      <c r="B554"/>
      <c r="C554"/>
      <c r="D554"/>
      <c r="E554"/>
      <c r="F554"/>
      <c r="G554"/>
      <c r="H554"/>
      <c r="I554"/>
      <c r="J554"/>
      <c r="K554"/>
      <c r="L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</row>
    <row r="555" spans="1:63">
      <c r="A555" s="70"/>
      <c r="B555"/>
      <c r="C555"/>
      <c r="D555"/>
      <c r="E555"/>
      <c r="F555"/>
      <c r="G555"/>
      <c r="H555"/>
      <c r="I555"/>
      <c r="J555"/>
      <c r="K555"/>
      <c r="L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</row>
    <row r="556" spans="1:63">
      <c r="A556" s="70"/>
      <c r="B556"/>
      <c r="C556"/>
      <c r="D556"/>
      <c r="E556"/>
      <c r="F556"/>
      <c r="G556"/>
      <c r="H556"/>
      <c r="I556"/>
      <c r="J556"/>
      <c r="K556"/>
      <c r="L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</row>
    <row r="557" spans="1:63">
      <c r="A557" s="70"/>
      <c r="B557"/>
      <c r="C557"/>
      <c r="D557"/>
      <c r="E557"/>
      <c r="F557"/>
      <c r="G557"/>
      <c r="H557"/>
      <c r="I557"/>
      <c r="J557"/>
      <c r="K557"/>
      <c r="L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</row>
    <row r="558" spans="1:63">
      <c r="A558" s="70"/>
      <c r="B558"/>
      <c r="C558"/>
      <c r="D558"/>
      <c r="E558"/>
      <c r="F558"/>
      <c r="G558"/>
      <c r="H558"/>
      <c r="I558"/>
      <c r="J558"/>
      <c r="K558"/>
      <c r="L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</row>
    <row r="559" spans="1:63">
      <c r="A559" s="70"/>
      <c r="B559"/>
      <c r="C559"/>
      <c r="D559"/>
      <c r="E559"/>
      <c r="F559"/>
      <c r="G559"/>
      <c r="H559"/>
      <c r="I559"/>
      <c r="J559"/>
      <c r="K559"/>
      <c r="L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</row>
    <row r="560" spans="1:63">
      <c r="A560" s="70"/>
      <c r="B560"/>
      <c r="C560"/>
      <c r="D560"/>
      <c r="E560"/>
      <c r="F560"/>
      <c r="G560"/>
      <c r="H560"/>
      <c r="I560"/>
      <c r="J560"/>
      <c r="K560"/>
      <c r="L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</row>
    <row r="561" spans="1:63">
      <c r="A561" s="70"/>
      <c r="B561"/>
      <c r="C561"/>
      <c r="D561"/>
      <c r="E561"/>
      <c r="F561"/>
      <c r="G561"/>
      <c r="H561"/>
      <c r="I561"/>
      <c r="J561"/>
      <c r="K561"/>
      <c r="L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</row>
    <row r="562" spans="1:63">
      <c r="A562" s="70"/>
      <c r="B562"/>
      <c r="C562"/>
      <c r="D562"/>
      <c r="E562"/>
      <c r="F562"/>
      <c r="G562"/>
      <c r="H562"/>
      <c r="I562"/>
      <c r="J562"/>
      <c r="K562"/>
      <c r="L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</row>
    <row r="563" spans="1:63">
      <c r="A563" s="70"/>
      <c r="B563"/>
      <c r="C563"/>
      <c r="D563"/>
      <c r="E563"/>
      <c r="F563"/>
      <c r="G563"/>
      <c r="H563"/>
      <c r="I563"/>
      <c r="J563"/>
      <c r="K563"/>
      <c r="L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</row>
    <row r="564" spans="1:63">
      <c r="A564" s="70"/>
      <c r="B564"/>
      <c r="C564"/>
      <c r="D564"/>
      <c r="E564"/>
      <c r="F564"/>
      <c r="G564"/>
      <c r="H564"/>
      <c r="I564"/>
      <c r="J564"/>
      <c r="K564"/>
      <c r="L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</row>
    <row r="565" spans="1:63">
      <c r="A565" s="70"/>
      <c r="B565"/>
      <c r="C565"/>
      <c r="D565"/>
      <c r="E565"/>
      <c r="F565"/>
      <c r="G565"/>
      <c r="H565"/>
      <c r="I565"/>
      <c r="J565"/>
      <c r="K565"/>
      <c r="L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</row>
    <row r="566" spans="1:63">
      <c r="A566" s="70"/>
      <c r="B566"/>
      <c r="C566"/>
      <c r="D566"/>
      <c r="E566"/>
      <c r="F566"/>
      <c r="G566"/>
      <c r="H566"/>
      <c r="I566"/>
      <c r="J566"/>
      <c r="K566"/>
      <c r="L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</row>
    <row r="567" spans="1:63">
      <c r="A567" s="70"/>
      <c r="B567"/>
      <c r="C567"/>
      <c r="D567"/>
      <c r="E567"/>
      <c r="F567"/>
      <c r="G567"/>
      <c r="H567"/>
      <c r="I567"/>
      <c r="J567"/>
      <c r="K567"/>
      <c r="L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</row>
    <row r="568" spans="1:63">
      <c r="A568" s="70"/>
      <c r="B568"/>
      <c r="C568"/>
      <c r="D568"/>
      <c r="E568"/>
      <c r="F568"/>
      <c r="G568"/>
      <c r="H568"/>
      <c r="I568"/>
      <c r="J568"/>
      <c r="K568"/>
      <c r="L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</row>
    <row r="569" spans="1:63">
      <c r="A569" s="70"/>
      <c r="B569"/>
      <c r="C569"/>
      <c r="D569"/>
      <c r="E569"/>
      <c r="F569"/>
      <c r="G569"/>
      <c r="H569"/>
      <c r="I569"/>
      <c r="J569"/>
      <c r="K569"/>
      <c r="L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</row>
    <row r="570" spans="1:63">
      <c r="A570" s="70"/>
      <c r="B570"/>
      <c r="C570"/>
      <c r="D570"/>
      <c r="E570"/>
      <c r="F570"/>
      <c r="G570"/>
      <c r="H570"/>
      <c r="I570"/>
      <c r="J570"/>
      <c r="K570"/>
      <c r="L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</row>
    <row r="571" spans="1:63">
      <c r="A571" s="70"/>
      <c r="B571"/>
      <c r="C571"/>
      <c r="D571"/>
      <c r="E571"/>
      <c r="F571"/>
      <c r="G571"/>
      <c r="H571"/>
      <c r="I571"/>
      <c r="J571"/>
      <c r="K571"/>
      <c r="L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</row>
    <row r="572" spans="1:63">
      <c r="A572" s="70"/>
      <c r="B572"/>
      <c r="C572"/>
      <c r="D572"/>
      <c r="E572"/>
      <c r="F572"/>
      <c r="G572"/>
      <c r="H572"/>
      <c r="I572"/>
      <c r="J572"/>
      <c r="K572"/>
      <c r="L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</row>
    <row r="573" spans="1:63">
      <c r="A573" s="70"/>
      <c r="B573"/>
      <c r="C573"/>
      <c r="D573"/>
      <c r="E573"/>
      <c r="F573"/>
      <c r="G573"/>
      <c r="H573"/>
      <c r="I573"/>
      <c r="J573"/>
      <c r="K573"/>
      <c r="L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</row>
    <row r="574" spans="1:63">
      <c r="A574" s="70"/>
      <c r="B574"/>
      <c r="C574"/>
      <c r="D574"/>
      <c r="E574"/>
      <c r="F574"/>
      <c r="G574"/>
      <c r="H574"/>
      <c r="I574"/>
      <c r="J574"/>
      <c r="K574"/>
      <c r="L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</row>
    <row r="575" spans="1:63">
      <c r="A575" s="70"/>
      <c r="B575"/>
      <c r="C575"/>
      <c r="D575"/>
      <c r="E575"/>
      <c r="F575"/>
      <c r="G575"/>
      <c r="H575"/>
      <c r="I575"/>
      <c r="J575"/>
      <c r="K575"/>
      <c r="L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</row>
    <row r="576" spans="1:63">
      <c r="A576" s="70"/>
      <c r="B576"/>
      <c r="C576"/>
      <c r="D576"/>
      <c r="E576"/>
      <c r="F576"/>
      <c r="G576"/>
      <c r="H576"/>
      <c r="I576"/>
      <c r="J576"/>
      <c r="K576"/>
      <c r="L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</row>
    <row r="577" spans="1:63">
      <c r="A577" s="70"/>
      <c r="B577"/>
      <c r="C577"/>
      <c r="D577"/>
      <c r="E577"/>
      <c r="F577"/>
      <c r="G577"/>
      <c r="H577"/>
      <c r="I577"/>
      <c r="J577"/>
      <c r="K577"/>
      <c r="L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</row>
    <row r="578" spans="1:63">
      <c r="A578" s="70"/>
      <c r="B578"/>
      <c r="C578"/>
      <c r="D578"/>
      <c r="E578"/>
      <c r="F578"/>
      <c r="G578"/>
      <c r="H578"/>
      <c r="I578"/>
      <c r="J578"/>
      <c r="K578"/>
      <c r="L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</row>
    <row r="579" spans="1:63">
      <c r="A579" s="70"/>
      <c r="B579"/>
      <c r="C579"/>
      <c r="D579"/>
      <c r="E579"/>
      <c r="F579"/>
      <c r="G579"/>
      <c r="H579"/>
      <c r="I579"/>
      <c r="J579"/>
      <c r="K579"/>
      <c r="L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</row>
    <row r="580" spans="1:63">
      <c r="A580" s="70"/>
      <c r="B580"/>
      <c r="C580"/>
      <c r="D580"/>
      <c r="E580"/>
      <c r="F580"/>
      <c r="G580"/>
      <c r="H580"/>
      <c r="I580"/>
      <c r="J580"/>
      <c r="K580"/>
      <c r="L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</row>
    <row r="581" spans="1:63">
      <c r="A581" s="70"/>
      <c r="B581"/>
      <c r="C581"/>
      <c r="D581"/>
      <c r="E581"/>
      <c r="F581"/>
      <c r="G581"/>
      <c r="H581"/>
      <c r="I581"/>
      <c r="J581"/>
      <c r="K581"/>
      <c r="L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</row>
    <row r="582" spans="1:63">
      <c r="A582" s="70"/>
      <c r="B582"/>
      <c r="C582"/>
      <c r="D582"/>
      <c r="E582"/>
      <c r="F582"/>
      <c r="G582"/>
      <c r="H582"/>
      <c r="I582"/>
      <c r="J582"/>
      <c r="K582"/>
      <c r="L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</row>
    <row r="583" spans="1:63">
      <c r="A583" s="70"/>
      <c r="B583"/>
      <c r="C583"/>
      <c r="D583"/>
      <c r="E583"/>
      <c r="F583"/>
      <c r="G583"/>
      <c r="H583"/>
      <c r="I583"/>
      <c r="J583"/>
      <c r="K583"/>
      <c r="L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</row>
    <row r="584" spans="1:63">
      <c r="A584" s="70"/>
      <c r="B584"/>
      <c r="C584"/>
      <c r="D584"/>
      <c r="E584"/>
      <c r="F584"/>
      <c r="G584"/>
      <c r="H584"/>
      <c r="I584"/>
      <c r="J584"/>
      <c r="K584"/>
      <c r="L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</row>
    <row r="585" spans="1:63">
      <c r="A585" s="70"/>
      <c r="B585"/>
      <c r="C585"/>
      <c r="D585"/>
      <c r="E585"/>
      <c r="F585"/>
      <c r="G585"/>
      <c r="H585"/>
      <c r="I585"/>
      <c r="J585"/>
      <c r="K585"/>
      <c r="L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</row>
    <row r="586" spans="1:63">
      <c r="A586" s="70"/>
      <c r="B586"/>
      <c r="C586"/>
      <c r="D586"/>
      <c r="E586"/>
      <c r="F586"/>
      <c r="G586"/>
      <c r="H586"/>
      <c r="I586"/>
      <c r="J586"/>
      <c r="K586"/>
      <c r="L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</row>
    <row r="587" spans="1:63">
      <c r="A587" s="70"/>
      <c r="B587"/>
      <c r="C587"/>
      <c r="D587"/>
      <c r="E587"/>
      <c r="F587"/>
      <c r="G587"/>
      <c r="H587"/>
      <c r="I587"/>
      <c r="J587"/>
      <c r="K587"/>
      <c r="L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</row>
    <row r="588" spans="1:63">
      <c r="A588" s="70"/>
      <c r="B588"/>
      <c r="C588"/>
      <c r="D588"/>
      <c r="E588"/>
      <c r="F588"/>
      <c r="G588"/>
      <c r="H588"/>
      <c r="I588"/>
      <c r="J588"/>
      <c r="K588"/>
      <c r="L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</row>
    <row r="589" spans="1:63">
      <c r="A589" s="70"/>
      <c r="B589"/>
      <c r="C589"/>
      <c r="D589"/>
      <c r="E589"/>
      <c r="F589"/>
      <c r="G589"/>
      <c r="H589"/>
      <c r="I589"/>
      <c r="J589"/>
      <c r="K589"/>
      <c r="L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</row>
    <row r="590" spans="1:63">
      <c r="A590" s="70"/>
      <c r="B590"/>
      <c r="C590"/>
      <c r="D590"/>
      <c r="E590"/>
      <c r="F590"/>
      <c r="G590"/>
      <c r="H590"/>
      <c r="I590"/>
      <c r="J590"/>
      <c r="K590"/>
      <c r="L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</row>
    <row r="591" spans="1:63">
      <c r="A591" s="70"/>
      <c r="B591"/>
      <c r="C591"/>
      <c r="D591"/>
      <c r="E591"/>
      <c r="F591"/>
      <c r="G591"/>
      <c r="H591"/>
      <c r="I591"/>
      <c r="J591"/>
      <c r="K591"/>
      <c r="L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</row>
    <row r="592" spans="1:63">
      <c r="A592" s="70"/>
      <c r="B592"/>
      <c r="C592"/>
      <c r="D592"/>
      <c r="E592"/>
      <c r="F592"/>
      <c r="G592"/>
      <c r="H592"/>
      <c r="I592"/>
      <c r="J592"/>
      <c r="K592"/>
      <c r="L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</row>
    <row r="593" spans="1:63">
      <c r="A593" s="70"/>
      <c r="B593"/>
      <c r="C593"/>
      <c r="D593"/>
      <c r="E593"/>
      <c r="F593"/>
      <c r="G593"/>
      <c r="H593"/>
      <c r="I593"/>
      <c r="J593"/>
      <c r="K593"/>
      <c r="L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</row>
    <row r="594" spans="1:63">
      <c r="A594" s="70"/>
      <c r="B594"/>
      <c r="C594"/>
      <c r="D594"/>
      <c r="E594"/>
      <c r="F594"/>
      <c r="G594"/>
      <c r="H594"/>
      <c r="I594"/>
      <c r="J594"/>
      <c r="K594"/>
      <c r="L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</row>
    <row r="595" spans="1:63">
      <c r="A595" s="70"/>
      <c r="B595"/>
      <c r="C595"/>
      <c r="D595"/>
      <c r="E595"/>
      <c r="F595"/>
      <c r="G595"/>
      <c r="H595"/>
      <c r="I595"/>
      <c r="J595"/>
      <c r="K595"/>
      <c r="L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</row>
    <row r="596" spans="1:63">
      <c r="A596" s="70"/>
      <c r="B596"/>
      <c r="C596"/>
      <c r="D596"/>
      <c r="E596"/>
      <c r="F596"/>
      <c r="G596"/>
      <c r="H596"/>
      <c r="I596"/>
      <c r="J596"/>
      <c r="K596"/>
      <c r="L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</row>
    <row r="597" spans="1:63">
      <c r="A597" s="70"/>
      <c r="B597"/>
      <c r="C597"/>
      <c r="D597"/>
      <c r="E597"/>
      <c r="F597"/>
      <c r="G597"/>
      <c r="H597"/>
      <c r="I597"/>
      <c r="J597"/>
      <c r="K597"/>
      <c r="L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</row>
    <row r="598" spans="1:63">
      <c r="A598" s="70"/>
      <c r="B598"/>
      <c r="C598"/>
      <c r="D598"/>
      <c r="E598"/>
      <c r="F598"/>
      <c r="G598"/>
      <c r="H598"/>
      <c r="I598"/>
      <c r="J598"/>
      <c r="K598"/>
      <c r="L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</row>
    <row r="599" spans="1:63">
      <c r="A599" s="70"/>
      <c r="B599"/>
      <c r="C599"/>
      <c r="D599"/>
      <c r="E599"/>
      <c r="F599"/>
      <c r="G599"/>
      <c r="H599"/>
      <c r="I599"/>
      <c r="J599"/>
      <c r="K599"/>
      <c r="L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</row>
    <row r="600" spans="1:63">
      <c r="A600" s="70"/>
      <c r="B600"/>
      <c r="C600"/>
      <c r="D600"/>
      <c r="E600"/>
      <c r="F600"/>
      <c r="G600"/>
      <c r="H600"/>
      <c r="I600"/>
      <c r="J600"/>
      <c r="K600"/>
      <c r="L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</row>
    <row r="601" spans="1:63">
      <c r="A601" s="70"/>
      <c r="B601"/>
      <c r="C601"/>
      <c r="D601"/>
      <c r="E601"/>
      <c r="F601"/>
      <c r="G601"/>
      <c r="H601"/>
      <c r="I601"/>
      <c r="J601"/>
      <c r="K601"/>
      <c r="L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</row>
    <row r="602" spans="1:63">
      <c r="A602" s="70"/>
      <c r="B602"/>
      <c r="C602"/>
      <c r="D602"/>
      <c r="E602"/>
      <c r="F602"/>
      <c r="G602"/>
      <c r="H602"/>
      <c r="I602"/>
      <c r="J602"/>
      <c r="K602"/>
      <c r="L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</row>
    <row r="603" spans="1:63">
      <c r="A603" s="70"/>
      <c r="B603"/>
      <c r="C603"/>
      <c r="D603"/>
      <c r="E603"/>
      <c r="F603"/>
      <c r="G603"/>
      <c r="H603"/>
      <c r="I603"/>
      <c r="J603"/>
      <c r="K603"/>
      <c r="L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</row>
    <row r="604" spans="1:63">
      <c r="A604" s="70"/>
      <c r="B604"/>
      <c r="C604"/>
      <c r="D604"/>
      <c r="E604"/>
      <c r="F604"/>
      <c r="G604"/>
      <c r="H604"/>
      <c r="I604"/>
      <c r="J604"/>
      <c r="K604"/>
      <c r="L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</row>
    <row r="605" spans="1:63">
      <c r="A605" s="70"/>
      <c r="B605"/>
      <c r="C605"/>
      <c r="D605"/>
      <c r="E605"/>
      <c r="F605"/>
      <c r="G605"/>
      <c r="H605"/>
      <c r="I605"/>
      <c r="J605"/>
      <c r="K605"/>
      <c r="L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</row>
    <row r="606" spans="1:63">
      <c r="A606" s="70"/>
      <c r="B606"/>
      <c r="C606"/>
      <c r="D606"/>
      <c r="E606"/>
      <c r="F606"/>
      <c r="G606"/>
      <c r="H606"/>
      <c r="I606"/>
      <c r="J606"/>
      <c r="K606"/>
      <c r="L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</row>
    <row r="607" spans="1:63">
      <c r="A607" s="70"/>
      <c r="B607"/>
      <c r="C607"/>
      <c r="D607"/>
      <c r="E607"/>
      <c r="F607"/>
      <c r="G607"/>
      <c r="H607"/>
      <c r="I607"/>
      <c r="J607"/>
      <c r="K607"/>
      <c r="L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</row>
    <row r="608" spans="1:63">
      <c r="A608" s="70"/>
      <c r="B608"/>
      <c r="C608"/>
      <c r="D608"/>
      <c r="E608"/>
      <c r="F608"/>
      <c r="G608"/>
      <c r="H608"/>
      <c r="I608"/>
      <c r="J608"/>
      <c r="K608"/>
      <c r="L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</row>
    <row r="609" spans="1:63">
      <c r="A609" s="70"/>
      <c r="B609"/>
      <c r="C609"/>
      <c r="D609"/>
      <c r="E609"/>
      <c r="F609"/>
      <c r="G609"/>
      <c r="H609"/>
      <c r="I609"/>
      <c r="J609"/>
      <c r="K609"/>
      <c r="L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</row>
    <row r="610" spans="1:63">
      <c r="A610" s="70"/>
      <c r="B610"/>
      <c r="C610"/>
      <c r="D610"/>
      <c r="E610"/>
      <c r="F610"/>
      <c r="G610"/>
      <c r="H610"/>
      <c r="I610"/>
      <c r="J610"/>
      <c r="K610"/>
      <c r="L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</row>
    <row r="611" spans="1:63">
      <c r="A611" s="70"/>
      <c r="B611"/>
      <c r="C611"/>
      <c r="D611"/>
      <c r="E611"/>
      <c r="F611"/>
      <c r="G611"/>
      <c r="H611"/>
      <c r="I611"/>
      <c r="J611"/>
      <c r="K611"/>
      <c r="L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</row>
    <row r="612" spans="1:63">
      <c r="A612" s="70"/>
      <c r="B612"/>
      <c r="C612"/>
      <c r="D612"/>
      <c r="E612"/>
      <c r="F612"/>
      <c r="G612"/>
      <c r="H612"/>
      <c r="I612"/>
      <c r="J612"/>
      <c r="K612"/>
      <c r="L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</row>
    <row r="613" spans="1:63">
      <c r="A613" s="70"/>
      <c r="B613"/>
      <c r="C613"/>
      <c r="D613"/>
      <c r="E613"/>
      <c r="F613"/>
      <c r="G613"/>
      <c r="H613"/>
      <c r="I613"/>
      <c r="J613"/>
      <c r="K613"/>
      <c r="L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</row>
    <row r="614" spans="1:63">
      <c r="A614" s="70"/>
      <c r="B614"/>
      <c r="C614"/>
      <c r="D614"/>
      <c r="E614"/>
      <c r="F614"/>
      <c r="G614"/>
      <c r="H614"/>
      <c r="I614"/>
      <c r="J614"/>
      <c r="K614"/>
      <c r="L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</row>
    <row r="615" spans="1:63">
      <c r="A615" s="70"/>
      <c r="B615"/>
      <c r="C615"/>
      <c r="D615"/>
      <c r="E615"/>
      <c r="F615"/>
      <c r="G615"/>
      <c r="H615"/>
      <c r="I615"/>
      <c r="J615"/>
      <c r="K615"/>
      <c r="L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</row>
    <row r="616" spans="1:63">
      <c r="A616" s="70"/>
      <c r="B616"/>
      <c r="C616"/>
      <c r="D616"/>
      <c r="E616"/>
      <c r="F616"/>
      <c r="G616"/>
      <c r="H616"/>
      <c r="I616"/>
      <c r="J616"/>
      <c r="K616"/>
      <c r="L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</row>
    <row r="617" spans="1:63">
      <c r="A617" s="70"/>
      <c r="B617"/>
      <c r="C617"/>
      <c r="D617"/>
      <c r="E617"/>
      <c r="F617"/>
      <c r="G617"/>
      <c r="H617"/>
      <c r="I617"/>
      <c r="J617"/>
      <c r="K617"/>
      <c r="L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</row>
    <row r="618" spans="1:63">
      <c r="A618" s="70"/>
      <c r="B618"/>
      <c r="C618"/>
      <c r="D618"/>
      <c r="E618"/>
      <c r="F618"/>
      <c r="G618"/>
      <c r="H618"/>
      <c r="I618"/>
      <c r="J618"/>
      <c r="K618"/>
      <c r="L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</row>
    <row r="619" spans="1:63">
      <c r="A619" s="70"/>
      <c r="B619"/>
      <c r="C619"/>
      <c r="D619"/>
      <c r="E619"/>
      <c r="F619"/>
      <c r="G619"/>
      <c r="H619"/>
      <c r="I619"/>
      <c r="J619"/>
      <c r="K619"/>
      <c r="L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</row>
    <row r="620" spans="1:63">
      <c r="A620" s="70"/>
      <c r="B620"/>
      <c r="C620"/>
      <c r="D620"/>
      <c r="E620"/>
      <c r="F620"/>
      <c r="G620"/>
      <c r="H620"/>
      <c r="I620"/>
      <c r="J620"/>
      <c r="K620"/>
      <c r="L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</row>
    <row r="621" spans="1:63">
      <c r="A621" s="70"/>
      <c r="B621"/>
      <c r="C621"/>
      <c r="D621"/>
      <c r="E621"/>
      <c r="F621"/>
      <c r="G621"/>
      <c r="H621"/>
      <c r="I621"/>
      <c r="J621"/>
      <c r="K621"/>
      <c r="L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</row>
    <row r="622" spans="1:63">
      <c r="A622" s="70"/>
      <c r="B622"/>
      <c r="C622"/>
      <c r="D622"/>
      <c r="E622"/>
      <c r="F622"/>
      <c r="G622"/>
      <c r="H622"/>
      <c r="I622"/>
      <c r="J622"/>
      <c r="K622"/>
      <c r="L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</row>
    <row r="623" spans="1:63">
      <c r="A623" s="70"/>
      <c r="B623"/>
      <c r="C623"/>
      <c r="D623"/>
      <c r="E623"/>
      <c r="F623"/>
      <c r="G623"/>
      <c r="H623"/>
      <c r="I623"/>
      <c r="J623"/>
      <c r="K623"/>
      <c r="L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</row>
    <row r="624" spans="1:63">
      <c r="A624" s="70"/>
      <c r="B624"/>
      <c r="C624"/>
      <c r="D624"/>
      <c r="E624"/>
      <c r="F624"/>
      <c r="G624"/>
      <c r="H624"/>
      <c r="I624"/>
      <c r="J624"/>
      <c r="K624"/>
      <c r="L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</row>
    <row r="625" spans="1:63">
      <c r="A625" s="70"/>
      <c r="B625"/>
      <c r="C625"/>
      <c r="D625"/>
      <c r="E625"/>
      <c r="F625"/>
      <c r="G625"/>
      <c r="H625"/>
      <c r="I625"/>
      <c r="J625"/>
      <c r="K625"/>
      <c r="L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</row>
    <row r="626" spans="1:63">
      <c r="A626" s="70"/>
      <c r="B626"/>
      <c r="C626"/>
      <c r="D626"/>
      <c r="E626"/>
      <c r="F626"/>
      <c r="G626"/>
      <c r="H626"/>
      <c r="I626"/>
      <c r="J626"/>
      <c r="K626"/>
      <c r="L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</row>
    <row r="627" spans="1:63">
      <c r="A627" s="70"/>
      <c r="B627"/>
      <c r="C627"/>
      <c r="D627"/>
      <c r="E627"/>
      <c r="F627"/>
      <c r="G627"/>
      <c r="H627"/>
      <c r="I627"/>
      <c r="J627"/>
      <c r="K627"/>
      <c r="L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</row>
    <row r="628" spans="1:63">
      <c r="A628" s="70"/>
      <c r="B628"/>
      <c r="C628"/>
      <c r="D628"/>
      <c r="E628"/>
      <c r="F628"/>
      <c r="G628"/>
      <c r="H628"/>
      <c r="I628"/>
      <c r="J628"/>
      <c r="K628"/>
      <c r="L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</row>
    <row r="629" spans="1:63">
      <c r="A629" s="70"/>
      <c r="B629"/>
      <c r="C629"/>
      <c r="D629"/>
      <c r="E629"/>
      <c r="F629"/>
      <c r="G629"/>
      <c r="H629"/>
      <c r="I629"/>
      <c r="J629"/>
      <c r="K629"/>
      <c r="L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</row>
    <row r="630" spans="1:63">
      <c r="A630" s="70"/>
      <c r="B630"/>
      <c r="C630"/>
      <c r="D630"/>
      <c r="E630"/>
      <c r="F630"/>
      <c r="G630"/>
      <c r="H630"/>
      <c r="I630"/>
      <c r="J630"/>
      <c r="K630"/>
      <c r="L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</row>
    <row r="631" spans="1:63">
      <c r="A631" s="70"/>
      <c r="B631"/>
      <c r="C631"/>
      <c r="D631"/>
      <c r="E631"/>
      <c r="F631"/>
      <c r="G631"/>
      <c r="H631"/>
      <c r="I631"/>
      <c r="J631"/>
      <c r="K631"/>
      <c r="L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</row>
    <row r="632" spans="1:63">
      <c r="A632" s="70"/>
      <c r="B632"/>
      <c r="C632"/>
      <c r="D632"/>
      <c r="E632"/>
      <c r="F632"/>
      <c r="G632"/>
      <c r="H632"/>
      <c r="I632"/>
      <c r="J632"/>
      <c r="K632"/>
      <c r="L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</row>
    <row r="633" spans="1:63">
      <c r="A633" s="70"/>
      <c r="B633"/>
      <c r="C633"/>
      <c r="D633"/>
      <c r="E633"/>
      <c r="F633"/>
      <c r="G633"/>
      <c r="H633"/>
      <c r="I633"/>
      <c r="J633"/>
      <c r="K633"/>
      <c r="L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</row>
    <row r="634" spans="1:63">
      <c r="A634" s="70"/>
      <c r="B634"/>
      <c r="C634"/>
      <c r="D634"/>
      <c r="E634"/>
      <c r="F634"/>
      <c r="G634"/>
      <c r="H634"/>
      <c r="I634"/>
      <c r="J634"/>
      <c r="K634"/>
      <c r="L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</row>
    <row r="635" spans="1:63">
      <c r="A635" s="70"/>
      <c r="B635"/>
      <c r="C635"/>
      <c r="D635"/>
      <c r="E635"/>
      <c r="F635"/>
      <c r="G635"/>
      <c r="H635"/>
      <c r="I635"/>
      <c r="J635"/>
      <c r="K635"/>
      <c r="L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</row>
    <row r="636" spans="1:63">
      <c r="A636" s="70"/>
      <c r="B636"/>
      <c r="C636"/>
      <c r="D636"/>
      <c r="E636"/>
      <c r="F636"/>
      <c r="G636"/>
      <c r="H636"/>
      <c r="I636"/>
      <c r="J636"/>
      <c r="K636"/>
      <c r="L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</row>
    <row r="637" spans="1:63">
      <c r="A637" s="70"/>
      <c r="B637"/>
      <c r="C637"/>
      <c r="D637"/>
      <c r="E637"/>
      <c r="F637"/>
      <c r="G637"/>
      <c r="H637"/>
      <c r="I637"/>
      <c r="J637"/>
      <c r="K637"/>
      <c r="L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</row>
    <row r="638" spans="1:63">
      <c r="A638" s="70"/>
      <c r="B638"/>
      <c r="C638"/>
      <c r="D638"/>
      <c r="E638"/>
      <c r="F638"/>
      <c r="G638"/>
      <c r="H638"/>
      <c r="I638"/>
      <c r="J638"/>
      <c r="K638"/>
      <c r="L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</row>
    <row r="639" spans="1:63">
      <c r="A639" s="70"/>
      <c r="B639"/>
      <c r="C639"/>
      <c r="D639"/>
      <c r="E639"/>
      <c r="F639"/>
      <c r="G639"/>
      <c r="H639"/>
      <c r="I639"/>
      <c r="J639"/>
      <c r="K639"/>
      <c r="L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</row>
    <row r="640" spans="1:63">
      <c r="A640" s="70"/>
      <c r="B640"/>
      <c r="C640"/>
      <c r="D640"/>
      <c r="E640"/>
      <c r="F640"/>
      <c r="G640"/>
      <c r="H640"/>
      <c r="I640"/>
      <c r="J640"/>
      <c r="K640"/>
      <c r="L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</row>
    <row r="641" spans="1:63">
      <c r="A641" s="70"/>
      <c r="B641"/>
      <c r="C641"/>
      <c r="D641"/>
      <c r="E641"/>
      <c r="F641"/>
      <c r="G641"/>
      <c r="H641"/>
      <c r="I641"/>
      <c r="J641"/>
      <c r="K641"/>
      <c r="L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</row>
    <row r="642" spans="1:63">
      <c r="A642" s="70"/>
      <c r="B642"/>
      <c r="C642"/>
      <c r="D642"/>
      <c r="E642"/>
      <c r="F642"/>
      <c r="G642"/>
      <c r="H642"/>
      <c r="I642"/>
      <c r="J642"/>
      <c r="K642"/>
      <c r="L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</row>
    <row r="643" spans="1:63">
      <c r="A643" s="70"/>
      <c r="B643"/>
      <c r="C643"/>
      <c r="D643"/>
      <c r="E643"/>
      <c r="F643"/>
      <c r="G643"/>
      <c r="H643"/>
      <c r="I643"/>
      <c r="J643"/>
      <c r="K643"/>
      <c r="L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</row>
    <row r="644" spans="1:63">
      <c r="A644" s="70"/>
      <c r="B644"/>
      <c r="C644"/>
      <c r="D644"/>
      <c r="E644"/>
      <c r="F644"/>
      <c r="G644"/>
      <c r="H644"/>
      <c r="I644"/>
      <c r="J644"/>
      <c r="K644"/>
      <c r="L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</row>
    <row r="645" spans="1:63">
      <c r="A645" s="70"/>
      <c r="B645"/>
      <c r="C645"/>
      <c r="D645"/>
      <c r="E645"/>
      <c r="F645"/>
      <c r="G645"/>
      <c r="H645"/>
      <c r="I645"/>
      <c r="J645"/>
      <c r="K645"/>
      <c r="L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</row>
    <row r="646" spans="1:63">
      <c r="A646" s="70"/>
      <c r="B646"/>
      <c r="C646"/>
      <c r="D646"/>
      <c r="E646"/>
      <c r="F646"/>
      <c r="G646"/>
      <c r="H646"/>
      <c r="I646"/>
      <c r="J646"/>
      <c r="K646"/>
      <c r="L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</row>
    <row r="647" spans="1:63">
      <c r="A647" s="70"/>
      <c r="B647"/>
      <c r="C647"/>
      <c r="D647"/>
      <c r="E647"/>
      <c r="F647"/>
      <c r="G647"/>
      <c r="H647"/>
      <c r="I647"/>
      <c r="J647"/>
      <c r="K647"/>
      <c r="L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</row>
    <row r="648" spans="1:63">
      <c r="A648" s="70"/>
      <c r="B648"/>
      <c r="C648"/>
      <c r="D648"/>
      <c r="E648"/>
      <c r="F648"/>
      <c r="G648"/>
      <c r="H648"/>
      <c r="I648"/>
      <c r="J648"/>
      <c r="K648"/>
      <c r="L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</row>
    <row r="649" spans="1:63">
      <c r="A649" s="70"/>
      <c r="B649"/>
      <c r="C649"/>
      <c r="D649"/>
      <c r="E649"/>
      <c r="F649"/>
      <c r="G649"/>
      <c r="H649"/>
      <c r="I649"/>
      <c r="J649"/>
      <c r="K649"/>
      <c r="L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</row>
    <row r="650" spans="1:63">
      <c r="A650" s="70"/>
      <c r="B650"/>
      <c r="C650"/>
      <c r="D650"/>
      <c r="E650"/>
      <c r="F650"/>
      <c r="G650"/>
      <c r="H650"/>
      <c r="I650"/>
      <c r="J650"/>
      <c r="K650"/>
      <c r="L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</row>
    <row r="651" spans="1:63">
      <c r="A651" s="70"/>
      <c r="B651"/>
      <c r="C651"/>
      <c r="D651"/>
      <c r="E651"/>
      <c r="F651"/>
      <c r="G651"/>
      <c r="H651"/>
      <c r="I651"/>
      <c r="J651"/>
      <c r="K651"/>
      <c r="L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</row>
    <row r="652" spans="1:63">
      <c r="A652" s="70"/>
      <c r="B652"/>
      <c r="C652"/>
      <c r="D652"/>
      <c r="E652"/>
      <c r="F652"/>
      <c r="G652"/>
      <c r="H652"/>
      <c r="I652"/>
      <c r="J652"/>
      <c r="K652"/>
      <c r="L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</row>
    <row r="653" spans="1:63">
      <c r="A653" s="70"/>
      <c r="B653"/>
      <c r="C653"/>
      <c r="D653"/>
      <c r="E653"/>
      <c r="F653"/>
      <c r="G653"/>
      <c r="H653"/>
      <c r="I653"/>
      <c r="J653"/>
      <c r="K653"/>
      <c r="L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</row>
    <row r="654" spans="1:63">
      <c r="A654" s="70"/>
      <c r="B654"/>
      <c r="C654"/>
      <c r="D654"/>
      <c r="E654"/>
      <c r="F654"/>
      <c r="G654"/>
      <c r="H654"/>
      <c r="I654"/>
      <c r="J654"/>
      <c r="K654"/>
      <c r="L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</row>
    <row r="655" spans="1:63">
      <c r="A655" s="70"/>
      <c r="B655"/>
      <c r="C655"/>
      <c r="D655"/>
      <c r="E655"/>
      <c r="F655"/>
      <c r="G655"/>
      <c r="H655"/>
      <c r="I655"/>
      <c r="J655"/>
      <c r="K655"/>
      <c r="L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</row>
    <row r="656" spans="1:63">
      <c r="A656" s="70"/>
      <c r="B656"/>
      <c r="C656"/>
      <c r="D656"/>
      <c r="E656"/>
      <c r="F656"/>
      <c r="G656"/>
      <c r="H656"/>
      <c r="I656"/>
      <c r="J656"/>
      <c r="K656"/>
      <c r="L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</row>
    <row r="657" spans="1:63">
      <c r="A657" s="70"/>
      <c r="B657"/>
      <c r="C657"/>
      <c r="D657"/>
      <c r="E657"/>
      <c r="F657"/>
      <c r="G657"/>
      <c r="H657"/>
      <c r="I657"/>
      <c r="J657"/>
      <c r="K657"/>
      <c r="L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</row>
    <row r="658" spans="1:63">
      <c r="A658" s="70"/>
      <c r="B658"/>
      <c r="C658"/>
      <c r="D658"/>
      <c r="E658"/>
      <c r="F658"/>
      <c r="G658"/>
      <c r="H658"/>
      <c r="I658"/>
      <c r="J658"/>
      <c r="K658"/>
      <c r="L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</row>
    <row r="659" spans="1:63">
      <c r="A659" s="70"/>
      <c r="B659"/>
      <c r="C659"/>
      <c r="D659"/>
      <c r="E659"/>
      <c r="F659"/>
      <c r="G659"/>
      <c r="H659"/>
      <c r="I659"/>
      <c r="J659"/>
      <c r="K659"/>
      <c r="L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</row>
    <row r="660" spans="1:63">
      <c r="A660" s="70"/>
      <c r="B660"/>
      <c r="C660"/>
      <c r="D660"/>
      <c r="E660"/>
      <c r="F660"/>
      <c r="G660"/>
      <c r="H660"/>
      <c r="I660"/>
      <c r="J660"/>
      <c r="K660"/>
      <c r="L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</row>
    <row r="661" spans="1:63">
      <c r="A661" s="70"/>
      <c r="B661"/>
      <c r="C661"/>
      <c r="D661"/>
      <c r="E661"/>
      <c r="F661"/>
      <c r="G661"/>
      <c r="H661"/>
      <c r="I661"/>
      <c r="J661"/>
      <c r="K661"/>
      <c r="L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</row>
    <row r="662" spans="1:63">
      <c r="A662" s="70"/>
      <c r="B662"/>
      <c r="C662"/>
      <c r="D662"/>
      <c r="E662"/>
      <c r="F662"/>
      <c r="G662"/>
      <c r="H662"/>
      <c r="I662"/>
      <c r="J662"/>
      <c r="K662"/>
      <c r="L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</row>
    <row r="663" spans="1:63">
      <c r="A663" s="70"/>
      <c r="B663"/>
      <c r="C663"/>
      <c r="D663"/>
      <c r="E663"/>
      <c r="F663"/>
      <c r="G663"/>
      <c r="H663"/>
      <c r="I663"/>
      <c r="J663"/>
      <c r="K663"/>
      <c r="L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</row>
    <row r="664" spans="1:63">
      <c r="A664" s="70"/>
      <c r="B664"/>
      <c r="C664"/>
      <c r="D664"/>
      <c r="E664"/>
      <c r="F664"/>
      <c r="G664"/>
      <c r="H664"/>
      <c r="I664"/>
      <c r="J664"/>
      <c r="K664"/>
      <c r="L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</row>
    <row r="665" spans="1:63">
      <c r="A665" s="70"/>
      <c r="B665"/>
      <c r="C665"/>
      <c r="D665"/>
      <c r="E665"/>
      <c r="F665"/>
      <c r="G665"/>
      <c r="H665"/>
      <c r="I665"/>
      <c r="J665"/>
      <c r="K665"/>
      <c r="L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</row>
    <row r="666" spans="1:63">
      <c r="A666" s="70"/>
      <c r="B666"/>
      <c r="C666"/>
      <c r="D666"/>
      <c r="E666"/>
      <c r="F666"/>
      <c r="G666"/>
      <c r="H666"/>
      <c r="I666"/>
      <c r="J666"/>
      <c r="K666"/>
      <c r="L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</row>
    <row r="667" spans="1:63">
      <c r="A667" s="70"/>
      <c r="B667"/>
      <c r="C667"/>
      <c r="D667"/>
      <c r="E667"/>
      <c r="F667"/>
      <c r="G667"/>
      <c r="H667"/>
      <c r="I667"/>
      <c r="J667"/>
      <c r="K667"/>
      <c r="L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</row>
    <row r="668" spans="1:63">
      <c r="A668" s="70"/>
      <c r="B668"/>
      <c r="C668"/>
      <c r="D668"/>
      <c r="E668"/>
      <c r="F668"/>
      <c r="G668"/>
      <c r="H668"/>
      <c r="I668"/>
      <c r="J668"/>
      <c r="K668"/>
      <c r="L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</row>
    <row r="669" spans="1:63">
      <c r="A669" s="70"/>
      <c r="B669"/>
      <c r="C669"/>
      <c r="D669"/>
      <c r="E669"/>
      <c r="F669"/>
      <c r="G669"/>
      <c r="H669"/>
      <c r="I669"/>
      <c r="J669"/>
      <c r="K669"/>
      <c r="L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</row>
    <row r="670" spans="1:63">
      <c r="A670" s="70"/>
      <c r="B670"/>
      <c r="C670"/>
      <c r="D670"/>
      <c r="E670"/>
      <c r="F670"/>
      <c r="G670"/>
      <c r="H670"/>
      <c r="I670"/>
      <c r="J670"/>
      <c r="K670"/>
      <c r="L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</row>
    <row r="671" spans="1:63">
      <c r="A671" s="70"/>
      <c r="B671"/>
      <c r="C671"/>
      <c r="D671"/>
      <c r="E671"/>
      <c r="F671"/>
      <c r="G671"/>
      <c r="H671"/>
      <c r="I671"/>
      <c r="J671"/>
      <c r="K671"/>
      <c r="L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</row>
    <row r="672" spans="1:63">
      <c r="A672" s="70"/>
      <c r="B672"/>
      <c r="C672"/>
      <c r="D672"/>
      <c r="E672"/>
      <c r="F672"/>
      <c r="G672"/>
      <c r="H672"/>
      <c r="I672"/>
      <c r="J672"/>
      <c r="K672"/>
      <c r="L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</row>
    <row r="673" spans="1:63">
      <c r="A673" s="70"/>
      <c r="B673"/>
      <c r="C673"/>
      <c r="D673"/>
      <c r="E673"/>
      <c r="F673"/>
      <c r="G673"/>
      <c r="H673"/>
      <c r="I673"/>
      <c r="J673"/>
      <c r="K673"/>
      <c r="L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</row>
    <row r="674" spans="1:63">
      <c r="A674" s="70"/>
      <c r="B674"/>
      <c r="C674"/>
      <c r="D674"/>
      <c r="E674"/>
      <c r="F674"/>
      <c r="G674"/>
      <c r="H674"/>
      <c r="I674"/>
      <c r="J674"/>
      <c r="K674"/>
      <c r="L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</row>
    <row r="675" spans="1:63">
      <c r="A675" s="70"/>
      <c r="B675"/>
      <c r="C675"/>
      <c r="D675"/>
      <c r="E675"/>
      <c r="F675"/>
      <c r="G675"/>
      <c r="H675"/>
      <c r="I675"/>
      <c r="J675"/>
      <c r="K675"/>
      <c r="L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</row>
    <row r="676" spans="1:63">
      <c r="A676" s="70"/>
      <c r="B676"/>
      <c r="C676"/>
      <c r="D676"/>
      <c r="E676"/>
      <c r="F676"/>
      <c r="G676"/>
      <c r="H676"/>
      <c r="I676"/>
      <c r="J676"/>
      <c r="K676"/>
      <c r="L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</row>
    <row r="677" spans="1:63">
      <c r="A677" s="70"/>
      <c r="B677"/>
      <c r="C677"/>
      <c r="D677"/>
      <c r="E677"/>
      <c r="F677"/>
      <c r="G677"/>
      <c r="H677"/>
      <c r="I677"/>
      <c r="J677"/>
      <c r="K677"/>
      <c r="L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</row>
    <row r="678" spans="1:63">
      <c r="A678" s="70"/>
      <c r="B678"/>
      <c r="C678"/>
      <c r="D678"/>
      <c r="E678"/>
      <c r="F678"/>
      <c r="G678"/>
      <c r="H678"/>
      <c r="I678"/>
      <c r="J678"/>
      <c r="K678"/>
      <c r="L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</row>
    <row r="679" spans="1:63">
      <c r="A679" s="70"/>
      <c r="B679"/>
      <c r="C679"/>
      <c r="D679"/>
      <c r="E679"/>
      <c r="F679"/>
      <c r="G679"/>
      <c r="H679"/>
      <c r="I679"/>
      <c r="J679"/>
      <c r="K679"/>
      <c r="L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</row>
    <row r="680" spans="1:63">
      <c r="A680" s="70"/>
      <c r="B680"/>
      <c r="C680"/>
      <c r="D680"/>
      <c r="E680"/>
      <c r="F680"/>
      <c r="G680"/>
      <c r="H680"/>
      <c r="I680"/>
      <c r="J680"/>
      <c r="K680"/>
      <c r="L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</row>
    <row r="681" spans="1:63">
      <c r="A681" s="70"/>
      <c r="B681"/>
      <c r="C681"/>
      <c r="D681"/>
      <c r="E681"/>
      <c r="F681"/>
      <c r="G681"/>
      <c r="H681"/>
      <c r="I681"/>
      <c r="J681"/>
      <c r="K681"/>
      <c r="L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</row>
    <row r="682" spans="1:63">
      <c r="A682" s="70"/>
      <c r="B682"/>
      <c r="C682"/>
      <c r="D682"/>
      <c r="E682"/>
      <c r="F682"/>
      <c r="G682"/>
      <c r="H682"/>
      <c r="I682"/>
      <c r="J682"/>
      <c r="K682"/>
      <c r="L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</row>
    <row r="683" spans="1:63">
      <c r="A683" s="70"/>
      <c r="B683"/>
      <c r="C683"/>
      <c r="D683"/>
      <c r="E683"/>
      <c r="F683"/>
      <c r="G683"/>
      <c r="H683"/>
      <c r="I683"/>
      <c r="J683"/>
      <c r="K683"/>
      <c r="L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</row>
    <row r="684" spans="1:63">
      <c r="A684" s="70"/>
      <c r="B684"/>
      <c r="C684"/>
      <c r="D684"/>
      <c r="E684"/>
      <c r="F684"/>
      <c r="G684"/>
      <c r="H684"/>
      <c r="I684"/>
      <c r="J684"/>
      <c r="K684"/>
      <c r="L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</row>
    <row r="685" spans="1:63">
      <c r="A685" s="70"/>
      <c r="B685"/>
      <c r="C685"/>
      <c r="D685"/>
      <c r="E685"/>
      <c r="F685"/>
      <c r="G685"/>
      <c r="H685"/>
      <c r="I685"/>
      <c r="J685"/>
      <c r="K685"/>
      <c r="L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</row>
    <row r="686" spans="1:63">
      <c r="A686" s="70"/>
      <c r="B686"/>
      <c r="C686"/>
      <c r="D686"/>
      <c r="E686"/>
      <c r="F686"/>
      <c r="G686"/>
      <c r="H686"/>
      <c r="I686"/>
      <c r="J686"/>
      <c r="K686"/>
      <c r="L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</row>
    <row r="687" spans="1:63">
      <c r="A687" s="70"/>
      <c r="B687"/>
      <c r="C687"/>
      <c r="D687"/>
      <c r="E687"/>
      <c r="F687"/>
      <c r="G687"/>
      <c r="H687"/>
      <c r="I687"/>
      <c r="J687"/>
      <c r="K687"/>
      <c r="L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</row>
    <row r="688" spans="1:63">
      <c r="A688" s="70"/>
      <c r="B688"/>
      <c r="C688"/>
      <c r="D688"/>
      <c r="E688"/>
      <c r="F688"/>
      <c r="G688"/>
      <c r="H688"/>
      <c r="I688"/>
      <c r="J688"/>
      <c r="K688"/>
      <c r="L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</row>
    <row r="689" spans="1:63">
      <c r="A689" s="70"/>
      <c r="B689"/>
      <c r="C689"/>
      <c r="D689"/>
      <c r="E689"/>
      <c r="F689"/>
      <c r="G689"/>
      <c r="H689"/>
      <c r="I689"/>
      <c r="J689"/>
      <c r="K689"/>
      <c r="L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</row>
    <row r="690" spans="1:63">
      <c r="A690" s="70"/>
      <c r="B690"/>
      <c r="C690"/>
      <c r="D690"/>
      <c r="E690"/>
      <c r="F690"/>
      <c r="G690"/>
      <c r="H690"/>
      <c r="I690"/>
      <c r="J690"/>
      <c r="K690"/>
      <c r="L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</row>
    <row r="691" spans="1:63">
      <c r="A691" s="70"/>
      <c r="B691"/>
      <c r="C691"/>
      <c r="D691"/>
      <c r="E691"/>
      <c r="F691"/>
      <c r="G691"/>
      <c r="H691"/>
      <c r="I691"/>
      <c r="J691"/>
      <c r="K691"/>
      <c r="L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</row>
    <row r="692" spans="1:63">
      <c r="A692" s="70"/>
      <c r="B692"/>
      <c r="C692"/>
      <c r="D692"/>
      <c r="E692"/>
      <c r="F692"/>
      <c r="G692"/>
      <c r="H692"/>
      <c r="I692"/>
      <c r="J692"/>
      <c r="K692"/>
      <c r="L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</row>
    <row r="693" spans="1:63">
      <c r="A693" s="70"/>
      <c r="B693"/>
      <c r="C693"/>
      <c r="D693"/>
      <c r="E693"/>
      <c r="F693"/>
      <c r="G693"/>
      <c r="H693"/>
      <c r="I693"/>
      <c r="J693"/>
      <c r="K693"/>
      <c r="L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</row>
    <row r="694" spans="1:63">
      <c r="A694" s="70"/>
      <c r="B694"/>
      <c r="C694"/>
      <c r="D694"/>
      <c r="E694"/>
      <c r="F694"/>
      <c r="G694"/>
      <c r="H694"/>
      <c r="I694"/>
      <c r="J694"/>
      <c r="K694"/>
      <c r="L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</row>
    <row r="695" spans="1:63">
      <c r="A695" s="70"/>
      <c r="B695"/>
      <c r="C695"/>
      <c r="D695"/>
      <c r="E695"/>
      <c r="F695"/>
      <c r="G695"/>
      <c r="H695"/>
      <c r="I695"/>
      <c r="J695"/>
      <c r="K695"/>
      <c r="L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</row>
    <row r="696" spans="1:63">
      <c r="A696" s="70"/>
      <c r="B696"/>
      <c r="C696"/>
      <c r="D696"/>
      <c r="E696"/>
      <c r="F696"/>
      <c r="G696"/>
      <c r="H696"/>
      <c r="I696"/>
      <c r="J696"/>
      <c r="K696"/>
      <c r="L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</row>
    <row r="697" spans="1:63">
      <c r="A697" s="70"/>
      <c r="B697"/>
      <c r="C697"/>
      <c r="D697"/>
      <c r="E697"/>
      <c r="F697"/>
      <c r="G697"/>
      <c r="H697"/>
      <c r="I697"/>
      <c r="J697"/>
      <c r="K697"/>
      <c r="L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</row>
    <row r="698" spans="1:63">
      <c r="A698" s="70"/>
      <c r="B698"/>
      <c r="C698"/>
      <c r="D698"/>
      <c r="E698"/>
      <c r="F698"/>
      <c r="G698"/>
      <c r="H698"/>
      <c r="I698"/>
      <c r="J698"/>
      <c r="K698"/>
      <c r="L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</row>
    <row r="699" spans="1:63">
      <c r="A699" s="70"/>
      <c r="B699"/>
      <c r="C699"/>
      <c r="D699"/>
      <c r="E699"/>
      <c r="F699"/>
      <c r="G699"/>
      <c r="H699"/>
      <c r="I699"/>
      <c r="J699"/>
      <c r="K699"/>
      <c r="L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</row>
    <row r="700" spans="1:63">
      <c r="A700" s="70"/>
      <c r="B700"/>
      <c r="C700"/>
      <c r="D700"/>
      <c r="E700"/>
      <c r="F700"/>
      <c r="G700"/>
      <c r="H700"/>
      <c r="I700"/>
      <c r="J700"/>
      <c r="K700"/>
      <c r="L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</row>
    <row r="701" spans="1:63">
      <c r="A701" s="70"/>
      <c r="B701"/>
      <c r="C701"/>
      <c r="D701"/>
      <c r="E701"/>
      <c r="F701"/>
      <c r="G701"/>
      <c r="H701"/>
      <c r="I701"/>
      <c r="J701"/>
      <c r="K701"/>
      <c r="L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</row>
    <row r="702" spans="1:63">
      <c r="A702" s="70"/>
      <c r="B702"/>
      <c r="C702"/>
      <c r="D702"/>
      <c r="E702"/>
      <c r="F702"/>
      <c r="G702"/>
      <c r="H702"/>
      <c r="I702"/>
      <c r="J702"/>
      <c r="K702"/>
      <c r="L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</row>
    <row r="703" spans="1:63">
      <c r="A703" s="70"/>
      <c r="B703"/>
      <c r="C703"/>
      <c r="D703"/>
      <c r="E703"/>
      <c r="F703"/>
      <c r="G703"/>
      <c r="H703"/>
      <c r="I703"/>
      <c r="J703"/>
      <c r="K703"/>
      <c r="L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</row>
    <row r="704" spans="1:63">
      <c r="A704" s="70"/>
      <c r="B704"/>
      <c r="C704"/>
      <c r="D704"/>
      <c r="E704"/>
      <c r="F704"/>
      <c r="G704"/>
      <c r="H704"/>
      <c r="I704"/>
      <c r="J704"/>
      <c r="K704"/>
      <c r="L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</row>
    <row r="705" spans="1:63">
      <c r="A705" s="70"/>
      <c r="B705"/>
      <c r="C705"/>
      <c r="D705"/>
      <c r="E705"/>
      <c r="F705"/>
      <c r="G705"/>
      <c r="H705"/>
      <c r="I705"/>
      <c r="J705"/>
      <c r="K705"/>
      <c r="L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</row>
    <row r="706" spans="1:63">
      <c r="A706" s="70"/>
      <c r="B706"/>
      <c r="C706"/>
      <c r="D706"/>
      <c r="E706"/>
      <c r="F706"/>
      <c r="G706"/>
      <c r="H706"/>
      <c r="I706"/>
      <c r="J706"/>
      <c r="K706"/>
      <c r="L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</row>
    <row r="707" spans="1:63">
      <c r="A707" s="70"/>
      <c r="B707"/>
      <c r="C707"/>
      <c r="D707"/>
      <c r="E707"/>
      <c r="F707"/>
      <c r="G707"/>
      <c r="H707"/>
      <c r="I707"/>
      <c r="J707"/>
      <c r="K707"/>
      <c r="L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</row>
    <row r="708" spans="1:63">
      <c r="A708" s="70"/>
      <c r="B708"/>
      <c r="C708"/>
      <c r="D708"/>
      <c r="E708"/>
      <c r="F708"/>
      <c r="G708"/>
      <c r="H708"/>
      <c r="I708"/>
      <c r="J708"/>
      <c r="K708"/>
      <c r="L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</row>
    <row r="709" spans="1:63">
      <c r="A709" s="70"/>
      <c r="B709"/>
      <c r="C709"/>
      <c r="D709"/>
      <c r="E709"/>
      <c r="F709"/>
      <c r="G709"/>
      <c r="H709"/>
      <c r="I709"/>
      <c r="J709"/>
      <c r="K709"/>
      <c r="L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</row>
    <row r="710" spans="1:63">
      <c r="A710" s="70"/>
      <c r="B710"/>
      <c r="C710"/>
      <c r="D710"/>
      <c r="E710"/>
      <c r="F710"/>
      <c r="G710"/>
      <c r="H710"/>
      <c r="I710"/>
      <c r="J710"/>
      <c r="K710"/>
      <c r="L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</row>
    <row r="711" spans="1:63">
      <c r="A711" s="70"/>
      <c r="B711"/>
      <c r="C711"/>
      <c r="D711"/>
      <c r="E711"/>
      <c r="F711"/>
      <c r="G711"/>
      <c r="H711"/>
      <c r="I711"/>
      <c r="J711"/>
      <c r="K711"/>
      <c r="L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</row>
    <row r="712" spans="1:63">
      <c r="A712" s="70"/>
      <c r="B712"/>
      <c r="C712"/>
      <c r="D712"/>
      <c r="E712"/>
      <c r="F712"/>
      <c r="G712"/>
      <c r="H712"/>
      <c r="I712"/>
      <c r="J712"/>
      <c r="K712"/>
      <c r="L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</row>
    <row r="713" spans="1:63">
      <c r="A713" s="70"/>
      <c r="B713"/>
      <c r="C713"/>
      <c r="D713"/>
      <c r="E713"/>
      <c r="F713"/>
      <c r="G713"/>
      <c r="H713"/>
      <c r="I713"/>
      <c r="J713"/>
      <c r="K713"/>
      <c r="L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</row>
    <row r="714" spans="1:63">
      <c r="A714" s="70"/>
      <c r="B714"/>
      <c r="C714"/>
      <c r="D714"/>
      <c r="E714"/>
      <c r="F714"/>
      <c r="G714"/>
      <c r="H714"/>
      <c r="I714"/>
      <c r="J714"/>
      <c r="K714"/>
      <c r="L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</row>
    <row r="715" spans="1:63">
      <c r="A715" s="70"/>
      <c r="B715"/>
      <c r="C715"/>
      <c r="D715"/>
      <c r="E715"/>
      <c r="F715"/>
      <c r="G715"/>
      <c r="H715"/>
      <c r="I715"/>
      <c r="J715"/>
      <c r="K715"/>
      <c r="L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</row>
    <row r="716" spans="1:63">
      <c r="A716" s="70"/>
      <c r="B716"/>
      <c r="C716"/>
      <c r="D716"/>
      <c r="E716"/>
      <c r="F716"/>
      <c r="G716"/>
      <c r="H716"/>
      <c r="I716"/>
      <c r="J716"/>
      <c r="K716"/>
      <c r="L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</row>
    <row r="717" spans="1:63">
      <c r="A717" s="70"/>
      <c r="B717"/>
      <c r="C717"/>
      <c r="D717"/>
      <c r="E717"/>
      <c r="F717"/>
      <c r="G717"/>
      <c r="H717"/>
      <c r="I717"/>
      <c r="J717"/>
      <c r="K717"/>
      <c r="L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</row>
    <row r="718" spans="1:63">
      <c r="A718" s="70"/>
      <c r="B718"/>
      <c r="C718"/>
      <c r="D718"/>
      <c r="E718"/>
      <c r="F718"/>
      <c r="G718"/>
      <c r="H718"/>
      <c r="I718"/>
      <c r="J718"/>
      <c r="K718"/>
      <c r="L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</row>
    <row r="719" spans="1:63">
      <c r="A719" s="70"/>
      <c r="B719"/>
      <c r="C719"/>
      <c r="D719"/>
      <c r="E719"/>
      <c r="F719"/>
      <c r="G719"/>
      <c r="H719"/>
      <c r="I719"/>
      <c r="J719"/>
      <c r="K719"/>
      <c r="L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</row>
    <row r="720" spans="1:63">
      <c r="A720" s="70"/>
      <c r="B720"/>
      <c r="C720"/>
      <c r="D720"/>
      <c r="E720"/>
      <c r="F720"/>
      <c r="G720"/>
      <c r="H720"/>
      <c r="I720"/>
      <c r="J720"/>
      <c r="K720"/>
      <c r="L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</row>
    <row r="721" spans="1:63">
      <c r="A721" s="70"/>
      <c r="B721"/>
      <c r="C721"/>
      <c r="D721"/>
      <c r="E721"/>
      <c r="F721"/>
      <c r="G721"/>
      <c r="H721"/>
      <c r="I721"/>
      <c r="J721"/>
      <c r="K721"/>
      <c r="L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</row>
    <row r="722" spans="1:63">
      <c r="A722" s="70"/>
      <c r="B722"/>
      <c r="C722"/>
      <c r="D722"/>
      <c r="E722"/>
      <c r="F722"/>
      <c r="G722"/>
      <c r="H722"/>
      <c r="I722"/>
      <c r="J722"/>
      <c r="K722"/>
      <c r="L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</row>
    <row r="723" spans="1:63">
      <c r="A723" s="70"/>
      <c r="B723"/>
      <c r="C723"/>
      <c r="D723"/>
      <c r="E723"/>
      <c r="F723"/>
      <c r="G723"/>
      <c r="H723"/>
      <c r="I723"/>
      <c r="J723"/>
      <c r="K723"/>
      <c r="L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</row>
    <row r="724" spans="1:63">
      <c r="A724" s="70"/>
      <c r="B724"/>
      <c r="C724"/>
      <c r="D724"/>
      <c r="E724"/>
      <c r="F724"/>
      <c r="G724"/>
      <c r="H724"/>
      <c r="I724"/>
      <c r="J724"/>
      <c r="K724"/>
      <c r="L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</row>
    <row r="725" spans="1:63">
      <c r="A725" s="70"/>
      <c r="B725"/>
      <c r="C725"/>
      <c r="D725"/>
      <c r="E725"/>
      <c r="F725"/>
      <c r="G725"/>
      <c r="H725"/>
      <c r="I725"/>
      <c r="J725"/>
      <c r="K725"/>
      <c r="L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</row>
    <row r="726" spans="1:63">
      <c r="A726" s="70"/>
      <c r="B726"/>
      <c r="C726"/>
      <c r="D726"/>
      <c r="E726"/>
      <c r="F726"/>
      <c r="G726"/>
      <c r="H726"/>
      <c r="I726"/>
      <c r="J726"/>
      <c r="K726"/>
      <c r="L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</row>
    <row r="727" spans="1:63">
      <c r="A727" s="70"/>
      <c r="B727"/>
      <c r="C727"/>
      <c r="D727"/>
      <c r="E727"/>
      <c r="F727"/>
      <c r="G727"/>
      <c r="H727"/>
      <c r="I727"/>
      <c r="J727"/>
      <c r="K727"/>
      <c r="L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</row>
    <row r="728" spans="1:63">
      <c r="A728" s="70"/>
      <c r="B728"/>
      <c r="C728"/>
      <c r="D728"/>
      <c r="E728"/>
      <c r="F728"/>
      <c r="G728"/>
      <c r="H728"/>
      <c r="I728"/>
      <c r="J728"/>
      <c r="K728"/>
      <c r="L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</row>
    <row r="729" spans="1:63">
      <c r="A729" s="70"/>
      <c r="B729"/>
      <c r="C729"/>
      <c r="D729"/>
      <c r="E729"/>
      <c r="F729"/>
      <c r="G729"/>
      <c r="H729"/>
      <c r="I729"/>
      <c r="J729"/>
      <c r="K729"/>
      <c r="L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</row>
    <row r="730" spans="1:63">
      <c r="A730" s="70"/>
      <c r="B730"/>
      <c r="C730"/>
      <c r="D730"/>
      <c r="E730"/>
      <c r="F730"/>
      <c r="G730"/>
      <c r="H730"/>
      <c r="I730"/>
      <c r="J730"/>
      <c r="K730"/>
      <c r="L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</row>
    <row r="731" spans="1:63">
      <c r="A731" s="70"/>
      <c r="B731"/>
      <c r="C731"/>
      <c r="D731"/>
      <c r="E731"/>
      <c r="F731"/>
      <c r="G731"/>
      <c r="H731"/>
      <c r="I731"/>
      <c r="J731"/>
      <c r="K731"/>
      <c r="L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</row>
    <row r="732" spans="1:63">
      <c r="A732" s="70"/>
      <c r="B732"/>
      <c r="C732"/>
      <c r="D732"/>
      <c r="E732"/>
      <c r="F732"/>
      <c r="G732"/>
      <c r="H732"/>
      <c r="I732"/>
      <c r="J732"/>
      <c r="K732"/>
      <c r="L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</row>
    <row r="733" spans="1:63">
      <c r="A733" s="70"/>
      <c r="B733"/>
      <c r="C733"/>
      <c r="D733"/>
      <c r="E733"/>
      <c r="F733"/>
      <c r="G733"/>
      <c r="H733"/>
      <c r="I733"/>
      <c r="J733"/>
      <c r="K733"/>
      <c r="L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</row>
    <row r="734" spans="1:63">
      <c r="A734" s="70"/>
      <c r="B734"/>
      <c r="C734"/>
      <c r="D734"/>
      <c r="E734"/>
      <c r="F734"/>
      <c r="G734"/>
      <c r="H734"/>
      <c r="I734"/>
      <c r="J734"/>
      <c r="K734"/>
      <c r="L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</row>
    <row r="735" spans="1:63">
      <c r="A735" s="70"/>
      <c r="B735"/>
      <c r="C735"/>
      <c r="D735"/>
      <c r="E735"/>
      <c r="F735"/>
      <c r="G735"/>
      <c r="H735"/>
      <c r="I735"/>
      <c r="J735"/>
      <c r="K735"/>
      <c r="L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</row>
    <row r="736" spans="1:63">
      <c r="A736" s="70"/>
      <c r="B736"/>
      <c r="C736"/>
      <c r="D736"/>
      <c r="E736"/>
      <c r="F736"/>
      <c r="G736"/>
      <c r="H736"/>
      <c r="I736"/>
      <c r="J736"/>
      <c r="K736"/>
      <c r="L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</row>
    <row r="737" spans="1:63">
      <c r="A737" s="70"/>
      <c r="B737"/>
      <c r="C737"/>
      <c r="D737"/>
      <c r="E737"/>
      <c r="F737"/>
      <c r="G737"/>
      <c r="H737"/>
      <c r="I737"/>
      <c r="J737"/>
      <c r="K737"/>
      <c r="L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</row>
    <row r="738" spans="1:63">
      <c r="A738" s="70"/>
      <c r="B738"/>
      <c r="C738"/>
      <c r="D738"/>
      <c r="E738"/>
      <c r="F738"/>
      <c r="G738"/>
      <c r="H738"/>
      <c r="I738"/>
      <c r="J738"/>
      <c r="K738"/>
      <c r="L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</row>
    <row r="739" spans="1:63">
      <c r="A739" s="70"/>
      <c r="B739"/>
      <c r="C739"/>
      <c r="D739"/>
      <c r="E739"/>
      <c r="F739"/>
      <c r="G739"/>
      <c r="H739"/>
      <c r="I739"/>
      <c r="J739"/>
      <c r="K739"/>
      <c r="L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</row>
    <row r="740" spans="1:63">
      <c r="A740" s="70"/>
      <c r="B740"/>
      <c r="C740"/>
      <c r="D740"/>
      <c r="E740"/>
      <c r="F740"/>
      <c r="G740"/>
      <c r="H740"/>
      <c r="I740"/>
      <c r="J740"/>
      <c r="K740"/>
      <c r="L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</row>
    <row r="741" spans="1:63">
      <c r="A741" s="70"/>
      <c r="B741"/>
      <c r="C741"/>
      <c r="D741"/>
      <c r="E741"/>
      <c r="F741"/>
      <c r="G741"/>
      <c r="H741"/>
      <c r="I741"/>
      <c r="J741"/>
      <c r="K741"/>
      <c r="L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</row>
    <row r="742" spans="1:63">
      <c r="A742" s="70"/>
      <c r="B742"/>
      <c r="C742"/>
      <c r="D742"/>
      <c r="E742"/>
      <c r="F742"/>
      <c r="G742"/>
      <c r="H742"/>
      <c r="I742"/>
      <c r="J742"/>
      <c r="K742"/>
      <c r="L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</row>
    <row r="743" spans="1:63">
      <c r="A743" s="70"/>
      <c r="B743"/>
      <c r="C743"/>
      <c r="D743"/>
      <c r="E743"/>
      <c r="F743"/>
      <c r="G743"/>
      <c r="H743"/>
      <c r="I743"/>
      <c r="J743"/>
      <c r="K743"/>
      <c r="L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</row>
    <row r="744" spans="1:63">
      <c r="A744" s="70"/>
      <c r="B744"/>
      <c r="C744"/>
      <c r="D744"/>
      <c r="E744"/>
      <c r="F744"/>
      <c r="G744"/>
      <c r="H744"/>
      <c r="I744"/>
      <c r="J744"/>
      <c r="K744"/>
      <c r="L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</row>
    <row r="745" spans="1:63">
      <c r="A745" s="70"/>
      <c r="B745"/>
      <c r="C745"/>
      <c r="D745"/>
      <c r="E745"/>
      <c r="F745"/>
      <c r="G745"/>
      <c r="H745"/>
      <c r="I745"/>
      <c r="J745"/>
      <c r="K745"/>
      <c r="L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</row>
    <row r="746" spans="1:63">
      <c r="A746" s="70"/>
      <c r="B746"/>
      <c r="C746"/>
      <c r="D746"/>
      <c r="E746"/>
      <c r="F746"/>
      <c r="G746"/>
      <c r="H746"/>
      <c r="I746"/>
      <c r="J746"/>
      <c r="K746"/>
      <c r="L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</row>
    <row r="747" spans="1:63">
      <c r="A747" s="70"/>
      <c r="B747"/>
      <c r="C747"/>
      <c r="D747"/>
      <c r="E747"/>
      <c r="F747"/>
      <c r="G747"/>
      <c r="H747"/>
      <c r="I747"/>
      <c r="J747"/>
      <c r="K747"/>
      <c r="L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</row>
    <row r="748" spans="1:63">
      <c r="A748" s="70"/>
      <c r="B748"/>
      <c r="C748"/>
      <c r="D748"/>
      <c r="E748"/>
      <c r="F748"/>
      <c r="G748"/>
      <c r="H748"/>
      <c r="I748"/>
      <c r="J748"/>
      <c r="K748"/>
      <c r="L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</row>
    <row r="749" spans="1:63">
      <c r="A749" s="70"/>
      <c r="B749"/>
      <c r="C749"/>
      <c r="D749"/>
      <c r="E749"/>
      <c r="F749"/>
      <c r="G749"/>
      <c r="H749"/>
      <c r="I749"/>
      <c r="J749"/>
      <c r="K749"/>
      <c r="L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</row>
    <row r="750" spans="1:63">
      <c r="A750" s="70"/>
      <c r="B750"/>
      <c r="C750"/>
      <c r="D750"/>
      <c r="E750"/>
      <c r="F750"/>
      <c r="G750"/>
      <c r="H750"/>
      <c r="I750"/>
      <c r="J750"/>
      <c r="K750"/>
      <c r="L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</row>
    <row r="751" spans="1:63">
      <c r="A751" s="70"/>
      <c r="B751"/>
      <c r="C751"/>
      <c r="D751"/>
      <c r="E751"/>
      <c r="F751"/>
      <c r="G751"/>
      <c r="H751"/>
      <c r="I751"/>
      <c r="J751"/>
      <c r="K751"/>
      <c r="L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</row>
    <row r="752" spans="1:63">
      <c r="A752" s="70"/>
      <c r="B752"/>
      <c r="C752"/>
      <c r="D752"/>
      <c r="E752"/>
      <c r="F752"/>
      <c r="G752"/>
      <c r="H752"/>
      <c r="I752"/>
      <c r="J752"/>
      <c r="K752"/>
      <c r="L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</row>
    <row r="753" spans="1:63">
      <c r="A753" s="70"/>
      <c r="B753"/>
      <c r="C753"/>
      <c r="D753"/>
      <c r="E753"/>
      <c r="F753"/>
      <c r="G753"/>
      <c r="H753"/>
      <c r="I753"/>
      <c r="J753"/>
      <c r="K753"/>
      <c r="L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</row>
    <row r="754" spans="1:63">
      <c r="A754" s="70"/>
      <c r="B754"/>
      <c r="C754"/>
      <c r="D754"/>
      <c r="E754"/>
      <c r="F754"/>
      <c r="G754"/>
      <c r="H754"/>
      <c r="I754"/>
      <c r="J754"/>
      <c r="K754"/>
      <c r="L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</row>
    <row r="755" spans="1:63">
      <c r="A755" s="70"/>
      <c r="B755"/>
      <c r="C755"/>
      <c r="D755"/>
      <c r="E755"/>
      <c r="F755"/>
      <c r="G755"/>
      <c r="H755"/>
      <c r="I755"/>
      <c r="J755"/>
      <c r="K755"/>
      <c r="L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</row>
    <row r="756" spans="1:63">
      <c r="A756" s="70"/>
      <c r="B756"/>
      <c r="C756"/>
      <c r="D756"/>
      <c r="E756"/>
      <c r="F756"/>
      <c r="G756"/>
      <c r="H756"/>
      <c r="I756"/>
      <c r="J756"/>
      <c r="K756"/>
      <c r="L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</row>
    <row r="757" spans="1:63">
      <c r="A757" s="70"/>
      <c r="B757"/>
      <c r="C757"/>
      <c r="D757"/>
      <c r="E757"/>
      <c r="F757"/>
      <c r="G757"/>
      <c r="H757"/>
      <c r="I757"/>
      <c r="J757"/>
      <c r="K757"/>
      <c r="L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</row>
    <row r="758" spans="1:63">
      <c r="A758" s="70"/>
      <c r="B758"/>
      <c r="C758"/>
      <c r="D758"/>
      <c r="E758"/>
      <c r="F758"/>
      <c r="G758"/>
      <c r="H758"/>
      <c r="I758"/>
      <c r="J758"/>
      <c r="K758"/>
      <c r="L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</row>
    <row r="759" spans="1:63">
      <c r="A759" s="70"/>
      <c r="B759"/>
      <c r="C759"/>
      <c r="D759"/>
      <c r="E759"/>
      <c r="F759"/>
      <c r="G759"/>
      <c r="H759"/>
      <c r="I759"/>
      <c r="J759"/>
      <c r="K759"/>
      <c r="L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</row>
    <row r="760" spans="1:63">
      <c r="A760" s="70"/>
      <c r="B760"/>
      <c r="C760"/>
      <c r="D760"/>
      <c r="E760"/>
      <c r="F760"/>
      <c r="G760"/>
      <c r="H760"/>
      <c r="I760"/>
      <c r="J760"/>
      <c r="K760"/>
      <c r="L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</row>
    <row r="761" spans="1:63">
      <c r="A761" s="70"/>
      <c r="B761"/>
      <c r="C761"/>
      <c r="D761"/>
      <c r="E761"/>
      <c r="F761"/>
      <c r="G761"/>
      <c r="H761"/>
      <c r="I761"/>
      <c r="J761"/>
      <c r="K761"/>
      <c r="L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</row>
    <row r="762" spans="1:63">
      <c r="A762" s="70"/>
      <c r="B762"/>
      <c r="C762"/>
      <c r="D762"/>
      <c r="E762"/>
      <c r="F762"/>
      <c r="G762"/>
      <c r="H762"/>
      <c r="I762"/>
      <c r="J762"/>
      <c r="K762"/>
      <c r="L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</row>
    <row r="763" spans="1:63">
      <c r="A763" s="70"/>
      <c r="B763"/>
      <c r="C763"/>
      <c r="D763"/>
      <c r="E763"/>
      <c r="F763"/>
      <c r="G763"/>
      <c r="H763"/>
      <c r="I763"/>
      <c r="J763"/>
      <c r="K763"/>
      <c r="L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</row>
    <row r="764" spans="1:63">
      <c r="A764" s="70"/>
      <c r="B764"/>
      <c r="C764"/>
      <c r="D764"/>
      <c r="E764"/>
      <c r="F764"/>
      <c r="G764"/>
      <c r="H764"/>
      <c r="I764"/>
      <c r="J764"/>
      <c r="K764"/>
      <c r="L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</row>
    <row r="765" spans="1:63">
      <c r="A765" s="70"/>
      <c r="B765"/>
      <c r="C765"/>
      <c r="D765"/>
      <c r="E765"/>
      <c r="F765"/>
      <c r="G765"/>
      <c r="H765"/>
      <c r="I765"/>
      <c r="J765"/>
      <c r="K765"/>
      <c r="L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</row>
    <row r="766" spans="1:63">
      <c r="A766" s="70"/>
      <c r="B766"/>
      <c r="C766"/>
      <c r="D766"/>
      <c r="E766"/>
      <c r="F766"/>
      <c r="G766"/>
      <c r="H766"/>
      <c r="I766"/>
      <c r="J766"/>
      <c r="K766"/>
      <c r="L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</row>
    <row r="767" spans="1:63">
      <c r="A767" s="70"/>
      <c r="B767"/>
      <c r="C767"/>
      <c r="D767"/>
      <c r="E767"/>
      <c r="F767"/>
      <c r="G767"/>
      <c r="H767"/>
      <c r="I767"/>
      <c r="J767"/>
      <c r="K767"/>
      <c r="L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</row>
    <row r="768" spans="1:63">
      <c r="A768" s="70"/>
      <c r="B768"/>
      <c r="C768"/>
      <c r="D768"/>
      <c r="E768"/>
      <c r="F768"/>
      <c r="G768"/>
      <c r="H768"/>
      <c r="I768"/>
      <c r="J768"/>
      <c r="K768"/>
      <c r="L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</row>
    <row r="769" spans="1:63">
      <c r="A769" s="70"/>
      <c r="B769"/>
      <c r="C769"/>
      <c r="D769"/>
      <c r="E769"/>
      <c r="F769"/>
      <c r="G769"/>
      <c r="H769"/>
      <c r="I769"/>
      <c r="J769"/>
      <c r="K769"/>
      <c r="L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</row>
    <row r="770" spans="1:63">
      <c r="A770" s="70"/>
      <c r="B770"/>
      <c r="C770"/>
      <c r="D770"/>
      <c r="E770"/>
      <c r="F770"/>
      <c r="G770"/>
      <c r="H770"/>
      <c r="I770"/>
      <c r="J770"/>
      <c r="K770"/>
      <c r="L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</row>
    <row r="771" spans="1:63">
      <c r="A771" s="70"/>
      <c r="B771"/>
      <c r="C771"/>
      <c r="D771"/>
      <c r="E771"/>
      <c r="F771"/>
      <c r="G771"/>
      <c r="H771"/>
      <c r="I771"/>
      <c r="J771"/>
      <c r="K771"/>
      <c r="L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</row>
    <row r="772" spans="1:63">
      <c r="A772" s="70"/>
      <c r="B772"/>
      <c r="C772"/>
      <c r="D772"/>
      <c r="E772"/>
      <c r="F772"/>
      <c r="G772"/>
      <c r="H772"/>
      <c r="I772"/>
      <c r="J772"/>
      <c r="K772"/>
      <c r="L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</row>
    <row r="773" spans="1:63">
      <c r="A773" s="70"/>
      <c r="B773"/>
      <c r="C773"/>
      <c r="D773"/>
      <c r="E773"/>
      <c r="F773"/>
      <c r="G773"/>
      <c r="H773"/>
      <c r="I773"/>
      <c r="J773"/>
      <c r="K773"/>
      <c r="L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</row>
    <row r="774" spans="1:63">
      <c r="A774" s="70"/>
      <c r="B774"/>
      <c r="C774"/>
      <c r="D774"/>
      <c r="E774"/>
      <c r="F774"/>
      <c r="G774"/>
      <c r="H774"/>
      <c r="I774"/>
      <c r="J774"/>
      <c r="K774"/>
      <c r="L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</row>
    <row r="775" spans="1:63">
      <c r="A775" s="70"/>
      <c r="B775"/>
      <c r="C775"/>
      <c r="D775"/>
      <c r="E775"/>
      <c r="F775"/>
      <c r="G775"/>
      <c r="H775"/>
      <c r="I775"/>
      <c r="J775"/>
      <c r="K775"/>
      <c r="L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</row>
    <row r="776" spans="1:63">
      <c r="A776" s="70"/>
      <c r="B776"/>
      <c r="C776"/>
      <c r="D776"/>
      <c r="E776"/>
      <c r="F776"/>
      <c r="G776"/>
      <c r="H776"/>
      <c r="I776"/>
      <c r="J776"/>
      <c r="K776"/>
      <c r="L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</row>
    <row r="777" spans="1:63">
      <c r="A777" s="70"/>
      <c r="B777"/>
      <c r="C777"/>
      <c r="D777"/>
      <c r="E777"/>
      <c r="F777"/>
      <c r="G777"/>
      <c r="H777"/>
      <c r="I777"/>
      <c r="J777"/>
      <c r="K777"/>
      <c r="L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</row>
    <row r="778" spans="1:63">
      <c r="A778" s="70"/>
      <c r="B778"/>
      <c r="C778"/>
      <c r="D778"/>
      <c r="E778"/>
      <c r="F778"/>
      <c r="G778"/>
      <c r="H778"/>
      <c r="I778"/>
      <c r="J778"/>
      <c r="K778"/>
      <c r="L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</row>
    <row r="779" spans="1:63">
      <c r="A779" s="70"/>
      <c r="B779"/>
      <c r="C779"/>
      <c r="D779"/>
      <c r="E779"/>
      <c r="F779"/>
      <c r="G779"/>
      <c r="H779"/>
      <c r="I779"/>
      <c r="J779"/>
      <c r="K779"/>
      <c r="L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</row>
    <row r="780" spans="1:63">
      <c r="A780" s="70"/>
      <c r="B780"/>
      <c r="C780"/>
      <c r="D780"/>
      <c r="E780"/>
      <c r="F780"/>
      <c r="G780"/>
      <c r="H780"/>
      <c r="I780"/>
      <c r="J780"/>
      <c r="K780"/>
      <c r="L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</row>
    <row r="781" spans="1:63">
      <c r="A781" s="70"/>
      <c r="B781"/>
      <c r="C781"/>
      <c r="D781"/>
      <c r="E781"/>
      <c r="F781"/>
      <c r="G781"/>
      <c r="H781"/>
      <c r="I781"/>
      <c r="J781"/>
      <c r="K781"/>
      <c r="L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</row>
    <row r="782" spans="1:63">
      <c r="A782" s="70"/>
      <c r="B782"/>
      <c r="C782"/>
      <c r="D782"/>
      <c r="E782"/>
      <c r="F782"/>
      <c r="G782"/>
      <c r="H782"/>
      <c r="I782"/>
      <c r="J782"/>
      <c r="K782"/>
      <c r="L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</row>
    <row r="783" spans="1:63">
      <c r="A783" s="70"/>
      <c r="B783"/>
      <c r="C783"/>
      <c r="D783"/>
      <c r="E783"/>
      <c r="F783"/>
      <c r="G783"/>
      <c r="H783"/>
      <c r="I783"/>
      <c r="J783"/>
      <c r="K783"/>
      <c r="L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</row>
    <row r="784" spans="1:63">
      <c r="A784" s="70"/>
      <c r="B784"/>
      <c r="C784"/>
      <c r="D784"/>
      <c r="E784"/>
      <c r="F784"/>
      <c r="G784"/>
      <c r="H784"/>
      <c r="I784"/>
      <c r="J784"/>
      <c r="K784"/>
      <c r="L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</row>
    <row r="785" spans="1:63">
      <c r="A785" s="70"/>
      <c r="B785"/>
      <c r="C785"/>
      <c r="D785"/>
      <c r="E785"/>
      <c r="F785"/>
      <c r="G785"/>
      <c r="H785"/>
      <c r="I785"/>
      <c r="J785"/>
      <c r="K785"/>
      <c r="L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</row>
    <row r="786" spans="1:63">
      <c r="A786" s="70"/>
      <c r="B786"/>
      <c r="C786"/>
      <c r="D786"/>
      <c r="E786"/>
      <c r="F786"/>
      <c r="G786"/>
      <c r="H786"/>
      <c r="I786"/>
      <c r="J786"/>
      <c r="K786"/>
      <c r="L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</row>
    <row r="787" spans="1:63">
      <c r="A787" s="70"/>
      <c r="B787"/>
      <c r="C787"/>
      <c r="D787"/>
      <c r="E787"/>
      <c r="F787"/>
      <c r="G787"/>
      <c r="H787"/>
      <c r="I787"/>
      <c r="J787"/>
      <c r="K787"/>
      <c r="L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</row>
    <row r="788" spans="1:63">
      <c r="A788" s="70"/>
      <c r="B788"/>
      <c r="C788"/>
      <c r="D788"/>
      <c r="E788"/>
      <c r="F788"/>
      <c r="G788"/>
      <c r="H788"/>
      <c r="I788"/>
      <c r="J788"/>
      <c r="K788"/>
      <c r="L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</row>
    <row r="789" spans="1:63">
      <c r="A789" s="70"/>
      <c r="B789"/>
      <c r="C789"/>
      <c r="D789"/>
      <c r="E789"/>
      <c r="F789"/>
      <c r="G789"/>
      <c r="H789"/>
      <c r="I789"/>
      <c r="J789"/>
      <c r="K789"/>
      <c r="L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</row>
    <row r="790" spans="1:63">
      <c r="A790" s="70"/>
      <c r="B790"/>
      <c r="C790"/>
      <c r="D790"/>
      <c r="E790"/>
      <c r="F790"/>
      <c r="G790"/>
      <c r="H790"/>
      <c r="I790"/>
      <c r="J790"/>
      <c r="K790"/>
      <c r="L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</row>
    <row r="791" spans="1:63">
      <c r="A791" s="70"/>
      <c r="B791"/>
      <c r="C791"/>
      <c r="D791"/>
      <c r="E791"/>
      <c r="F791"/>
      <c r="G791"/>
      <c r="H791"/>
      <c r="I791"/>
      <c r="J791"/>
      <c r="K791"/>
      <c r="L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</row>
    <row r="792" spans="1:63">
      <c r="A792" s="70"/>
      <c r="B792"/>
      <c r="C792"/>
      <c r="D792"/>
      <c r="E792"/>
      <c r="F792"/>
      <c r="G792"/>
      <c r="H792"/>
      <c r="I792"/>
      <c r="J792"/>
      <c r="K792"/>
      <c r="L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</row>
    <row r="793" spans="1:63">
      <c r="A793" s="70"/>
      <c r="B793"/>
      <c r="C793"/>
      <c r="D793"/>
      <c r="E793"/>
      <c r="F793"/>
      <c r="G793"/>
      <c r="H793"/>
      <c r="I793"/>
      <c r="J793"/>
      <c r="K793"/>
      <c r="L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</row>
    <row r="794" spans="1:63">
      <c r="A794" s="70"/>
      <c r="B794"/>
      <c r="C794"/>
      <c r="D794"/>
      <c r="E794"/>
      <c r="F794"/>
      <c r="G794"/>
      <c r="H794"/>
      <c r="I794"/>
      <c r="J794"/>
      <c r="K794"/>
      <c r="L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</row>
    <row r="795" spans="1:63">
      <c r="A795" s="70"/>
      <c r="B795"/>
      <c r="C795"/>
      <c r="D795"/>
      <c r="E795"/>
      <c r="F795"/>
      <c r="G795"/>
      <c r="H795"/>
      <c r="I795"/>
      <c r="J795"/>
      <c r="K795"/>
      <c r="L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</row>
    <row r="796" spans="1:63">
      <c r="A796" s="70"/>
      <c r="B796"/>
      <c r="C796"/>
      <c r="D796"/>
      <c r="E796"/>
      <c r="F796"/>
      <c r="G796"/>
      <c r="H796"/>
      <c r="I796"/>
      <c r="J796"/>
      <c r="K796"/>
      <c r="L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</row>
    <row r="797" spans="1:63">
      <c r="A797" s="70"/>
      <c r="B797"/>
      <c r="C797"/>
      <c r="D797"/>
      <c r="E797"/>
      <c r="F797"/>
      <c r="G797"/>
      <c r="H797"/>
      <c r="I797"/>
      <c r="J797"/>
      <c r="K797"/>
      <c r="L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</row>
    <row r="798" spans="1:63">
      <c r="A798" s="70"/>
      <c r="B798"/>
      <c r="C798"/>
      <c r="D798"/>
      <c r="E798"/>
      <c r="F798"/>
      <c r="G798"/>
      <c r="H798"/>
      <c r="I798"/>
      <c r="J798"/>
      <c r="K798"/>
      <c r="L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</row>
    <row r="799" spans="1:63">
      <c r="A799" s="70"/>
      <c r="B799"/>
      <c r="C799"/>
      <c r="D799"/>
      <c r="E799"/>
      <c r="F799"/>
      <c r="G799"/>
      <c r="H799"/>
      <c r="I799"/>
      <c r="J799"/>
      <c r="K799"/>
      <c r="L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</row>
    <row r="800" spans="1:63">
      <c r="A800" s="70"/>
      <c r="B800"/>
      <c r="C800"/>
      <c r="D800"/>
      <c r="E800"/>
      <c r="F800"/>
      <c r="G800"/>
      <c r="H800"/>
      <c r="I800"/>
      <c r="J800"/>
      <c r="K800"/>
      <c r="L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</row>
    <row r="801" spans="1:63">
      <c r="A801" s="70"/>
      <c r="B801"/>
      <c r="C801"/>
      <c r="D801"/>
      <c r="E801"/>
      <c r="F801"/>
      <c r="G801"/>
      <c r="H801"/>
      <c r="I801"/>
      <c r="J801"/>
      <c r="K801"/>
      <c r="L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</row>
    <row r="802" spans="1:63">
      <c r="A802" s="70"/>
      <c r="B802"/>
      <c r="C802"/>
      <c r="D802"/>
      <c r="E802"/>
      <c r="F802"/>
      <c r="G802"/>
      <c r="H802"/>
      <c r="I802"/>
      <c r="J802"/>
      <c r="K802"/>
      <c r="L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</row>
    <row r="803" spans="1:63">
      <c r="A803" s="70"/>
      <c r="B803"/>
      <c r="C803"/>
      <c r="D803"/>
      <c r="E803"/>
      <c r="F803"/>
      <c r="G803"/>
      <c r="H803"/>
      <c r="I803"/>
      <c r="J803"/>
      <c r="K803"/>
      <c r="L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</row>
    <row r="804" spans="1:63">
      <c r="A804" s="70"/>
      <c r="B804"/>
      <c r="C804"/>
      <c r="D804"/>
      <c r="E804"/>
      <c r="F804"/>
      <c r="G804"/>
      <c r="H804"/>
      <c r="I804"/>
      <c r="J804"/>
      <c r="K804"/>
      <c r="L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</row>
    <row r="805" spans="1:63">
      <c r="A805" s="70"/>
      <c r="B805"/>
      <c r="C805"/>
      <c r="D805"/>
      <c r="E805"/>
      <c r="F805"/>
      <c r="G805"/>
      <c r="H805"/>
      <c r="I805"/>
      <c r="J805"/>
      <c r="K805"/>
      <c r="L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</row>
    <row r="806" spans="1:63">
      <c r="A806" s="70"/>
      <c r="B806"/>
      <c r="C806"/>
      <c r="D806"/>
      <c r="E806"/>
      <c r="F806"/>
      <c r="G806"/>
      <c r="H806"/>
      <c r="I806"/>
      <c r="J806"/>
      <c r="K806"/>
      <c r="L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</row>
    <row r="807" spans="1:63">
      <c r="A807" s="70"/>
      <c r="B807"/>
      <c r="C807"/>
      <c r="D807"/>
      <c r="E807"/>
      <c r="F807"/>
      <c r="G807"/>
      <c r="H807"/>
      <c r="I807"/>
      <c r="J807"/>
      <c r="K807"/>
      <c r="L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</row>
    <row r="808" spans="1:63">
      <c r="A808" s="70"/>
      <c r="B808"/>
      <c r="C808"/>
      <c r="D808"/>
      <c r="E808"/>
      <c r="F808"/>
      <c r="G808"/>
      <c r="H808"/>
      <c r="I808"/>
      <c r="J808"/>
      <c r="K808"/>
      <c r="L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</row>
    <row r="809" spans="1:63">
      <c r="A809" s="70"/>
      <c r="B809"/>
      <c r="C809"/>
      <c r="D809"/>
      <c r="E809"/>
      <c r="F809"/>
      <c r="G809"/>
      <c r="H809"/>
      <c r="I809"/>
      <c r="J809"/>
      <c r="K809"/>
      <c r="L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</row>
    <row r="810" spans="1:63">
      <c r="A810" s="70"/>
      <c r="B810"/>
      <c r="C810"/>
      <c r="D810"/>
      <c r="E810"/>
      <c r="F810"/>
      <c r="G810"/>
      <c r="H810"/>
      <c r="I810"/>
      <c r="J810"/>
      <c r="K810"/>
      <c r="L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</row>
    <row r="811" spans="1:63">
      <c r="A811" s="70"/>
      <c r="B811"/>
      <c r="C811"/>
      <c r="D811"/>
      <c r="E811"/>
      <c r="F811"/>
      <c r="G811"/>
      <c r="H811"/>
      <c r="I811"/>
      <c r="J811"/>
      <c r="K811"/>
      <c r="L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</row>
    <row r="812" spans="1:63">
      <c r="A812" s="70"/>
      <c r="B812"/>
      <c r="C812"/>
      <c r="D812"/>
      <c r="E812"/>
      <c r="F812"/>
      <c r="G812"/>
      <c r="H812"/>
      <c r="I812"/>
      <c r="J812"/>
      <c r="K812"/>
      <c r="L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</row>
    <row r="813" spans="1:63">
      <c r="A813" s="70"/>
      <c r="B813"/>
      <c r="C813"/>
      <c r="D813"/>
      <c r="E813"/>
      <c r="F813"/>
      <c r="G813"/>
      <c r="H813"/>
      <c r="I813"/>
      <c r="J813"/>
      <c r="K813"/>
      <c r="L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</row>
    <row r="814" spans="1:63">
      <c r="A814" s="70"/>
      <c r="B814"/>
      <c r="C814"/>
      <c r="D814"/>
      <c r="E814"/>
      <c r="F814"/>
      <c r="G814"/>
      <c r="H814"/>
      <c r="I814"/>
      <c r="J814"/>
      <c r="K814"/>
      <c r="L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</row>
    <row r="815" spans="1:63">
      <c r="A815" s="70"/>
      <c r="B815"/>
      <c r="C815"/>
      <c r="D815"/>
      <c r="E815"/>
      <c r="F815"/>
      <c r="G815"/>
      <c r="H815"/>
      <c r="I815"/>
      <c r="J815"/>
      <c r="K815"/>
      <c r="L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</row>
    <row r="816" spans="1:63">
      <c r="A816" s="70"/>
      <c r="B816"/>
      <c r="C816"/>
      <c r="D816"/>
      <c r="E816"/>
      <c r="F816"/>
      <c r="G816"/>
      <c r="H816"/>
      <c r="I816"/>
      <c r="J816"/>
      <c r="K816"/>
      <c r="L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</row>
    <row r="817" spans="1:63">
      <c r="A817" s="70"/>
      <c r="B817"/>
      <c r="C817"/>
      <c r="D817"/>
      <c r="E817"/>
      <c r="F817"/>
      <c r="G817"/>
      <c r="H817"/>
      <c r="I817"/>
      <c r="J817"/>
      <c r="K817"/>
      <c r="L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</row>
    <row r="818" spans="1:63">
      <c r="A818" s="70"/>
      <c r="B818"/>
      <c r="C818"/>
      <c r="D818"/>
      <c r="E818"/>
      <c r="F818"/>
      <c r="G818"/>
      <c r="H818"/>
      <c r="I818"/>
      <c r="J818"/>
      <c r="K818"/>
      <c r="L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</row>
    <row r="819" spans="1:63">
      <c r="A819" s="70"/>
      <c r="B819"/>
      <c r="C819"/>
      <c r="D819"/>
      <c r="E819"/>
      <c r="F819"/>
      <c r="G819"/>
      <c r="H819"/>
      <c r="I819"/>
      <c r="J819"/>
      <c r="K819"/>
      <c r="L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</row>
    <row r="820" spans="1:63">
      <c r="A820" s="70"/>
      <c r="B820"/>
      <c r="C820"/>
      <c r="D820"/>
      <c r="E820"/>
      <c r="F820"/>
      <c r="G820"/>
      <c r="H820"/>
      <c r="I820"/>
      <c r="J820"/>
      <c r="K820"/>
      <c r="L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</row>
    <row r="821" spans="1:63">
      <c r="A821" s="70"/>
      <c r="B821"/>
      <c r="C821"/>
      <c r="D821"/>
      <c r="E821"/>
      <c r="F821"/>
      <c r="G821"/>
      <c r="H821"/>
      <c r="I821"/>
      <c r="J821"/>
      <c r="K821"/>
      <c r="L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</row>
    <row r="822" spans="1:63">
      <c r="A822" s="70"/>
      <c r="B822"/>
      <c r="C822"/>
      <c r="D822"/>
      <c r="E822"/>
      <c r="F822"/>
      <c r="G822"/>
      <c r="H822"/>
      <c r="I822"/>
      <c r="J822"/>
      <c r="K822"/>
      <c r="L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</row>
    <row r="823" spans="1:63">
      <c r="A823" s="70"/>
      <c r="B823"/>
      <c r="C823"/>
      <c r="D823"/>
      <c r="E823"/>
      <c r="F823"/>
      <c r="G823"/>
      <c r="H823"/>
      <c r="I823"/>
      <c r="J823"/>
      <c r="K823"/>
      <c r="L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</row>
    <row r="824" spans="1:63">
      <c r="A824" s="70"/>
      <c r="B824"/>
      <c r="C824"/>
      <c r="D824"/>
      <c r="E824"/>
      <c r="F824"/>
      <c r="G824"/>
      <c r="H824"/>
      <c r="I824"/>
      <c r="J824"/>
      <c r="K824"/>
      <c r="L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</row>
    <row r="825" spans="1:63">
      <c r="A825" s="70"/>
      <c r="B825"/>
      <c r="C825"/>
      <c r="D825"/>
      <c r="E825"/>
      <c r="F825"/>
      <c r="G825"/>
      <c r="H825"/>
      <c r="I825"/>
      <c r="J825"/>
      <c r="K825"/>
      <c r="L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</row>
    <row r="826" spans="1:63">
      <c r="A826" s="70"/>
      <c r="B826"/>
      <c r="C826"/>
      <c r="D826"/>
      <c r="E826"/>
      <c r="F826"/>
      <c r="G826"/>
      <c r="H826"/>
      <c r="I826"/>
      <c r="J826"/>
      <c r="K826"/>
      <c r="L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</row>
    <row r="827" spans="1:63">
      <c r="A827" s="70"/>
      <c r="B827"/>
      <c r="C827"/>
      <c r="D827"/>
      <c r="E827"/>
      <c r="F827"/>
      <c r="G827"/>
      <c r="H827"/>
      <c r="I827"/>
      <c r="J827"/>
      <c r="K827"/>
      <c r="L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</row>
    <row r="828" spans="1:63">
      <c r="A828" s="70"/>
      <c r="B828"/>
      <c r="C828"/>
      <c r="D828"/>
      <c r="E828"/>
      <c r="F828"/>
      <c r="G828"/>
      <c r="H828"/>
      <c r="I828"/>
      <c r="J828"/>
      <c r="K828"/>
      <c r="L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</row>
    <row r="829" spans="1:63">
      <c r="A829" s="70"/>
      <c r="B829"/>
      <c r="C829"/>
      <c r="D829"/>
      <c r="E829"/>
      <c r="F829"/>
      <c r="G829"/>
      <c r="H829"/>
      <c r="I829"/>
      <c r="J829"/>
      <c r="K829"/>
      <c r="L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</row>
    <row r="830" spans="1:63">
      <c r="A830" s="70"/>
      <c r="B830"/>
      <c r="C830"/>
      <c r="D830"/>
      <c r="E830"/>
      <c r="F830"/>
      <c r="G830"/>
      <c r="H830"/>
      <c r="I830"/>
      <c r="J830"/>
      <c r="K830"/>
      <c r="L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</row>
    <row r="831" spans="1:63">
      <c r="A831" s="70"/>
      <c r="B831"/>
      <c r="C831"/>
      <c r="D831"/>
      <c r="E831"/>
      <c r="F831"/>
      <c r="G831"/>
      <c r="H831"/>
      <c r="I831"/>
      <c r="J831"/>
      <c r="K831"/>
      <c r="L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</row>
    <row r="832" spans="1:63">
      <c r="A832" s="70"/>
      <c r="B832"/>
      <c r="C832"/>
      <c r="D832"/>
      <c r="E832"/>
      <c r="F832"/>
      <c r="G832"/>
      <c r="H832"/>
      <c r="I832"/>
      <c r="J832"/>
      <c r="K832"/>
      <c r="L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</row>
    <row r="833" spans="1:63">
      <c r="A833" s="70"/>
      <c r="B833"/>
      <c r="C833"/>
      <c r="D833"/>
      <c r="E833"/>
      <c r="F833"/>
      <c r="G833"/>
      <c r="H833"/>
      <c r="I833"/>
      <c r="J833"/>
      <c r="K833"/>
      <c r="L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</row>
    <row r="834" spans="1:63">
      <c r="A834" s="70"/>
      <c r="B834"/>
      <c r="C834"/>
      <c r="D834"/>
      <c r="E834"/>
      <c r="F834"/>
      <c r="G834"/>
      <c r="H834"/>
      <c r="I834"/>
      <c r="J834"/>
      <c r="K834"/>
      <c r="L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</row>
    <row r="835" spans="1:63">
      <c r="A835" s="70"/>
      <c r="B835"/>
      <c r="C835"/>
      <c r="D835"/>
      <c r="E835"/>
      <c r="F835"/>
      <c r="G835"/>
      <c r="H835"/>
      <c r="I835"/>
      <c r="J835"/>
      <c r="K835"/>
      <c r="L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</row>
    <row r="836" spans="1:63">
      <c r="A836" s="70"/>
      <c r="B836"/>
      <c r="C836"/>
      <c r="D836"/>
      <c r="E836"/>
      <c r="F836"/>
      <c r="G836"/>
      <c r="H836"/>
      <c r="I836"/>
      <c r="J836"/>
      <c r="K836"/>
      <c r="L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</row>
    <row r="837" spans="1:63">
      <c r="A837" s="70"/>
      <c r="B837"/>
      <c r="C837"/>
      <c r="D837"/>
      <c r="E837"/>
      <c r="F837"/>
      <c r="G837"/>
      <c r="H837"/>
      <c r="I837"/>
      <c r="J837"/>
      <c r="K837"/>
      <c r="L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</row>
    <row r="838" spans="1:63">
      <c r="A838" s="70"/>
      <c r="B838"/>
      <c r="C838"/>
      <c r="D838"/>
      <c r="E838"/>
      <c r="F838"/>
      <c r="G838"/>
      <c r="H838"/>
      <c r="I838"/>
      <c r="J838"/>
      <c r="K838"/>
      <c r="L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</row>
    <row r="839" spans="1:63">
      <c r="A839" s="70"/>
      <c r="B839"/>
      <c r="C839"/>
      <c r="D839"/>
      <c r="E839"/>
      <c r="F839"/>
      <c r="G839"/>
      <c r="H839"/>
      <c r="I839"/>
      <c r="J839"/>
      <c r="K839"/>
      <c r="L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</row>
    <row r="840" spans="1:63">
      <c r="A840" s="70"/>
      <c r="B840"/>
      <c r="C840"/>
      <c r="D840"/>
      <c r="E840"/>
      <c r="F840"/>
      <c r="G840"/>
      <c r="H840"/>
      <c r="I840"/>
      <c r="J840"/>
      <c r="K840"/>
      <c r="L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</row>
    <row r="841" spans="1:63">
      <c r="A841" s="70"/>
      <c r="B841"/>
      <c r="C841"/>
      <c r="D841"/>
      <c r="E841"/>
      <c r="F841"/>
      <c r="G841"/>
      <c r="H841"/>
      <c r="I841"/>
      <c r="J841"/>
      <c r="K841"/>
      <c r="L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</row>
    <row r="842" spans="1:63">
      <c r="A842" s="70"/>
      <c r="B842"/>
      <c r="C842"/>
      <c r="D842"/>
      <c r="E842"/>
      <c r="F842"/>
      <c r="G842"/>
      <c r="H842"/>
      <c r="I842"/>
      <c r="J842"/>
      <c r="K842"/>
      <c r="L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</row>
    <row r="843" spans="1:63">
      <c r="A843" s="70"/>
      <c r="B843"/>
      <c r="C843"/>
      <c r="D843"/>
      <c r="E843"/>
      <c r="F843"/>
      <c r="G843"/>
      <c r="H843"/>
      <c r="I843"/>
      <c r="J843"/>
      <c r="K843"/>
      <c r="L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</row>
    <row r="844" spans="1:63">
      <c r="A844" s="70"/>
      <c r="B844"/>
      <c r="C844"/>
      <c r="D844"/>
      <c r="E844"/>
      <c r="F844"/>
      <c r="G844"/>
      <c r="H844"/>
      <c r="I844"/>
      <c r="J844"/>
      <c r="K844"/>
      <c r="L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</row>
    <row r="845" spans="1:63">
      <c r="A845" s="70"/>
      <c r="B845"/>
      <c r="C845"/>
      <c r="D845"/>
      <c r="E845"/>
      <c r="F845"/>
      <c r="G845"/>
      <c r="H845"/>
      <c r="I845"/>
      <c r="J845"/>
      <c r="K845"/>
      <c r="L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</row>
    <row r="846" spans="1:63">
      <c r="A846" s="70"/>
      <c r="B846"/>
      <c r="C846"/>
      <c r="D846"/>
      <c r="E846"/>
      <c r="F846"/>
      <c r="G846"/>
      <c r="H846"/>
      <c r="I846"/>
      <c r="J846"/>
      <c r="K846"/>
      <c r="L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</row>
    <row r="847" spans="1:63">
      <c r="A847" s="70"/>
      <c r="B847"/>
      <c r="C847"/>
      <c r="D847"/>
      <c r="E847"/>
      <c r="F847"/>
      <c r="G847"/>
      <c r="H847"/>
      <c r="I847"/>
      <c r="J847"/>
      <c r="K847"/>
      <c r="L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</row>
    <row r="848" spans="1:63">
      <c r="A848" s="70"/>
      <c r="B848"/>
      <c r="C848"/>
      <c r="D848"/>
      <c r="E848"/>
      <c r="F848"/>
      <c r="G848"/>
      <c r="H848"/>
      <c r="I848"/>
      <c r="J848"/>
      <c r="K848"/>
      <c r="L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</row>
    <row r="849" spans="1:63">
      <c r="A849" s="70"/>
      <c r="B849"/>
      <c r="C849"/>
      <c r="D849"/>
      <c r="E849"/>
      <c r="F849"/>
      <c r="G849"/>
      <c r="H849"/>
      <c r="I849"/>
      <c r="J849"/>
      <c r="K849"/>
      <c r="L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</row>
    <row r="850" spans="1:63">
      <c r="A850" s="70"/>
      <c r="B850"/>
      <c r="C850"/>
      <c r="D850"/>
      <c r="E850"/>
      <c r="F850"/>
      <c r="G850"/>
      <c r="H850"/>
      <c r="I850"/>
      <c r="J850"/>
      <c r="K850"/>
      <c r="L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</row>
    <row r="851" spans="1:63">
      <c r="A851" s="70"/>
      <c r="B851"/>
      <c r="C851"/>
      <c r="D851"/>
      <c r="E851"/>
      <c r="F851"/>
      <c r="G851"/>
      <c r="H851"/>
      <c r="I851"/>
      <c r="J851"/>
      <c r="K851"/>
      <c r="L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</row>
    <row r="852" spans="1:63">
      <c r="A852" s="70"/>
      <c r="B852"/>
      <c r="C852"/>
      <c r="D852"/>
      <c r="E852"/>
      <c r="F852"/>
      <c r="G852"/>
      <c r="H852"/>
      <c r="I852"/>
      <c r="J852"/>
      <c r="K852"/>
      <c r="L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</row>
    <row r="853" spans="1:63">
      <c r="A853" s="70"/>
      <c r="B853"/>
      <c r="C853"/>
      <c r="D853"/>
      <c r="E853"/>
      <c r="F853"/>
      <c r="G853"/>
      <c r="H853"/>
      <c r="I853"/>
      <c r="J853"/>
      <c r="K853"/>
      <c r="L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</row>
    <row r="854" spans="1:63">
      <c r="A854" s="70"/>
      <c r="B854"/>
      <c r="C854"/>
      <c r="D854"/>
      <c r="E854"/>
      <c r="F854"/>
      <c r="G854"/>
      <c r="H854"/>
      <c r="I854"/>
      <c r="J854"/>
      <c r="K854"/>
      <c r="L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</row>
    <row r="855" spans="1:63">
      <c r="A855" s="70"/>
      <c r="B855"/>
      <c r="C855"/>
      <c r="D855"/>
      <c r="E855"/>
      <c r="F855"/>
      <c r="G855"/>
      <c r="H855"/>
      <c r="I855"/>
      <c r="J855"/>
      <c r="K855"/>
      <c r="L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</row>
    <row r="856" spans="1:63">
      <c r="A856" s="70"/>
      <c r="B856"/>
      <c r="C856"/>
      <c r="D856"/>
      <c r="E856"/>
      <c r="F856"/>
      <c r="G856"/>
      <c r="H856"/>
      <c r="I856"/>
      <c r="J856"/>
      <c r="K856"/>
      <c r="L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</row>
    <row r="857" spans="1:63">
      <c r="A857" s="70"/>
      <c r="B857"/>
      <c r="C857"/>
      <c r="D857"/>
      <c r="E857"/>
      <c r="F857"/>
      <c r="G857"/>
      <c r="H857"/>
      <c r="I857"/>
      <c r="J857"/>
      <c r="K857"/>
      <c r="L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</row>
    <row r="858" spans="1:63">
      <c r="A858" s="70"/>
      <c r="B858"/>
      <c r="C858"/>
      <c r="D858"/>
      <c r="E858"/>
      <c r="F858"/>
      <c r="G858"/>
      <c r="H858"/>
      <c r="I858"/>
      <c r="J858"/>
      <c r="K858"/>
      <c r="L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</row>
    <row r="859" spans="1:63">
      <c r="A859" s="70"/>
      <c r="B859"/>
      <c r="C859"/>
      <c r="D859"/>
      <c r="E859"/>
      <c r="F859"/>
      <c r="G859"/>
      <c r="H859"/>
      <c r="I859"/>
      <c r="J859"/>
      <c r="K859"/>
      <c r="L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</row>
    <row r="860" spans="1:63">
      <c r="A860" s="70"/>
      <c r="B860"/>
      <c r="C860"/>
      <c r="D860"/>
      <c r="E860"/>
      <c r="F860"/>
      <c r="G860"/>
      <c r="H860"/>
      <c r="I860"/>
      <c r="J860"/>
      <c r="K860"/>
      <c r="L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</row>
    <row r="861" spans="1:63">
      <c r="A861" s="70"/>
      <c r="B861"/>
      <c r="C861"/>
      <c r="D861"/>
      <c r="E861"/>
      <c r="F861"/>
      <c r="G861"/>
      <c r="H861"/>
      <c r="I861"/>
      <c r="J861"/>
      <c r="K861"/>
      <c r="L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</row>
    <row r="862" spans="1:63">
      <c r="A862" s="70"/>
      <c r="B862"/>
      <c r="C862"/>
      <c r="D862"/>
      <c r="E862"/>
      <c r="F862"/>
      <c r="G862"/>
      <c r="H862"/>
      <c r="I862"/>
      <c r="J862"/>
      <c r="K862"/>
      <c r="L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</row>
    <row r="863" spans="1:63">
      <c r="A863" s="70"/>
      <c r="B863"/>
      <c r="C863"/>
      <c r="D863"/>
      <c r="E863"/>
      <c r="F863"/>
      <c r="G863"/>
      <c r="H863"/>
      <c r="I863"/>
      <c r="J863"/>
      <c r="K863"/>
      <c r="L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</row>
    <row r="864" spans="1:63">
      <c r="A864" s="70"/>
      <c r="B864"/>
      <c r="C864"/>
      <c r="D864"/>
      <c r="E864"/>
      <c r="F864"/>
      <c r="G864"/>
      <c r="H864"/>
      <c r="I864"/>
      <c r="J864"/>
      <c r="K864"/>
      <c r="L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</row>
    <row r="865" spans="1:63">
      <c r="A865" s="70"/>
      <c r="B865"/>
      <c r="C865"/>
      <c r="D865"/>
      <c r="E865"/>
      <c r="F865"/>
      <c r="G865"/>
      <c r="H865"/>
      <c r="I865"/>
      <c r="J865"/>
      <c r="K865"/>
      <c r="L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</row>
    <row r="866" spans="1:63">
      <c r="A866" s="70"/>
      <c r="B866"/>
      <c r="C866"/>
      <c r="D866"/>
      <c r="E866"/>
      <c r="F866"/>
      <c r="G866"/>
      <c r="H866"/>
      <c r="I866"/>
      <c r="J866"/>
      <c r="K866"/>
      <c r="L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</row>
    <row r="867" spans="1:63">
      <c r="A867" s="70"/>
      <c r="B867"/>
      <c r="C867"/>
      <c r="D867"/>
      <c r="E867"/>
      <c r="F867"/>
      <c r="G867"/>
      <c r="H867"/>
      <c r="I867"/>
      <c r="J867"/>
      <c r="K867"/>
      <c r="L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</row>
    <row r="868" spans="1:63">
      <c r="A868" s="70"/>
      <c r="B868"/>
      <c r="C868"/>
      <c r="D868"/>
      <c r="E868"/>
      <c r="F868"/>
      <c r="G868"/>
      <c r="H868"/>
      <c r="I868"/>
      <c r="J868"/>
      <c r="K868"/>
      <c r="L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</row>
    <row r="869" spans="1:63">
      <c r="A869" s="70"/>
      <c r="B869"/>
      <c r="C869"/>
      <c r="D869"/>
      <c r="E869"/>
      <c r="F869"/>
      <c r="G869"/>
      <c r="H869"/>
      <c r="I869"/>
      <c r="J869"/>
      <c r="K869"/>
      <c r="L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</row>
    <row r="870" spans="1:63">
      <c r="A870" s="70"/>
      <c r="B870"/>
      <c r="C870"/>
      <c r="D870"/>
      <c r="E870"/>
      <c r="F870"/>
      <c r="G870"/>
      <c r="H870"/>
      <c r="I870"/>
      <c r="J870"/>
      <c r="K870"/>
      <c r="L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</row>
    <row r="871" spans="1:63">
      <c r="A871" s="70"/>
      <c r="B871"/>
      <c r="C871"/>
      <c r="D871"/>
      <c r="E871"/>
      <c r="F871"/>
      <c r="G871"/>
      <c r="H871"/>
      <c r="I871"/>
      <c r="J871"/>
      <c r="K871"/>
      <c r="L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</row>
    <row r="872" spans="1:63">
      <c r="A872" s="70"/>
      <c r="B872"/>
      <c r="C872"/>
      <c r="D872"/>
      <c r="E872"/>
      <c r="F872"/>
      <c r="G872"/>
      <c r="H872"/>
      <c r="I872"/>
      <c r="J872"/>
      <c r="K872"/>
      <c r="L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</row>
    <row r="873" spans="1:63">
      <c r="A873" s="70"/>
      <c r="B873"/>
      <c r="C873"/>
      <c r="D873"/>
      <c r="E873"/>
      <c r="F873"/>
      <c r="G873"/>
      <c r="H873"/>
      <c r="I873"/>
      <c r="J873"/>
      <c r="K873"/>
      <c r="L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</row>
    <row r="874" spans="1:63">
      <c r="A874" s="70"/>
      <c r="B874"/>
      <c r="C874"/>
      <c r="D874"/>
      <c r="E874"/>
      <c r="F874"/>
      <c r="G874"/>
      <c r="H874"/>
      <c r="I874"/>
      <c r="J874"/>
      <c r="K874"/>
      <c r="L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</row>
    <row r="875" spans="1:63">
      <c r="A875" s="70"/>
      <c r="B875"/>
      <c r="C875"/>
      <c r="D875"/>
      <c r="E875"/>
      <c r="F875"/>
      <c r="G875"/>
      <c r="H875"/>
      <c r="I875"/>
      <c r="J875"/>
      <c r="K875"/>
      <c r="L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</row>
    <row r="876" spans="1:63">
      <c r="A876" s="70"/>
      <c r="B876"/>
      <c r="C876"/>
      <c r="D876"/>
      <c r="E876"/>
      <c r="F876"/>
      <c r="G876"/>
      <c r="H876"/>
      <c r="I876"/>
      <c r="J876"/>
      <c r="K876"/>
      <c r="L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</row>
    <row r="877" spans="1:63">
      <c r="A877" s="70"/>
      <c r="B877"/>
      <c r="C877"/>
      <c r="D877"/>
      <c r="E877"/>
      <c r="F877"/>
      <c r="G877"/>
      <c r="H877"/>
      <c r="I877"/>
      <c r="J877"/>
      <c r="K877"/>
      <c r="L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</row>
    <row r="878" spans="1:63">
      <c r="A878" s="70"/>
      <c r="B878"/>
      <c r="C878"/>
      <c r="D878"/>
      <c r="E878"/>
      <c r="F878"/>
      <c r="G878"/>
      <c r="H878"/>
      <c r="I878"/>
      <c r="J878"/>
      <c r="K878"/>
      <c r="L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</row>
    <row r="879" spans="1:63">
      <c r="A879" s="70"/>
      <c r="B879"/>
      <c r="C879"/>
      <c r="D879"/>
      <c r="E879"/>
      <c r="F879"/>
      <c r="G879"/>
      <c r="H879"/>
      <c r="I879"/>
      <c r="J879"/>
      <c r="K879"/>
      <c r="L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</row>
    <row r="880" spans="1:63">
      <c r="A880" s="70"/>
      <c r="B880"/>
      <c r="C880"/>
      <c r="D880"/>
      <c r="E880"/>
      <c r="F880"/>
      <c r="G880"/>
      <c r="H880"/>
      <c r="I880"/>
      <c r="J880"/>
      <c r="K880"/>
      <c r="L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</row>
    <row r="881" spans="1:63">
      <c r="A881" s="70"/>
      <c r="B881"/>
      <c r="C881"/>
      <c r="D881"/>
      <c r="E881"/>
      <c r="F881"/>
      <c r="G881"/>
      <c r="H881"/>
      <c r="I881"/>
      <c r="J881"/>
      <c r="K881"/>
      <c r="L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</row>
    <row r="882" spans="1:63">
      <c r="A882" s="70"/>
      <c r="B882"/>
      <c r="C882"/>
      <c r="D882"/>
      <c r="E882"/>
      <c r="F882"/>
      <c r="G882"/>
      <c r="H882"/>
      <c r="I882"/>
      <c r="J882"/>
      <c r="K882"/>
      <c r="L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</row>
    <row r="883" spans="1:63">
      <c r="A883" s="70"/>
      <c r="B883"/>
      <c r="C883"/>
      <c r="D883"/>
      <c r="E883"/>
      <c r="F883"/>
      <c r="G883"/>
      <c r="H883"/>
      <c r="I883"/>
      <c r="J883"/>
      <c r="K883"/>
      <c r="L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</row>
    <row r="884" spans="1:63">
      <c r="A884" s="70"/>
      <c r="B884"/>
      <c r="C884"/>
      <c r="D884"/>
      <c r="E884"/>
      <c r="F884"/>
      <c r="G884"/>
      <c r="H884"/>
      <c r="I884"/>
      <c r="J884"/>
      <c r="K884"/>
      <c r="L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</row>
    <row r="885" spans="1:63">
      <c r="A885" s="70"/>
      <c r="B885"/>
      <c r="C885"/>
      <c r="D885"/>
      <c r="E885"/>
      <c r="F885"/>
      <c r="G885"/>
      <c r="H885"/>
      <c r="I885"/>
      <c r="J885"/>
      <c r="K885"/>
      <c r="L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</row>
    <row r="886" spans="1:63">
      <c r="A886" s="70"/>
      <c r="B886"/>
      <c r="C886"/>
      <c r="D886"/>
      <c r="E886"/>
      <c r="F886"/>
      <c r="G886"/>
      <c r="H886"/>
      <c r="I886"/>
      <c r="J886"/>
      <c r="K886"/>
      <c r="L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</row>
    <row r="887" spans="1:63">
      <c r="A887" s="70"/>
      <c r="B887"/>
      <c r="C887"/>
      <c r="D887"/>
      <c r="E887"/>
      <c r="F887"/>
      <c r="G887"/>
      <c r="H887"/>
      <c r="I887"/>
      <c r="J887"/>
      <c r="K887"/>
      <c r="L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</row>
    <row r="888" spans="1:63">
      <c r="A888" s="70"/>
      <c r="B888"/>
      <c r="C888"/>
      <c r="D888"/>
      <c r="E888"/>
      <c r="F888"/>
      <c r="G888"/>
      <c r="H888"/>
      <c r="I888"/>
      <c r="J888"/>
      <c r="K888"/>
      <c r="L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</row>
    <row r="889" spans="1:63">
      <c r="A889" s="70"/>
      <c r="B889"/>
      <c r="C889"/>
      <c r="D889"/>
      <c r="E889"/>
      <c r="F889"/>
      <c r="G889"/>
      <c r="H889"/>
      <c r="I889"/>
      <c r="J889"/>
      <c r="K889"/>
      <c r="L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</row>
    <row r="890" spans="1:63">
      <c r="A890" s="70"/>
      <c r="B890"/>
      <c r="C890"/>
      <c r="D890"/>
      <c r="E890"/>
      <c r="F890"/>
      <c r="G890"/>
      <c r="H890"/>
      <c r="I890"/>
      <c r="J890"/>
      <c r="K890"/>
      <c r="L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</row>
    <row r="891" spans="1:63">
      <c r="A891" s="70"/>
      <c r="B891"/>
      <c r="C891"/>
      <c r="D891"/>
      <c r="E891"/>
      <c r="F891"/>
      <c r="G891"/>
      <c r="H891"/>
      <c r="I891"/>
      <c r="J891"/>
      <c r="K891"/>
      <c r="L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</row>
    <row r="892" spans="1:63">
      <c r="A892" s="70"/>
      <c r="B892"/>
      <c r="C892"/>
      <c r="D892"/>
      <c r="E892"/>
      <c r="F892"/>
      <c r="G892"/>
      <c r="H892"/>
      <c r="I892"/>
      <c r="J892"/>
      <c r="K892"/>
      <c r="L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</row>
    <row r="893" spans="1:63">
      <c r="A893" s="70"/>
      <c r="B893"/>
      <c r="C893"/>
      <c r="D893"/>
      <c r="E893"/>
      <c r="F893"/>
      <c r="G893"/>
      <c r="H893"/>
      <c r="I893"/>
      <c r="J893"/>
      <c r="K893"/>
      <c r="L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</row>
    <row r="894" spans="1:63">
      <c r="A894" s="70"/>
      <c r="B894"/>
      <c r="C894"/>
      <c r="D894"/>
      <c r="E894"/>
      <c r="F894"/>
      <c r="G894"/>
      <c r="H894"/>
      <c r="I894"/>
      <c r="J894"/>
      <c r="K894"/>
      <c r="L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</row>
    <row r="895" spans="1:63">
      <c r="A895" s="70"/>
      <c r="B895"/>
      <c r="C895"/>
      <c r="D895"/>
      <c r="E895"/>
      <c r="F895"/>
      <c r="G895"/>
      <c r="H895"/>
      <c r="I895"/>
      <c r="J895"/>
      <c r="K895"/>
      <c r="L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</row>
    <row r="896" spans="1:63">
      <c r="A896" s="70"/>
      <c r="B896"/>
      <c r="C896"/>
      <c r="D896"/>
      <c r="E896"/>
      <c r="F896"/>
      <c r="G896"/>
      <c r="H896"/>
      <c r="I896"/>
      <c r="J896"/>
      <c r="K896"/>
      <c r="L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</row>
    <row r="897" spans="1:63">
      <c r="A897" s="70"/>
      <c r="B897"/>
      <c r="C897"/>
      <c r="D897"/>
      <c r="E897"/>
      <c r="F897"/>
      <c r="G897"/>
      <c r="H897"/>
      <c r="I897"/>
      <c r="J897"/>
      <c r="K897"/>
      <c r="L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</row>
    <row r="898" spans="1:63">
      <c r="A898" s="70"/>
      <c r="B898"/>
      <c r="C898"/>
      <c r="D898"/>
      <c r="E898"/>
      <c r="F898"/>
      <c r="G898"/>
      <c r="H898"/>
      <c r="I898"/>
      <c r="J898"/>
      <c r="K898"/>
      <c r="L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</row>
    <row r="899" spans="1:63">
      <c r="A899" s="70"/>
      <c r="B899"/>
      <c r="C899"/>
      <c r="D899"/>
      <c r="E899"/>
      <c r="F899"/>
      <c r="G899"/>
      <c r="H899"/>
      <c r="I899"/>
      <c r="J899"/>
      <c r="K899"/>
      <c r="L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</row>
    <row r="900" spans="1:63">
      <c r="A900" s="70"/>
      <c r="B900"/>
      <c r="C900"/>
      <c r="D900"/>
      <c r="E900"/>
      <c r="F900"/>
      <c r="G900"/>
      <c r="H900"/>
      <c r="I900"/>
      <c r="J900"/>
      <c r="K900"/>
      <c r="L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</row>
    <row r="901" spans="1:63">
      <c r="A901" s="70"/>
      <c r="B901"/>
      <c r="C901"/>
      <c r="D901"/>
      <c r="E901"/>
      <c r="F901"/>
      <c r="G901"/>
      <c r="H901"/>
      <c r="I901"/>
      <c r="J901"/>
      <c r="K901"/>
      <c r="L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</row>
    <row r="902" spans="1:63">
      <c r="A902" s="70"/>
      <c r="B902"/>
      <c r="C902"/>
      <c r="D902"/>
      <c r="E902"/>
      <c r="F902"/>
      <c r="G902"/>
      <c r="H902"/>
      <c r="I902"/>
      <c r="J902"/>
      <c r="K902"/>
      <c r="L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</row>
    <row r="903" spans="1:63">
      <c r="A903" s="70"/>
      <c r="B903"/>
      <c r="C903"/>
      <c r="D903"/>
      <c r="E903"/>
      <c r="F903"/>
      <c r="G903"/>
      <c r="H903"/>
      <c r="I903"/>
      <c r="J903"/>
      <c r="K903"/>
      <c r="L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</row>
    <row r="904" spans="1:63">
      <c r="A904" s="70"/>
      <c r="B904"/>
      <c r="C904"/>
      <c r="D904"/>
      <c r="E904"/>
      <c r="F904"/>
      <c r="G904"/>
      <c r="H904"/>
      <c r="I904"/>
      <c r="J904"/>
      <c r="K904"/>
      <c r="L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</row>
    <row r="905" spans="1:63">
      <c r="A905" s="70"/>
      <c r="B905"/>
      <c r="C905"/>
      <c r="D905"/>
      <c r="E905"/>
      <c r="F905"/>
      <c r="G905"/>
      <c r="H905"/>
      <c r="I905"/>
      <c r="J905"/>
      <c r="K905"/>
      <c r="L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</row>
    <row r="906" spans="1:63">
      <c r="A906" s="70"/>
      <c r="B906"/>
      <c r="C906"/>
      <c r="D906"/>
      <c r="E906"/>
      <c r="F906"/>
      <c r="G906"/>
      <c r="H906"/>
      <c r="I906"/>
      <c r="J906"/>
      <c r="K906"/>
      <c r="L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</row>
    <row r="907" spans="1:63">
      <c r="A907" s="70"/>
      <c r="B907"/>
      <c r="C907"/>
      <c r="D907"/>
      <c r="E907"/>
      <c r="F907"/>
      <c r="G907"/>
      <c r="H907"/>
      <c r="I907"/>
      <c r="J907"/>
      <c r="K907"/>
      <c r="L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</row>
    <row r="908" spans="1:63">
      <c r="A908" s="70"/>
      <c r="B908"/>
      <c r="C908"/>
      <c r="D908"/>
      <c r="E908"/>
      <c r="F908"/>
      <c r="G908"/>
      <c r="H908"/>
      <c r="I908"/>
      <c r="J908"/>
      <c r="K908"/>
      <c r="L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</row>
    <row r="909" spans="1:63">
      <c r="A909" s="70"/>
      <c r="B909"/>
      <c r="C909"/>
      <c r="D909"/>
      <c r="E909"/>
      <c r="F909"/>
      <c r="G909"/>
      <c r="H909"/>
      <c r="I909"/>
      <c r="J909"/>
      <c r="K909"/>
      <c r="L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</row>
    <row r="910" spans="1:63">
      <c r="A910" s="70"/>
      <c r="B910"/>
      <c r="C910"/>
      <c r="D910"/>
      <c r="E910"/>
      <c r="F910"/>
      <c r="G910"/>
      <c r="H910"/>
      <c r="I910"/>
      <c r="J910"/>
      <c r="K910"/>
      <c r="L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</row>
    <row r="911" spans="1:63">
      <c r="A911" s="70"/>
      <c r="B911"/>
      <c r="C911"/>
      <c r="D911"/>
      <c r="E911"/>
      <c r="F911"/>
      <c r="G911"/>
      <c r="H911"/>
      <c r="I911"/>
      <c r="J911"/>
      <c r="K911"/>
      <c r="L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</row>
    <row r="912" spans="1:63">
      <c r="A912" s="70"/>
      <c r="B912"/>
      <c r="C912"/>
      <c r="D912"/>
      <c r="E912"/>
      <c r="F912"/>
      <c r="G912"/>
      <c r="H912"/>
      <c r="I912"/>
      <c r="J912"/>
      <c r="K912"/>
      <c r="L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</row>
    <row r="913" spans="1:63">
      <c r="A913" s="70"/>
      <c r="B913"/>
      <c r="C913"/>
      <c r="D913"/>
      <c r="E913"/>
      <c r="F913"/>
      <c r="G913"/>
      <c r="H913"/>
      <c r="I913"/>
      <c r="J913"/>
      <c r="K913"/>
      <c r="L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</row>
    <row r="914" spans="1:63">
      <c r="A914" s="70"/>
      <c r="B914"/>
      <c r="C914"/>
      <c r="D914"/>
      <c r="E914"/>
      <c r="F914"/>
      <c r="G914"/>
      <c r="H914"/>
      <c r="I914"/>
      <c r="J914"/>
      <c r="K914"/>
      <c r="L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</row>
    <row r="915" spans="1:63">
      <c r="A915" s="70"/>
      <c r="B915"/>
      <c r="C915"/>
      <c r="D915"/>
      <c r="E915"/>
      <c r="F915"/>
      <c r="G915"/>
      <c r="H915"/>
      <c r="I915"/>
      <c r="J915"/>
      <c r="K915"/>
      <c r="L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</row>
    <row r="916" spans="1:63">
      <c r="A916" s="70"/>
      <c r="B916"/>
      <c r="C916"/>
      <c r="D916"/>
      <c r="E916"/>
      <c r="F916"/>
      <c r="G916"/>
      <c r="H916"/>
      <c r="I916"/>
      <c r="J916"/>
      <c r="K916"/>
      <c r="L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</row>
    <row r="917" spans="1:63">
      <c r="A917" s="70"/>
      <c r="B917"/>
      <c r="C917"/>
      <c r="D917"/>
      <c r="E917"/>
      <c r="F917"/>
      <c r="G917"/>
      <c r="H917"/>
      <c r="I917"/>
      <c r="J917"/>
      <c r="K917"/>
      <c r="L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</row>
    <row r="918" spans="1:63">
      <c r="A918" s="70"/>
      <c r="B918"/>
      <c r="C918"/>
      <c r="D918"/>
      <c r="E918"/>
      <c r="F918"/>
      <c r="G918"/>
      <c r="H918"/>
      <c r="I918"/>
      <c r="J918"/>
      <c r="K918"/>
      <c r="L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</row>
    <row r="919" spans="1:63">
      <c r="A919" s="70"/>
      <c r="B919"/>
      <c r="C919"/>
      <c r="D919"/>
      <c r="E919"/>
      <c r="F919"/>
      <c r="G919"/>
      <c r="H919"/>
      <c r="I919"/>
      <c r="J919"/>
      <c r="K919"/>
      <c r="L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</row>
    <row r="920" spans="1:63">
      <c r="A920" s="70"/>
      <c r="B920"/>
      <c r="C920"/>
      <c r="D920"/>
      <c r="E920"/>
      <c r="F920"/>
      <c r="G920"/>
      <c r="H920"/>
      <c r="I920"/>
      <c r="J920"/>
      <c r="K920"/>
      <c r="L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</row>
    <row r="921" spans="1:63">
      <c r="A921" s="70"/>
      <c r="B921"/>
      <c r="C921"/>
      <c r="D921"/>
      <c r="E921"/>
      <c r="F921"/>
      <c r="G921"/>
      <c r="H921"/>
      <c r="I921"/>
      <c r="J921"/>
      <c r="K921"/>
      <c r="L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</row>
    <row r="922" spans="1:63">
      <c r="A922" s="70"/>
      <c r="B922"/>
      <c r="C922"/>
      <c r="D922"/>
      <c r="E922"/>
      <c r="F922"/>
      <c r="G922"/>
      <c r="H922"/>
      <c r="I922"/>
      <c r="J922"/>
      <c r="K922"/>
      <c r="L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</row>
    <row r="923" spans="1:63">
      <c r="A923" s="70"/>
      <c r="B923"/>
      <c r="C923"/>
      <c r="D923"/>
      <c r="E923"/>
      <c r="F923"/>
      <c r="G923"/>
      <c r="H923"/>
      <c r="I923"/>
      <c r="J923"/>
      <c r="K923"/>
      <c r="L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</row>
    <row r="924" spans="1:63">
      <c r="A924" s="70"/>
      <c r="B924"/>
      <c r="C924"/>
      <c r="D924"/>
      <c r="E924"/>
      <c r="F924"/>
      <c r="G924"/>
      <c r="H924"/>
      <c r="I924"/>
      <c r="J924"/>
      <c r="K924"/>
      <c r="L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</row>
    <row r="925" spans="1:63">
      <c r="A925" s="70"/>
      <c r="B925"/>
      <c r="C925"/>
      <c r="D925"/>
      <c r="E925"/>
      <c r="F925"/>
      <c r="G925"/>
      <c r="H925"/>
      <c r="I925"/>
      <c r="J925"/>
      <c r="K925"/>
      <c r="L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</row>
    <row r="926" spans="1:63">
      <c r="A926" s="70"/>
      <c r="B926"/>
      <c r="C926"/>
      <c r="D926"/>
      <c r="E926"/>
      <c r="F926"/>
      <c r="G926"/>
      <c r="H926"/>
      <c r="I926"/>
      <c r="J926"/>
      <c r="K926"/>
      <c r="L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</row>
    <row r="927" spans="1:63">
      <c r="A927" s="70"/>
      <c r="B927"/>
      <c r="C927"/>
      <c r="D927"/>
      <c r="E927"/>
      <c r="F927"/>
      <c r="G927"/>
      <c r="H927"/>
      <c r="I927"/>
      <c r="J927"/>
      <c r="K927"/>
      <c r="L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</row>
    <row r="928" spans="1:63">
      <c r="A928" s="70"/>
      <c r="B928"/>
      <c r="C928"/>
      <c r="D928"/>
      <c r="E928"/>
      <c r="F928"/>
      <c r="G928"/>
      <c r="H928"/>
      <c r="I928"/>
      <c r="J928"/>
      <c r="K928"/>
      <c r="L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</row>
    <row r="929" spans="1:63">
      <c r="A929" s="70"/>
      <c r="B929"/>
      <c r="C929"/>
      <c r="D929"/>
      <c r="E929"/>
      <c r="F929"/>
      <c r="G929"/>
      <c r="H929"/>
      <c r="I929"/>
      <c r="J929"/>
      <c r="K929"/>
      <c r="L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</row>
    <row r="930" spans="1:63">
      <c r="A930" s="70"/>
      <c r="B930"/>
      <c r="C930"/>
      <c r="D930"/>
      <c r="E930"/>
      <c r="F930"/>
      <c r="G930"/>
      <c r="H930"/>
      <c r="I930"/>
      <c r="J930"/>
      <c r="K930"/>
      <c r="L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</row>
    <row r="931" spans="1:63">
      <c r="A931" s="70"/>
      <c r="B931"/>
      <c r="C931"/>
      <c r="D931"/>
      <c r="E931"/>
      <c r="F931"/>
      <c r="G931"/>
      <c r="H931"/>
      <c r="I931"/>
      <c r="J931"/>
      <c r="K931"/>
      <c r="L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</row>
    <row r="932" spans="1:63">
      <c r="A932" s="70"/>
      <c r="B932"/>
      <c r="C932"/>
      <c r="D932"/>
      <c r="E932"/>
      <c r="F932"/>
      <c r="G932"/>
      <c r="H932"/>
      <c r="I932"/>
      <c r="J932"/>
      <c r="K932"/>
      <c r="L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</row>
    <row r="933" spans="1:63">
      <c r="A933" s="70"/>
      <c r="B933"/>
      <c r="C933"/>
      <c r="D933"/>
      <c r="E933"/>
      <c r="F933"/>
      <c r="G933"/>
      <c r="H933"/>
      <c r="I933"/>
      <c r="J933"/>
      <c r="K933"/>
      <c r="L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</row>
    <row r="934" spans="1:63">
      <c r="A934" s="70"/>
      <c r="B934"/>
      <c r="C934"/>
      <c r="D934"/>
      <c r="E934"/>
      <c r="F934"/>
      <c r="G934"/>
      <c r="H934"/>
      <c r="I934"/>
      <c r="J934"/>
      <c r="K934"/>
      <c r="L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</row>
    <row r="935" spans="1:63">
      <c r="A935" s="70"/>
      <c r="B935"/>
      <c r="C935"/>
      <c r="D935"/>
      <c r="E935"/>
      <c r="F935"/>
      <c r="G935"/>
      <c r="H935"/>
      <c r="I935"/>
      <c r="J935"/>
      <c r="K935"/>
      <c r="L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</row>
    <row r="936" spans="1:63">
      <c r="A936" s="70"/>
      <c r="B936"/>
      <c r="C936"/>
      <c r="D936"/>
      <c r="E936"/>
      <c r="F936"/>
      <c r="G936"/>
      <c r="H936"/>
      <c r="I936"/>
      <c r="J936"/>
      <c r="K936"/>
      <c r="L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</row>
    <row r="937" spans="1:63">
      <c r="A937" s="70"/>
      <c r="B937"/>
      <c r="C937"/>
      <c r="D937"/>
      <c r="E937"/>
      <c r="F937"/>
      <c r="G937"/>
      <c r="H937"/>
      <c r="I937"/>
      <c r="J937"/>
      <c r="K937"/>
      <c r="L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</row>
    <row r="938" spans="1:63">
      <c r="A938" s="70"/>
      <c r="B938"/>
      <c r="C938"/>
      <c r="D938"/>
      <c r="E938"/>
      <c r="F938"/>
      <c r="G938"/>
      <c r="H938"/>
      <c r="I938"/>
      <c r="J938"/>
      <c r="K938"/>
      <c r="L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</row>
    <row r="939" spans="1:63">
      <c r="A939" s="70"/>
      <c r="B939"/>
      <c r="C939"/>
      <c r="D939"/>
      <c r="E939"/>
      <c r="F939"/>
      <c r="G939"/>
      <c r="H939"/>
      <c r="I939"/>
      <c r="J939"/>
      <c r="K939"/>
      <c r="L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</row>
    <row r="940" spans="1:63">
      <c r="A940" s="70"/>
      <c r="B940"/>
      <c r="C940"/>
      <c r="D940"/>
      <c r="E940"/>
      <c r="F940"/>
      <c r="G940"/>
      <c r="H940"/>
      <c r="I940"/>
      <c r="J940"/>
      <c r="K940"/>
      <c r="L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</row>
    <row r="941" spans="1:63">
      <c r="A941" s="70"/>
      <c r="B941"/>
      <c r="C941"/>
      <c r="D941"/>
      <c r="E941"/>
      <c r="F941"/>
      <c r="G941"/>
      <c r="H941"/>
      <c r="I941"/>
      <c r="J941"/>
      <c r="K941"/>
      <c r="L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</row>
    <row r="942" spans="1:63">
      <c r="A942" s="70"/>
      <c r="B942"/>
      <c r="C942"/>
      <c r="D942"/>
      <c r="E942"/>
      <c r="F942"/>
      <c r="G942"/>
      <c r="H942"/>
      <c r="I942"/>
      <c r="J942"/>
      <c r="K942"/>
      <c r="L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</row>
    <row r="943" spans="1:63">
      <c r="A943" s="70"/>
      <c r="B943"/>
      <c r="C943"/>
      <c r="D943"/>
      <c r="E943"/>
      <c r="F943"/>
      <c r="G943"/>
      <c r="H943"/>
      <c r="I943"/>
      <c r="J943"/>
      <c r="K943"/>
      <c r="L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</row>
    <row r="944" spans="1:63">
      <c r="A944" s="70"/>
      <c r="B944"/>
      <c r="C944"/>
      <c r="D944"/>
      <c r="E944"/>
      <c r="F944"/>
      <c r="G944"/>
      <c r="H944"/>
      <c r="I944"/>
      <c r="J944"/>
      <c r="K944"/>
      <c r="L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</row>
    <row r="945" spans="1:63">
      <c r="A945" s="70"/>
      <c r="B945"/>
      <c r="C945"/>
      <c r="D945"/>
      <c r="E945"/>
      <c r="F945"/>
      <c r="G945"/>
      <c r="H945"/>
      <c r="I945"/>
      <c r="J945"/>
      <c r="K945"/>
      <c r="L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</row>
    <row r="946" spans="1:63">
      <c r="A946" s="70"/>
      <c r="B946"/>
      <c r="C946"/>
      <c r="D946"/>
      <c r="E946"/>
      <c r="F946"/>
      <c r="G946"/>
      <c r="H946"/>
      <c r="I946"/>
      <c r="J946"/>
      <c r="K946"/>
      <c r="L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</row>
    <row r="947" spans="1:63">
      <c r="A947" s="70"/>
      <c r="B947"/>
      <c r="C947"/>
      <c r="D947"/>
      <c r="E947"/>
      <c r="F947"/>
      <c r="G947"/>
      <c r="H947"/>
      <c r="I947"/>
      <c r="J947"/>
      <c r="K947"/>
      <c r="L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</row>
    <row r="948" spans="1:63">
      <c r="A948" s="70"/>
      <c r="B948"/>
      <c r="C948"/>
      <c r="D948"/>
      <c r="E948"/>
      <c r="F948"/>
      <c r="G948"/>
      <c r="H948"/>
      <c r="I948"/>
      <c r="J948"/>
      <c r="K948"/>
      <c r="L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</row>
    <row r="949" spans="1:63">
      <c r="A949" s="70"/>
      <c r="B949"/>
      <c r="C949"/>
      <c r="D949"/>
      <c r="E949"/>
      <c r="F949"/>
      <c r="G949"/>
      <c r="H949"/>
      <c r="I949"/>
      <c r="J949"/>
      <c r="K949"/>
      <c r="L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</row>
    <row r="950" spans="1:63">
      <c r="A950" s="70"/>
      <c r="B950"/>
      <c r="C950"/>
      <c r="D950"/>
      <c r="E950"/>
      <c r="F950"/>
      <c r="G950"/>
      <c r="H950"/>
      <c r="I950"/>
      <c r="J950"/>
      <c r="K950"/>
      <c r="L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</row>
    <row r="951" spans="1:63">
      <c r="A951" s="70"/>
      <c r="B951"/>
      <c r="C951"/>
      <c r="D951"/>
      <c r="E951"/>
      <c r="F951"/>
      <c r="G951"/>
      <c r="H951"/>
      <c r="I951"/>
      <c r="J951"/>
      <c r="K951"/>
      <c r="L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</row>
    <row r="952" spans="1:63">
      <c r="A952" s="70"/>
      <c r="B952"/>
      <c r="C952"/>
      <c r="D952"/>
      <c r="E952"/>
      <c r="F952"/>
      <c r="G952"/>
      <c r="H952"/>
      <c r="I952"/>
      <c r="J952"/>
      <c r="K952"/>
      <c r="L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</row>
    <row r="953" spans="1:63">
      <c r="A953" s="70"/>
      <c r="B953"/>
      <c r="C953"/>
      <c r="D953"/>
      <c r="E953"/>
      <c r="F953"/>
      <c r="G953"/>
      <c r="H953"/>
      <c r="I953"/>
      <c r="J953"/>
      <c r="K953"/>
      <c r="L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</row>
    <row r="954" spans="1:63">
      <c r="A954" s="70"/>
      <c r="B954"/>
      <c r="C954"/>
      <c r="D954"/>
      <c r="E954"/>
      <c r="F954"/>
      <c r="G954"/>
      <c r="H954"/>
      <c r="I954"/>
      <c r="J954"/>
      <c r="K954"/>
      <c r="L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</row>
    <row r="955" spans="1:63">
      <c r="A955" s="70"/>
      <c r="B955"/>
      <c r="C955"/>
      <c r="D955"/>
      <c r="E955"/>
      <c r="F955"/>
      <c r="G955"/>
      <c r="H955"/>
      <c r="I955"/>
      <c r="J955"/>
      <c r="K955"/>
      <c r="L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</row>
    <row r="956" spans="1:63">
      <c r="A956" s="70"/>
      <c r="B956"/>
      <c r="C956"/>
      <c r="D956"/>
      <c r="E956"/>
      <c r="F956"/>
      <c r="G956"/>
      <c r="H956"/>
      <c r="I956"/>
      <c r="J956"/>
      <c r="K956"/>
      <c r="L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</row>
    <row r="957" spans="1:63">
      <c r="A957" s="70"/>
      <c r="B957"/>
      <c r="C957"/>
      <c r="D957"/>
      <c r="E957"/>
      <c r="F957"/>
      <c r="G957"/>
      <c r="H957"/>
      <c r="I957"/>
      <c r="J957"/>
      <c r="K957"/>
      <c r="L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</row>
    <row r="958" spans="1:63">
      <c r="A958" s="70"/>
      <c r="B958"/>
      <c r="C958"/>
      <c r="D958"/>
      <c r="E958"/>
      <c r="F958"/>
      <c r="G958"/>
      <c r="H958"/>
      <c r="I958"/>
      <c r="J958"/>
      <c r="K958"/>
      <c r="L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</row>
    <row r="959" spans="1:63">
      <c r="A959" s="70"/>
      <c r="B959"/>
      <c r="C959"/>
      <c r="D959"/>
      <c r="E959"/>
      <c r="F959"/>
      <c r="G959"/>
      <c r="H959"/>
      <c r="I959"/>
      <c r="J959"/>
      <c r="K959"/>
      <c r="L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</row>
    <row r="960" spans="1:63">
      <c r="A960" s="70"/>
      <c r="B960"/>
      <c r="C960"/>
      <c r="D960"/>
      <c r="E960"/>
      <c r="F960"/>
      <c r="G960"/>
      <c r="H960"/>
      <c r="I960"/>
      <c r="J960"/>
      <c r="K960"/>
      <c r="L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</row>
    <row r="961" spans="1:63">
      <c r="A961" s="70"/>
      <c r="B961"/>
      <c r="C961"/>
      <c r="D961"/>
      <c r="E961"/>
      <c r="F961"/>
      <c r="G961"/>
      <c r="H961"/>
      <c r="I961"/>
      <c r="J961"/>
      <c r="K961"/>
      <c r="L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</row>
    <row r="962" spans="1:63">
      <c r="A962" s="70"/>
      <c r="B962"/>
      <c r="C962"/>
      <c r="D962"/>
      <c r="E962"/>
      <c r="F962"/>
      <c r="G962"/>
      <c r="H962"/>
      <c r="I962"/>
      <c r="J962"/>
      <c r="K962"/>
      <c r="L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</row>
    <row r="963" spans="1:63">
      <c r="A963" s="70"/>
      <c r="B963"/>
      <c r="C963"/>
      <c r="D963"/>
      <c r="E963"/>
      <c r="F963"/>
      <c r="G963"/>
      <c r="H963"/>
      <c r="I963"/>
      <c r="J963"/>
      <c r="K963"/>
      <c r="L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</row>
    <row r="964" spans="1:63">
      <c r="A964" s="70"/>
      <c r="B964"/>
      <c r="C964"/>
      <c r="D964"/>
      <c r="E964"/>
      <c r="F964"/>
      <c r="G964"/>
      <c r="H964"/>
      <c r="I964"/>
      <c r="J964"/>
      <c r="K964"/>
      <c r="L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</row>
    <row r="965" spans="1:63">
      <c r="A965" s="70"/>
      <c r="B965"/>
      <c r="C965"/>
      <c r="D965"/>
      <c r="E965"/>
      <c r="F965"/>
      <c r="G965"/>
      <c r="H965"/>
      <c r="I965"/>
      <c r="J965"/>
      <c r="K965"/>
      <c r="L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</row>
    <row r="966" spans="1:63">
      <c r="A966" s="70"/>
      <c r="B966"/>
      <c r="C966"/>
      <c r="D966"/>
      <c r="E966"/>
      <c r="F966"/>
      <c r="G966"/>
      <c r="H966"/>
      <c r="I966"/>
      <c r="J966"/>
      <c r="K966"/>
      <c r="L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</row>
    <row r="967" spans="1:63">
      <c r="A967" s="70"/>
      <c r="B967"/>
      <c r="C967"/>
      <c r="D967"/>
      <c r="E967"/>
      <c r="F967"/>
      <c r="G967"/>
      <c r="H967"/>
      <c r="I967"/>
      <c r="J967"/>
      <c r="K967"/>
      <c r="L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</row>
    <row r="968" spans="1:63">
      <c r="A968" s="70"/>
      <c r="B968"/>
      <c r="C968"/>
      <c r="D968"/>
      <c r="E968"/>
      <c r="F968"/>
      <c r="G968"/>
      <c r="H968"/>
      <c r="I968"/>
      <c r="J968"/>
      <c r="K968"/>
      <c r="L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</row>
    <row r="969" spans="1:63">
      <c r="A969" s="70"/>
      <c r="B969"/>
      <c r="C969"/>
      <c r="D969"/>
      <c r="E969"/>
      <c r="F969"/>
      <c r="G969"/>
      <c r="H969"/>
      <c r="I969"/>
      <c r="J969"/>
      <c r="K969"/>
      <c r="L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</row>
    <row r="970" spans="1:63">
      <c r="A970" s="70"/>
      <c r="B970"/>
      <c r="C970"/>
      <c r="D970"/>
      <c r="E970"/>
      <c r="F970"/>
      <c r="G970"/>
      <c r="H970"/>
      <c r="I970"/>
      <c r="J970"/>
      <c r="K970"/>
      <c r="L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</row>
    <row r="971" spans="1:63">
      <c r="A971" s="70"/>
      <c r="B971"/>
      <c r="C971"/>
      <c r="D971"/>
      <c r="E971"/>
      <c r="F971"/>
      <c r="G971"/>
      <c r="H971"/>
      <c r="I971"/>
      <c r="J971"/>
      <c r="K971"/>
      <c r="L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</row>
    <row r="972" spans="1:63">
      <c r="A972" s="70"/>
      <c r="B972"/>
      <c r="C972"/>
      <c r="D972"/>
      <c r="E972"/>
      <c r="F972"/>
      <c r="G972"/>
      <c r="H972"/>
      <c r="I972"/>
      <c r="J972"/>
      <c r="K972"/>
      <c r="L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</row>
    <row r="973" spans="1:63">
      <c r="A973" s="70"/>
      <c r="B973"/>
      <c r="C973"/>
      <c r="D973"/>
      <c r="E973"/>
      <c r="F973"/>
      <c r="G973"/>
      <c r="H973"/>
      <c r="I973"/>
      <c r="J973"/>
      <c r="K973"/>
      <c r="L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</row>
    <row r="974" spans="1:63">
      <c r="A974" s="70"/>
      <c r="B974"/>
      <c r="C974"/>
      <c r="D974"/>
      <c r="E974"/>
      <c r="F974"/>
      <c r="G974"/>
      <c r="H974"/>
      <c r="I974"/>
      <c r="J974"/>
      <c r="K974"/>
      <c r="L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</row>
    <row r="975" spans="1:63">
      <c r="A975" s="70"/>
      <c r="B975"/>
      <c r="C975"/>
      <c r="D975"/>
      <c r="E975"/>
      <c r="F975"/>
      <c r="G975"/>
      <c r="H975"/>
      <c r="I975"/>
      <c r="J975"/>
      <c r="K975"/>
      <c r="L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</row>
    <row r="976" spans="1:63">
      <c r="A976" s="70"/>
      <c r="B976"/>
      <c r="C976"/>
      <c r="D976"/>
      <c r="E976"/>
      <c r="F976"/>
      <c r="G976"/>
      <c r="H976"/>
      <c r="I976"/>
      <c r="J976"/>
      <c r="K976"/>
      <c r="L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</row>
    <row r="977" spans="1:63">
      <c r="A977" s="70"/>
      <c r="B977"/>
      <c r="C977"/>
      <c r="D977"/>
      <c r="E977"/>
      <c r="F977"/>
      <c r="G977"/>
      <c r="H977"/>
      <c r="I977"/>
      <c r="J977"/>
      <c r="K977"/>
      <c r="L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</row>
    <row r="978" spans="1:63">
      <c r="A978" s="70"/>
      <c r="B978"/>
      <c r="C978"/>
      <c r="D978"/>
      <c r="E978"/>
      <c r="F978"/>
      <c r="G978"/>
      <c r="H978"/>
      <c r="I978"/>
      <c r="J978"/>
      <c r="K978"/>
      <c r="L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</row>
    <row r="979" spans="1:63">
      <c r="A979" s="70"/>
      <c r="B979"/>
      <c r="C979"/>
      <c r="D979"/>
      <c r="E979"/>
      <c r="F979"/>
      <c r="G979"/>
      <c r="H979"/>
      <c r="I979"/>
      <c r="J979"/>
      <c r="K979"/>
      <c r="L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</row>
    <row r="980" spans="1:63">
      <c r="A980" s="70"/>
      <c r="B980"/>
      <c r="C980"/>
      <c r="D980"/>
      <c r="E980"/>
      <c r="F980"/>
      <c r="G980"/>
      <c r="H980"/>
      <c r="I980"/>
      <c r="J980"/>
      <c r="K980"/>
      <c r="L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</row>
    <row r="981" spans="1:63">
      <c r="A981" s="70"/>
      <c r="B981"/>
      <c r="C981"/>
      <c r="D981"/>
      <c r="E981"/>
      <c r="F981"/>
      <c r="G981"/>
      <c r="H981"/>
      <c r="I981"/>
      <c r="J981"/>
      <c r="K981"/>
      <c r="L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</row>
    <row r="982" spans="1:63">
      <c r="A982" s="70"/>
      <c r="B982"/>
      <c r="C982"/>
      <c r="D982"/>
      <c r="E982"/>
      <c r="F982"/>
      <c r="G982"/>
      <c r="H982"/>
      <c r="I982"/>
      <c r="J982"/>
      <c r="K982"/>
      <c r="L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</row>
    <row r="983" spans="1:63">
      <c r="A983" s="70"/>
      <c r="B983"/>
      <c r="C983"/>
      <c r="D983"/>
      <c r="E983"/>
      <c r="F983"/>
      <c r="G983"/>
      <c r="H983"/>
      <c r="I983"/>
      <c r="J983"/>
      <c r="K983"/>
      <c r="L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</row>
    <row r="984" spans="1:63">
      <c r="A984" s="70"/>
      <c r="B984"/>
      <c r="C984"/>
      <c r="D984"/>
      <c r="E984"/>
      <c r="F984"/>
      <c r="G984"/>
      <c r="H984"/>
      <c r="I984"/>
      <c r="J984"/>
      <c r="K984"/>
      <c r="L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</row>
    <row r="985" spans="1:63">
      <c r="A985" s="70"/>
      <c r="B985"/>
      <c r="C985"/>
      <c r="D985"/>
      <c r="E985"/>
      <c r="F985"/>
      <c r="G985"/>
      <c r="H985"/>
      <c r="I985"/>
      <c r="J985"/>
      <c r="K985"/>
      <c r="L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</row>
    <row r="986" spans="1:63">
      <c r="A986" s="70"/>
      <c r="B986"/>
      <c r="C986"/>
      <c r="D986"/>
      <c r="E986"/>
      <c r="F986"/>
      <c r="G986"/>
      <c r="H986"/>
      <c r="I986"/>
      <c r="J986"/>
      <c r="K986"/>
      <c r="L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</row>
    <row r="987" spans="1:63">
      <c r="A987" s="70"/>
      <c r="B987"/>
      <c r="C987"/>
      <c r="D987"/>
      <c r="E987"/>
      <c r="F987"/>
      <c r="G987"/>
      <c r="H987"/>
      <c r="I987"/>
      <c r="J987"/>
      <c r="K987"/>
      <c r="L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</row>
    <row r="988" spans="1:63">
      <c r="A988" s="70"/>
      <c r="B988"/>
      <c r="C988"/>
      <c r="D988"/>
      <c r="E988"/>
      <c r="F988"/>
      <c r="G988"/>
      <c r="H988"/>
      <c r="I988"/>
      <c r="J988"/>
      <c r="K988"/>
      <c r="L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</row>
    <row r="989" spans="1:63">
      <c r="A989" s="70"/>
      <c r="B989"/>
      <c r="C989"/>
      <c r="D989"/>
      <c r="E989"/>
      <c r="F989"/>
      <c r="G989"/>
      <c r="H989"/>
      <c r="I989"/>
      <c r="J989"/>
      <c r="K989"/>
      <c r="L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</row>
    <row r="990" spans="1:63">
      <c r="A990" s="70"/>
      <c r="B990"/>
      <c r="C990"/>
      <c r="D990"/>
      <c r="E990"/>
      <c r="F990"/>
      <c r="G990"/>
      <c r="H990"/>
      <c r="I990"/>
      <c r="J990"/>
      <c r="K990"/>
      <c r="L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</row>
    <row r="991" spans="1:63">
      <c r="A991" s="70"/>
      <c r="B991"/>
      <c r="C991"/>
      <c r="D991"/>
      <c r="E991"/>
      <c r="F991"/>
      <c r="G991"/>
      <c r="H991"/>
      <c r="I991"/>
      <c r="J991"/>
      <c r="K991"/>
      <c r="L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</row>
    <row r="992" spans="1:63">
      <c r="A992" s="70"/>
      <c r="B992"/>
      <c r="C992"/>
      <c r="D992"/>
      <c r="E992"/>
      <c r="F992"/>
      <c r="G992"/>
      <c r="H992"/>
      <c r="I992"/>
      <c r="J992"/>
      <c r="K992"/>
      <c r="L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</row>
    <row r="993" spans="1:63">
      <c r="A993" s="70"/>
      <c r="B993"/>
      <c r="C993"/>
      <c r="D993"/>
      <c r="E993"/>
      <c r="F993"/>
      <c r="G993"/>
      <c r="H993"/>
      <c r="I993"/>
      <c r="J993"/>
      <c r="K993"/>
      <c r="L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</row>
    <row r="994" spans="1:63">
      <c r="A994" s="70"/>
      <c r="B994"/>
      <c r="C994"/>
      <c r="D994"/>
      <c r="E994"/>
      <c r="F994"/>
      <c r="G994"/>
      <c r="H994"/>
      <c r="I994"/>
      <c r="J994"/>
      <c r="K994"/>
      <c r="L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</row>
    <row r="995" spans="1:63">
      <c r="A995" s="70"/>
      <c r="B995"/>
      <c r="C995"/>
      <c r="D995"/>
      <c r="E995"/>
      <c r="F995"/>
      <c r="G995"/>
      <c r="H995"/>
      <c r="I995"/>
      <c r="J995"/>
      <c r="K995"/>
      <c r="L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</row>
    <row r="996" spans="1:63">
      <c r="A996" s="70"/>
      <c r="B996"/>
      <c r="C996"/>
      <c r="D996"/>
      <c r="E996"/>
      <c r="F996"/>
      <c r="G996"/>
      <c r="H996"/>
      <c r="I996"/>
      <c r="J996"/>
      <c r="K996"/>
      <c r="L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</row>
    <row r="997" spans="1:63">
      <c r="A997" s="70"/>
      <c r="B997"/>
      <c r="C997"/>
      <c r="D997"/>
      <c r="E997"/>
      <c r="F997"/>
      <c r="G997"/>
      <c r="H997"/>
      <c r="I997"/>
      <c r="J997"/>
      <c r="K997"/>
      <c r="L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</row>
    <row r="998" spans="1:63">
      <c r="A998" s="70"/>
      <c r="B998"/>
      <c r="C998"/>
      <c r="D998"/>
      <c r="E998"/>
      <c r="F998"/>
      <c r="G998"/>
      <c r="H998"/>
      <c r="I998"/>
      <c r="J998"/>
      <c r="K998"/>
      <c r="L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</row>
    <row r="999" spans="1:63">
      <c r="A999" s="70"/>
      <c r="B999"/>
      <c r="C999"/>
      <c r="D999"/>
      <c r="E999"/>
      <c r="F999"/>
      <c r="G999"/>
      <c r="H999"/>
      <c r="I999"/>
      <c r="J999"/>
      <c r="K999"/>
      <c r="L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</row>
    <row r="1000" spans="1:63">
      <c r="A1000" s="70"/>
      <c r="B1000"/>
      <c r="C1000"/>
      <c r="D1000"/>
      <c r="E1000"/>
      <c r="F1000"/>
      <c r="G1000"/>
      <c r="H1000"/>
      <c r="I1000"/>
      <c r="J1000"/>
      <c r="K1000"/>
      <c r="L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</row>
    <row r="1001" spans="1:63">
      <c r="A1001" s="70"/>
      <c r="B1001"/>
      <c r="C1001"/>
      <c r="D1001"/>
      <c r="E1001"/>
      <c r="F1001"/>
      <c r="G1001"/>
      <c r="H1001"/>
      <c r="I1001"/>
      <c r="J1001"/>
      <c r="K1001"/>
      <c r="L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</row>
    <row r="1002" spans="1:63">
      <c r="A1002" s="70"/>
      <c r="B1002"/>
      <c r="C1002"/>
      <c r="D1002"/>
      <c r="E1002"/>
      <c r="F1002"/>
      <c r="G1002"/>
      <c r="H1002"/>
      <c r="I1002"/>
      <c r="J1002"/>
      <c r="K1002"/>
      <c r="L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</row>
    <row r="1003" spans="1:63">
      <c r="A1003" s="70"/>
      <c r="B1003"/>
      <c r="C1003"/>
      <c r="D1003"/>
      <c r="E1003"/>
      <c r="F1003"/>
      <c r="G1003"/>
      <c r="H1003"/>
      <c r="I1003"/>
      <c r="J1003"/>
      <c r="K1003"/>
      <c r="L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</row>
    <row r="1004" spans="1:63">
      <c r="A1004" s="70"/>
      <c r="B1004"/>
      <c r="C1004"/>
      <c r="D1004"/>
      <c r="E1004"/>
      <c r="F1004"/>
      <c r="G1004"/>
      <c r="H1004"/>
      <c r="I1004"/>
      <c r="J1004"/>
      <c r="K1004"/>
      <c r="L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</row>
    <row r="1005" spans="1:63">
      <c r="A1005" s="70"/>
      <c r="B1005"/>
      <c r="C1005"/>
      <c r="D1005"/>
      <c r="E1005"/>
      <c r="F1005"/>
      <c r="G1005"/>
      <c r="H1005"/>
      <c r="I1005"/>
      <c r="J1005"/>
      <c r="K1005"/>
      <c r="L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</row>
    <row r="1006" spans="1:63">
      <c r="A1006" s="70"/>
      <c r="B1006"/>
      <c r="C1006"/>
      <c r="D1006"/>
      <c r="E1006"/>
      <c r="F1006"/>
      <c r="G1006"/>
      <c r="H1006"/>
      <c r="I1006"/>
      <c r="J1006"/>
      <c r="K1006"/>
      <c r="L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</row>
    <row r="1007" spans="1:63">
      <c r="A1007" s="70"/>
      <c r="B1007"/>
      <c r="C1007"/>
      <c r="D1007"/>
      <c r="E1007"/>
      <c r="F1007"/>
      <c r="G1007"/>
      <c r="H1007"/>
      <c r="I1007"/>
      <c r="J1007"/>
      <c r="K1007"/>
      <c r="L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</row>
    <row r="1008" spans="1:63">
      <c r="A1008" s="70"/>
      <c r="B1008"/>
      <c r="C1008"/>
      <c r="D1008"/>
      <c r="E1008"/>
      <c r="F1008"/>
      <c r="G1008"/>
      <c r="H1008"/>
      <c r="I1008"/>
      <c r="J1008"/>
      <c r="K1008"/>
      <c r="L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</row>
    <row r="1009" spans="1:63">
      <c r="A1009" s="70"/>
      <c r="B1009"/>
      <c r="C1009"/>
      <c r="D1009"/>
      <c r="E1009"/>
      <c r="F1009"/>
      <c r="G1009"/>
      <c r="H1009"/>
      <c r="I1009"/>
      <c r="J1009"/>
      <c r="K1009"/>
      <c r="L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</row>
    <row r="1010" spans="1:63">
      <c r="A1010" s="70"/>
      <c r="B1010"/>
      <c r="C1010"/>
      <c r="D1010"/>
      <c r="E1010"/>
      <c r="F1010"/>
      <c r="G1010"/>
      <c r="H1010"/>
      <c r="I1010"/>
      <c r="J1010"/>
      <c r="K1010"/>
      <c r="L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</row>
    <row r="1011" spans="1:63">
      <c r="A1011" s="70"/>
      <c r="B1011"/>
      <c r="C1011"/>
      <c r="D1011"/>
      <c r="E1011"/>
      <c r="F1011"/>
      <c r="G1011"/>
      <c r="H1011"/>
      <c r="I1011"/>
      <c r="J1011"/>
      <c r="K1011"/>
      <c r="L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</row>
    <row r="1012" spans="1:63">
      <c r="A1012" s="70"/>
      <c r="B1012"/>
      <c r="C1012"/>
      <c r="D1012"/>
      <c r="E1012"/>
      <c r="F1012"/>
      <c r="G1012"/>
      <c r="H1012"/>
      <c r="I1012"/>
      <c r="J1012"/>
      <c r="K1012"/>
      <c r="L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</row>
    <row r="1013" spans="1:63">
      <c r="A1013" s="70"/>
      <c r="B1013"/>
      <c r="C1013"/>
      <c r="D1013"/>
      <c r="E1013"/>
      <c r="F1013"/>
      <c r="G1013"/>
      <c r="H1013"/>
      <c r="I1013"/>
      <c r="J1013"/>
      <c r="K1013"/>
      <c r="L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</row>
    <row r="1014" spans="1:63">
      <c r="A1014" s="70"/>
      <c r="B1014"/>
      <c r="C1014"/>
      <c r="D1014"/>
      <c r="E1014"/>
      <c r="F1014"/>
      <c r="G1014"/>
      <c r="H1014"/>
      <c r="I1014"/>
      <c r="J1014"/>
      <c r="K1014"/>
      <c r="L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</row>
    <row r="1015" spans="1:63">
      <c r="A1015" s="70"/>
      <c r="B1015"/>
      <c r="C1015"/>
      <c r="D1015"/>
      <c r="E1015"/>
      <c r="F1015"/>
      <c r="G1015"/>
      <c r="H1015"/>
      <c r="I1015"/>
      <c r="J1015"/>
      <c r="K1015"/>
      <c r="L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</row>
    <row r="1016" spans="1:63">
      <c r="A1016" s="70"/>
      <c r="B1016"/>
      <c r="C1016"/>
      <c r="D1016"/>
      <c r="E1016"/>
      <c r="F1016"/>
      <c r="G1016"/>
      <c r="H1016"/>
      <c r="I1016"/>
      <c r="J1016"/>
      <c r="K1016"/>
      <c r="L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</row>
    <row r="1017" spans="1:63">
      <c r="A1017" s="70"/>
      <c r="B1017"/>
      <c r="C1017"/>
      <c r="D1017"/>
      <c r="E1017"/>
      <c r="F1017"/>
      <c r="G1017"/>
      <c r="H1017"/>
      <c r="I1017"/>
      <c r="J1017"/>
      <c r="K1017"/>
      <c r="L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</row>
    <row r="1018" spans="1:63">
      <c r="A1018" s="70"/>
      <c r="B1018"/>
      <c r="C1018"/>
      <c r="D1018"/>
      <c r="E1018"/>
      <c r="F1018"/>
      <c r="G1018"/>
      <c r="H1018"/>
      <c r="I1018"/>
      <c r="J1018"/>
      <c r="K1018"/>
      <c r="L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</row>
    <row r="1019" spans="1:63">
      <c r="A1019" s="70"/>
      <c r="B1019"/>
      <c r="C1019"/>
      <c r="D1019"/>
      <c r="E1019"/>
      <c r="F1019"/>
      <c r="G1019"/>
      <c r="H1019"/>
      <c r="I1019"/>
      <c r="J1019"/>
      <c r="K1019"/>
      <c r="L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</row>
    <row r="1020" spans="1:63">
      <c r="A1020" s="70"/>
      <c r="B1020"/>
      <c r="C1020"/>
      <c r="D1020"/>
      <c r="E1020"/>
      <c r="F1020"/>
      <c r="G1020"/>
      <c r="H1020"/>
      <c r="I1020"/>
      <c r="J1020"/>
      <c r="K1020"/>
      <c r="L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</row>
    <row r="1021" spans="1:63">
      <c r="A1021" s="70"/>
      <c r="B1021"/>
      <c r="C1021"/>
      <c r="D1021"/>
      <c r="E1021"/>
      <c r="F1021"/>
      <c r="G1021"/>
      <c r="H1021"/>
      <c r="I1021"/>
      <c r="J1021"/>
      <c r="K1021"/>
      <c r="L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</row>
    <row r="1022" spans="1:63">
      <c r="A1022" s="70"/>
      <c r="B1022"/>
      <c r="C1022"/>
      <c r="D1022"/>
      <c r="E1022"/>
      <c r="F1022"/>
      <c r="G1022"/>
      <c r="H1022"/>
      <c r="I1022"/>
      <c r="J1022"/>
      <c r="K1022"/>
      <c r="L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</row>
    <row r="1023" spans="1:63">
      <c r="A1023" s="70"/>
      <c r="B1023"/>
      <c r="C1023"/>
      <c r="D1023"/>
      <c r="E1023"/>
      <c r="F1023"/>
      <c r="G1023"/>
      <c r="H1023"/>
      <c r="I1023"/>
      <c r="J1023"/>
      <c r="K1023"/>
      <c r="L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</row>
    <row r="1024" spans="1:63">
      <c r="A1024" s="70"/>
      <c r="B1024"/>
      <c r="C1024"/>
      <c r="D1024"/>
      <c r="E1024"/>
      <c r="F1024"/>
      <c r="G1024"/>
      <c r="H1024"/>
      <c r="I1024"/>
      <c r="J1024"/>
      <c r="K1024"/>
      <c r="L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</row>
    <row r="1025" spans="1:63">
      <c r="A1025" s="70"/>
      <c r="B1025"/>
      <c r="C1025"/>
      <c r="D1025"/>
      <c r="E1025"/>
      <c r="F1025"/>
      <c r="G1025"/>
      <c r="H1025"/>
      <c r="I1025"/>
      <c r="J1025"/>
      <c r="K1025"/>
      <c r="L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</row>
    <row r="1026" spans="1:63">
      <c r="A1026" s="70"/>
      <c r="B1026"/>
      <c r="C1026"/>
      <c r="D1026"/>
      <c r="E1026"/>
      <c r="F1026"/>
      <c r="G1026"/>
      <c r="H1026"/>
      <c r="I1026"/>
      <c r="J1026"/>
      <c r="K1026"/>
      <c r="L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</row>
    <row r="1027" spans="1:63">
      <c r="A1027" s="70"/>
      <c r="B1027"/>
      <c r="C1027"/>
      <c r="D1027"/>
      <c r="E1027"/>
      <c r="F1027"/>
      <c r="G1027"/>
      <c r="H1027"/>
      <c r="I1027"/>
      <c r="J1027"/>
      <c r="K1027"/>
      <c r="L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</row>
    <row r="1028" spans="1:63">
      <c r="A1028" s="70"/>
      <c r="B1028"/>
      <c r="C1028"/>
      <c r="D1028"/>
      <c r="E1028"/>
      <c r="F1028"/>
      <c r="G1028"/>
      <c r="H1028"/>
      <c r="I1028"/>
      <c r="J1028"/>
      <c r="K1028"/>
      <c r="L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</row>
    <row r="1029" spans="1:63">
      <c r="A1029" s="70"/>
      <c r="B1029"/>
      <c r="C1029"/>
      <c r="D1029"/>
      <c r="E1029"/>
      <c r="F1029"/>
      <c r="G1029"/>
      <c r="H1029"/>
      <c r="I1029"/>
      <c r="J1029"/>
      <c r="K1029"/>
      <c r="L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</row>
    <row r="1030" spans="1:63">
      <c r="A1030" s="70"/>
      <c r="B1030"/>
      <c r="C1030"/>
      <c r="D1030"/>
      <c r="E1030"/>
      <c r="F1030"/>
      <c r="G1030"/>
      <c r="H1030"/>
      <c r="I1030"/>
      <c r="J1030"/>
      <c r="K1030"/>
      <c r="L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</row>
    <row r="1031" spans="1:63">
      <c r="A1031" s="70"/>
      <c r="B1031"/>
      <c r="C1031"/>
      <c r="D1031"/>
      <c r="E1031"/>
      <c r="F1031"/>
      <c r="G1031"/>
      <c r="H1031"/>
      <c r="I1031"/>
      <c r="J1031"/>
      <c r="K1031"/>
      <c r="L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</row>
    <row r="1032" spans="1:63">
      <c r="A1032" s="70"/>
      <c r="B1032"/>
      <c r="C1032"/>
      <c r="D1032"/>
      <c r="E1032"/>
      <c r="F1032"/>
      <c r="G1032"/>
      <c r="H1032"/>
      <c r="I1032"/>
      <c r="J1032"/>
      <c r="K1032"/>
      <c r="L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</row>
    <row r="1033" spans="1:63">
      <c r="A1033" s="70"/>
      <c r="B1033"/>
      <c r="C1033"/>
      <c r="D1033"/>
      <c r="E1033"/>
      <c r="F1033"/>
      <c r="G1033"/>
      <c r="H1033"/>
      <c r="I1033"/>
      <c r="J1033"/>
      <c r="K1033"/>
      <c r="L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</row>
    <row r="1034" spans="1:63">
      <c r="A1034" s="70"/>
      <c r="B1034"/>
      <c r="C1034"/>
      <c r="D1034"/>
      <c r="E1034"/>
      <c r="F1034"/>
      <c r="G1034"/>
      <c r="H1034"/>
      <c r="I1034"/>
      <c r="J1034"/>
      <c r="K1034"/>
      <c r="L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</row>
    <row r="1035" spans="1:63">
      <c r="A1035" s="70"/>
      <c r="B1035"/>
      <c r="C1035"/>
      <c r="D1035"/>
      <c r="E1035"/>
      <c r="F1035"/>
      <c r="G1035"/>
      <c r="H1035"/>
      <c r="I1035"/>
      <c r="J1035"/>
      <c r="K1035"/>
      <c r="L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</row>
    <row r="1036" spans="1:63">
      <c r="A1036" s="70"/>
      <c r="B1036"/>
      <c r="C1036"/>
      <c r="D1036"/>
      <c r="E1036"/>
      <c r="F1036"/>
      <c r="G1036"/>
      <c r="H1036"/>
      <c r="I1036"/>
      <c r="J1036"/>
      <c r="K1036"/>
      <c r="L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</row>
    <row r="1037" spans="1:63">
      <c r="A1037" s="70"/>
      <c r="B1037"/>
      <c r="C1037"/>
      <c r="D1037"/>
      <c r="E1037"/>
      <c r="F1037"/>
      <c r="G1037"/>
      <c r="H1037"/>
      <c r="I1037"/>
      <c r="J1037"/>
      <c r="K1037"/>
      <c r="L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</row>
    <row r="1038" spans="1:63">
      <c r="A1038" s="70"/>
      <c r="B1038"/>
      <c r="C1038"/>
      <c r="D1038"/>
      <c r="E1038"/>
      <c r="F1038"/>
      <c r="G1038"/>
      <c r="H1038"/>
      <c r="I1038"/>
      <c r="J1038"/>
      <c r="K1038"/>
      <c r="L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</row>
    <row r="1039" spans="1:63">
      <c r="A1039" s="70"/>
      <c r="B1039"/>
      <c r="C1039"/>
      <c r="D1039"/>
      <c r="E1039"/>
      <c r="F1039"/>
      <c r="G1039"/>
      <c r="H1039"/>
      <c r="I1039"/>
      <c r="J1039"/>
      <c r="K1039"/>
      <c r="L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</row>
    <row r="1040" spans="1:63">
      <c r="A1040" s="70"/>
      <c r="B1040"/>
      <c r="C1040"/>
      <c r="D1040"/>
      <c r="E1040"/>
      <c r="F1040"/>
      <c r="G1040"/>
      <c r="H1040"/>
      <c r="I1040"/>
      <c r="J1040"/>
      <c r="K1040"/>
      <c r="L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</row>
    <row r="1041" spans="1:63">
      <c r="A1041" s="70"/>
      <c r="B1041"/>
      <c r="C1041"/>
      <c r="D1041"/>
      <c r="E1041"/>
      <c r="F1041"/>
      <c r="G1041"/>
      <c r="H1041"/>
      <c r="I1041"/>
      <c r="J1041"/>
      <c r="K1041"/>
      <c r="L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</row>
    <row r="1042" spans="1:63">
      <c r="A1042" s="70"/>
      <c r="B1042"/>
      <c r="C1042"/>
      <c r="D1042"/>
      <c r="E1042"/>
      <c r="F1042"/>
      <c r="G1042"/>
      <c r="H1042"/>
      <c r="I1042"/>
      <c r="J1042"/>
      <c r="K1042"/>
      <c r="L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</row>
    <row r="1043" spans="1:63">
      <c r="A1043" s="70"/>
      <c r="B1043"/>
      <c r="C1043"/>
      <c r="D1043"/>
      <c r="E1043"/>
      <c r="F1043"/>
      <c r="G1043"/>
      <c r="H1043"/>
      <c r="I1043"/>
      <c r="J1043"/>
      <c r="K1043"/>
      <c r="L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</row>
    <row r="1044" spans="1:63">
      <c r="A1044" s="70"/>
      <c r="B1044"/>
      <c r="C1044"/>
      <c r="D1044"/>
      <c r="E1044"/>
      <c r="F1044"/>
      <c r="G1044"/>
      <c r="H1044"/>
      <c r="I1044"/>
      <c r="J1044"/>
      <c r="K1044"/>
      <c r="L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</row>
    <row r="1045" spans="1:63">
      <c r="A1045" s="70"/>
      <c r="B1045"/>
      <c r="C1045"/>
      <c r="D1045"/>
      <c r="E1045"/>
      <c r="F1045"/>
      <c r="G1045"/>
      <c r="H1045"/>
      <c r="I1045"/>
      <c r="J1045"/>
      <c r="K1045"/>
      <c r="L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</row>
    <row r="1046" spans="1:63">
      <c r="A1046" s="70"/>
      <c r="B1046"/>
      <c r="C1046"/>
      <c r="D1046"/>
      <c r="E1046"/>
      <c r="F1046"/>
      <c r="G1046"/>
      <c r="H1046"/>
      <c r="I1046"/>
      <c r="J1046"/>
      <c r="K1046"/>
      <c r="L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</row>
    <row r="1047" spans="1:63">
      <c r="A1047" s="70"/>
      <c r="B1047"/>
      <c r="C1047"/>
      <c r="D1047"/>
      <c r="E1047"/>
      <c r="F1047"/>
      <c r="G1047"/>
      <c r="H1047"/>
      <c r="I1047"/>
      <c r="J1047"/>
      <c r="K1047"/>
      <c r="L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</row>
    <row r="1048" spans="1:63">
      <c r="A1048" s="70"/>
      <c r="B1048"/>
      <c r="C1048"/>
      <c r="D1048"/>
      <c r="E1048"/>
      <c r="F1048"/>
      <c r="G1048"/>
      <c r="H1048"/>
      <c r="I1048"/>
      <c r="J1048"/>
      <c r="K1048"/>
      <c r="L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</row>
    <row r="1049" spans="1:63">
      <c r="A1049" s="70"/>
      <c r="B1049"/>
      <c r="C1049"/>
      <c r="D1049"/>
      <c r="E1049"/>
      <c r="F1049"/>
      <c r="G1049"/>
      <c r="H1049"/>
      <c r="I1049"/>
      <c r="J1049"/>
      <c r="K1049"/>
      <c r="L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</row>
    <row r="1050" spans="1:63">
      <c r="A1050" s="70"/>
      <c r="B1050"/>
      <c r="C1050"/>
      <c r="D1050"/>
      <c r="E1050"/>
      <c r="F1050"/>
      <c r="G1050"/>
      <c r="H1050"/>
      <c r="I1050"/>
      <c r="J1050"/>
      <c r="K1050"/>
      <c r="L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</row>
    <row r="1051" spans="1:63">
      <c r="A1051" s="70"/>
      <c r="B1051"/>
      <c r="C1051"/>
      <c r="D1051"/>
      <c r="E1051"/>
      <c r="F1051"/>
      <c r="G1051"/>
      <c r="H1051"/>
      <c r="I1051"/>
      <c r="J1051"/>
      <c r="K1051"/>
      <c r="L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</row>
    <row r="1052" spans="1:63">
      <c r="A1052" s="70"/>
      <c r="B1052"/>
      <c r="C1052"/>
      <c r="D1052"/>
      <c r="E1052"/>
      <c r="F1052"/>
      <c r="G1052"/>
      <c r="H1052"/>
      <c r="I1052"/>
      <c r="J1052"/>
      <c r="K1052"/>
      <c r="L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</row>
    <row r="1053" spans="1:63">
      <c r="A1053" s="70"/>
      <c r="B1053"/>
      <c r="C1053"/>
      <c r="D1053"/>
      <c r="E1053"/>
      <c r="F1053"/>
      <c r="G1053"/>
      <c r="H1053"/>
      <c r="I1053"/>
      <c r="J1053"/>
      <c r="K1053"/>
      <c r="L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</row>
    <row r="1054" spans="1:63">
      <c r="A1054" s="70"/>
      <c r="B1054"/>
      <c r="C1054"/>
      <c r="D1054"/>
      <c r="E1054"/>
      <c r="F1054"/>
      <c r="G1054"/>
      <c r="H1054"/>
      <c r="I1054"/>
      <c r="J1054"/>
      <c r="K1054"/>
      <c r="L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AK37"/>
  <sheetViews>
    <sheetView showGridLines="0" tabSelected="1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90" t="s">
        <v>69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J1" s="85" t="s">
        <v>70</v>
      </c>
      <c r="AK1" s="86"/>
    </row>
    <row r="2" spans="1:37" ht="18" customHeight="1" thickBot="1">
      <c r="A2" s="87" t="s">
        <v>71</v>
      </c>
      <c r="B2" s="88"/>
      <c r="C2" s="88"/>
      <c r="D2" s="88"/>
      <c r="E2" s="88"/>
      <c r="F2" s="88"/>
      <c r="G2" s="88"/>
      <c r="H2" s="88"/>
      <c r="J2" s="89" t="s">
        <v>72</v>
      </c>
      <c r="K2" s="88"/>
      <c r="L2" s="88"/>
      <c r="M2" s="88"/>
      <c r="N2" s="88"/>
      <c r="O2" s="93" t="s">
        <v>73</v>
      </c>
      <c r="P2" s="92"/>
      <c r="Q2" s="86"/>
      <c r="R2" s="92"/>
      <c r="S2" s="92"/>
      <c r="T2" s="92"/>
      <c r="U2" s="94" t="s">
        <v>74</v>
      </c>
      <c r="V2" s="88"/>
      <c r="W2" s="88"/>
      <c r="X2" s="88"/>
      <c r="Y2" s="88"/>
      <c r="Z2" s="88"/>
      <c r="AB2" s="87" t="s">
        <v>75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6"/>
      <c r="AK3" s="86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7" t="s">
        <v>109</v>
      </c>
      <c r="B17" s="88"/>
      <c r="C17" s="88"/>
      <c r="D17" s="88"/>
      <c r="E17" s="88"/>
      <c r="F17" s="88"/>
      <c r="G17" s="88"/>
      <c r="H17" s="88"/>
      <c r="J17" s="87" t="s">
        <v>110</v>
      </c>
      <c r="K17" s="88"/>
      <c r="L17" s="88"/>
      <c r="M17" s="88"/>
      <c r="N17" s="88"/>
      <c r="O17" s="88"/>
      <c r="P17" s="88"/>
      <c r="Q17" s="88"/>
      <c r="S17" s="87" t="s">
        <v>111</v>
      </c>
      <c r="T17" s="88"/>
      <c r="U17" s="88"/>
      <c r="V17" s="88"/>
      <c r="W17" s="88"/>
      <c r="X17" s="88"/>
      <c r="Y17" s="88"/>
      <c r="Z17" s="88"/>
      <c r="AB17" s="87" t="s">
        <v>112</v>
      </c>
      <c r="AC17" s="88"/>
      <c r="AD17" s="88"/>
      <c r="AE17" s="88"/>
      <c r="AF17" s="88"/>
      <c r="AG17" s="88"/>
      <c r="AH17" s="88"/>
      <c r="AI17" s="88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1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1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1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1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1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1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1" t="s">
        <v>126</v>
      </c>
      <c r="T25" s="92"/>
      <c r="U25" s="92"/>
      <c r="V25" s="92"/>
      <c r="W25" s="92"/>
      <c r="X25" s="92"/>
      <c r="Y25" s="92"/>
      <c r="Z25" s="86"/>
      <c r="AA25" s="92"/>
      <c r="AB25" s="92"/>
      <c r="AC25" s="92"/>
      <c r="AD25" s="92"/>
      <c r="AE25" s="92"/>
      <c r="AF25" s="92"/>
      <c r="AG25" s="92"/>
      <c r="AH25" s="92"/>
      <c r="AI25" s="86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</row>
    <row r="27" spans="1:35">
      <c r="S27" s="92"/>
      <c r="T27" s="92"/>
      <c r="U27" s="92"/>
      <c r="V27" s="92"/>
      <c r="W27" s="92"/>
      <c r="X27" s="92"/>
      <c r="Y27" s="92"/>
      <c r="Z27" s="86"/>
      <c r="AA27" s="92"/>
      <c r="AB27" s="92"/>
      <c r="AC27" s="92"/>
      <c r="AD27" s="92"/>
      <c r="AE27" s="92"/>
      <c r="AF27" s="92"/>
      <c r="AG27" s="92"/>
      <c r="AH27" s="92"/>
      <c r="AI27" s="86"/>
    </row>
    <row r="28" spans="1:35" ht="18" customHeight="1" thickBot="1">
      <c r="A28" s="87" t="s">
        <v>128</v>
      </c>
      <c r="B28" s="88"/>
      <c r="C28" s="88"/>
      <c r="D28" s="88"/>
      <c r="E28" s="88"/>
      <c r="F28" s="88"/>
      <c r="G28" s="88"/>
      <c r="H28" s="88"/>
      <c r="J28" s="87" t="s">
        <v>129</v>
      </c>
      <c r="K28" s="88"/>
      <c r="L28" s="88"/>
      <c r="M28" s="88"/>
      <c r="N28" s="88"/>
      <c r="O28" s="88"/>
      <c r="P28" s="88"/>
      <c r="Q28" s="88"/>
      <c r="S28" s="92"/>
      <c r="T28" s="92"/>
      <c r="U28" s="92"/>
      <c r="V28" s="92"/>
      <c r="W28" s="92"/>
      <c r="X28" s="92"/>
      <c r="Y28" s="92"/>
      <c r="Z28" s="86"/>
      <c r="AA28" s="92"/>
      <c r="AB28" s="92"/>
      <c r="AC28" s="92"/>
      <c r="AD28" s="92"/>
      <c r="AE28" s="92"/>
      <c r="AF28" s="92"/>
      <c r="AG28" s="92"/>
      <c r="AH28" s="92"/>
      <c r="AI28" s="86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2"/>
      <c r="T29" s="92"/>
      <c r="U29" s="92"/>
      <c r="V29" s="92"/>
      <c r="W29" s="92"/>
      <c r="X29" s="92"/>
      <c r="Y29" s="92"/>
      <c r="Z29" s="86"/>
      <c r="AA29" s="92"/>
      <c r="AB29" s="92"/>
      <c r="AC29" s="92"/>
      <c r="AD29" s="92"/>
      <c r="AE29" s="92"/>
      <c r="AF29" s="92"/>
      <c r="AG29" s="92"/>
      <c r="AH29" s="92"/>
      <c r="AI29" s="86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2"/>
      <c r="T30" s="92"/>
      <c r="U30" s="92"/>
      <c r="V30" s="92"/>
      <c r="W30" s="92"/>
      <c r="X30" s="92"/>
      <c r="Y30" s="92"/>
      <c r="Z30" s="86"/>
      <c r="AA30" s="92"/>
      <c r="AB30" s="92"/>
      <c r="AC30" s="92"/>
      <c r="AD30" s="92"/>
      <c r="AE30" s="92"/>
      <c r="AF30" s="92"/>
      <c r="AG30" s="92"/>
      <c r="AH30" s="92"/>
      <c r="AI30" s="86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1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2075" priority="4" operator="greaterThan">
      <formula>0</formula>
    </cfRule>
  </conditionalFormatting>
  <conditionalFormatting sqref="K5:Q15">
    <cfRule type="cellIs" dxfId="2074" priority="3" operator="greaterThan">
      <formula>0</formula>
    </cfRule>
  </conditionalFormatting>
  <conditionalFormatting sqref="T5:Z13">
    <cfRule type="cellIs" dxfId="2073" priority="2" operator="greaterThan">
      <formula>0</formula>
    </cfRule>
  </conditionalFormatting>
  <conditionalFormatting sqref="AC5:AI13 AC20:AI20 T20:Z21 B20:H23 K20:Q26 B31:H33 K31:Q37">
    <cfRule type="cellIs" dxfId="2072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2060"/>
  </sheetPr>
  <dimension ref="A1:AF244"/>
  <sheetViews>
    <sheetView showGridLines="0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0.140625" bestFit="1" customWidth="1"/>
    <col min="15" max="15" width="10.7109375" bestFit="1" customWidth="1"/>
    <col min="17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90" t="s">
        <v>138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147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146" t="s">
        <v>70</v>
      </c>
      <c r="O2" s="9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00" t="s">
        <v>140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v>2025</v>
      </c>
      <c r="J4" s="16"/>
      <c r="K4" s="17"/>
      <c r="N4" s="86"/>
      <c r="O4" s="8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8" t="str">
        <f>CONCATENATE("N° total de consultas NUEVOS: ",IF($O$3="(Todas)",COUNT(BASE[Fecha]),COUNTIFS(BASE[Cod.Establecimiento],$O$3))," (Ambulatorios: ",IF($O$3="(Todas)",COUNTIFS(BASE[Se interna],"NO"),COUNTIFS(BASE[Cod.Establecimiento],$O$3,BASE[Se interna],"NO")),", Internados: ",IF($O$3="(Todas)",COUNTIFS(BASE[Se interna],"SI"),COUNTIFS(BASE[Cod.Establecimiento],$O$3,BASE[Se interna],"SI")),")")</f>
        <v>N° total de consultas NUEVOS: 0 (Ambulatorios: 0, Internados: 0)</v>
      </c>
      <c r="I5" s="19"/>
      <c r="J5" s="16"/>
      <c r="K5" s="20"/>
      <c r="L5" s="2"/>
      <c r="M5" s="21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05" t="s">
        <v>143</v>
      </c>
      <c r="C6" s="106"/>
      <c r="D6" s="106"/>
      <c r="E6" s="106"/>
      <c r="F6" s="106"/>
      <c r="G6" s="107"/>
      <c r="H6" s="105" t="s">
        <v>144</v>
      </c>
      <c r="I6" s="106"/>
      <c r="J6" s="106"/>
      <c r="K6" s="106"/>
      <c r="L6" s="106"/>
      <c r="M6" s="107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95" t="s">
        <v>145</v>
      </c>
      <c r="C7" s="96"/>
      <c r="D7" s="22" t="s">
        <v>146</v>
      </c>
      <c r="E7" s="23" t="s">
        <v>147</v>
      </c>
      <c r="F7" s="23" t="s">
        <v>148</v>
      </c>
      <c r="G7" s="24" t="s">
        <v>149</v>
      </c>
      <c r="H7" s="95" t="s">
        <v>150</v>
      </c>
      <c r="I7" s="96"/>
      <c r="J7" s="125" t="s">
        <v>146</v>
      </c>
      <c r="K7" s="99"/>
      <c r="L7" s="25" t="s">
        <v>147</v>
      </c>
      <c r="M7" s="26" t="s">
        <v>151</v>
      </c>
      <c r="N7" s="2"/>
      <c r="O7" s="2"/>
    </row>
    <row r="8" spans="1:32" ht="15.75" customHeight="1">
      <c r="A8" s="2"/>
      <c r="B8" s="97"/>
      <c r="C8" s="96"/>
      <c r="D8" s="27" t="s">
        <v>152</v>
      </c>
      <c r="E8" s="28" t="s">
        <v>153</v>
      </c>
      <c r="F8" s="29">
        <f>SUM(ENOS_G1_COLERA[TOT])</f>
        <v>0</v>
      </c>
      <c r="G8" s="29">
        <v>0</v>
      </c>
      <c r="H8" s="97"/>
      <c r="I8" s="96"/>
      <c r="J8" s="103" t="s">
        <v>154</v>
      </c>
      <c r="K8" s="104"/>
      <c r="L8" s="28" t="s">
        <v>155</v>
      </c>
      <c r="M8" s="30">
        <f>SUM(ENOS_G2_PAROTIDITIS_INFECCIOSA_PAPERAS[TOT])</f>
        <v>0</v>
      </c>
      <c r="N8" s="2"/>
      <c r="O8" s="2"/>
    </row>
    <row r="9" spans="1:32">
      <c r="A9" s="2"/>
      <c r="B9" s="97"/>
      <c r="C9" s="96"/>
      <c r="D9" s="27" t="s">
        <v>156</v>
      </c>
      <c r="E9" s="28" t="s">
        <v>157</v>
      </c>
      <c r="F9" s="29">
        <f>SUM(ENOS_G1_FIEBRE_AMARILLA[TOT])</f>
        <v>0</v>
      </c>
      <c r="G9" s="29">
        <v>0</v>
      </c>
      <c r="H9" s="97"/>
      <c r="I9" s="96"/>
      <c r="J9" s="103" t="s">
        <v>158</v>
      </c>
      <c r="K9" s="104"/>
      <c r="L9" s="28" t="s">
        <v>159</v>
      </c>
      <c r="M9" s="30">
        <f>SUM(ENOS_G2_VARICELA[TOT])</f>
        <v>0</v>
      </c>
      <c r="N9" s="2"/>
      <c r="O9" s="2"/>
    </row>
    <row r="10" spans="1:32">
      <c r="A10" s="2"/>
      <c r="B10" s="97"/>
      <c r="C10" s="96"/>
      <c r="D10" s="32" t="s">
        <v>160</v>
      </c>
      <c r="E10" s="28" t="s">
        <v>161</v>
      </c>
      <c r="F10" s="33">
        <f>SUM(ENOS_G1_PESTE[TOT])</f>
        <v>0</v>
      </c>
      <c r="G10" s="33">
        <v>0</v>
      </c>
      <c r="H10" s="97"/>
      <c r="I10" s="96"/>
      <c r="J10" s="103" t="s">
        <v>162</v>
      </c>
      <c r="K10" s="104"/>
      <c r="L10" s="28" t="s">
        <v>163</v>
      </c>
      <c r="M10" s="30">
        <f>SUM(ENOS_G2_HEPATITIS_A[TOT])</f>
        <v>0</v>
      </c>
      <c r="N10" s="2"/>
      <c r="O10" s="2"/>
    </row>
    <row r="11" spans="1:32" ht="18" customHeight="1">
      <c r="A11" s="2"/>
      <c r="B11" s="97"/>
      <c r="C11" s="96"/>
      <c r="D11" s="103" t="s">
        <v>164</v>
      </c>
      <c r="E11" s="108" t="s">
        <v>165</v>
      </c>
      <c r="F11" s="120">
        <f>SUM(ENOS_G1_POLIOMIELITIS_AGUDA[TOT])</f>
        <v>0</v>
      </c>
      <c r="G11" s="120">
        <v>0</v>
      </c>
      <c r="H11" s="97"/>
      <c r="I11" s="96"/>
      <c r="J11" s="135" t="s">
        <v>166</v>
      </c>
      <c r="K11" s="133"/>
      <c r="L11" s="108" t="s">
        <v>167</v>
      </c>
      <c r="M11" s="101">
        <f>SUM(ENOS_G2_HEPATITIS_VIRAL_SIN_OTRA_ESPECIFIACION[TOT])</f>
        <v>0</v>
      </c>
      <c r="N11" s="2"/>
      <c r="O11" s="2"/>
    </row>
    <row r="12" spans="1:32" ht="15.75" customHeight="1">
      <c r="A12" s="2"/>
      <c r="B12" s="98"/>
      <c r="C12" s="99"/>
      <c r="D12" s="109"/>
      <c r="E12" s="109"/>
      <c r="F12" s="109"/>
      <c r="G12" s="109"/>
      <c r="H12" s="97"/>
      <c r="I12" s="96"/>
      <c r="J12" s="134"/>
      <c r="K12" s="99"/>
      <c r="L12" s="109"/>
      <c r="M12" s="102"/>
      <c r="N12" s="2"/>
      <c r="O12" s="2"/>
    </row>
    <row r="13" spans="1:32" ht="22.5" customHeight="1" thickBot="1">
      <c r="A13" s="2"/>
      <c r="B13" s="140" t="s">
        <v>168</v>
      </c>
      <c r="C13" s="133"/>
      <c r="D13" s="34" t="s">
        <v>169</v>
      </c>
      <c r="E13" s="35" t="s">
        <v>170</v>
      </c>
      <c r="F13" s="36">
        <f>SUM(ENOS_G1_RUBEOLA[TOT])</f>
        <v>0</v>
      </c>
      <c r="G13" s="36">
        <v>0</v>
      </c>
      <c r="H13" s="97"/>
      <c r="I13" s="96"/>
      <c r="J13" s="103" t="s">
        <v>171</v>
      </c>
      <c r="K13" s="104"/>
      <c r="L13" s="37" t="s">
        <v>172</v>
      </c>
      <c r="M13" s="38">
        <f>SUM(ENOS_G2_ETA[TOT])</f>
        <v>0</v>
      </c>
      <c r="N13" s="2"/>
      <c r="O13" s="2"/>
    </row>
    <row r="14" spans="1:32">
      <c r="A14" s="2"/>
      <c r="B14" s="97"/>
      <c r="C14" s="96"/>
      <c r="D14" s="103" t="s">
        <v>173</v>
      </c>
      <c r="E14" s="108" t="s">
        <v>108</v>
      </c>
      <c r="F14" s="120">
        <f>SUM(ENOS_G1_SINDROME_DE_RUBEOLA_CONGENITA[TOT])</f>
        <v>0</v>
      </c>
      <c r="G14" s="120">
        <v>0</v>
      </c>
      <c r="H14" s="97"/>
      <c r="I14" s="96"/>
      <c r="J14" s="103" t="s">
        <v>174</v>
      </c>
      <c r="K14" s="133"/>
      <c r="L14" s="112" t="s">
        <v>175</v>
      </c>
      <c r="M14" s="101">
        <f>SUM(ENOS_G2_CONJUNTIVITIS_VIRAL[TOT])</f>
        <v>0</v>
      </c>
      <c r="N14" s="2"/>
      <c r="O14" s="2"/>
    </row>
    <row r="15" spans="1:32" ht="18" customHeight="1">
      <c r="A15" s="2"/>
      <c r="B15" s="97"/>
      <c r="C15" s="96"/>
      <c r="D15" s="109"/>
      <c r="E15" s="109"/>
      <c r="F15" s="109"/>
      <c r="G15" s="109"/>
      <c r="H15" s="97"/>
      <c r="I15" s="96"/>
      <c r="J15" s="134"/>
      <c r="K15" s="99"/>
      <c r="L15" s="109"/>
      <c r="M15" s="102"/>
      <c r="N15" s="2"/>
      <c r="O15" s="2"/>
    </row>
    <row r="16" spans="1:32" ht="15.75" customHeight="1">
      <c r="A16" s="2"/>
      <c r="B16" s="97"/>
      <c r="C16" s="96"/>
      <c r="D16" s="132" t="s">
        <v>176</v>
      </c>
      <c r="E16" s="108" t="s">
        <v>177</v>
      </c>
      <c r="F16" s="120">
        <f>SUM(ENOS_G1_SARAMPION[TOT])</f>
        <v>0</v>
      </c>
      <c r="G16" s="120">
        <v>0</v>
      </c>
      <c r="H16" s="97"/>
      <c r="I16" s="96"/>
      <c r="J16" s="135" t="s">
        <v>178</v>
      </c>
      <c r="K16" s="133"/>
      <c r="L16" s="112" t="s">
        <v>179</v>
      </c>
      <c r="M16" s="101">
        <f>SUM(ENOS_G2_ENF_VIRICAS_LESIONES_PIEL_Y_MEMB_MUCOSAS[TOT])</f>
        <v>0</v>
      </c>
      <c r="N16" s="2"/>
      <c r="O16" s="2"/>
    </row>
    <row r="17" spans="1:32">
      <c r="A17" s="2"/>
      <c r="B17" s="97"/>
      <c r="C17" s="96"/>
      <c r="D17" s="109"/>
      <c r="E17" s="109"/>
      <c r="F17" s="109"/>
      <c r="G17" s="109"/>
      <c r="H17" s="97"/>
      <c r="I17" s="96"/>
      <c r="J17" s="136"/>
      <c r="K17" s="96"/>
      <c r="L17" s="113"/>
      <c r="M17" s="145"/>
      <c r="N17" s="2"/>
      <c r="O17" s="2"/>
    </row>
    <row r="18" spans="1:32">
      <c r="A18" s="2"/>
      <c r="B18" s="97"/>
      <c r="C18" s="96"/>
      <c r="D18" s="103" t="s">
        <v>180</v>
      </c>
      <c r="E18" s="108" t="s">
        <v>181</v>
      </c>
      <c r="F18" s="120">
        <f>SUM(ENOS_G1_TETANOS_NEONATAL[TOT])</f>
        <v>0</v>
      </c>
      <c r="G18" s="120">
        <v>0</v>
      </c>
      <c r="H18" s="98"/>
      <c r="I18" s="99"/>
      <c r="J18" s="134"/>
      <c r="K18" s="99"/>
      <c r="L18" s="109"/>
      <c r="M18" s="102"/>
      <c r="N18" s="2"/>
      <c r="O18" s="2"/>
    </row>
    <row r="19" spans="1:32" ht="18" customHeight="1" thickBot="1">
      <c r="A19" s="2"/>
      <c r="B19" s="97"/>
      <c r="C19" s="96"/>
      <c r="D19" s="113"/>
      <c r="E19" s="113"/>
      <c r="F19" s="113"/>
      <c r="G19" s="113"/>
      <c r="H19" s="140" t="s">
        <v>182</v>
      </c>
      <c r="I19" s="133"/>
      <c r="J19" s="132" t="s">
        <v>183</v>
      </c>
      <c r="K19" s="133"/>
      <c r="L19" s="108" t="s">
        <v>184</v>
      </c>
      <c r="M19" s="101">
        <f>SUM(ENOS_G2_SIFILIS_CONGENITA[TOT])</f>
        <v>0</v>
      </c>
      <c r="N19" s="2"/>
      <c r="O19" s="2"/>
    </row>
    <row r="20" spans="1:32">
      <c r="A20" s="2"/>
      <c r="B20" s="97"/>
      <c r="C20" s="96"/>
      <c r="D20" s="109"/>
      <c r="E20" s="109"/>
      <c r="F20" s="109"/>
      <c r="G20" s="109"/>
      <c r="H20" s="97"/>
      <c r="I20" s="96"/>
      <c r="J20" s="134"/>
      <c r="K20" s="99"/>
      <c r="L20" s="109"/>
      <c r="M20" s="102"/>
      <c r="N20" s="2"/>
      <c r="O20" s="2"/>
    </row>
    <row r="21" spans="1:32">
      <c r="A21" s="2"/>
      <c r="B21" s="97"/>
      <c r="C21" s="96"/>
      <c r="D21" s="132" t="s">
        <v>185</v>
      </c>
      <c r="E21" s="112" t="s">
        <v>186</v>
      </c>
      <c r="F21" s="119">
        <f>SUM(ENOS_G1_PALUDISMO[TOT])</f>
        <v>0</v>
      </c>
      <c r="G21" s="119">
        <v>0</v>
      </c>
      <c r="H21" s="97"/>
      <c r="I21" s="96"/>
      <c r="J21" s="103" t="s">
        <v>187</v>
      </c>
      <c r="K21" s="104"/>
      <c r="L21" s="28" t="s">
        <v>188</v>
      </c>
      <c r="M21" s="30">
        <f>SUM(ENOS_G2_SIFILIS_EMBARAZADA[TOT])</f>
        <v>0</v>
      </c>
      <c r="N21" s="2"/>
      <c r="O21" s="2"/>
    </row>
    <row r="22" spans="1:32" ht="15.75" customHeight="1" thickBot="1">
      <c r="A22" s="2"/>
      <c r="B22" s="141"/>
      <c r="C22" s="142"/>
      <c r="D22" s="109"/>
      <c r="E22" s="109"/>
      <c r="F22" s="109"/>
      <c r="G22" s="109"/>
      <c r="H22" s="141"/>
      <c r="I22" s="142"/>
      <c r="J22" s="121" t="s">
        <v>189</v>
      </c>
      <c r="K22" s="122"/>
      <c r="L22" s="40" t="s">
        <v>190</v>
      </c>
      <c r="M22" s="41">
        <f>SUM(ENOS_G2_SIFILIS_TODOS_LOS_CASOS[TOT])</f>
        <v>0</v>
      </c>
      <c r="N22" s="2"/>
      <c r="O22" s="2"/>
    </row>
    <row r="23" spans="1:32" ht="18" customHeight="1" thickBot="1">
      <c r="A23" s="2"/>
      <c r="B23" s="126" t="s">
        <v>191</v>
      </c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7"/>
      <c r="N23" s="2"/>
      <c r="O23" s="2"/>
    </row>
    <row r="24" spans="1:32">
      <c r="A24" s="2"/>
      <c r="B24" s="127" t="s">
        <v>192</v>
      </c>
      <c r="C24" s="96"/>
      <c r="D24" s="114" t="s">
        <v>147</v>
      </c>
      <c r="E24" s="92"/>
      <c r="F24" s="115"/>
      <c r="G24" s="130" t="s">
        <v>193</v>
      </c>
      <c r="H24" s="131"/>
      <c r="I24" s="131"/>
      <c r="J24" s="131"/>
      <c r="K24" s="131"/>
      <c r="L24" s="99"/>
      <c r="M24" s="143" t="s">
        <v>194</v>
      </c>
      <c r="N24" s="2"/>
      <c r="O24" s="2"/>
    </row>
    <row r="25" spans="1:32" ht="22.5" customHeight="1">
      <c r="A25" s="2"/>
      <c r="B25" s="128"/>
      <c r="C25" s="129"/>
      <c r="D25" s="116"/>
      <c r="E25" s="117"/>
      <c r="F25" s="118"/>
      <c r="G25" s="42" t="s">
        <v>195</v>
      </c>
      <c r="H25" s="43" t="s">
        <v>196</v>
      </c>
      <c r="I25" s="44" t="s">
        <v>197</v>
      </c>
      <c r="J25" s="28" t="s">
        <v>198</v>
      </c>
      <c r="K25" s="39" t="s">
        <v>199</v>
      </c>
      <c r="L25" s="28" t="s">
        <v>200</v>
      </c>
      <c r="M25" s="102"/>
      <c r="N25" s="2"/>
      <c r="O25" s="2"/>
    </row>
    <row r="26" spans="1:32">
      <c r="A26" s="2"/>
      <c r="B26" s="110" t="s">
        <v>201</v>
      </c>
      <c r="C26" s="111"/>
      <c r="D26" s="139" t="s">
        <v>202</v>
      </c>
      <c r="E26" s="124"/>
      <c r="F26" s="111"/>
      <c r="G26" s="45">
        <f>SUM(ENOS_G3_ETI_MENOR_QUE_1_AÑO[TOT])</f>
        <v>0</v>
      </c>
      <c r="H26" s="45">
        <f>SUM(ENOS_G3_ETI_1_4_AÑOS[TOT])</f>
        <v>0</v>
      </c>
      <c r="I26" s="45">
        <f>SUM(ENOS_G3_ETI_5_19_AÑOS[TOT])</f>
        <v>0</v>
      </c>
      <c r="J26" s="45">
        <f>SUM(ENOS_G3_ETI_20_59_AÑOS[TOT])</f>
        <v>0</v>
      </c>
      <c r="K26" s="45">
        <f>SUM(ENOS_G3_ETI_60_MAS_AÑOS[TOT])</f>
        <v>0</v>
      </c>
      <c r="L26" s="45">
        <f>SUM(ENOS_G3_ETI_SD_AÑOS[TOT])</f>
        <v>0</v>
      </c>
      <c r="M26" s="45">
        <f>SUM(G26:L26)</f>
        <v>0</v>
      </c>
      <c r="N26" s="2"/>
      <c r="O26" s="2"/>
    </row>
    <row r="27" spans="1:32">
      <c r="A27" s="2"/>
      <c r="B27" s="110" t="s">
        <v>203</v>
      </c>
      <c r="C27" s="111"/>
      <c r="D27" s="123" t="s">
        <v>204</v>
      </c>
      <c r="E27" s="124"/>
      <c r="F27" s="111"/>
      <c r="G27" s="45">
        <f>SUM(ENOS_G3_IRANN_MENOR_QUE_1_AÑO[TOT])</f>
        <v>0</v>
      </c>
      <c r="H27" s="45">
        <f>SUM(ENOS_G3_IRANN_1_4_AÑOS[TOT])</f>
        <v>0</v>
      </c>
      <c r="I27" s="45">
        <f>SUM(ENOS_G3_IRANN_5_19_AÑOS[TOT])</f>
        <v>0</v>
      </c>
      <c r="J27" s="45">
        <f>SUM(ENOS_G3_IRANN_20_59_AÑOS[TOT])</f>
        <v>0</v>
      </c>
      <c r="K27" s="45">
        <f>SUM(ENOS_G3_IRANN_60_MAS_AÑOS[TOT])</f>
        <v>0</v>
      </c>
      <c r="L27" s="45">
        <f>SUM(ENOS_G3_IRANN_SD_AÑOS[TOT])</f>
        <v>0</v>
      </c>
      <c r="M27" s="45">
        <f>SUM(G27:L27)</f>
        <v>0</v>
      </c>
      <c r="N27" s="2"/>
      <c r="O27" s="2"/>
    </row>
    <row r="28" spans="1:32">
      <c r="A28" s="2"/>
      <c r="B28" s="110" t="s">
        <v>205</v>
      </c>
      <c r="C28" s="111"/>
      <c r="D28" s="123" t="s">
        <v>206</v>
      </c>
      <c r="E28" s="124"/>
      <c r="F28" s="111"/>
      <c r="G28" s="45">
        <f>SUM(ENOS_G3_NEU_MENOR_QUE_1_AÑO[TOT])</f>
        <v>0</v>
      </c>
      <c r="H28" s="45">
        <f>SUM(ENOS_G3_NEU_1_4_AÑOS[TOT])</f>
        <v>0</v>
      </c>
      <c r="I28" s="45">
        <f>SUM(ENOS_G3_NEU_5_19_AÑOS[TOT])</f>
        <v>0</v>
      </c>
      <c r="J28" s="45">
        <f>SUM(ENOS_G3_NEU_20_59_AÑOS[TOT])</f>
        <v>0</v>
      </c>
      <c r="K28" s="45">
        <f>SUM(ENOS_G3_NEU_60_MAS_AÑOS[TOT])</f>
        <v>0</v>
      </c>
      <c r="L28" s="45">
        <f>SUM(ENOS_G3_NEU_SD_AÑOS[TOT])</f>
        <v>0</v>
      </c>
      <c r="M28" s="45">
        <f>SUM(G28:L28)</f>
        <v>0</v>
      </c>
      <c r="N28" s="2"/>
      <c r="O28" s="2"/>
    </row>
    <row r="29" spans="1:32">
      <c r="A29" s="2"/>
      <c r="B29" s="110" t="s">
        <v>207</v>
      </c>
      <c r="C29" s="111"/>
      <c r="D29" s="139" t="s">
        <v>208</v>
      </c>
      <c r="E29" s="124"/>
      <c r="F29" s="111"/>
      <c r="G29" s="45">
        <f>SUM(ENOS_G3_IRAGNG_MENOR_QUE_1_AÑO[TOT])</f>
        <v>0</v>
      </c>
      <c r="H29" s="45">
        <f>SUM(ENOS_G3_IRAGNG_1_4_AÑOS[TOT])</f>
        <v>0</v>
      </c>
      <c r="I29" s="45">
        <f>SUM(ENOS_G3_IRAGNG_5_19_AÑOS[TOT])</f>
        <v>0</v>
      </c>
      <c r="J29" s="45">
        <f>SUM(ENOS_G3_IRAGNG_20_59_AÑOS[TOT])</f>
        <v>0</v>
      </c>
      <c r="K29" s="45">
        <f>SUM(ENOS_G3_IRAGNG_60_MAS_AÑOS[TOT])</f>
        <v>0</v>
      </c>
      <c r="L29" s="45">
        <f>SUM(ENOS_G3_IRAGNG_SD_AÑOS[TOT])</f>
        <v>0</v>
      </c>
      <c r="M29" s="45">
        <f>SUM(G29:L29)</f>
        <v>0</v>
      </c>
      <c r="N29" s="2"/>
      <c r="O29" s="2"/>
      <c r="P29" s="91" t="s">
        <v>126</v>
      </c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</row>
    <row r="30" spans="1:32" ht="15.75" customHeight="1" thickBot="1">
      <c r="A30" s="2"/>
      <c r="B30" s="137" t="s">
        <v>209</v>
      </c>
      <c r="C30" s="138"/>
      <c r="D30" s="148" t="s">
        <v>210</v>
      </c>
      <c r="E30" s="149"/>
      <c r="F30" s="138"/>
      <c r="G30" s="46">
        <f>SUM(ENOS_G3_DA_MENOR_QUE_1_AÑO[TOT])</f>
        <v>0</v>
      </c>
      <c r="H30" s="46">
        <f>SUM(ENOS_G3_DA_1_4_AÑOS[TOT])</f>
        <v>0</v>
      </c>
      <c r="I30" s="46">
        <f>SUM(ENOS_G3_DA_5_19_AÑOS[TOT])</f>
        <v>0</v>
      </c>
      <c r="J30" s="46">
        <f>SUM(ENOS_G3_DA_20_59_AÑOS[TOT])</f>
        <v>0</v>
      </c>
      <c r="K30" s="46">
        <f>SUM(ENOS_G3_DA_60_MAS_AÑOS[TOT])</f>
        <v>0</v>
      </c>
      <c r="L30" s="46">
        <f>SUM(ENOS_G3_DA_SD_AÑOS[TOT])</f>
        <v>0</v>
      </c>
      <c r="M30" s="45">
        <f>SUM(G30:L30)</f>
        <v>0</v>
      </c>
      <c r="N30" s="2"/>
      <c r="O30" s="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</row>
    <row r="31" spans="1:32" ht="18" customHeight="1">
      <c r="A31" s="2"/>
      <c r="B31" s="47" t="s">
        <v>211</v>
      </c>
      <c r="C31" s="48"/>
      <c r="D31" s="48"/>
      <c r="E31" s="48"/>
      <c r="F31" s="47" t="s">
        <v>212</v>
      </c>
      <c r="G31" s="49"/>
      <c r="H31" s="50"/>
      <c r="I31" s="50"/>
      <c r="J31" s="50"/>
      <c r="K31" s="50"/>
      <c r="L31" s="50"/>
      <c r="M31" s="49"/>
      <c r="N31" s="2"/>
      <c r="O31" s="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</row>
    <row r="32" spans="1:32" ht="15.75" customHeight="1">
      <c r="A32" s="2"/>
      <c r="B32" s="47" t="s">
        <v>213</v>
      </c>
      <c r="C32" s="51"/>
      <c r="D32" s="51"/>
      <c r="E32" s="51"/>
      <c r="F32" s="51"/>
      <c r="G32" s="51"/>
      <c r="H32" s="49"/>
      <c r="I32" s="49"/>
      <c r="J32" s="52"/>
      <c r="K32" s="49"/>
      <c r="L32" s="49"/>
      <c r="M32" s="49"/>
      <c r="N32" s="2"/>
      <c r="O32" s="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</row>
    <row r="33" spans="1:32" ht="15.75" customHeight="1">
      <c r="A33" s="2"/>
      <c r="B33" s="49" t="s">
        <v>214</v>
      </c>
      <c r="C33" s="48"/>
      <c r="D33" s="48"/>
      <c r="E33" s="48"/>
      <c r="F33" s="53"/>
      <c r="G33" s="16"/>
      <c r="H33" s="49"/>
      <c r="I33" s="49"/>
      <c r="J33" s="144" t="s">
        <v>215</v>
      </c>
      <c r="K33" s="92"/>
      <c r="L33" s="92"/>
      <c r="M33" s="54"/>
      <c r="N33" s="2"/>
      <c r="O33" s="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</row>
    <row r="34" spans="1:32">
      <c r="A34" s="2"/>
      <c r="B34" s="16" t="s">
        <v>216</v>
      </c>
      <c r="C34" s="55"/>
      <c r="D34" s="55"/>
      <c r="E34" s="56"/>
      <c r="F34" s="47" t="s">
        <v>217</v>
      </c>
      <c r="G34" s="49"/>
      <c r="H34" s="49"/>
      <c r="I34" s="49"/>
      <c r="J34" s="49"/>
      <c r="K34" s="57"/>
      <c r="L34" s="16"/>
      <c r="M34" s="58"/>
      <c r="N34" s="2"/>
      <c r="O34" s="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</row>
    <row r="35" spans="1:32" ht="18" customHeight="1" thickBot="1">
      <c r="A35" s="2"/>
      <c r="B35" s="49"/>
      <c r="C35" s="59"/>
      <c r="D35" s="49"/>
      <c r="E35" s="49"/>
      <c r="F35" s="2"/>
      <c r="G35" s="51"/>
      <c r="H35" s="60"/>
      <c r="I35" s="60"/>
      <c r="J35" s="49"/>
      <c r="K35" s="61"/>
      <c r="L35" s="62"/>
      <c r="M35" s="63"/>
      <c r="N35" s="2"/>
      <c r="O35" s="2"/>
      <c r="P35" s="87" t="s">
        <v>218</v>
      </c>
      <c r="Q35" s="88"/>
      <c r="R35" s="88"/>
      <c r="S35" s="88"/>
      <c r="T35" s="88"/>
      <c r="U35" s="88"/>
      <c r="V35" s="88"/>
      <c r="W35" s="88"/>
      <c r="X35" s="2"/>
      <c r="Y35" s="87" t="s">
        <v>219</v>
      </c>
      <c r="Z35" s="88"/>
      <c r="AA35" s="88"/>
      <c r="AB35" s="88"/>
      <c r="AC35" s="88"/>
      <c r="AD35" s="88"/>
      <c r="AE35" s="88"/>
      <c r="AF35" s="88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1" t="s">
        <v>220</v>
      </c>
      <c r="Q37" s="8">
        <f>IF($O$3="(Todas)",COUNTIF(BASE[CODCIE10],ENOS_G1_COLERA[[#This Row],[CIE-10]]),COUNTIFS(BASE[Cod.Establecimiento],$O$3,BASE[CODCIE10],ENOS_G1_COLERA[[#This Row],[CIE-10]]))</f>
        <v>0</v>
      </c>
      <c r="R37" s="8">
        <f>IF($O$3="(Todas)",COUNTIF(BASE[CODCIE102],ENOS_G1_COLERA[[#This Row],[CIE-10]]),COUNTIFS(BASE[Cod.Establecimiento],$O$3,BASE[CODCIE102],ENOS_G1_COLERA[[#This Row],[CIE-10]]))</f>
        <v>0</v>
      </c>
      <c r="S37" s="8">
        <f>IF($O$3="(Todas)",COUNTIF(BASE[CODCIE104],ENOS_G1_COLERA[[#This Row],[CIE-10]]),COUNTIFS(BASE[Cod.Establecimiento],$O$3,BASE[CODCIE104],ENOS_G1_COLERA[[#This Row],[CIE-10]]))</f>
        <v>0</v>
      </c>
      <c r="T37" s="8">
        <f>IF($O$3="(Todas)",COUNTIF(BASE[CODCIE106],ENOS_G1_COLERA[[#This Row],[CIE-10]]),COUNTIFS(BASE[Cod.Establecimiento],$O$3,BASE[CODCIE106],ENOS_G1_COLERA[[#This Row],[CIE-10]]))</f>
        <v>0</v>
      </c>
      <c r="U37" s="8">
        <f>IF($O$3="(Todas)",COUNTIF(BASE[CODCIE108],ENOS_G1_COLERA[[#This Row],[CIE-10]]),COUNTIFS(BASE[Cod.Establecimiento],$O$3,BASE[CODCIE108],ENOS_G1_COLERA[[#This Row],[CIE-10]]))</f>
        <v>0</v>
      </c>
      <c r="V37" s="8">
        <f>IF($O$3="(Todas)",COUNTIF(BASE[CODCIE1010],ENOS_G1_COLERA[[#This Row],[CIE-10]]),COUNTIFS(BASE[Cod.Establecimiento],$O$3,BASE[CODCIE1010],ENOS_G1_COLERA[[#This Row],[CIE-10]]))</f>
        <v>0</v>
      </c>
      <c r="W37" s="9">
        <f>SUM(ENOS_G1_COLERA[[#This Row],[D1]:[D6]])</f>
        <v>0</v>
      </c>
      <c r="X37" s="2"/>
      <c r="Y37" s="31" t="s">
        <v>221</v>
      </c>
      <c r="Z37" s="8">
        <f>IF($O$3="(Todas)",COUNTIF(BASE[CODCIE10],ENOS_G1_FIEBRE_AMARILLA[[#This Row],[CIE-10]]),COUNTIFS(BASE[Cod.Establecimiento],$O$3,BASE[CODCIE10],ENOS_G1_FIEBRE_AMARILLA[[#This Row],[CIE-10]]))</f>
        <v>0</v>
      </c>
      <c r="AA37" s="8">
        <f>IF($O$3="(Todas)",COUNTIF(BASE[CODCIE102],ENOS_G1_FIEBRE_AMARILLA[[#This Row],[CIE-10]]),COUNTIFS(BASE[Cod.Establecimiento],$O$3,BASE[CODCIE102],ENOS_G1_FIEBRE_AMARILLA[[#This Row],[CIE-10]]))</f>
        <v>0</v>
      </c>
      <c r="AB37" s="8">
        <f>IF($O$3="(Todas)",COUNTIF(BASE[CODCIE104],ENOS_G1_FIEBRE_AMARILLA[[#This Row],[CIE-10]]),COUNTIFS(BASE[Cod.Establecimiento],$O$3,BASE[CODCIE104],ENOS_G1_FIEBRE_AMARILLA[[#This Row],[CIE-10]]))</f>
        <v>0</v>
      </c>
      <c r="AC37" s="8">
        <f>IF($O$3="(Todas)",COUNTIF(BASE[CODCIE106],ENOS_G1_FIEBRE_AMARILLA[[#This Row],[CIE-10]]),COUNTIFS(BASE[Cod.Establecimiento],$O$3,BASE[CODCIE106],ENOS_G1_FIEBRE_AMARILLA[[#This Row],[CIE-10]]))</f>
        <v>0</v>
      </c>
      <c r="AD37" s="8">
        <f>IF($O$3="(Todas)",COUNTIF(BASE[CODCIE108],ENOS_G1_FIEBRE_AMARILLA[[#This Row],[CIE-10]]),COUNTIFS(BASE[Cod.Establecimiento],$O$3,BASE[CODCIE108],ENOS_G1_FIEBRE_AMARILLA[[#This Row],[CIE-10]]))</f>
        <v>0</v>
      </c>
      <c r="AE37" s="8">
        <f>IF($O$3="(Todas)",COUNTIF(BASE[CODCIE1010],ENOS_G1_FIEBRE_AMARILLA[[#This Row],[CIE-10]]),COUNTIFS(BASE[Cod.Establecimiento],$O$3,BASE[CODCIE1010],ENOS_G1_FIEBRE_AMARILLA[[#This Row],[CIE-10]]))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7" t="s">
        <v>222</v>
      </c>
      <c r="Q39" s="88"/>
      <c r="R39" s="88"/>
      <c r="S39" s="88"/>
      <c r="T39" s="88"/>
      <c r="U39" s="88"/>
      <c r="V39" s="88"/>
      <c r="W39" s="88"/>
      <c r="Y39" s="87" t="s">
        <v>223</v>
      </c>
      <c r="Z39" s="88"/>
      <c r="AA39" s="88"/>
      <c r="AB39" s="88"/>
      <c r="AC39" s="88"/>
      <c r="AD39" s="88"/>
      <c r="AE39" s="88"/>
      <c r="AF39" s="88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1" t="s">
        <v>224</v>
      </c>
      <c r="Q41" s="8">
        <f>IF($O$3="(Todas)",COUNTIF(BASE[CODCIE10],ENOS_G1_PESTE[[#This Row],[CIE-10]]),COUNTIFS(BASE[Cod.Establecimiento],$O$3,BASE[CODCIE10],ENOS_G1_PESTE[[#This Row],[CIE-10]]))</f>
        <v>0</v>
      </c>
      <c r="R41" s="8">
        <f>IF($O$3="(Todas)",COUNTIF(BASE[CODCIE102],ENOS_G1_PESTE[[#This Row],[CIE-10]]),COUNTIFS(BASE[Cod.Establecimiento],$O$3,BASE[CODCIE102],ENOS_G1_PESTE[[#This Row],[CIE-10]]))</f>
        <v>0</v>
      </c>
      <c r="S41" s="8">
        <f>IF($O$3="(Todas)",COUNTIF(BASE[CODCIE104],ENOS_G1_PESTE[[#This Row],[CIE-10]]),COUNTIFS(BASE[Cod.Establecimiento],$O$3,BASE[CODCIE104],ENOS_G1_PESTE[[#This Row],[CIE-10]]))</f>
        <v>0</v>
      </c>
      <c r="T41" s="8">
        <f>IF($O$3="(Todas)",COUNTIF(BASE[CODCIE106],ENOS_G1_PESTE[[#This Row],[CIE-10]]),COUNTIFS(BASE[Cod.Establecimiento],$O$3,BASE[CODCIE106],ENOS_G1_PESTE[[#This Row],[CIE-10]]))</f>
        <v>0</v>
      </c>
      <c r="U41" s="8">
        <f>IF($O$3="(Todas)",COUNTIF(BASE[CODCIE108],ENOS_G1_PESTE[[#This Row],[CIE-10]]),COUNTIFS(BASE[Cod.Establecimiento],$O$3,BASE[CODCIE108],ENOS_G1_PESTE[[#This Row],[CIE-10]]))</f>
        <v>0</v>
      </c>
      <c r="V41" s="8">
        <f>IF($O$3="(Todas)",COUNTIF(BASE[CODCIE1010],ENOS_G1_PESTE[[#This Row],[CIE-10]]),COUNTIFS(BASE[Cod.Establecimiento],$O$3,BASE[CODCIE1010],ENOS_G1_PESTE[[#This Row],[CIE-10]]))</f>
        <v>0</v>
      </c>
      <c r="W41" s="9">
        <f>SUM(ENOS_G1_PESTE[[#This Row],[D1]:[D6]])</f>
        <v>0</v>
      </c>
      <c r="X41" s="2"/>
      <c r="Y41" s="31" t="s">
        <v>99</v>
      </c>
      <c r="Z41" s="8">
        <f>IF($O$3="(Todas)",COUNTIF(BASE[CODCIE10],ENOS_G1_POLIOMIELITIS_AGUDA[[#This Row],[CIE-10]]),COUNTIFS(BASE[Cod.Establecimiento],$O$3,BASE[CODCIE10],ENOS_G1_POLIOMIELITIS_AGUDA[[#This Row],[CIE-10]]))</f>
        <v>0</v>
      </c>
      <c r="AA41" s="8">
        <f>IF($O$3="(Todas)",COUNTIF(BASE[CODCIE102],ENOS_G1_POLIOMIELITIS_AGUDA[[#This Row],[CIE-10]]),COUNTIFS(BASE[Cod.Establecimiento],$O$3,BASE[CODCIE102],ENOS_G1_POLIOMIELITIS_AGUDA[[#This Row],[CIE-10]]))</f>
        <v>0</v>
      </c>
      <c r="AB41" s="8">
        <f>IF($O$3="(Todas)",COUNTIF(BASE[CODCIE104],ENOS_G1_POLIOMIELITIS_AGUDA[[#This Row],[CIE-10]]),COUNTIFS(BASE[Cod.Establecimiento],$O$3,BASE[CODCIE104],ENOS_G1_POLIOMIELITIS_AGUDA[[#This Row],[CIE-10]]))</f>
        <v>0</v>
      </c>
      <c r="AC41" s="8">
        <f>IF($O$3="(Todas)",COUNTIF(BASE[CODCIE106],ENOS_G1_POLIOMIELITIS_AGUDA[[#This Row],[CIE-10]]),COUNTIFS(BASE[Cod.Establecimiento],$O$3,BASE[CODCIE106],ENOS_G1_POLIOMIELITIS_AGUDA[[#This Row],[CIE-10]]))</f>
        <v>0</v>
      </c>
      <c r="AD41" s="8">
        <f>IF($O$3="(Todas)",COUNTIF(BASE[CODCIE108],ENOS_G1_POLIOMIELITIS_AGUDA[[#This Row],[CIE-10]]),COUNTIFS(BASE[Cod.Establecimiento],$O$3,BASE[CODCIE108],ENOS_G1_POLIOMIELITIS_AGUDA[[#This Row],[CIE-10]]))</f>
        <v>0</v>
      </c>
      <c r="AE41" s="8">
        <f>IF($O$3="(Todas)",COUNTIF(BASE[CODCIE1010],ENOS_G1_POLIOMIELITIS_AGUDA[[#This Row],[CIE-10]]),COUNTIFS(BASE[Cod.Establecimiento],$O$3,BASE[CODCIE1010],ENOS_G1_POLIOMIELITIS_AGUDA[[#This Row],[CIE-10]]))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4"/>
      <c r="Z42" s="8"/>
      <c r="AA42" s="8"/>
      <c r="AB42" s="8"/>
      <c r="AC42" s="8"/>
      <c r="AD42" s="8"/>
      <c r="AE42" s="8"/>
      <c r="AF42" s="65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7" t="s">
        <v>225</v>
      </c>
      <c r="Q43" s="88"/>
      <c r="R43" s="88"/>
      <c r="S43" s="88"/>
      <c r="T43" s="88"/>
      <c r="U43" s="88"/>
      <c r="V43" s="88"/>
      <c r="W43" s="88"/>
      <c r="X43" s="2"/>
      <c r="Y43" s="87" t="s">
        <v>226</v>
      </c>
      <c r="Z43" s="88"/>
      <c r="AA43" s="88"/>
      <c r="AB43" s="88"/>
      <c r="AC43" s="88"/>
      <c r="AD43" s="88"/>
      <c r="AE43" s="88"/>
      <c r="AF43" s="88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1" t="s">
        <v>104</v>
      </c>
      <c r="Q45" s="8">
        <f>IF($O$3="(Todas)",COUNTIF(BASE[CODCIE10],ENOS_G1_RUBEOLA[[#This Row],[CIE-10]]),COUNTIFS(BASE[Cod.Establecimiento],$O$3,BASE[CODCIE10],ENOS_G1_RUBEOLA[[#This Row],[CIE-10]]))</f>
        <v>0</v>
      </c>
      <c r="R45" s="8">
        <f>IF($O$3="(Todas)",COUNTIF(BASE[CODCIE102],ENOS_G1_RUBEOLA[[#This Row],[CIE-10]]),COUNTIFS(BASE[Cod.Establecimiento],$O$3,BASE[CODCIE102],ENOS_G1_RUBEOLA[[#This Row],[CIE-10]]))</f>
        <v>0</v>
      </c>
      <c r="S45" s="8">
        <f>IF($O$3="(Todas)",COUNTIF(BASE[CODCIE104],ENOS_G1_RUBEOLA[[#This Row],[CIE-10]]),COUNTIFS(BASE[Cod.Establecimiento],$O$3,BASE[CODCIE104],ENOS_G1_RUBEOLA[[#This Row],[CIE-10]]))</f>
        <v>0</v>
      </c>
      <c r="T45" s="8">
        <f>IF($O$3="(Todas)",COUNTIF(BASE[CODCIE106],ENOS_G1_RUBEOLA[[#This Row],[CIE-10]]),COUNTIFS(BASE[Cod.Establecimiento],$O$3,BASE[CODCIE106],ENOS_G1_RUBEOLA[[#This Row],[CIE-10]]))</f>
        <v>0</v>
      </c>
      <c r="U45" s="8">
        <f>IF($O$3="(Todas)",COUNTIF(BASE[CODCIE108],ENOS_G1_RUBEOLA[[#This Row],[CIE-10]]),COUNTIFS(BASE[Cod.Establecimiento],$O$3,BASE[CODCIE108],ENOS_G1_RUBEOLA[[#This Row],[CIE-10]]))</f>
        <v>0</v>
      </c>
      <c r="V45" s="8">
        <f>IF($O$3="(Todas)",COUNTIF(BASE[CODCIE1010],ENOS_G1_RUBEOLA[[#This Row],[CIE-10]]),COUNTIFS(BASE[Cod.Establecimiento],$O$3,BASE[CODCIE1010],ENOS_G1_RUBEOLA[[#This Row],[CIE-10]]))</f>
        <v>0</v>
      </c>
      <c r="W45" s="9">
        <f>SUM(ENOS_G1_RUBEOLA[[#This Row],[D1]:[D6]])</f>
        <v>0</v>
      </c>
      <c r="Y45" s="31" t="s">
        <v>105</v>
      </c>
      <c r="Z45" s="8">
        <f>IF($O$3="(Todas)",COUNTIF(BASE[CODCIE10],ENOS_G1_SARAMPION[[#This Row],[CIE-10]]),COUNTIFS(BASE[Cod.Establecimiento],$O$3,BASE[CODCIE10],ENOS_G1_SARAMPION[[#This Row],[CIE-10]]))</f>
        <v>0</v>
      </c>
      <c r="AA45" s="8">
        <f>IF($O$3="(Todas)",COUNTIF(BASE[CODCIE102],ENOS_G1_SARAMPION[[#This Row],[CIE-10]]),COUNTIFS(BASE[Cod.Establecimiento],$O$3,BASE[CODCIE102],ENOS_G1_SARAMPION[[#This Row],[CIE-10]]))</f>
        <v>0</v>
      </c>
      <c r="AB45" s="8">
        <f>IF($O$3="(Todas)",COUNTIF(BASE[CODCIE104],ENOS_G1_SARAMPION[[#This Row],[CIE-10]]),COUNTIFS(BASE[Cod.Establecimiento],$O$3,BASE[CODCIE104],ENOS_G1_SARAMPION[[#This Row],[CIE-10]]))</f>
        <v>0</v>
      </c>
      <c r="AC45" s="8">
        <f>IF($O$3="(Todas)",COUNTIF(BASE[CODCIE106],ENOS_G1_SARAMPION[[#This Row],[CIE-10]]),COUNTIFS(BASE[Cod.Establecimiento],$O$3,BASE[CODCIE106],ENOS_G1_SARAMPION[[#This Row],[CIE-10]]))</f>
        <v>0</v>
      </c>
      <c r="AD45" s="8">
        <f>IF($O$3="(Todas)",COUNTIF(BASE[CODCIE108],ENOS_G1_SARAMPION[[#This Row],[CIE-10]]),COUNTIFS(BASE[Cod.Establecimiento],$O$3,BASE[CODCIE108],ENOS_G1_SARAMPION[[#This Row],[CIE-10]]))</f>
        <v>0</v>
      </c>
      <c r="AE45" s="8">
        <f>IF($O$3="(Todas)",COUNTIF(BASE[CODCIE1010],ENOS_G1_SARAMPION[[#This Row],[CIE-10]]),COUNTIFS(BASE[Cod.Establecimiento],$O$3,BASE[CODCIE1010],ENOS_G1_SARAMPION[[#This Row],[CIE-10]]))</f>
        <v>0</v>
      </c>
      <c r="AF45" s="9">
        <f>SUM(ENOS_G1_SARAMPION[[#This Row],[D1]:[D6]])</f>
        <v>0</v>
      </c>
    </row>
    <row r="46" spans="1:32" s="2" customFormat="1">
      <c r="P46" s="64"/>
      <c r="Q46" s="8"/>
      <c r="R46" s="8"/>
      <c r="S46" s="8"/>
      <c r="T46" s="8"/>
      <c r="U46" s="8"/>
      <c r="V46" s="8"/>
      <c r="W46" s="65"/>
    </row>
    <row r="47" spans="1:32" s="2" customFormat="1" ht="18" customHeight="1" thickBot="1">
      <c r="P47" s="87" t="s">
        <v>227</v>
      </c>
      <c r="Q47" s="88"/>
      <c r="R47" s="88"/>
      <c r="S47" s="88"/>
      <c r="T47" s="88"/>
      <c r="U47" s="88"/>
      <c r="V47" s="88"/>
      <c r="W47" s="88"/>
      <c r="Y47" s="87" t="s">
        <v>228</v>
      </c>
      <c r="Z47" s="88"/>
      <c r="AA47" s="88"/>
      <c r="AB47" s="88"/>
      <c r="AC47" s="88"/>
      <c r="AD47" s="88"/>
      <c r="AE47" s="88"/>
      <c r="AF47" s="88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1" t="s">
        <v>108</v>
      </c>
      <c r="Q49" s="8">
        <f>IF($O$3="(Todas)",COUNTIF(BASE[CODCIE10],ENOS_G1_SINDROME_DE_RUBEOLA_CONGENITA[[#This Row],[CIE-10]]),COUNTIFS(BASE[Cod.Establecimiento],$O$3,BASE[CODCIE10],ENOS_G1_SINDROME_DE_RUBEOLA_CONGENITA[[#This Row],[CIE-10]]))</f>
        <v>0</v>
      </c>
      <c r="R49" s="8">
        <f>IF($O$3="(Todas)",COUNTIF(BASE[CODCIE102],ENOS_G1_SINDROME_DE_RUBEOLA_CONGENITA[[#This Row],[CIE-10]]),COUNTIFS(BASE[Cod.Establecimiento],$O$3,BASE[CODCIE102],ENOS_G1_SINDROME_DE_RUBEOLA_CONGENITA[[#This Row],[CIE-10]]))</f>
        <v>0</v>
      </c>
      <c r="S49" s="8">
        <f>IF($O$3="(Todas)",COUNTIF(BASE[CODCIE104],ENOS_G1_SINDROME_DE_RUBEOLA_CONGENITA[[#This Row],[CIE-10]]),COUNTIFS(BASE[Cod.Establecimiento],$O$3,BASE[CODCIE104],ENOS_G1_SINDROME_DE_RUBEOLA_CONGENITA[[#This Row],[CIE-10]]))</f>
        <v>0</v>
      </c>
      <c r="T49" s="8">
        <f>IF($O$3="(Todas)",COUNTIF(BASE[CODCIE106],ENOS_G1_SINDROME_DE_RUBEOLA_CONGENITA[[#This Row],[CIE-10]]),COUNTIFS(BASE[Cod.Establecimiento],$O$3,BASE[CODCIE106],ENOS_G1_SINDROME_DE_RUBEOLA_CONGENITA[[#This Row],[CIE-10]]))</f>
        <v>0</v>
      </c>
      <c r="U49" s="8">
        <f>IF($O$3="(Todas)",COUNTIF(BASE[CODCIE108],ENOS_G1_SINDROME_DE_RUBEOLA_CONGENITA[[#This Row],[CIE-10]]),COUNTIFS(BASE[Cod.Establecimiento],$O$3,BASE[CODCIE108],ENOS_G1_SINDROME_DE_RUBEOLA_CONGENITA[[#This Row],[CIE-10]]))</f>
        <v>0</v>
      </c>
      <c r="V49" s="8">
        <f>IF($O$3="(Todas)",COUNTIF(BASE[CODCIE1010],ENOS_G1_SINDROME_DE_RUBEOLA_CONGENITA[[#This Row],[CIE-10]]),COUNTIFS(BASE[Cod.Establecimiento],$O$3,BASE[CODCIE1010],ENOS_G1_SINDROME_DE_RUBEOLA_CONGENITA[[#This Row],[CIE-10]]))</f>
        <v>0</v>
      </c>
      <c r="W49" s="9">
        <f>SUM(ENOS_G1_SINDROME_DE_RUBEOLA_CONGENITA[[#This Row],[D1]:[D6]])</f>
        <v>0</v>
      </c>
      <c r="Y49" s="31" t="s">
        <v>115</v>
      </c>
      <c r="Z49" s="8">
        <f>IF($O$3="(Todas)",COUNTIF(BASE[CODCIE10],ENOS_G1_TETANOS_NEONATAL[[#This Row],[CIE-10]]),COUNTIFS(BASE[Cod.Establecimiento],$O$3,BASE[CODCIE10],ENOS_G1_TETANOS_NEONATAL[[#This Row],[CIE-10]]))</f>
        <v>0</v>
      </c>
      <c r="AA49" s="8">
        <f>IF($O$3="(Todas)",COUNTIF(BASE[CODCIE102],ENOS_G1_TETANOS_NEONATAL[[#This Row],[CIE-10]]),COUNTIFS(BASE[Cod.Establecimiento],$O$3,BASE[CODCIE102],ENOS_G1_TETANOS_NEONATAL[[#This Row],[CIE-10]]))</f>
        <v>0</v>
      </c>
      <c r="AB49" s="8">
        <f>IF($O$3="(Todas)",COUNTIF(BASE[CODCIE104],ENOS_G1_TETANOS_NEONATAL[[#This Row],[CIE-10]]),COUNTIFS(BASE[Cod.Establecimiento],$O$3,BASE[CODCIE104],ENOS_G1_TETANOS_NEONATAL[[#This Row],[CIE-10]]))</f>
        <v>0</v>
      </c>
      <c r="AC49" s="8">
        <f>IF($O$3="(Todas)",COUNTIF(BASE[CODCIE106],ENOS_G1_TETANOS_NEONATAL[[#This Row],[CIE-10]]),COUNTIFS(BASE[Cod.Establecimiento],$O$3,BASE[CODCIE106],ENOS_G1_TETANOS_NEONATAL[[#This Row],[CIE-10]]))</f>
        <v>0</v>
      </c>
      <c r="AD49" s="8">
        <f>IF($O$3="(Todas)",COUNTIF(BASE[CODCIE108],ENOS_G1_TETANOS_NEONATAL[[#This Row],[CIE-10]]),COUNTIFS(BASE[Cod.Establecimiento],$O$3,BASE[CODCIE108],ENOS_G1_TETANOS_NEONATAL[[#This Row],[CIE-10]]))</f>
        <v>0</v>
      </c>
      <c r="AE49" s="8">
        <f>IF($O$3="(Todas)",COUNTIF(BASE[CODCIE1010],ENOS_G1_TETANOS_NEONATAL[[#This Row],[CIE-10]]),COUNTIFS(BASE[Cod.Establecimiento],$O$3,BASE[CODCIE1010],ENOS_G1_TETANOS_NEONATAL[[#This Row],[CIE-10]]))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7" t="s">
        <v>229</v>
      </c>
      <c r="Q51" s="88"/>
      <c r="R51" s="88"/>
      <c r="S51" s="88"/>
      <c r="T51" s="88"/>
      <c r="U51" s="88"/>
      <c r="V51" s="88"/>
      <c r="W51" s="88"/>
      <c r="X51" s="2"/>
      <c r="Y51" s="87" t="s">
        <v>230</v>
      </c>
      <c r="Z51" s="88"/>
      <c r="AA51" s="88"/>
      <c r="AB51" s="88"/>
      <c r="AC51" s="88"/>
      <c r="AD51" s="88"/>
      <c r="AE51" s="88"/>
      <c r="AF51" s="88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1" t="s">
        <v>231</v>
      </c>
      <c r="Q53" s="8">
        <f>IF($O$3="(Todas)",COUNTIF(BASE[CODCIE10],ENOS_G1_PALUDISMO[[#This Row],[CIE-10]]),COUNTIFS(BASE[Cod.Establecimiento],$O$3,BASE[CODCIE10],ENOS_G1_PALUDISMO[[#This Row],[CIE-10]]))</f>
        <v>0</v>
      </c>
      <c r="R53" s="8">
        <f>IF($O$3="(Todas)",COUNTIF(BASE[CODCIE102],ENOS_G1_PALUDISMO[[#This Row],[CIE-10]]),COUNTIFS(BASE[Cod.Establecimiento],$O$3,BASE[CODCIE102],ENOS_G1_PALUDISMO[[#This Row],[CIE-10]]))</f>
        <v>0</v>
      </c>
      <c r="S53" s="8">
        <f>IF($O$3="(Todas)",COUNTIF(BASE[CODCIE104],ENOS_G1_PALUDISMO[[#This Row],[CIE-10]]),COUNTIFS(BASE[Cod.Establecimiento],$O$3,BASE[CODCIE104],ENOS_G1_PALUDISMO[[#This Row],[CIE-10]]))</f>
        <v>0</v>
      </c>
      <c r="T53" s="8">
        <f>IF($O$3="(Todas)",COUNTIF(BASE[CODCIE106],ENOS_G1_PALUDISMO[[#This Row],[CIE-10]]),COUNTIFS(BASE[Cod.Establecimiento],$O$3,BASE[CODCIE106],ENOS_G1_PALUDISMO[[#This Row],[CIE-10]]))</f>
        <v>0</v>
      </c>
      <c r="U53" s="8">
        <f>IF($O$3="(Todas)",COUNTIF(BASE[CODCIE108],ENOS_G1_PALUDISMO[[#This Row],[CIE-10]]),COUNTIFS(BASE[Cod.Establecimiento],$O$3,BASE[CODCIE108],ENOS_G1_PALUDISMO[[#This Row],[CIE-10]]))</f>
        <v>0</v>
      </c>
      <c r="V53" s="8">
        <f>IF($O$3="(Todas)",COUNTIF(BASE[CODCIE1010],ENOS_G1_PALUDISMO[[#This Row],[CIE-10]]),COUNTIFS(BASE[Cod.Establecimiento],$O$3,BASE[CODCIE1010],ENOS_G1_PALUDISMO[[#This Row],[CIE-10]]))</f>
        <v>0</v>
      </c>
      <c r="W53" s="9">
        <f>SUM(ENOS_G1_PALUDISMO[[#This Row],[D1]:[D6]])</f>
        <v>0</v>
      </c>
      <c r="X53" s="2"/>
      <c r="Y53" s="31" t="s">
        <v>232</v>
      </c>
      <c r="Z53" s="8">
        <f>IF($O$3="(Todas)",COUNTIF(BASE[CODCIE10],ENOS_G2_CONJUNTIVITIS_VIRAL[[#This Row],[CIE-10]]),COUNTIFS(BASE[Cod.Establecimiento],$O$3,BASE[CODCIE10],ENOS_G2_CONJUNTIVITIS_VIRAL[[#This Row],[CIE-10]]))</f>
        <v>0</v>
      </c>
      <c r="AA53" s="8">
        <f>IF($O$3="(Todas)",COUNTIF(BASE[CODCIE102],ENOS_G2_CONJUNTIVITIS_VIRAL[[#This Row],[CIE-10]]),COUNTIFS(BASE[Cod.Establecimiento],$O$3,BASE[CODCIE102],ENOS_G2_CONJUNTIVITIS_VIRAL[[#This Row],[CIE-10]]))</f>
        <v>0</v>
      </c>
      <c r="AB53" s="8">
        <f>IF($O$3="(Todas)",COUNTIF(BASE[CODCIE104],ENOS_G2_CONJUNTIVITIS_VIRAL[[#This Row],[CIE-10]]),COUNTIFS(BASE[Cod.Establecimiento],$O$3,BASE[CODCIE104],ENOS_G2_CONJUNTIVITIS_VIRAL[[#This Row],[CIE-10]]))</f>
        <v>0</v>
      </c>
      <c r="AC53" s="8">
        <f>IF($O$3="(Todas)",COUNTIF(BASE[CODCIE106],ENOS_G2_CONJUNTIVITIS_VIRAL[[#This Row],[CIE-10]]),COUNTIFS(BASE[Cod.Establecimiento],$O$3,BASE[CODCIE106],ENOS_G2_CONJUNTIVITIS_VIRAL[[#This Row],[CIE-10]]))</f>
        <v>0</v>
      </c>
      <c r="AD53" s="8">
        <f>IF($O$3="(Todas)",COUNTIF(BASE[CODCIE108],ENOS_G2_CONJUNTIVITIS_VIRAL[[#This Row],[CIE-10]]),COUNTIFS(BASE[Cod.Establecimiento],$O$3,BASE[CODCIE108],ENOS_G2_CONJUNTIVITIS_VIRAL[[#This Row],[CIE-10]]))</f>
        <v>0</v>
      </c>
      <c r="AE53" s="8">
        <f>IF($O$3="(Todas)",COUNTIF(BASE[CODCIE1010],ENOS_G2_CONJUNTIVITIS_VIRAL[[#This Row],[CIE-10]]),COUNTIFS(BASE[Cod.Establecimiento],$O$3,BASE[CODCIE1010],ENOS_G2_CONJUNTIVITIS_VIRAL[[#This Row],[CIE-10]]))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1" t="s">
        <v>233</v>
      </c>
      <c r="Q54" s="8">
        <f>IF($O$3="(Todas)",COUNTIF(BASE[CODCIE10],ENOS_G1_PALUDISMO[[#This Row],[CIE-10]]),COUNTIFS(BASE[Cod.Establecimiento],$O$3,BASE[CODCIE10],ENOS_G1_PALUDISMO[[#This Row],[CIE-10]]))</f>
        <v>0</v>
      </c>
      <c r="R54" s="8">
        <f>IF($O$3="(Todas)",COUNTIF(BASE[CODCIE102],ENOS_G1_PALUDISMO[[#This Row],[CIE-10]]),COUNTIFS(BASE[Cod.Establecimiento],$O$3,BASE[CODCIE102],ENOS_G1_PALUDISMO[[#This Row],[CIE-10]]))</f>
        <v>0</v>
      </c>
      <c r="S54" s="8">
        <f>IF($O$3="(Todas)",COUNTIF(BASE[CODCIE104],ENOS_G1_PALUDISMO[[#This Row],[CIE-10]]),COUNTIFS(BASE[Cod.Establecimiento],$O$3,BASE[CODCIE104],ENOS_G1_PALUDISMO[[#This Row],[CIE-10]]))</f>
        <v>0</v>
      </c>
      <c r="T54" s="8">
        <f>IF($O$3="(Todas)",COUNTIF(BASE[CODCIE106],ENOS_G1_PALUDISMO[[#This Row],[CIE-10]]),COUNTIFS(BASE[Cod.Establecimiento],$O$3,BASE[CODCIE106],ENOS_G1_PALUDISMO[[#This Row],[CIE-10]]))</f>
        <v>0</v>
      </c>
      <c r="U54" s="8">
        <f>IF($O$3="(Todas)",COUNTIF(BASE[CODCIE108],ENOS_G1_PALUDISMO[[#This Row],[CIE-10]]),COUNTIFS(BASE[Cod.Establecimiento],$O$3,BASE[CODCIE108],ENOS_G1_PALUDISMO[[#This Row],[CIE-10]]))</f>
        <v>0</v>
      </c>
      <c r="V54" s="8">
        <f>IF($O$3="(Todas)",COUNTIF(BASE[CODCIE1010],ENOS_G1_PALUDISMO[[#This Row],[CIE-10]]),COUNTIFS(BASE[Cod.Establecimiento],$O$3,BASE[CODCIE1010],ENOS_G1_PALUDISMO[[#This Row],[CIE-10]]))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1" t="s">
        <v>234</v>
      </c>
      <c r="Q55" s="8">
        <f>IF($O$3="(Todas)",COUNTIF(BASE[CODCIE10],ENOS_G1_PALUDISMO[[#This Row],[CIE-10]]),COUNTIFS(BASE[Cod.Establecimiento],$O$3,BASE[CODCIE10],ENOS_G1_PALUDISMO[[#This Row],[CIE-10]]))</f>
        <v>0</v>
      </c>
      <c r="R55" s="8">
        <f>IF($O$3="(Todas)",COUNTIF(BASE[CODCIE102],ENOS_G1_PALUDISMO[[#This Row],[CIE-10]]),COUNTIFS(BASE[Cod.Establecimiento],$O$3,BASE[CODCIE102],ENOS_G1_PALUDISMO[[#This Row],[CIE-10]]))</f>
        <v>0</v>
      </c>
      <c r="S55" s="8">
        <f>IF($O$3="(Todas)",COUNTIF(BASE[CODCIE104],ENOS_G1_PALUDISMO[[#This Row],[CIE-10]]),COUNTIFS(BASE[Cod.Establecimiento],$O$3,BASE[CODCIE104],ENOS_G1_PALUDISMO[[#This Row],[CIE-10]]))</f>
        <v>0</v>
      </c>
      <c r="T55" s="8">
        <f>IF($O$3="(Todas)",COUNTIF(BASE[CODCIE106],ENOS_G1_PALUDISMO[[#This Row],[CIE-10]]),COUNTIFS(BASE[Cod.Establecimiento],$O$3,BASE[CODCIE106],ENOS_G1_PALUDISMO[[#This Row],[CIE-10]]))</f>
        <v>0</v>
      </c>
      <c r="U55" s="8">
        <f>IF($O$3="(Todas)",COUNTIF(BASE[CODCIE108],ENOS_G1_PALUDISMO[[#This Row],[CIE-10]]),COUNTIFS(BASE[Cod.Establecimiento],$O$3,BASE[CODCIE108],ENOS_G1_PALUDISMO[[#This Row],[CIE-10]]))</f>
        <v>0</v>
      </c>
      <c r="V55" s="8">
        <f>IF($O$3="(Todas)",COUNTIF(BASE[CODCIE1010],ENOS_G1_PALUDISMO[[#This Row],[CIE-10]]),COUNTIFS(BASE[Cod.Establecimiento],$O$3,BASE[CODCIE1010],ENOS_G1_PALUDISMO[[#This Row],[CIE-10]]))</f>
        <v>0</v>
      </c>
      <c r="W55" s="9">
        <f>SUM(ENOS_G1_PALUDISMO[[#This Row],[D1]:[D6]])</f>
        <v>0</v>
      </c>
    </row>
    <row r="56" spans="1:32" s="2" customFormat="1">
      <c r="P56" s="31" t="s">
        <v>235</v>
      </c>
      <c r="Q56" s="8">
        <f>IF($O$3="(Todas)",COUNTIF(BASE[CODCIE10],ENOS_G1_PALUDISMO[[#This Row],[CIE-10]]),COUNTIFS(BASE[Cod.Establecimiento],$O$3,BASE[CODCIE10],ENOS_G1_PALUDISMO[[#This Row],[CIE-10]]))</f>
        <v>0</v>
      </c>
      <c r="R56" s="8">
        <f>IF($O$3="(Todas)",COUNTIF(BASE[CODCIE102],ENOS_G1_PALUDISMO[[#This Row],[CIE-10]]),COUNTIFS(BASE[Cod.Establecimiento],$O$3,BASE[CODCIE102],ENOS_G1_PALUDISMO[[#This Row],[CIE-10]]))</f>
        <v>0</v>
      </c>
      <c r="S56" s="8">
        <f>IF($O$3="(Todas)",COUNTIF(BASE[CODCIE104],ENOS_G1_PALUDISMO[[#This Row],[CIE-10]]),COUNTIFS(BASE[Cod.Establecimiento],$O$3,BASE[CODCIE104],ENOS_G1_PALUDISMO[[#This Row],[CIE-10]]))</f>
        <v>0</v>
      </c>
      <c r="T56" s="8">
        <f>IF($O$3="(Todas)",COUNTIF(BASE[CODCIE106],ENOS_G1_PALUDISMO[[#This Row],[CIE-10]]),COUNTIFS(BASE[Cod.Establecimiento],$O$3,BASE[CODCIE106],ENOS_G1_PALUDISMO[[#This Row],[CIE-10]]))</f>
        <v>0</v>
      </c>
      <c r="U56" s="8">
        <f>IF($O$3="(Todas)",COUNTIF(BASE[CODCIE108],ENOS_G1_PALUDISMO[[#This Row],[CIE-10]]),COUNTIFS(BASE[Cod.Establecimiento],$O$3,BASE[CODCIE108],ENOS_G1_PALUDISMO[[#This Row],[CIE-10]]))</f>
        <v>0</v>
      </c>
      <c r="V56" s="8">
        <f>IF($O$3="(Todas)",COUNTIF(BASE[CODCIE1010],ENOS_G1_PALUDISMO[[#This Row],[CIE-10]]),COUNTIFS(BASE[Cod.Establecimiento],$O$3,BASE[CODCIE1010],ENOS_G1_PALUDISMO[[#This Row],[CIE-10]]))</f>
        <v>0</v>
      </c>
      <c r="W56" s="9">
        <f>SUM(ENOS_G1_PALUDISMO[[#This Row],[D1]:[D6]])</f>
        <v>0</v>
      </c>
    </row>
    <row r="57" spans="1:32" s="2" customFormat="1">
      <c r="P57" s="31" t="s">
        <v>236</v>
      </c>
      <c r="Q57" s="8">
        <f>IF($O$3="(Todas)",COUNTIF(BASE[CODCIE10],ENOS_G1_PALUDISMO[[#This Row],[CIE-10]]),COUNTIFS(BASE[Cod.Establecimiento],$O$3,BASE[CODCIE10],ENOS_G1_PALUDISMO[[#This Row],[CIE-10]]))</f>
        <v>0</v>
      </c>
      <c r="R57" s="8">
        <f>IF($O$3="(Todas)",COUNTIF(BASE[CODCIE102],ENOS_G1_PALUDISMO[[#This Row],[CIE-10]]),COUNTIFS(BASE[Cod.Establecimiento],$O$3,BASE[CODCIE102],ENOS_G1_PALUDISMO[[#This Row],[CIE-10]]))</f>
        <v>0</v>
      </c>
      <c r="S57" s="8">
        <f>IF($O$3="(Todas)",COUNTIF(BASE[CODCIE104],ENOS_G1_PALUDISMO[[#This Row],[CIE-10]]),COUNTIFS(BASE[Cod.Establecimiento],$O$3,BASE[CODCIE104],ENOS_G1_PALUDISMO[[#This Row],[CIE-10]]))</f>
        <v>0</v>
      </c>
      <c r="T57" s="8">
        <f>IF($O$3="(Todas)",COUNTIF(BASE[CODCIE106],ENOS_G1_PALUDISMO[[#This Row],[CIE-10]]),COUNTIFS(BASE[Cod.Establecimiento],$O$3,BASE[CODCIE106],ENOS_G1_PALUDISMO[[#This Row],[CIE-10]]))</f>
        <v>0</v>
      </c>
      <c r="U57" s="8">
        <f>IF($O$3="(Todas)",COUNTIF(BASE[CODCIE108],ENOS_G1_PALUDISMO[[#This Row],[CIE-10]]),COUNTIFS(BASE[Cod.Establecimiento],$O$3,BASE[CODCIE108],ENOS_G1_PALUDISMO[[#This Row],[CIE-10]]))</f>
        <v>0</v>
      </c>
      <c r="V57" s="8">
        <f>IF($O$3="(Todas)",COUNTIF(BASE[CODCIE1010],ENOS_G1_PALUDISMO[[#This Row],[CIE-10]]),COUNTIFS(BASE[Cod.Establecimiento],$O$3,BASE[CODCIE1010],ENOS_G1_PALUDISMO[[#This Row],[CIE-10]]))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7" t="s">
        <v>237</v>
      </c>
      <c r="Q59" s="88"/>
      <c r="R59" s="88"/>
      <c r="S59" s="88"/>
      <c r="T59" s="88"/>
      <c r="U59" s="88"/>
      <c r="V59" s="88"/>
      <c r="W59" s="88"/>
      <c r="X59" s="2"/>
      <c r="Y59" s="87" t="s">
        <v>238</v>
      </c>
      <c r="Z59" s="88"/>
      <c r="AA59" s="88"/>
      <c r="AB59" s="88"/>
      <c r="AC59" s="88"/>
      <c r="AD59" s="88"/>
      <c r="AE59" s="88"/>
      <c r="AF59" s="88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1" t="s">
        <v>114</v>
      </c>
      <c r="Q61" s="8">
        <f>IF($O$3="(Todas)",COUNTIF(BASE[CODCIE10],ENOS_G2_PAROTIDITIS_INFECCIOSA_PAPERAS[[#This Row],[CIE-10]]),COUNTIFS(BASE[Cod.Establecimiento],$O$3,BASE[CODCIE10],ENOS_G2_PAROTIDITIS_INFECCIOSA_PAPERAS[[#This Row],[CIE-10]]))</f>
        <v>0</v>
      </c>
      <c r="R61" s="8">
        <f>IF($O$3="(Todas)",COUNTIF(BASE[CODCIE102],ENOS_G2_PAROTIDITIS_INFECCIOSA_PAPERAS[[#This Row],[CIE-10]]),COUNTIFS(BASE[Cod.Establecimiento],$O$3,BASE[CODCIE102],ENOS_G2_PAROTIDITIS_INFECCIOSA_PAPERAS[[#This Row],[CIE-10]]))</f>
        <v>0</v>
      </c>
      <c r="S61" s="8">
        <f>IF($O$3="(Todas)",COUNTIF(BASE[CODCIE104],ENOS_G2_PAROTIDITIS_INFECCIOSA_PAPERAS[[#This Row],[CIE-10]]),COUNTIFS(BASE[Cod.Establecimiento],$O$3,BASE[CODCIE104],ENOS_G2_PAROTIDITIS_INFECCIOSA_PAPERAS[[#This Row],[CIE-10]]))</f>
        <v>0</v>
      </c>
      <c r="T61" s="8">
        <f>IF($O$3="(Todas)",COUNTIF(BASE[CODCIE106],ENOS_G2_PAROTIDITIS_INFECCIOSA_PAPERAS[[#This Row],[CIE-10]]),COUNTIFS(BASE[Cod.Establecimiento],$O$3,BASE[CODCIE106],ENOS_G2_PAROTIDITIS_INFECCIOSA_PAPERAS[[#This Row],[CIE-10]]))</f>
        <v>0</v>
      </c>
      <c r="U61" s="8">
        <f>IF($O$3="(Todas)",COUNTIF(BASE[CODCIE108],ENOS_G2_PAROTIDITIS_INFECCIOSA_PAPERAS[[#This Row],[CIE-10]]),COUNTIFS(BASE[Cod.Establecimiento],$O$3,BASE[CODCIE108],ENOS_G2_PAROTIDITIS_INFECCIOSA_PAPERAS[[#This Row],[CIE-10]]))</f>
        <v>0</v>
      </c>
      <c r="V61" s="8">
        <f>IF($O$3="(Todas)",COUNTIF(BASE[CODCIE1010],ENOS_G2_PAROTIDITIS_INFECCIOSA_PAPERAS[[#This Row],[CIE-10]]),COUNTIFS(BASE[Cod.Establecimiento],$O$3,BASE[CODCIE1010],ENOS_G2_PAROTIDITIS_INFECCIOSA_PAPERAS[[#This Row],[CIE-10]]))</f>
        <v>0</v>
      </c>
      <c r="W61" s="9">
        <f>SUM(ENOS_G2_PAROTIDITIS_INFECCIOSA_PAPERAS[[#This Row],[D1]:[D6]])</f>
        <v>0</v>
      </c>
      <c r="X61" s="2"/>
      <c r="Y61" s="31" t="s">
        <v>131</v>
      </c>
      <c r="Z61" s="8">
        <f>IF($O$3="(Todas)",COUNTIF(BASE[CODCIE10],ENOS_G2_VARICELA[[#This Row],[CIE-10]]),COUNTIFS(BASE[Cod.Establecimiento],$O$3,BASE[CODCIE10],ENOS_G2_VARICELA[[#This Row],[CIE-10]]))</f>
        <v>0</v>
      </c>
      <c r="AA61" s="8">
        <f>IF($O$3="(Todas)",COUNTIF(BASE[CODCIE102],ENOS_G2_VARICELA[[#This Row],[CIE-10]]),COUNTIFS(BASE[Cod.Establecimiento],$O$3,BASE[CODCIE102],ENOS_G2_VARICELA[[#This Row],[CIE-10]]))</f>
        <v>0</v>
      </c>
      <c r="AB61" s="8">
        <f>IF($O$3="(Todas)",COUNTIF(BASE[CODCIE104],ENOS_G2_VARICELA[[#This Row],[CIE-10]]),COUNTIFS(BASE[Cod.Establecimiento],$O$3,BASE[CODCIE104],ENOS_G2_VARICELA[[#This Row],[CIE-10]]))</f>
        <v>0</v>
      </c>
      <c r="AC61" s="8">
        <f>IF($O$3="(Todas)",COUNTIF(BASE[CODCIE106],ENOS_G2_VARICELA[[#This Row],[CIE-10]]),COUNTIFS(BASE[Cod.Establecimiento],$O$3,BASE[CODCIE106],ENOS_G2_VARICELA[[#This Row],[CIE-10]]))</f>
        <v>0</v>
      </c>
      <c r="AD61" s="8">
        <f>IF($O$3="(Todas)",COUNTIF(BASE[CODCIE108],ENOS_G2_VARICELA[[#This Row],[CIE-10]]),COUNTIFS(BASE[Cod.Establecimiento],$O$3,BASE[CODCIE108],ENOS_G2_VARICELA[[#This Row],[CIE-10]]))</f>
        <v>0</v>
      </c>
      <c r="AE61" s="8">
        <f>IF($O$3="(Todas)",COUNTIF(BASE[CODCIE1010],ENOS_G2_VARICELA[[#This Row],[CIE-10]]),COUNTIFS(BASE[Cod.Establecimiento],$O$3,BASE[CODCIE1010],ENOS_G2_VARICELA[[#This Row],[CIE-10]]))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7" t="s">
        <v>239</v>
      </c>
      <c r="Q63" s="88"/>
      <c r="R63" s="88"/>
      <c r="S63" s="88"/>
      <c r="T63" s="88"/>
      <c r="U63" s="88"/>
      <c r="V63" s="88"/>
      <c r="W63" s="88"/>
      <c r="X63" s="2"/>
      <c r="Y63" s="87" t="s">
        <v>240</v>
      </c>
      <c r="Z63" s="88"/>
      <c r="AA63" s="88"/>
      <c r="AB63" s="88"/>
      <c r="AC63" s="88"/>
      <c r="AD63" s="88"/>
      <c r="AE63" s="88"/>
      <c r="AF63" s="88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1" t="s">
        <v>241</v>
      </c>
      <c r="Q65" s="8">
        <f>IF($O$3="(Todas)",COUNTIF(BASE[CODCIE10],ENOS_G2_HEPATITIS_A[[#This Row],[CIE-10]]),COUNTIFS(BASE[Cod.Establecimiento],$O$3,BASE[CODCIE10],ENOS_G2_HEPATITIS_A[[#This Row],[CIE-10]]))</f>
        <v>0</v>
      </c>
      <c r="R65" s="8">
        <f>IF($O$3="(Todas)",COUNTIF(BASE[CODCIE102],ENOS_G2_HEPATITIS_A[[#This Row],[CIE-10]]),COUNTIFS(BASE[Cod.Establecimiento],$O$3,BASE[CODCIE102],ENOS_G2_HEPATITIS_A[[#This Row],[CIE-10]]))</f>
        <v>0</v>
      </c>
      <c r="S65" s="8">
        <f>IF($O$3="(Todas)",COUNTIF(BASE[CODCIE104],ENOS_G2_HEPATITIS_A[[#This Row],[CIE-10]]),COUNTIFS(BASE[Cod.Establecimiento],$O$3,BASE[CODCIE104],ENOS_G2_HEPATITIS_A[[#This Row],[CIE-10]]))</f>
        <v>0</v>
      </c>
      <c r="T65" s="8">
        <f>IF($O$3="(Todas)",COUNTIF(BASE[CODCIE106],ENOS_G2_HEPATITIS_A[[#This Row],[CIE-10]]),COUNTIFS(BASE[Cod.Establecimiento],$O$3,BASE[CODCIE106],ENOS_G2_HEPATITIS_A[[#This Row],[CIE-10]]))</f>
        <v>0</v>
      </c>
      <c r="U65" s="8">
        <f>IF($O$3="(Todas)",COUNTIF(BASE[CODCIE108],ENOS_G2_HEPATITIS_A[[#This Row],[CIE-10]]),COUNTIFS(BASE[Cod.Establecimiento],$O$3,BASE[CODCIE108],ENOS_G2_HEPATITIS_A[[#This Row],[CIE-10]]))</f>
        <v>0</v>
      </c>
      <c r="V65" s="8">
        <f>IF($O$3="(Todas)",COUNTIF(BASE[CODCIE1010],ENOS_G2_HEPATITIS_A[[#This Row],[CIE-10]]),COUNTIFS(BASE[Cod.Establecimiento],$O$3,BASE[CODCIE1010],ENOS_G2_HEPATITIS_A[[#This Row],[CIE-10]]))</f>
        <v>0</v>
      </c>
      <c r="W65" s="9">
        <f>SUM(ENOS_G2_HEPATITIS_A[[#This Row],[D1]:[D6]])</f>
        <v>0</v>
      </c>
      <c r="X65" s="2"/>
      <c r="Y65" s="31" t="s">
        <v>242</v>
      </c>
      <c r="Z65" s="8">
        <f>IF($O$3="(Todas)",COUNTIF(BASE[CODCIE10],ENOS_G2_HEPATITIS_VIRAL_SIN_OTRA_ESPECIFIACION[[#This Row],[CIE-10]]),COUNTIFS(BASE[Cod.Establecimiento],$O$3,BASE[CODCIE10],ENOS_G2_HEPATITIS_VIRAL_SIN_OTRA_ESPECIFIACION[[#This Row],[CIE-10]]))</f>
        <v>0</v>
      </c>
      <c r="AA65" s="8">
        <f>IF($O$3="(Todas)",COUNTIF(BASE[CODCIE102],ENOS_G2_HEPATITIS_VIRAL_SIN_OTRA_ESPECIFIACION[[#This Row],[CIE-10]]),COUNTIFS(BASE[Cod.Establecimiento],$O$3,BASE[CODCIE102],ENOS_G2_HEPATITIS_VIRAL_SIN_OTRA_ESPECIFIACION[[#This Row],[CIE-10]]))</f>
        <v>0</v>
      </c>
      <c r="AB65" s="8">
        <f>IF($O$3="(Todas)",COUNTIF(BASE[CODCIE104],ENOS_G2_HEPATITIS_VIRAL_SIN_OTRA_ESPECIFIACION[[#This Row],[CIE-10]]),COUNTIFS(BASE[Cod.Establecimiento],$O$3,BASE[CODCIE104],ENOS_G2_HEPATITIS_VIRAL_SIN_OTRA_ESPECIFIACION[[#This Row],[CIE-10]]))</f>
        <v>0</v>
      </c>
      <c r="AC65" s="8">
        <f>IF($O$3="(Todas)",COUNTIF(BASE[CODCIE106],ENOS_G2_HEPATITIS_VIRAL_SIN_OTRA_ESPECIFIACION[[#This Row],[CIE-10]]),COUNTIFS(BASE[Cod.Establecimiento],$O$3,BASE[CODCIE106],ENOS_G2_HEPATITIS_VIRAL_SIN_OTRA_ESPECIFIACION[[#This Row],[CIE-10]]))</f>
        <v>0</v>
      </c>
      <c r="AD65" s="8">
        <f>IF($O$3="(Todas)",COUNTIF(BASE[CODCIE108],ENOS_G2_HEPATITIS_VIRAL_SIN_OTRA_ESPECIFIACION[[#This Row],[CIE-10]]),COUNTIFS(BASE[Cod.Establecimiento],$O$3,BASE[CODCIE108],ENOS_G2_HEPATITIS_VIRAL_SIN_OTRA_ESPECIFIACION[[#This Row],[CIE-10]]))</f>
        <v>0</v>
      </c>
      <c r="AE65" s="8">
        <f>IF($O$3="(Todas)",COUNTIF(BASE[CODCIE1010],ENOS_G2_HEPATITIS_VIRAL_SIN_OTRA_ESPECIFIACION[[#This Row],[CIE-10]]),COUNTIFS(BASE[Cod.Establecimiento],$O$3,BASE[CODCIE1010],ENOS_G2_HEPATITIS_VIRAL_SIN_OTRA_ESPECIFIACION[[#This Row],[CIE-10]]))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7" t="s">
        <v>243</v>
      </c>
      <c r="Q67" s="88"/>
      <c r="R67" s="88"/>
      <c r="S67" s="88"/>
      <c r="T67" s="88"/>
      <c r="U67" s="88"/>
      <c r="V67" s="88"/>
      <c r="W67" s="88"/>
      <c r="X67" s="2"/>
      <c r="Y67" s="87" t="s">
        <v>244</v>
      </c>
      <c r="Z67" s="88"/>
      <c r="AA67" s="88"/>
      <c r="AB67" s="88"/>
      <c r="AC67" s="88"/>
      <c r="AD67" s="88"/>
      <c r="AE67" s="88"/>
      <c r="AF67" s="88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1" t="s">
        <v>245</v>
      </c>
      <c r="Q69" s="8">
        <f>IF($O$3="(Todas)",COUNTIF(BASE[CODCIE10],ENOS_G2_ETA[[#This Row],[CIE-10]]),COUNTIFS(BASE[Cod.Establecimiento],$O$3,BASE[CODCIE10],ENOS_G2_ETA[[#This Row],[CIE-10]]))</f>
        <v>0</v>
      </c>
      <c r="R69" s="8">
        <f>IF($O$3="(Todas)",COUNTIF(BASE[CODCIE102],ENOS_G2_ETA[[#This Row],[CIE-10]]),COUNTIFS(BASE[Cod.Establecimiento],$O$3,BASE[CODCIE102],ENOS_G2_ETA[[#This Row],[CIE-10]]))</f>
        <v>0</v>
      </c>
      <c r="S69" s="8">
        <f>IF($O$3="(Todas)",COUNTIF(BASE[CODCIE104],ENOS_G2_ETA[[#This Row],[CIE-10]]),COUNTIFS(BASE[Cod.Establecimiento],$O$3,BASE[CODCIE104],ENOS_G2_ETA[[#This Row],[CIE-10]]))</f>
        <v>0</v>
      </c>
      <c r="T69" s="8">
        <f>IF($O$3="(Todas)",COUNTIF(BASE[CODCIE106],ENOS_G2_ETA[[#This Row],[CIE-10]]),COUNTIFS(BASE[Cod.Establecimiento],$O$3,BASE[CODCIE106],ENOS_G2_ETA[[#This Row],[CIE-10]]))</f>
        <v>0</v>
      </c>
      <c r="U69" s="8">
        <f>IF($O$3="(Todas)",COUNTIF(BASE[CODCIE108],ENOS_G2_ETA[[#This Row],[CIE-10]]),COUNTIFS(BASE[Cod.Establecimiento],$O$3,BASE[CODCIE108],ENOS_G2_ETA[[#This Row],[CIE-10]]))</f>
        <v>0</v>
      </c>
      <c r="V69" s="8">
        <f>IF($O$3="(Todas)",COUNTIF(BASE[CODCIE1010],ENOS_G2_ETA[[#This Row],[CIE-10]]),COUNTIFS(BASE[Cod.Establecimiento],$O$3,BASE[CODCIE1010],ENOS_G2_ETA[[#This Row],[CIE-10]]))</f>
        <v>0</v>
      </c>
      <c r="W69" s="9">
        <f>SUM(ENOS_G2_ETA[[#This Row],[D1]:[D6]])</f>
        <v>0</v>
      </c>
      <c r="X69" s="2"/>
      <c r="Y69" s="31" t="s">
        <v>246</v>
      </c>
      <c r="Z69" s="8">
        <f>IF($O$3="(Todas)",COUNTIF(BASE[CODCIE10],ENOS_G2_SIFILIS_CONGENITA[[#This Row],[CIE-10]]),COUNTIFS(BASE[Cod.Establecimiento],$O$3,BASE[CODCIE10],ENOS_G2_SIFILIS_CONGENITA[[#This Row],[CIE-10]]))</f>
        <v>0</v>
      </c>
      <c r="AA69" s="8">
        <f>IF($O$3="(Todas)",COUNTIF(BASE[CODCIE102],ENOS_G2_SIFILIS_CONGENITA[[#This Row],[CIE-10]]),COUNTIFS(BASE[Cod.Establecimiento],$O$3,BASE[CODCIE102],ENOS_G2_SIFILIS_CONGENITA[[#This Row],[CIE-10]]))</f>
        <v>0</v>
      </c>
      <c r="AB69" s="8">
        <f>IF($O$3="(Todas)",COUNTIF(BASE[CODCIE104],ENOS_G2_SIFILIS_CONGENITA[[#This Row],[CIE-10]]),COUNTIFS(BASE[Cod.Establecimiento],$O$3,BASE[CODCIE104],ENOS_G2_SIFILIS_CONGENITA[[#This Row],[CIE-10]]))</f>
        <v>0</v>
      </c>
      <c r="AC69" s="8">
        <f>IF($O$3="(Todas)",COUNTIF(BASE[CODCIE106],ENOS_G2_SIFILIS_CONGENITA[[#This Row],[CIE-10]]),COUNTIFS(BASE[Cod.Establecimiento],$O$3,BASE[CODCIE106],ENOS_G2_SIFILIS_CONGENITA[[#This Row],[CIE-10]]))</f>
        <v>0</v>
      </c>
      <c r="AD69" s="8">
        <f>IF($O$3="(Todas)",COUNTIF(BASE[CODCIE108],ENOS_G2_SIFILIS_CONGENITA[[#This Row],[CIE-10]]),COUNTIFS(BASE[Cod.Establecimiento],$O$3,BASE[CODCIE108],ENOS_G2_SIFILIS_CONGENITA[[#This Row],[CIE-10]]))</f>
        <v>0</v>
      </c>
      <c r="AE69" s="8">
        <f>IF($O$3="(Todas)",COUNTIF(BASE[CODCIE1010],ENOS_G2_SIFILIS_CONGENITA[[#This Row],[CIE-10]]),COUNTIFS(BASE[Cod.Establecimiento],$O$3,BASE[CODCIE1010],ENOS_G2_SIFILIS_CONGENITA[[#This Row],[CIE-10]]))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7" t="s">
        <v>247</v>
      </c>
      <c r="Q71" s="88"/>
      <c r="R71" s="88"/>
      <c r="S71" s="88"/>
      <c r="T71" s="88"/>
      <c r="U71" s="88"/>
      <c r="V71" s="88"/>
      <c r="W71" s="88"/>
      <c r="Y71" s="87" t="s">
        <v>248</v>
      </c>
      <c r="Z71" s="88"/>
      <c r="AA71" s="88"/>
      <c r="AB71" s="88"/>
      <c r="AC71" s="88"/>
      <c r="AD71" s="88"/>
      <c r="AE71" s="88"/>
      <c r="AF71" s="88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1" t="s">
        <v>188</v>
      </c>
      <c r="Q73" s="8">
        <f>IF($O$3="(Todas)",COUNTIF(BASE[CODCIE10],ENOS_G2_SIFILIS_EMBARAZADA[[#This Row],[CIE-10]]),COUNTIFS(BASE[Cod.Establecimiento],$O$3,BASE[CODCIE10],ENOS_G2_SIFILIS_EMBARAZADA[[#This Row],[CIE-10]]))</f>
        <v>0</v>
      </c>
      <c r="R73" s="8">
        <f>IF($O$3="(Todas)",COUNTIF(BASE[CODCIE102],ENOS_G2_SIFILIS_EMBARAZADA[[#This Row],[CIE-10]]),COUNTIFS(BASE[Cod.Establecimiento],$O$3,BASE[CODCIE102],ENOS_G2_SIFILIS_EMBARAZADA[[#This Row],[CIE-10]]))</f>
        <v>0</v>
      </c>
      <c r="S73" s="8">
        <f>IF($O$3="(Todas)",COUNTIF(BASE[CODCIE104],ENOS_G2_SIFILIS_EMBARAZADA[[#This Row],[CIE-10]]),COUNTIFS(BASE[Cod.Establecimiento],$O$3,BASE[CODCIE104],ENOS_G2_SIFILIS_EMBARAZADA[[#This Row],[CIE-10]]))</f>
        <v>0</v>
      </c>
      <c r="T73" s="8">
        <f>IF($O$3="(Todas)",COUNTIF(BASE[CODCIE106],ENOS_G2_SIFILIS_EMBARAZADA[[#This Row],[CIE-10]]),COUNTIFS(BASE[Cod.Establecimiento],$O$3,BASE[CODCIE106],ENOS_G2_SIFILIS_EMBARAZADA[[#This Row],[CIE-10]]))</f>
        <v>0</v>
      </c>
      <c r="U73" s="8">
        <f>IF($O$3="(Todas)",COUNTIF(BASE[CODCIE108],ENOS_G2_SIFILIS_EMBARAZADA[[#This Row],[CIE-10]]),COUNTIFS(BASE[Cod.Establecimiento],$O$3,BASE[CODCIE108],ENOS_G2_SIFILIS_EMBARAZADA[[#This Row],[CIE-10]]))</f>
        <v>0</v>
      </c>
      <c r="V73" s="8">
        <f>IF($O$3="(Todas)",COUNTIF(BASE[CODCIE1010],ENOS_G2_SIFILIS_EMBARAZADA[[#This Row],[CIE-10]]),COUNTIFS(BASE[Cod.Establecimiento],$O$3,BASE[CODCIE1010],ENOS_G2_SIFILIS_EMBARAZADA[[#This Row],[CIE-10]]))</f>
        <v>0</v>
      </c>
      <c r="W73" s="9">
        <f>SUM(ENOS_G2_SIFILIS_EMBARAZADA[[#This Row],[D1]:[D6]])</f>
        <v>0</v>
      </c>
      <c r="Y73" s="31" t="s">
        <v>249</v>
      </c>
      <c r="Z73" s="8">
        <f>IF($O$3="(Todas)",COUNTIF(BASE[CODCIE10],ENOS_G2_SIFILIS_TODOS_LOS_CASOS[[#This Row],[CIE-10]]),COUNTIFS(BASE[Cod.Establecimiento],$O$3,BASE[CODCIE10],ENOS_G2_SIFILIS_TODOS_LOS_CASOS[[#This Row],[CIE-10]]))</f>
        <v>0</v>
      </c>
      <c r="AA73" s="8">
        <f>IF($O$3="(Todas)",COUNTIF(BASE[CODCIE102],ENOS_G2_SIFILIS_TODOS_LOS_CASOS[[#This Row],[CIE-10]]),COUNTIFS(BASE[Cod.Establecimiento],$O$3,BASE[CODCIE102],ENOS_G2_SIFILIS_TODOS_LOS_CASOS[[#This Row],[CIE-10]]))</f>
        <v>0</v>
      </c>
      <c r="AB73" s="8">
        <f>IF($O$3="(Todas)",COUNTIF(BASE[CODCIE104],ENOS_G2_SIFILIS_TODOS_LOS_CASOS[[#This Row],[CIE-10]]),COUNTIFS(BASE[Cod.Establecimiento],$O$3,BASE[CODCIE104],ENOS_G2_SIFILIS_TODOS_LOS_CASOS[[#This Row],[CIE-10]]))</f>
        <v>0</v>
      </c>
      <c r="AC73" s="8">
        <f>IF($O$3="(Todas)",COUNTIF(BASE[CODCIE106],ENOS_G2_SIFILIS_TODOS_LOS_CASOS[[#This Row],[CIE-10]]),COUNTIFS(BASE[Cod.Establecimiento],$O$3,BASE[CODCIE106],ENOS_G2_SIFILIS_TODOS_LOS_CASOS[[#This Row],[CIE-10]]))</f>
        <v>0</v>
      </c>
      <c r="AD73" s="8">
        <f>IF($O$3="(Todas)",COUNTIF(BASE[CODCIE108],ENOS_G2_SIFILIS_TODOS_LOS_CASOS[[#This Row],[CIE-10]]),COUNTIFS(BASE[Cod.Establecimiento],$O$3,BASE[CODCIE108],ENOS_G2_SIFILIS_TODOS_LOS_CASOS[[#This Row],[CIE-10]]))</f>
        <v>0</v>
      </c>
      <c r="AE73" s="8">
        <f>IF($O$3="(Todas)",COUNTIF(BASE[CODCIE1010],ENOS_G2_SIFILIS_TODOS_LOS_CASOS[[#This Row],[CIE-10]]),COUNTIFS(BASE[Cod.Establecimiento],$O$3,BASE[CODCIE1010],ENOS_G2_SIFILIS_TODOS_LOS_CASOS[[#This Row],[CIE-10]]))</f>
        <v>0</v>
      </c>
      <c r="AF73" s="9">
        <f>SUM(ENOS_G2_SIFILIS_TODOS_LOS_CASOS[[#This Row],[D1]:[D6]])</f>
        <v>0</v>
      </c>
    </row>
    <row r="74" spans="1:32" s="2" customFormat="1" ht="15.75" customHeight="1">
      <c r="Y74" s="31" t="s">
        <v>250</v>
      </c>
      <c r="Z74" s="8">
        <f>IF($O$3="(Todas)",COUNTIF(BASE[CODCIE10],ENOS_G2_SIFILIS_TODOS_LOS_CASOS[[#This Row],[CIE-10]]),COUNTIFS(BASE[Cod.Establecimiento],$O$3,BASE[CODCIE10],ENOS_G2_SIFILIS_TODOS_LOS_CASOS[[#This Row],[CIE-10]]))</f>
        <v>0</v>
      </c>
      <c r="AA74" s="8">
        <f>IF($O$3="(Todas)",COUNTIF(BASE[CODCIE102],ENOS_G2_SIFILIS_TODOS_LOS_CASOS[[#This Row],[CIE-10]]),COUNTIFS(BASE[Cod.Establecimiento],$O$3,BASE[CODCIE102],ENOS_G2_SIFILIS_TODOS_LOS_CASOS[[#This Row],[CIE-10]]))</f>
        <v>0</v>
      </c>
      <c r="AB74" s="8">
        <f>IF($O$3="(Todas)",COUNTIF(BASE[CODCIE104],ENOS_G2_SIFILIS_TODOS_LOS_CASOS[[#This Row],[CIE-10]]),COUNTIFS(BASE[Cod.Establecimiento],$O$3,BASE[CODCIE104],ENOS_G2_SIFILIS_TODOS_LOS_CASOS[[#This Row],[CIE-10]]))</f>
        <v>0</v>
      </c>
      <c r="AC74" s="8">
        <f>IF($O$3="(Todas)",COUNTIF(BASE[CODCIE106],ENOS_G2_SIFILIS_TODOS_LOS_CASOS[[#This Row],[CIE-10]]),COUNTIFS(BASE[Cod.Establecimiento],$O$3,BASE[CODCIE106],ENOS_G2_SIFILIS_TODOS_LOS_CASOS[[#This Row],[CIE-10]]))</f>
        <v>0</v>
      </c>
      <c r="AD74" s="8">
        <f>IF($O$3="(Todas)",COUNTIF(BASE[CODCIE108],ENOS_G2_SIFILIS_TODOS_LOS_CASOS[[#This Row],[CIE-10]]),COUNTIFS(BASE[Cod.Establecimiento],$O$3,BASE[CODCIE108],ENOS_G2_SIFILIS_TODOS_LOS_CASOS[[#This Row],[CIE-10]]))</f>
        <v>0</v>
      </c>
      <c r="AE74" s="8">
        <f>IF($O$3="(Todas)",COUNTIF(BASE[CODCIE1010],ENOS_G2_SIFILIS_TODOS_LOS_CASOS[[#This Row],[CIE-10]]),COUNTIFS(BASE[Cod.Establecimiento],$O$3,BASE[CODCIE1010],ENOS_G2_SIFILIS_TODOS_LOS_CASOS[[#This Row],[CIE-10]]))</f>
        <v>0</v>
      </c>
      <c r="AF74" s="9">
        <f>SUM(ENOS_G2_SIFILIS_TODOS_LOS_CASOS[[#This Row],[D1]:[D6]])</f>
        <v>0</v>
      </c>
    </row>
    <row r="75" spans="1:32" s="2" customFormat="1" ht="15.75" customHeight="1">
      <c r="Y75" s="31" t="s">
        <v>251</v>
      </c>
      <c r="Z75" s="8">
        <f>IF($O$3="(Todas)",COUNTIF(BASE[CODCIE10],ENOS_G2_SIFILIS_TODOS_LOS_CASOS[[#This Row],[CIE-10]]),COUNTIFS(BASE[Cod.Establecimiento],$O$3,BASE[CODCIE10],ENOS_G2_SIFILIS_TODOS_LOS_CASOS[[#This Row],[CIE-10]]))</f>
        <v>0</v>
      </c>
      <c r="AA75" s="8">
        <f>IF($O$3="(Todas)",COUNTIF(BASE[CODCIE102],ENOS_G2_SIFILIS_TODOS_LOS_CASOS[[#This Row],[CIE-10]]),COUNTIFS(BASE[Cod.Establecimiento],$O$3,BASE[CODCIE102],ENOS_G2_SIFILIS_TODOS_LOS_CASOS[[#This Row],[CIE-10]]))</f>
        <v>0</v>
      </c>
      <c r="AB75" s="8">
        <f>IF($O$3="(Todas)",COUNTIF(BASE[CODCIE104],ENOS_G2_SIFILIS_TODOS_LOS_CASOS[[#This Row],[CIE-10]]),COUNTIFS(BASE[Cod.Establecimiento],$O$3,BASE[CODCIE104],ENOS_G2_SIFILIS_TODOS_LOS_CASOS[[#This Row],[CIE-10]]))</f>
        <v>0</v>
      </c>
      <c r="AC75" s="8">
        <f>IF($O$3="(Todas)",COUNTIF(BASE[CODCIE106],ENOS_G2_SIFILIS_TODOS_LOS_CASOS[[#This Row],[CIE-10]]),COUNTIFS(BASE[Cod.Establecimiento],$O$3,BASE[CODCIE106],ENOS_G2_SIFILIS_TODOS_LOS_CASOS[[#This Row],[CIE-10]]))</f>
        <v>0</v>
      </c>
      <c r="AD75" s="8">
        <f>IF($O$3="(Todas)",COUNTIF(BASE[CODCIE108],ENOS_G2_SIFILIS_TODOS_LOS_CASOS[[#This Row],[CIE-10]]),COUNTIFS(BASE[Cod.Establecimiento],$O$3,BASE[CODCIE108],ENOS_G2_SIFILIS_TODOS_LOS_CASOS[[#This Row],[CIE-10]]))</f>
        <v>0</v>
      </c>
      <c r="AE75" s="8">
        <f>IF($O$3="(Todas)",COUNTIF(BASE[CODCIE1010],ENOS_G2_SIFILIS_TODOS_LOS_CASOS[[#This Row],[CIE-10]]),COUNTIFS(BASE[Cod.Establecimiento],$O$3,BASE[CODCIE1010],ENOS_G2_SIFILIS_TODOS_LOS_CASOS[[#This Row],[CIE-10]]))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7" t="s">
        <v>252</v>
      </c>
      <c r="Q77" s="88"/>
      <c r="R77" s="88"/>
      <c r="S77" s="88"/>
      <c r="T77" s="88"/>
      <c r="U77" s="88"/>
      <c r="V77" s="88"/>
      <c r="W77" s="88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1" t="s">
        <v>88</v>
      </c>
      <c r="Q79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79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79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79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79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79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1" t="s">
        <v>90</v>
      </c>
      <c r="Q80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0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0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0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0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0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1" t="s">
        <v>764</v>
      </c>
      <c r="Q81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1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1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1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1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1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7" t="s">
        <v>253</v>
      </c>
      <c r="Q83" s="88"/>
      <c r="R83" s="88"/>
      <c r="S83" s="88"/>
      <c r="T83" s="88"/>
      <c r="U83" s="88"/>
      <c r="V83" s="88"/>
      <c r="W83" s="88"/>
      <c r="X83" s="2"/>
      <c r="Y83" s="87" t="s">
        <v>254</v>
      </c>
      <c r="Z83" s="88"/>
      <c r="AA83" s="88"/>
      <c r="AB83" s="88"/>
      <c r="AC83" s="88"/>
      <c r="AD83" s="88"/>
      <c r="AE83" s="88"/>
      <c r="AF83" s="88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1" t="s">
        <v>255</v>
      </c>
      <c r="Q85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5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5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5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5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5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5" s="9">
        <f>SUM(ENOS_G3_ETI_MENOR_QUE_1_AÑO[[#This Row],[D1]:[D6]])</f>
        <v>0</v>
      </c>
      <c r="X85" s="2"/>
      <c r="Y85" s="31" t="s">
        <v>255</v>
      </c>
      <c r="Z85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5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5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5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5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5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1" t="s">
        <v>256</v>
      </c>
      <c r="Q86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6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6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6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6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6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6" s="9">
        <f>SUM(ENOS_G3_ETI_MENOR_QUE_1_AÑO[[#This Row],[D1]:[D6]])</f>
        <v>0</v>
      </c>
      <c r="X86" s="2"/>
      <c r="Y86" s="31" t="s">
        <v>256</v>
      </c>
      <c r="Z86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6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6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6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6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6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1" t="s">
        <v>257</v>
      </c>
      <c r="Q87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7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7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7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7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7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7" s="9">
        <f>SUM(ENOS_G3_ETI_MENOR_QUE_1_AÑO[[#This Row],[D1]:[D6]])</f>
        <v>0</v>
      </c>
      <c r="X87" s="2"/>
      <c r="Y87" s="31" t="s">
        <v>257</v>
      </c>
      <c r="Z87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7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7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7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7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7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7" t="s">
        <v>258</v>
      </c>
      <c r="Q89" s="88"/>
      <c r="R89" s="88"/>
      <c r="S89" s="88"/>
      <c r="T89" s="88"/>
      <c r="U89" s="88"/>
      <c r="V89" s="88"/>
      <c r="W89" s="88"/>
      <c r="X89" s="2"/>
      <c r="Y89" s="87" t="s">
        <v>259</v>
      </c>
      <c r="Z89" s="88"/>
      <c r="AA89" s="88"/>
      <c r="AB89" s="88"/>
      <c r="AC89" s="88"/>
      <c r="AD89" s="88"/>
      <c r="AE89" s="88"/>
      <c r="AF89" s="88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1" t="s">
        <v>255</v>
      </c>
      <c r="Q91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1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1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1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1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1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1" s="9">
        <f>SUM(ENOS_G3_ETI_5_19_AÑOS[[#This Row],[D1]:[D6]])</f>
        <v>0</v>
      </c>
      <c r="X91" s="2"/>
      <c r="Y91" s="31" t="s">
        <v>255</v>
      </c>
      <c r="Z91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1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1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1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1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1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1" t="s">
        <v>256</v>
      </c>
      <c r="Q92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2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2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2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2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2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2" s="9">
        <f>SUM(ENOS_G3_ETI_5_19_AÑOS[[#This Row],[D1]:[D6]])</f>
        <v>0</v>
      </c>
      <c r="X92" s="2"/>
      <c r="Y92" s="31" t="s">
        <v>256</v>
      </c>
      <c r="Z92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2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2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2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2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2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1" t="s">
        <v>257</v>
      </c>
      <c r="Q93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3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3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3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3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3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3" s="9">
        <f>SUM(ENOS_G3_ETI_5_19_AÑOS[[#This Row],[D1]:[D6]])</f>
        <v>0</v>
      </c>
      <c r="X93" s="2"/>
      <c r="Y93" s="31" t="s">
        <v>257</v>
      </c>
      <c r="Z93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3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3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3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3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3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7" t="s">
        <v>260</v>
      </c>
      <c r="Q95" s="88"/>
      <c r="R95" s="88"/>
      <c r="S95" s="88"/>
      <c r="T95" s="88"/>
      <c r="U95" s="88"/>
      <c r="V95" s="88"/>
      <c r="W95" s="88"/>
      <c r="X95" s="2"/>
      <c r="Y95" s="87" t="s">
        <v>261</v>
      </c>
      <c r="Z95" s="88"/>
      <c r="AA95" s="88"/>
      <c r="AB95" s="88"/>
      <c r="AC95" s="88"/>
      <c r="AD95" s="88"/>
      <c r="AE95" s="88"/>
      <c r="AF95" s="88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1" t="s">
        <v>255</v>
      </c>
      <c r="Q97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7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7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7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7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7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7" s="9">
        <f>SUM(ENOS_G3_ETI_60_MAS_AÑOS[[#This Row],[D1]:[D6]])</f>
        <v>0</v>
      </c>
      <c r="X97" s="2"/>
      <c r="Y97" s="31" t="s">
        <v>255</v>
      </c>
      <c r="Z97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7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7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7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7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7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1" t="s">
        <v>256</v>
      </c>
      <c r="Q98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8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8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8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8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8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8" s="9">
        <f>SUM(ENOS_G3_ETI_60_MAS_AÑOS[[#This Row],[D1]:[D6]])</f>
        <v>0</v>
      </c>
      <c r="X98" s="2"/>
      <c r="Y98" s="31" t="s">
        <v>256</v>
      </c>
      <c r="Z98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8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8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8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8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8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1" t="s">
        <v>257</v>
      </c>
      <c r="Q99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9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9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9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9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9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9" s="9">
        <f>SUM(ENOS_G3_ETI_60_MAS_AÑOS[[#This Row],[D1]:[D6]])</f>
        <v>0</v>
      </c>
      <c r="X99" s="2"/>
      <c r="Y99" s="31" t="s">
        <v>257</v>
      </c>
      <c r="Z99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9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9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9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9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9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7" t="s">
        <v>262</v>
      </c>
      <c r="Q101" s="88"/>
      <c r="R101" s="88"/>
      <c r="S101" s="88"/>
      <c r="T101" s="88"/>
      <c r="U101" s="88"/>
      <c r="V101" s="88"/>
      <c r="W101" s="88"/>
      <c r="X101" s="2"/>
      <c r="Y101" s="87" t="s">
        <v>263</v>
      </c>
      <c r="Z101" s="88"/>
      <c r="AA101" s="88"/>
      <c r="AB101" s="88"/>
      <c r="AC101" s="88"/>
      <c r="AD101" s="88"/>
      <c r="AE101" s="88"/>
      <c r="AF101" s="88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1" t="s">
        <v>288</v>
      </c>
      <c r="Q103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3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3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3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3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3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3" s="9">
        <f>SUM(ENOS_G3_IRANN_MENOR_QUE_1_AÑO[[#This Row],[D1]:[D6]])</f>
        <v>0</v>
      </c>
      <c r="X103" s="2"/>
      <c r="Y103" s="31" t="s">
        <v>288</v>
      </c>
      <c r="Z103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3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3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3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3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3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1" t="s">
        <v>289</v>
      </c>
      <c r="Q104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4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4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4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4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4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4" s="9">
        <f>SUM(ENOS_G3_IRANN_MENOR_QUE_1_AÑO[[#This Row],[D1]:[D6]])</f>
        <v>0</v>
      </c>
      <c r="X104" s="2"/>
      <c r="Y104" s="31" t="s">
        <v>289</v>
      </c>
      <c r="Z104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4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4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4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4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4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1" t="s">
        <v>290</v>
      </c>
      <c r="Q105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5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5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5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5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5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5" s="9">
        <f>SUM(ENOS_G3_IRANN_MENOR_QUE_1_AÑO[[#This Row],[D1]:[D6]])</f>
        <v>0</v>
      </c>
      <c r="X105" s="2"/>
      <c r="Y105" s="31" t="s">
        <v>290</v>
      </c>
      <c r="Z105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5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5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5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5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5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1" t="s">
        <v>291</v>
      </c>
      <c r="Q106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6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6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6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6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6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6" s="9">
        <f>SUM(ENOS_G3_IRANN_MENOR_QUE_1_AÑO[[#This Row],[D1]:[D6]])</f>
        <v>0</v>
      </c>
      <c r="X106" s="2"/>
      <c r="Y106" s="31" t="s">
        <v>291</v>
      </c>
      <c r="Z106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6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6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6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6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6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1" t="s">
        <v>292</v>
      </c>
      <c r="Q107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7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7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7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7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7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7" s="9">
        <f>SUM(ENOS_G3_IRANN_MENOR_QUE_1_AÑO[[#This Row],[D1]:[D6]])</f>
        <v>0</v>
      </c>
      <c r="X107" s="2"/>
      <c r="Y107" s="31" t="s">
        <v>292</v>
      </c>
      <c r="Z107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7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7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7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7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7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1" t="s">
        <v>293</v>
      </c>
      <c r="Q108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8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8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8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8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8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8" s="9">
        <f>SUM(ENOS_G3_IRANN_MENOR_QUE_1_AÑO[[#This Row],[D1]:[D6]])</f>
        <v>0</v>
      </c>
      <c r="X108" s="2"/>
      <c r="Y108" s="31" t="s">
        <v>293</v>
      </c>
      <c r="Z108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8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8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8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8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8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1" t="s">
        <v>294</v>
      </c>
      <c r="Q109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9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9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9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9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9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9" s="9">
        <f>SUM(ENOS_G3_IRANN_MENOR_QUE_1_AÑO[[#This Row],[D1]:[D6]])</f>
        <v>0</v>
      </c>
      <c r="X109" s="2"/>
      <c r="Y109" s="31" t="s">
        <v>294</v>
      </c>
      <c r="Z109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9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9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9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9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9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1" t="s">
        <v>295</v>
      </c>
      <c r="Q110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0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0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0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0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0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0" s="9">
        <f>SUM(ENOS_G3_IRANN_MENOR_QUE_1_AÑO[[#This Row],[D1]:[D6]])</f>
        <v>0</v>
      </c>
      <c r="X110" s="2"/>
      <c r="Y110" s="31" t="s">
        <v>295</v>
      </c>
      <c r="Z110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0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0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0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0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0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1" t="s">
        <v>296</v>
      </c>
      <c r="Q111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1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1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1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1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1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1" s="9">
        <f>SUM(ENOS_G3_IRANN_MENOR_QUE_1_AÑO[[#This Row],[D1]:[D6]])</f>
        <v>0</v>
      </c>
      <c r="X111" s="2"/>
      <c r="Y111" s="31" t="s">
        <v>296</v>
      </c>
      <c r="Z111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1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1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1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1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1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7" t="s">
        <v>264</v>
      </c>
      <c r="Q113" s="88"/>
      <c r="R113" s="88"/>
      <c r="S113" s="88"/>
      <c r="T113" s="88"/>
      <c r="U113" s="88"/>
      <c r="V113" s="88"/>
      <c r="W113" s="88"/>
      <c r="X113" s="2"/>
      <c r="Y113" s="87" t="s">
        <v>265</v>
      </c>
      <c r="Z113" s="88"/>
      <c r="AA113" s="88"/>
      <c r="AB113" s="88"/>
      <c r="AC113" s="88"/>
      <c r="AD113" s="88"/>
      <c r="AE113" s="88"/>
      <c r="AF113" s="88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1" t="s">
        <v>288</v>
      </c>
      <c r="Q115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5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5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5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5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5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5" s="9">
        <f>SUM(ENOS_G3_IRANN_5_19_AÑOS[[#This Row],[D1]:[D6]])</f>
        <v>0</v>
      </c>
      <c r="X115" s="2"/>
      <c r="Y115" s="31" t="s">
        <v>288</v>
      </c>
      <c r="Z115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5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5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5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5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5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1" t="s">
        <v>289</v>
      </c>
      <c r="Q116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6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6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6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6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6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6" s="9">
        <f>SUM(ENOS_G3_IRANN_5_19_AÑOS[[#This Row],[D1]:[D6]])</f>
        <v>0</v>
      </c>
      <c r="X116" s="2"/>
      <c r="Y116" s="31" t="s">
        <v>289</v>
      </c>
      <c r="Z116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6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6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6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6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6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1" t="s">
        <v>290</v>
      </c>
      <c r="Q117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7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7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7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7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7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7" s="9">
        <f>SUM(ENOS_G3_IRANN_5_19_AÑOS[[#This Row],[D1]:[D6]])</f>
        <v>0</v>
      </c>
      <c r="X117" s="2"/>
      <c r="Y117" s="31" t="s">
        <v>290</v>
      </c>
      <c r="Z117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7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7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7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7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7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1" t="s">
        <v>291</v>
      </c>
      <c r="Q118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8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8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8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8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8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8" s="9">
        <f>SUM(ENOS_G3_IRANN_5_19_AÑOS[[#This Row],[D1]:[D6]])</f>
        <v>0</v>
      </c>
      <c r="X118" s="2"/>
      <c r="Y118" s="31" t="s">
        <v>291</v>
      </c>
      <c r="Z118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8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8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8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8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8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1" t="s">
        <v>292</v>
      </c>
      <c r="Q119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9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9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9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9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9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9" s="9">
        <f>SUM(ENOS_G3_IRANN_5_19_AÑOS[[#This Row],[D1]:[D6]])</f>
        <v>0</v>
      </c>
      <c r="X119" s="2"/>
      <c r="Y119" s="31" t="s">
        <v>292</v>
      </c>
      <c r="Z119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9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9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9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9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9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1" t="s">
        <v>293</v>
      </c>
      <c r="Q120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0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0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0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0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0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0" s="9">
        <f>SUM(ENOS_G3_IRANN_5_19_AÑOS[[#This Row],[D1]:[D6]])</f>
        <v>0</v>
      </c>
      <c r="X120" s="2"/>
      <c r="Y120" s="31" t="s">
        <v>293</v>
      </c>
      <c r="Z120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0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0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0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0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0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1" t="s">
        <v>294</v>
      </c>
      <c r="Q121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1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1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1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1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1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1" s="9">
        <f>SUM(ENOS_G3_IRANN_5_19_AÑOS[[#This Row],[D1]:[D6]])</f>
        <v>0</v>
      </c>
      <c r="X121" s="2"/>
      <c r="Y121" s="31" t="s">
        <v>294</v>
      </c>
      <c r="Z121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1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1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1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1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1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1" t="s">
        <v>295</v>
      </c>
      <c r="Q122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2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2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2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2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2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2" s="9">
        <f>SUM(ENOS_G3_IRANN_5_19_AÑOS[[#This Row],[D1]:[D6]])</f>
        <v>0</v>
      </c>
      <c r="X122" s="2"/>
      <c r="Y122" s="31" t="s">
        <v>295</v>
      </c>
      <c r="Z122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2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2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2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2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2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1" t="s">
        <v>296</v>
      </c>
      <c r="Q123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3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3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3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3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3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3" s="9">
        <f>SUM(ENOS_G3_IRANN_5_19_AÑOS[[#This Row],[D1]:[D6]])</f>
        <v>0</v>
      </c>
      <c r="X123" s="2"/>
      <c r="Y123" s="31" t="s">
        <v>296</v>
      </c>
      <c r="Z123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3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3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3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3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3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7" t="s">
        <v>266</v>
      </c>
      <c r="Q125" s="88"/>
      <c r="R125" s="88"/>
      <c r="S125" s="88"/>
      <c r="T125" s="88"/>
      <c r="U125" s="88"/>
      <c r="V125" s="88"/>
      <c r="W125" s="88"/>
      <c r="X125" s="2"/>
      <c r="Y125" s="87" t="s">
        <v>267</v>
      </c>
      <c r="Z125" s="88"/>
      <c r="AA125" s="88"/>
      <c r="AB125" s="88"/>
      <c r="AC125" s="88"/>
      <c r="AD125" s="88"/>
      <c r="AE125" s="88"/>
      <c r="AF125" s="88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1" t="s">
        <v>288</v>
      </c>
      <c r="Q127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7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7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7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7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7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7" s="9">
        <f>SUM(ENOS_G3_IRANN_60_MAS_AÑOS[[#This Row],[D1]:[D6]])</f>
        <v>0</v>
      </c>
      <c r="X127" s="2"/>
      <c r="Y127" s="31" t="s">
        <v>288</v>
      </c>
      <c r="Z127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7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7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7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7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7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1" t="s">
        <v>289</v>
      </c>
      <c r="Q128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8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8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8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8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8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8" s="9">
        <f>SUM(ENOS_G3_IRANN_60_MAS_AÑOS[[#This Row],[D1]:[D6]])</f>
        <v>0</v>
      </c>
      <c r="X128" s="2"/>
      <c r="Y128" s="31" t="s">
        <v>289</v>
      </c>
      <c r="Z128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8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8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8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8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8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1" t="s">
        <v>290</v>
      </c>
      <c r="Q129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9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9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9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9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9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9" s="9">
        <f>SUM(ENOS_G3_IRANN_60_MAS_AÑOS[[#This Row],[D1]:[D6]])</f>
        <v>0</v>
      </c>
      <c r="X129" s="2"/>
      <c r="Y129" s="31" t="s">
        <v>290</v>
      </c>
      <c r="Z129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9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9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9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9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9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1" t="s">
        <v>291</v>
      </c>
      <c r="Q130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0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0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0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0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0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0" s="9">
        <f>SUM(ENOS_G3_IRANN_60_MAS_AÑOS[[#This Row],[D1]:[D6]])</f>
        <v>0</v>
      </c>
      <c r="X130" s="2"/>
      <c r="Y130" s="31" t="s">
        <v>291</v>
      </c>
      <c r="Z130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0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0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0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0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0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1" t="s">
        <v>292</v>
      </c>
      <c r="Q131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1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1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1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1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1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1" s="9">
        <f>SUM(ENOS_G3_IRANN_60_MAS_AÑOS[[#This Row],[D1]:[D6]])</f>
        <v>0</v>
      </c>
      <c r="X131" s="2"/>
      <c r="Y131" s="31" t="s">
        <v>292</v>
      </c>
      <c r="Z131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1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1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1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1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1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1" t="s">
        <v>293</v>
      </c>
      <c r="Q132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2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2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2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2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2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2" s="9">
        <f>SUM(ENOS_G3_IRANN_60_MAS_AÑOS[[#This Row],[D1]:[D6]])</f>
        <v>0</v>
      </c>
      <c r="X132" s="2"/>
      <c r="Y132" s="31" t="s">
        <v>293</v>
      </c>
      <c r="Z132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2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2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2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2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2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1" t="s">
        <v>294</v>
      </c>
      <c r="Q133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3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3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3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3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3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3" s="9">
        <f>SUM(ENOS_G3_IRANN_60_MAS_AÑOS[[#This Row],[D1]:[D6]])</f>
        <v>0</v>
      </c>
      <c r="X133" s="2"/>
      <c r="Y133" s="31" t="s">
        <v>294</v>
      </c>
      <c r="Z133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3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3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3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3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3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1" t="s">
        <v>295</v>
      </c>
      <c r="Q134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4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4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4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4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4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4" s="9">
        <f>SUM(ENOS_G3_IRANN_60_MAS_AÑOS[[#This Row],[D1]:[D6]])</f>
        <v>0</v>
      </c>
      <c r="X134" s="2"/>
      <c r="Y134" s="31" t="s">
        <v>295</v>
      </c>
      <c r="Z134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4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4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4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4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4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1" t="s">
        <v>296</v>
      </c>
      <c r="Q135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5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5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5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5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5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5" s="9">
        <f>SUM(ENOS_G3_IRANN_60_MAS_AÑOS[[#This Row],[D1]:[D6]])</f>
        <v>0</v>
      </c>
      <c r="X135" s="2"/>
      <c r="Y135" s="31" t="s">
        <v>296</v>
      </c>
      <c r="Z135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5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5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5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5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5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7" t="s">
        <v>268</v>
      </c>
      <c r="Q137" s="88"/>
      <c r="R137" s="88"/>
      <c r="S137" s="88"/>
      <c r="T137" s="88"/>
      <c r="U137" s="88"/>
      <c r="V137" s="88"/>
      <c r="W137" s="88"/>
      <c r="X137" s="2"/>
      <c r="Y137" s="87" t="s">
        <v>269</v>
      </c>
      <c r="Z137" s="88"/>
      <c r="AA137" s="88"/>
      <c r="AB137" s="88"/>
      <c r="AC137" s="88"/>
      <c r="AD137" s="88"/>
      <c r="AE137" s="88"/>
      <c r="AF137" s="88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1" t="s">
        <v>297</v>
      </c>
      <c r="Q139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39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39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39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39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39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39" s="9">
        <f>SUM(ENOS_G3_NEU_MENOR_QUE_1_AÑO[[#This Row],[D1]:[D6]])</f>
        <v>0</v>
      </c>
      <c r="X139" s="2"/>
      <c r="Y139" s="31" t="s">
        <v>297</v>
      </c>
      <c r="Z139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39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39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39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39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39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1" t="s">
        <v>298</v>
      </c>
      <c r="Q140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0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0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0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0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0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0" s="9">
        <f>SUM(ENOS_G3_NEU_MENOR_QUE_1_AÑO[[#This Row],[D1]:[D6]])</f>
        <v>0</v>
      </c>
      <c r="X140" s="2"/>
      <c r="Y140" s="31" t="s">
        <v>298</v>
      </c>
      <c r="Z140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0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0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0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0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0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1" t="s">
        <v>299</v>
      </c>
      <c r="Q141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1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1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1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1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1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1" s="9">
        <f>SUM(ENOS_G3_NEU_MENOR_QUE_1_AÑO[[#This Row],[D1]:[D6]])</f>
        <v>0</v>
      </c>
      <c r="X141" s="2"/>
      <c r="Y141" s="31" t="s">
        <v>299</v>
      </c>
      <c r="Z141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1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1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1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1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1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1" t="s">
        <v>300</v>
      </c>
      <c r="Q142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2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2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2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2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2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2" s="9">
        <f>SUM(ENOS_G3_NEU_MENOR_QUE_1_AÑO[[#This Row],[D1]:[D6]])</f>
        <v>0</v>
      </c>
      <c r="X142" s="2"/>
      <c r="Y142" s="31" t="s">
        <v>300</v>
      </c>
      <c r="Z142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2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2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2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2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2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1" t="s">
        <v>301</v>
      </c>
      <c r="Q143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3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3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3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3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3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3" s="9">
        <f>SUM(ENOS_G3_NEU_MENOR_QUE_1_AÑO[[#This Row],[D1]:[D6]])</f>
        <v>0</v>
      </c>
      <c r="X143" s="2"/>
      <c r="Y143" s="31" t="s">
        <v>301</v>
      </c>
      <c r="Z143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3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3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3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3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3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1" t="s">
        <v>302</v>
      </c>
      <c r="Q144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4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4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4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4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4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4" s="9">
        <f>SUM(ENOS_G3_NEU_MENOR_QUE_1_AÑO[[#This Row],[D1]:[D6]])</f>
        <v>0</v>
      </c>
      <c r="X144" s="2"/>
      <c r="Y144" s="31" t="s">
        <v>302</v>
      </c>
      <c r="Z144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4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4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4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4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4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1" t="s">
        <v>303</v>
      </c>
      <c r="Q145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5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5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5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5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5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5" s="9">
        <f>SUM(ENOS_G3_NEU_MENOR_QUE_1_AÑO[[#This Row],[D1]:[D6]])</f>
        <v>0</v>
      </c>
      <c r="X145" s="2"/>
      <c r="Y145" s="31" t="s">
        <v>303</v>
      </c>
      <c r="Z145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5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5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5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5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5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7" t="s">
        <v>270</v>
      </c>
      <c r="Q147" s="88"/>
      <c r="R147" s="88"/>
      <c r="S147" s="88"/>
      <c r="T147" s="88"/>
      <c r="U147" s="88"/>
      <c r="V147" s="88"/>
      <c r="W147" s="88"/>
      <c r="X147" s="2"/>
      <c r="Y147" s="87" t="s">
        <v>271</v>
      </c>
      <c r="Z147" s="88"/>
      <c r="AA147" s="88"/>
      <c r="AB147" s="88"/>
      <c r="AC147" s="88"/>
      <c r="AD147" s="88"/>
      <c r="AE147" s="88"/>
      <c r="AF147" s="88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1" t="s">
        <v>297</v>
      </c>
      <c r="Q149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49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49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49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49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49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49" s="9">
        <f>SUM(ENOS_G3_NEU_5_19_AÑOS[[#This Row],[D1]:[D6]])</f>
        <v>0</v>
      </c>
      <c r="X149" s="2"/>
      <c r="Y149" s="31" t="s">
        <v>297</v>
      </c>
      <c r="Z149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49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49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49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49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49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1" t="s">
        <v>298</v>
      </c>
      <c r="Q150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0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0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0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0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0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0" s="9">
        <f>SUM(ENOS_G3_NEU_5_19_AÑOS[[#This Row],[D1]:[D6]])</f>
        <v>0</v>
      </c>
      <c r="X150" s="2"/>
      <c r="Y150" s="31" t="s">
        <v>298</v>
      </c>
      <c r="Z150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0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0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0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0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0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1" t="s">
        <v>299</v>
      </c>
      <c r="Q151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1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1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1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1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1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1" s="9">
        <f>SUM(ENOS_G3_NEU_5_19_AÑOS[[#This Row],[D1]:[D6]])</f>
        <v>0</v>
      </c>
      <c r="X151" s="2"/>
      <c r="Y151" s="31" t="s">
        <v>299</v>
      </c>
      <c r="Z151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1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1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1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1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1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1" t="s">
        <v>300</v>
      </c>
      <c r="Q152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2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2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2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2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2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2" s="9">
        <f>SUM(ENOS_G3_NEU_5_19_AÑOS[[#This Row],[D1]:[D6]])</f>
        <v>0</v>
      </c>
      <c r="X152" s="2"/>
      <c r="Y152" s="31" t="s">
        <v>300</v>
      </c>
      <c r="Z152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2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2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2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2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2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1" t="s">
        <v>301</v>
      </c>
      <c r="Q153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3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3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3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3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3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3" s="9">
        <f>SUM(ENOS_G3_NEU_5_19_AÑOS[[#This Row],[D1]:[D6]])</f>
        <v>0</v>
      </c>
      <c r="X153" s="2"/>
      <c r="Y153" s="31" t="s">
        <v>301</v>
      </c>
      <c r="Z153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3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3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3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3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3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1" t="s">
        <v>302</v>
      </c>
      <c r="Q154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4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4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4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4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4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4" s="9">
        <f>SUM(ENOS_G3_NEU_5_19_AÑOS[[#This Row],[D1]:[D6]])</f>
        <v>0</v>
      </c>
      <c r="X154" s="2"/>
      <c r="Y154" s="31" t="s">
        <v>302</v>
      </c>
      <c r="Z154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4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4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4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4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4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1" t="s">
        <v>303</v>
      </c>
      <c r="Q155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5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5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5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5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5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5" s="9">
        <f>SUM(ENOS_G3_NEU_5_19_AÑOS[[#This Row],[D1]:[D6]])</f>
        <v>0</v>
      </c>
      <c r="X155" s="2"/>
      <c r="Y155" s="31" t="s">
        <v>303</v>
      </c>
      <c r="Z155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5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5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5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5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5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7" t="s">
        <v>272</v>
      </c>
      <c r="Q157" s="88"/>
      <c r="R157" s="88"/>
      <c r="S157" s="88"/>
      <c r="T157" s="88"/>
      <c r="U157" s="88"/>
      <c r="V157" s="88"/>
      <c r="W157" s="88"/>
      <c r="X157" s="2"/>
      <c r="Y157" s="87" t="s">
        <v>273</v>
      </c>
      <c r="Z157" s="88"/>
      <c r="AA157" s="88"/>
      <c r="AB157" s="88"/>
      <c r="AC157" s="88"/>
      <c r="AD157" s="88"/>
      <c r="AE157" s="88"/>
      <c r="AF157" s="88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1" t="s">
        <v>297</v>
      </c>
      <c r="Q159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59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59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59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59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59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59" s="9">
        <f>SUM(ENOS_G3_NEU_60_MAS_AÑOS[[#This Row],[D1]:[D6]])</f>
        <v>0</v>
      </c>
      <c r="X159" s="2"/>
      <c r="Y159" s="31" t="s">
        <v>297</v>
      </c>
      <c r="Z159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59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59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59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59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59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1" t="s">
        <v>298</v>
      </c>
      <c r="Q160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0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0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0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0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0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0" s="9">
        <f>SUM(ENOS_G3_NEU_60_MAS_AÑOS[[#This Row],[D1]:[D6]])</f>
        <v>0</v>
      </c>
      <c r="X160" s="2"/>
      <c r="Y160" s="31" t="s">
        <v>298</v>
      </c>
      <c r="Z160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0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0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0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0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0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1" t="s">
        <v>299</v>
      </c>
      <c r="Q161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1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1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1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1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1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1" s="9">
        <f>SUM(ENOS_G3_NEU_60_MAS_AÑOS[[#This Row],[D1]:[D6]])</f>
        <v>0</v>
      </c>
      <c r="X161" s="2"/>
      <c r="Y161" s="31" t="s">
        <v>299</v>
      </c>
      <c r="Z161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1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1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1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1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1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1" t="s">
        <v>300</v>
      </c>
      <c r="Q162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2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2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2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2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2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2" s="9">
        <f>SUM(ENOS_G3_NEU_60_MAS_AÑOS[[#This Row],[D1]:[D6]])</f>
        <v>0</v>
      </c>
      <c r="X162" s="2"/>
      <c r="Y162" s="31" t="s">
        <v>300</v>
      </c>
      <c r="Z162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2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2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2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2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2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1" t="s">
        <v>301</v>
      </c>
      <c r="Q163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3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3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3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3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3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3" s="9">
        <f>SUM(ENOS_G3_NEU_60_MAS_AÑOS[[#This Row],[D1]:[D6]])</f>
        <v>0</v>
      </c>
      <c r="X163" s="2"/>
      <c r="Y163" s="31" t="s">
        <v>301</v>
      </c>
      <c r="Z163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3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3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3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3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3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1" t="s">
        <v>302</v>
      </c>
      <c r="Q164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4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4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4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4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4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4" s="9">
        <f>SUM(ENOS_G3_NEU_60_MAS_AÑOS[[#This Row],[D1]:[D6]])</f>
        <v>0</v>
      </c>
      <c r="X164" s="2"/>
      <c r="Y164" s="31" t="s">
        <v>302</v>
      </c>
      <c r="Z164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4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4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4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4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4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1" t="s">
        <v>303</v>
      </c>
      <c r="Q165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5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5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5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5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5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5" s="9">
        <f>SUM(ENOS_G3_NEU_60_MAS_AÑOS[[#This Row],[D1]:[D6]])</f>
        <v>0</v>
      </c>
      <c r="X165" s="2"/>
      <c r="Y165" s="31" t="s">
        <v>303</v>
      </c>
      <c r="Z165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5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5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5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5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5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6"/>
      <c r="K167" s="92"/>
      <c r="L167" s="86"/>
      <c r="M167" s="92"/>
      <c r="N167" s="92"/>
      <c r="O167" s="2"/>
      <c r="P167" s="87" t="s">
        <v>274</v>
      </c>
      <c r="Q167" s="88"/>
      <c r="R167" s="88"/>
      <c r="S167" s="88"/>
      <c r="T167" s="88"/>
      <c r="U167" s="88"/>
      <c r="V167" s="88"/>
      <c r="W167" s="88"/>
      <c r="X167" s="2"/>
      <c r="Y167" s="87" t="s">
        <v>275</v>
      </c>
      <c r="Z167" s="88"/>
      <c r="AA167" s="88"/>
      <c r="AB167" s="88"/>
      <c r="AC167" s="88"/>
      <c r="AD167" s="88"/>
      <c r="AE167" s="88"/>
      <c r="AF167" s="88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1" t="s">
        <v>304</v>
      </c>
      <c r="Q169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69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69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69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69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69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69" s="9">
        <f>SUM(ENOS_G3_IRAGNG_MENOR_QUE_1_AÑO[[#This Row],[D1]:[D6]])</f>
        <v>0</v>
      </c>
      <c r="X169" s="2"/>
      <c r="Y169" s="31" t="s">
        <v>304</v>
      </c>
      <c r="Z169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69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69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69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69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69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1" t="s">
        <v>305</v>
      </c>
      <c r="Q170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0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0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0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0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0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0" s="9">
        <f>SUM(ENOS_G3_IRAGNG_MENOR_QUE_1_AÑO[[#This Row],[D1]:[D6]])</f>
        <v>0</v>
      </c>
      <c r="X170" s="2"/>
      <c r="Y170" s="31" t="s">
        <v>305</v>
      </c>
      <c r="Z170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0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0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0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0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0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1" t="s">
        <v>306</v>
      </c>
      <c r="Q171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1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1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1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1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1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1" s="9">
        <f>SUM(ENOS_G3_IRAGNG_MENOR_QUE_1_AÑO[[#This Row],[D1]:[D6]])</f>
        <v>0</v>
      </c>
      <c r="X171" s="2"/>
      <c r="Y171" s="31" t="s">
        <v>306</v>
      </c>
      <c r="Z171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1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1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1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1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1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7" t="s">
        <v>276</v>
      </c>
      <c r="Q173" s="88"/>
      <c r="R173" s="88"/>
      <c r="S173" s="88"/>
      <c r="T173" s="88"/>
      <c r="U173" s="88"/>
      <c r="V173" s="88"/>
      <c r="W173" s="88"/>
      <c r="X173" s="2"/>
      <c r="Y173" s="87" t="s">
        <v>277</v>
      </c>
      <c r="Z173" s="88"/>
      <c r="AA173" s="88"/>
      <c r="AB173" s="88"/>
      <c r="AC173" s="88"/>
      <c r="AD173" s="88"/>
      <c r="AE173" s="88"/>
      <c r="AF173" s="88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1" t="s">
        <v>304</v>
      </c>
      <c r="Q175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5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5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5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5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5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5" s="9">
        <f>SUM(ENOS_G3_IRAGNG_5_19_AÑOS[[#This Row],[D1]:[D6]])</f>
        <v>0</v>
      </c>
      <c r="X175" s="2"/>
      <c r="Y175" s="31" t="s">
        <v>304</v>
      </c>
      <c r="Z175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5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5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5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5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5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1" t="s">
        <v>305</v>
      </c>
      <c r="Q176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6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6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6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6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6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6" s="9">
        <f>SUM(ENOS_G3_IRAGNG_5_19_AÑOS[[#This Row],[D1]:[D6]])</f>
        <v>0</v>
      </c>
      <c r="X176" s="2"/>
      <c r="Y176" s="31" t="s">
        <v>305</v>
      </c>
      <c r="Z176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6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6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6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6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6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1" t="s">
        <v>306</v>
      </c>
      <c r="Q177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7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7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7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7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7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7" s="9">
        <f>SUM(ENOS_G3_IRAGNG_5_19_AÑOS[[#This Row],[D1]:[D6]])</f>
        <v>0</v>
      </c>
      <c r="X177" s="2"/>
      <c r="Y177" s="31" t="s">
        <v>306</v>
      </c>
      <c r="Z177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7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7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7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7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7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7" t="s">
        <v>278</v>
      </c>
      <c r="Q179" s="88"/>
      <c r="R179" s="88"/>
      <c r="S179" s="88"/>
      <c r="T179" s="88"/>
      <c r="U179" s="88"/>
      <c r="V179" s="88"/>
      <c r="W179" s="88"/>
      <c r="X179" s="2"/>
      <c r="Y179" s="87" t="s">
        <v>279</v>
      </c>
      <c r="Z179" s="88"/>
      <c r="AA179" s="88"/>
      <c r="AB179" s="88"/>
      <c r="AC179" s="88"/>
      <c r="AD179" s="88"/>
      <c r="AE179" s="88"/>
      <c r="AF179" s="88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1" t="s">
        <v>304</v>
      </c>
      <c r="Q181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1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1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1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1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1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1" s="9">
        <f>SUM(ENOS_G3_IRAGNG_60_MAS_AÑOS[[#This Row],[D1]:[D6]])</f>
        <v>0</v>
      </c>
      <c r="X181" s="2"/>
      <c r="Y181" s="31" t="s">
        <v>304</v>
      </c>
      <c r="Z181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1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1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1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1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1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1" t="s">
        <v>305</v>
      </c>
      <c r="Q182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2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2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2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2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2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2" s="9">
        <f>SUM(ENOS_G3_IRAGNG_60_MAS_AÑOS[[#This Row],[D1]:[D6]])</f>
        <v>0</v>
      </c>
      <c r="X182" s="2"/>
      <c r="Y182" s="31" t="s">
        <v>305</v>
      </c>
      <c r="Z182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2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2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2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2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2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1" t="s">
        <v>306</v>
      </c>
      <c r="Q183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3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3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3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3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3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3" s="9">
        <f>SUM(ENOS_G3_IRAGNG_60_MAS_AÑOS[[#This Row],[D1]:[D6]])</f>
        <v>0</v>
      </c>
      <c r="X183" s="2"/>
      <c r="Y183" s="31" t="s">
        <v>306</v>
      </c>
      <c r="Z183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3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3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3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3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3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7" t="s">
        <v>280</v>
      </c>
      <c r="Q185" s="88"/>
      <c r="R185" s="88"/>
      <c r="S185" s="88"/>
      <c r="T185" s="88"/>
      <c r="U185" s="88"/>
      <c r="V185" s="88"/>
      <c r="W185" s="88"/>
      <c r="X185" s="2"/>
      <c r="Y185" s="87" t="s">
        <v>281</v>
      </c>
      <c r="Z185" s="88"/>
      <c r="AA185" s="88"/>
      <c r="AB185" s="88"/>
      <c r="AC185" s="88"/>
      <c r="AD185" s="88"/>
      <c r="AE185" s="88"/>
      <c r="AF185" s="88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1" t="s">
        <v>282</v>
      </c>
      <c r="Q187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7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7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7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7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7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7" s="9">
        <f>SUM(ENOS_G3_DA_MENOR_QUE_1_AÑO[[#This Row],[D1]:[D6]])</f>
        <v>0</v>
      </c>
      <c r="X187" s="2"/>
      <c r="Y187" s="31" t="s">
        <v>282</v>
      </c>
      <c r="Z187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7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7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7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7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7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1" t="s">
        <v>307</v>
      </c>
      <c r="Q188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8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8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8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8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8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8" s="9">
        <f>SUM(ENOS_G3_DA_MENOR_QUE_1_AÑO[[#This Row],[D1]:[D6]])</f>
        <v>0</v>
      </c>
      <c r="X188" s="2"/>
      <c r="Y188" s="31" t="s">
        <v>307</v>
      </c>
      <c r="Z188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8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8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8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8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8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1" t="s">
        <v>308</v>
      </c>
      <c r="Q189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9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9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9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9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9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9" s="9">
        <f>SUM(ENOS_G3_DA_MENOR_QUE_1_AÑO[[#This Row],[D1]:[D6]])</f>
        <v>0</v>
      </c>
      <c r="X189" s="2"/>
      <c r="Y189" s="31" t="s">
        <v>308</v>
      </c>
      <c r="Z189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9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9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9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9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9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1" t="s">
        <v>245</v>
      </c>
      <c r="Q190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0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0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0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0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0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0" s="9">
        <f>SUM(ENOS_G3_DA_MENOR_QUE_1_AÑO[[#This Row],[D1]:[D6]])</f>
        <v>0</v>
      </c>
      <c r="X190" s="2"/>
      <c r="Y190" s="31" t="s">
        <v>245</v>
      </c>
      <c r="Z190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0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0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0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0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0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1" t="s">
        <v>283</v>
      </c>
      <c r="Q191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1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1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1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1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1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1" s="9">
        <f>SUM(ENOS_G3_DA_MENOR_QUE_1_AÑO[[#This Row],[D1]:[D6]])</f>
        <v>0</v>
      </c>
      <c r="X191" s="2"/>
      <c r="Y191" s="31" t="s">
        <v>283</v>
      </c>
      <c r="Z191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1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1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1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1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1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1" t="s">
        <v>309</v>
      </c>
      <c r="Q192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2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2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2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2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2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2" s="9">
        <f>SUM(ENOS_G3_DA_MENOR_QUE_1_AÑO[[#This Row],[D1]:[D6]])</f>
        <v>0</v>
      </c>
      <c r="X192" s="2"/>
      <c r="Y192" s="31" t="s">
        <v>309</v>
      </c>
      <c r="Z192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2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2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2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2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2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1" t="s">
        <v>310</v>
      </c>
      <c r="Q193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3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3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3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3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3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3" s="9">
        <f>SUM(ENOS_G3_DA_MENOR_QUE_1_AÑO[[#This Row],[D1]:[D6]])</f>
        <v>0</v>
      </c>
      <c r="X193" s="2"/>
      <c r="Y193" s="31" t="s">
        <v>310</v>
      </c>
      <c r="Z193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3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3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3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3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3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1" t="s">
        <v>311</v>
      </c>
      <c r="Q194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4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4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4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4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4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4" s="9">
        <f>SUM(ENOS_G3_DA_MENOR_QUE_1_AÑO[[#This Row],[D1]:[D6]])</f>
        <v>0</v>
      </c>
      <c r="X194" s="2"/>
      <c r="Y194" s="31" t="s">
        <v>311</v>
      </c>
      <c r="Z194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4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4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4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4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4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7" t="s">
        <v>284</v>
      </c>
      <c r="Q196" s="88"/>
      <c r="R196" s="88"/>
      <c r="S196" s="88"/>
      <c r="T196" s="88"/>
      <c r="U196" s="88"/>
      <c r="V196" s="88"/>
      <c r="W196" s="88"/>
      <c r="X196" s="2"/>
      <c r="Y196" s="87" t="s">
        <v>285</v>
      </c>
      <c r="Z196" s="88"/>
      <c r="AA196" s="88"/>
      <c r="AB196" s="88"/>
      <c r="AC196" s="88"/>
      <c r="AD196" s="88"/>
      <c r="AE196" s="88"/>
      <c r="AF196" s="88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1" t="s">
        <v>282</v>
      </c>
      <c r="Q198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8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8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8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8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8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8" s="9">
        <f>SUM(ENOS_G3_DA_5_19_AÑOS[[#This Row],[D1]:[D6]])</f>
        <v>0</v>
      </c>
      <c r="X198" s="2"/>
      <c r="Y198" s="31" t="s">
        <v>282</v>
      </c>
      <c r="Z198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8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8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8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8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8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1" t="s">
        <v>307</v>
      </c>
      <c r="Q199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9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9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9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9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9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9" s="9">
        <f>SUM(ENOS_G3_DA_5_19_AÑOS[[#This Row],[D1]:[D6]])</f>
        <v>0</v>
      </c>
      <c r="X199" s="2"/>
      <c r="Y199" s="31" t="s">
        <v>307</v>
      </c>
      <c r="Z199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9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9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9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9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9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1" t="s">
        <v>308</v>
      </c>
      <c r="Q200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0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0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0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0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0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0" s="9">
        <f>SUM(ENOS_G3_DA_5_19_AÑOS[[#This Row],[D1]:[D6]])</f>
        <v>0</v>
      </c>
      <c r="X200" s="2"/>
      <c r="Y200" s="31" t="s">
        <v>308</v>
      </c>
      <c r="Z200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0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0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0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0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0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1" t="s">
        <v>245</v>
      </c>
      <c r="Q201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1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1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1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1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1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1" s="9">
        <f>SUM(ENOS_G3_DA_5_19_AÑOS[[#This Row],[D1]:[D6]])</f>
        <v>0</v>
      </c>
      <c r="X201" s="2"/>
      <c r="Y201" s="31" t="s">
        <v>245</v>
      </c>
      <c r="Z201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1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1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1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1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1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1" t="s">
        <v>283</v>
      </c>
      <c r="Q202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2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2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2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2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2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2" s="9">
        <f>SUM(ENOS_G3_DA_5_19_AÑOS[[#This Row],[D1]:[D6]])</f>
        <v>0</v>
      </c>
      <c r="X202" s="2"/>
      <c r="Y202" s="31" t="s">
        <v>283</v>
      </c>
      <c r="Z202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2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2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2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2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2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1" t="s">
        <v>309</v>
      </c>
      <c r="Q203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3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3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3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3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3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3" s="9">
        <f>SUM(ENOS_G3_DA_5_19_AÑOS[[#This Row],[D1]:[D6]])</f>
        <v>0</v>
      </c>
      <c r="X203" s="2"/>
      <c r="Y203" s="31" t="s">
        <v>309</v>
      </c>
      <c r="Z203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3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3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3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3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3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1" t="s">
        <v>310</v>
      </c>
      <c r="Q204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4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4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4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4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4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4" s="9">
        <f>SUM(ENOS_G3_DA_5_19_AÑOS[[#This Row],[D1]:[D6]])</f>
        <v>0</v>
      </c>
      <c r="X204" s="2"/>
      <c r="Y204" s="31" t="s">
        <v>310</v>
      </c>
      <c r="Z204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4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4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4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4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4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1" t="s">
        <v>311</v>
      </c>
      <c r="Q205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5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5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5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5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5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5" s="9">
        <f>SUM(ENOS_G3_DA_5_19_AÑOS[[#This Row],[D1]:[D6]])</f>
        <v>0</v>
      </c>
      <c r="X205" s="2"/>
      <c r="Y205" s="31" t="s">
        <v>311</v>
      </c>
      <c r="Z205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5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5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5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5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5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7" t="s">
        <v>286</v>
      </c>
      <c r="Q207" s="88"/>
      <c r="R207" s="88"/>
      <c r="S207" s="88"/>
      <c r="T207" s="88"/>
      <c r="U207" s="88"/>
      <c r="V207" s="88"/>
      <c r="W207" s="88"/>
      <c r="X207" s="2"/>
      <c r="Y207" s="87" t="s">
        <v>287</v>
      </c>
      <c r="Z207" s="88"/>
      <c r="AA207" s="88"/>
      <c r="AB207" s="88"/>
      <c r="AC207" s="88"/>
      <c r="AD207" s="88"/>
      <c r="AE207" s="88"/>
      <c r="AF207" s="88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1" t="s">
        <v>282</v>
      </c>
      <c r="Q209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09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09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09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09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09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09" s="9">
        <f>SUM(ENOS_G3_DA_60_MAS_AÑOS[[#This Row],[D1]:[D6]])</f>
        <v>0</v>
      </c>
      <c r="X209" s="2"/>
      <c r="Y209" s="31" t="s">
        <v>282</v>
      </c>
      <c r="Z209" s="8">
        <f>IF($O$3="(Todas)",COUNTIFS(BASE[CODCIE10],ENOS_G3_DA_SD_AÑOS[[#This Row],[CIE-10]],BASE[Edad],""),COUNTIFS(BASE[Cod.Establecimiento],$O$3,BASE[CODCIE10],ENOS_G3_DA_SD_AÑOS[[#This Row],[CIE-10]],BASE[Edad],""))</f>
        <v>0</v>
      </c>
      <c r="AA209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09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09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09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09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1" t="s">
        <v>307</v>
      </c>
      <c r="Q210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0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0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0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0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0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0" s="9">
        <f>SUM(ENOS_G3_DA_60_MAS_AÑOS[[#This Row],[D1]:[D6]])</f>
        <v>0</v>
      </c>
      <c r="X210" s="2"/>
      <c r="Y210" s="31" t="s">
        <v>307</v>
      </c>
      <c r="Z210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0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0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0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0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0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1" t="s">
        <v>308</v>
      </c>
      <c r="Q211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1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1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1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1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1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1" s="9">
        <f>SUM(ENOS_G3_DA_60_MAS_AÑOS[[#This Row],[D1]:[D6]])</f>
        <v>0</v>
      </c>
      <c r="X211" s="2"/>
      <c r="Y211" s="31" t="s">
        <v>308</v>
      </c>
      <c r="Z211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1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1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1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1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1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1" t="s">
        <v>245</v>
      </c>
      <c r="Q212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2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2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2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2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2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2" s="9">
        <f>SUM(ENOS_G3_DA_60_MAS_AÑOS[[#This Row],[D1]:[D6]])</f>
        <v>0</v>
      </c>
      <c r="X212" s="2"/>
      <c r="Y212" s="31" t="s">
        <v>245</v>
      </c>
      <c r="Z212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2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2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2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2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2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1" t="s">
        <v>283</v>
      </c>
      <c r="Q213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3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3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3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3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3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3" s="9">
        <f>SUM(ENOS_G3_DA_60_MAS_AÑOS[[#This Row],[D1]:[D6]])</f>
        <v>0</v>
      </c>
      <c r="X213" s="2"/>
      <c r="Y213" s="31" t="s">
        <v>283</v>
      </c>
      <c r="Z213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3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3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3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3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3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1" t="s">
        <v>309</v>
      </c>
      <c r="Q214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4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4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4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4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4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4" s="9">
        <f>SUM(ENOS_G3_DA_60_MAS_AÑOS[[#This Row],[D1]:[D6]])</f>
        <v>0</v>
      </c>
      <c r="X214" s="2"/>
      <c r="Y214" s="31" t="s">
        <v>309</v>
      </c>
      <c r="Z214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4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4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4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4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4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1" t="s">
        <v>310</v>
      </c>
      <c r="Q215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5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5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5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5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5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5" s="9">
        <f>SUM(ENOS_G3_DA_60_MAS_AÑOS[[#This Row],[D1]:[D6]])</f>
        <v>0</v>
      </c>
      <c r="X215" s="2"/>
      <c r="Y215" s="31" t="s">
        <v>310</v>
      </c>
      <c r="Z215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5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5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5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5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5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6"/>
      <c r="K216" s="92"/>
      <c r="L216" s="86"/>
      <c r="M216" s="92"/>
      <c r="N216" s="92"/>
      <c r="O216" s="2"/>
      <c r="P216" s="31" t="s">
        <v>311</v>
      </c>
      <c r="Q216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6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6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6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6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6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6" s="9">
        <f>SUM(ENOS_G3_DA_60_MAS_AÑOS[[#This Row],[D1]:[D6]])</f>
        <v>0</v>
      </c>
      <c r="X216" s="2"/>
      <c r="Y216" s="31" t="s">
        <v>311</v>
      </c>
      <c r="Z216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6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6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6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6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6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0"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D16:D17"/>
    <mergeCell ref="D30:F30"/>
    <mergeCell ref="P147:W147"/>
    <mergeCell ref="J14:K15"/>
    <mergeCell ref="Y147:AF147"/>
    <mergeCell ref="F11:F12"/>
    <mergeCell ref="Y207:AF207"/>
    <mergeCell ref="J167:K167"/>
    <mergeCell ref="Y43:AF43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96:AF196"/>
    <mergeCell ref="Y113:AF113"/>
    <mergeCell ref="P43:W43"/>
    <mergeCell ref="M16:M18"/>
    <mergeCell ref="P95:W95"/>
    <mergeCell ref="P185:W185"/>
    <mergeCell ref="P179:W179"/>
    <mergeCell ref="Y173:AF173"/>
    <mergeCell ref="M14:M15"/>
    <mergeCell ref="B28:C28"/>
    <mergeCell ref="Y101:AF101"/>
    <mergeCell ref="J19:K20"/>
    <mergeCell ref="E16:E17"/>
    <mergeCell ref="G16:G17"/>
    <mergeCell ref="D14:D15"/>
    <mergeCell ref="L11:L12"/>
    <mergeCell ref="F14:F15"/>
    <mergeCell ref="J16:K18"/>
    <mergeCell ref="B30:C30"/>
    <mergeCell ref="F18:F20"/>
    <mergeCell ref="P47:W47"/>
    <mergeCell ref="P89:W89"/>
    <mergeCell ref="P29:AF34"/>
    <mergeCell ref="P71:W71"/>
    <mergeCell ref="J11:K12"/>
    <mergeCell ref="G18:G20"/>
    <mergeCell ref="P51:W51"/>
    <mergeCell ref="E11:E12"/>
    <mergeCell ref="D29:F29"/>
    <mergeCell ref="P67:W67"/>
    <mergeCell ref="Y83:AF83"/>
    <mergeCell ref="E18:E20"/>
    <mergeCell ref="D26:F26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Y167:AF167"/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  <mergeCell ref="D27:F27"/>
  </mergeCells>
  <phoneticPr fontId="29" type="noConversion"/>
  <conditionalFormatting sqref="N4 F8:G22 M8:M22 G26:M30">
    <cfRule type="cellIs" dxfId="1991" priority="3" operator="greaterThan">
      <formula>0</formula>
    </cfRule>
  </conditionalFormatting>
  <conditionalFormatting sqref="Q37:W37 Z37:AF37 Q41:W41 Z41:AF41 Q45:W45 Z45:AF45 Q49:W49 Z49:AF49 Z53:AF53 Q53:W57 Q61:W61 Z61:AF61 Q65:W65 Z65:AF65 Q69:W69 Z69:AF69 Q73:W73 Z73:AF75 Q79:W81 Q85:W87 Z85:AF87 Q91:W93 Z91:AF93 Q97:W99 Z97:AF99 Q103:W111 Z103:AF111 Q115:W123 Z115:AF123 Q127:W135 Z127:AF135 Q139:W145 Z139:AF145">
    <cfRule type="cellIs" dxfId="1990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1989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49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>
    <tabColor rgb="FF7030A0"/>
  </sheetPr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54" t="s">
        <v>330</v>
      </c>
      <c r="G1" s="154"/>
      <c r="H1" s="154"/>
      <c r="I1" s="154"/>
      <c r="J1" s="154"/>
      <c r="K1" s="154"/>
      <c r="M1" s="68" t="s">
        <v>345</v>
      </c>
      <c r="AJ1" s="85" t="s">
        <v>70</v>
      </c>
      <c r="AK1" s="86"/>
    </row>
    <row r="2" spans="1:41" ht="18" customHeight="1" thickBot="1">
      <c r="A2" s="87" t="s">
        <v>313</v>
      </c>
      <c r="B2" s="88"/>
      <c r="C2" s="88"/>
      <c r="D2" s="88"/>
      <c r="E2" s="88"/>
      <c r="F2" s="88"/>
      <c r="G2" s="88"/>
      <c r="H2" s="88"/>
      <c r="J2" s="87" t="s">
        <v>314</v>
      </c>
      <c r="K2" s="87"/>
      <c r="L2" s="87"/>
      <c r="M2" s="87"/>
      <c r="N2" s="87"/>
      <c r="O2" s="87"/>
      <c r="P2" s="87"/>
      <c r="Q2" s="87"/>
      <c r="R2" s="2"/>
      <c r="S2" s="87" t="s">
        <v>331</v>
      </c>
      <c r="T2" s="87"/>
      <c r="U2" s="87"/>
      <c r="V2" s="87"/>
      <c r="W2" s="87"/>
      <c r="X2" s="87"/>
      <c r="Y2" s="87"/>
      <c r="Z2" s="87"/>
      <c r="AB2" s="87" t="s">
        <v>333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6"/>
      <c r="AK3" s="86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1" t="s">
        <v>126</v>
      </c>
      <c r="AK5" s="151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1"/>
      <c r="AK6" s="151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7" t="s">
        <v>334</v>
      </c>
      <c r="T7" s="87"/>
      <c r="U7" s="87"/>
      <c r="V7" s="87"/>
      <c r="W7" s="87"/>
      <c r="X7" s="87"/>
      <c r="Y7" s="87"/>
      <c r="Z7" s="87"/>
      <c r="AB7" s="87" t="s">
        <v>335</v>
      </c>
      <c r="AC7" s="87"/>
      <c r="AD7" s="87"/>
      <c r="AE7" s="87"/>
      <c r="AF7" s="87"/>
      <c r="AG7" s="87"/>
      <c r="AH7" s="87"/>
      <c r="AI7" s="87"/>
      <c r="AJ7" s="151"/>
      <c r="AK7" s="151"/>
      <c r="AL7" s="69"/>
      <c r="AM7" s="69"/>
      <c r="AN7" s="69"/>
      <c r="AO7" s="69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1"/>
      <c r="AK8" s="151"/>
      <c r="AL8" s="69"/>
      <c r="AM8" s="69"/>
      <c r="AN8" s="69"/>
      <c r="AO8" s="69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1"/>
      <c r="AK9" s="151"/>
      <c r="AL9" s="69"/>
      <c r="AM9" s="69"/>
      <c r="AN9" s="69"/>
      <c r="AO9" s="69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1"/>
      <c r="AK10" s="151"/>
      <c r="AL10" s="69"/>
      <c r="AM10" s="69"/>
      <c r="AN10" s="69"/>
      <c r="AO10" s="69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1"/>
      <c r="AK11" s="151"/>
      <c r="AL11" s="69"/>
      <c r="AM11" s="69"/>
      <c r="AN11" s="69"/>
      <c r="AO11" s="69"/>
    </row>
    <row r="12" spans="1:41" ht="18" customHeight="1" thickBot="1">
      <c r="A12" s="31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6">
        <f>SUM(EPV_PARALISIS_FLACIDA_AGUDA62[[#This Row],[D1]:[D6]])</f>
        <v>0</v>
      </c>
      <c r="J12" s="87" t="s">
        <v>337</v>
      </c>
      <c r="K12" s="87"/>
      <c r="L12" s="87"/>
      <c r="M12" s="87"/>
      <c r="N12" s="87"/>
      <c r="O12" s="87"/>
      <c r="P12" s="87"/>
      <c r="Q12" s="87"/>
      <c r="S12" s="87" t="s">
        <v>339</v>
      </c>
      <c r="T12" s="87"/>
      <c r="U12" s="87"/>
      <c r="V12" s="87"/>
      <c r="W12" s="87"/>
      <c r="X12" s="87"/>
      <c r="Y12" s="87"/>
      <c r="Z12" s="87"/>
      <c r="AB12" s="87" t="s">
        <v>340</v>
      </c>
      <c r="AC12" s="87"/>
      <c r="AD12" s="87"/>
      <c r="AE12" s="87"/>
      <c r="AF12" s="87"/>
      <c r="AG12" s="87"/>
      <c r="AH12" s="87"/>
      <c r="AI12" s="87"/>
      <c r="AJ12" s="151"/>
      <c r="AK12" s="151"/>
      <c r="AL12" s="69"/>
      <c r="AM12" s="69"/>
      <c r="AN12" s="69"/>
      <c r="AO12" s="69"/>
    </row>
    <row r="13" spans="1:41" ht="15.75" customHeight="1" thickTop="1">
      <c r="A13" s="31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6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1"/>
      <c r="AK13" s="151"/>
      <c r="AL13" s="69"/>
      <c r="AM13" s="69"/>
      <c r="AN13" s="69"/>
      <c r="AO13" s="69"/>
    </row>
    <row r="14" spans="1:41" ht="15" customHeight="1">
      <c r="A14" s="31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6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1"/>
      <c r="AK14" s="151"/>
      <c r="AL14" s="69"/>
      <c r="AM14" s="69"/>
      <c r="AN14" s="69"/>
      <c r="AO14" s="69"/>
    </row>
    <row r="15" spans="1:41" ht="15" customHeight="1">
      <c r="A15" s="31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6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1"/>
      <c r="AK15" s="151"/>
      <c r="AL15" s="69"/>
      <c r="AM15" s="69"/>
      <c r="AN15" s="69"/>
      <c r="AO15" s="69"/>
    </row>
    <row r="16" spans="1:41" ht="15" customHeight="1">
      <c r="A16" s="31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6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1"/>
      <c r="AK16" s="151"/>
      <c r="AL16" s="69"/>
      <c r="AM16" s="69"/>
      <c r="AN16" s="69"/>
      <c r="AO16" s="69"/>
    </row>
    <row r="17" spans="1:41" s="2" customFormat="1" ht="18" customHeight="1" thickBot="1">
      <c r="A17" s="31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6">
        <f>SUM(EPV_PARALISIS_FLACIDA_AGUDA62[[#This Row],[D1]:[D6]])</f>
        <v>0</v>
      </c>
      <c r="J17" s="87" t="s">
        <v>341</v>
      </c>
      <c r="K17" s="87"/>
      <c r="L17" s="87"/>
      <c r="M17" s="87"/>
      <c r="N17" s="87"/>
      <c r="O17" s="87"/>
      <c r="P17" s="87"/>
      <c r="Q17" s="87"/>
      <c r="S17" s="87" t="s">
        <v>75</v>
      </c>
      <c r="T17" s="87"/>
      <c r="U17" s="87"/>
      <c r="V17" s="87"/>
      <c r="W17" s="87"/>
      <c r="X17" s="87"/>
      <c r="Y17" s="87"/>
      <c r="Z17" s="87"/>
      <c r="AB17" s="87" t="s">
        <v>347</v>
      </c>
      <c r="AC17" s="87"/>
      <c r="AD17" s="87"/>
      <c r="AE17" s="87"/>
      <c r="AF17" s="87"/>
      <c r="AG17" s="87"/>
      <c r="AH17" s="87"/>
      <c r="AI17" s="87"/>
      <c r="AJ17" s="151"/>
      <c r="AK17" s="151"/>
      <c r="AL17" s="69"/>
      <c r="AM17" s="69"/>
      <c r="AN17" s="69"/>
      <c r="AO17" s="69"/>
    </row>
    <row r="18" spans="1:41" s="2" customFormat="1" ht="15.75" customHeight="1" thickTop="1">
      <c r="A18" s="31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6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1"/>
      <c r="AK18" s="151"/>
      <c r="AL18" s="69"/>
      <c r="AM18" s="69"/>
      <c r="AN18" s="69"/>
      <c r="AO18" s="69"/>
    </row>
    <row r="19" spans="1:41" s="2" customFormat="1" ht="15" customHeight="1">
      <c r="A19" s="31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6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1"/>
      <c r="AK19" s="151"/>
      <c r="AL19" s="69"/>
      <c r="AM19" s="69"/>
      <c r="AN19" s="69"/>
      <c r="AO19" s="69"/>
    </row>
    <row r="20" spans="1:41" s="2" customFormat="1" ht="15" customHeight="1">
      <c r="A20" s="31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6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1"/>
      <c r="AK20" s="151"/>
      <c r="AL20" s="69"/>
      <c r="AM20" s="69"/>
      <c r="AN20" s="69"/>
      <c r="AO20" s="69"/>
    </row>
    <row r="21" spans="1:41" s="2" customFormat="1" ht="15" customHeight="1">
      <c r="A21" s="31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6">
        <f>SUM(EPV_PARALISIS_FLACIDA_AGUDA62[[#This Row],[D1]:[D6]])</f>
        <v>0</v>
      </c>
      <c r="J21"/>
      <c r="K21"/>
      <c r="L21"/>
      <c r="M21"/>
      <c r="N21"/>
      <c r="O21"/>
      <c r="P21"/>
      <c r="AJ21" s="151"/>
      <c r="AK21" s="151"/>
      <c r="AL21" s="69"/>
      <c r="AM21" s="69"/>
      <c r="AN21" s="69"/>
      <c r="AO21" s="69"/>
    </row>
    <row r="22" spans="1:41" s="2" customFormat="1" ht="18" customHeight="1" thickBot="1">
      <c r="A22" s="31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6">
        <f>SUM(EPV_PARALISIS_FLACIDA_AGUDA62[[#This Row],[D1]:[D6]])</f>
        <v>0</v>
      </c>
      <c r="J22" s="87" t="s">
        <v>344</v>
      </c>
      <c r="K22" s="87"/>
      <c r="L22" s="87"/>
      <c r="M22" s="87"/>
      <c r="N22" s="87"/>
      <c r="O22" s="87"/>
      <c r="P22" s="87"/>
      <c r="Q22" s="87"/>
      <c r="S22" s="87" t="s">
        <v>349</v>
      </c>
      <c r="T22" s="87"/>
      <c r="U22" s="87"/>
      <c r="V22" s="87"/>
      <c r="W22" s="87"/>
      <c r="X22" s="87"/>
      <c r="Y22" s="87"/>
      <c r="Z22" s="87"/>
      <c r="AB22" s="87" t="s">
        <v>353</v>
      </c>
      <c r="AC22" s="87"/>
      <c r="AD22" s="87"/>
      <c r="AE22" s="87"/>
      <c r="AF22" s="87"/>
      <c r="AG22" s="87"/>
      <c r="AH22" s="87"/>
      <c r="AI22" s="87"/>
      <c r="AJ22" s="151"/>
      <c r="AK22" s="151"/>
      <c r="AL22" s="69"/>
      <c r="AM22" s="69"/>
      <c r="AN22" s="69"/>
      <c r="AO22" s="69"/>
    </row>
    <row r="23" spans="1:41" s="2" customFormat="1" ht="15.75" customHeight="1" thickTop="1">
      <c r="A23" s="31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6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1"/>
      <c r="AK23" s="151"/>
      <c r="AL23" s="69"/>
      <c r="AM23" s="69"/>
      <c r="AN23" s="69"/>
      <c r="AO23" s="69"/>
    </row>
    <row r="24" spans="1:41" s="2" customFormat="1" ht="15" customHeight="1">
      <c r="A24" s="31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6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1"/>
      <c r="AK24" s="151"/>
      <c r="AL24" s="69"/>
      <c r="AM24" s="69"/>
      <c r="AN24" s="69"/>
      <c r="AO24" s="69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1"/>
      <c r="AK25" s="151"/>
      <c r="AL25" s="69"/>
      <c r="AM25" s="69"/>
      <c r="AN25" s="69"/>
      <c r="AO25" s="69"/>
    </row>
    <row r="26" spans="1:41" ht="15" customHeight="1">
      <c r="S26" s="31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1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1"/>
      <c r="AK26" s="151"/>
      <c r="AL26" s="69"/>
      <c r="AM26" s="69"/>
      <c r="AN26" s="69"/>
      <c r="AO26" s="69"/>
    </row>
    <row r="27" spans="1:41" ht="15" customHeight="1" thickBot="1">
      <c r="A27" s="87" t="s">
        <v>361</v>
      </c>
      <c r="B27" s="87"/>
      <c r="C27" s="87"/>
      <c r="D27" s="87"/>
      <c r="E27" s="87"/>
      <c r="F27" s="87"/>
      <c r="G27" s="87"/>
      <c r="H27" s="87"/>
      <c r="J27" s="87" t="s">
        <v>360</v>
      </c>
      <c r="K27" s="87"/>
      <c r="L27" s="87"/>
      <c r="M27" s="87"/>
      <c r="N27" s="87"/>
      <c r="O27" s="87"/>
      <c r="P27" s="87"/>
      <c r="Q27" s="87"/>
      <c r="S27" s="31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1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2" t="s">
        <v>763</v>
      </c>
      <c r="AK27" s="152"/>
      <c r="AL27" s="69"/>
      <c r="AM27" s="69"/>
      <c r="AN27" s="69"/>
      <c r="AO27" s="69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1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2"/>
      <c r="AK28" s="152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1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2"/>
      <c r="AK29" s="152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2"/>
      <c r="AK30" s="152"/>
    </row>
    <row r="31" spans="1:41" ht="18" customHeight="1" thickBot="1">
      <c r="S31" s="87" t="s">
        <v>367</v>
      </c>
      <c r="T31" s="87"/>
      <c r="U31" s="87"/>
      <c r="V31" s="87"/>
      <c r="W31" s="87"/>
      <c r="X31" s="87"/>
      <c r="Y31" s="87"/>
      <c r="Z31" s="87"/>
      <c r="AJ31" s="152"/>
      <c r="AK31" s="152"/>
    </row>
    <row r="32" spans="1:41" ht="18.75" customHeight="1" thickTop="1" thickBot="1">
      <c r="A32" s="87" t="s">
        <v>362</v>
      </c>
      <c r="B32" s="87"/>
      <c r="C32" s="87"/>
      <c r="D32" s="87"/>
      <c r="E32" s="87"/>
      <c r="F32" s="87"/>
      <c r="G32" s="87"/>
      <c r="H32" s="87"/>
      <c r="J32" s="87" t="s">
        <v>364</v>
      </c>
      <c r="K32" s="87"/>
      <c r="L32" s="87"/>
      <c r="M32" s="87"/>
      <c r="N32" s="87"/>
      <c r="O32" s="87"/>
      <c r="P32" s="87"/>
      <c r="Q32" s="87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7" t="s">
        <v>369</v>
      </c>
      <c r="AC32" s="87"/>
      <c r="AD32" s="87"/>
      <c r="AE32" s="87"/>
      <c r="AF32" s="87"/>
      <c r="AG32" s="87"/>
      <c r="AH32" s="87"/>
      <c r="AI32" s="87"/>
      <c r="AJ32" s="152"/>
      <c r="AK32" s="152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2"/>
      <c r="AK33" s="152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0" t="s">
        <v>599</v>
      </c>
      <c r="AK34" s="151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1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1"/>
      <c r="AK35" s="151"/>
    </row>
    <row r="36" spans="1:37" ht="15" customHeight="1">
      <c r="AJ36" s="151"/>
      <c r="AK36" s="151"/>
    </row>
    <row r="37" spans="1:37" ht="18" customHeight="1" thickBot="1">
      <c r="A37" s="87" t="s">
        <v>371</v>
      </c>
      <c r="B37" s="87"/>
      <c r="C37" s="87"/>
      <c r="D37" s="87"/>
      <c r="E37" s="87"/>
      <c r="F37" s="87"/>
      <c r="G37" s="87"/>
      <c r="H37" s="87"/>
      <c r="J37" s="87" t="s">
        <v>373</v>
      </c>
      <c r="K37" s="87"/>
      <c r="L37" s="87"/>
      <c r="M37" s="87"/>
      <c r="N37" s="87"/>
      <c r="O37" s="87"/>
      <c r="P37" s="87"/>
      <c r="Q37" s="87"/>
      <c r="S37" s="153" t="s">
        <v>380</v>
      </c>
      <c r="T37" s="153"/>
      <c r="U37" s="153"/>
      <c r="V37" s="153"/>
      <c r="W37" s="153"/>
      <c r="X37" s="153"/>
      <c r="Y37" s="153"/>
      <c r="Z37" s="153"/>
      <c r="AB37" s="87" t="s">
        <v>377</v>
      </c>
      <c r="AC37" s="87"/>
      <c r="AD37" s="87"/>
      <c r="AE37" s="87"/>
      <c r="AF37" s="87"/>
      <c r="AG37" s="87"/>
      <c r="AH37" s="87"/>
      <c r="AI37" s="87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7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</row>
    <row r="43" spans="1:37" ht="15" customHeight="1" thickBot="1">
      <c r="A43" s="87" t="s">
        <v>381</v>
      </c>
      <c r="B43" s="87"/>
      <c r="C43" s="87"/>
      <c r="D43" s="87"/>
      <c r="E43" s="87"/>
      <c r="F43" s="87"/>
      <c r="G43" s="87"/>
      <c r="H43" s="87"/>
      <c r="J43" s="87" t="s">
        <v>110</v>
      </c>
      <c r="K43" s="87"/>
      <c r="L43" s="87"/>
      <c r="M43" s="87"/>
      <c r="N43" s="87"/>
      <c r="O43" s="87"/>
      <c r="P43" s="87"/>
      <c r="Q43" s="87"/>
      <c r="S43" s="87" t="s">
        <v>382</v>
      </c>
      <c r="T43" s="87"/>
      <c r="U43" s="87"/>
      <c r="V43" s="87"/>
      <c r="W43" s="87"/>
      <c r="X43" s="87"/>
      <c r="Y43" s="87"/>
      <c r="Z43" s="87"/>
      <c r="AA43" s="67"/>
      <c r="AB43" s="87" t="s">
        <v>383</v>
      </c>
      <c r="AC43" s="87"/>
      <c r="AD43" s="87"/>
      <c r="AE43" s="87"/>
      <c r="AF43" s="87"/>
      <c r="AG43" s="87"/>
      <c r="AH43" s="87"/>
      <c r="AI43" s="87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7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7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2"/>
      <c r="AK45" s="72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7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2"/>
      <c r="AK46" s="72"/>
    </row>
    <row r="47" spans="1:37" ht="15" customHeight="1">
      <c r="A47" s="31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1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7" t="s">
        <v>384</v>
      </c>
      <c r="K48" s="87"/>
      <c r="L48" s="87"/>
      <c r="M48" s="87"/>
      <c r="N48" s="87"/>
      <c r="O48" s="87"/>
      <c r="P48" s="87"/>
      <c r="Q48" s="87"/>
      <c r="S48" s="87" t="s">
        <v>386</v>
      </c>
      <c r="T48" s="87"/>
      <c r="U48" s="87"/>
      <c r="V48" s="87"/>
      <c r="W48" s="87"/>
      <c r="X48" s="87"/>
      <c r="Y48" s="87"/>
      <c r="Z48" s="87"/>
      <c r="AB48" s="87" t="s">
        <v>388</v>
      </c>
      <c r="AC48" s="87"/>
      <c r="AD48" s="87"/>
      <c r="AE48" s="87"/>
      <c r="AF48" s="87"/>
      <c r="AG48" s="87"/>
      <c r="AH48" s="87"/>
      <c r="AI48" s="87"/>
    </row>
    <row r="49" spans="1:35" ht="15" customHeight="1" thickTop="1">
      <c r="A49" s="31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1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7" t="s">
        <v>72</v>
      </c>
      <c r="B53" s="87"/>
      <c r="C53" s="87"/>
      <c r="D53" s="87"/>
      <c r="E53" s="87"/>
      <c r="F53" s="87"/>
      <c r="G53" s="87"/>
      <c r="H53" s="87"/>
      <c r="J53" s="87" t="s">
        <v>390</v>
      </c>
      <c r="K53" s="87"/>
      <c r="L53" s="87"/>
      <c r="M53" s="87"/>
      <c r="N53" s="87"/>
      <c r="O53" s="87"/>
      <c r="P53" s="87"/>
      <c r="Q53" s="87"/>
      <c r="S53" s="87" t="s">
        <v>74</v>
      </c>
      <c r="T53" s="87"/>
      <c r="U53" s="87"/>
      <c r="V53" s="87"/>
      <c r="W53" s="87"/>
      <c r="X53" s="87"/>
      <c r="Y53" s="87"/>
      <c r="Z53" s="87"/>
      <c r="AB53" s="87" t="s">
        <v>395</v>
      </c>
      <c r="AC53" s="87"/>
      <c r="AD53" s="87"/>
      <c r="AE53" s="87"/>
      <c r="AF53" s="87"/>
      <c r="AG53" s="87"/>
      <c r="AH53" s="87"/>
      <c r="AI53" s="87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7" t="s">
        <v>391</v>
      </c>
      <c r="B58" s="87"/>
      <c r="C58" s="87"/>
      <c r="D58" s="87"/>
      <c r="E58" s="87"/>
      <c r="F58" s="87"/>
      <c r="G58" s="87"/>
      <c r="H58" s="87"/>
      <c r="J58" s="87" t="s">
        <v>392</v>
      </c>
      <c r="K58" s="87"/>
      <c r="L58" s="87"/>
      <c r="M58" s="87"/>
      <c r="N58" s="87"/>
      <c r="O58" s="87"/>
      <c r="P58" s="87"/>
      <c r="Q58" s="87"/>
      <c r="S58" s="87" t="s">
        <v>112</v>
      </c>
      <c r="T58" s="87"/>
      <c r="U58" s="87"/>
      <c r="V58" s="87"/>
      <c r="W58" s="87"/>
      <c r="X58" s="87"/>
      <c r="Y58" s="87"/>
      <c r="Z58" s="87"/>
      <c r="AB58" s="87" t="s">
        <v>397</v>
      </c>
      <c r="AC58" s="87"/>
      <c r="AD58" s="87"/>
      <c r="AE58" s="87"/>
      <c r="AF58" s="87"/>
      <c r="AG58" s="87"/>
      <c r="AH58" s="87"/>
      <c r="AI58" s="87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1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1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1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1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1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1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1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7" t="s">
        <v>128</v>
      </c>
      <c r="B65" s="87"/>
      <c r="C65" s="87"/>
      <c r="D65" s="87"/>
      <c r="E65" s="87"/>
      <c r="F65" s="87"/>
      <c r="G65" s="87"/>
      <c r="H65" s="87"/>
      <c r="J65" s="87" t="s">
        <v>404</v>
      </c>
      <c r="K65" s="87"/>
      <c r="L65" s="87"/>
      <c r="M65" s="87"/>
      <c r="N65" s="87"/>
      <c r="O65" s="87"/>
      <c r="P65" s="87"/>
      <c r="Q65" s="87"/>
      <c r="AB65" s="31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1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1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1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1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  <mergeCell ref="A37:H37"/>
    <mergeCell ref="J27:Q27"/>
    <mergeCell ref="A27:H27"/>
    <mergeCell ref="A32:H32"/>
    <mergeCell ref="J32:Q32"/>
    <mergeCell ref="J37:Q37"/>
    <mergeCell ref="AB37:AI37"/>
    <mergeCell ref="S31:Z31"/>
    <mergeCell ref="AB32:AI32"/>
    <mergeCell ref="J22:Q22"/>
    <mergeCell ref="S22:Z22"/>
    <mergeCell ref="AB22:AI22"/>
    <mergeCell ref="J48:Q48"/>
    <mergeCell ref="S43:Z43"/>
    <mergeCell ref="J53:Q53"/>
    <mergeCell ref="S53:Z53"/>
    <mergeCell ref="S37:Z37"/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</mergeCells>
  <phoneticPr fontId="29" type="noConversion"/>
  <conditionalFormatting sqref="K5:Q8">
    <cfRule type="cellIs" dxfId="1596" priority="12" operator="greaterThan">
      <formula>0</formula>
    </cfRule>
  </conditionalFormatting>
  <conditionalFormatting sqref="K56:Q56 T56:Z56 AC56:AI56 T61:Z61 B61:H63 K61:Q63 AC61:AI65 B68:H68 K68:Q72">
    <cfRule type="cellIs" dxfId="1595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1594" priority="11" operator="greaterThan">
      <formula>0</formula>
    </cfRule>
  </conditionalFormatting>
  <conditionalFormatting sqref="AJ3 B5:H24">
    <cfRule type="cellIs" dxfId="1593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>
    <tabColor theme="9" tint="-0.249977111117893"/>
  </sheetPr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5" t="s">
        <v>70</v>
      </c>
      <c r="B1" s="86"/>
      <c r="D1" s="161" t="s">
        <v>410</v>
      </c>
      <c r="E1" s="161"/>
      <c r="F1" s="161"/>
      <c r="G1" s="161"/>
      <c r="H1" s="161"/>
      <c r="I1" s="161"/>
      <c r="J1" s="161"/>
      <c r="K1" s="161"/>
      <c r="M1" s="161" t="s">
        <v>451</v>
      </c>
      <c r="N1" s="161"/>
      <c r="O1" s="161"/>
      <c r="P1" s="161"/>
      <c r="Q1" s="161"/>
      <c r="R1" s="161"/>
      <c r="S1" s="161"/>
      <c r="T1" s="161"/>
      <c r="V1" s="161" t="s">
        <v>453</v>
      </c>
      <c r="W1" s="161"/>
      <c r="X1" s="161"/>
      <c r="Y1" s="161"/>
      <c r="Z1" s="161"/>
      <c r="AA1" s="161"/>
      <c r="AB1" s="161"/>
      <c r="AC1" s="161"/>
      <c r="AE1" s="161" t="s">
        <v>456</v>
      </c>
      <c r="AF1" s="161"/>
      <c r="AG1" s="161"/>
      <c r="AH1" s="161"/>
      <c r="AI1" s="161"/>
      <c r="AJ1" s="161"/>
      <c r="AK1" s="161"/>
      <c r="AL1" s="161"/>
      <c r="AN1" s="161" t="s">
        <v>460</v>
      </c>
      <c r="AO1" s="161"/>
      <c r="AP1" s="161"/>
      <c r="AQ1" s="161"/>
      <c r="AR1" s="161"/>
      <c r="AS1" s="161"/>
      <c r="AT1" s="161"/>
      <c r="AU1" s="161"/>
      <c r="AW1" s="161" t="s">
        <v>463</v>
      </c>
      <c r="AX1" s="161"/>
      <c r="AY1" s="161"/>
      <c r="AZ1" s="161"/>
      <c r="BA1" s="161"/>
      <c r="BB1" s="161"/>
      <c r="BC1" s="161"/>
      <c r="BD1" s="161"/>
      <c r="BF1" s="161" t="s">
        <v>469</v>
      </c>
      <c r="BG1" s="161"/>
      <c r="BH1" s="161"/>
      <c r="BI1" s="161"/>
      <c r="BJ1" s="161"/>
      <c r="BK1" s="161"/>
      <c r="BL1" s="161"/>
      <c r="BM1" s="161"/>
      <c r="BO1" s="161" t="s">
        <v>473</v>
      </c>
      <c r="BP1" s="161"/>
      <c r="BQ1" s="161"/>
      <c r="BR1" s="161"/>
      <c r="BS1" s="161"/>
      <c r="BT1" s="161"/>
      <c r="BU1" s="161"/>
      <c r="BV1" s="161"/>
      <c r="BX1" s="161" t="s">
        <v>477</v>
      </c>
      <c r="BY1" s="161"/>
      <c r="BZ1" s="161"/>
      <c r="CA1" s="161"/>
      <c r="CB1" s="161"/>
      <c r="CC1" s="161"/>
      <c r="CD1" s="161"/>
      <c r="CE1" s="161"/>
      <c r="CG1" s="161" t="s">
        <v>481</v>
      </c>
      <c r="CH1" s="161"/>
      <c r="CI1" s="161"/>
      <c r="CJ1" s="161"/>
      <c r="CK1" s="161"/>
      <c r="CL1" s="161"/>
      <c r="CM1" s="161"/>
      <c r="CN1" s="161"/>
      <c r="CP1" s="161" t="s">
        <v>484</v>
      </c>
      <c r="CQ1" s="161"/>
      <c r="CR1" s="161"/>
      <c r="CS1" s="161"/>
      <c r="CT1" s="161"/>
      <c r="CU1" s="161"/>
      <c r="CV1" s="161"/>
      <c r="CW1" s="161"/>
      <c r="CY1" s="161" t="s">
        <v>488</v>
      </c>
      <c r="CZ1" s="161"/>
      <c r="DA1" s="161"/>
      <c r="DB1" s="161"/>
      <c r="DC1" s="161"/>
      <c r="DD1" s="161"/>
      <c r="DE1" s="161"/>
      <c r="DF1" s="161"/>
      <c r="DH1" s="161" t="s">
        <v>490</v>
      </c>
      <c r="DI1" s="161"/>
      <c r="DJ1" s="161"/>
      <c r="DK1" s="161"/>
      <c r="DL1" s="161"/>
      <c r="DM1" s="161"/>
      <c r="DN1" s="161"/>
      <c r="DO1" s="161"/>
      <c r="DQ1" s="161" t="s">
        <v>493</v>
      </c>
      <c r="DR1" s="161"/>
      <c r="DS1" s="161"/>
      <c r="DT1" s="161"/>
      <c r="DU1" s="161"/>
      <c r="DV1" s="161"/>
      <c r="DW1" s="161"/>
      <c r="DX1" s="161"/>
      <c r="DZ1" s="161" t="s">
        <v>496</v>
      </c>
      <c r="EA1" s="161"/>
      <c r="EB1" s="161"/>
      <c r="EC1" s="161"/>
      <c r="ED1" s="161"/>
      <c r="EE1" s="161"/>
      <c r="EF1" s="161"/>
      <c r="EG1" s="161"/>
    </row>
    <row r="2" spans="1:137" ht="15.75" thickTop="1">
      <c r="A2" s="1" t="s">
        <v>7</v>
      </c>
      <c r="B2" t="s">
        <v>76</v>
      </c>
      <c r="D2" s="160" t="s">
        <v>411</v>
      </c>
      <c r="E2" s="160"/>
      <c r="F2" s="160"/>
      <c r="G2" s="160"/>
      <c r="H2" s="160"/>
      <c r="I2" s="160"/>
      <c r="J2" s="160"/>
      <c r="K2" s="160"/>
      <c r="M2" s="160" t="s">
        <v>452</v>
      </c>
      <c r="N2" s="160"/>
      <c r="O2" s="160"/>
      <c r="P2" s="160"/>
      <c r="Q2" s="160"/>
      <c r="R2" s="160"/>
      <c r="S2" s="160"/>
      <c r="T2" s="160"/>
      <c r="V2" s="160" t="s">
        <v>454</v>
      </c>
      <c r="W2" s="160"/>
      <c r="X2" s="160"/>
      <c r="Y2" s="160"/>
      <c r="Z2" s="160"/>
      <c r="AA2" s="160"/>
      <c r="AB2" s="160"/>
      <c r="AC2" s="160"/>
      <c r="AE2" s="160" t="s">
        <v>457</v>
      </c>
      <c r="AF2" s="160"/>
      <c r="AG2" s="160"/>
      <c r="AH2" s="160"/>
      <c r="AI2" s="160"/>
      <c r="AJ2" s="160"/>
      <c r="AK2" s="160"/>
      <c r="AL2" s="160"/>
      <c r="AN2" s="160" t="s">
        <v>461</v>
      </c>
      <c r="AO2" s="160"/>
      <c r="AP2" s="160"/>
      <c r="AQ2" s="160"/>
      <c r="AR2" s="160"/>
      <c r="AS2" s="160"/>
      <c r="AT2" s="160"/>
      <c r="AU2" s="160"/>
      <c r="AW2" s="160" t="s">
        <v>464</v>
      </c>
      <c r="AX2" s="160"/>
      <c r="AY2" s="160"/>
      <c r="AZ2" s="160"/>
      <c r="BA2" s="160"/>
      <c r="BB2" s="160"/>
      <c r="BC2" s="160"/>
      <c r="BD2" s="160"/>
      <c r="BF2" s="160" t="s">
        <v>470</v>
      </c>
      <c r="BG2" s="160"/>
      <c r="BH2" s="160"/>
      <c r="BI2" s="160"/>
      <c r="BJ2" s="160"/>
      <c r="BK2" s="160"/>
      <c r="BL2" s="160"/>
      <c r="BM2" s="160"/>
      <c r="BO2" s="160" t="s">
        <v>474</v>
      </c>
      <c r="BP2" s="160"/>
      <c r="BQ2" s="160"/>
      <c r="BR2" s="160"/>
      <c r="BS2" s="160"/>
      <c r="BT2" s="160"/>
      <c r="BU2" s="160"/>
      <c r="BV2" s="160"/>
      <c r="BX2" s="163" t="s">
        <v>478</v>
      </c>
      <c r="BY2" s="164"/>
      <c r="BZ2" s="164"/>
      <c r="CA2" s="164"/>
      <c r="CB2" s="164"/>
      <c r="CC2" s="164"/>
      <c r="CD2" s="164"/>
      <c r="CE2" s="165"/>
      <c r="CG2" s="163" t="s">
        <v>482</v>
      </c>
      <c r="CH2" s="164"/>
      <c r="CI2" s="164"/>
      <c r="CJ2" s="164"/>
      <c r="CK2" s="164"/>
      <c r="CL2" s="164"/>
      <c r="CM2" s="164"/>
      <c r="CN2" s="165"/>
      <c r="CP2" s="163" t="s">
        <v>485</v>
      </c>
      <c r="CQ2" s="164"/>
      <c r="CR2" s="164"/>
      <c r="CS2" s="164"/>
      <c r="CT2" s="164"/>
      <c r="CU2" s="164"/>
      <c r="CV2" s="164"/>
      <c r="CW2" s="165"/>
      <c r="CY2" s="163" t="s">
        <v>489</v>
      </c>
      <c r="CZ2" s="164"/>
      <c r="DA2" s="164"/>
      <c r="DB2" s="164"/>
      <c r="DC2" s="164"/>
      <c r="DD2" s="164"/>
      <c r="DE2" s="164"/>
      <c r="DF2" s="165"/>
      <c r="DH2" s="163" t="s">
        <v>491</v>
      </c>
      <c r="DI2" s="164"/>
      <c r="DJ2" s="164"/>
      <c r="DK2" s="164"/>
      <c r="DL2" s="164"/>
      <c r="DM2" s="164"/>
      <c r="DN2" s="164"/>
      <c r="DO2" s="165"/>
      <c r="DQ2" s="163" t="s">
        <v>494</v>
      </c>
      <c r="DR2" s="164"/>
      <c r="DS2" s="164"/>
      <c r="DT2" s="164"/>
      <c r="DU2" s="164"/>
      <c r="DV2" s="164"/>
      <c r="DW2" s="164"/>
      <c r="DX2" s="165"/>
      <c r="DZ2" s="163" t="s">
        <v>497</v>
      </c>
      <c r="EA2" s="164"/>
      <c r="EB2" s="164"/>
      <c r="EC2" s="164"/>
      <c r="ED2" s="164"/>
      <c r="EE2" s="164"/>
      <c r="EF2" s="164"/>
      <c r="EG2" s="165"/>
    </row>
    <row r="3" spans="1:137">
      <c r="A3" s="86"/>
      <c r="B3" s="86"/>
      <c r="D3" s="159" t="s">
        <v>412</v>
      </c>
      <c r="E3" s="159"/>
      <c r="F3" s="159"/>
      <c r="G3" s="159"/>
      <c r="H3" s="159"/>
      <c r="I3" s="159"/>
      <c r="J3" s="159"/>
      <c r="K3" s="159"/>
      <c r="M3" s="159" t="s">
        <v>447</v>
      </c>
      <c r="N3" s="159"/>
      <c r="O3" s="159"/>
      <c r="P3" s="159"/>
      <c r="Q3" s="159"/>
      <c r="R3" s="159"/>
      <c r="S3" s="159"/>
      <c r="T3" s="159"/>
      <c r="V3" s="159" t="s">
        <v>455</v>
      </c>
      <c r="W3" s="159"/>
      <c r="X3" s="159"/>
      <c r="Y3" s="159"/>
      <c r="Z3" s="159"/>
      <c r="AA3" s="159"/>
      <c r="AB3" s="159"/>
      <c r="AC3" s="159"/>
      <c r="AE3" s="159" t="s">
        <v>458</v>
      </c>
      <c r="AF3" s="159"/>
      <c r="AG3" s="159"/>
      <c r="AH3" s="159"/>
      <c r="AI3" s="159"/>
      <c r="AJ3" s="159"/>
      <c r="AK3" s="159"/>
      <c r="AL3" s="159"/>
      <c r="AN3" s="159" t="s">
        <v>462</v>
      </c>
      <c r="AO3" s="159"/>
      <c r="AP3" s="159"/>
      <c r="AQ3" s="159"/>
      <c r="AR3" s="159"/>
      <c r="AS3" s="159"/>
      <c r="AT3" s="159"/>
      <c r="AU3" s="159"/>
      <c r="AW3" s="159" t="s">
        <v>465</v>
      </c>
      <c r="AX3" s="159"/>
      <c r="AY3" s="159"/>
      <c r="AZ3" s="159"/>
      <c r="BA3" s="159"/>
      <c r="BB3" s="159"/>
      <c r="BC3" s="159"/>
      <c r="BD3" s="159"/>
      <c r="BF3" s="159" t="s">
        <v>471</v>
      </c>
      <c r="BG3" s="159"/>
      <c r="BH3" s="159"/>
      <c r="BI3" s="159"/>
      <c r="BJ3" s="159"/>
      <c r="BK3" s="159"/>
      <c r="BL3" s="159"/>
      <c r="BM3" s="159"/>
      <c r="BO3" s="159" t="s">
        <v>475</v>
      </c>
      <c r="BP3" s="159"/>
      <c r="BQ3" s="159"/>
      <c r="BR3" s="159"/>
      <c r="BS3" s="159"/>
      <c r="BT3" s="159"/>
      <c r="BU3" s="159"/>
      <c r="BV3" s="159"/>
      <c r="BX3" s="155" t="s">
        <v>479</v>
      </c>
      <c r="BY3" s="156"/>
      <c r="BZ3" s="156"/>
      <c r="CA3" s="156"/>
      <c r="CB3" s="156"/>
      <c r="CC3" s="156"/>
      <c r="CD3" s="156"/>
      <c r="CE3" s="157"/>
      <c r="CG3" s="155" t="s">
        <v>483</v>
      </c>
      <c r="CH3" s="156"/>
      <c r="CI3" s="156"/>
      <c r="CJ3" s="156"/>
      <c r="CK3" s="156"/>
      <c r="CL3" s="156"/>
      <c r="CM3" s="156"/>
      <c r="CN3" s="157"/>
      <c r="CP3" s="155" t="s">
        <v>486</v>
      </c>
      <c r="CQ3" s="156"/>
      <c r="CR3" s="156"/>
      <c r="CS3" s="156"/>
      <c r="CT3" s="156"/>
      <c r="CU3" s="156"/>
      <c r="CV3" s="156"/>
      <c r="CW3" s="157"/>
      <c r="CY3" s="155" t="s">
        <v>489</v>
      </c>
      <c r="CZ3" s="156"/>
      <c r="DA3" s="156"/>
      <c r="DB3" s="156"/>
      <c r="DC3" s="156"/>
      <c r="DD3" s="156"/>
      <c r="DE3" s="156"/>
      <c r="DF3" s="157"/>
      <c r="DH3" s="155" t="s">
        <v>492</v>
      </c>
      <c r="DI3" s="156"/>
      <c r="DJ3" s="156"/>
      <c r="DK3" s="156"/>
      <c r="DL3" s="156"/>
      <c r="DM3" s="156"/>
      <c r="DN3" s="156"/>
      <c r="DO3" s="157"/>
      <c r="DQ3" s="155" t="s">
        <v>495</v>
      </c>
      <c r="DR3" s="156"/>
      <c r="DS3" s="156"/>
      <c r="DT3" s="156"/>
      <c r="DU3" s="156"/>
      <c r="DV3" s="156"/>
      <c r="DW3" s="156"/>
      <c r="DX3" s="157"/>
      <c r="DZ3" s="155" t="s">
        <v>129</v>
      </c>
      <c r="EA3" s="156"/>
      <c r="EB3" s="156"/>
      <c r="EC3" s="156"/>
      <c r="ED3" s="156"/>
      <c r="EE3" s="156"/>
      <c r="EF3" s="156"/>
      <c r="EG3" s="157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1" t="s">
        <v>126</v>
      </c>
      <c r="B5" s="151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1"/>
      <c r="B6" s="151"/>
      <c r="D6" s="31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1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59" t="s">
        <v>514</v>
      </c>
      <c r="W6" s="159"/>
      <c r="X6" s="159"/>
      <c r="Y6" s="159"/>
      <c r="Z6" s="159"/>
      <c r="AA6" s="159"/>
      <c r="AB6" s="159"/>
      <c r="AC6" s="159"/>
      <c r="AE6" s="159" t="s">
        <v>540</v>
      </c>
      <c r="AF6" s="159"/>
      <c r="AG6" s="159"/>
      <c r="AH6" s="159"/>
      <c r="AI6" s="159"/>
      <c r="AJ6" s="159"/>
      <c r="AK6" s="159"/>
      <c r="AL6" s="159"/>
      <c r="AN6" s="160" t="s">
        <v>600</v>
      </c>
      <c r="AO6" s="160"/>
      <c r="AP6" s="160"/>
      <c r="AQ6" s="160"/>
      <c r="AR6" s="160"/>
      <c r="AS6" s="160"/>
      <c r="AT6" s="160"/>
      <c r="AU6" s="160"/>
      <c r="AW6" s="31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58" t="s">
        <v>632</v>
      </c>
      <c r="BG6" s="159"/>
      <c r="BH6" s="159"/>
      <c r="BI6" s="159"/>
      <c r="BJ6" s="159"/>
      <c r="BK6" s="159"/>
      <c r="BL6" s="159"/>
      <c r="BM6" s="159"/>
      <c r="BO6" s="158" t="s">
        <v>673</v>
      </c>
      <c r="BP6" s="159"/>
      <c r="BQ6" s="159"/>
      <c r="BR6" s="159"/>
      <c r="BS6" s="159"/>
      <c r="BT6" s="159"/>
      <c r="BU6" s="159"/>
      <c r="BV6" s="159"/>
      <c r="BX6" s="155" t="s">
        <v>695</v>
      </c>
      <c r="BY6" s="156"/>
      <c r="BZ6" s="156"/>
      <c r="CA6" s="156"/>
      <c r="CB6" s="156"/>
      <c r="CC6" s="156"/>
      <c r="CD6" s="156"/>
      <c r="CE6" s="157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55" t="s">
        <v>743</v>
      </c>
      <c r="CQ6" s="156"/>
      <c r="CR6" s="156"/>
      <c r="CS6" s="156"/>
      <c r="CT6" s="156"/>
      <c r="CU6" s="156"/>
      <c r="CV6" s="156"/>
      <c r="CW6" s="157"/>
      <c r="DH6" s="155" t="s">
        <v>747</v>
      </c>
      <c r="DI6" s="156"/>
      <c r="DJ6" s="156"/>
      <c r="DK6" s="156"/>
      <c r="DL6" s="156"/>
      <c r="DM6" s="156"/>
      <c r="DN6" s="156"/>
      <c r="DO6" s="157"/>
    </row>
    <row r="7" spans="1:137" ht="15" customHeight="1">
      <c r="A7" s="151"/>
      <c r="B7" s="151"/>
      <c r="D7" s="31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59" t="s">
        <v>450</v>
      </c>
      <c r="N7" s="159"/>
      <c r="O7" s="159"/>
      <c r="P7" s="159"/>
      <c r="Q7" s="159"/>
      <c r="R7" s="159"/>
      <c r="S7" s="159"/>
      <c r="T7" s="159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59" t="s">
        <v>601</v>
      </c>
      <c r="AO7" s="159"/>
      <c r="AP7" s="159"/>
      <c r="AQ7" s="159"/>
      <c r="AR7" s="159"/>
      <c r="AS7" s="159"/>
      <c r="AT7" s="159"/>
      <c r="AU7" s="159"/>
      <c r="AW7" s="31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1"/>
      <c r="B8" s="151"/>
      <c r="D8" s="31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59" t="s">
        <v>621</v>
      </c>
      <c r="AX8" s="159"/>
      <c r="AY8" s="159"/>
      <c r="AZ8" s="159"/>
      <c r="BA8" s="159"/>
      <c r="BB8" s="159"/>
      <c r="BC8" s="159"/>
      <c r="BD8" s="159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1"/>
      <c r="B9" s="151"/>
      <c r="D9" s="31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59" t="s">
        <v>515</v>
      </c>
      <c r="W9" s="159"/>
      <c r="X9" s="159"/>
      <c r="Y9" s="159"/>
      <c r="Z9" s="159"/>
      <c r="AA9" s="159"/>
      <c r="AB9" s="159"/>
      <c r="AC9" s="159"/>
      <c r="AE9" s="31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58" t="s">
        <v>633</v>
      </c>
      <c r="BG9" s="159"/>
      <c r="BH9" s="159"/>
      <c r="BI9" s="159"/>
      <c r="BJ9" s="159"/>
      <c r="BK9" s="159"/>
      <c r="BL9" s="159"/>
      <c r="BM9" s="159"/>
      <c r="BO9" s="158" t="s">
        <v>675</v>
      </c>
      <c r="BP9" s="159"/>
      <c r="BQ9" s="159"/>
      <c r="BR9" s="159"/>
      <c r="BS9" s="159"/>
      <c r="BT9" s="159"/>
      <c r="BU9" s="159"/>
      <c r="BV9" s="159"/>
      <c r="BX9" s="155" t="s">
        <v>697</v>
      </c>
      <c r="BY9" s="156"/>
      <c r="BZ9" s="156"/>
      <c r="CA9" s="156"/>
      <c r="CB9" s="156"/>
      <c r="CC9" s="156"/>
      <c r="CD9" s="156"/>
      <c r="CE9" s="157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55" t="s">
        <v>745</v>
      </c>
      <c r="CQ9" s="156"/>
      <c r="CR9" s="156"/>
      <c r="CS9" s="156"/>
      <c r="CT9" s="156"/>
      <c r="CU9" s="156"/>
      <c r="CV9" s="156"/>
      <c r="CW9" s="157"/>
      <c r="DH9" s="31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1"/>
      <c r="B10" s="151"/>
      <c r="D10" s="31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1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0" t="s">
        <v>543</v>
      </c>
      <c r="AF10" s="160"/>
      <c r="AG10" s="160"/>
      <c r="AH10" s="160"/>
      <c r="AI10" s="160"/>
      <c r="AJ10" s="160"/>
      <c r="AK10" s="160"/>
      <c r="AL10" s="160"/>
      <c r="AN10" s="159" t="s">
        <v>603</v>
      </c>
      <c r="AO10" s="159"/>
      <c r="AP10" s="159"/>
      <c r="AQ10" s="159"/>
      <c r="AR10" s="159"/>
      <c r="AS10" s="159"/>
      <c r="AT10" s="159"/>
      <c r="AU10" s="159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1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1"/>
      <c r="B11" s="151"/>
      <c r="D11" s="159" t="s">
        <v>422</v>
      </c>
      <c r="E11" s="159"/>
      <c r="F11" s="159"/>
      <c r="G11" s="159"/>
      <c r="H11" s="159"/>
      <c r="I11" s="159"/>
      <c r="J11" s="159"/>
      <c r="K11" s="159"/>
      <c r="M11" s="158" t="s">
        <v>499</v>
      </c>
      <c r="N11" s="159"/>
      <c r="O11" s="159"/>
      <c r="P11" s="159"/>
      <c r="Q11" s="159"/>
      <c r="R11" s="159"/>
      <c r="S11" s="159"/>
      <c r="T11" s="159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59" t="s">
        <v>544</v>
      </c>
      <c r="AF11" s="159"/>
      <c r="AG11" s="159"/>
      <c r="AH11" s="159"/>
      <c r="AI11" s="159"/>
      <c r="AJ11" s="159"/>
      <c r="AK11" s="159"/>
      <c r="AL11" s="159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59" t="s">
        <v>623</v>
      </c>
      <c r="AX11" s="159"/>
      <c r="AY11" s="159"/>
      <c r="AZ11" s="159"/>
      <c r="BA11" s="159"/>
      <c r="BB11" s="159"/>
      <c r="BC11" s="159"/>
      <c r="BD11" s="159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1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1"/>
      <c r="B12" s="151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1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58" t="s">
        <v>635</v>
      </c>
      <c r="BG12" s="159"/>
      <c r="BH12" s="159"/>
      <c r="BI12" s="159"/>
      <c r="BJ12" s="159"/>
      <c r="BK12" s="159"/>
      <c r="BL12" s="159"/>
      <c r="BM12" s="159"/>
      <c r="BO12" s="160" t="s">
        <v>677</v>
      </c>
      <c r="BP12" s="160"/>
      <c r="BQ12" s="160"/>
      <c r="BR12" s="160"/>
      <c r="BS12" s="160"/>
      <c r="BT12" s="160"/>
      <c r="BU12" s="160"/>
      <c r="BV12" s="160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1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1"/>
      <c r="B13" s="151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1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59" t="s">
        <v>607</v>
      </c>
      <c r="AO13" s="159"/>
      <c r="AP13" s="159"/>
      <c r="AQ13" s="159"/>
      <c r="AR13" s="159"/>
      <c r="AS13" s="159"/>
      <c r="AT13" s="159"/>
      <c r="AU13" s="159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58" t="s">
        <v>678</v>
      </c>
      <c r="BP13" s="159"/>
      <c r="BQ13" s="159"/>
      <c r="BR13" s="159"/>
      <c r="BS13" s="159"/>
      <c r="BT13" s="159"/>
      <c r="BU13" s="159"/>
      <c r="BV13" s="159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1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1"/>
      <c r="B14" s="151"/>
      <c r="D14" s="31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58" t="s">
        <v>500</v>
      </c>
      <c r="N14" s="159"/>
      <c r="O14" s="159"/>
      <c r="P14" s="159"/>
      <c r="Q14" s="159"/>
      <c r="R14" s="159"/>
      <c r="S14" s="159"/>
      <c r="T14" s="159"/>
      <c r="V14" s="160" t="s">
        <v>517</v>
      </c>
      <c r="W14" s="160"/>
      <c r="X14" s="160"/>
      <c r="Y14" s="160"/>
      <c r="Z14" s="160"/>
      <c r="AA14" s="160"/>
      <c r="AB14" s="160"/>
      <c r="AC14" s="160"/>
      <c r="AE14" s="160" t="s">
        <v>545</v>
      </c>
      <c r="AF14" s="160"/>
      <c r="AG14" s="160"/>
      <c r="AH14" s="160"/>
      <c r="AI14" s="160"/>
      <c r="AJ14" s="160"/>
      <c r="AK14" s="160"/>
      <c r="AL14" s="160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1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1"/>
      <c r="B15" s="151"/>
      <c r="D15" s="31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58" t="s">
        <v>516</v>
      </c>
      <c r="W15" s="159"/>
      <c r="X15" s="159"/>
      <c r="Y15" s="159"/>
      <c r="Z15" s="159"/>
      <c r="AA15" s="159"/>
      <c r="AB15" s="159"/>
      <c r="AC15" s="159"/>
      <c r="AE15" s="159" t="s">
        <v>546</v>
      </c>
      <c r="AF15" s="159"/>
      <c r="AG15" s="159"/>
      <c r="AH15" s="159"/>
      <c r="AI15" s="159"/>
      <c r="AJ15" s="159"/>
      <c r="AK15" s="159"/>
      <c r="AL15" s="159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0" t="s">
        <v>637</v>
      </c>
      <c r="BG15" s="160"/>
      <c r="BH15" s="160"/>
      <c r="BI15" s="160"/>
      <c r="BJ15" s="160"/>
      <c r="BK15" s="160"/>
      <c r="BL15" s="160"/>
      <c r="BM15" s="160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1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1"/>
      <c r="B16" s="151"/>
      <c r="D16" s="31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1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59" t="s">
        <v>638</v>
      </c>
      <c r="BG16" s="159"/>
      <c r="BH16" s="159"/>
      <c r="BI16" s="159"/>
      <c r="BJ16" s="159"/>
      <c r="BK16" s="159"/>
      <c r="BL16" s="159"/>
      <c r="BM16" s="159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1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1"/>
      <c r="B17" s="151"/>
      <c r="D17" s="31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58" t="s">
        <v>502</v>
      </c>
      <c r="N17" s="159"/>
      <c r="O17" s="159"/>
      <c r="P17" s="159"/>
      <c r="Q17" s="159"/>
      <c r="R17" s="159"/>
      <c r="S17" s="159"/>
      <c r="T17" s="159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1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1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1"/>
      <c r="B18" s="151"/>
      <c r="D18" s="31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58" t="s">
        <v>518</v>
      </c>
      <c r="W18" s="159"/>
      <c r="X18" s="159"/>
      <c r="Y18" s="159"/>
      <c r="Z18" s="159"/>
      <c r="AA18" s="159"/>
      <c r="AB18" s="159"/>
      <c r="AC18" s="159"/>
      <c r="AE18" s="159" t="s">
        <v>548</v>
      </c>
      <c r="AF18" s="159"/>
      <c r="AG18" s="159"/>
      <c r="AH18" s="159"/>
      <c r="AI18" s="159"/>
      <c r="AJ18" s="159"/>
      <c r="AK18" s="159"/>
      <c r="AL18" s="159"/>
      <c r="AN18" s="160" t="s">
        <v>608</v>
      </c>
      <c r="AO18" s="160"/>
      <c r="AP18" s="160"/>
      <c r="AQ18" s="160"/>
      <c r="AR18" s="160"/>
      <c r="AS18" s="160"/>
      <c r="AT18" s="160"/>
      <c r="AU18" s="160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1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1"/>
      <c r="B19" s="151"/>
      <c r="D19" s="31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59" t="s">
        <v>540</v>
      </c>
      <c r="AO19" s="159"/>
      <c r="AP19" s="159"/>
      <c r="AQ19" s="159"/>
      <c r="AR19" s="159"/>
      <c r="AS19" s="159"/>
      <c r="AT19" s="159"/>
      <c r="AU19" s="159"/>
      <c r="AW19" s="159" t="s">
        <v>630</v>
      </c>
      <c r="AX19" s="159"/>
      <c r="AY19" s="159"/>
      <c r="AZ19" s="159"/>
      <c r="BA19" s="159"/>
      <c r="BB19" s="159"/>
      <c r="BC19" s="159"/>
      <c r="BD19" s="159"/>
      <c r="BF19" s="159" t="s">
        <v>639</v>
      </c>
      <c r="BG19" s="159"/>
      <c r="BH19" s="159"/>
      <c r="BI19" s="159"/>
      <c r="BJ19" s="159"/>
      <c r="BK19" s="159"/>
      <c r="BL19" s="159"/>
      <c r="BM19" s="159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58" t="s">
        <v>758</v>
      </c>
      <c r="DI19" s="159"/>
      <c r="DJ19" s="159"/>
      <c r="DK19" s="159"/>
      <c r="DL19" s="159"/>
      <c r="DM19" s="159"/>
      <c r="DN19" s="159"/>
      <c r="DO19" s="159"/>
    </row>
    <row r="20" spans="1:119" ht="15" customHeight="1">
      <c r="A20" s="151"/>
      <c r="B20" s="151"/>
      <c r="D20" s="31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58" t="s">
        <v>503</v>
      </c>
      <c r="N20" s="159"/>
      <c r="O20" s="159"/>
      <c r="P20" s="159"/>
      <c r="Q20" s="159"/>
      <c r="R20" s="159"/>
      <c r="S20" s="159"/>
      <c r="T20" s="159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55" t="s">
        <v>714</v>
      </c>
      <c r="CH20" s="156"/>
      <c r="CI20" s="156"/>
      <c r="CJ20" s="156"/>
      <c r="CK20" s="156"/>
      <c r="CL20" s="156"/>
      <c r="CM20" s="156"/>
      <c r="CN20" s="157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1"/>
      <c r="B21" s="151"/>
      <c r="D21" s="31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1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59" t="s">
        <v>550</v>
      </c>
      <c r="AF21" s="159"/>
      <c r="AG21" s="159"/>
      <c r="AH21" s="159"/>
      <c r="AI21" s="159"/>
      <c r="AJ21" s="159"/>
      <c r="AK21" s="159"/>
      <c r="AL21" s="159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1"/>
      <c r="B22" s="151"/>
      <c r="D22" s="31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1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1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0" t="s">
        <v>641</v>
      </c>
      <c r="BG22" s="160"/>
      <c r="BH22" s="160"/>
      <c r="BI22" s="160"/>
      <c r="BJ22" s="160"/>
      <c r="BK22" s="160"/>
      <c r="BL22" s="160"/>
      <c r="BM22" s="160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55" t="s">
        <v>760</v>
      </c>
      <c r="DI22" s="156"/>
      <c r="DJ22" s="156"/>
      <c r="DK22" s="156"/>
      <c r="DL22" s="156"/>
      <c r="DM22" s="156"/>
      <c r="DN22" s="156"/>
      <c r="DO22" s="157"/>
    </row>
    <row r="23" spans="1:119" ht="15" customHeight="1">
      <c r="A23" s="151"/>
      <c r="B23" s="151"/>
      <c r="D23" s="31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58" t="s">
        <v>507</v>
      </c>
      <c r="N23" s="159"/>
      <c r="O23" s="159"/>
      <c r="P23" s="159"/>
      <c r="Q23" s="159"/>
      <c r="R23" s="159"/>
      <c r="S23" s="159"/>
      <c r="T23" s="159"/>
      <c r="V23" s="158" t="s">
        <v>519</v>
      </c>
      <c r="W23" s="159"/>
      <c r="X23" s="159"/>
      <c r="Y23" s="159"/>
      <c r="Z23" s="159"/>
      <c r="AA23" s="159"/>
      <c r="AB23" s="159"/>
      <c r="AC23" s="159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59" t="s">
        <v>609</v>
      </c>
      <c r="AO23" s="159"/>
      <c r="AP23" s="159"/>
      <c r="AQ23" s="159"/>
      <c r="AR23" s="159"/>
      <c r="AS23" s="159"/>
      <c r="AT23" s="159"/>
      <c r="AU23" s="159"/>
      <c r="BF23" s="159" t="s">
        <v>644</v>
      </c>
      <c r="BG23" s="159"/>
      <c r="BH23" s="159"/>
      <c r="BI23" s="159"/>
      <c r="BJ23" s="159"/>
      <c r="BK23" s="159"/>
      <c r="BL23" s="159"/>
      <c r="BM23" s="159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1"/>
      <c r="B24" s="151"/>
      <c r="D24" s="31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59" t="s">
        <v>553</v>
      </c>
      <c r="AF24" s="159"/>
      <c r="AG24" s="159"/>
      <c r="AH24" s="159"/>
      <c r="AI24" s="159"/>
      <c r="AJ24" s="159"/>
      <c r="AK24" s="159"/>
      <c r="AL24" s="159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1"/>
      <c r="B25" s="151"/>
      <c r="D25" s="31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58" t="s">
        <v>679</v>
      </c>
      <c r="BP25" s="159"/>
      <c r="BQ25" s="159"/>
      <c r="BR25" s="159"/>
      <c r="BS25" s="159"/>
      <c r="BT25" s="159"/>
      <c r="BU25" s="159"/>
      <c r="BV25" s="159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1"/>
      <c r="B26" s="151"/>
      <c r="D26" s="31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1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1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0" t="s">
        <v>610</v>
      </c>
      <c r="AO26" s="160"/>
      <c r="AP26" s="160"/>
      <c r="AQ26" s="160"/>
      <c r="AR26" s="160"/>
      <c r="AS26" s="160"/>
      <c r="AT26" s="160"/>
      <c r="AU26" s="160"/>
      <c r="BF26" s="159" t="s">
        <v>643</v>
      </c>
      <c r="BG26" s="159"/>
      <c r="BH26" s="159"/>
      <c r="BI26" s="159"/>
      <c r="BJ26" s="159"/>
      <c r="BK26" s="159"/>
      <c r="BL26" s="159"/>
      <c r="BM26" s="159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9"/>
      <c r="B27" s="69"/>
      <c r="D27" s="31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1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1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0" t="s">
        <v>156</v>
      </c>
      <c r="AF27" s="160"/>
      <c r="AG27" s="160"/>
      <c r="AH27" s="160"/>
      <c r="AI27" s="160"/>
      <c r="AJ27" s="160"/>
      <c r="AK27" s="160"/>
      <c r="AL27" s="160"/>
      <c r="AN27" s="159" t="s">
        <v>540</v>
      </c>
      <c r="AO27" s="159"/>
      <c r="AP27" s="159"/>
      <c r="AQ27" s="159"/>
      <c r="AR27" s="159"/>
      <c r="AS27" s="159"/>
      <c r="AT27" s="159"/>
      <c r="AU27" s="159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1" t="s">
        <v>762</v>
      </c>
      <c r="B28" s="151"/>
      <c r="D28" s="159" t="s">
        <v>421</v>
      </c>
      <c r="E28" s="159"/>
      <c r="F28" s="159"/>
      <c r="G28" s="159"/>
      <c r="H28" s="159"/>
      <c r="I28" s="159"/>
      <c r="J28" s="159"/>
      <c r="K28" s="159"/>
      <c r="M28" s="158" t="s">
        <v>508</v>
      </c>
      <c r="N28" s="159"/>
      <c r="O28" s="159"/>
      <c r="P28" s="159"/>
      <c r="Q28" s="159"/>
      <c r="R28" s="159"/>
      <c r="S28" s="159"/>
      <c r="T28" s="159"/>
      <c r="V28" s="31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58" t="s">
        <v>555</v>
      </c>
      <c r="AF28" s="159"/>
      <c r="AG28" s="159"/>
      <c r="AH28" s="159"/>
      <c r="AI28" s="159"/>
      <c r="AJ28" s="159"/>
      <c r="AK28" s="159"/>
      <c r="AL28" s="159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1"/>
      <c r="B29" s="151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1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59" t="s">
        <v>649</v>
      </c>
      <c r="BG29" s="159"/>
      <c r="BH29" s="159"/>
      <c r="BI29" s="159"/>
      <c r="BJ29" s="159"/>
      <c r="BK29" s="159"/>
      <c r="BL29" s="159"/>
      <c r="BM29" s="159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55" t="s">
        <v>715</v>
      </c>
      <c r="CH29" s="156"/>
      <c r="CI29" s="156"/>
      <c r="CJ29" s="156"/>
      <c r="CK29" s="156"/>
      <c r="CL29" s="156"/>
      <c r="CM29" s="156"/>
      <c r="CN29" s="157"/>
    </row>
    <row r="30" spans="1:119" ht="15" customHeight="1">
      <c r="A30" s="151"/>
      <c r="B30" s="151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58" t="s">
        <v>520</v>
      </c>
      <c r="W30" s="159"/>
      <c r="X30" s="159"/>
      <c r="Y30" s="159"/>
      <c r="Z30" s="159"/>
      <c r="AA30" s="159"/>
      <c r="AB30" s="159"/>
      <c r="AC30" s="159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1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1"/>
      <c r="B31" s="151"/>
      <c r="D31" s="31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1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59" t="s">
        <v>556</v>
      </c>
      <c r="AF31" s="159"/>
      <c r="AG31" s="159"/>
      <c r="AH31" s="159"/>
      <c r="AI31" s="159"/>
      <c r="AJ31" s="159"/>
      <c r="AK31" s="159"/>
      <c r="AL31" s="159"/>
      <c r="AN31" s="159" t="s">
        <v>611</v>
      </c>
      <c r="AO31" s="159"/>
      <c r="AP31" s="159"/>
      <c r="AQ31" s="159"/>
      <c r="AR31" s="159"/>
      <c r="AS31" s="159"/>
      <c r="AT31" s="159"/>
      <c r="AU31" s="159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1"/>
      <c r="B32" s="151"/>
      <c r="D32" s="31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1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55" t="s">
        <v>722</v>
      </c>
      <c r="CH32" s="156"/>
      <c r="CI32" s="156"/>
      <c r="CJ32" s="156"/>
      <c r="CK32" s="156"/>
      <c r="CL32" s="156"/>
      <c r="CM32" s="156"/>
      <c r="CN32" s="157"/>
    </row>
    <row r="33" spans="1:92" ht="15" customHeight="1">
      <c r="A33" s="151"/>
      <c r="B33" s="151"/>
      <c r="D33" s="31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1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0" t="s">
        <v>521</v>
      </c>
      <c r="W33" s="160"/>
      <c r="X33" s="160"/>
      <c r="Y33" s="160"/>
      <c r="Z33" s="160"/>
      <c r="AA33" s="160"/>
      <c r="AB33" s="160"/>
      <c r="AC33" s="160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1"/>
      <c r="B34" s="151"/>
      <c r="D34" s="31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58" t="s">
        <v>512</v>
      </c>
      <c r="N34" s="159"/>
      <c r="O34" s="159"/>
      <c r="P34" s="159"/>
      <c r="Q34" s="159"/>
      <c r="R34" s="159"/>
      <c r="S34" s="159"/>
      <c r="T34" s="159"/>
      <c r="V34" s="158" t="s">
        <v>522</v>
      </c>
      <c r="W34" s="159"/>
      <c r="X34" s="159"/>
      <c r="Y34" s="159"/>
      <c r="Z34" s="159"/>
      <c r="AA34" s="159"/>
      <c r="AB34" s="159"/>
      <c r="AC34" s="159"/>
      <c r="AE34" s="31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59" t="s">
        <v>609</v>
      </c>
      <c r="AO34" s="159"/>
      <c r="AP34" s="159"/>
      <c r="AQ34" s="159"/>
      <c r="AR34" s="159"/>
      <c r="AS34" s="159"/>
      <c r="AT34" s="159"/>
      <c r="AU34" s="159"/>
      <c r="BF34" s="158" t="s">
        <v>650</v>
      </c>
      <c r="BG34" s="159"/>
      <c r="BH34" s="159"/>
      <c r="BI34" s="159"/>
      <c r="BJ34" s="159"/>
      <c r="BK34" s="159"/>
      <c r="BL34" s="159"/>
      <c r="BM34" s="159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0" t="s">
        <v>598</v>
      </c>
      <c r="B35" s="151"/>
      <c r="D35" s="31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1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1"/>
      <c r="B36" s="151"/>
      <c r="D36" s="159" t="s">
        <v>423</v>
      </c>
      <c r="E36" s="159"/>
      <c r="F36" s="159"/>
      <c r="G36" s="159"/>
      <c r="H36" s="159"/>
      <c r="I36" s="159"/>
      <c r="J36" s="159"/>
      <c r="K36" s="159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0" t="s">
        <v>557</v>
      </c>
      <c r="AF36" s="160"/>
      <c r="AG36" s="160"/>
      <c r="AH36" s="160"/>
      <c r="AI36" s="160"/>
      <c r="AJ36" s="160"/>
      <c r="AK36" s="160"/>
      <c r="AL36" s="160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1"/>
      <c r="B37" s="151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58" t="s">
        <v>523</v>
      </c>
      <c r="W37" s="159"/>
      <c r="X37" s="159"/>
      <c r="Y37" s="159"/>
      <c r="Z37" s="159"/>
      <c r="AA37" s="159"/>
      <c r="AB37" s="159"/>
      <c r="AC37" s="159"/>
      <c r="AE37" s="159" t="s">
        <v>558</v>
      </c>
      <c r="AF37" s="159"/>
      <c r="AG37" s="159"/>
      <c r="AH37" s="159"/>
      <c r="AI37" s="159"/>
      <c r="AJ37" s="159"/>
      <c r="AK37" s="159"/>
      <c r="AL37" s="159"/>
      <c r="AN37" s="160" t="s">
        <v>612</v>
      </c>
      <c r="AO37" s="160"/>
      <c r="AP37" s="160"/>
      <c r="AQ37" s="160"/>
      <c r="AR37" s="160"/>
      <c r="AS37" s="160"/>
      <c r="AT37" s="160"/>
      <c r="AU37" s="160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1"/>
      <c r="B38" s="151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59" t="s">
        <v>613</v>
      </c>
      <c r="AO38" s="159"/>
      <c r="AP38" s="159"/>
      <c r="AQ38" s="159"/>
      <c r="AR38" s="159"/>
      <c r="AS38" s="159"/>
      <c r="AT38" s="159"/>
      <c r="AU38" s="159"/>
      <c r="BF38" s="158" t="s">
        <v>653</v>
      </c>
      <c r="BG38" s="159"/>
      <c r="BH38" s="159"/>
      <c r="BI38" s="159"/>
      <c r="BJ38" s="159"/>
      <c r="BK38" s="159"/>
      <c r="BL38" s="159"/>
      <c r="BM38" s="159"/>
      <c r="BO38" s="160" t="s">
        <v>162</v>
      </c>
      <c r="BP38" s="160"/>
      <c r="BQ38" s="160"/>
      <c r="BR38" s="160"/>
      <c r="BS38" s="160"/>
      <c r="BT38" s="160"/>
      <c r="BU38" s="160"/>
      <c r="BV38" s="160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59" t="s">
        <v>424</v>
      </c>
      <c r="E39" s="159"/>
      <c r="F39" s="159"/>
      <c r="G39" s="159"/>
      <c r="H39" s="159"/>
      <c r="I39" s="159"/>
      <c r="J39" s="159"/>
      <c r="K39" s="159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59" t="s">
        <v>680</v>
      </c>
      <c r="BP39" s="159"/>
      <c r="BQ39" s="159"/>
      <c r="BR39" s="159"/>
      <c r="BS39" s="159"/>
      <c r="BT39" s="159"/>
      <c r="BU39" s="159"/>
      <c r="BV39" s="159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1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1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1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59" t="s">
        <v>561</v>
      </c>
      <c r="AF41" s="159"/>
      <c r="AG41" s="159"/>
      <c r="AH41" s="159"/>
      <c r="AI41" s="159"/>
      <c r="AJ41" s="159"/>
      <c r="AK41" s="159"/>
      <c r="AL41" s="159"/>
      <c r="AN41" s="159" t="s">
        <v>615</v>
      </c>
      <c r="AO41" s="159"/>
      <c r="AP41" s="159"/>
      <c r="AQ41" s="159"/>
      <c r="AR41" s="159"/>
      <c r="AS41" s="159"/>
      <c r="AT41" s="159"/>
      <c r="AU41" s="159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59" t="s">
        <v>426</v>
      </c>
      <c r="E42" s="159"/>
      <c r="F42" s="159"/>
      <c r="G42" s="159"/>
      <c r="H42" s="159"/>
      <c r="I42" s="159"/>
      <c r="J42" s="159"/>
      <c r="K42" s="159"/>
      <c r="V42" s="31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59" t="s">
        <v>656</v>
      </c>
      <c r="BG42" s="159"/>
      <c r="BH42" s="159"/>
      <c r="BI42" s="159"/>
      <c r="BJ42" s="159"/>
      <c r="BK42" s="159"/>
      <c r="BL42" s="159"/>
      <c r="BM42" s="159"/>
      <c r="BO42" s="160" t="s">
        <v>681</v>
      </c>
      <c r="BP42" s="160"/>
      <c r="BQ42" s="160"/>
      <c r="BR42" s="160"/>
      <c r="BS42" s="160"/>
      <c r="BT42" s="160"/>
      <c r="BU42" s="160"/>
      <c r="BV42" s="160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1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59" t="s">
        <v>682</v>
      </c>
      <c r="BP43" s="159"/>
      <c r="BQ43" s="159"/>
      <c r="BR43" s="159"/>
      <c r="BS43" s="159"/>
      <c r="BT43" s="159"/>
      <c r="BU43" s="159"/>
      <c r="BV43" s="159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0" t="s">
        <v>524</v>
      </c>
      <c r="W44" s="160"/>
      <c r="X44" s="160"/>
      <c r="Y44" s="160"/>
      <c r="Z44" s="160"/>
      <c r="AA44" s="160"/>
      <c r="AB44" s="160"/>
      <c r="AC44" s="160"/>
      <c r="AE44" s="31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59" t="s">
        <v>617</v>
      </c>
      <c r="AO44" s="159"/>
      <c r="AP44" s="159"/>
      <c r="AQ44" s="159"/>
      <c r="AR44" s="159"/>
      <c r="AS44" s="159"/>
      <c r="AT44" s="159"/>
      <c r="AU44" s="159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55" t="s">
        <v>733</v>
      </c>
      <c r="CH44" s="156"/>
      <c r="CI44" s="156"/>
      <c r="CJ44" s="156"/>
      <c r="CK44" s="156"/>
      <c r="CL44" s="156"/>
      <c r="CM44" s="156"/>
      <c r="CN44" s="157"/>
    </row>
    <row r="45" spans="1:92" ht="15" customHeight="1">
      <c r="D45" s="31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58" t="s">
        <v>525</v>
      </c>
      <c r="W45" s="159"/>
      <c r="X45" s="159"/>
      <c r="Y45" s="159"/>
      <c r="Z45" s="159"/>
      <c r="AA45" s="159"/>
      <c r="AB45" s="159"/>
      <c r="AC45" s="159"/>
      <c r="AE45" s="31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59" t="s">
        <v>657</v>
      </c>
      <c r="BG45" s="159"/>
      <c r="BH45" s="159"/>
      <c r="BI45" s="159"/>
      <c r="BJ45" s="159"/>
      <c r="BK45" s="159"/>
      <c r="BL45" s="159"/>
      <c r="BM45" s="159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2" t="s">
        <v>429</v>
      </c>
      <c r="E46" s="162"/>
      <c r="F46" s="162"/>
      <c r="G46" s="162"/>
      <c r="H46" s="162"/>
      <c r="I46" s="162"/>
      <c r="J46" s="162"/>
      <c r="K46" s="162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1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59" t="s">
        <v>684</v>
      </c>
      <c r="BP46" s="159"/>
      <c r="BQ46" s="159"/>
      <c r="BR46" s="159"/>
      <c r="BS46" s="159"/>
      <c r="BT46" s="159"/>
      <c r="BU46" s="159"/>
      <c r="BV46" s="159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2"/>
      <c r="B47" s="72"/>
      <c r="D47" s="159" t="s">
        <v>430</v>
      </c>
      <c r="E47" s="159"/>
      <c r="F47" s="159"/>
      <c r="G47" s="159"/>
      <c r="H47" s="159"/>
      <c r="I47" s="159"/>
      <c r="J47" s="159"/>
      <c r="K47" s="159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1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59" t="s">
        <v>619</v>
      </c>
      <c r="AO47" s="159"/>
      <c r="AP47" s="159"/>
      <c r="AQ47" s="159"/>
      <c r="AR47" s="159"/>
      <c r="AS47" s="159"/>
      <c r="AT47" s="159"/>
      <c r="AU47" s="159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2"/>
      <c r="B48" s="72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1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1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59" t="s">
        <v>659</v>
      </c>
      <c r="BG48" s="159"/>
      <c r="BH48" s="159"/>
      <c r="BI48" s="159"/>
      <c r="BJ48" s="159"/>
      <c r="BK48" s="159"/>
      <c r="BL48" s="159"/>
      <c r="BM48" s="159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2"/>
      <c r="B49" s="72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1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59" t="s">
        <v>567</v>
      </c>
      <c r="AF49" s="159"/>
      <c r="AG49" s="159"/>
      <c r="AH49" s="159"/>
      <c r="AI49" s="159"/>
      <c r="AJ49" s="159"/>
      <c r="AK49" s="159"/>
      <c r="AL49" s="159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0" t="s">
        <v>685</v>
      </c>
      <c r="BP49" s="160"/>
      <c r="BQ49" s="160"/>
      <c r="BR49" s="160"/>
      <c r="BS49" s="160"/>
      <c r="BT49" s="160"/>
      <c r="BU49" s="160"/>
      <c r="BV49" s="160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2"/>
      <c r="B50" s="72"/>
      <c r="D50" s="159" t="s">
        <v>432</v>
      </c>
      <c r="E50" s="159"/>
      <c r="F50" s="159"/>
      <c r="G50" s="159"/>
      <c r="H50" s="159"/>
      <c r="I50" s="159"/>
      <c r="J50" s="159"/>
      <c r="K50" s="159"/>
      <c r="V50" s="31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59" t="s">
        <v>691</v>
      </c>
      <c r="BP50" s="159"/>
      <c r="BQ50" s="159"/>
      <c r="BR50" s="159"/>
      <c r="BS50" s="159"/>
      <c r="BT50" s="159"/>
      <c r="BU50" s="159"/>
      <c r="BV50" s="159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2"/>
      <c r="B51" s="72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1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59" t="s">
        <v>661</v>
      </c>
      <c r="BG51" s="159"/>
      <c r="BH51" s="159"/>
      <c r="BI51" s="159"/>
      <c r="BJ51" s="159"/>
      <c r="BK51" s="159"/>
      <c r="BL51" s="159"/>
      <c r="BM51" s="159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2"/>
      <c r="B52" s="72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1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59" t="s">
        <v>569</v>
      </c>
      <c r="AF52" s="159"/>
      <c r="AG52" s="159"/>
      <c r="AH52" s="159"/>
      <c r="AI52" s="159"/>
      <c r="AJ52" s="159"/>
      <c r="AK52" s="159"/>
      <c r="AL52" s="159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2"/>
      <c r="B53" s="72"/>
      <c r="D53" s="159" t="s">
        <v>434</v>
      </c>
      <c r="E53" s="159"/>
      <c r="F53" s="159"/>
      <c r="G53" s="159"/>
      <c r="H53" s="159"/>
      <c r="I53" s="159"/>
      <c r="J53" s="159"/>
      <c r="K53" s="159"/>
      <c r="V53" s="158" t="s">
        <v>526</v>
      </c>
      <c r="W53" s="159"/>
      <c r="X53" s="159"/>
      <c r="Y53" s="159"/>
      <c r="Z53" s="159"/>
      <c r="AA53" s="159"/>
      <c r="AB53" s="159"/>
      <c r="AC53" s="159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59" t="s">
        <v>690</v>
      </c>
      <c r="BP53" s="159"/>
      <c r="BQ53" s="159"/>
      <c r="BR53" s="159"/>
      <c r="BS53" s="159"/>
      <c r="BT53" s="159"/>
      <c r="BU53" s="159"/>
      <c r="BV53" s="159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2"/>
      <c r="B54" s="72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0" t="s">
        <v>404</v>
      </c>
      <c r="BG54" s="160"/>
      <c r="BH54" s="160"/>
      <c r="BI54" s="160"/>
      <c r="BJ54" s="160"/>
      <c r="BK54" s="160"/>
      <c r="BL54" s="160"/>
      <c r="BM54" s="160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2"/>
      <c r="B55" s="72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59" t="s">
        <v>572</v>
      </c>
      <c r="AF55" s="159"/>
      <c r="AG55" s="159"/>
      <c r="AH55" s="159"/>
      <c r="AI55" s="159"/>
      <c r="AJ55" s="159"/>
      <c r="AK55" s="159"/>
      <c r="AL55" s="159"/>
      <c r="BF55" s="159" t="s">
        <v>662</v>
      </c>
      <c r="BG55" s="159"/>
      <c r="BH55" s="159"/>
      <c r="BI55" s="159"/>
      <c r="BJ55" s="159"/>
      <c r="BK55" s="159"/>
      <c r="BL55" s="159"/>
      <c r="BM55" s="159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2"/>
      <c r="B56" s="72"/>
      <c r="D56" s="159" t="s">
        <v>435</v>
      </c>
      <c r="E56" s="159"/>
      <c r="F56" s="159"/>
      <c r="G56" s="159"/>
      <c r="H56" s="159"/>
      <c r="I56" s="159"/>
      <c r="J56" s="159"/>
      <c r="K56" s="159"/>
      <c r="V56" s="160" t="s">
        <v>527</v>
      </c>
      <c r="W56" s="160"/>
      <c r="X56" s="160"/>
      <c r="Y56" s="160"/>
      <c r="Z56" s="160"/>
      <c r="AA56" s="160"/>
      <c r="AB56" s="160"/>
      <c r="AC56" s="160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59" t="s">
        <v>689</v>
      </c>
      <c r="BP56" s="159"/>
      <c r="BQ56" s="159"/>
      <c r="BR56" s="159"/>
      <c r="BS56" s="159"/>
      <c r="BT56" s="159"/>
      <c r="BU56" s="159"/>
      <c r="BV56" s="159"/>
    </row>
    <row r="57" spans="1:92" ht="15" customHeight="1">
      <c r="A57" s="72"/>
      <c r="B57" s="72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58" t="s">
        <v>528</v>
      </c>
      <c r="W57" s="159"/>
      <c r="X57" s="159"/>
      <c r="Y57" s="159"/>
      <c r="Z57" s="159"/>
      <c r="AA57" s="159"/>
      <c r="AB57" s="159"/>
      <c r="AC57" s="159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2"/>
      <c r="B58" s="72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0" t="s">
        <v>573</v>
      </c>
      <c r="AF58" s="160"/>
      <c r="AG58" s="160"/>
      <c r="AH58" s="160"/>
      <c r="AI58" s="160"/>
      <c r="AJ58" s="160"/>
      <c r="AK58" s="160"/>
      <c r="AL58" s="160"/>
      <c r="BF58" s="159" t="s">
        <v>664</v>
      </c>
      <c r="BG58" s="159"/>
      <c r="BH58" s="159"/>
      <c r="BI58" s="159"/>
      <c r="BJ58" s="159"/>
      <c r="BK58" s="159"/>
      <c r="BL58" s="159"/>
      <c r="BM58" s="159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2"/>
      <c r="B59" s="72"/>
      <c r="D59" s="159" t="s">
        <v>436</v>
      </c>
      <c r="E59" s="159"/>
      <c r="F59" s="159"/>
      <c r="G59" s="159"/>
      <c r="H59" s="159"/>
      <c r="I59" s="159"/>
      <c r="J59" s="159"/>
      <c r="K59" s="159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59" t="s">
        <v>574</v>
      </c>
      <c r="AF59" s="159"/>
      <c r="AG59" s="159"/>
      <c r="AH59" s="159"/>
      <c r="AI59" s="159"/>
      <c r="AJ59" s="159"/>
      <c r="AK59" s="159"/>
      <c r="AL59" s="159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59" t="s">
        <v>688</v>
      </c>
      <c r="BP59" s="159"/>
      <c r="BQ59" s="159"/>
      <c r="BR59" s="159"/>
      <c r="BS59" s="159"/>
      <c r="BT59" s="159"/>
      <c r="BU59" s="159"/>
      <c r="BV59" s="159"/>
    </row>
    <row r="60" spans="1:92" ht="15" customHeight="1">
      <c r="A60" s="72"/>
      <c r="B60" s="72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1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2"/>
      <c r="B61" s="72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1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59" t="s">
        <v>666</v>
      </c>
      <c r="BG61" s="159"/>
      <c r="BH61" s="159"/>
      <c r="BI61" s="159"/>
      <c r="BJ61" s="159"/>
      <c r="BK61" s="159"/>
      <c r="BL61" s="159"/>
      <c r="BM61" s="159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2"/>
      <c r="B62" s="72"/>
      <c r="D62" s="159" t="s">
        <v>437</v>
      </c>
      <c r="E62" s="159"/>
      <c r="F62" s="159"/>
      <c r="G62" s="159"/>
      <c r="H62" s="159"/>
      <c r="I62" s="159"/>
      <c r="J62" s="159"/>
      <c r="K62" s="159"/>
      <c r="V62" s="31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59" t="s">
        <v>576</v>
      </c>
      <c r="AF62" s="159"/>
      <c r="AG62" s="159"/>
      <c r="AH62" s="159"/>
      <c r="AI62" s="159"/>
      <c r="AJ62" s="159"/>
      <c r="AK62" s="159"/>
      <c r="AL62" s="159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1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1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1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1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1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59" t="s">
        <v>438</v>
      </c>
      <c r="E65" s="159"/>
      <c r="F65" s="159"/>
      <c r="G65" s="159"/>
      <c r="H65" s="159"/>
      <c r="I65" s="159"/>
      <c r="J65" s="159"/>
      <c r="K65" s="159"/>
      <c r="V65" s="31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59" t="s">
        <v>577</v>
      </c>
      <c r="AF65" s="159"/>
      <c r="AG65" s="159"/>
      <c r="AH65" s="159"/>
      <c r="AI65" s="159"/>
      <c r="AJ65" s="159"/>
      <c r="AK65" s="159"/>
      <c r="AL65" s="159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1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1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1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58" t="s">
        <v>529</v>
      </c>
      <c r="W67" s="159"/>
      <c r="X67" s="159"/>
      <c r="Y67" s="159"/>
      <c r="Z67" s="159"/>
      <c r="AA67" s="159"/>
      <c r="AB67" s="159"/>
      <c r="AC67" s="159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1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59" t="s">
        <v>439</v>
      </c>
      <c r="E68" s="159"/>
      <c r="F68" s="159"/>
      <c r="G68" s="159"/>
      <c r="H68" s="159"/>
      <c r="I68" s="159"/>
      <c r="J68" s="159"/>
      <c r="K68" s="159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1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59" t="s">
        <v>668</v>
      </c>
      <c r="BG68" s="159"/>
      <c r="BH68" s="159"/>
      <c r="BI68" s="159"/>
      <c r="BJ68" s="159"/>
      <c r="BK68" s="159"/>
      <c r="BL68" s="159"/>
      <c r="BM68" s="159"/>
      <c r="BO68" s="31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59" t="s">
        <v>580</v>
      </c>
      <c r="AF69" s="159"/>
      <c r="AG69" s="159"/>
      <c r="AH69" s="159"/>
      <c r="AI69" s="159"/>
      <c r="AJ69" s="159"/>
      <c r="AK69" s="159"/>
      <c r="AL69" s="159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1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58" t="s">
        <v>530</v>
      </c>
      <c r="W70" s="159"/>
      <c r="X70" s="159"/>
      <c r="Y70" s="159"/>
      <c r="Z70" s="159"/>
      <c r="AA70" s="159"/>
      <c r="AB70" s="159"/>
      <c r="AC70" s="159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59" t="s">
        <v>687</v>
      </c>
      <c r="BP70" s="159"/>
      <c r="BQ70" s="159"/>
      <c r="BR70" s="159"/>
      <c r="BS70" s="159"/>
      <c r="BT70" s="159"/>
      <c r="BU70" s="159"/>
      <c r="BV70" s="159"/>
    </row>
    <row r="71" spans="4:74">
      <c r="D71" s="159" t="s">
        <v>441</v>
      </c>
      <c r="E71" s="159"/>
      <c r="F71" s="159"/>
      <c r="G71" s="159"/>
      <c r="H71" s="159"/>
      <c r="I71" s="159"/>
      <c r="J71" s="159"/>
      <c r="K71" s="159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59" t="s">
        <v>670</v>
      </c>
      <c r="BG71" s="159"/>
      <c r="BH71" s="159"/>
      <c r="BI71" s="159"/>
      <c r="BJ71" s="159"/>
      <c r="BK71" s="159"/>
      <c r="BL71" s="159"/>
      <c r="BM71" s="159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1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58" t="s">
        <v>531</v>
      </c>
      <c r="W73" s="159"/>
      <c r="X73" s="159"/>
      <c r="Y73" s="159"/>
      <c r="Z73" s="159"/>
      <c r="AA73" s="159"/>
      <c r="AB73" s="159"/>
      <c r="AC73" s="159"/>
      <c r="AE73" s="159" t="s">
        <v>581</v>
      </c>
      <c r="AF73" s="159"/>
      <c r="AG73" s="159"/>
      <c r="AH73" s="159"/>
      <c r="AI73" s="159"/>
      <c r="AJ73" s="159"/>
      <c r="AK73" s="159"/>
      <c r="AL73" s="159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1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59" t="s">
        <v>443</v>
      </c>
      <c r="E74" s="159"/>
      <c r="F74" s="159"/>
      <c r="G74" s="159"/>
      <c r="H74" s="159"/>
      <c r="I74" s="159"/>
      <c r="J74" s="159"/>
      <c r="K74" s="159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59" t="s">
        <v>672</v>
      </c>
      <c r="BG74" s="159"/>
      <c r="BH74" s="159"/>
      <c r="BI74" s="159"/>
      <c r="BJ74" s="159"/>
      <c r="BK74" s="159"/>
      <c r="BL74" s="159"/>
      <c r="BM74" s="159"/>
      <c r="BO74" s="31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1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58" t="s">
        <v>532</v>
      </c>
      <c r="W76" s="159"/>
      <c r="X76" s="159"/>
      <c r="Y76" s="159"/>
      <c r="Z76" s="159"/>
      <c r="AA76" s="159"/>
      <c r="AB76" s="159"/>
      <c r="AC76" s="159"/>
      <c r="AE76" s="31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1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59" t="s">
        <v>445</v>
      </c>
      <c r="E77" s="159"/>
      <c r="F77" s="159"/>
      <c r="G77" s="159"/>
      <c r="H77" s="159"/>
      <c r="I77" s="159"/>
      <c r="J77" s="159"/>
      <c r="K77" s="159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59" t="s">
        <v>582</v>
      </c>
      <c r="AF77" s="159"/>
      <c r="AG77" s="159"/>
      <c r="AH77" s="159"/>
      <c r="AI77" s="159"/>
      <c r="AJ77" s="159"/>
      <c r="AK77" s="159"/>
      <c r="AL77" s="159"/>
      <c r="BO77" s="31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58" t="s">
        <v>530</v>
      </c>
      <c r="W79" s="159"/>
      <c r="X79" s="159"/>
      <c r="Y79" s="159"/>
      <c r="Z79" s="159"/>
      <c r="AA79" s="159"/>
      <c r="AB79" s="159"/>
      <c r="AC79" s="159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1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59" t="s">
        <v>582</v>
      </c>
      <c r="AF81" s="159"/>
      <c r="AG81" s="159"/>
      <c r="AH81" s="159"/>
      <c r="AI81" s="159"/>
      <c r="AJ81" s="159"/>
      <c r="AK81" s="159"/>
      <c r="AL81" s="159"/>
    </row>
    <row r="82" spans="22:38">
      <c r="V82" s="160" t="s">
        <v>176</v>
      </c>
      <c r="W82" s="160"/>
      <c r="X82" s="160"/>
      <c r="Y82" s="160"/>
      <c r="Z82" s="160"/>
      <c r="AA82" s="160"/>
      <c r="AB82" s="160"/>
      <c r="AC82" s="160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58" t="s">
        <v>528</v>
      </c>
      <c r="W83" s="159"/>
      <c r="X83" s="159"/>
      <c r="Y83" s="159"/>
      <c r="Z83" s="159"/>
      <c r="AA83" s="159"/>
      <c r="AB83" s="159"/>
      <c r="AC83" s="159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1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1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1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1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1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0" t="s">
        <v>587</v>
      </c>
      <c r="AF87" s="160"/>
      <c r="AG87" s="160"/>
      <c r="AH87" s="160"/>
      <c r="AI87" s="160"/>
      <c r="AJ87" s="160"/>
      <c r="AK87" s="160"/>
      <c r="AL87" s="160"/>
    </row>
    <row r="88" spans="22:38">
      <c r="V88" s="31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59" t="s">
        <v>588</v>
      </c>
      <c r="AF88" s="159"/>
      <c r="AG88" s="159"/>
      <c r="AH88" s="159"/>
      <c r="AI88" s="159"/>
      <c r="AJ88" s="159"/>
      <c r="AK88" s="159"/>
      <c r="AL88" s="159"/>
    </row>
    <row r="89" spans="22:38">
      <c r="V89" s="31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1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1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59" t="s">
        <v>589</v>
      </c>
      <c r="AF91" s="159"/>
      <c r="AG91" s="159"/>
      <c r="AH91" s="159"/>
      <c r="AI91" s="159"/>
      <c r="AJ91" s="159"/>
      <c r="AK91" s="159"/>
      <c r="AL91" s="159"/>
    </row>
    <row r="92" spans="22:38">
      <c r="V92" s="31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58" t="s">
        <v>533</v>
      </c>
      <c r="W93" s="159"/>
      <c r="X93" s="159"/>
      <c r="Y93" s="159"/>
      <c r="Z93" s="159"/>
      <c r="AA93" s="159"/>
      <c r="AB93" s="159"/>
      <c r="AC93" s="159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59" t="s">
        <v>590</v>
      </c>
      <c r="AF94" s="159"/>
      <c r="AG94" s="159"/>
      <c r="AH94" s="159"/>
      <c r="AI94" s="159"/>
      <c r="AJ94" s="159"/>
      <c r="AK94" s="159"/>
      <c r="AL94" s="159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58" t="s">
        <v>534</v>
      </c>
      <c r="W96" s="159"/>
      <c r="X96" s="159"/>
      <c r="Y96" s="159"/>
      <c r="Z96" s="159"/>
      <c r="AA96" s="159"/>
      <c r="AB96" s="159"/>
      <c r="AC96" s="159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59" t="s">
        <v>592</v>
      </c>
      <c r="AF97" s="159"/>
      <c r="AG97" s="159"/>
      <c r="AH97" s="159"/>
      <c r="AI97" s="159"/>
      <c r="AJ97" s="159"/>
      <c r="AK97" s="159"/>
      <c r="AL97" s="159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0" t="s">
        <v>535</v>
      </c>
      <c r="W99" s="160"/>
      <c r="X99" s="160"/>
      <c r="Y99" s="160"/>
      <c r="Z99" s="160"/>
      <c r="AA99" s="160"/>
      <c r="AB99" s="160"/>
      <c r="AC99" s="160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58" t="s">
        <v>536</v>
      </c>
      <c r="W100" s="159"/>
      <c r="X100" s="159"/>
      <c r="Y100" s="159"/>
      <c r="Z100" s="159"/>
      <c r="AA100" s="159"/>
      <c r="AB100" s="159"/>
      <c r="AC100" s="159"/>
      <c r="AE100" s="160" t="s">
        <v>593</v>
      </c>
      <c r="AF100" s="160"/>
      <c r="AG100" s="160"/>
      <c r="AH100" s="160"/>
      <c r="AI100" s="160"/>
      <c r="AJ100" s="160"/>
      <c r="AK100" s="160"/>
      <c r="AL100" s="160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59" t="s">
        <v>594</v>
      </c>
      <c r="AF101" s="159"/>
      <c r="AG101" s="159"/>
      <c r="AH101" s="159"/>
      <c r="AI101" s="159"/>
      <c r="AJ101" s="159"/>
      <c r="AK101" s="159"/>
      <c r="AL101" s="159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1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58" t="s">
        <v>537</v>
      </c>
      <c r="W104" s="159"/>
      <c r="X104" s="159"/>
      <c r="Y104" s="159"/>
      <c r="Z104" s="159"/>
      <c r="AA104" s="159"/>
      <c r="AB104" s="159"/>
      <c r="AC104" s="159"/>
      <c r="AE104" s="31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59" t="s">
        <v>540</v>
      </c>
      <c r="AF105" s="159"/>
      <c r="AG105" s="159"/>
      <c r="AH105" s="159"/>
      <c r="AI105" s="159"/>
      <c r="AJ105" s="159"/>
      <c r="AK105" s="159"/>
      <c r="AL105" s="159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0" t="s">
        <v>158</v>
      </c>
      <c r="W107" s="160"/>
      <c r="X107" s="160"/>
      <c r="Y107" s="160"/>
      <c r="Z107" s="160"/>
      <c r="AA107" s="160"/>
      <c r="AB107" s="160"/>
      <c r="AC107" s="160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58" t="s">
        <v>539</v>
      </c>
      <c r="W108" s="159"/>
      <c r="X108" s="159"/>
      <c r="Y108" s="159"/>
      <c r="Z108" s="159"/>
      <c r="AA108" s="159"/>
      <c r="AB108" s="159"/>
      <c r="AC108" s="159"/>
      <c r="AE108" s="31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59" t="s">
        <v>595</v>
      </c>
      <c r="AF109" s="159"/>
      <c r="AG109" s="159"/>
      <c r="AH109" s="159"/>
      <c r="AI109" s="159"/>
      <c r="AJ109" s="159"/>
      <c r="AK109" s="159"/>
      <c r="AL109" s="159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58" t="s">
        <v>538</v>
      </c>
      <c r="W111" s="159"/>
      <c r="X111" s="159"/>
      <c r="Y111" s="159"/>
      <c r="Z111" s="159"/>
      <c r="AA111" s="159"/>
      <c r="AB111" s="159"/>
      <c r="AC111" s="159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1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1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1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59" t="s">
        <v>596</v>
      </c>
      <c r="AF115" s="159"/>
      <c r="AG115" s="159"/>
      <c r="AH115" s="159"/>
      <c r="AI115" s="159"/>
      <c r="AJ115" s="159"/>
      <c r="AK115" s="159"/>
      <c r="AL115" s="159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</mergeCells>
  <phoneticPr fontId="29" type="noConversion"/>
  <conditionalFormatting sqref="A3">
    <cfRule type="cellIs" dxfId="1256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1255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1254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1253" priority="59" operator="greaterThan">
      <formula>0</formula>
    </cfRule>
  </conditionalFormatting>
  <conditionalFormatting sqref="AO5:AU5">
    <cfRule type="cellIs" dxfId="1252" priority="130" operator="greaterThan">
      <formula>0</formula>
    </cfRule>
  </conditionalFormatting>
  <conditionalFormatting sqref="AO9:AU9">
    <cfRule type="cellIs" dxfId="1251" priority="58" operator="greaterThan">
      <formula>0</formula>
    </cfRule>
  </conditionalFormatting>
  <conditionalFormatting sqref="AO12:AU12">
    <cfRule type="cellIs" dxfId="1250" priority="57" operator="greaterThan">
      <formula>0</formula>
    </cfRule>
  </conditionalFormatting>
  <conditionalFormatting sqref="AO15:AU17">
    <cfRule type="cellIs" dxfId="1249" priority="56" operator="greaterThan">
      <formula>0</formula>
    </cfRule>
  </conditionalFormatting>
  <conditionalFormatting sqref="AO21:AU22">
    <cfRule type="cellIs" dxfId="1248" priority="55" operator="greaterThan">
      <formula>0</formula>
    </cfRule>
  </conditionalFormatting>
  <conditionalFormatting sqref="AO25:AU25">
    <cfRule type="cellIs" dxfId="1247" priority="54" operator="greaterThan">
      <formula>0</formula>
    </cfRule>
  </conditionalFormatting>
  <conditionalFormatting sqref="AO29:AU30">
    <cfRule type="cellIs" dxfId="1246" priority="53" operator="greaterThan">
      <formula>0</formula>
    </cfRule>
  </conditionalFormatting>
  <conditionalFormatting sqref="AO33:AU33">
    <cfRule type="cellIs" dxfId="1245" priority="52" operator="greaterThan">
      <formula>0</formula>
    </cfRule>
  </conditionalFormatting>
  <conditionalFormatting sqref="AO36:AU36">
    <cfRule type="cellIs" dxfId="1244" priority="51" operator="greaterThan">
      <formula>0</formula>
    </cfRule>
  </conditionalFormatting>
  <conditionalFormatting sqref="AO40:AU40">
    <cfRule type="cellIs" dxfId="1243" priority="50" operator="greaterThan">
      <formula>0</formula>
    </cfRule>
  </conditionalFormatting>
  <conditionalFormatting sqref="AO43:AU43">
    <cfRule type="cellIs" dxfId="1242" priority="49" operator="greaterThan">
      <formula>0</formula>
    </cfRule>
  </conditionalFormatting>
  <conditionalFormatting sqref="AO46:AU46">
    <cfRule type="cellIs" dxfId="1241" priority="48" operator="greaterThan">
      <formula>0</formula>
    </cfRule>
  </conditionalFormatting>
  <conditionalFormatting sqref="AO49:AU49">
    <cfRule type="cellIs" dxfId="1240" priority="47" operator="greaterThan">
      <formula>0</formula>
    </cfRule>
  </conditionalFormatting>
  <conditionalFormatting sqref="AX5:BD7">
    <cfRule type="cellIs" dxfId="1239" priority="129" operator="greaterThan">
      <formula>0</formula>
    </cfRule>
  </conditionalFormatting>
  <conditionalFormatting sqref="AX10:BD10">
    <cfRule type="cellIs" dxfId="1238" priority="46" operator="greaterThan">
      <formula>0</formula>
    </cfRule>
  </conditionalFormatting>
  <conditionalFormatting sqref="AX13:BD18">
    <cfRule type="cellIs" dxfId="1237" priority="45" operator="greaterThan">
      <formula>0</formula>
    </cfRule>
  </conditionalFormatting>
  <conditionalFormatting sqref="AX21:BD21">
    <cfRule type="cellIs" dxfId="1236" priority="44" operator="greaterThan">
      <formula>0</formula>
    </cfRule>
  </conditionalFormatting>
  <conditionalFormatting sqref="BG5:BM5">
    <cfRule type="cellIs" dxfId="1235" priority="128" operator="greaterThan">
      <formula>0</formula>
    </cfRule>
  </conditionalFormatting>
  <conditionalFormatting sqref="BG8:BM8">
    <cfRule type="cellIs" dxfId="1234" priority="43" operator="greaterThan">
      <formula>0</formula>
    </cfRule>
  </conditionalFormatting>
  <conditionalFormatting sqref="BG11:BM11">
    <cfRule type="cellIs" dxfId="1233" priority="42" operator="greaterThan">
      <formula>0</formula>
    </cfRule>
  </conditionalFormatting>
  <conditionalFormatting sqref="BG14:BM14">
    <cfRule type="cellIs" dxfId="1232" priority="41" operator="greaterThan">
      <formula>0</formula>
    </cfRule>
  </conditionalFormatting>
  <conditionalFormatting sqref="BG18:BM18">
    <cfRule type="cellIs" dxfId="1231" priority="40" operator="greaterThan">
      <formula>0</formula>
    </cfRule>
  </conditionalFormatting>
  <conditionalFormatting sqref="BG21:BM21">
    <cfRule type="cellIs" dxfId="1230" priority="39" operator="greaterThan">
      <formula>0</formula>
    </cfRule>
  </conditionalFormatting>
  <conditionalFormatting sqref="BG25:BM25">
    <cfRule type="cellIs" dxfId="1229" priority="38" operator="greaterThan">
      <formula>0</formula>
    </cfRule>
  </conditionalFormatting>
  <conditionalFormatting sqref="BG28:BM28">
    <cfRule type="cellIs" dxfId="1228" priority="37" operator="greaterThan">
      <formula>0</formula>
    </cfRule>
  </conditionalFormatting>
  <conditionalFormatting sqref="BG31:BM33">
    <cfRule type="cellIs" dxfId="1227" priority="36" operator="greaterThan">
      <formula>0</formula>
    </cfRule>
  </conditionalFormatting>
  <conditionalFormatting sqref="BG36:BM37">
    <cfRule type="cellIs" dxfId="1226" priority="35" operator="greaterThan">
      <formula>0</formula>
    </cfRule>
  </conditionalFormatting>
  <conditionalFormatting sqref="BG40:BM41">
    <cfRule type="cellIs" dxfId="1225" priority="34" operator="greaterThan">
      <formula>0</formula>
    </cfRule>
  </conditionalFormatting>
  <conditionalFormatting sqref="BG44:BM44">
    <cfRule type="cellIs" dxfId="1224" priority="33" operator="greaterThan">
      <formula>0</formula>
    </cfRule>
  </conditionalFormatting>
  <conditionalFormatting sqref="BG47:BM47">
    <cfRule type="cellIs" dxfId="1223" priority="32" operator="greaterThan">
      <formula>0</formula>
    </cfRule>
  </conditionalFormatting>
  <conditionalFormatting sqref="BG50:BM50">
    <cfRule type="cellIs" dxfId="1222" priority="31" operator="greaterThan">
      <formula>0</formula>
    </cfRule>
  </conditionalFormatting>
  <conditionalFormatting sqref="BG53:BM53">
    <cfRule type="cellIs" dxfId="1221" priority="30" operator="greaterThan">
      <formula>0</formula>
    </cfRule>
  </conditionalFormatting>
  <conditionalFormatting sqref="BG57:BM57">
    <cfRule type="cellIs" dxfId="1220" priority="29" operator="greaterThan">
      <formula>0</formula>
    </cfRule>
  </conditionalFormatting>
  <conditionalFormatting sqref="BG60:BM60">
    <cfRule type="cellIs" dxfId="1219" priority="28" operator="greaterThan">
      <formula>0</formula>
    </cfRule>
  </conditionalFormatting>
  <conditionalFormatting sqref="BG63:BM67">
    <cfRule type="cellIs" dxfId="1218" priority="27" operator="greaterThan">
      <formula>0</formula>
    </cfRule>
  </conditionalFormatting>
  <conditionalFormatting sqref="BG70:BM70">
    <cfRule type="cellIs" dxfId="1217" priority="26" operator="greaterThan">
      <formula>0</formula>
    </cfRule>
  </conditionalFormatting>
  <conditionalFormatting sqref="BG73:BM73">
    <cfRule type="cellIs" dxfId="1216" priority="25" operator="greaterThan">
      <formula>0</formula>
    </cfRule>
  </conditionalFormatting>
  <conditionalFormatting sqref="BG76:BM76">
    <cfRule type="cellIs" dxfId="1215" priority="24" operator="greaterThan">
      <formula>0</formula>
    </cfRule>
  </conditionalFormatting>
  <conditionalFormatting sqref="BP5:BV5">
    <cfRule type="cellIs" dxfId="1214" priority="127" operator="greaterThan">
      <formula>0</formula>
    </cfRule>
  </conditionalFormatting>
  <conditionalFormatting sqref="BP8:BV8">
    <cfRule type="cellIs" dxfId="1213" priority="23" operator="greaterThan">
      <formula>0</formula>
    </cfRule>
  </conditionalFormatting>
  <conditionalFormatting sqref="BP11:BV11">
    <cfRule type="cellIs" dxfId="1212" priority="22" operator="greaterThan">
      <formula>0</formula>
    </cfRule>
  </conditionalFormatting>
  <conditionalFormatting sqref="BP15:BV24">
    <cfRule type="cellIs" dxfId="1211" priority="21" operator="greaterThan">
      <formula>0</formula>
    </cfRule>
  </conditionalFormatting>
  <conditionalFormatting sqref="BP27:BV37">
    <cfRule type="cellIs" dxfId="1210" priority="20" operator="greaterThan">
      <formula>0</formula>
    </cfRule>
  </conditionalFormatting>
  <conditionalFormatting sqref="BP41:BV41">
    <cfRule type="cellIs" dxfId="1209" priority="19" operator="greaterThan">
      <formula>0</formula>
    </cfRule>
  </conditionalFormatting>
  <conditionalFormatting sqref="BP45:BV45">
    <cfRule type="cellIs" dxfId="1208" priority="18" operator="greaterThan">
      <formula>0</formula>
    </cfRule>
  </conditionalFormatting>
  <conditionalFormatting sqref="BP48:BV48">
    <cfRule type="cellIs" dxfId="1207" priority="17" operator="greaterThan">
      <formula>0</formula>
    </cfRule>
  </conditionalFormatting>
  <conditionalFormatting sqref="BP52:BV52">
    <cfRule type="cellIs" dxfId="1206" priority="16" operator="greaterThan">
      <formula>0</formula>
    </cfRule>
  </conditionalFormatting>
  <conditionalFormatting sqref="BP55:BV55">
    <cfRule type="cellIs" dxfId="1205" priority="15" operator="greaterThan">
      <formula>0</formula>
    </cfRule>
  </conditionalFormatting>
  <conditionalFormatting sqref="BP58:BV58">
    <cfRule type="cellIs" dxfId="1204" priority="14" operator="greaterThan">
      <formula>0</formula>
    </cfRule>
  </conditionalFormatting>
  <conditionalFormatting sqref="BP61:BV69">
    <cfRule type="cellIs" dxfId="1203" priority="13" operator="greaterThan">
      <formula>0</formula>
    </cfRule>
  </conditionalFormatting>
  <conditionalFormatting sqref="BP72:BV77">
    <cfRule type="cellIs" dxfId="1202" priority="12" operator="greaterThan">
      <formula>0</formula>
    </cfRule>
  </conditionalFormatting>
  <conditionalFormatting sqref="BY5:CE5">
    <cfRule type="cellIs" dxfId="1201" priority="126" operator="greaterThan">
      <formula>0</formula>
    </cfRule>
  </conditionalFormatting>
  <conditionalFormatting sqref="BY8:CE8">
    <cfRule type="cellIs" dxfId="1200" priority="11" operator="greaterThan">
      <formula>0</formula>
    </cfRule>
  </conditionalFormatting>
  <conditionalFormatting sqref="BY11:CE11">
    <cfRule type="cellIs" dxfId="1199" priority="10" operator="greaterThan">
      <formula>0</formula>
    </cfRule>
  </conditionalFormatting>
  <conditionalFormatting sqref="CH5:CN19">
    <cfRule type="cellIs" dxfId="1198" priority="125" operator="greaterThan">
      <formula>0</formula>
    </cfRule>
  </conditionalFormatting>
  <conditionalFormatting sqref="CH22:CN28">
    <cfRule type="cellIs" dxfId="1197" priority="9" operator="greaterThan">
      <formula>0</formula>
    </cfRule>
  </conditionalFormatting>
  <conditionalFormatting sqref="CH31:CN31">
    <cfRule type="cellIs" dxfId="1196" priority="8" operator="greaterThan">
      <formula>0</formula>
    </cfRule>
  </conditionalFormatting>
  <conditionalFormatting sqref="CH34:CN43">
    <cfRule type="cellIs" dxfId="1195" priority="7" operator="greaterThan">
      <formula>0</formula>
    </cfRule>
  </conditionalFormatting>
  <conditionalFormatting sqref="CH46:CN55">
    <cfRule type="cellIs" dxfId="1194" priority="6" operator="greaterThan">
      <formula>0</formula>
    </cfRule>
  </conditionalFormatting>
  <conditionalFormatting sqref="CQ5:CW5">
    <cfRule type="cellIs" dxfId="1193" priority="124" operator="greaterThan">
      <formula>0</formula>
    </cfRule>
  </conditionalFormatting>
  <conditionalFormatting sqref="CQ8:CW8">
    <cfRule type="cellIs" dxfId="1192" priority="5" operator="greaterThan">
      <formula>0</formula>
    </cfRule>
  </conditionalFormatting>
  <conditionalFormatting sqref="CQ11:CW11">
    <cfRule type="cellIs" dxfId="1191" priority="4" operator="greaterThan">
      <formula>0</formula>
    </cfRule>
  </conditionalFormatting>
  <conditionalFormatting sqref="CZ5:DF5">
    <cfRule type="cellIs" dxfId="1190" priority="123" operator="greaterThan">
      <formula>0</formula>
    </cfRule>
  </conditionalFormatting>
  <conditionalFormatting sqref="DI5:DO5">
    <cfRule type="cellIs" dxfId="1189" priority="122" operator="greaterThan">
      <formula>0</formula>
    </cfRule>
  </conditionalFormatting>
  <conditionalFormatting sqref="DI8:DO18">
    <cfRule type="cellIs" dxfId="1188" priority="3" operator="greaterThan">
      <formula>0</formula>
    </cfRule>
  </conditionalFormatting>
  <conditionalFormatting sqref="DI21:DO21">
    <cfRule type="cellIs" dxfId="1187" priority="2" operator="greaterThan">
      <formula>0</formula>
    </cfRule>
  </conditionalFormatting>
  <conditionalFormatting sqref="DI24:DO24">
    <cfRule type="cellIs" dxfId="1186" priority="1" operator="greaterThan">
      <formula>0</formula>
    </cfRule>
  </conditionalFormatting>
  <conditionalFormatting sqref="DR5:DX5">
    <cfRule type="cellIs" dxfId="1185" priority="121" operator="greaterThan">
      <formula>0</formula>
    </cfRule>
  </conditionalFormatting>
  <conditionalFormatting sqref="EA5:EG5">
    <cfRule type="cellIs" dxfId="1184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2025-07-07T11:05:32Z</dcterms:modified>
</cp:coreProperties>
</file>